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8800" windowHeight="12300"/>
  </bookViews>
  <sheets>
    <sheet name="IMPORT" sheetId="1" r:id="rId1"/>
    <sheet name="EXPORT" sheetId="5" r:id="rId2"/>
  </sheets>
  <definedNames>
    <definedName name="_xlnm.Print_Area" localSheetId="1">EXPORT!$A$1:$R$19</definedName>
    <definedName name="_xlnm.Print_Area" localSheetId="0">IMPORT!$1:$143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2" i="1" l="1"/>
  <c r="I163" i="1"/>
  <c r="J166" i="1"/>
  <c r="J165" i="1"/>
  <c r="J164" i="1"/>
  <c r="J162" i="1"/>
  <c r="J161" i="1"/>
  <c r="J160" i="1"/>
  <c r="J159" i="1"/>
  <c r="J158" i="1"/>
  <c r="J157" i="1"/>
  <c r="J156" i="1"/>
  <c r="J155" i="1"/>
  <c r="J163" i="1"/>
  <c r="H163" i="1"/>
  <c r="F44" i="5" l="1"/>
  <c r="F43" i="5"/>
  <c r="F42" i="5"/>
  <c r="F41" i="5"/>
  <c r="E44" i="5"/>
  <c r="E43" i="5"/>
  <c r="E42" i="5"/>
  <c r="E41" i="5"/>
  <c r="E40" i="5"/>
  <c r="D44" i="5" l="1"/>
  <c r="D43" i="5"/>
  <c r="D42" i="5"/>
  <c r="D41" i="5"/>
  <c r="F40" i="5"/>
  <c r="D40" i="5"/>
  <c r="B40" i="5"/>
  <c r="I166" i="1" l="1"/>
  <c r="I165" i="1"/>
  <c r="I164" i="1"/>
  <c r="I161" i="1"/>
  <c r="I160" i="1"/>
  <c r="I159" i="1"/>
  <c r="I158" i="1"/>
  <c r="I157" i="1"/>
  <c r="I156" i="1"/>
  <c r="I155" i="1"/>
  <c r="C44" i="5"/>
  <c r="C43" i="5"/>
  <c r="C42" i="5"/>
  <c r="C41" i="5"/>
  <c r="B44" i="5"/>
  <c r="B43" i="5"/>
  <c r="B42" i="5"/>
  <c r="B41" i="5"/>
  <c r="C40" i="5"/>
  <c r="H166" i="1" l="1"/>
  <c r="G166" i="1"/>
  <c r="F166" i="1"/>
  <c r="E166" i="1"/>
  <c r="D166" i="1"/>
  <c r="C166" i="1"/>
  <c r="B166" i="1"/>
  <c r="H165" i="1"/>
  <c r="G165" i="1"/>
  <c r="F165" i="1"/>
  <c r="E165" i="1"/>
  <c r="D165" i="1"/>
  <c r="C165" i="1"/>
  <c r="B165" i="1"/>
  <c r="H164" i="1"/>
  <c r="G164" i="1"/>
  <c r="F164" i="1"/>
  <c r="E164" i="1"/>
  <c r="D164" i="1"/>
  <c r="C164" i="1"/>
  <c r="B164" i="1"/>
  <c r="G163" i="1"/>
  <c r="F163" i="1"/>
  <c r="E163" i="1"/>
  <c r="D163" i="1"/>
  <c r="C163" i="1"/>
  <c r="B163" i="1"/>
  <c r="H162" i="1"/>
  <c r="G162" i="1"/>
  <c r="F162" i="1"/>
  <c r="E162" i="1"/>
  <c r="D162" i="1"/>
  <c r="C162" i="1"/>
  <c r="B162" i="1"/>
  <c r="H161" i="1"/>
  <c r="G161" i="1"/>
  <c r="F161" i="1"/>
  <c r="E161" i="1"/>
  <c r="D161" i="1"/>
  <c r="C161" i="1"/>
  <c r="B161" i="1"/>
  <c r="H160" i="1"/>
  <c r="G160" i="1"/>
  <c r="F160" i="1"/>
  <c r="E160" i="1"/>
  <c r="D160" i="1"/>
  <c r="C160" i="1"/>
  <c r="B160" i="1"/>
  <c r="H159" i="1"/>
  <c r="G159" i="1"/>
  <c r="F159" i="1"/>
  <c r="E159" i="1"/>
  <c r="D159" i="1"/>
  <c r="C159" i="1"/>
  <c r="B159" i="1"/>
  <c r="H158" i="1"/>
  <c r="G158" i="1"/>
  <c r="F158" i="1"/>
  <c r="E158" i="1"/>
  <c r="D158" i="1"/>
  <c r="C158" i="1"/>
  <c r="B158" i="1"/>
  <c r="H157" i="1"/>
  <c r="G157" i="1"/>
  <c r="F157" i="1"/>
  <c r="E157" i="1"/>
  <c r="D157" i="1"/>
  <c r="C157" i="1"/>
  <c r="B157" i="1"/>
  <c r="H156" i="1"/>
  <c r="G156" i="1"/>
  <c r="F156" i="1"/>
  <c r="E156" i="1"/>
  <c r="D156" i="1"/>
  <c r="C156" i="1"/>
  <c r="B156" i="1"/>
  <c r="H155" i="1"/>
  <c r="G155" i="1"/>
  <c r="F155" i="1"/>
  <c r="E155" i="1"/>
  <c r="D155" i="1"/>
  <c r="C155" i="1"/>
  <c r="B155" i="1"/>
</calcChain>
</file>

<file path=xl/sharedStrings.xml><?xml version="1.0" encoding="utf-8"?>
<sst xmlns="http://schemas.openxmlformats.org/spreadsheetml/2006/main" count="18576" uniqueCount="17524">
  <si>
    <t>MONTH</t>
  </si>
  <si>
    <t>Consignee</t>
  </si>
  <si>
    <t>Quantity</t>
  </si>
  <si>
    <t>HAWB / BL</t>
  </si>
  <si>
    <t>Ship Mode</t>
  </si>
  <si>
    <t>Vassel Name / Flight No.</t>
  </si>
  <si>
    <t>Voyage</t>
  </si>
  <si>
    <t>Port Clear</t>
  </si>
  <si>
    <t>Forwarder</t>
  </si>
  <si>
    <t>Received Dox</t>
  </si>
  <si>
    <t>ETA Port</t>
  </si>
  <si>
    <t>DO Release</t>
  </si>
  <si>
    <t>Clearance
Date</t>
  </si>
  <si>
    <t>Arrive
Factory</t>
  </si>
  <si>
    <t>Container No.</t>
  </si>
  <si>
    <t>Size</t>
  </si>
  <si>
    <t>MARK</t>
  </si>
  <si>
    <t>DECLEAR</t>
  </si>
  <si>
    <t>GS INV</t>
  </si>
  <si>
    <t>GS DIS</t>
  </si>
  <si>
    <t>GS DN</t>
  </si>
  <si>
    <t>1-2026</t>
  </si>
  <si>
    <t>VFL</t>
  </si>
  <si>
    <t>12 PKGS</t>
  </si>
  <si>
    <t>SE2512025</t>
  </si>
  <si>
    <t>SEA</t>
  </si>
  <si>
    <t>OTANA BHUM</t>
  </si>
  <si>
    <t>240 N</t>
  </si>
  <si>
    <t>SHV</t>
  </si>
  <si>
    <t>ITI</t>
  </si>
  <si>
    <t>TBA</t>
  </si>
  <si>
    <t xml:space="preserve">OBLU8823326/OBLU257321 </t>
  </si>
  <si>
    <t>40'HQ</t>
  </si>
  <si>
    <t>Sportline</t>
  </si>
  <si>
    <t>70 PKGS</t>
  </si>
  <si>
    <t>STPSHASIH25C017</t>
  </si>
  <si>
    <t>SITC JIANGSU</t>
  </si>
  <si>
    <t>HIPPO</t>
  </si>
  <si>
    <t>HPCU4974945</t>
  </si>
  <si>
    <t>3 ROLLS</t>
  </si>
  <si>
    <t>731-98693836</t>
  </si>
  <si>
    <t>AIR</t>
  </si>
  <si>
    <t>MF859</t>
  </si>
  <si>
    <t>KTI</t>
  </si>
  <si>
    <t>HGH/KGL</t>
  </si>
  <si>
    <t>NON</t>
  </si>
  <si>
    <t>11 PKGS</t>
  </si>
  <si>
    <t>DAE-TP2545496</t>
  </si>
  <si>
    <t>BR265</t>
  </si>
  <si>
    <t>Dolphin</t>
  </si>
  <si>
    <t>8 ROLLS</t>
  </si>
  <si>
    <t>DAE-TPE2600706</t>
  </si>
  <si>
    <t>CX605</t>
  </si>
  <si>
    <t>262 CTNS</t>
  </si>
  <si>
    <t>STPHCMPNH25C013</t>
  </si>
  <si>
    <t>TRUCK-BAVET</t>
  </si>
  <si>
    <t>BY INLAND TRUCKING</t>
  </si>
  <si>
    <t>OLAIR</t>
  </si>
  <si>
    <t>TRLU5669254/CFS-CFS</t>
  </si>
  <si>
    <t>127 ROLLS</t>
  </si>
  <si>
    <t>STPHCMPNH261014</t>
  </si>
  <si>
    <t>QNQU0101260/CFS-CFS</t>
  </si>
  <si>
    <t>2 CTNS</t>
  </si>
  <si>
    <t>VTC2026051</t>
  </si>
  <si>
    <t>SO NGUON-BAVET</t>
  </si>
  <si>
    <t>10 BALES</t>
  </si>
  <si>
    <t>TBKKOS2512001</t>
  </si>
  <si>
    <t>SINAR BAJO</t>
  </si>
  <si>
    <t>CAAU8750850/CFS-CFS</t>
  </si>
  <si>
    <t>12 ROLLS</t>
  </si>
  <si>
    <t>YSF-009474</t>
  </si>
  <si>
    <t>VZ720</t>
  </si>
  <si>
    <t>Y&amp;S AIR SERVICE</t>
  </si>
  <si>
    <t>2-2026</t>
  </si>
  <si>
    <t>36 CTNS</t>
  </si>
  <si>
    <t>STPTPEPNH261042</t>
  </si>
  <si>
    <t>INTERASIA VISION</t>
  </si>
  <si>
    <t>V-S091</t>
  </si>
  <si>
    <t>CCLU2730988</t>
  </si>
  <si>
    <t>20'DC</t>
  </si>
  <si>
    <t>4 PKGS</t>
  </si>
  <si>
    <t>JY2602123</t>
  </si>
  <si>
    <t>9C8533</t>
  </si>
  <si>
    <t>39 PKGS</t>
  </si>
  <si>
    <t>STPHKGSIH261025</t>
  </si>
  <si>
    <t>SITC JIADE</t>
  </si>
  <si>
    <t>V-2602S</t>
  </si>
  <si>
    <t>TEC SRUN</t>
  </si>
  <si>
    <t>REGU1272017/CFS-CFS</t>
  </si>
  <si>
    <t xml:space="preserve">   20'GP</t>
  </si>
  <si>
    <t>110 PKGS</t>
  </si>
  <si>
    <t>STPHKGSIH261026</t>
  </si>
  <si>
    <t>149 PKGS</t>
  </si>
  <si>
    <t>STPHCMPNH262015</t>
  </si>
  <si>
    <t>QNQU0101207/CFS-CFS</t>
  </si>
  <si>
    <t>168 PKGS</t>
  </si>
  <si>
    <t>STPHCMPNH262016</t>
  </si>
  <si>
    <t>6 ROLLS</t>
  </si>
  <si>
    <t>OFS-K004173</t>
  </si>
  <si>
    <t>VN 920</t>
  </si>
  <si>
    <t>ORIENTAL</t>
  </si>
  <si>
    <t>69 PKGS</t>
  </si>
  <si>
    <t>STPSHASIH262001</t>
  </si>
  <si>
    <t xml:space="preserve">SITC XIANDE </t>
  </si>
  <si>
    <t>V-2604S</t>
  </si>
  <si>
    <t>FANU3153550/CFS-CFS</t>
  </si>
  <si>
    <t>68 PKGS</t>
  </si>
  <si>
    <t>STPSHASIH262002</t>
  </si>
  <si>
    <t>38 PKGS</t>
  </si>
  <si>
    <t>HEH2600042</t>
  </si>
  <si>
    <t>BRIGHT SAKURA</t>
  </si>
  <si>
    <t>012S</t>
  </si>
  <si>
    <t>POWER</t>
  </si>
  <si>
    <t>TCKU7361979/SITE216239</t>
  </si>
  <si>
    <t>74 PKGS</t>
  </si>
  <si>
    <t>STPSHASIH262006</t>
  </si>
  <si>
    <t xml:space="preserve">SITC MINGDE </t>
  </si>
  <si>
    <t>CAAU6305860/CFS-CFS</t>
  </si>
  <si>
    <t>19 PKGS</t>
  </si>
  <si>
    <t>STPSHASIH262007</t>
  </si>
  <si>
    <t>3-2026</t>
  </si>
  <si>
    <t>26 CTNS</t>
  </si>
  <si>
    <t>1460-15976902</t>
  </si>
  <si>
    <t>TR819</t>
  </si>
  <si>
    <t>Kintetsu</t>
  </si>
  <si>
    <t>15 PKGS</t>
  </si>
  <si>
    <t>AP-2603001</t>
  </si>
  <si>
    <t>31 PKGS</t>
  </si>
  <si>
    <t>STPHCMPNH263007</t>
  </si>
  <si>
    <t>UESU2344699/ CFS-CFS</t>
  </si>
  <si>
    <t>20' GP</t>
  </si>
  <si>
    <t>17 CTNS</t>
  </si>
  <si>
    <t>STPHCMPNH263005</t>
  </si>
  <si>
    <t>20 'GP</t>
  </si>
  <si>
    <t>37 CTNS</t>
  </si>
  <si>
    <t>TKOKOS26021001</t>
  </si>
  <si>
    <t>SITC SHENGDE</t>
  </si>
  <si>
    <t>2606S</t>
  </si>
  <si>
    <t>TRHU4741490/CFS-CFS</t>
  </si>
  <si>
    <t>40 'HQ</t>
  </si>
  <si>
    <t>13 CTNS</t>
  </si>
  <si>
    <t>TKOKOS26021002</t>
  </si>
  <si>
    <t>34 PKGS</t>
  </si>
  <si>
    <t>STPHKGSIH263007</t>
  </si>
  <si>
    <t>V-2606S</t>
  </si>
  <si>
    <t>REGU5153952/CFS-CFS</t>
  </si>
  <si>
    <t>41 CTNS</t>
  </si>
  <si>
    <t>STPHKGSIH263008</t>
  </si>
  <si>
    <t>4 ROL</t>
  </si>
  <si>
    <t>AP-2603004</t>
  </si>
  <si>
    <t>44 PKGS</t>
  </si>
  <si>
    <t>STPSHASIH263001</t>
  </si>
  <si>
    <t>SITC XINGDE</t>
  </si>
  <si>
    <t>SITU2644930/ CFS-CFS</t>
  </si>
  <si>
    <t>20 KGS</t>
  </si>
  <si>
    <t>STPSHASIH263002</t>
  </si>
  <si>
    <t>57 CTNS</t>
  </si>
  <si>
    <t>HEH2600151</t>
  </si>
  <si>
    <t>SITC WENDE</t>
  </si>
  <si>
    <t>FFAU7494778/ CFS-CFS</t>
  </si>
  <si>
    <t>35 PKGS</t>
  </si>
  <si>
    <t>TKEKOS2603006</t>
  </si>
  <si>
    <t xml:space="preserve">G. DRAGON </t>
  </si>
  <si>
    <t>611S</t>
  </si>
  <si>
    <t>MRKU3798726/ CFS-CFS</t>
  </si>
  <si>
    <t>89 CTNS</t>
  </si>
  <si>
    <t>TKEKOS2603007</t>
  </si>
  <si>
    <t xml:space="preserve">6 PKGS </t>
  </si>
  <si>
    <t>JY2603145</t>
  </si>
  <si>
    <t>MU759</t>
  </si>
  <si>
    <t>155 PKGS</t>
  </si>
  <si>
    <t>STPHCMPNH263015</t>
  </si>
  <si>
    <t>HJCU1101873/ CFS-CFS</t>
  </si>
  <si>
    <t>146 PKGS</t>
  </si>
  <si>
    <t>STPSHASIH263004</t>
  </si>
  <si>
    <t>SITC SHANGHAI</t>
  </si>
  <si>
    <t>V-2626S</t>
  </si>
  <si>
    <t>HPCU5102485/ CFS-CFS</t>
  </si>
  <si>
    <t>16 CTNS</t>
  </si>
  <si>
    <t>TKOKOS2603001</t>
  </si>
  <si>
    <t>PIYA BHUM</t>
  </si>
  <si>
    <t>080S</t>
  </si>
  <si>
    <t>CAAU6351444/ CFS-CFS</t>
  </si>
  <si>
    <t>25 PKGS</t>
  </si>
  <si>
    <t>STPHKGSIH263031</t>
  </si>
  <si>
    <t>V-080S</t>
  </si>
  <si>
    <t>REGU5258531/ CFS-CFS</t>
  </si>
  <si>
    <t>66 PKGS</t>
  </si>
  <si>
    <t>STPHKGSIH263030</t>
  </si>
  <si>
    <t>4-2026</t>
  </si>
  <si>
    <t>233 PKGS</t>
  </si>
  <si>
    <t xml:space="preserve">STPSHASIH263008 </t>
  </si>
  <si>
    <t>TIIU5784379/ CSF-CFS</t>
  </si>
  <si>
    <t>charge THC to factory from Mar</t>
  </si>
  <si>
    <t>1 PKG</t>
  </si>
  <si>
    <t>618-50974770</t>
  </si>
  <si>
    <t>SQ158</t>
  </si>
  <si>
    <t>UPS</t>
  </si>
  <si>
    <t>157-49354255</t>
  </si>
  <si>
    <t>QR108</t>
  </si>
  <si>
    <t>ATE</t>
  </si>
  <si>
    <t>11 CTNS</t>
  </si>
  <si>
    <t>TKOKOS2603002</t>
  </si>
  <si>
    <t>WAN HAI 308</t>
  </si>
  <si>
    <t>S056</t>
  </si>
  <si>
    <t>TIIU5255945/ CFS-CFS</t>
  </si>
  <si>
    <t>91 PKGS</t>
  </si>
  <si>
    <t>STPHCMPNH264012</t>
  </si>
  <si>
    <t>MOTU0338116/ CFS-CFS</t>
  </si>
  <si>
    <t>14 BALES</t>
  </si>
  <si>
    <t xml:space="preserve"> STPSHASIH264001</t>
  </si>
  <si>
    <t>SITC CHANGDE</t>
  </si>
  <si>
    <t xml:space="preserve"> V-2608S</t>
  </si>
  <si>
    <t>TIIU4114243/ CFS-CFS</t>
  </si>
  <si>
    <t>40 'HC</t>
  </si>
  <si>
    <t>35 ROLLS</t>
  </si>
  <si>
    <t xml:space="preserve">GSF260305981FE </t>
  </si>
  <si>
    <t>MILLENNIUM BRIGHT</t>
  </si>
  <si>
    <t>092S</t>
  </si>
  <si>
    <t>CARGOLINK</t>
  </si>
  <si>
    <t>REGU5196620/ CFS-CFS</t>
  </si>
  <si>
    <t>3 CTNS</t>
  </si>
  <si>
    <t>ANT2604030</t>
  </si>
  <si>
    <t xml:space="preserve">AIR </t>
  </si>
  <si>
    <t>18  CTNS</t>
  </si>
  <si>
    <t>STPHKGSIH264006</t>
  </si>
  <si>
    <t>EVER WISH</t>
  </si>
  <si>
    <t>V-0348</t>
  </si>
  <si>
    <t>EGSU6216673/CFS-CFS</t>
  </si>
  <si>
    <t>129 PKGS</t>
  </si>
  <si>
    <t>STPHKGSIH264007</t>
  </si>
  <si>
    <t>188-48251696</t>
  </si>
  <si>
    <t>K6895</t>
  </si>
  <si>
    <t>1CTNS</t>
  </si>
  <si>
    <t xml:space="preserve"> VTC2026401</t>
  </si>
  <si>
    <t>95 PKGS</t>
  </si>
  <si>
    <t>STPSHASIH264015</t>
  </si>
  <si>
    <t>PALAWAN</t>
  </si>
  <si>
    <t xml:space="preserve"> V-032S</t>
  </si>
  <si>
    <t>TXGU5554404/CFS-CFS</t>
  </si>
  <si>
    <t>2 ROLLS</t>
  </si>
  <si>
    <t xml:space="preserve"> 695 5990 0702</t>
  </si>
  <si>
    <t>BR159</t>
  </si>
  <si>
    <t>TKEKOS2604006</t>
  </si>
  <si>
    <t>G. DRAGON</t>
  </si>
  <si>
    <t xml:space="preserve">  617S</t>
  </si>
  <si>
    <t>MSKU5565751/CFS-CFS</t>
  </si>
  <si>
    <t>5-2026</t>
  </si>
  <si>
    <t>32 PKGS</t>
  </si>
  <si>
    <t>STPHKGSIH264027</t>
  </si>
  <si>
    <t xml:space="preserve">EVER WEB </t>
  </si>
  <si>
    <t>V-0349</t>
  </si>
  <si>
    <t>EGSU9729561/CFS-CFS</t>
  </si>
  <si>
    <t>59 PKGS</t>
  </si>
  <si>
    <t>STPHKGSIH264028</t>
  </si>
  <si>
    <t>29 CTNS</t>
  </si>
  <si>
    <t>TKOKOS2604001</t>
  </si>
  <si>
    <t xml:space="preserve">SITC ZHEJIANG   </t>
  </si>
  <si>
    <t xml:space="preserve"> 2610S</t>
  </si>
  <si>
    <t>REGU5148220/CFS-CFS</t>
  </si>
  <si>
    <t>15 GB</t>
  </si>
  <si>
    <t>999-92305290</t>
  </si>
  <si>
    <t>ZH155</t>
  </si>
  <si>
    <t>27 PKGS</t>
  </si>
  <si>
    <t>STPSHASIH264022</t>
  </si>
  <si>
    <t>SITC SHANDONG</t>
  </si>
  <si>
    <t>SITU2675166/CFS-CFS</t>
  </si>
  <si>
    <t>20'GP</t>
  </si>
  <si>
    <t xml:space="preserve">33 PKGS </t>
  </si>
  <si>
    <t>STPSHASIH264021</t>
  </si>
  <si>
    <t>35 CTNS</t>
  </si>
  <si>
    <t>STPHCMPNH264035</t>
  </si>
  <si>
    <t>BY INLAND TRUCK</t>
  </si>
  <si>
    <t>Olair</t>
  </si>
  <si>
    <t>UESU2344699/CFS-CFS</t>
  </si>
  <si>
    <t>69 CTNS</t>
  </si>
  <si>
    <t>STPHCMPNH265001</t>
  </si>
  <si>
    <t>STPHKGSIH265010</t>
  </si>
  <si>
    <t>EVER WIZ</t>
  </si>
  <si>
    <t xml:space="preserve"> V-0351-019A</t>
  </si>
  <si>
    <t>EGHU3613122/CFS-CFS</t>
  </si>
  <si>
    <t>28 CTNS</t>
  </si>
  <si>
    <t>STPHKGSIH265009</t>
  </si>
  <si>
    <t>STPSHASIH264035</t>
  </si>
  <si>
    <t xml:space="preserve"> V-033S</t>
  </si>
  <si>
    <t>CAAU5992675/CFS-CFS</t>
  </si>
  <si>
    <t>STPSHASIH264036</t>
  </si>
  <si>
    <t>6-2026</t>
  </si>
  <si>
    <t xml:space="preserve">48 CTNS </t>
  </si>
  <si>
    <t>STPHKGSIH265022</t>
  </si>
  <si>
    <t>SITC ZHEJIANG</t>
  </si>
  <si>
    <t xml:space="preserve"> V-2612S</t>
  </si>
  <si>
    <t>CAIU4425200/CFS-CFS</t>
  </si>
  <si>
    <t>5 CTNS</t>
  </si>
  <si>
    <t>STPHKGSIH265023</t>
  </si>
  <si>
    <t>STPSHASIH265024</t>
  </si>
  <si>
    <t>SITC KANTO</t>
  </si>
  <si>
    <t>V-2612S</t>
  </si>
  <si>
    <t>HPCU5258987/CFS-CFS</t>
  </si>
  <si>
    <t>28 PKGS</t>
  </si>
  <si>
    <t>STPHKGSIH265047</t>
  </si>
  <si>
    <t>SITC XIANDE</t>
  </si>
  <si>
    <t>V-2614S</t>
  </si>
  <si>
    <t>REGU5243470/CFS-CFS</t>
  </si>
  <si>
    <t xml:space="preserve">8 PKGS </t>
  </si>
  <si>
    <t>STPSHASIH266002</t>
  </si>
  <si>
    <t>TLLU7730732/CFS-CFS</t>
  </si>
  <si>
    <t xml:space="preserve">129 PKGS </t>
  </si>
  <si>
    <t>STPSHASIH266001</t>
  </si>
  <si>
    <t>STPHCMPNH266011</t>
  </si>
  <si>
    <t>PREMIUM</t>
  </si>
  <si>
    <t>GESU5160562/CFS-CFS</t>
  </si>
  <si>
    <t>STPHCMPNH266013</t>
  </si>
  <si>
    <t>8 CTNS</t>
  </si>
  <si>
    <t>TKOKOS2605001</t>
  </si>
  <si>
    <t>016S</t>
  </si>
  <si>
    <t>REGU5202770 /CFS-CFS</t>
  </si>
  <si>
    <t>77 ROLLS</t>
  </si>
  <si>
    <t>TKEKOS2606005</t>
  </si>
  <si>
    <t>SHENG LI JI</t>
  </si>
  <si>
    <t xml:space="preserve"> 625S</t>
  </si>
  <si>
    <t>MSKU9378255/CFS-CFS</t>
  </si>
  <si>
    <t>22600106773</t>
  </si>
  <si>
    <t>STPPUSSIH266007</t>
  </si>
  <si>
    <t>SITC JUNDE</t>
  </si>
  <si>
    <t>BEAU4563355/CFS-CFS</t>
  </si>
  <si>
    <t>7-2026</t>
  </si>
  <si>
    <t>STPHKGSIH266025</t>
  </si>
  <si>
    <t xml:space="preserve">EVER WIZ </t>
  </si>
  <si>
    <t>V-0358-021A</t>
  </si>
  <si>
    <t>EGSU3864380/CFS-CFS</t>
  </si>
  <si>
    <t>75 PKGS</t>
  </si>
  <si>
    <t>STPHKGSIH266026</t>
  </si>
  <si>
    <t>26 PKGS</t>
  </si>
  <si>
    <t>HEH2600784</t>
  </si>
  <si>
    <t>INTERASIA</t>
  </si>
  <si>
    <t>S022</t>
  </si>
  <si>
    <t>100 PKGS</t>
  </si>
  <si>
    <t>STPSHASIH266016</t>
  </si>
  <si>
    <t>SITC ZHENGDE</t>
  </si>
  <si>
    <t>SELU4344094/CFS-CFS</t>
  </si>
  <si>
    <t>12 CTNS</t>
  </si>
  <si>
    <t>TKOKOS2606001</t>
  </si>
  <si>
    <t>TXGU8259070 /CFS-CFS</t>
  </si>
  <si>
    <t>14 PKGS</t>
  </si>
  <si>
    <t>112-06670381</t>
  </si>
  <si>
    <t>MU9609</t>
  </si>
  <si>
    <t>9 CTNS</t>
  </si>
  <si>
    <t>STPHCMPNH267002</t>
  </si>
  <si>
    <t>21 CTNS</t>
  </si>
  <si>
    <t>STPHCMPNH267001</t>
  </si>
  <si>
    <t>7 ROLLS</t>
  </si>
  <si>
    <t>TP2624962</t>
  </si>
  <si>
    <t>BR 265705</t>
  </si>
  <si>
    <t>STPSHASIH266018</t>
  </si>
  <si>
    <t>25 CTNS</t>
  </si>
  <si>
    <t>STPHKGSIH266037</t>
  </si>
  <si>
    <t>V-2616S</t>
  </si>
  <si>
    <t>18 CTNS</t>
  </si>
  <si>
    <t>STPHKGSIH266035</t>
  </si>
  <si>
    <t>3 PKGS</t>
  </si>
  <si>
    <t>DAE-TP2626513</t>
  </si>
  <si>
    <t>TKEKOS2607001</t>
  </si>
  <si>
    <t>628S</t>
  </si>
  <si>
    <t>54 PKGS</t>
  </si>
  <si>
    <t>TKEKOS2607002</t>
  </si>
  <si>
    <t>176 PKGS</t>
  </si>
  <si>
    <t>STPHCMPNH267009</t>
  </si>
  <si>
    <t>SC</t>
  </si>
  <si>
    <t>VSCU4500273/CFS-CF</t>
  </si>
  <si>
    <t xml:space="preserve">19PKGS </t>
  </si>
  <si>
    <t>STPHCMPNH267008</t>
  </si>
  <si>
    <t>10 PKGS</t>
  </si>
  <si>
    <t>DAE-TP2626343</t>
  </si>
  <si>
    <t>9 ROLLS</t>
  </si>
  <si>
    <t>DAE202607060</t>
  </si>
  <si>
    <t>DOPHIN</t>
  </si>
  <si>
    <t>82 PKGS</t>
  </si>
  <si>
    <t>STPHKGSIH267014</t>
  </si>
  <si>
    <t>V-090S</t>
  </si>
  <si>
    <t>FTAU2182080/CFS-CFS</t>
  </si>
  <si>
    <t>133 PKGS</t>
  </si>
  <si>
    <t>STPHKGSIH267013</t>
  </si>
  <si>
    <t>20 PKGS</t>
  </si>
  <si>
    <t>AP-2607004</t>
  </si>
  <si>
    <t>AP-2607005</t>
  </si>
  <si>
    <t>AR</t>
  </si>
  <si>
    <t>8-2026</t>
  </si>
  <si>
    <t>157 PKGS</t>
  </si>
  <si>
    <t>STPSHASIH267009</t>
  </si>
  <si>
    <t>SITU9066407/CFS-CFS</t>
  </si>
  <si>
    <t>GS26-326</t>
  </si>
  <si>
    <t>DIS365</t>
  </si>
  <si>
    <t>VFL2608001</t>
  </si>
  <si>
    <t>13 PKGS</t>
  </si>
  <si>
    <t>STPHCMPNH267019</t>
  </si>
  <si>
    <t>GS26-329</t>
  </si>
  <si>
    <t>DIS368</t>
  </si>
  <si>
    <t>SAK2608001</t>
  </si>
  <si>
    <t>STPHCMPNH267018</t>
  </si>
  <si>
    <t>GS26-330</t>
  </si>
  <si>
    <t>DIS369</t>
  </si>
  <si>
    <t>VFL2608002</t>
  </si>
  <si>
    <t>12 BG</t>
  </si>
  <si>
    <t>JY2607158</t>
  </si>
  <si>
    <t>GS26-334</t>
  </si>
  <si>
    <t>DIS373</t>
  </si>
  <si>
    <t>SAK2608004</t>
  </si>
  <si>
    <t>87 PKGS</t>
  </si>
  <si>
    <t xml:space="preserve"> KTC-3306 9761</t>
  </si>
  <si>
    <t>BR 177</t>
  </si>
  <si>
    <t>JMG</t>
  </si>
  <si>
    <t>GS26-331</t>
  </si>
  <si>
    <t>DIS370</t>
  </si>
  <si>
    <t>VFL2608003</t>
  </si>
  <si>
    <t>10 BG</t>
  </si>
  <si>
    <t>733-10162865</t>
  </si>
  <si>
    <t>KR964</t>
  </si>
  <si>
    <t>I 23273</t>
  </si>
  <si>
    <t>GS26-335</t>
  </si>
  <si>
    <t>DIS374</t>
  </si>
  <si>
    <t>VFL2608004</t>
  </si>
  <si>
    <t>5 PKGS</t>
  </si>
  <si>
    <t>STPHKGSIH267033</t>
  </si>
  <si>
    <t>STPHKGSIH267032</t>
  </si>
  <si>
    <t>VTC20261015</t>
  </si>
  <si>
    <t>158 PKGS</t>
  </si>
  <si>
    <t>STPSHASIH267021</t>
  </si>
  <si>
    <t>I 117276</t>
  </si>
  <si>
    <t>Month</t>
  </si>
  <si>
    <t>CLIENT</t>
  </si>
  <si>
    <t>SO/AWB</t>
  </si>
  <si>
    <t>CTNR</t>
  </si>
  <si>
    <t>DECLARE NO:</t>
  </si>
  <si>
    <t>SPORTLINE</t>
  </si>
  <si>
    <t>APNH2600105</t>
  </si>
  <si>
    <t>GERMANY</t>
  </si>
  <si>
    <t>APNH2600103</t>
  </si>
  <si>
    <t>UK</t>
  </si>
  <si>
    <t>JAPAN</t>
  </si>
  <si>
    <t>OOCU0367321</t>
  </si>
  <si>
    <t>PNH</t>
  </si>
  <si>
    <t>USA</t>
  </si>
  <si>
    <t xml:space="preserve"> E 36275</t>
  </si>
  <si>
    <t>QTY</t>
  </si>
  <si>
    <t>93 CTNS</t>
  </si>
  <si>
    <t>72 CTNS</t>
  </si>
  <si>
    <t>E 36285</t>
  </si>
  <si>
    <t>GS26-332</t>
  </si>
  <si>
    <t>DIS371</t>
  </si>
  <si>
    <t>SAK2608002</t>
  </si>
  <si>
    <t>GS26-333</t>
  </si>
  <si>
    <t>DIS372</t>
  </si>
  <si>
    <t>SAK2608003</t>
  </si>
  <si>
    <t xml:space="preserve">SITC KEELUNG </t>
  </si>
  <si>
    <t>V-2618S</t>
  </si>
  <si>
    <t>TIIU8133447/CFS-CFS</t>
  </si>
  <si>
    <t>MRKU3072311</t>
  </si>
  <si>
    <t>MRKU9303655</t>
  </si>
  <si>
    <t>SEAL-CUS</t>
  </si>
  <si>
    <t>I 96700</t>
  </si>
  <si>
    <t>GS26-263</t>
  </si>
  <si>
    <t>DIS295</t>
  </si>
  <si>
    <t>SAK2607003</t>
  </si>
  <si>
    <t>I 2335</t>
  </si>
  <si>
    <t>GS26-275</t>
  </si>
  <si>
    <t>GS26-282</t>
  </si>
  <si>
    <t>GS26-211</t>
  </si>
  <si>
    <t>DIS307</t>
  </si>
  <si>
    <t>SAK2607007</t>
  </si>
  <si>
    <t>I 1767</t>
  </si>
  <si>
    <t>DIS312</t>
  </si>
  <si>
    <t>SAK2607008</t>
  </si>
  <si>
    <t>I 2483</t>
  </si>
  <si>
    <t>DIS322</t>
  </si>
  <si>
    <t>SAK207009</t>
  </si>
  <si>
    <t>I 104042</t>
  </si>
  <si>
    <t>GS26-280</t>
  </si>
  <si>
    <t>GS26-292</t>
  </si>
  <si>
    <t>GS26-290</t>
  </si>
  <si>
    <t>DIS324</t>
  </si>
  <si>
    <t>SAK2607010</t>
  </si>
  <si>
    <t>I 1879</t>
  </si>
  <si>
    <t>GS26-304</t>
  </si>
  <si>
    <t>DIS336</t>
  </si>
  <si>
    <t>SAK2607012</t>
  </si>
  <si>
    <t>I 2651</t>
  </si>
  <si>
    <t>GS26-315</t>
  </si>
  <si>
    <t>DIS315</t>
  </si>
  <si>
    <t>SAK2607017</t>
  </si>
  <si>
    <t>I 22648</t>
  </si>
  <si>
    <t>GS26-324</t>
  </si>
  <si>
    <t>DIS356</t>
  </si>
  <si>
    <t>SAK2607023</t>
  </si>
  <si>
    <t>GS26-259</t>
  </si>
  <si>
    <t>DIS291</t>
  </si>
  <si>
    <t>SAK2607001</t>
  </si>
  <si>
    <t>I 95925</t>
  </si>
  <si>
    <t>I 104056</t>
  </si>
  <si>
    <t>GS26-293</t>
  </si>
  <si>
    <t>DIS325</t>
  </si>
  <si>
    <t>VFL2607012</t>
  </si>
  <si>
    <t>I 2482</t>
  </si>
  <si>
    <t>GS26-289</t>
  </si>
  <si>
    <t>DIS319</t>
  </si>
  <si>
    <t>VFL2607011</t>
  </si>
  <si>
    <t>I 20586</t>
  </si>
  <si>
    <t>GS26-286</t>
  </si>
  <si>
    <t>DIS318</t>
  </si>
  <si>
    <t>VFL2607010</t>
  </si>
  <si>
    <t>I 20128</t>
  </si>
  <si>
    <t>DIS313</t>
  </si>
  <si>
    <t>VFL26-07009</t>
  </si>
  <si>
    <t>I 99763</t>
  </si>
  <si>
    <t>GS26-297</t>
  </si>
  <si>
    <t>DIS311</t>
  </si>
  <si>
    <t>VFL2607008</t>
  </si>
  <si>
    <t>VFL2607004</t>
  </si>
  <si>
    <t>I 1768</t>
  </si>
  <si>
    <t>GS26-278</t>
  </si>
  <si>
    <t>DIS310</t>
  </si>
  <si>
    <t>VFL2607007</t>
  </si>
  <si>
    <t>VFL2607017</t>
  </si>
  <si>
    <t>I 21349</t>
  </si>
  <si>
    <t>GS26-299</t>
  </si>
  <si>
    <t>DIS328</t>
  </si>
  <si>
    <t>VFL2607014</t>
  </si>
  <si>
    <t>I 21352</t>
  </si>
  <si>
    <t>GS26-300</t>
  </si>
  <si>
    <t>DIS329</t>
  </si>
  <si>
    <t>I 1875</t>
  </si>
  <si>
    <t>GS26-303</t>
  </si>
  <si>
    <t>DIS335</t>
  </si>
  <si>
    <t>VFL2607016</t>
  </si>
  <si>
    <t>I 2652</t>
  </si>
  <si>
    <t>GS26-316</t>
  </si>
  <si>
    <t>DIS316</t>
  </si>
  <si>
    <t>I 22282</t>
  </si>
  <si>
    <t>GS26-317</t>
  </si>
  <si>
    <t>DIS349</t>
  </si>
  <si>
    <t>VFL2607018</t>
  </si>
  <si>
    <t>I 2332</t>
  </si>
  <si>
    <t>GS26-276</t>
  </si>
  <si>
    <t>DIS308</t>
  </si>
  <si>
    <t>VFL2607005</t>
  </si>
  <si>
    <t>I 98539</t>
  </si>
  <si>
    <t>GS26-277</t>
  </si>
  <si>
    <t>DIS309</t>
  </si>
  <si>
    <t>VFL2607006</t>
  </si>
  <si>
    <t>I 19480</t>
  </si>
  <si>
    <t>GS26-272</t>
  </si>
  <si>
    <t>DIS304</t>
  </si>
  <si>
    <t>VFL2607015</t>
  </si>
  <si>
    <t>I 1735</t>
  </si>
  <si>
    <t>DIS231</t>
  </si>
  <si>
    <t>SAK2606001</t>
  </si>
  <si>
    <t>I 86496</t>
  </si>
  <si>
    <t>GS26-235</t>
  </si>
  <si>
    <t>DIS255</t>
  </si>
  <si>
    <t>SAK2606005</t>
  </si>
  <si>
    <t>I 2091</t>
  </si>
  <si>
    <t>GS26-238</t>
  </si>
  <si>
    <t>DIS258</t>
  </si>
  <si>
    <t>SAK2606007</t>
  </si>
  <si>
    <t>I 91062</t>
  </si>
  <si>
    <t>I 91069</t>
  </si>
  <si>
    <t>GS26-240</t>
  </si>
  <si>
    <t>DIS260</t>
  </si>
  <si>
    <t>SAK2606009</t>
  </si>
  <si>
    <t>I 625</t>
  </si>
  <si>
    <t>I 18502</t>
  </si>
  <si>
    <t>I 626</t>
  </si>
  <si>
    <t>I 1733</t>
  </si>
  <si>
    <t>I 91080</t>
  </si>
  <si>
    <t>I 92883</t>
  </si>
  <si>
    <t>I 95338</t>
  </si>
  <si>
    <t>GS26-242</t>
  </si>
  <si>
    <t>DIS262</t>
  </si>
  <si>
    <t>SAK2606010</t>
  </si>
  <si>
    <t xml:space="preserve"> GS26-239 </t>
  </si>
  <si>
    <t xml:space="preserve"> DIS259 </t>
  </si>
  <si>
    <t xml:space="preserve"> SAK2606008 </t>
  </si>
  <si>
    <t>GS26-244</t>
  </si>
  <si>
    <t>DIS264</t>
  </si>
  <si>
    <t>SAK2606011</t>
  </si>
  <si>
    <t>GS26-210</t>
  </si>
  <si>
    <t>DIS230</t>
  </si>
  <si>
    <t>VFL2606001</t>
  </si>
  <si>
    <t>GS26-241</t>
  </si>
  <si>
    <t>DIS261</t>
  </si>
  <si>
    <t>VFL2606015</t>
  </si>
  <si>
    <t>GS26-243</t>
  </si>
  <si>
    <t>DIS263</t>
  </si>
  <si>
    <t>VFL2606016</t>
  </si>
  <si>
    <t>GS26-248</t>
  </si>
  <si>
    <t>DIS268</t>
  </si>
  <si>
    <t>VFL2606017</t>
  </si>
  <si>
    <t>GS26-252</t>
  </si>
  <si>
    <t>DIS279</t>
  </si>
  <si>
    <t>VFL2606018</t>
  </si>
  <si>
    <t>GS26-171</t>
  </si>
  <si>
    <t>DIS182</t>
  </si>
  <si>
    <t>SAK2605001</t>
  </si>
  <si>
    <t>GS26-179</t>
  </si>
  <si>
    <t>DIS190</t>
  </si>
  <si>
    <t>SAK2605004</t>
  </si>
  <si>
    <t>GS26-180</t>
  </si>
  <si>
    <t>DIS191</t>
  </si>
  <si>
    <t>SAK2605005</t>
  </si>
  <si>
    <t>I 1561</t>
  </si>
  <si>
    <t>I 1522</t>
  </si>
  <si>
    <t>I 71890</t>
  </si>
  <si>
    <t>GS26-178</t>
  </si>
  <si>
    <t>DIS189</t>
  </si>
  <si>
    <t>SAK2605003</t>
  </si>
  <si>
    <t>GS26-185</t>
  </si>
  <si>
    <t>DIS196</t>
  </si>
  <si>
    <t>SAK2605006</t>
  </si>
  <si>
    <t>GS26-189</t>
  </si>
  <si>
    <t>DIS200</t>
  </si>
  <si>
    <t>SAK2605007</t>
  </si>
  <si>
    <t>GS26-194</t>
  </si>
  <si>
    <t>DIS205</t>
  </si>
  <si>
    <t>SAK2605010</t>
  </si>
  <si>
    <t>DIS192</t>
  </si>
  <si>
    <t>I 1298</t>
  </si>
  <si>
    <t>I 64237</t>
  </si>
  <si>
    <t>I 1557</t>
  </si>
  <si>
    <t>I 1521</t>
  </si>
  <si>
    <t>I 72096</t>
  </si>
  <si>
    <t>GS26-181</t>
  </si>
  <si>
    <t>VFL2605002</t>
  </si>
  <si>
    <t>GS26-182</t>
  </si>
  <si>
    <t>DIS193</t>
  </si>
  <si>
    <t>VFL2605003</t>
  </si>
  <si>
    <t>GS26-186</t>
  </si>
  <si>
    <t>DIS197</t>
  </si>
  <si>
    <t>VFL2605004</t>
  </si>
  <si>
    <t>GS26-190</t>
  </si>
  <si>
    <t>DIS201</t>
  </si>
  <si>
    <t>VFL2605005</t>
  </si>
  <si>
    <t>GS26-195</t>
  </si>
  <si>
    <t>DIS206</t>
  </si>
  <si>
    <t>VFL2605006</t>
  </si>
  <si>
    <t>I 21</t>
  </si>
  <si>
    <t>GS26-003</t>
  </si>
  <si>
    <t>DIS003</t>
  </si>
  <si>
    <t>VFL2601003</t>
  </si>
  <si>
    <t>I 342</t>
  </si>
  <si>
    <t>GS26-005</t>
  </si>
  <si>
    <t>DIS005</t>
  </si>
  <si>
    <t>VFL2601005</t>
  </si>
  <si>
    <t>I 2739</t>
  </si>
  <si>
    <t>GS26-033</t>
  </si>
  <si>
    <t>DIS033</t>
  </si>
  <si>
    <t>VFL2601018</t>
  </si>
  <si>
    <t>I 12059</t>
  </si>
  <si>
    <t>GS26-029</t>
  </si>
  <si>
    <t>DIS029</t>
  </si>
  <si>
    <t>VFL2601017</t>
  </si>
  <si>
    <t>I 1541</t>
  </si>
  <si>
    <t>GS26-023</t>
  </si>
  <si>
    <t>DIS023</t>
  </si>
  <si>
    <t>VFL2601012</t>
  </si>
  <si>
    <t>I 361</t>
  </si>
  <si>
    <t>GS26-027</t>
  </si>
  <si>
    <t>DIS027</t>
  </si>
  <si>
    <t>VFL2601015</t>
  </si>
  <si>
    <t>I 1202</t>
  </si>
  <si>
    <t>GS26-018</t>
  </si>
  <si>
    <t>DIS018</t>
  </si>
  <si>
    <t>VFL2601010</t>
  </si>
  <si>
    <t>I 595</t>
  </si>
  <si>
    <t>GS26-012</t>
  </si>
  <si>
    <t>DIS012</t>
  </si>
  <si>
    <t>VFL2601009</t>
  </si>
  <si>
    <t>I 242</t>
  </si>
  <si>
    <t>GS26-019</t>
  </si>
  <si>
    <t>DIS019</t>
  </si>
  <si>
    <t>SAK2601003</t>
  </si>
  <si>
    <t>I 420</t>
  </si>
  <si>
    <t>I 4343</t>
  </si>
  <si>
    <t>I 586</t>
  </si>
  <si>
    <t>I 26265</t>
  </si>
  <si>
    <t>I 26270</t>
  </si>
  <si>
    <t>I 32157</t>
  </si>
  <si>
    <t>GS26-041</t>
  </si>
  <si>
    <t>DIS043</t>
  </si>
  <si>
    <t>VFL2602002</t>
  </si>
  <si>
    <t>GS26-049</t>
  </si>
  <si>
    <t>DIS051</t>
  </si>
  <si>
    <t>VFL2602005</t>
  </si>
  <si>
    <t>GS26-052</t>
  </si>
  <si>
    <t>DIS054</t>
  </si>
  <si>
    <t>VFL2602006</t>
  </si>
  <si>
    <t>GS26-055</t>
  </si>
  <si>
    <t>DIS057</t>
  </si>
  <si>
    <t>VFL2602007</t>
  </si>
  <si>
    <t>GS26-056</t>
  </si>
  <si>
    <t>DIS058</t>
  </si>
  <si>
    <t>VFL2602008</t>
  </si>
  <si>
    <t>GS26-069</t>
  </si>
  <si>
    <t>DIS071</t>
  </si>
  <si>
    <t>VFL2602009</t>
  </si>
  <si>
    <t>I 491</t>
  </si>
  <si>
    <t>I 3378</t>
  </si>
  <si>
    <t>GS26-038</t>
  </si>
  <si>
    <t>DIS040</t>
  </si>
  <si>
    <t>SAK2602001</t>
  </si>
  <si>
    <t>GS26-039</t>
  </si>
  <si>
    <t>DIS041</t>
  </si>
  <si>
    <t>SAK2602002</t>
  </si>
  <si>
    <t>I 421</t>
  </si>
  <si>
    <t>GS26-042</t>
  </si>
  <si>
    <t>DIS044</t>
  </si>
  <si>
    <t>SAK2602003</t>
  </si>
  <si>
    <t>I 588</t>
  </si>
  <si>
    <t>GS26-051</t>
  </si>
  <si>
    <t>DIS053</t>
  </si>
  <si>
    <t>SAK2602005</t>
  </si>
  <si>
    <t>I 26260</t>
  </si>
  <si>
    <t>GS26-058</t>
  </si>
  <si>
    <t>DIS060</t>
  </si>
  <si>
    <t>SAK2602006</t>
  </si>
  <si>
    <t>I 32164</t>
  </si>
  <si>
    <t>GS26-070</t>
  </si>
  <si>
    <t>DIS072</t>
  </si>
  <si>
    <t>SAK2602008</t>
  </si>
  <si>
    <t>I 839</t>
  </si>
  <si>
    <t>GS26-085</t>
  </si>
  <si>
    <t>DIS087</t>
  </si>
  <si>
    <t>SAK2603001</t>
  </si>
  <si>
    <t>I 35751</t>
  </si>
  <si>
    <t>GS26-088</t>
  </si>
  <si>
    <t>DIS090</t>
  </si>
  <si>
    <t>SAK2603002</t>
  </si>
  <si>
    <t>I 36309</t>
  </si>
  <si>
    <t>GS26-097</t>
  </si>
  <si>
    <t>DIS099</t>
  </si>
  <si>
    <t>SAK2603004</t>
  </si>
  <si>
    <t>I 770</t>
  </si>
  <si>
    <t>GS26-099</t>
  </si>
  <si>
    <t>DIS101</t>
  </si>
  <si>
    <t>SAK2603005</t>
  </si>
  <si>
    <t>I 35753</t>
  </si>
  <si>
    <t>GS26-089</t>
  </si>
  <si>
    <t>DIS091</t>
  </si>
  <si>
    <t>SAK2603003</t>
  </si>
  <si>
    <t>I 37897</t>
  </si>
  <si>
    <t>SAK2603013</t>
  </si>
  <si>
    <t>GS26-102</t>
  </si>
  <si>
    <t>DIS104</t>
  </si>
  <si>
    <t>SAK2603006</t>
  </si>
  <si>
    <t>I 971</t>
  </si>
  <si>
    <t>GS26-111</t>
  </si>
  <si>
    <t>DIS113</t>
  </si>
  <si>
    <t>SAK2603011</t>
  </si>
  <si>
    <t>I 41824</t>
  </si>
  <si>
    <t>I 881</t>
  </si>
  <si>
    <t>GS26-115</t>
  </si>
  <si>
    <t>DIS117</t>
  </si>
  <si>
    <t>GS26-114</t>
  </si>
  <si>
    <t>DIS116</t>
  </si>
  <si>
    <t>SAK2603012</t>
  </si>
  <si>
    <t>I 6739</t>
  </si>
  <si>
    <t>I 6742</t>
  </si>
  <si>
    <t>I 837</t>
  </si>
  <si>
    <t>I 7165</t>
  </si>
  <si>
    <t>I 769</t>
  </si>
  <si>
    <t>I 36325</t>
  </si>
  <si>
    <t>I 37892</t>
  </si>
  <si>
    <t>I 37893</t>
  </si>
  <si>
    <t>I 8428</t>
  </si>
  <si>
    <t>I 40726</t>
  </si>
  <si>
    <t>I 879</t>
  </si>
  <si>
    <t>GS26-113</t>
  </si>
  <si>
    <t>DIS115</t>
  </si>
  <si>
    <t>VFL2603018</t>
  </si>
  <si>
    <t>GS26-112</t>
  </si>
  <si>
    <t>DIS114</t>
  </si>
  <si>
    <t>VFL2603017</t>
  </si>
  <si>
    <t>GS26-110</t>
  </si>
  <si>
    <t>DIS112</t>
  </si>
  <si>
    <t>VFL2603016</t>
  </si>
  <si>
    <t>GS26-101</t>
  </si>
  <si>
    <t>DIS103</t>
  </si>
  <si>
    <t>VFL2603015</t>
  </si>
  <si>
    <t>GS26-100</t>
  </si>
  <si>
    <t>DIS102</t>
  </si>
  <si>
    <t>VFL2603014</t>
  </si>
  <si>
    <t>GS26-093</t>
  </si>
  <si>
    <t>DIS095</t>
  </si>
  <si>
    <t>VFL2603012</t>
  </si>
  <si>
    <t>GS26-087</t>
  </si>
  <si>
    <t>DIS089</t>
  </si>
  <si>
    <t>VFL2603008</t>
  </si>
  <si>
    <t>GS26-098</t>
  </si>
  <si>
    <t>DIS100</t>
  </si>
  <si>
    <t>VFL2603013</t>
  </si>
  <si>
    <t>GS26-084</t>
  </si>
  <si>
    <t>DIS086</t>
  </si>
  <si>
    <t>VFL2603006</t>
  </si>
  <si>
    <t>GS26-083</t>
  </si>
  <si>
    <t>DIS085</t>
  </si>
  <si>
    <t>VFL2603005</t>
  </si>
  <si>
    <t>GS26-082</t>
  </si>
  <si>
    <t>DIS084</t>
  </si>
  <si>
    <t>VFL2603004</t>
  </si>
  <si>
    <t>I 10151</t>
  </si>
  <si>
    <t>GS26-128</t>
  </si>
  <si>
    <t>DIS137</t>
  </si>
  <si>
    <t>SAK2604001</t>
  </si>
  <si>
    <t>I 10534</t>
  </si>
  <si>
    <t>GS26-133</t>
  </si>
  <si>
    <t>DIS142</t>
  </si>
  <si>
    <t>SAK2604003</t>
  </si>
  <si>
    <t>I 53023</t>
  </si>
  <si>
    <t>GS26-144</t>
  </si>
  <si>
    <t>DIS153</t>
  </si>
  <si>
    <t>SAK2604006</t>
  </si>
  <si>
    <t>I 1211</t>
  </si>
  <si>
    <t>GS26-143</t>
  </si>
  <si>
    <t>DIS152</t>
  </si>
  <si>
    <t>SAK2604005</t>
  </si>
  <si>
    <t>I 1160</t>
  </si>
  <si>
    <t>GS26-156</t>
  </si>
  <si>
    <t>DIS165</t>
  </si>
  <si>
    <t>SAK2604008</t>
  </si>
  <si>
    <t>I 60060</t>
  </si>
  <si>
    <t>I 12076</t>
  </si>
  <si>
    <t>GS26-160</t>
  </si>
  <si>
    <t>DIS169</t>
  </si>
  <si>
    <t>SAK2604009</t>
  </si>
  <si>
    <t>GS26-165</t>
  </si>
  <si>
    <t>DIS174</t>
  </si>
  <si>
    <t>SAK2604010</t>
  </si>
  <si>
    <t>I 44741</t>
  </si>
  <si>
    <t>GS26-120</t>
  </si>
  <si>
    <t>DIS129</t>
  </si>
  <si>
    <t>VFL2604002</t>
  </si>
  <si>
    <t>I 52781</t>
  </si>
  <si>
    <t>I 52998</t>
  </si>
  <si>
    <t>GS26-145</t>
  </si>
  <si>
    <t>DIS154</t>
  </si>
  <si>
    <t>VFL2604007</t>
  </si>
  <si>
    <t>GS26-146</t>
  </si>
  <si>
    <t>DIS155</t>
  </si>
  <si>
    <t>VFL2604008</t>
  </si>
  <si>
    <t>I 11292</t>
  </si>
  <si>
    <t>GS26-148</t>
  </si>
  <si>
    <t>DIS157</t>
  </si>
  <si>
    <t>VFL2604009</t>
  </si>
  <si>
    <t>I 1157</t>
  </si>
  <si>
    <t>GS26-157</t>
  </si>
  <si>
    <t>DIS166</t>
  </si>
  <si>
    <t>VFL2604012</t>
  </si>
  <si>
    <t>I 11632</t>
  </si>
  <si>
    <t>GS26-153</t>
  </si>
  <si>
    <t>DIS162</t>
  </si>
  <si>
    <t>VFL2604011</t>
  </si>
  <si>
    <t>I 10242</t>
  </si>
  <si>
    <t>GS26-158</t>
  </si>
  <si>
    <t>DIS167</t>
  </si>
  <si>
    <t>VFL2604013</t>
  </si>
  <si>
    <t>2335883180</t>
  </si>
  <si>
    <t>274298164</t>
  </si>
  <si>
    <t>2026423099</t>
  </si>
  <si>
    <t>2026437872</t>
  </si>
  <si>
    <t>2026437871</t>
  </si>
  <si>
    <t>SITC SHANGDE</t>
  </si>
  <si>
    <t>STPHCUPMi25C006</t>
  </si>
  <si>
    <t>23 CTNS</t>
  </si>
  <si>
    <t>I 23</t>
  </si>
  <si>
    <t>GS26-004</t>
  </si>
  <si>
    <t>DIS004</t>
  </si>
  <si>
    <t>VFL2601004</t>
  </si>
  <si>
    <t>255 CTNS</t>
  </si>
  <si>
    <t>1257 CTNS</t>
  </si>
  <si>
    <t>40' HQ</t>
  </si>
  <si>
    <t>DATE</t>
  </si>
  <si>
    <t>VOLUME</t>
  </si>
  <si>
    <t>POL</t>
  </si>
  <si>
    <t>POD</t>
  </si>
  <si>
    <t>GROSS WEIGHT:</t>
  </si>
  <si>
    <t>78 CTNS</t>
  </si>
  <si>
    <t>STPHCMPNH268001</t>
  </si>
  <si>
    <t>UESU4763800/CFS-CFS</t>
  </si>
  <si>
    <t>I 1961</t>
  </si>
  <si>
    <t>I 23070</t>
  </si>
  <si>
    <t>I 111738</t>
  </si>
  <si>
    <t>I 1960</t>
  </si>
  <si>
    <t>I 23221</t>
  </si>
  <si>
    <t>I 2793</t>
  </si>
  <si>
    <t>E 241907</t>
  </si>
  <si>
    <t>I 21609</t>
  </si>
  <si>
    <t>I 2792</t>
  </si>
  <si>
    <t>E 245475</t>
  </si>
  <si>
    <t>GS26-342</t>
  </si>
  <si>
    <t>DIS381</t>
  </si>
  <si>
    <t>SAK2608006</t>
  </si>
  <si>
    <t>GS26-343</t>
  </si>
  <si>
    <t>DIS382</t>
  </si>
  <si>
    <t>VFL2608008</t>
  </si>
  <si>
    <t>GS26-338</t>
  </si>
  <si>
    <t>DIS377</t>
  </si>
  <si>
    <t>SAK2608005</t>
  </si>
  <si>
    <t>GS26-337</t>
  </si>
  <si>
    <t>DIS376</t>
  </si>
  <si>
    <t>VFL2608006</t>
  </si>
  <si>
    <t>GS26-336</t>
  </si>
  <si>
    <t>DIS375</t>
  </si>
  <si>
    <t>VFL2608005</t>
  </si>
  <si>
    <t>GS26-341</t>
  </si>
  <si>
    <t>DIS380</t>
  </si>
  <si>
    <t>VFL2608007</t>
  </si>
  <si>
    <t>40'GP</t>
  </si>
  <si>
    <t>STPHKGSIH268007</t>
  </si>
  <si>
    <t>119 PKGS</t>
  </si>
  <si>
    <t>V-2620S</t>
  </si>
  <si>
    <t>REGU1278416/CFS-CFS</t>
  </si>
  <si>
    <t>Mark</t>
  </si>
  <si>
    <t>OT document</t>
  </si>
  <si>
    <t>I 2063</t>
  </si>
  <si>
    <t>TBKKOS2607001</t>
  </si>
  <si>
    <t>INCEDA</t>
  </si>
  <si>
    <t>052N</t>
  </si>
  <si>
    <t>NYKU3932851/ CFS-CFS</t>
  </si>
  <si>
    <t>ZIMUPKH003138953</t>
  </si>
  <si>
    <t>21 BAGES</t>
  </si>
  <si>
    <t>989 88887772</t>
  </si>
  <si>
    <t>ZA63d</t>
  </si>
  <si>
    <t>53 BALES</t>
  </si>
  <si>
    <t>TEMU6588427</t>
  </si>
  <si>
    <t>A4261165379</t>
  </si>
  <si>
    <t>LOADING/CHECK IN</t>
  </si>
  <si>
    <t>GS26-345</t>
  </si>
  <si>
    <t>DIS384</t>
  </si>
  <si>
    <t>VFL2608009</t>
  </si>
  <si>
    <t>I 125081</t>
  </si>
  <si>
    <t>PNHAE2600040</t>
  </si>
  <si>
    <t>42 CTNS</t>
  </si>
  <si>
    <t>NORWAY</t>
  </si>
  <si>
    <t>746 CTNS</t>
  </si>
  <si>
    <t>ETD/Flight</t>
  </si>
  <si>
    <t>2337460930</t>
  </si>
  <si>
    <t>9-2026</t>
  </si>
  <si>
    <t>275688364</t>
  </si>
  <si>
    <t>19 BAGS</t>
  </si>
  <si>
    <t>089-00687886</t>
  </si>
  <si>
    <t>9C7095</t>
  </si>
  <si>
    <t>2026461395</t>
  </si>
  <si>
    <t>UETU5885772</t>
  </si>
  <si>
    <t>GS26-351</t>
  </si>
  <si>
    <t>DIS390</t>
  </si>
  <si>
    <t>VFL2608011</t>
  </si>
  <si>
    <t>GS26-350</t>
  </si>
  <si>
    <t>DIS389</t>
  </si>
  <si>
    <t>VFL2608010</t>
  </si>
  <si>
    <t>GS26-354</t>
  </si>
  <si>
    <t>DIS393</t>
  </si>
  <si>
    <t>VFL2608012</t>
  </si>
  <si>
    <t>I 2934</t>
  </si>
  <si>
    <t>I 25544</t>
  </si>
  <si>
    <t>E 42843</t>
  </si>
  <si>
    <t>E 257554</t>
  </si>
  <si>
    <t>E 264560</t>
  </si>
  <si>
    <t>STPHKGSIH268027</t>
  </si>
  <si>
    <t>87CTNS</t>
  </si>
  <si>
    <t>V-094S</t>
  </si>
  <si>
    <t>CHAY DA</t>
  </si>
  <si>
    <t>STPHKGSIH268028</t>
  </si>
  <si>
    <t>42 PKGS</t>
  </si>
  <si>
    <t>672 CTNS</t>
  </si>
  <si>
    <t>GS26-357</t>
  </si>
  <si>
    <t>SAK2608008</t>
  </si>
  <si>
    <t>DIS395</t>
  </si>
  <si>
    <t>SAK2608007</t>
  </si>
  <si>
    <t>55 PKGS</t>
  </si>
  <si>
    <t>HEH2601113</t>
  </si>
  <si>
    <t>S038</t>
  </si>
  <si>
    <t>40HC</t>
  </si>
  <si>
    <t>REGU5247835</t>
  </si>
  <si>
    <t>772KH2609878</t>
  </si>
  <si>
    <t>210 PKGS</t>
  </si>
  <si>
    <t>STPSHASIH268012</t>
  </si>
  <si>
    <t>SITC XIN</t>
  </si>
  <si>
    <t>I 129538</t>
  </si>
  <si>
    <t>APNH2600118</t>
  </si>
  <si>
    <t>APNH2600117</t>
  </si>
  <si>
    <t>126 CTNS</t>
  </si>
  <si>
    <t>E 44677</t>
  </si>
  <si>
    <t>E 44700</t>
  </si>
  <si>
    <t>117 CTNS</t>
  </si>
  <si>
    <t>MRSU2487960</t>
  </si>
  <si>
    <t>TRHU5628940/CFS-CFS</t>
  </si>
  <si>
    <t>625 CTNS</t>
  </si>
  <si>
    <t xml:space="preserve"> 949 CTNS</t>
  </si>
  <si>
    <t>MSCU5281680</t>
  </si>
  <si>
    <t>I 130973</t>
  </si>
  <si>
    <t>1 ROLL</t>
  </si>
  <si>
    <t>160 1683 3515</t>
  </si>
  <si>
    <t>CX655</t>
  </si>
  <si>
    <t>Truck by Forwarder</t>
  </si>
  <si>
    <t>Truck by F.W UPS</t>
  </si>
  <si>
    <t>2026494894</t>
  </si>
  <si>
    <t>2026478569</t>
  </si>
  <si>
    <t>HEH2601171</t>
  </si>
  <si>
    <t>2622S</t>
  </si>
  <si>
    <t>FFAU7695026</t>
  </si>
  <si>
    <t>I 132713</t>
  </si>
  <si>
    <t>I 26400</t>
  </si>
  <si>
    <t>I 1971</t>
  </si>
  <si>
    <t>I 1970</t>
  </si>
  <si>
    <t>I 27394</t>
  </si>
  <si>
    <t>E 273634</t>
  </si>
  <si>
    <t>E 273293</t>
  </si>
  <si>
    <t>GS26-369</t>
  </si>
  <si>
    <t>DIS412</t>
  </si>
  <si>
    <t>VFL2609006</t>
  </si>
  <si>
    <t>GS26-371</t>
  </si>
  <si>
    <t>DIS414</t>
  </si>
  <si>
    <t>VFL2609007</t>
  </si>
  <si>
    <t>GS26-367</t>
  </si>
  <si>
    <t>GS26-372</t>
  </si>
  <si>
    <t>DIS415</t>
  </si>
  <si>
    <t>DIS10</t>
  </si>
  <si>
    <t>VFL2609003</t>
  </si>
  <si>
    <t>VFL2609004</t>
  </si>
  <si>
    <t>VFL2609005</t>
  </si>
  <si>
    <t>SAK2609004</t>
  </si>
  <si>
    <t>GS26-365</t>
  </si>
  <si>
    <t>DIS408</t>
  </si>
  <si>
    <t>GS26-358</t>
  </si>
  <si>
    <t>DIS401</t>
  </si>
  <si>
    <t>VFL2609001</t>
  </si>
  <si>
    <t>GS26-364</t>
  </si>
  <si>
    <t>DIS407</t>
  </si>
  <si>
    <t>GS26-363</t>
  </si>
  <si>
    <t>DIS406</t>
  </si>
  <si>
    <t>SAK2609003</t>
  </si>
  <si>
    <t>SAK2609005</t>
  </si>
  <si>
    <t>GS26-361</t>
  </si>
  <si>
    <t>DIS404</t>
  </si>
  <si>
    <t>SAK2609001</t>
  </si>
  <si>
    <t>GS26-362</t>
  </si>
  <si>
    <t>DIS405</t>
  </si>
  <si>
    <t>GS26-368</t>
  </si>
  <si>
    <t>DIS411</t>
  </si>
  <si>
    <t>GS26-359</t>
  </si>
  <si>
    <t>DIS402</t>
  </si>
  <si>
    <t>VFL2909002</t>
  </si>
  <si>
    <t>VTC20261205</t>
  </si>
  <si>
    <t>275908550</t>
  </si>
  <si>
    <t>853 CTNS</t>
  </si>
  <si>
    <t>STPHKGSIH269008</t>
  </si>
  <si>
    <t>31 CTNS</t>
  </si>
  <si>
    <t>46 PKGS</t>
  </si>
  <si>
    <t>STPHKGSIH269007</t>
  </si>
  <si>
    <t>TEMU5339796</t>
  </si>
  <si>
    <t>20'</t>
  </si>
  <si>
    <t>VFL2609008</t>
  </si>
  <si>
    <t>VFL2609009</t>
  </si>
  <si>
    <t>EBKG18413604</t>
  </si>
  <si>
    <t>MSBU4524061</t>
  </si>
  <si>
    <t>2026515623</t>
  </si>
  <si>
    <t>STPHCMPNH269005</t>
  </si>
  <si>
    <t>88 CTNS</t>
  </si>
  <si>
    <t>52 PKGS</t>
  </si>
  <si>
    <t>STPHCMPNH269004</t>
  </si>
  <si>
    <t>V-0916</t>
  </si>
  <si>
    <t>PNHG40689800</t>
  </si>
  <si>
    <t>40' GP</t>
  </si>
  <si>
    <t>160-18057760</t>
  </si>
  <si>
    <t>next week</t>
  </si>
  <si>
    <t>this week</t>
  </si>
  <si>
    <t>PN1M63852300</t>
  </si>
  <si>
    <t>FFAU4624230</t>
  </si>
  <si>
    <t>2026520870</t>
  </si>
  <si>
    <t>KOCU5046510</t>
  </si>
  <si>
    <t>718 CTNS</t>
  </si>
  <si>
    <t>224 PKGS</t>
  </si>
  <si>
    <t>STPSHASIH269008</t>
  </si>
  <si>
    <t>V-2622S</t>
  </si>
  <si>
    <t>E 281390</t>
  </si>
  <si>
    <t>2026521367</t>
  </si>
  <si>
    <t>TUKKOS2609001</t>
  </si>
  <si>
    <t>20 CTNS</t>
  </si>
  <si>
    <t>EMMANUEL P</t>
  </si>
  <si>
    <t>013S</t>
  </si>
  <si>
    <t>STPHKGSIH269020</t>
  </si>
  <si>
    <t>40 CTNS</t>
  </si>
  <si>
    <t>V-096S</t>
  </si>
  <si>
    <t>30-9-2026</t>
  </si>
  <si>
    <t>I 141066</t>
  </si>
  <si>
    <t>GS26-390</t>
  </si>
  <si>
    <t>DIS433</t>
  </si>
  <si>
    <t>VFL2609015</t>
  </si>
  <si>
    <t>I 139129</t>
  </si>
  <si>
    <t>GS26-385</t>
  </si>
  <si>
    <t>DIS428</t>
  </si>
  <si>
    <t>VFL2609014</t>
  </si>
  <si>
    <t>GS26-381</t>
  </si>
  <si>
    <t>DIS424</t>
  </si>
  <si>
    <t>VFL2609011</t>
  </si>
  <si>
    <t>GS26-373</t>
  </si>
  <si>
    <t>DIS416</t>
  </si>
  <si>
    <t>GS26-374</t>
  </si>
  <si>
    <t>DIS417</t>
  </si>
  <si>
    <t>GS26-383</t>
  </si>
  <si>
    <t>DIS426</t>
  </si>
  <si>
    <t>VFL2609012</t>
  </si>
  <si>
    <t>GS26-384</t>
  </si>
  <si>
    <t>DIS427</t>
  </si>
  <si>
    <t>VFL2609013</t>
  </si>
  <si>
    <t>I 3191</t>
  </si>
  <si>
    <t>GS26-378</t>
  </si>
  <si>
    <t>DIS421</t>
  </si>
  <si>
    <t>SAK2609006</t>
  </si>
  <si>
    <t>I 2354</t>
  </si>
  <si>
    <t>GS26-382</t>
  </si>
  <si>
    <t>DIS425</t>
  </si>
  <si>
    <t>SAK2609007</t>
  </si>
  <si>
    <t>GS26-391</t>
  </si>
  <si>
    <t>DIS232</t>
  </si>
  <si>
    <t>SAK2609009</t>
  </si>
  <si>
    <t>E 291367</t>
  </si>
  <si>
    <t>GS26-386</t>
  </si>
  <si>
    <t>DIS429</t>
  </si>
  <si>
    <t>SAK2909008</t>
  </si>
  <si>
    <t>SAK2610001</t>
  </si>
  <si>
    <t>10-2026</t>
  </si>
  <si>
    <t>I 3190</t>
  </si>
  <si>
    <t>I 2352</t>
  </si>
  <si>
    <t>E 49795</t>
  </si>
  <si>
    <t>25/09/2026</t>
  </si>
  <si>
    <t>E 291460</t>
  </si>
  <si>
    <t>TCLU4696359</t>
  </si>
  <si>
    <t>2026528669</t>
  </si>
  <si>
    <t>TKEKOS2609003</t>
  </si>
  <si>
    <t>41 PKGS</t>
  </si>
  <si>
    <t>ERASMUS QUEEN</t>
  </si>
  <si>
    <t>V-639S</t>
  </si>
  <si>
    <t>MRSU7577449</t>
  </si>
  <si>
    <t>TKEKOS2609007</t>
  </si>
  <si>
    <t>165 PKGS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</si>
  <si>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</si>
  <si>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</si>
  <si>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</si>
  <si>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</si>
  <si>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</si>
  <si>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</si>
  <si>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</si>
  <si>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</si>
  <si>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</si>
  <si>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</si>
  <si>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</si>
  <si>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</si>
  <si>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</si>
  <si>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</si>
  <si>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</si>
  <si>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</si>
  <si>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</si>
  <si>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</si>
  <si>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</si>
  <si>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</si>
  <si>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</si>
  <si>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</si>
  <si>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</si>
  <si>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</si>
  <si>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</si>
  <si>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</si>
  <si>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</si>
  <si>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</si>
  <si>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</si>
  <si>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</si>
  <si>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</si>
  <si>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</si>
  <si>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</si>
  <si>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</si>
  <si>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</si>
  <si>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</si>
  <si>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</si>
  <si>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</si>
  <si>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</si>
  <si>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</si>
  <si>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</si>
  <si>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</si>
  <si>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</si>
  <si>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</si>
  <si>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</si>
  <si>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</si>
  <si>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</si>
  <si>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</si>
  <si>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</si>
  <si>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</si>
  <si>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</si>
  <si>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</si>
  <si>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</si>
  <si>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</si>
  <si>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</si>
  <si>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</si>
  <si>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</si>
  <si>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</si>
  <si>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</si>
  <si>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</si>
  <si>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</si>
  <si>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</si>
  <si>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</si>
  <si>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</si>
  <si>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</si>
  <si>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</si>
  <si>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</si>
  <si>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</si>
  <si>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</si>
  <si>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</si>
  <si>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</si>
  <si>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</si>
  <si>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</si>
  <si>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</si>
  <si>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</si>
  <si>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</si>
  <si>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</si>
  <si>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</si>
  <si>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</si>
  <si>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</si>
  <si>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</si>
  <si>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</si>
  <si>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</si>
  <si>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</si>
  <si>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</si>
  <si>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</si>
  <si>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</si>
  <si>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</si>
  <si>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</si>
  <si>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</si>
  <si>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</si>
  <si>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</si>
  <si>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</si>
  <si>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</si>
  <si>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</si>
  <si>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</si>
  <si>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</si>
  <si>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</si>
  <si>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</si>
  <si>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</si>
  <si>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</si>
  <si>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</si>
  <si>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</si>
  <si>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</si>
  <si>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</si>
  <si>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</si>
  <si>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</si>
  <si>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</si>
  <si>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</si>
  <si>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</si>
  <si>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</si>
  <si>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</si>
  <si>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</si>
  <si>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</si>
  <si>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</si>
  <si>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</si>
  <si>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</si>
  <si>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</si>
  <si>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</si>
  <si>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</si>
  <si>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</si>
  <si>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</si>
  <si>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</si>
  <si>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</si>
  <si>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</si>
  <si>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</si>
  <si>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</si>
  <si>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</si>
  <si>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</si>
  <si>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</si>
  <si>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</si>
  <si>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</si>
  <si>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</si>
  <si>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</si>
  <si>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</si>
  <si>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</si>
  <si>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</si>
  <si>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</si>
  <si>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</si>
  <si>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</si>
  <si>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</si>
  <si>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</si>
  <si>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</si>
  <si>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</si>
  <si>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</si>
  <si>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</si>
  <si>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</si>
  <si>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</si>
  <si>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</si>
  <si>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</si>
  <si>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</si>
  <si>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</si>
  <si>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</si>
  <si>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</si>
  <si>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</si>
  <si>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</si>
  <si>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</si>
  <si>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</si>
  <si>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</si>
  <si>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</si>
  <si>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</si>
  <si>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</si>
  <si>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</si>
  <si>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</si>
  <si>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</si>
  <si>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</si>
  <si>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</si>
  <si>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</si>
  <si>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</si>
  <si>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</si>
  <si>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</si>
  <si>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</si>
  <si>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</si>
  <si>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</si>
  <si>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</si>
  <si>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</si>
  <si>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</si>
  <si>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</si>
  <si>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</si>
  <si>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</si>
  <si>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</si>
  <si>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</si>
  <si>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</si>
  <si>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</si>
  <si>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</si>
  <si>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</si>
  <si>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</si>
  <si>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</si>
  <si>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</si>
  <si>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</si>
  <si>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</si>
  <si>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</si>
  <si>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</si>
  <si>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</si>
  <si>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</si>
  <si>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</si>
  <si>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</si>
  <si>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</si>
  <si>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</si>
  <si>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</si>
  <si>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</si>
  <si>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</si>
  <si>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</si>
  <si>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</si>
  <si>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</si>
  <si>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</si>
  <si>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</si>
  <si>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</si>
  <si>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</si>
  <si>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</si>
  <si>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</si>
  <si>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</si>
  <si>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</si>
  <si>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</si>
  <si>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</si>
  <si>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</si>
  <si>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</si>
  <si>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</si>
  <si>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</si>
  <si>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</si>
  <si>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</si>
  <si>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</si>
  <si>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</si>
  <si>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</si>
  <si>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</si>
  <si>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</si>
  <si>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</si>
  <si>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</si>
  <si>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</si>
  <si>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</si>
  <si>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</si>
  <si>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</si>
  <si>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</si>
  <si>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</si>
  <si>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</si>
  <si>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</si>
  <si>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</si>
  <si>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</si>
  <si>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</si>
  <si>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</si>
  <si>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</si>
  <si>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</si>
  <si>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</si>
  <si>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</si>
  <si>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</si>
  <si>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</si>
  <si>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</si>
  <si>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</si>
  <si>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</si>
  <si>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</si>
  <si>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</si>
  <si>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</si>
  <si>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</si>
  <si>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</si>
  <si>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</si>
  <si>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</si>
  <si>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</si>
  <si>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</si>
  <si>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</si>
  <si>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</si>
  <si>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</si>
  <si>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</si>
  <si>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</si>
  <si>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</si>
  <si>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</si>
  <si>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</si>
  <si>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</si>
  <si>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</si>
  <si>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</si>
  <si>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</si>
  <si>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</si>
  <si>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</si>
  <si>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</si>
  <si>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</si>
  <si>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</si>
  <si>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</si>
  <si>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</si>
  <si>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</si>
  <si>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</si>
  <si>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</si>
  <si>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</si>
  <si>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</si>
  <si>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</si>
  <si>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</si>
  <si>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</si>
  <si>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</si>
  <si>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</si>
  <si>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</si>
  <si>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</si>
  <si>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</si>
  <si>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</si>
  <si>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</si>
  <si>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</si>
  <si>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</si>
  <si>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</si>
  <si>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</si>
  <si>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</si>
  <si>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</si>
  <si>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</si>
  <si>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</si>
  <si>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</si>
  <si>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</si>
  <si>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</si>
  <si>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</si>
  <si>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</si>
  <si>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</si>
  <si>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</si>
  <si>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</si>
  <si>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</si>
  <si>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</si>
  <si>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</si>
  <si>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</si>
  <si>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</si>
  <si>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</si>
  <si>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</si>
  <si>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</si>
  <si>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</si>
  <si>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</si>
  <si>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</si>
  <si>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</si>
  <si>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</si>
  <si>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</si>
  <si>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</si>
  <si>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</si>
  <si>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</si>
  <si>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</si>
  <si>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</si>
  <si>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</si>
  <si>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</si>
  <si>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</si>
  <si>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</si>
  <si>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</si>
  <si>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</si>
  <si>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</si>
  <si>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</si>
  <si>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</si>
  <si>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</si>
  <si>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</si>
  <si>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</si>
  <si>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</si>
  <si>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</si>
  <si>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</si>
  <si>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</si>
  <si>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</si>
  <si>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</si>
  <si>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</si>
  <si>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</si>
  <si>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</si>
  <si>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</si>
  <si>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</si>
  <si>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</si>
  <si>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</si>
  <si>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</si>
  <si>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</si>
  <si>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</si>
  <si>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</si>
  <si>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</si>
  <si>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</si>
  <si>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</si>
  <si>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</si>
  <si>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</si>
  <si>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</si>
  <si>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</si>
  <si>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</si>
  <si>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</si>
  <si>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</si>
  <si>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</si>
  <si>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</si>
  <si>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</si>
  <si>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</si>
  <si>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</si>
  <si>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</si>
  <si>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</si>
  <si>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</si>
  <si>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</si>
  <si>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</si>
  <si>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</si>
  <si>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</si>
  <si>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</si>
  <si>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</si>
  <si>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</si>
  <si>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</si>
  <si>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</si>
  <si>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</si>
  <si>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</si>
  <si>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</si>
  <si>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</si>
  <si>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</si>
  <si>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</si>
  <si>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</si>
  <si>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</si>
  <si>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</si>
  <si>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</si>
  <si>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</si>
  <si>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</si>
  <si>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</si>
  <si>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</si>
  <si>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</si>
  <si>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</si>
  <si>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</si>
  <si>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</si>
  <si>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</si>
  <si>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</si>
  <si>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</si>
  <si>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</si>
  <si>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</si>
  <si>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</si>
  <si>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</si>
  <si>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</si>
  <si>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</si>
  <si>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</si>
  <si>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</si>
  <si>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</si>
  <si>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</si>
  <si>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</si>
  <si>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</si>
  <si>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</si>
  <si>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</si>
  <si>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</si>
  <si>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</si>
  <si>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</si>
  <si>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</si>
  <si>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</si>
  <si>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</si>
  <si>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</si>
  <si>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</si>
  <si>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</si>
  <si>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</si>
  <si>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</si>
  <si>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</si>
  <si>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</si>
  <si>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</si>
  <si>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</si>
  <si>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</si>
  <si>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</si>
  <si>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</si>
  <si>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</si>
  <si>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</si>
  <si>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</si>
  <si>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</si>
  <si>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</si>
  <si>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</si>
  <si>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</si>
  <si>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</si>
  <si>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</si>
  <si>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</si>
  <si>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</si>
  <si>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</si>
  <si>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</si>
  <si>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</si>
  <si>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</si>
  <si>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</si>
  <si>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</si>
  <si>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</si>
  <si>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</si>
  <si>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</si>
  <si>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</si>
  <si>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</si>
  <si>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</si>
  <si>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</si>
  <si>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</si>
  <si>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</si>
  <si>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</si>
  <si>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</si>
  <si>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</si>
  <si>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</si>
  <si>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</si>
  <si>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</si>
  <si>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</si>
  <si>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</si>
  <si>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</si>
  <si>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</si>
  <si>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</si>
  <si>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</si>
  <si>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</si>
  <si>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</si>
  <si>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</si>
  <si>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</si>
  <si>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</si>
  <si>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</si>
  <si>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</si>
  <si>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</si>
  <si>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</si>
  <si>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</si>
  <si>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</si>
  <si>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</si>
  <si>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</si>
  <si>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</si>
  <si>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</si>
  <si>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</si>
  <si>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</si>
  <si>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</si>
  <si>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</si>
  <si>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</si>
  <si>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</si>
  <si>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</si>
  <si>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</si>
  <si>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</si>
  <si>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</si>
  <si>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</si>
  <si>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</si>
  <si>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</si>
  <si>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</si>
  <si>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</si>
  <si>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</si>
  <si>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</si>
  <si>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</si>
  <si>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</si>
  <si>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</si>
  <si>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</si>
  <si>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</si>
  <si>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</si>
  <si>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</si>
  <si>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</si>
  <si>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</si>
  <si>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</si>
  <si>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</si>
  <si>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</si>
  <si>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</si>
  <si>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</si>
  <si>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</si>
  <si>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</si>
  <si>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</si>
  <si>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</si>
  <si>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</si>
  <si>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</si>
  <si>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</si>
  <si>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</si>
  <si>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</si>
  <si>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</si>
  <si>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</si>
  <si>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</si>
  <si>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</si>
  <si>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</si>
  <si>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</si>
  <si>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</si>
  <si>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</si>
  <si>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</si>
  <si>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</si>
  <si>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</si>
  <si>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</si>
  <si>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</si>
  <si>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</si>
  <si>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</si>
  <si>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</si>
  <si>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</si>
  <si>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</si>
  <si>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</si>
  <si>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</si>
  <si>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</si>
  <si>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</si>
  <si>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</si>
  <si>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</si>
  <si>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</si>
  <si>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</si>
  <si>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</si>
  <si>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</si>
  <si>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</si>
  <si>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</si>
  <si>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</si>
  <si>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</si>
  <si>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</si>
  <si>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</si>
  <si>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</si>
  <si>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</si>
  <si>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</si>
  <si>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</si>
  <si>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</si>
  <si>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</si>
  <si>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</si>
  <si>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</si>
  <si>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</si>
  <si>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</si>
  <si>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</si>
  <si>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</si>
  <si>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</si>
  <si>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</si>
  <si>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</si>
  <si>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</si>
  <si>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</si>
  <si>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</si>
  <si>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</si>
  <si>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</si>
  <si>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</si>
  <si>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</si>
  <si>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</si>
  <si>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</si>
  <si>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</si>
  <si>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</si>
  <si>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</si>
  <si>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</si>
  <si>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</si>
  <si>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</si>
  <si>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</si>
  <si>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</si>
  <si>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</si>
  <si>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</si>
  <si>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</si>
  <si>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</si>
  <si>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</si>
  <si>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</si>
  <si>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</si>
  <si>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</si>
  <si>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</si>
  <si>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</si>
  <si>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</si>
  <si>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</si>
  <si>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</si>
  <si>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</si>
  <si>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</si>
  <si>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</si>
  <si>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</si>
  <si>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</si>
  <si>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</si>
  <si>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</si>
  <si>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</si>
  <si>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</si>
  <si>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</si>
  <si>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</si>
  <si>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</si>
  <si>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</si>
  <si>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</si>
  <si>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</si>
  <si>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</si>
  <si>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</si>
  <si>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</si>
  <si>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</si>
  <si>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</si>
  <si>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</si>
  <si>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</si>
  <si>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</si>
  <si>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</si>
  <si>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</si>
  <si>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</si>
  <si>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</si>
  <si>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</si>
  <si>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</si>
  <si>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</si>
  <si>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</si>
  <si>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</si>
  <si>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</si>
  <si>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</si>
  <si>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</si>
  <si>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</si>
  <si>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</si>
  <si>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</si>
  <si>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</si>
  <si>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</si>
  <si>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</si>
  <si>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</si>
  <si>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</si>
  <si>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</si>
  <si>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</si>
  <si>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</si>
  <si>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</si>
  <si>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</si>
  <si>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</si>
  <si>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</si>
  <si>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</si>
  <si>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</si>
  <si>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</si>
  <si>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</si>
  <si>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</si>
  <si>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</si>
  <si>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</si>
  <si>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</si>
  <si>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</si>
  <si>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</si>
  <si>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</si>
  <si>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</si>
  <si>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</si>
  <si>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</si>
  <si>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</si>
  <si>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</si>
  <si>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</si>
  <si>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</si>
  <si>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</si>
  <si>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</si>
  <si>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</si>
  <si>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</si>
  <si>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</si>
  <si>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</si>
  <si>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</si>
  <si>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</si>
  <si>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</si>
  <si>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</si>
  <si>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</si>
  <si>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</si>
  <si>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</si>
  <si>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</si>
  <si>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</si>
  <si>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</si>
  <si>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</si>
  <si>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</si>
  <si>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</si>
  <si>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</si>
  <si>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</si>
  <si>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</si>
  <si>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</si>
  <si>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</si>
  <si>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</si>
  <si>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</si>
  <si>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</si>
  <si>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</si>
  <si>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</si>
  <si>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</si>
  <si>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</si>
  <si>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</si>
  <si>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</si>
  <si>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</si>
  <si>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</si>
  <si>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</si>
  <si>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</si>
  <si>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</si>
  <si>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</si>
  <si>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</si>
  <si>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</si>
  <si>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</si>
  <si>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</si>
  <si>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</si>
  <si>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</si>
  <si>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</si>
  <si>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</si>
  <si>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</si>
  <si>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</si>
  <si>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</si>
  <si>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</si>
  <si>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</si>
  <si>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</si>
  <si>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</si>
  <si>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</si>
  <si>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</si>
  <si>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</si>
  <si>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</si>
  <si>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</si>
  <si>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</si>
  <si>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</si>
  <si>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</si>
  <si>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</si>
  <si>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</si>
  <si>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</si>
  <si>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</si>
  <si>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</si>
  <si>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</si>
  <si>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</si>
  <si>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</si>
  <si>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</si>
  <si>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</si>
  <si>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</si>
  <si>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</si>
  <si>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</si>
  <si>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</si>
  <si>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</si>
  <si>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</si>
  <si>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</si>
  <si>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</si>
  <si>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</si>
  <si>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</si>
  <si>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</si>
  <si>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</si>
  <si>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</si>
  <si>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</si>
  <si>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</si>
  <si>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</si>
  <si>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</si>
  <si>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</si>
  <si>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</si>
  <si>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</si>
  <si>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</si>
  <si>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</si>
  <si>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</si>
  <si>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</si>
  <si>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</si>
  <si>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</si>
  <si>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</si>
  <si>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</si>
  <si>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</si>
  <si>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</si>
  <si>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</si>
  <si>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</si>
  <si>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</si>
  <si>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</si>
  <si>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</si>
  <si>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</si>
  <si>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</si>
  <si>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</si>
  <si>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</si>
  <si>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</si>
  <si>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</si>
  <si>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</si>
  <si>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</si>
  <si>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</si>
  <si>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</si>
  <si>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</si>
  <si>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</si>
  <si>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</si>
  <si>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</si>
  <si>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</si>
  <si>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</si>
  <si>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</si>
  <si>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</si>
  <si>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</si>
  <si>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</si>
  <si>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</si>
  <si>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</si>
  <si>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</si>
  <si>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</si>
  <si>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</si>
  <si>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</si>
  <si>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</si>
  <si>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</si>
  <si>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</si>
  <si>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</si>
  <si>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</si>
  <si>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</si>
  <si>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</si>
  <si>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</si>
  <si>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</si>
  <si>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</si>
  <si>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</si>
  <si>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</si>
  <si>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</si>
  <si>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</si>
  <si>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</si>
  <si>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</si>
  <si>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</si>
  <si>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</si>
  <si>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</si>
  <si>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</si>
  <si>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</si>
  <si>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</si>
  <si>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</si>
  <si>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</si>
  <si>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</si>
  <si>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</si>
  <si>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</si>
  <si>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</si>
  <si>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</si>
  <si>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</si>
  <si>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</si>
  <si>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</si>
  <si>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</si>
  <si>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</si>
  <si>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</si>
  <si>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</si>
  <si>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</si>
  <si>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</si>
  <si>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</si>
  <si>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</si>
  <si>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</si>
  <si>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</si>
  <si>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</si>
  <si>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</si>
  <si>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</si>
  <si>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</si>
  <si>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</si>
  <si>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</si>
  <si>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</si>
  <si>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</si>
  <si>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</si>
  <si>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</si>
  <si>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</si>
  <si>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</si>
  <si>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</si>
  <si>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</si>
  <si>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</si>
  <si>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</si>
  <si>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</si>
  <si>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</si>
  <si>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</si>
  <si>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</si>
  <si>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</si>
  <si>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</si>
  <si>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</si>
  <si>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</si>
  <si>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</si>
  <si>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</si>
  <si>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</si>
  <si>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</si>
  <si>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</si>
  <si>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</si>
  <si>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</si>
  <si>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</si>
  <si>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</si>
  <si>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</si>
  <si>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</si>
  <si>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</si>
  <si>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</si>
  <si>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</si>
  <si>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</si>
  <si>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</si>
  <si>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</si>
  <si>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</si>
  <si>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</si>
  <si>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</si>
  <si>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</si>
  <si>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</si>
  <si>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</si>
  <si>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</si>
  <si>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</si>
  <si>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</si>
  <si>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</si>
  <si>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</si>
  <si>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</si>
  <si>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</si>
  <si>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</si>
  <si>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</si>
  <si>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</si>
  <si>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</si>
  <si>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</si>
  <si>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</si>
  <si>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</si>
  <si>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</si>
  <si>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</si>
  <si>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</si>
  <si>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</si>
  <si>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</si>
  <si>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</si>
  <si>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</si>
  <si>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</si>
  <si>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</si>
  <si>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</si>
  <si>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</si>
  <si>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</si>
  <si>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</si>
  <si>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</si>
  <si>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</si>
  <si>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</si>
  <si>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</si>
  <si>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</si>
  <si>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</si>
  <si>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</si>
  <si>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</si>
  <si>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</si>
  <si>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</si>
  <si>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</si>
  <si>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</si>
  <si>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</si>
  <si>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</si>
  <si>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</si>
  <si>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</si>
  <si>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</si>
  <si>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</si>
  <si>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</si>
  <si>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</si>
  <si>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</si>
  <si>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</si>
  <si>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</si>
  <si>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</si>
  <si>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</si>
  <si>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</si>
  <si>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</si>
  <si>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</si>
  <si>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</si>
  <si>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</si>
  <si>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</si>
  <si>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</si>
  <si>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</si>
  <si>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</si>
  <si>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</si>
  <si>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</si>
  <si>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</si>
  <si>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</si>
  <si>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</si>
  <si>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</si>
  <si>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</si>
  <si>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</si>
  <si>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</si>
  <si>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</si>
  <si>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</si>
  <si>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</si>
  <si>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</si>
  <si>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</si>
  <si>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</si>
  <si>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</si>
  <si>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</si>
  <si>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</si>
  <si>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</si>
  <si>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</si>
  <si>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</si>
  <si>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</si>
  <si>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</si>
  <si>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</si>
  <si>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</si>
  <si>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</si>
  <si>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</si>
  <si>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</si>
  <si>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</si>
  <si>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</si>
  <si>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</si>
  <si>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</si>
  <si>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</si>
  <si>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</si>
  <si>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</si>
  <si>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</si>
  <si>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</si>
  <si>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</si>
  <si>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</si>
  <si>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</si>
  <si>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</si>
  <si>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</si>
  <si>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</si>
  <si>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</si>
  <si>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</si>
  <si>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</si>
  <si>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</si>
  <si>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</si>
  <si>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</si>
  <si>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</si>
  <si>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</si>
  <si>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</si>
  <si>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</si>
  <si>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</si>
  <si>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</si>
  <si>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</si>
  <si>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</si>
  <si>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</si>
  <si>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</si>
  <si>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</si>
  <si>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</si>
  <si>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</si>
  <si>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</si>
  <si>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</si>
  <si>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</si>
  <si>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</si>
  <si>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</si>
  <si>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</si>
  <si>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</si>
  <si>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</si>
  <si>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</si>
  <si>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</si>
  <si>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</si>
  <si>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</si>
  <si>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</si>
  <si>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</si>
  <si>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</si>
  <si>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</si>
  <si>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</si>
  <si>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</si>
  <si>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</si>
  <si>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</si>
  <si>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</si>
  <si>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</si>
  <si>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</si>
  <si>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</si>
  <si>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</si>
  <si>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</si>
  <si>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</si>
  <si>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</si>
  <si>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</si>
  <si>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</si>
  <si>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</si>
  <si>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</si>
  <si>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</si>
  <si>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</si>
  <si>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</si>
  <si>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</si>
  <si>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</si>
  <si>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</si>
  <si>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</si>
  <si>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</si>
  <si>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</si>
  <si>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</si>
  <si>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</si>
  <si>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</si>
  <si>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</si>
  <si>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</si>
  <si>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</si>
  <si>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</si>
  <si>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</si>
  <si>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</si>
  <si>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</si>
  <si>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</si>
  <si>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</si>
  <si>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</si>
  <si>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</si>
  <si>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</si>
  <si>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</si>
  <si>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</si>
  <si>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</si>
  <si>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</si>
  <si>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</si>
  <si>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</si>
  <si>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</si>
  <si>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</si>
  <si>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</si>
  <si>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</si>
  <si>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</si>
  <si>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</si>
  <si>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</si>
  <si>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</si>
  <si>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</si>
  <si>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</si>
  <si>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</si>
  <si>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</si>
  <si>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</si>
  <si>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</si>
  <si>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</si>
  <si>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</si>
  <si>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</si>
  <si>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</si>
  <si>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</si>
  <si>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</si>
  <si>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</si>
  <si>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</si>
  <si>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</si>
  <si>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</si>
  <si>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</si>
  <si>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</si>
  <si>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</si>
  <si>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</si>
  <si>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</si>
  <si>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</si>
  <si>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</si>
  <si>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</si>
  <si>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</si>
  <si>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</si>
  <si>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</si>
  <si>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</si>
  <si>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</si>
  <si>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</si>
  <si>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</si>
  <si>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</si>
  <si>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</si>
  <si>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</si>
  <si>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</si>
  <si>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</si>
  <si>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</si>
  <si>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</si>
  <si>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</si>
  <si>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</si>
  <si>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</si>
  <si>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</si>
  <si>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</si>
  <si>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</si>
  <si>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</si>
  <si>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</si>
  <si>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</si>
  <si>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</si>
  <si>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</si>
  <si>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</si>
  <si>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</si>
  <si>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</si>
  <si>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</si>
  <si>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</si>
  <si>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</si>
  <si>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</si>
  <si>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</si>
  <si>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</si>
  <si>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</si>
  <si>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</si>
  <si>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</si>
  <si>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</si>
  <si>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</si>
  <si>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</si>
  <si>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</si>
  <si>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</si>
  <si>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</si>
  <si>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</si>
  <si>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</si>
  <si>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</si>
  <si>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</si>
  <si>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</si>
  <si>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</si>
  <si>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</si>
  <si>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</si>
  <si>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</si>
  <si>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</si>
  <si>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</si>
  <si>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</si>
  <si>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</si>
  <si>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</si>
  <si>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</si>
  <si>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</si>
  <si>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</si>
  <si>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</si>
  <si>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</si>
  <si>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</si>
  <si>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</si>
  <si>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</si>
  <si>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</si>
  <si>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</si>
  <si>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</si>
  <si>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</si>
  <si>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</si>
  <si>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</si>
  <si>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</si>
  <si>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</si>
  <si>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</si>
  <si>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</si>
  <si>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</si>
  <si>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</si>
  <si>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</si>
  <si>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</si>
  <si>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</si>
  <si>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</si>
  <si>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</si>
  <si>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</si>
  <si>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</si>
  <si>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</si>
  <si>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</si>
  <si>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</si>
  <si>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</si>
  <si>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</si>
  <si>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</si>
  <si>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</si>
  <si>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</si>
  <si>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</si>
  <si>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</si>
  <si>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</si>
  <si>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</si>
  <si>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</si>
  <si>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</si>
  <si>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</si>
  <si>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</si>
  <si>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</si>
  <si>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</si>
  <si>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</si>
  <si>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</si>
  <si>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</si>
  <si>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</si>
  <si>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</si>
  <si>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</si>
  <si>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</si>
  <si>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</si>
  <si>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</si>
  <si>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</si>
  <si>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</si>
  <si>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</si>
  <si>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</si>
  <si>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</si>
  <si>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</si>
  <si>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</si>
  <si>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</si>
  <si>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</si>
  <si>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</si>
  <si>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</si>
  <si>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</si>
  <si>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</si>
  <si>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</si>
  <si>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</si>
  <si>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</si>
  <si>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</si>
  <si>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</si>
  <si>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</si>
  <si>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</si>
  <si>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</si>
  <si>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</si>
  <si>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</si>
  <si>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</si>
  <si>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</si>
  <si>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</si>
  <si>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</si>
  <si>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</si>
  <si>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</si>
  <si>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</si>
  <si>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</si>
  <si>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</si>
  <si>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</si>
  <si>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</si>
  <si>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</si>
  <si>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</si>
  <si>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</si>
  <si>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</si>
  <si>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</si>
  <si>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</si>
  <si>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</si>
  <si>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</si>
  <si>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</si>
  <si>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</si>
  <si>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</si>
  <si>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</si>
  <si>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</si>
  <si>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</si>
  <si>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</si>
  <si>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</si>
  <si>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</si>
  <si>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</si>
  <si>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</si>
  <si>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</si>
  <si>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</si>
  <si>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</si>
  <si>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</si>
  <si>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</si>
  <si>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</si>
  <si>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</si>
  <si>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</si>
  <si>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</si>
  <si>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</si>
  <si>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</si>
  <si>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</si>
  <si>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</si>
  <si>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</si>
  <si>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</si>
  <si>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</si>
  <si>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</si>
  <si>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</si>
  <si>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</si>
  <si>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</si>
  <si>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</si>
  <si>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</si>
  <si>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</si>
  <si>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</si>
  <si>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</si>
  <si>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</si>
  <si>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</si>
  <si>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</si>
  <si>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</si>
  <si>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</si>
  <si>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</si>
  <si>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</si>
  <si>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</si>
  <si>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</si>
  <si>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</si>
  <si>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</si>
  <si>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</si>
  <si>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</si>
  <si>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</si>
  <si>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</si>
  <si>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</si>
  <si>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</si>
  <si>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</si>
  <si>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</si>
  <si>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</si>
  <si>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</si>
  <si>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</si>
  <si>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</si>
  <si>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</si>
  <si>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</si>
  <si>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</si>
  <si>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</si>
  <si>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</si>
  <si>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</si>
  <si>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</si>
  <si>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</si>
  <si>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</si>
  <si>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</si>
  <si>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</si>
  <si>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</si>
  <si>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</si>
  <si>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</si>
  <si>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</si>
  <si>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</si>
  <si>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</si>
  <si>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</si>
  <si>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</si>
  <si>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</si>
  <si>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</si>
  <si>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</si>
  <si>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</si>
  <si>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</si>
  <si>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</si>
  <si>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</si>
  <si>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</si>
  <si>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</si>
  <si>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</si>
  <si>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</si>
  <si>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</si>
  <si>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</si>
  <si>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</si>
  <si>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</si>
  <si>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</si>
  <si>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</si>
  <si>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</si>
  <si>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</si>
  <si>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</si>
  <si>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</si>
  <si>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</si>
  <si>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</si>
  <si>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</si>
  <si>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</si>
  <si>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</si>
  <si>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</si>
  <si>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</si>
  <si>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</si>
  <si>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</si>
  <si>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</si>
  <si>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</si>
  <si>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</si>
  <si>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</si>
  <si>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</si>
  <si>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</si>
  <si>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</si>
  <si>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</si>
  <si>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</si>
  <si>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</si>
  <si>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</si>
  <si>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</si>
  <si>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</si>
  <si>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</si>
  <si>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</si>
  <si>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</si>
  <si>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</si>
  <si>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</si>
  <si>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</si>
  <si>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</si>
  <si>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</si>
  <si>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</si>
  <si>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</si>
  <si>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</si>
  <si>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</si>
  <si>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</si>
  <si>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</si>
  <si>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</si>
  <si>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</si>
  <si>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</si>
  <si>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</si>
  <si>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</si>
  <si>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</si>
  <si>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</si>
  <si>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</si>
  <si>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</si>
  <si>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</si>
  <si>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</si>
  <si>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</si>
  <si>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</si>
  <si>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</si>
  <si>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</si>
  <si>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</si>
  <si>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</si>
  <si>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</si>
  <si>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</si>
  <si>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</si>
  <si>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</si>
  <si>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</si>
  <si>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</si>
  <si>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</si>
  <si>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</si>
  <si>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</si>
  <si>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</si>
  <si>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</si>
  <si>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</si>
  <si>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</si>
  <si>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</si>
  <si>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</si>
  <si>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</si>
  <si>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</si>
  <si>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</si>
  <si>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</si>
  <si>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</si>
  <si>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</si>
  <si>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</si>
  <si>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</si>
  <si>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</si>
  <si>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</si>
  <si>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</si>
  <si>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</si>
  <si>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</si>
  <si>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</si>
  <si>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</si>
  <si>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</si>
  <si>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</si>
  <si>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</si>
  <si>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</si>
  <si>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</si>
  <si>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</si>
  <si>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</si>
  <si>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</si>
  <si>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</si>
  <si>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</si>
  <si>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</si>
  <si>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</si>
  <si>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</si>
  <si>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</si>
  <si>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</si>
  <si>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</si>
  <si>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</si>
  <si>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</si>
  <si>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</si>
  <si>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</si>
  <si>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</si>
  <si>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</si>
  <si>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</si>
  <si>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</si>
  <si>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</si>
  <si>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</si>
  <si>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</si>
  <si>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</si>
  <si>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</si>
  <si>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</si>
  <si>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</si>
  <si>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</si>
  <si>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</si>
  <si>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</si>
  <si>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</si>
  <si>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</si>
  <si>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</si>
  <si>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</si>
  <si>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</si>
  <si>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</si>
  <si>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</si>
  <si>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</si>
  <si>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</si>
  <si>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</si>
  <si>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</si>
  <si>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</si>
  <si>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</si>
  <si>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</si>
  <si>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</si>
  <si>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</si>
  <si>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</si>
  <si>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</si>
  <si>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</si>
  <si>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</si>
  <si>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</si>
  <si>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</si>
  <si>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</si>
  <si>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</si>
  <si>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</si>
  <si>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</si>
  <si>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</si>
  <si>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</si>
  <si>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</si>
  <si>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</si>
  <si>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</si>
  <si>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</si>
  <si>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</si>
  <si>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</si>
  <si>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</si>
  <si>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</si>
  <si>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</si>
  <si>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</si>
  <si>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</si>
  <si>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</si>
  <si>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</si>
  <si>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</si>
  <si>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</si>
  <si>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</si>
  <si>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</si>
  <si>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</si>
  <si>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</si>
  <si>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</si>
  <si>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</si>
  <si>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</si>
  <si>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</si>
  <si>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</si>
  <si>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</si>
  <si>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</si>
  <si>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</si>
  <si>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</si>
  <si>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</si>
  <si>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</si>
  <si>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</si>
  <si>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</si>
  <si>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</si>
  <si>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</si>
  <si>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</si>
  <si>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</si>
  <si>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</si>
  <si>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</si>
  <si>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</si>
  <si>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</si>
  <si>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</si>
  <si>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</si>
  <si>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</si>
  <si>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</si>
  <si>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</si>
  <si>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</si>
  <si>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</si>
  <si>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</si>
  <si>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</si>
  <si>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</si>
  <si>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</si>
  <si>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</si>
  <si>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</si>
  <si>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</si>
  <si>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</si>
  <si>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</si>
  <si>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</si>
  <si>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</si>
  <si>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</si>
  <si>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</si>
  <si>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</si>
  <si>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</si>
  <si>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</si>
  <si>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</si>
  <si>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</si>
  <si>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</si>
  <si>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</si>
  <si>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</si>
  <si>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</si>
  <si>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</si>
  <si>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</si>
  <si>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</si>
  <si>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</si>
  <si>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</si>
  <si>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</si>
  <si>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</si>
  <si>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</si>
  <si>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</si>
  <si>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</si>
  <si>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</si>
  <si>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</si>
  <si>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</si>
  <si>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</si>
  <si>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</si>
  <si>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</si>
  <si>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</si>
  <si>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</si>
  <si>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</si>
  <si>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</si>
  <si>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</si>
  <si>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</si>
  <si>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</si>
  <si>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</si>
  <si>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</si>
  <si>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</si>
  <si>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</si>
  <si>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</si>
  <si>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</si>
  <si>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</si>
  <si>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</si>
  <si>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</si>
  <si>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</si>
  <si>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</si>
  <si>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</si>
  <si>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</si>
  <si>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</si>
  <si>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</si>
  <si>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</si>
  <si>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</si>
  <si>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</si>
  <si>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</si>
  <si>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</si>
  <si>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</si>
  <si>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</si>
  <si>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</si>
  <si>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</si>
  <si>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</si>
  <si>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</si>
  <si>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</si>
  <si>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</si>
  <si>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</si>
  <si>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</si>
  <si>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</si>
  <si>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</si>
  <si>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</si>
  <si>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</si>
  <si>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</si>
  <si>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</si>
  <si>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</si>
  <si>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</si>
  <si>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</si>
  <si>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</si>
  <si>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</si>
  <si>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</si>
  <si>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</si>
  <si>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</si>
  <si>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</si>
  <si>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</si>
  <si>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</si>
  <si>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</si>
  <si>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</si>
  <si>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</si>
  <si>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</si>
  <si>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</si>
  <si>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</si>
  <si>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</si>
  <si>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</si>
  <si>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</si>
  <si>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</si>
  <si>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</si>
  <si>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</si>
  <si>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</si>
  <si>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</si>
  <si>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</si>
  <si>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</si>
  <si>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</si>
  <si>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</si>
  <si>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</si>
  <si>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</si>
  <si>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</si>
  <si>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</si>
  <si>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</si>
  <si>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</si>
  <si>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</si>
  <si>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</si>
  <si>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</si>
  <si>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</si>
  <si>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</si>
  <si>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</si>
  <si>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</si>
  <si>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</si>
  <si>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</si>
  <si>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</si>
  <si>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</si>
  <si>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</si>
  <si>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</si>
  <si>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</si>
  <si>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</si>
  <si>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</si>
  <si>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</si>
  <si>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</si>
  <si>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</si>
  <si>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</si>
  <si>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</si>
  <si>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</si>
  <si>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</si>
  <si>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</si>
  <si>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</si>
  <si>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</si>
  <si>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</si>
  <si>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</si>
  <si>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</si>
  <si>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</si>
  <si>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</si>
  <si>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</si>
  <si>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</si>
  <si>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</si>
  <si>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</si>
  <si>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</si>
  <si>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</si>
  <si>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</si>
  <si>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</si>
  <si>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</si>
  <si>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</si>
  <si>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</si>
  <si>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</si>
  <si>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</si>
  <si>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</si>
  <si>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</si>
  <si>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</si>
  <si>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</si>
  <si>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</si>
  <si>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</si>
  <si>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</si>
  <si>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</si>
  <si>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</si>
  <si>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</si>
  <si>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</si>
  <si>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</si>
  <si>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</si>
  <si>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</si>
  <si>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</si>
  <si>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</si>
  <si>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</si>
  <si>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</si>
  <si>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</si>
  <si>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</si>
  <si>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</si>
  <si>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</si>
  <si>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</si>
  <si>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</si>
  <si>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</si>
  <si>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</si>
  <si>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</si>
  <si>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</si>
  <si>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</si>
  <si>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</si>
  <si>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</si>
  <si>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</si>
  <si>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</si>
  <si>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</si>
  <si>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</si>
  <si>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</si>
  <si>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</si>
  <si>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</si>
  <si>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</si>
  <si>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</si>
  <si>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</si>
  <si>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</si>
  <si>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</si>
  <si>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</si>
  <si>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</si>
  <si>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</si>
  <si>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</si>
  <si>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</si>
  <si>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</si>
  <si>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</si>
  <si>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</si>
  <si>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</si>
  <si>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</si>
  <si>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</si>
  <si>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</si>
  <si>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</si>
  <si>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</si>
  <si>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</si>
  <si>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</si>
  <si>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</si>
  <si>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</si>
  <si>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</si>
  <si>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</si>
  <si>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</si>
  <si>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</si>
  <si>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</si>
  <si>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</si>
  <si>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</si>
  <si>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</si>
  <si>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</si>
  <si>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</si>
  <si>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</si>
  <si>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</si>
  <si>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</si>
  <si>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</si>
  <si>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</si>
  <si>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</si>
  <si>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</si>
  <si>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</si>
  <si>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</si>
  <si>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</si>
  <si>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</si>
  <si>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</si>
  <si>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</si>
  <si>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</si>
  <si>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</si>
  <si>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</si>
  <si>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</si>
  <si>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</si>
  <si>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</si>
  <si>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</si>
  <si>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</si>
  <si>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</si>
  <si>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</si>
  <si>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</si>
  <si>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</si>
  <si>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</si>
  <si>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</si>
  <si>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</si>
  <si>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</si>
  <si>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</si>
  <si>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</si>
  <si>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</si>
  <si>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</si>
  <si>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</si>
  <si>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</si>
  <si>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</si>
  <si>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</si>
  <si>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</si>
  <si>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</si>
  <si>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</si>
  <si>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</si>
  <si>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</si>
  <si>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</si>
  <si>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</si>
  <si>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</si>
  <si>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</si>
  <si>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</si>
  <si>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</si>
  <si>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</si>
  <si>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</si>
  <si>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</si>
  <si>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</si>
  <si>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</si>
  <si>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</si>
  <si>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</si>
  <si>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</si>
  <si>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</si>
  <si>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</si>
  <si>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</si>
  <si>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</si>
  <si>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</si>
  <si>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</si>
  <si>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</si>
  <si>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</si>
  <si>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</si>
  <si>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</si>
  <si>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</si>
  <si>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</si>
  <si>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</si>
  <si>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</si>
  <si>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</si>
  <si>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</si>
  <si>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</si>
  <si>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</si>
  <si>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</si>
  <si>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</si>
  <si>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</si>
  <si>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</si>
  <si>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</si>
  <si>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</si>
  <si>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</si>
  <si>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</si>
  <si>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</si>
  <si>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</si>
  <si>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</si>
  <si>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</si>
  <si>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</si>
  <si>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</si>
  <si>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</si>
  <si>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</si>
  <si>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</si>
  <si>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</si>
  <si>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</si>
  <si>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</si>
  <si>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</si>
  <si>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</si>
  <si>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</si>
  <si>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</si>
  <si>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</si>
  <si>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</si>
  <si>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</si>
  <si>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</si>
  <si>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</si>
  <si>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</si>
  <si>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</si>
  <si>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</si>
  <si>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</si>
  <si>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</si>
  <si>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</si>
  <si>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</si>
  <si>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</si>
  <si>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</si>
  <si>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</si>
  <si>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</si>
  <si>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</si>
  <si>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</si>
  <si>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</si>
  <si>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</si>
  <si>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</si>
  <si>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</si>
  <si>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</si>
  <si>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</si>
  <si>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</si>
  <si>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</si>
  <si>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</si>
  <si>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</si>
  <si>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</si>
  <si>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</si>
  <si>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</si>
  <si>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</si>
  <si>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</si>
  <si>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</si>
  <si>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</si>
  <si>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</si>
  <si>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</si>
  <si>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</si>
  <si>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</si>
  <si>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</si>
  <si>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</si>
  <si>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</si>
  <si>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</si>
  <si>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</si>
  <si>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</si>
  <si>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</si>
  <si>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</si>
  <si>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</si>
  <si>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</si>
  <si>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</si>
  <si>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</si>
  <si>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</si>
  <si>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</si>
  <si>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</si>
  <si>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</si>
  <si>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</si>
  <si>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</si>
  <si>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</si>
  <si>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</si>
  <si>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</si>
  <si>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</si>
  <si>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</si>
  <si>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</si>
  <si>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</si>
  <si>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</si>
  <si>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</si>
  <si>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</si>
  <si>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</si>
  <si>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</si>
  <si>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</si>
  <si>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</si>
  <si>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</si>
  <si>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</si>
  <si>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</si>
  <si>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</si>
  <si>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</si>
  <si>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</si>
  <si>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</si>
  <si>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</si>
  <si>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</si>
  <si>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</si>
  <si>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</si>
  <si>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</si>
  <si>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</si>
  <si>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</si>
  <si>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</si>
  <si>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</si>
  <si>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</si>
  <si>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</si>
  <si>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</si>
  <si>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</si>
  <si>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</si>
  <si>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</si>
  <si>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</si>
  <si>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</si>
  <si>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</si>
  <si>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</si>
  <si>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</si>
  <si>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</si>
  <si>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</si>
  <si>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</si>
  <si>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</si>
  <si>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</si>
  <si>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</si>
  <si>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</si>
  <si>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</si>
  <si>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</si>
  <si>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</si>
  <si>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</si>
  <si>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</si>
  <si>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</si>
  <si>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</si>
  <si>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</si>
  <si>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</si>
  <si>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</si>
  <si>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</si>
  <si>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</si>
  <si>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</si>
  <si>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</si>
  <si>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</si>
  <si>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</si>
  <si>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</si>
  <si>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</si>
  <si>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</si>
  <si>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</si>
  <si>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</si>
  <si>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</si>
  <si>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</si>
  <si>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</si>
  <si>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</si>
  <si>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</si>
  <si>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</si>
  <si>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</si>
  <si>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</si>
  <si>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</si>
  <si>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</si>
  <si>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</si>
  <si>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</si>
  <si>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</si>
  <si>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</si>
  <si>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</si>
  <si>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</si>
  <si>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</si>
  <si>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</si>
  <si>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</si>
  <si>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</si>
  <si>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</si>
  <si>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</si>
  <si>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</si>
  <si>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</si>
  <si>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</si>
  <si>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</si>
  <si>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</si>
  <si>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</si>
  <si>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</si>
  <si>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</si>
  <si>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</si>
  <si>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</si>
  <si>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</si>
  <si>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</si>
  <si>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</si>
  <si>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</si>
  <si>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</si>
  <si>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</si>
  <si>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</si>
  <si>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</si>
  <si>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</si>
  <si>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</si>
  <si>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</si>
  <si>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</si>
  <si>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</si>
  <si>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</si>
  <si>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</si>
  <si>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</si>
  <si>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</si>
  <si>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</si>
  <si>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</si>
  <si>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</si>
  <si>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</si>
  <si>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</si>
  <si>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</si>
  <si>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</si>
  <si>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</si>
  <si>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</si>
  <si>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</si>
  <si>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</si>
  <si>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</si>
  <si>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</si>
  <si>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</si>
  <si>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</si>
  <si>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</si>
  <si>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</si>
  <si>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</si>
  <si>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</si>
  <si>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</si>
  <si>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</si>
  <si>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</si>
  <si>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</si>
  <si>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</si>
  <si>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</si>
  <si>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</si>
  <si>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</si>
  <si>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</si>
  <si>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</si>
  <si>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</si>
  <si>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</si>
  <si>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</si>
  <si>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</si>
  <si>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</si>
  <si>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</si>
  <si>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</si>
  <si>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</si>
  <si>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</si>
  <si>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</si>
  <si>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</si>
  <si>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</si>
  <si>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</si>
  <si>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</si>
  <si>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</si>
  <si>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</si>
  <si>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</si>
  <si>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</si>
  <si>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</si>
  <si>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</si>
  <si>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</si>
  <si>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</si>
  <si>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</si>
  <si>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</si>
  <si>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</si>
  <si>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</si>
  <si>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</si>
  <si>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</si>
  <si>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</si>
  <si>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</si>
  <si>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</si>
  <si>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</si>
  <si>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</si>
  <si>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</si>
  <si>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</si>
  <si>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</si>
  <si>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</si>
  <si>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</si>
  <si>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</si>
  <si>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</si>
  <si>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</si>
  <si>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</si>
  <si>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</si>
  <si>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</si>
  <si>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</si>
  <si>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</si>
  <si>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</si>
  <si>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</si>
  <si>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</si>
  <si>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</si>
  <si>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</si>
  <si>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</si>
  <si>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</si>
  <si>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</si>
  <si>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</si>
  <si>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</si>
  <si>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</si>
  <si>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</si>
  <si>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</si>
  <si>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</si>
  <si>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</si>
  <si>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</si>
  <si>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</si>
  <si>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</si>
  <si>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</si>
  <si>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</si>
  <si>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</si>
  <si>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</si>
  <si>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</si>
  <si>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</si>
  <si>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</si>
  <si>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</si>
  <si>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</si>
  <si>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</si>
  <si>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</si>
  <si>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</si>
  <si>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</si>
  <si>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</si>
  <si>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</si>
  <si>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</si>
  <si>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</si>
  <si>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</si>
  <si>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</si>
  <si>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</si>
  <si>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</si>
  <si>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</si>
  <si>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</si>
  <si>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</si>
  <si>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</si>
  <si>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</si>
  <si>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</si>
  <si>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</si>
  <si>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</si>
  <si>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</si>
  <si>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</si>
  <si>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</si>
  <si>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</si>
  <si>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</si>
  <si>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</si>
  <si>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</si>
  <si>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</si>
  <si>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</si>
  <si>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</si>
  <si>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</si>
  <si>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</si>
  <si>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</si>
  <si>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</si>
  <si>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</si>
  <si>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</si>
  <si>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</si>
  <si>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</si>
  <si>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</si>
  <si>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</si>
  <si>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</si>
  <si>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</si>
  <si>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</si>
  <si>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</si>
  <si>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</si>
  <si>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</si>
  <si>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</si>
  <si>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</si>
  <si>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</si>
  <si>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</si>
  <si>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</si>
  <si>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</si>
  <si>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</si>
  <si>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</si>
  <si>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</si>
  <si>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</si>
  <si>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</si>
  <si>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</si>
  <si>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</si>
  <si>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</si>
  <si>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</si>
  <si>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</si>
  <si>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</si>
  <si>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</si>
  <si>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</si>
  <si>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</si>
  <si>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</si>
  <si>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</si>
  <si>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</si>
  <si>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</si>
  <si>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</si>
  <si>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</si>
  <si>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</si>
  <si>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</si>
  <si>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</si>
  <si>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</si>
  <si>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</si>
  <si>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</si>
  <si>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</si>
  <si>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</si>
  <si>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</si>
  <si>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</si>
  <si>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</si>
  <si>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</si>
  <si>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</si>
  <si>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</si>
  <si>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</si>
  <si>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</si>
  <si>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</si>
  <si>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</si>
  <si>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</si>
  <si>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</si>
  <si>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</si>
  <si>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</si>
  <si>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</si>
  <si>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</si>
  <si>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</si>
  <si>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</si>
  <si>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</si>
  <si>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</si>
  <si>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</si>
  <si>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</si>
  <si>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</si>
  <si>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</si>
  <si>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</si>
  <si>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</si>
  <si>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</si>
  <si>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</si>
  <si>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</si>
  <si>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</si>
  <si>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</si>
  <si>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</si>
  <si>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</si>
  <si>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</si>
  <si>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</si>
  <si>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</si>
  <si>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</si>
  <si>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</si>
  <si>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</si>
  <si>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</si>
  <si>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</si>
  <si>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</si>
  <si>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</si>
  <si>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</si>
  <si>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</si>
  <si>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</si>
  <si>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</si>
  <si>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</si>
  <si>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</si>
  <si>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</si>
  <si>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</si>
  <si>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</si>
  <si>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</si>
  <si>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</si>
  <si>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</si>
  <si>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</si>
  <si>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</si>
  <si>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</si>
  <si>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</si>
  <si>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</si>
  <si>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</si>
  <si>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</si>
  <si>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</si>
  <si>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</si>
  <si>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</si>
  <si>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</si>
  <si>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</si>
  <si>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</si>
  <si>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</si>
  <si>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</si>
  <si>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</si>
  <si>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</si>
  <si>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</si>
  <si>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</si>
  <si>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</si>
  <si>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</si>
  <si>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</si>
  <si>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</si>
  <si>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</si>
  <si>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</si>
  <si>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</si>
  <si>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</si>
  <si>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</si>
  <si>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</si>
  <si>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</si>
  <si>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</si>
  <si>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</si>
  <si>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</si>
  <si>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</si>
  <si>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</si>
  <si>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</si>
  <si>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</si>
  <si>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</si>
  <si>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</si>
  <si>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</si>
  <si>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</si>
  <si>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</si>
  <si>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</si>
  <si>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</si>
  <si>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</si>
  <si>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</si>
  <si>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</si>
  <si>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</si>
  <si>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</si>
  <si>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</si>
  <si>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</si>
  <si>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</si>
  <si>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</si>
  <si>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</si>
  <si>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</si>
  <si>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</si>
  <si>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</si>
  <si>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</si>
  <si>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</si>
  <si>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</si>
  <si>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</si>
  <si>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</si>
  <si>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</si>
  <si>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</si>
  <si>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</si>
  <si>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</si>
  <si>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</si>
  <si>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</si>
  <si>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</si>
  <si>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</si>
  <si>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</si>
  <si>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</si>
  <si>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</si>
  <si>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</si>
  <si>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</si>
  <si>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</si>
  <si>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</si>
  <si>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</si>
  <si>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</si>
  <si>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</si>
  <si>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</si>
  <si>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</si>
  <si>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</si>
  <si>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</si>
  <si>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</si>
  <si>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</si>
  <si>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</si>
  <si>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</si>
  <si>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</si>
  <si>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</si>
  <si>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</si>
  <si>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</si>
  <si>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</si>
  <si>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</si>
  <si>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</si>
  <si>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</si>
  <si>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</si>
  <si>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</si>
  <si>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</si>
  <si>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</si>
  <si>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</si>
  <si>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</si>
  <si>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</si>
  <si>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</si>
  <si>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</si>
  <si>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</si>
  <si>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</si>
  <si>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</si>
  <si>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</si>
  <si>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</si>
  <si>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</si>
  <si>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</si>
  <si>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</si>
  <si>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</si>
  <si>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</si>
  <si>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</si>
  <si>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</si>
  <si>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</si>
  <si>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</si>
  <si>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</si>
  <si>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</si>
  <si>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</si>
  <si>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</si>
  <si>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</si>
  <si>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</si>
  <si>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</si>
  <si>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</si>
  <si>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</si>
  <si>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</si>
  <si>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</si>
  <si>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</si>
  <si>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</si>
  <si>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</si>
  <si>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</si>
  <si>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</si>
  <si>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</si>
  <si>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</si>
  <si>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</si>
  <si>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</si>
  <si>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</si>
  <si>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</si>
  <si>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</si>
  <si>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</si>
  <si>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</si>
  <si>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</si>
  <si>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</si>
  <si>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</si>
  <si>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</si>
  <si>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</si>
  <si>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</si>
  <si>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</si>
  <si>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</si>
  <si>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</si>
  <si>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</si>
  <si>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</si>
  <si>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</si>
  <si>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</si>
  <si>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</si>
  <si>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</si>
  <si>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</si>
  <si>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</si>
  <si>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</si>
  <si>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</si>
  <si>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</si>
  <si>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</si>
  <si>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</si>
  <si>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</si>
  <si>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</si>
  <si>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</si>
  <si>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</si>
  <si>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</si>
  <si>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</si>
  <si>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</si>
  <si>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</si>
  <si>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</si>
  <si>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</si>
  <si>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</si>
  <si>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</si>
  <si>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</si>
  <si>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</si>
  <si>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</si>
  <si>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</si>
  <si>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</si>
  <si>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</si>
  <si>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</si>
  <si>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</si>
  <si>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</si>
  <si>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</si>
  <si>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</si>
  <si>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</si>
  <si>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</si>
  <si>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</si>
  <si>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</si>
  <si>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</si>
  <si>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</si>
  <si>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</si>
  <si>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</si>
  <si>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</si>
  <si>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</si>
  <si>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</si>
  <si>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</si>
  <si>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</si>
  <si>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</si>
  <si>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</si>
  <si>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</si>
  <si>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</si>
  <si>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</si>
  <si>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</si>
  <si>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</si>
  <si>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</si>
  <si>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</si>
  <si>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</si>
  <si>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</si>
  <si>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</si>
  <si>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</si>
  <si>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</si>
  <si>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</si>
  <si>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</si>
  <si>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</si>
  <si>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</si>
  <si>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</si>
  <si>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</si>
  <si>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</si>
  <si>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</si>
  <si>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</si>
  <si>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</si>
  <si>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</si>
  <si>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</si>
  <si>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</si>
  <si>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</si>
  <si>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</si>
  <si>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</si>
  <si>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</si>
  <si>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</si>
  <si>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</si>
  <si>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</si>
  <si>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</si>
  <si>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</si>
  <si>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</si>
  <si>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</si>
  <si>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</si>
  <si>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</si>
  <si>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</si>
  <si>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</si>
  <si>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</si>
  <si>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</si>
  <si>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</si>
  <si>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</si>
  <si>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</si>
  <si>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</si>
  <si>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</si>
  <si>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</si>
  <si>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</si>
  <si>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</si>
  <si>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</si>
  <si>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</si>
  <si>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</si>
  <si>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</si>
  <si>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</si>
  <si>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</si>
  <si>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</si>
  <si>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</si>
  <si>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</si>
  <si>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</si>
  <si>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</si>
  <si>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</si>
  <si>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</si>
  <si>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</si>
  <si>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</si>
  <si>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</si>
  <si>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</si>
  <si>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</si>
  <si>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</si>
  <si>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</si>
  <si>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</si>
  <si>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</si>
  <si>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</si>
  <si>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</si>
  <si>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</si>
  <si>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</si>
  <si>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</si>
  <si>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</si>
  <si>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</si>
  <si>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</si>
  <si>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</si>
  <si>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</si>
  <si>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</si>
  <si>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</si>
  <si>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</si>
  <si>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</si>
  <si>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</si>
  <si>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</si>
  <si>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</si>
  <si>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</si>
  <si>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</si>
  <si>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</si>
  <si>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</si>
  <si>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</si>
  <si>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</si>
  <si>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</si>
  <si>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</si>
  <si>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</si>
  <si>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</si>
  <si>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</si>
  <si>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</si>
  <si>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</si>
  <si>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</si>
  <si>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</si>
  <si>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</si>
  <si>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</si>
  <si>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</si>
  <si>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</si>
  <si>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</si>
  <si>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</si>
  <si>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</si>
  <si>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</si>
  <si>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</si>
  <si>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</si>
  <si>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</si>
  <si>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</si>
  <si>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</si>
  <si>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</si>
  <si>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</si>
  <si>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</si>
  <si>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</si>
  <si>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</si>
  <si>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</si>
  <si>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</si>
  <si>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</si>
  <si>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</si>
  <si>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</si>
  <si>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</si>
  <si>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</si>
  <si>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</si>
  <si>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</si>
  <si>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</si>
  <si>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</si>
  <si>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</si>
  <si>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</si>
  <si>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</si>
  <si>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</si>
  <si>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</si>
  <si>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</si>
  <si>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</si>
  <si>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</si>
  <si>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</si>
  <si>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</si>
  <si>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</si>
  <si>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</si>
  <si>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</si>
  <si>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</si>
  <si>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</si>
  <si>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</si>
  <si>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</si>
  <si>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</si>
  <si>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</si>
  <si>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</si>
  <si>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</si>
  <si>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</si>
  <si>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</si>
  <si>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</si>
  <si>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</si>
  <si>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</si>
  <si>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</si>
  <si>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</si>
  <si>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</si>
  <si>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</si>
  <si>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</si>
  <si>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</si>
  <si>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</si>
  <si>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</si>
  <si>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</si>
  <si>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</si>
  <si>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</si>
  <si>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</si>
  <si>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</si>
  <si>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</si>
  <si>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</si>
  <si>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</si>
  <si>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</si>
  <si>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</si>
  <si>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</si>
  <si>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</si>
  <si>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</si>
  <si>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</si>
  <si>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</si>
  <si>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</si>
  <si>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</si>
  <si>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</si>
  <si>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</si>
  <si>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</si>
  <si>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</si>
  <si>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</si>
  <si>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</si>
  <si>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</si>
  <si>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</si>
  <si>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</si>
  <si>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</si>
  <si>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</si>
  <si>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</si>
  <si>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</si>
  <si>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</si>
  <si>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</si>
  <si>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</si>
  <si>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</si>
  <si>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</si>
  <si>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</si>
  <si>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</si>
  <si>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</si>
  <si>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</si>
  <si>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</si>
  <si>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</si>
  <si>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</si>
  <si>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</si>
  <si>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</si>
  <si>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</si>
  <si>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</si>
  <si>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</si>
  <si>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</si>
  <si>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</si>
  <si>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</si>
  <si>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</si>
  <si>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</si>
  <si>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</si>
  <si>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</si>
  <si>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</si>
  <si>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</si>
  <si>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</si>
  <si>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</si>
  <si>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</si>
  <si>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</si>
  <si>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</si>
  <si>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</si>
  <si>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</si>
  <si>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</si>
  <si>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</si>
  <si>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</si>
  <si>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</si>
  <si>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</si>
  <si>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</si>
  <si>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</si>
  <si>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</si>
  <si>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</si>
  <si>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</si>
  <si>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</si>
  <si>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</si>
  <si>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</si>
  <si>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</si>
  <si>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</si>
  <si>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</si>
  <si>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</si>
  <si>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</si>
  <si>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</si>
  <si>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</si>
  <si>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</si>
  <si>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</si>
  <si>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</si>
  <si>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</si>
  <si>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</si>
  <si>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</si>
  <si>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</si>
  <si>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</si>
  <si>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</si>
  <si>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</si>
  <si>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</si>
  <si>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</si>
  <si>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</si>
  <si>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</si>
  <si>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</si>
  <si>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</si>
  <si>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</si>
  <si>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</si>
  <si>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</si>
  <si>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</si>
  <si>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</si>
  <si>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</si>
  <si>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</si>
  <si>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</si>
  <si>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</si>
  <si>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</si>
  <si>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</si>
  <si>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</si>
  <si>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</si>
  <si>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</si>
  <si>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</si>
  <si>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</si>
  <si>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</si>
  <si>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</si>
  <si>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</si>
  <si>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</si>
  <si>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</si>
  <si>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</si>
  <si>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</si>
  <si>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</si>
  <si>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</si>
  <si>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</si>
  <si>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</si>
  <si>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</si>
  <si>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</si>
  <si>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</si>
  <si>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</si>
  <si>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</si>
  <si>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</si>
  <si>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</si>
  <si>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</si>
  <si>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</si>
  <si>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</si>
  <si>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</si>
  <si>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</si>
  <si>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</si>
  <si>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</si>
  <si>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</si>
  <si>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</si>
  <si>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</si>
  <si>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</si>
  <si>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</si>
  <si>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</si>
  <si>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</si>
  <si>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</si>
  <si>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</si>
  <si>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</si>
  <si>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</si>
  <si>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</si>
  <si>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</si>
  <si>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</si>
  <si>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</si>
  <si>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</si>
  <si>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</si>
  <si>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</si>
  <si>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</si>
  <si>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</si>
  <si>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</si>
  <si>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</si>
  <si>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</si>
  <si>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</si>
  <si>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</si>
  <si>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</si>
  <si>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</si>
  <si>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</si>
  <si>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</si>
  <si>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</si>
  <si>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</si>
  <si>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</si>
  <si>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</si>
  <si>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</si>
  <si>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</si>
  <si>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</si>
  <si>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</si>
  <si>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</si>
  <si>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</si>
  <si>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</si>
  <si>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</si>
  <si>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</si>
  <si>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</si>
  <si>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</si>
  <si>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</si>
  <si>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</si>
  <si>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</si>
  <si>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</si>
  <si>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</si>
  <si>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</si>
  <si>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</si>
  <si>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</si>
  <si>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</si>
  <si>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</si>
  <si>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</si>
  <si>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</si>
  <si>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</si>
  <si>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</si>
  <si>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</si>
  <si>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</si>
  <si>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</si>
  <si>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</si>
  <si>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</si>
  <si>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</si>
  <si>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</si>
  <si>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</si>
  <si>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</si>
  <si>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</si>
  <si>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</si>
  <si>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</si>
  <si>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</si>
  <si>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</si>
  <si>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</si>
  <si>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</si>
  <si>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</si>
  <si>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</si>
  <si>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</si>
  <si>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</si>
  <si>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</si>
  <si>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</si>
  <si>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</si>
  <si>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</si>
  <si>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</si>
  <si>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</si>
  <si>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</si>
  <si>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</si>
  <si>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</si>
  <si>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</si>
  <si>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</si>
  <si>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</si>
  <si>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</si>
  <si>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</si>
  <si>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</si>
  <si>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</si>
  <si>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</si>
  <si>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</si>
  <si>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</si>
  <si>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</si>
  <si>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</si>
  <si>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</si>
  <si>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</si>
  <si>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</si>
  <si>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</si>
  <si>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</si>
  <si>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</si>
  <si>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</si>
  <si>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</si>
  <si>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</si>
  <si>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</si>
  <si>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</si>
  <si>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</si>
  <si>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</si>
  <si>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</si>
  <si>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</si>
  <si>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</si>
  <si>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</si>
  <si>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</si>
  <si>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</si>
  <si>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</si>
  <si>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</si>
  <si>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</si>
  <si>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</si>
  <si>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</si>
  <si>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</si>
  <si>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</si>
  <si>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</si>
  <si>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</si>
  <si>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</si>
  <si>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</si>
  <si>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</si>
  <si>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</si>
  <si>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</si>
  <si>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</si>
  <si>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</si>
  <si>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</si>
  <si>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</si>
  <si>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</si>
  <si>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</si>
  <si>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</si>
  <si>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</si>
  <si>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</si>
  <si>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</si>
  <si>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</si>
  <si>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</si>
  <si>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</si>
  <si>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</si>
  <si>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</si>
  <si>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</si>
  <si>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</si>
  <si>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</si>
  <si>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</si>
  <si>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</si>
  <si>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</si>
  <si>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</si>
  <si>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</si>
  <si>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</si>
  <si>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</si>
  <si>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</si>
  <si>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</si>
  <si>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</si>
  <si>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</si>
  <si>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</si>
  <si>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</si>
  <si>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</si>
  <si>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</si>
  <si>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</si>
  <si>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</si>
  <si>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</si>
  <si>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</si>
  <si>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</si>
  <si>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</si>
  <si>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</si>
  <si>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</si>
  <si>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</si>
  <si>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</si>
  <si>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</si>
  <si>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</si>
  <si>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</si>
  <si>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</si>
  <si>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</si>
  <si>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</si>
  <si>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</si>
  <si>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</si>
  <si>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</si>
  <si>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</si>
  <si>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</si>
  <si>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</si>
  <si>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</si>
  <si>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</si>
  <si>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</si>
  <si>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</si>
  <si>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</si>
  <si>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</si>
  <si>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</si>
  <si>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</si>
  <si>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</si>
  <si>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</si>
  <si>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</si>
  <si>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</si>
  <si>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</si>
  <si>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</si>
  <si>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</si>
  <si>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</si>
  <si>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</si>
  <si>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</si>
  <si>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</si>
  <si>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</si>
  <si>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</si>
  <si>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</si>
  <si>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</si>
  <si>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</si>
  <si>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</si>
  <si>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</si>
  <si>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</si>
  <si>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</si>
  <si>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</si>
  <si>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</si>
  <si>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</si>
  <si>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</si>
  <si>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</si>
  <si>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</si>
  <si>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</si>
  <si>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</si>
  <si>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</si>
  <si>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</si>
  <si>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</si>
  <si>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</si>
  <si>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</si>
  <si>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</si>
  <si>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</si>
  <si>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</si>
  <si>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</si>
  <si>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</si>
  <si>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</si>
  <si>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</si>
  <si>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</si>
  <si>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</si>
  <si>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</si>
  <si>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</si>
  <si>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</si>
  <si>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</si>
  <si>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</si>
  <si>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</si>
  <si>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</si>
  <si>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</si>
  <si>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</si>
  <si>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</si>
  <si>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</si>
  <si>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</si>
  <si>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</si>
  <si>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</si>
  <si>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</si>
  <si>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</si>
  <si>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</si>
  <si>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</si>
  <si>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</si>
  <si>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</si>
  <si>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</si>
  <si>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</si>
  <si>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</si>
  <si>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</si>
  <si>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</si>
  <si>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</si>
  <si>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</si>
  <si>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</si>
  <si>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</si>
  <si>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</si>
  <si>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</si>
  <si>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</si>
  <si>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</si>
  <si>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</si>
  <si>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</si>
  <si>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</si>
  <si>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</si>
  <si>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</si>
  <si>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</si>
  <si>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</si>
  <si>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</si>
  <si>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</si>
  <si>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</si>
  <si>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</si>
  <si>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</si>
  <si>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</si>
  <si>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</si>
  <si>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</si>
  <si>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</si>
  <si>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</si>
  <si>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</si>
  <si>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</si>
  <si>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</si>
  <si>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</si>
  <si>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</si>
  <si>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</si>
  <si>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</si>
  <si>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</si>
  <si>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</si>
  <si>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</si>
  <si>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</si>
  <si>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</si>
  <si>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</si>
  <si>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</si>
  <si>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</si>
  <si>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</si>
  <si>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</si>
  <si>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</si>
  <si>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</si>
  <si>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</si>
  <si>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</si>
  <si>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</si>
  <si>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</si>
  <si>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</si>
  <si>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</si>
  <si>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</si>
  <si>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</si>
  <si>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</si>
  <si>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</si>
  <si>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</si>
  <si>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</si>
  <si>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</si>
  <si>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</si>
  <si>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</si>
  <si>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</si>
  <si>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</si>
  <si>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</si>
  <si>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</si>
  <si>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</si>
  <si>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</si>
  <si>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</si>
  <si>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</si>
  <si>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</si>
  <si>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</si>
  <si>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</si>
  <si>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</si>
  <si>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</si>
  <si>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</si>
  <si>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</si>
  <si>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</si>
  <si>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</si>
  <si>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</si>
  <si>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</si>
  <si>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</si>
  <si>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</si>
  <si>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</si>
  <si>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</si>
  <si>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</si>
  <si>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</si>
  <si>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</si>
  <si>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</si>
  <si>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</si>
  <si>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</si>
  <si>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</si>
  <si>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</si>
  <si>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</si>
  <si>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</si>
  <si>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</si>
  <si>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</si>
  <si>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</si>
  <si>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</si>
  <si>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</si>
  <si>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</si>
  <si>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</si>
  <si>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</si>
  <si>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</si>
  <si>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</si>
  <si>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</si>
  <si>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</si>
  <si>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</si>
  <si>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</si>
  <si>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</si>
  <si>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</si>
  <si>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</si>
  <si>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</si>
  <si>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</si>
  <si>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</si>
  <si>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</si>
  <si>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</si>
  <si>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</si>
  <si>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</si>
  <si>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</si>
  <si>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</si>
  <si>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</si>
  <si>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</si>
  <si>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</si>
  <si>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</si>
  <si>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</si>
  <si>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</si>
  <si>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</si>
  <si>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</si>
  <si>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</si>
  <si>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</si>
  <si>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</si>
  <si>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</si>
  <si>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</si>
  <si>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</si>
  <si>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</si>
  <si>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</si>
  <si>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</si>
  <si>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</si>
  <si>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</si>
  <si>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</si>
  <si>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</si>
  <si>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</si>
  <si>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</si>
  <si>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</si>
  <si>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</si>
  <si>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</si>
  <si>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</si>
  <si>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</si>
  <si>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</si>
  <si>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</si>
  <si>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</si>
  <si>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</si>
  <si>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</si>
  <si>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</si>
  <si>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</si>
  <si>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</si>
  <si>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</si>
  <si>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</si>
  <si>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</si>
  <si>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</si>
  <si>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</si>
  <si>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</si>
  <si>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</si>
  <si>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</si>
  <si>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</si>
  <si>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</si>
  <si>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</si>
  <si>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</si>
  <si>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</si>
  <si>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</si>
  <si>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</si>
  <si>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</si>
  <si>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</si>
  <si>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</si>
  <si>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</si>
  <si>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</si>
  <si>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</si>
  <si>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</si>
  <si>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</si>
  <si>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</si>
  <si>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</si>
  <si>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</si>
  <si>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</si>
  <si>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</si>
  <si>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</si>
  <si>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</si>
  <si>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</si>
  <si>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</si>
  <si>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</si>
  <si>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</si>
  <si>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</si>
  <si>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</si>
  <si>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</si>
  <si>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</si>
  <si>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</si>
  <si>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</si>
  <si>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</si>
  <si>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</si>
  <si>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</si>
  <si>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</si>
  <si>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</si>
  <si>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</si>
  <si>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</si>
  <si>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</si>
  <si>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</si>
  <si>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</si>
  <si>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</si>
  <si>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</si>
  <si>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</si>
  <si>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</si>
  <si>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</si>
  <si>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</si>
  <si>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</si>
  <si>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</si>
  <si>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</si>
  <si>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</si>
  <si>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</si>
  <si>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</si>
  <si>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</si>
  <si>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</si>
  <si>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</si>
  <si>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</si>
  <si>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</si>
  <si>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</si>
  <si>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</si>
  <si>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</si>
  <si>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</si>
  <si>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</si>
  <si>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</si>
  <si>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</si>
  <si>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</si>
  <si>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</si>
  <si>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</si>
  <si>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</si>
  <si>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</si>
  <si>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</si>
  <si>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</si>
  <si>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</si>
  <si>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</si>
  <si>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</si>
  <si>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</si>
  <si>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</si>
  <si>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</si>
  <si>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</si>
  <si>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</si>
  <si>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</si>
  <si>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</si>
  <si>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</si>
  <si>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</si>
  <si>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</si>
  <si>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</si>
  <si>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</si>
  <si>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</si>
  <si>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</si>
  <si>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</si>
  <si>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</si>
  <si>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</si>
  <si>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</si>
  <si>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</si>
  <si>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</si>
  <si>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</si>
  <si>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</si>
  <si>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</si>
  <si>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</si>
  <si>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</si>
  <si>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</si>
  <si>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</si>
  <si>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</si>
  <si>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</si>
  <si>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</si>
  <si>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</si>
  <si>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</si>
  <si>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</si>
  <si>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</si>
  <si>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</si>
  <si>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</si>
  <si>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</si>
  <si>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</si>
  <si>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</si>
  <si>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</si>
  <si>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</si>
  <si>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</si>
  <si>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</si>
  <si>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</si>
  <si>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</si>
  <si>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</si>
  <si>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</si>
  <si>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</si>
  <si>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</si>
  <si>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</si>
  <si>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</si>
  <si>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</si>
  <si>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</si>
  <si>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</si>
  <si>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</si>
  <si>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</si>
  <si>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</si>
  <si>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</si>
  <si>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</si>
  <si>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</si>
  <si>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</si>
  <si>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</si>
  <si>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</si>
  <si>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</si>
  <si>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</si>
  <si>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</si>
  <si>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</si>
  <si>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</si>
  <si>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</si>
  <si>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</si>
  <si>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</si>
  <si>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</si>
  <si>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</si>
  <si>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</si>
  <si>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</si>
  <si>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</si>
  <si>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</si>
  <si>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</si>
  <si>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</si>
  <si>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</si>
  <si>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</si>
  <si>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</si>
  <si>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</si>
  <si>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</si>
  <si>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</si>
  <si>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</si>
  <si>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</si>
  <si>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</si>
  <si>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</si>
  <si>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</si>
  <si>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</si>
  <si>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</si>
  <si>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</si>
  <si>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</si>
  <si>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</si>
  <si>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</si>
  <si>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</si>
  <si>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</si>
  <si>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</si>
  <si>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</si>
  <si>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</si>
  <si>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</si>
  <si>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</si>
  <si>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</si>
  <si>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</si>
  <si>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</si>
  <si>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</si>
  <si>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</si>
  <si>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</si>
  <si>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</si>
  <si>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</si>
  <si>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</si>
  <si>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</si>
  <si>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</si>
  <si>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</si>
  <si>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</si>
  <si>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</si>
  <si>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</si>
  <si>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</si>
  <si>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</si>
  <si>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</si>
  <si>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</si>
  <si>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</si>
  <si>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</si>
  <si>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</si>
  <si>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</si>
  <si>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</si>
  <si>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</si>
  <si>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</si>
  <si>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</si>
  <si>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</si>
  <si>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</si>
  <si>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</si>
  <si>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</si>
  <si>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</si>
  <si>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</si>
  <si>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</si>
  <si>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</si>
  <si>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</si>
  <si>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</si>
  <si>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</si>
  <si>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</si>
  <si>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</si>
  <si>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</si>
  <si>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</si>
  <si>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</si>
  <si>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</si>
  <si>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</si>
  <si>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</si>
  <si>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</si>
  <si>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</si>
  <si>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</si>
  <si>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</si>
  <si>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</si>
  <si>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</si>
  <si>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</si>
  <si>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</si>
  <si>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</si>
  <si>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</si>
  <si>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</si>
  <si>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</si>
  <si>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</si>
  <si>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</si>
  <si>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</si>
  <si>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</si>
  <si>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</si>
  <si>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</si>
  <si>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</si>
  <si>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</si>
  <si>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</si>
  <si>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</si>
  <si>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</si>
  <si>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</si>
  <si>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</si>
  <si>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</si>
  <si>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</si>
  <si>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</si>
  <si>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</si>
  <si>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</si>
  <si>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</si>
  <si>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</si>
  <si>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</si>
  <si>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</si>
  <si>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</si>
  <si>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</si>
  <si>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</si>
  <si>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</si>
  <si>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</si>
  <si>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</si>
  <si>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</si>
  <si>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</si>
  <si>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</si>
  <si>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</si>
  <si>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</si>
  <si>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</si>
  <si>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</si>
  <si>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</si>
  <si>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</si>
  <si>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</si>
  <si>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</si>
  <si>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</si>
  <si>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</si>
  <si>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</si>
  <si>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</si>
  <si>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</si>
  <si>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</si>
  <si>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</si>
  <si>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</si>
  <si>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</si>
  <si>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</si>
  <si>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</si>
  <si>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</si>
  <si>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</si>
  <si>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</si>
  <si>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</si>
  <si>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</si>
  <si>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</si>
  <si>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</si>
  <si>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</si>
  <si>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</si>
  <si>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</si>
  <si>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</si>
  <si>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</si>
  <si>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</si>
  <si>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</si>
  <si>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</si>
  <si>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</si>
  <si>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</si>
  <si>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</si>
  <si>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</si>
  <si>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</si>
  <si>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</si>
  <si>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</si>
  <si>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</si>
  <si>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</si>
  <si>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</si>
  <si>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</si>
  <si>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</si>
  <si>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</si>
  <si>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</si>
  <si>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</si>
  <si>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</si>
  <si>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</si>
  <si>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</si>
  <si>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</si>
  <si>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</si>
  <si>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</si>
  <si>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</si>
  <si>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</si>
  <si>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</si>
  <si>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</si>
  <si>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</si>
  <si>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</si>
  <si>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</si>
  <si>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</si>
  <si>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</si>
  <si>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</si>
  <si>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</si>
  <si>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</si>
  <si>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</si>
  <si>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</si>
  <si>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</si>
  <si>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</si>
  <si>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</si>
  <si>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</si>
  <si>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</si>
  <si>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</si>
  <si>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</si>
  <si>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</si>
  <si>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</si>
  <si>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</si>
  <si>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</si>
  <si>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</si>
  <si>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</si>
  <si>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</si>
  <si>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</si>
  <si>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</si>
  <si>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</si>
  <si>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</si>
  <si>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</si>
  <si>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</si>
  <si>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</si>
  <si>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</si>
  <si>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</si>
  <si>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</si>
  <si>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</si>
  <si>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</si>
  <si>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</si>
  <si>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</si>
  <si>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</si>
  <si>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</si>
  <si>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</si>
  <si>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</si>
  <si>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</si>
  <si>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</si>
  <si>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</si>
  <si>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</si>
  <si>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</si>
  <si>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</si>
  <si>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</si>
  <si>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</si>
  <si>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</si>
  <si>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</si>
  <si>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</si>
  <si>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</si>
  <si>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</si>
  <si>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</si>
  <si>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</si>
  <si>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</si>
  <si>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</si>
  <si>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</si>
  <si>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</si>
  <si>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</si>
  <si>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</si>
  <si>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</si>
  <si>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</si>
  <si>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</si>
  <si>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</si>
  <si>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</si>
  <si>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</si>
  <si>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</si>
  <si>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</si>
  <si>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</si>
  <si>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</si>
  <si>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</si>
  <si>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</si>
  <si>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</si>
  <si>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</si>
  <si>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</si>
  <si>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</si>
  <si>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</si>
  <si>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</si>
  <si>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</si>
  <si>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</si>
  <si>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</si>
  <si>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</si>
  <si>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</si>
  <si>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</si>
  <si>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</si>
  <si>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</si>
  <si>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</si>
  <si>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</si>
  <si>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</si>
  <si>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</si>
  <si>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</si>
  <si>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</si>
  <si>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</si>
  <si>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</si>
  <si>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</si>
  <si>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</si>
  <si>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</si>
  <si>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</si>
  <si>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</si>
  <si>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</si>
  <si>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</si>
  <si>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</si>
  <si>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</si>
  <si>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</si>
  <si>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</si>
  <si>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</si>
  <si>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</si>
  <si>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</si>
  <si>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</si>
  <si>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</si>
  <si>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</si>
  <si>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</si>
  <si>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</si>
  <si>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</si>
  <si>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</si>
  <si>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</si>
  <si>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</si>
  <si>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</si>
  <si>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</si>
  <si>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</si>
  <si>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</si>
  <si>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</si>
  <si>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</si>
  <si>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</si>
  <si>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</si>
  <si>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</si>
  <si>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</si>
  <si>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</si>
  <si>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</si>
  <si>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</si>
  <si>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</si>
  <si>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</si>
  <si>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</si>
  <si>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</si>
  <si>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</si>
  <si>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</si>
  <si>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</si>
  <si>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</si>
  <si>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</si>
  <si>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</si>
  <si>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</si>
  <si>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</si>
  <si>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</si>
  <si>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</si>
  <si>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</si>
  <si>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</si>
  <si>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</si>
  <si>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</si>
  <si>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</si>
  <si>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</si>
  <si>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</si>
  <si>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</si>
  <si>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</si>
  <si>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</si>
  <si>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</si>
  <si>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</si>
  <si>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</si>
  <si>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</si>
  <si>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</si>
  <si>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</si>
  <si>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</si>
  <si>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</si>
  <si>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</si>
  <si>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</si>
  <si>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</si>
  <si>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</si>
  <si>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</si>
  <si>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</si>
  <si>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</si>
  <si>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</si>
  <si>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</si>
  <si>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</si>
  <si>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</si>
  <si>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</si>
  <si>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</si>
  <si>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</si>
  <si>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</si>
  <si>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</si>
  <si>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</si>
  <si>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</si>
  <si>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</si>
  <si>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</si>
  <si>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</si>
  <si>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</si>
  <si>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</si>
  <si>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</si>
  <si>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</si>
  <si>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</si>
  <si>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</si>
  <si>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</si>
  <si>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</si>
  <si>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</si>
  <si>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</si>
  <si>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</si>
  <si>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</si>
  <si>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</si>
  <si>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</si>
  <si>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</si>
  <si>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</si>
  <si>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</si>
  <si>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</si>
  <si>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</si>
  <si>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</si>
  <si>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</si>
  <si>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</si>
  <si>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</si>
  <si>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</si>
  <si>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</si>
  <si>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</si>
  <si>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</si>
  <si>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</si>
  <si>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</si>
  <si>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</si>
  <si>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</si>
  <si>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</si>
  <si>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</si>
  <si>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</si>
  <si>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</si>
  <si>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</si>
  <si>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</si>
  <si>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</si>
  <si>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</si>
  <si>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</si>
  <si>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</si>
  <si>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</si>
  <si>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</si>
  <si>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</si>
  <si>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</si>
  <si>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</si>
  <si>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</si>
  <si>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</si>
  <si>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</si>
  <si>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</si>
  <si>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</si>
  <si>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</si>
  <si>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</si>
  <si>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</si>
  <si>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</si>
  <si>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</si>
  <si>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</si>
  <si>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</si>
  <si>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</si>
  <si>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</si>
  <si>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</si>
  <si>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</si>
  <si>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</si>
  <si>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</si>
  <si>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</si>
  <si>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</si>
  <si>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</si>
  <si>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</si>
  <si>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</si>
  <si>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</si>
  <si>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</si>
  <si>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</si>
  <si>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</si>
  <si>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</si>
  <si>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</si>
  <si>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</si>
  <si>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</si>
  <si>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</si>
  <si>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</si>
  <si>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</si>
  <si>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</si>
  <si>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</si>
  <si>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</si>
  <si>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</si>
  <si>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</si>
  <si>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</si>
  <si>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</si>
  <si>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</si>
  <si>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</si>
  <si>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</si>
  <si>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</si>
  <si>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</si>
  <si>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</si>
  <si>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</si>
  <si>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</si>
  <si>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</si>
  <si>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</si>
  <si>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</si>
  <si>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</si>
  <si>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</si>
  <si>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</si>
  <si>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</si>
  <si>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</si>
  <si>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</si>
  <si>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</si>
  <si>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</si>
  <si>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</si>
  <si>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</si>
  <si>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</si>
  <si>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</si>
  <si>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</si>
  <si>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</si>
  <si>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</si>
  <si>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</si>
  <si>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</si>
  <si>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</si>
  <si>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</si>
  <si>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</si>
  <si>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</si>
  <si>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</si>
  <si>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</si>
  <si>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</si>
  <si>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</si>
  <si>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</si>
  <si>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</si>
  <si>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</si>
  <si>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</si>
  <si>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</si>
  <si>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</si>
  <si>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</si>
  <si>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</si>
  <si>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</si>
  <si>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</si>
  <si>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</si>
  <si>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</si>
  <si>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</si>
  <si>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</si>
  <si>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</si>
  <si>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</si>
  <si>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</si>
  <si>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</si>
  <si>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</si>
  <si>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</si>
  <si>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</si>
  <si>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</si>
  <si>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</si>
  <si>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</si>
  <si>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</si>
  <si>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</si>
  <si>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</si>
  <si>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</si>
  <si>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</si>
  <si>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</si>
  <si>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</si>
  <si>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</si>
  <si>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</si>
  <si>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</si>
  <si>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</si>
  <si>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</si>
  <si>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</si>
  <si>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</si>
  <si>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</si>
  <si>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</si>
  <si>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</si>
  <si>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</si>
  <si>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</si>
  <si>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</si>
  <si>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</si>
  <si>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</si>
  <si>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</si>
  <si>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</si>
  <si>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</si>
  <si>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</si>
  <si>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</si>
  <si>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</si>
  <si>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</si>
  <si>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</si>
  <si>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</si>
  <si>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</si>
  <si>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</si>
  <si>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</si>
  <si>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</si>
  <si>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</si>
  <si>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</si>
  <si>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</si>
  <si>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</si>
  <si>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</si>
  <si>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</si>
  <si>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</si>
  <si>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</si>
  <si>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</si>
  <si>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</si>
  <si>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</si>
  <si>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</si>
  <si>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</si>
  <si>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</si>
  <si>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</si>
  <si>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</si>
  <si>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</si>
  <si>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</si>
  <si>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</si>
  <si>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</si>
  <si>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</si>
  <si>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</si>
  <si>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</si>
  <si>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</si>
  <si>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</si>
  <si>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</si>
  <si>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</si>
  <si>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</si>
  <si>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</si>
  <si>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</si>
  <si>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</si>
  <si>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</si>
  <si>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</si>
  <si>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</si>
  <si>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</si>
  <si>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</si>
  <si>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</si>
  <si>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</si>
  <si>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</si>
  <si>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</si>
  <si>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</si>
  <si>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</si>
  <si>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</si>
  <si>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</si>
  <si>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</si>
  <si>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</si>
  <si>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</si>
  <si>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</si>
  <si>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</si>
  <si>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</si>
  <si>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</si>
  <si>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</si>
  <si>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</si>
  <si>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</si>
  <si>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</si>
  <si>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</si>
  <si>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</si>
  <si>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</si>
  <si>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</si>
  <si>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</si>
  <si>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</si>
  <si>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</si>
  <si>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</si>
  <si>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</si>
  <si>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</si>
  <si>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</si>
  <si>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</si>
  <si>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</si>
  <si>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</si>
  <si>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</si>
  <si>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</si>
  <si>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</si>
  <si>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</si>
  <si>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</si>
  <si>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</si>
  <si>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</si>
  <si>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</si>
  <si>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</si>
  <si>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</si>
  <si>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</si>
  <si>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</si>
  <si>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</si>
  <si>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</si>
  <si>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</si>
  <si>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</si>
  <si>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</si>
  <si>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</si>
  <si>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</si>
  <si>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</si>
  <si>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</si>
  <si>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</si>
  <si>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</si>
  <si>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</si>
  <si>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</si>
  <si>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</si>
  <si>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</si>
  <si>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</si>
  <si>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</si>
  <si>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</si>
  <si>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</si>
  <si>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</si>
  <si>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</si>
  <si>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</si>
  <si>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</si>
  <si>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</si>
  <si>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</si>
  <si>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</si>
  <si>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</si>
  <si>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</si>
  <si>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</si>
  <si>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</si>
  <si>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</si>
  <si>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</si>
  <si>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</si>
  <si>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</si>
  <si>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</si>
  <si>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</si>
  <si>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</si>
  <si>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</si>
  <si>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</si>
  <si>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</si>
  <si>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</si>
  <si>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</si>
  <si>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</si>
  <si>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</si>
  <si>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</si>
  <si>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</si>
  <si>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</si>
  <si>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</si>
  <si>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</si>
  <si>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</si>
  <si>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</si>
  <si>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</si>
  <si>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</si>
  <si>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</si>
  <si>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</si>
  <si>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</si>
  <si>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</si>
  <si>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</si>
  <si>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</si>
  <si>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</si>
  <si>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</si>
  <si>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</si>
  <si>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</si>
  <si>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</si>
  <si>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</si>
  <si>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</si>
  <si>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</si>
  <si>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</si>
  <si>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</si>
  <si>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</si>
  <si>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</si>
  <si>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</si>
  <si>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</si>
  <si>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</si>
  <si>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</si>
  <si>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</si>
  <si>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</si>
  <si>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</si>
  <si>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</si>
  <si>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</si>
  <si>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</si>
  <si>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</si>
  <si>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</si>
  <si>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</si>
  <si>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</si>
  <si>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</si>
  <si>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</si>
  <si>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</si>
  <si>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</si>
  <si>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</si>
  <si>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</si>
  <si>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</si>
  <si>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</si>
  <si>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</si>
  <si>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</si>
  <si>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</si>
  <si>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</si>
  <si>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</si>
  <si>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</si>
  <si>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</si>
  <si>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</si>
  <si>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</si>
  <si>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</si>
  <si>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</si>
  <si>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</si>
  <si>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</si>
  <si>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</si>
  <si>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</si>
  <si>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</si>
  <si>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</si>
  <si>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</si>
  <si>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</si>
  <si>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</si>
  <si>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</si>
  <si>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</si>
  <si>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</si>
  <si>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</si>
  <si>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</si>
  <si>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</si>
  <si>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</si>
  <si>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</si>
  <si>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</si>
  <si>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</si>
  <si>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</si>
  <si>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</si>
  <si>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</si>
  <si>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</si>
  <si>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</si>
  <si>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</si>
  <si>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</si>
  <si>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</si>
  <si>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</si>
  <si>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</si>
  <si>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</si>
  <si>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</si>
  <si>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</si>
  <si>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</si>
  <si>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</si>
  <si>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</si>
  <si>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</si>
  <si>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</si>
  <si>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</si>
  <si>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</si>
  <si>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</si>
  <si>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</si>
  <si>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</si>
  <si>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</si>
  <si>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</si>
  <si>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</si>
  <si>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</si>
  <si>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</si>
  <si>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</si>
  <si>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</si>
  <si>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</si>
  <si>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</si>
  <si>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</si>
  <si>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</si>
  <si>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</si>
  <si>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</si>
  <si>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</si>
  <si>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</si>
  <si>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</si>
  <si>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</si>
  <si>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</si>
  <si>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</si>
  <si>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</si>
  <si>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</si>
  <si>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</si>
  <si>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</si>
  <si>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</si>
  <si>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</si>
  <si>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</si>
  <si>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</si>
  <si>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</si>
  <si>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</si>
  <si>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</si>
  <si>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</si>
  <si>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</si>
  <si>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</si>
  <si>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</si>
  <si>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</si>
  <si>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</si>
  <si>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</si>
  <si>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</si>
  <si>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</si>
  <si>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</si>
  <si>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</si>
  <si>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</si>
  <si>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</si>
  <si>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</si>
  <si>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</si>
  <si>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</si>
  <si>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</si>
  <si>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</si>
  <si>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</si>
  <si>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</si>
  <si>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</si>
  <si>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</si>
  <si>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</si>
  <si>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</si>
  <si>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</si>
  <si>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</si>
  <si>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</si>
  <si>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</si>
  <si>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</si>
  <si>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</si>
  <si>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</si>
  <si>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</si>
  <si>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</si>
  <si>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</si>
  <si>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</si>
  <si>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</si>
  <si>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</si>
  <si>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</si>
  <si>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</si>
  <si>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</si>
  <si>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</si>
  <si>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</si>
  <si>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</si>
  <si>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</si>
  <si>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</si>
  <si>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</si>
  <si>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</si>
  <si>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</si>
  <si>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</si>
  <si>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</si>
  <si>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</si>
  <si>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</si>
  <si>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</si>
  <si>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</si>
  <si>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</si>
  <si>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</si>
  <si>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</si>
  <si>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</si>
  <si>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</si>
  <si>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</si>
  <si>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</si>
  <si>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</si>
  <si>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</si>
  <si>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</si>
  <si>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</si>
  <si>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</si>
  <si>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</si>
  <si>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</si>
  <si>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</si>
  <si>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</si>
  <si>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</si>
  <si>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</si>
  <si>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</si>
  <si>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</si>
  <si>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</si>
  <si>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</si>
  <si>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</si>
  <si>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</si>
  <si>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</si>
  <si>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</si>
  <si>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</si>
  <si>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</si>
  <si>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</si>
  <si>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</si>
  <si>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</si>
  <si>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</si>
  <si>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</si>
  <si>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</si>
  <si>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</si>
  <si>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</si>
  <si>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</si>
  <si>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</si>
  <si>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</si>
  <si>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</si>
  <si>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</si>
  <si>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</si>
  <si>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</si>
  <si>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</si>
  <si>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</si>
  <si>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</si>
  <si>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</si>
  <si>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</si>
  <si>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</si>
  <si>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</si>
  <si>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</si>
  <si>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</si>
  <si>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</si>
  <si>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</si>
  <si>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</si>
  <si>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</si>
  <si>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</si>
  <si>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</si>
  <si>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</si>
  <si>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</si>
  <si>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</si>
  <si>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</si>
  <si>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</si>
  <si>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</si>
  <si>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</si>
  <si>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</si>
  <si>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</si>
  <si>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</si>
  <si>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</si>
  <si>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</si>
  <si>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</si>
  <si>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</si>
  <si>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</si>
  <si>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</si>
  <si>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</si>
  <si>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</si>
  <si>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</si>
  <si>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</si>
  <si>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</si>
  <si>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</si>
  <si>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</si>
  <si>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</si>
  <si>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</si>
  <si>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</si>
  <si>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</si>
  <si>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</si>
  <si>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</si>
  <si>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</si>
  <si>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</si>
  <si>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</si>
  <si>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</si>
  <si>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</si>
  <si>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</si>
  <si>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</si>
  <si>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</si>
  <si>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</si>
  <si>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</si>
  <si>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</si>
  <si>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</si>
  <si>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</si>
  <si>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</si>
  <si>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</si>
  <si>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</si>
  <si>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</si>
  <si>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</si>
  <si>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</si>
  <si>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</si>
  <si>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</si>
  <si>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</si>
  <si>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</si>
  <si>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</si>
  <si>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</si>
  <si>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</si>
  <si>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</si>
  <si>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</si>
  <si>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</si>
  <si>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</si>
  <si>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</si>
  <si>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</si>
  <si>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</si>
  <si>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</si>
  <si>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</si>
  <si>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</si>
  <si>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</si>
  <si>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</si>
  <si>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</si>
  <si>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</si>
  <si>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</si>
  <si>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</si>
  <si>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</si>
  <si>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</si>
  <si>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</si>
  <si>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</si>
  <si>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</si>
  <si>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</si>
  <si>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</si>
  <si>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</si>
  <si>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</si>
  <si>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</si>
  <si>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</si>
  <si>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</si>
  <si>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</si>
  <si>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</si>
  <si>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</si>
  <si>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</si>
  <si>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</si>
  <si>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</si>
  <si>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</si>
  <si>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</si>
  <si>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</si>
  <si>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</si>
  <si>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</si>
  <si>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</si>
  <si>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</si>
  <si>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</si>
  <si>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</si>
  <si>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</si>
  <si>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</si>
  <si>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</si>
  <si>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</si>
  <si>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</si>
  <si>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</si>
  <si>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</si>
  <si>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</si>
  <si>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</si>
  <si>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</si>
  <si>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</si>
  <si>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</si>
  <si>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</si>
  <si>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</si>
  <si>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</si>
  <si>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</si>
  <si>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</si>
  <si>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</si>
  <si>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</si>
  <si>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</si>
  <si>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</si>
  <si>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</si>
  <si>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</si>
  <si>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</si>
  <si>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</si>
  <si>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</si>
  <si>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</si>
  <si>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</si>
  <si>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</si>
  <si>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</si>
  <si>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</si>
  <si>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</si>
  <si>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</si>
  <si>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</si>
  <si>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</si>
  <si>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</si>
  <si>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</si>
  <si>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</si>
  <si>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</si>
  <si>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</si>
  <si>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</si>
  <si>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</si>
  <si>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</si>
  <si>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</si>
  <si>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</si>
  <si>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</si>
  <si>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</si>
  <si>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</si>
  <si>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</si>
  <si>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</si>
  <si>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</si>
  <si>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</si>
  <si>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</si>
  <si>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</si>
  <si>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</si>
  <si>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</si>
  <si>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</si>
  <si>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</si>
  <si>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</si>
  <si>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</si>
  <si>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</si>
  <si>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</si>
  <si>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</si>
  <si>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</si>
  <si>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</si>
  <si>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</si>
  <si>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</si>
  <si>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</si>
  <si>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</si>
  <si>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</si>
  <si>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</si>
  <si>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</si>
  <si>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</si>
  <si>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</si>
  <si>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</si>
  <si>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</si>
  <si>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</si>
  <si>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</si>
  <si>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</si>
  <si>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</si>
  <si>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</si>
  <si>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</si>
  <si>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</si>
  <si>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</si>
  <si>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</si>
  <si>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</si>
  <si>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</si>
  <si>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</si>
  <si>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</si>
  <si>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</si>
  <si>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</si>
  <si>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</si>
  <si>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</si>
  <si>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</si>
  <si>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</si>
  <si>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</si>
  <si>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</si>
  <si>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</si>
  <si>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</si>
  <si>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</si>
  <si>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</si>
  <si>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</si>
  <si>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</si>
  <si>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</si>
  <si>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</si>
  <si>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</si>
  <si>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</si>
  <si>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</si>
  <si>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</si>
  <si>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</si>
  <si>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</si>
  <si>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</si>
  <si>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</si>
  <si>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</si>
  <si>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</si>
  <si>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</si>
  <si>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</si>
  <si>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</si>
  <si>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</si>
  <si>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</si>
  <si>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</si>
  <si>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</si>
  <si>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</si>
  <si>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</si>
  <si>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</si>
  <si>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</si>
  <si>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</si>
  <si>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</si>
  <si>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</si>
  <si>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</si>
  <si>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</si>
  <si>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</si>
  <si>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</si>
  <si>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</si>
  <si>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</si>
  <si>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</si>
  <si>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</si>
  <si>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</si>
  <si>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</si>
  <si>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</si>
  <si>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</si>
  <si>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</si>
  <si>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</si>
  <si>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</si>
  <si>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</si>
  <si>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</si>
  <si>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</si>
  <si>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</si>
  <si>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</si>
  <si>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</si>
  <si>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</si>
  <si>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</si>
  <si>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</si>
  <si>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</si>
  <si>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</si>
  <si>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</si>
  <si>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</si>
  <si>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</si>
  <si>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</si>
  <si>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</si>
  <si>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</si>
  <si>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</si>
  <si>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</si>
  <si>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</si>
  <si>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</si>
  <si>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</si>
  <si>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</si>
  <si>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</si>
  <si>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</si>
  <si>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</si>
  <si>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</si>
  <si>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</si>
  <si>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</si>
  <si>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</si>
  <si>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</si>
  <si>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</si>
  <si>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</si>
  <si>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</si>
  <si>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</si>
  <si>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</si>
  <si>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</si>
  <si>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</si>
  <si>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</si>
  <si>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</si>
  <si>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</si>
  <si>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</si>
  <si>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</si>
  <si>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</si>
  <si>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</si>
  <si>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</si>
  <si>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</si>
  <si>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</si>
  <si>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</si>
  <si>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</si>
  <si>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</si>
  <si>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</si>
  <si>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</si>
  <si>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</si>
  <si>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</si>
  <si>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</si>
  <si>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</si>
  <si>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</si>
  <si>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</si>
  <si>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</si>
  <si>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</si>
  <si>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</si>
  <si>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</si>
  <si>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</si>
  <si>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</si>
  <si>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</si>
  <si>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</si>
  <si>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</si>
  <si>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</si>
  <si>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</si>
  <si>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</si>
  <si>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</si>
  <si>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</si>
  <si>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</si>
  <si>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</si>
  <si>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</si>
  <si>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</si>
  <si>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</si>
  <si>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</si>
  <si>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</si>
  <si>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</si>
  <si>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</si>
  <si>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</si>
  <si>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</si>
  <si>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</si>
  <si>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</si>
  <si>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</si>
  <si>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</si>
  <si>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</si>
  <si>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</si>
  <si>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</si>
  <si>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</si>
  <si>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</si>
  <si>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</si>
  <si>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</si>
  <si>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</si>
  <si>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</si>
  <si>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</si>
  <si>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</si>
  <si>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</si>
  <si>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</si>
  <si>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</si>
  <si>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</si>
  <si>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</si>
  <si>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</si>
  <si>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</si>
  <si>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</si>
  <si>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</si>
  <si>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</si>
  <si>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</si>
  <si>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</si>
  <si>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</si>
  <si>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</si>
  <si>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</si>
  <si>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</si>
  <si>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</si>
  <si>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</si>
  <si>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</si>
  <si>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</si>
  <si>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</si>
  <si>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</si>
  <si>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</si>
  <si>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</si>
  <si>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</si>
  <si>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</si>
  <si>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</si>
  <si>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</si>
  <si>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</si>
  <si>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</si>
  <si>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</si>
  <si>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</si>
  <si>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</si>
  <si>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</si>
  <si>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</si>
  <si>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</si>
  <si>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</si>
  <si>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</si>
  <si>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</si>
  <si>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</si>
  <si>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</si>
  <si>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</si>
  <si>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</si>
  <si>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</si>
  <si>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</si>
  <si>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</si>
  <si>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</si>
  <si>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</si>
  <si>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</si>
  <si>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</si>
  <si>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</si>
  <si>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</si>
  <si>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</si>
  <si>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</si>
  <si>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</si>
  <si>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</si>
  <si>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</si>
  <si>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</si>
  <si>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</si>
  <si>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</si>
  <si>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</si>
  <si>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</si>
  <si>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</si>
  <si>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</si>
  <si>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</si>
  <si>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</si>
  <si>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</si>
  <si>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</si>
  <si>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</si>
  <si>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</si>
  <si>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</si>
  <si>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</si>
  <si>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</si>
  <si>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</si>
  <si>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</si>
  <si>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</si>
  <si>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</si>
  <si>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</si>
  <si>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</si>
  <si>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</si>
  <si>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</si>
  <si>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</si>
  <si>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</si>
  <si>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</si>
  <si>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</si>
  <si>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</si>
  <si>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</si>
  <si>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</si>
  <si>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</si>
  <si>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</si>
  <si>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</si>
  <si>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</si>
  <si>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</si>
  <si>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</si>
  <si>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</si>
  <si>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</si>
  <si>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</si>
  <si>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</si>
  <si>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</si>
  <si>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</si>
  <si>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</si>
  <si>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</si>
  <si>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</si>
  <si>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</si>
  <si>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</si>
  <si>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</si>
  <si>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</si>
  <si>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</si>
  <si>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</si>
  <si>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</si>
  <si>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</si>
  <si>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</si>
  <si>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</si>
  <si>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</si>
  <si>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</si>
  <si>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</si>
  <si>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</si>
  <si>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</si>
  <si>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</si>
  <si>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</si>
  <si>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</si>
  <si>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</si>
  <si>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</si>
  <si>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</si>
  <si>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</si>
  <si>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</si>
  <si>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</si>
  <si>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</si>
  <si>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</si>
  <si>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</si>
  <si>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</si>
  <si>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</si>
  <si>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</si>
  <si>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</si>
  <si>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</si>
  <si>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</si>
  <si>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</si>
  <si>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</si>
  <si>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</si>
  <si>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</si>
  <si>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</si>
  <si>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</si>
  <si>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</si>
  <si>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</si>
  <si>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</si>
  <si>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</si>
  <si>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</si>
  <si>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</si>
  <si>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</si>
  <si>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</si>
  <si>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</si>
  <si>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</si>
  <si>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</si>
  <si>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</si>
  <si>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</si>
  <si>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</si>
  <si>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</si>
  <si>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</si>
  <si>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</si>
  <si>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</si>
  <si>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</si>
  <si>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</si>
  <si>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</si>
  <si>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</si>
  <si>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</si>
  <si>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</si>
  <si>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</si>
  <si>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</si>
  <si>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</si>
  <si>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</si>
  <si>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</si>
  <si>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</si>
  <si>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</si>
  <si>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</si>
  <si>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</si>
  <si>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</si>
  <si>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</si>
  <si>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</si>
  <si>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</si>
  <si>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</si>
  <si>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</si>
  <si>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</si>
  <si>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</si>
  <si>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</si>
  <si>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</si>
  <si>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</si>
  <si>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</si>
  <si>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</si>
  <si>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</si>
  <si>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</si>
  <si>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</si>
  <si>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</si>
  <si>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</si>
  <si>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</si>
  <si>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</si>
  <si>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</si>
  <si>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</si>
  <si>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</si>
  <si>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</si>
  <si>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</si>
  <si>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</si>
  <si>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</si>
  <si>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</si>
  <si>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</si>
  <si>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</si>
  <si>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</si>
  <si>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</si>
  <si>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</si>
  <si>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</si>
  <si>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</si>
  <si>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</si>
  <si>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</si>
  <si>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</si>
  <si>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</si>
  <si>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</si>
  <si>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</si>
  <si>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</si>
  <si>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</si>
  <si>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</si>
  <si>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</si>
  <si>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</si>
  <si>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</si>
  <si>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</si>
  <si>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</si>
  <si>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</si>
  <si>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</si>
  <si>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</si>
  <si>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</si>
  <si>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</si>
  <si>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</si>
  <si>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</si>
  <si>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</si>
  <si>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</si>
  <si>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</si>
  <si>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</si>
  <si>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</si>
  <si>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</si>
  <si>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</si>
  <si>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</si>
  <si>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</si>
  <si>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</si>
  <si>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</si>
  <si>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</si>
  <si>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</si>
  <si>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</si>
  <si>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</si>
  <si>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</si>
  <si>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</si>
  <si>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</si>
  <si>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</si>
  <si>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</si>
  <si>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</si>
  <si>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</si>
  <si>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</si>
  <si>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</si>
  <si>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</si>
  <si>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</si>
  <si>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</si>
  <si>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</si>
  <si>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</si>
  <si>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</si>
  <si>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</si>
  <si>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</si>
  <si>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</si>
  <si>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</si>
  <si>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</si>
  <si>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</si>
  <si>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</si>
  <si>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</si>
  <si>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</si>
  <si>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</si>
  <si>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</si>
  <si>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</si>
  <si>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</si>
  <si>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</si>
  <si>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</si>
  <si>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</si>
  <si>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</si>
  <si>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</si>
  <si>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</si>
  <si>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</si>
  <si>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</si>
  <si>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</si>
  <si>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</si>
  <si>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</si>
  <si>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</si>
  <si>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</si>
  <si>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</si>
  <si>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</si>
  <si>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</si>
  <si>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</si>
  <si>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</si>
  <si>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</si>
  <si>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</si>
  <si>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</si>
  <si>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</si>
  <si>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</si>
  <si>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</si>
  <si>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</si>
  <si>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</si>
  <si>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</si>
  <si>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</si>
  <si>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</si>
  <si>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</si>
  <si>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</si>
  <si>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</si>
  <si>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</si>
  <si>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</si>
  <si>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</si>
  <si>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</si>
  <si>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</si>
  <si>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</si>
  <si>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</si>
  <si>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</si>
  <si>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</si>
  <si>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</si>
  <si>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</si>
  <si>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</si>
  <si>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</si>
  <si>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</si>
  <si>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</si>
  <si>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</si>
  <si>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</si>
  <si>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</si>
  <si>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</si>
  <si>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</si>
  <si>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</si>
  <si>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</si>
  <si>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</si>
  <si>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</si>
  <si>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</si>
  <si>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</si>
  <si>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</si>
  <si>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</si>
  <si>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</si>
  <si>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</si>
  <si>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</si>
  <si>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</si>
  <si>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</si>
  <si>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</si>
  <si>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</si>
  <si>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</si>
  <si>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</si>
  <si>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</si>
  <si>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</si>
  <si>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</si>
  <si>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</si>
  <si>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</si>
  <si>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</si>
  <si>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</si>
  <si>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</si>
  <si>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</si>
  <si>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</si>
  <si>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</si>
  <si>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</si>
  <si>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</si>
  <si>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</si>
  <si>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</si>
  <si>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</si>
  <si>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</si>
  <si>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</si>
  <si>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</si>
  <si>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</si>
  <si>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</si>
  <si>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</si>
  <si>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</si>
  <si>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</si>
  <si>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</si>
  <si>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</si>
  <si>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</si>
  <si>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</si>
  <si>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</si>
  <si>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</si>
  <si>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</si>
  <si>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</si>
  <si>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</si>
  <si>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</si>
  <si>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</si>
  <si>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</si>
  <si>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</si>
  <si>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</si>
  <si>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</si>
  <si>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</si>
  <si>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</si>
  <si>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</si>
  <si>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</si>
  <si>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</si>
  <si>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</si>
  <si>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</si>
  <si>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</si>
  <si>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</si>
  <si>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</si>
  <si>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</si>
  <si>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</si>
  <si>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</si>
  <si>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</si>
  <si>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</si>
  <si>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</si>
  <si>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</si>
  <si>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</si>
  <si>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</si>
  <si>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</si>
  <si>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</si>
  <si>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</si>
  <si>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</si>
  <si>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</si>
  <si>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</si>
  <si>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</si>
  <si>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</si>
  <si>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</si>
  <si>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</si>
  <si>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</si>
  <si>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</si>
  <si>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</si>
  <si>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</si>
  <si>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</si>
  <si>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</si>
  <si>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</si>
  <si>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</si>
  <si>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</si>
  <si>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</si>
  <si>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</si>
  <si>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</si>
  <si>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</si>
  <si>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</si>
  <si>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</si>
  <si>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</si>
  <si>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</si>
  <si>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</si>
  <si>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</si>
  <si>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</si>
  <si>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</si>
  <si>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</si>
  <si>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</si>
  <si>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</si>
  <si>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</si>
  <si>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</si>
  <si>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</si>
  <si>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</si>
  <si>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</si>
  <si>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</si>
  <si>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</si>
  <si>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</si>
  <si>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</si>
  <si>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</si>
  <si>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</si>
  <si>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</si>
  <si>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</si>
  <si>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</si>
  <si>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</si>
  <si>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</si>
  <si>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</si>
  <si>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</si>
  <si>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</si>
  <si>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</si>
  <si>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</si>
  <si>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</si>
  <si>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</si>
  <si>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</si>
  <si>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</si>
  <si>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</si>
  <si>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</si>
  <si>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</si>
  <si>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</si>
  <si>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</si>
  <si>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</si>
  <si>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</si>
  <si>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</si>
  <si>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</si>
  <si>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</si>
  <si>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</si>
  <si>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</si>
  <si>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</si>
  <si>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</si>
  <si>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</si>
  <si>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</si>
  <si>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</si>
  <si>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</si>
  <si>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</si>
  <si>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</si>
  <si>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</si>
  <si>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</si>
  <si>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</si>
  <si>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</si>
  <si>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</si>
  <si>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</si>
  <si>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</si>
  <si>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</si>
  <si>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</si>
  <si>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</si>
  <si>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</si>
  <si>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</si>
  <si>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</si>
  <si>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</si>
  <si>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</si>
  <si>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</si>
  <si>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</si>
  <si>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</si>
  <si>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</si>
  <si>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</si>
  <si>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</si>
  <si>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</si>
  <si>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</si>
  <si>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</si>
  <si>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</si>
  <si>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</si>
  <si>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</si>
  <si>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</si>
  <si>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</si>
  <si>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</si>
  <si>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</si>
  <si>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</si>
  <si>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</si>
  <si>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</si>
  <si>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</si>
  <si>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</si>
  <si>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</si>
  <si>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</si>
  <si>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</si>
  <si>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</si>
  <si>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</si>
  <si>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</si>
  <si>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</si>
  <si>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</si>
  <si>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</si>
  <si>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</si>
  <si>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</si>
  <si>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</si>
  <si>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</si>
  <si>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</si>
  <si>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</si>
  <si>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</si>
  <si>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</si>
  <si>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</si>
  <si>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</si>
  <si>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</si>
  <si>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</si>
  <si>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</si>
  <si>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</si>
  <si>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</si>
  <si>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</si>
  <si>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</si>
  <si>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</si>
  <si>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</si>
  <si>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</si>
  <si>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</si>
  <si>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</si>
  <si>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</si>
  <si>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</si>
  <si>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</si>
  <si>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</si>
  <si>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</si>
  <si>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</si>
  <si>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</si>
  <si>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</si>
  <si>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</si>
  <si>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</si>
  <si>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</si>
  <si>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</si>
  <si>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</si>
  <si>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</si>
  <si>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</si>
  <si>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</si>
  <si>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</si>
  <si>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</si>
  <si>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</si>
  <si>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</si>
  <si>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</si>
  <si>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</si>
  <si>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</si>
  <si>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</si>
  <si>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</si>
  <si>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</si>
  <si>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</si>
  <si>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</si>
  <si>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</si>
  <si>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</si>
  <si>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</si>
  <si>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</si>
  <si>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</si>
  <si>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</si>
  <si>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</si>
  <si>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</si>
  <si>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</si>
  <si>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</si>
  <si>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</si>
  <si>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</si>
  <si>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</si>
  <si>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</si>
  <si>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</si>
  <si>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</si>
  <si>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</si>
  <si>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</si>
  <si>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</si>
  <si>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</si>
  <si>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</si>
  <si>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</si>
  <si>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</si>
  <si>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</si>
  <si>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</si>
  <si>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</si>
  <si>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</si>
  <si>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</si>
  <si>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</si>
  <si>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</si>
  <si>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</si>
  <si>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</si>
  <si>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</si>
  <si>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</si>
  <si>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</si>
  <si>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</si>
  <si>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</si>
  <si>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</si>
  <si>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</si>
  <si>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</si>
  <si>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</si>
  <si>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</si>
  <si>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</si>
  <si>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</si>
  <si>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</si>
  <si>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</si>
  <si>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</si>
  <si>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</si>
  <si>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</si>
  <si>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</si>
  <si>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</si>
  <si>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</si>
  <si>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</si>
  <si>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</si>
  <si>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</si>
  <si>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</si>
  <si>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</si>
  <si>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</si>
  <si>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</si>
  <si>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</si>
  <si>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</si>
  <si>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</si>
  <si>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</si>
  <si>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</si>
  <si>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</si>
  <si>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</si>
  <si>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</si>
  <si>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</si>
  <si>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</si>
  <si>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</si>
  <si>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</si>
  <si>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</si>
  <si>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</si>
  <si>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</si>
  <si>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</si>
  <si>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</si>
  <si>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</si>
  <si>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</si>
  <si>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</si>
  <si>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</si>
  <si>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</si>
  <si>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</si>
  <si>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</si>
  <si>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</si>
  <si>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</si>
  <si>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</si>
  <si>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</si>
  <si>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</si>
  <si>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</si>
  <si>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</si>
  <si>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</si>
  <si>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</si>
  <si>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</si>
  <si>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</si>
  <si>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</si>
  <si>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</si>
  <si>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</si>
  <si>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</si>
  <si>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</si>
  <si>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</si>
  <si>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</si>
  <si>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</si>
  <si>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</si>
  <si>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</si>
  <si>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</si>
  <si>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</si>
  <si>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</si>
  <si>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</si>
  <si>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</si>
  <si>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</si>
  <si>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</si>
  <si>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</si>
  <si>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</si>
  <si>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</si>
  <si>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</si>
  <si>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</si>
  <si>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</si>
  <si>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</si>
  <si>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</si>
  <si>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</si>
  <si>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</si>
  <si>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</si>
  <si>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</si>
  <si>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</si>
  <si>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</si>
  <si>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</si>
  <si>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</si>
  <si>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</si>
  <si>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</si>
  <si>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</si>
  <si>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</si>
  <si>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</si>
  <si>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</si>
  <si>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</si>
  <si>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</si>
  <si>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</si>
  <si>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</si>
  <si>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</si>
  <si>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</si>
  <si>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</si>
  <si>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</si>
  <si>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</si>
  <si>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</si>
  <si>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</si>
  <si>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</si>
  <si>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</si>
  <si>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</si>
  <si>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</si>
  <si>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</si>
  <si>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</si>
  <si>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</si>
  <si>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</si>
  <si>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</si>
  <si>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</si>
  <si>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</si>
  <si>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</si>
  <si>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</si>
  <si>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</si>
  <si>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</si>
  <si>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</si>
  <si>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</si>
  <si>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</si>
  <si>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</si>
  <si>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</si>
  <si>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</si>
  <si>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</si>
  <si>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</si>
  <si>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</si>
  <si>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</si>
  <si>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</si>
  <si>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</si>
  <si>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</si>
  <si>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</si>
  <si>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</si>
  <si>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</si>
  <si>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</si>
  <si>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</si>
  <si>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</si>
  <si>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</si>
  <si>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</si>
  <si>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</si>
  <si>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</si>
  <si>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</si>
  <si>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</si>
  <si>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</si>
  <si>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</si>
  <si>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</si>
  <si>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</si>
  <si>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</si>
  <si>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</si>
  <si>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</si>
  <si>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</si>
  <si>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</si>
  <si>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</si>
  <si>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</si>
  <si>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</si>
  <si>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</si>
  <si>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</si>
  <si>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</si>
  <si>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</si>
  <si>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</si>
  <si>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</si>
  <si>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</si>
  <si>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</si>
  <si>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</si>
  <si>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</si>
  <si>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</si>
  <si>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</si>
  <si>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</si>
  <si>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</si>
  <si>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</si>
  <si>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</si>
  <si>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</si>
  <si>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</si>
  <si>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</si>
  <si>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</si>
  <si>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</si>
  <si>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</si>
  <si>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</si>
  <si>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</si>
  <si>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</si>
  <si>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</si>
  <si>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</si>
  <si>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</si>
  <si>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</si>
  <si>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</si>
  <si>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</si>
  <si>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</si>
  <si>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</si>
  <si>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</si>
  <si>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</si>
  <si>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</si>
  <si>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</si>
  <si>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</si>
  <si>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</si>
  <si>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</si>
  <si>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</si>
  <si>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</si>
  <si>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</si>
  <si>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</si>
  <si>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</si>
  <si>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</si>
  <si>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</si>
  <si>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</si>
  <si>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</si>
  <si>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</si>
  <si>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</si>
  <si>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</si>
  <si>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</si>
  <si>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</si>
  <si>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</si>
  <si>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</si>
  <si>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</si>
  <si>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</si>
  <si>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</si>
  <si>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</si>
  <si>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</si>
  <si>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</si>
  <si>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</si>
  <si>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</si>
  <si>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</si>
  <si>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</si>
  <si>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</si>
  <si>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</si>
  <si>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</si>
  <si>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</si>
  <si>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</si>
  <si>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</si>
  <si>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</si>
  <si>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</si>
  <si>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</si>
  <si>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</si>
  <si>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</si>
  <si>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</si>
  <si>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</si>
  <si>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</si>
  <si>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</si>
  <si>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</si>
  <si>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</si>
  <si>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</si>
  <si>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</si>
  <si>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</si>
  <si>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</si>
  <si>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</si>
  <si>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</si>
  <si>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</si>
  <si>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</si>
  <si>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</si>
  <si>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</si>
  <si>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</si>
  <si>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</si>
  <si>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</si>
  <si>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</si>
  <si>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</si>
  <si>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</si>
  <si>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</si>
  <si>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</si>
  <si>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</si>
  <si>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</si>
  <si>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</si>
  <si>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</si>
  <si>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</si>
  <si>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</si>
  <si>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</si>
  <si>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</si>
  <si>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</si>
  <si>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</si>
  <si>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</si>
  <si>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</si>
  <si>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</si>
  <si>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</si>
  <si>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</si>
  <si>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</si>
  <si>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</si>
  <si>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</si>
  <si>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</si>
  <si>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</si>
  <si>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</si>
  <si>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</si>
  <si>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</si>
  <si>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</si>
  <si>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</si>
  <si>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</si>
  <si>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</si>
  <si>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</si>
  <si>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</si>
  <si>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</si>
  <si>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</si>
  <si>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</si>
  <si>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</si>
  <si>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</si>
  <si>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</si>
  <si>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</si>
  <si>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</si>
  <si>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</si>
  <si>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</si>
  <si>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</si>
  <si>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</si>
  <si>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</si>
  <si>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</si>
  <si>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</si>
  <si>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</si>
  <si>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</si>
  <si>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</si>
  <si>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</si>
  <si>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</si>
  <si>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</si>
  <si>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</si>
  <si>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</si>
  <si>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</si>
  <si>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</si>
  <si>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</si>
  <si>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</si>
  <si>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</si>
  <si>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</si>
  <si>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</si>
  <si>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</si>
  <si>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</si>
  <si>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</si>
  <si>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</si>
  <si>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</si>
  <si>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</si>
  <si>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</si>
  <si>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</si>
  <si>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</si>
  <si>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</si>
  <si>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</si>
  <si>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</si>
  <si>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</si>
  <si>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</si>
  <si>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</si>
  <si>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</si>
  <si>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</si>
  <si>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</si>
  <si>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</si>
  <si>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</si>
  <si>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</si>
  <si>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</si>
  <si>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</si>
  <si>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</si>
  <si>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</si>
  <si>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</si>
  <si>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</si>
  <si>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</si>
  <si>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</si>
  <si>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</si>
  <si>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</si>
  <si>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</si>
  <si>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</si>
  <si>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</si>
  <si>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</si>
  <si>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</si>
  <si>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</si>
  <si>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</si>
  <si>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</si>
  <si>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</si>
  <si>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</si>
  <si>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</si>
  <si>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</si>
  <si>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</si>
  <si>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</si>
  <si>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</si>
  <si>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</si>
  <si>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</si>
  <si>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</si>
  <si>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</si>
  <si>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</si>
  <si>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</si>
  <si>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</si>
  <si>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</si>
  <si>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</si>
  <si>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</si>
  <si>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</si>
  <si>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</si>
  <si>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</si>
  <si>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</si>
  <si>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</si>
  <si>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</si>
  <si>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</si>
  <si>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</si>
  <si>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</si>
  <si>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</si>
  <si>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</si>
  <si>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</si>
  <si>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</si>
  <si>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</si>
  <si>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</si>
  <si>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</si>
  <si>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</si>
  <si>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</si>
  <si>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</si>
  <si>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</si>
  <si>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</si>
  <si>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</si>
  <si>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</si>
  <si>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</si>
  <si>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</si>
  <si>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</si>
  <si>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</si>
  <si>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</si>
  <si>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</si>
  <si>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</si>
  <si>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</si>
  <si>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</si>
  <si>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</si>
  <si>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</si>
  <si>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</si>
  <si>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</si>
  <si>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</si>
  <si>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</si>
  <si>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</si>
  <si>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</si>
  <si>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</si>
  <si>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</si>
  <si>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</si>
  <si>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</si>
  <si>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</si>
  <si>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</si>
  <si>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</si>
  <si>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</si>
  <si>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</si>
  <si>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</si>
  <si>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</si>
  <si>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</si>
  <si>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</si>
  <si>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</si>
  <si>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</si>
  <si>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</si>
  <si>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</si>
  <si>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</si>
  <si>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</si>
  <si>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</si>
  <si>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</si>
  <si>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</si>
  <si>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</si>
  <si>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</si>
  <si>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</si>
  <si>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</si>
  <si>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</si>
  <si>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</si>
  <si>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</si>
  <si>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</si>
  <si>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</si>
  <si>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</si>
  <si>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</si>
  <si>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</si>
  <si>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</si>
  <si>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</si>
  <si>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</si>
  <si>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</si>
  <si>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</si>
  <si>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</si>
  <si>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</si>
  <si>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</si>
  <si>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</si>
  <si>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</si>
  <si>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</si>
  <si>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</si>
  <si>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</si>
  <si>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</si>
  <si>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</si>
  <si>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</si>
  <si>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</si>
  <si>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</si>
  <si>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</si>
  <si>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</si>
  <si>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</si>
  <si>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</si>
  <si>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</si>
  <si>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</si>
  <si>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</si>
  <si>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</si>
  <si>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</si>
  <si>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</si>
  <si>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</si>
  <si>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</si>
  <si>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</si>
  <si>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</si>
  <si>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</si>
  <si>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</si>
  <si>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</si>
  <si>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</si>
  <si>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</si>
  <si>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</si>
  <si>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</si>
  <si>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</si>
  <si>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</si>
  <si>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</si>
  <si>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</si>
  <si>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</si>
  <si>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</si>
  <si>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</si>
  <si>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</si>
  <si>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</si>
  <si>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</si>
  <si>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</si>
  <si>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</si>
  <si>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</si>
  <si>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</si>
  <si>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</si>
  <si>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</si>
  <si>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</si>
  <si>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</si>
  <si>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</si>
  <si>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</si>
  <si>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</si>
  <si>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</si>
  <si>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</si>
  <si>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</si>
  <si>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</si>
  <si>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</si>
  <si>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</si>
  <si>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</si>
  <si>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</si>
  <si>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</si>
  <si>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</si>
  <si>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</si>
  <si>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</si>
  <si>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</si>
  <si>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</si>
  <si>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</si>
  <si>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</si>
  <si>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</si>
  <si>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</si>
  <si>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</si>
  <si>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</si>
  <si>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</si>
  <si>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</si>
  <si>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</si>
  <si>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</si>
  <si>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</si>
  <si>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</si>
  <si>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</si>
  <si>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</si>
  <si>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</si>
  <si>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</si>
  <si>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</si>
  <si>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</si>
  <si>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</si>
  <si>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</si>
  <si>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</si>
  <si>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</si>
  <si>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</si>
  <si>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</si>
  <si>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</si>
  <si>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</si>
  <si>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</si>
  <si>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</si>
  <si>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</si>
  <si>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</si>
  <si>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</si>
  <si>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</si>
  <si>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</si>
  <si>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</si>
  <si>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</si>
  <si>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</si>
  <si>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</si>
  <si>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</si>
  <si>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</si>
  <si>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</si>
  <si>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</si>
  <si>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</si>
  <si>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</si>
  <si>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</si>
  <si>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</si>
  <si>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</si>
  <si>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</si>
  <si>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</si>
  <si>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</si>
  <si>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</si>
  <si>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</si>
  <si>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</si>
  <si>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</si>
  <si>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</si>
  <si>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</si>
  <si>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</si>
  <si>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</si>
  <si>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</si>
  <si>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</si>
  <si>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</si>
  <si>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</si>
  <si>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</si>
  <si>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</si>
  <si>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</si>
  <si>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</si>
  <si>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</si>
  <si>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</si>
  <si>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</si>
  <si>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</si>
  <si>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</si>
  <si>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</si>
  <si>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</si>
  <si>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</si>
  <si>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</si>
  <si>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</si>
  <si>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</si>
  <si>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</si>
  <si>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</si>
  <si>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</si>
  <si>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</si>
  <si>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</si>
  <si>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</si>
  <si>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</si>
  <si>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</si>
  <si>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</si>
  <si>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</si>
  <si>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</si>
  <si>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</si>
  <si>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</si>
  <si>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</si>
  <si>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</si>
  <si>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</si>
  <si>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</si>
  <si>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</si>
  <si>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</si>
  <si>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</si>
  <si>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</si>
  <si>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</si>
  <si>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</si>
  <si>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</si>
  <si>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</si>
  <si>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</si>
  <si>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</si>
  <si>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</si>
  <si>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</si>
  <si>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</si>
  <si>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</si>
  <si>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</si>
  <si>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</si>
  <si>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</si>
  <si>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</si>
  <si>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</si>
  <si>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</si>
  <si>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</si>
  <si>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</si>
  <si>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</si>
  <si>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</si>
  <si>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</si>
  <si>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</si>
  <si>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</si>
  <si>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</si>
  <si>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</si>
  <si>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</si>
  <si>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</si>
  <si>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</si>
  <si>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</si>
  <si>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</si>
  <si>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</si>
  <si>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</si>
  <si>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</si>
  <si>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</si>
  <si>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</si>
  <si>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</si>
  <si>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</si>
  <si>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</si>
  <si>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</si>
  <si>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</si>
  <si>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</si>
  <si>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</si>
  <si>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</si>
  <si>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</si>
  <si>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</si>
  <si>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</si>
  <si>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</si>
  <si>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</si>
  <si>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</si>
  <si>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</si>
  <si>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</si>
  <si>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</si>
  <si>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</si>
  <si>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</si>
  <si>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</si>
  <si>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</si>
  <si>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</si>
  <si>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</si>
  <si>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</si>
  <si>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</si>
  <si>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</si>
  <si>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</si>
  <si>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</si>
  <si>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</si>
  <si>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</si>
  <si>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</si>
  <si>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</si>
  <si>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</si>
  <si>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</si>
  <si>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</si>
  <si>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</si>
  <si>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</si>
  <si>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</si>
  <si>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</si>
  <si>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</si>
  <si>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</si>
  <si>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</si>
  <si>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</si>
  <si>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</si>
  <si>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</si>
  <si>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</si>
  <si>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</si>
  <si>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</si>
  <si>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</si>
  <si>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</si>
  <si>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</si>
  <si>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</si>
  <si>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</si>
  <si>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</si>
  <si>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</si>
  <si>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</si>
  <si>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</si>
  <si>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</si>
  <si>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</si>
  <si>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</si>
  <si>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</si>
  <si>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</si>
  <si>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</si>
  <si>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</si>
  <si>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</si>
  <si>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</si>
  <si>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</si>
  <si>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</si>
  <si>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</si>
  <si>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</si>
  <si>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</si>
  <si>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</si>
  <si>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</si>
  <si>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</si>
  <si>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</si>
  <si>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</si>
  <si>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</si>
  <si>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</si>
  <si>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</si>
  <si>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</si>
  <si>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</si>
  <si>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</si>
  <si>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</si>
  <si>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</si>
  <si>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</si>
  <si>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</si>
  <si>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</si>
  <si>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</si>
  <si>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</si>
  <si>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</si>
  <si>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</si>
  <si>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</si>
  <si>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</si>
  <si>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</si>
  <si>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</si>
  <si>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</si>
  <si>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</si>
  <si>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</si>
  <si>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</si>
  <si>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</si>
  <si>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</si>
  <si>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</si>
  <si>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</si>
  <si>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</si>
  <si>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</si>
  <si>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</si>
  <si>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</si>
  <si>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</si>
  <si>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</si>
  <si>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</si>
  <si>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</si>
  <si>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</si>
  <si>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</si>
  <si>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</si>
  <si>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</si>
  <si>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</si>
  <si>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</si>
  <si>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</si>
  <si>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</si>
  <si>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</si>
  <si>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</si>
  <si>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</si>
  <si>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</si>
  <si>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</si>
  <si>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</si>
  <si>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</si>
  <si>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</si>
  <si>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</si>
  <si>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</si>
  <si>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</si>
  <si>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</si>
  <si>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</si>
  <si>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</si>
  <si>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</si>
  <si>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</si>
  <si>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</si>
  <si>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</si>
  <si>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</si>
  <si>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</si>
  <si>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</si>
  <si>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</si>
  <si>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</si>
  <si>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</si>
  <si>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</si>
  <si>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</si>
  <si>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</si>
  <si>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</si>
  <si>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</si>
  <si>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</si>
  <si>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</si>
  <si>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</si>
  <si>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</si>
  <si>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</si>
  <si>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</si>
  <si>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</si>
  <si>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</si>
  <si>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</si>
  <si>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</si>
  <si>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</si>
  <si>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</si>
  <si>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</si>
  <si>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</si>
  <si>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</si>
  <si>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</si>
  <si>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</si>
  <si>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</si>
  <si>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</si>
  <si>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</si>
  <si>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</si>
  <si>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</si>
  <si>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</si>
  <si>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</si>
  <si>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</si>
  <si>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</si>
  <si>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</si>
  <si>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</si>
  <si>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</si>
  <si>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</si>
  <si>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</si>
  <si>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</si>
  <si>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</si>
  <si>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</si>
  <si>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</si>
  <si>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</si>
  <si>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</si>
  <si>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</si>
  <si>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</si>
  <si>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</si>
  <si>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</si>
  <si>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</si>
  <si>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</si>
  <si>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</si>
  <si>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</si>
  <si>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</si>
  <si>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</si>
  <si>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</si>
  <si>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</si>
  <si>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</si>
  <si>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</si>
  <si>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</si>
  <si>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</si>
  <si>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</si>
  <si>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</si>
  <si>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</si>
  <si>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</si>
  <si>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</si>
  <si>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</si>
  <si>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</si>
  <si>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</si>
  <si>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</si>
  <si>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</si>
  <si>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</si>
  <si>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</si>
  <si>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</si>
  <si>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</si>
  <si>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</si>
  <si>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</si>
  <si>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</si>
  <si>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</si>
  <si>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</si>
  <si>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</si>
  <si>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</si>
  <si>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</si>
  <si>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</si>
  <si>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</si>
  <si>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</si>
  <si>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</si>
  <si>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</si>
  <si>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</si>
  <si>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</si>
  <si>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</si>
  <si>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</si>
  <si>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</si>
  <si>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</si>
  <si>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</si>
  <si>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</si>
  <si>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</si>
  <si>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</si>
  <si>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</si>
  <si>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</si>
  <si>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</si>
  <si>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</si>
  <si>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</si>
  <si>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</si>
  <si>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</si>
  <si>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</si>
  <si>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</si>
  <si>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</si>
  <si>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</si>
  <si>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</si>
  <si>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</si>
  <si>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</si>
  <si>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</si>
  <si>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</si>
  <si>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</si>
  <si>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</si>
  <si>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</si>
  <si>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</si>
  <si>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</si>
  <si>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</si>
  <si>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</si>
  <si>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</si>
  <si>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</si>
  <si>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</si>
  <si>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</si>
  <si>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</si>
  <si>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</si>
  <si>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</si>
  <si>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</si>
  <si>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</si>
  <si>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</si>
  <si>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</si>
  <si>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</si>
  <si>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</si>
  <si>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</si>
  <si>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</si>
  <si>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</si>
  <si>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</si>
  <si>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</si>
  <si>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</si>
  <si>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</si>
  <si>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</si>
  <si>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</si>
  <si>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</si>
  <si>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</si>
  <si>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</si>
  <si>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</si>
  <si>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</si>
  <si>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</si>
  <si>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</si>
  <si>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</si>
  <si>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</si>
  <si>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</si>
  <si>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</si>
  <si>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</si>
  <si>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</si>
  <si>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</si>
  <si>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</si>
  <si>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</si>
  <si>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</si>
  <si>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</si>
  <si>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</si>
  <si>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</si>
  <si>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</si>
  <si>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</si>
  <si>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</si>
  <si>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</si>
  <si>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</si>
  <si>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</si>
  <si>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</si>
  <si>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</si>
  <si>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</si>
  <si>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</si>
  <si>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</si>
  <si>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</si>
  <si>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</si>
  <si>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</si>
  <si>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</si>
  <si>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</si>
  <si>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</si>
  <si>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</si>
  <si>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</si>
  <si>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</si>
  <si>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</si>
  <si>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</si>
  <si>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</si>
  <si>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</si>
  <si>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</si>
  <si>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</si>
  <si>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</si>
  <si>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</si>
  <si>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</si>
  <si>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</si>
  <si>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</si>
  <si>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</si>
  <si>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</si>
  <si>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</si>
  <si>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</si>
  <si>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</si>
  <si>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</si>
  <si>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</si>
  <si>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</si>
  <si>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</si>
  <si>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</si>
  <si>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</si>
  <si>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</si>
  <si>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</si>
  <si>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</si>
  <si>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</si>
  <si>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</si>
  <si>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</si>
  <si>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</si>
  <si>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</si>
  <si>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</si>
  <si>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</si>
  <si>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</si>
  <si>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</si>
  <si>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</si>
  <si>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</si>
  <si>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</si>
  <si>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</si>
  <si>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</si>
  <si>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</si>
  <si>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</si>
  <si>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</si>
  <si>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</si>
  <si>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</si>
  <si>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</si>
  <si>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</si>
  <si>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</si>
  <si>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</si>
  <si>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</si>
  <si>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</si>
  <si>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</si>
  <si>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</si>
  <si>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</si>
  <si>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</si>
  <si>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</si>
  <si>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</si>
  <si>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</si>
  <si>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</si>
  <si>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</si>
  <si>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</si>
  <si>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</si>
  <si>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</si>
  <si>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</si>
  <si>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</si>
  <si>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</si>
  <si>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</si>
  <si>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</si>
  <si>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</si>
  <si>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</si>
  <si>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</si>
  <si>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</si>
  <si>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</si>
  <si>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</si>
  <si>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</si>
  <si>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</si>
  <si>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</si>
  <si>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</si>
  <si>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</si>
  <si>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</si>
  <si>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</si>
  <si>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</si>
  <si>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</si>
  <si>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</si>
  <si>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</si>
  <si>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</si>
  <si>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</si>
  <si>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</si>
  <si>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</si>
  <si>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</si>
  <si>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</si>
  <si>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</si>
  <si>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</si>
  <si>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</si>
  <si>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</si>
  <si>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</si>
  <si>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</si>
  <si>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</si>
  <si>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</si>
  <si>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</si>
  <si>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</si>
  <si>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</si>
  <si>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</si>
  <si>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</si>
  <si>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</si>
  <si>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</si>
  <si>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</si>
  <si>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</si>
  <si>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</si>
  <si>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</si>
  <si>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</si>
  <si>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</si>
  <si>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</si>
  <si>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</si>
  <si>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</si>
  <si>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</si>
  <si>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</si>
  <si>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</si>
  <si>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</si>
  <si>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</si>
  <si>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</si>
  <si>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</si>
  <si>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</si>
  <si>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</si>
  <si>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</si>
  <si>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</si>
  <si>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</si>
  <si>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</si>
  <si>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</si>
  <si>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</si>
  <si>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</si>
  <si>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</si>
  <si>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</si>
  <si>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</si>
  <si>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</si>
  <si>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</si>
  <si>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</si>
  <si>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</si>
  <si>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</si>
  <si>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</si>
  <si>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</si>
  <si>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</si>
  <si>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</si>
  <si>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</si>
  <si>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</si>
  <si>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</si>
  <si>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</si>
  <si>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</si>
  <si>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</si>
  <si>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</si>
  <si>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</si>
  <si>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</si>
  <si>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</si>
  <si>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</si>
  <si>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</si>
  <si>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</si>
  <si>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</si>
  <si>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</si>
  <si>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</si>
  <si>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</si>
  <si>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</si>
  <si>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</si>
  <si>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</si>
  <si>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</si>
  <si>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</si>
  <si>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</si>
  <si>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</si>
  <si>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</si>
  <si>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</si>
  <si>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</si>
  <si>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</si>
  <si>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</si>
  <si>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</si>
  <si>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</si>
  <si>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</si>
  <si>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</si>
  <si>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</si>
  <si>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</si>
  <si>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</si>
  <si>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</si>
  <si>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</si>
  <si>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</si>
  <si>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</si>
  <si>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</si>
  <si>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</si>
  <si>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</si>
  <si>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</si>
  <si>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</si>
  <si>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</si>
  <si>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</si>
  <si>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</si>
  <si>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</si>
  <si>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</si>
  <si>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</si>
  <si>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</si>
  <si>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</si>
  <si>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</si>
  <si>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</si>
  <si>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</si>
  <si>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</si>
  <si>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</si>
  <si>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</si>
  <si>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</si>
  <si>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</si>
  <si>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</si>
  <si>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</si>
  <si>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</si>
  <si>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</si>
  <si>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</si>
  <si>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</si>
  <si>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</si>
  <si>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</si>
  <si>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</si>
  <si>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</si>
  <si>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</si>
  <si>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</si>
  <si>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</si>
  <si>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</si>
  <si>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</si>
  <si>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</si>
  <si>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</si>
  <si>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</si>
  <si>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</si>
  <si>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</si>
  <si>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</si>
  <si>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</si>
  <si>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</si>
  <si>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</si>
  <si>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</si>
  <si>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</si>
  <si>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</si>
  <si>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</si>
  <si>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</si>
  <si>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</si>
  <si>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</si>
  <si>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</si>
  <si>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</si>
  <si>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</si>
  <si>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</si>
  <si>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</si>
  <si>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</si>
  <si>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</si>
  <si>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</si>
  <si>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</si>
  <si>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</si>
  <si>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</si>
  <si>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</si>
  <si>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</si>
  <si>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</si>
  <si>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</si>
  <si>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</si>
  <si>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</si>
  <si>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</si>
  <si>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</si>
  <si>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</si>
  <si>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</si>
  <si>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</si>
  <si>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</si>
  <si>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</si>
  <si>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</si>
  <si>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</si>
  <si>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</si>
  <si>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</si>
  <si>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</si>
  <si>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</si>
  <si>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</si>
  <si>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</si>
  <si>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</si>
  <si>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</si>
  <si>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</si>
  <si>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</si>
  <si>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</si>
  <si>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</si>
  <si>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</si>
  <si>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</si>
  <si>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</si>
  <si>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</si>
  <si>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</si>
  <si>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</si>
  <si>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</si>
  <si>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</si>
  <si>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</si>
  <si>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</si>
  <si>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</si>
  <si>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</si>
  <si>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</si>
  <si>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</si>
  <si>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</si>
  <si>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</si>
  <si>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</si>
  <si>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</si>
  <si>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</si>
  <si>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</si>
  <si>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</si>
  <si>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</si>
  <si>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</si>
  <si>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</si>
  <si>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</si>
  <si>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</si>
  <si>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</si>
  <si>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</si>
  <si>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</si>
  <si>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</si>
  <si>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</si>
  <si>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</si>
  <si>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</si>
  <si>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</si>
  <si>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</si>
  <si>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</si>
  <si>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</si>
  <si>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</si>
  <si>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</si>
  <si>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</si>
  <si>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</si>
  <si>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</si>
  <si>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</si>
  <si>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</si>
  <si>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</si>
  <si>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</si>
  <si>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</si>
  <si>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</si>
  <si>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</si>
  <si>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</si>
  <si>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</si>
  <si>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</si>
  <si>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</si>
  <si>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</si>
  <si>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</si>
  <si>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</si>
  <si>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</si>
  <si>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</si>
  <si>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</si>
  <si>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</si>
  <si>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</si>
  <si>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</si>
  <si>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</si>
  <si>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</si>
  <si>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</si>
  <si>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</si>
  <si>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</si>
  <si>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</si>
  <si>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</si>
  <si>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</si>
  <si>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</si>
  <si>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</si>
  <si>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</si>
  <si>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</si>
  <si>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</si>
  <si>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</si>
  <si>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</si>
  <si>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</si>
  <si>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</si>
  <si>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</si>
  <si>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</si>
  <si>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</si>
  <si>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</si>
  <si>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</si>
  <si>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</si>
  <si>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</si>
  <si>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</si>
  <si>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</si>
  <si>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</si>
  <si>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</si>
  <si>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</si>
  <si>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</si>
  <si>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</si>
  <si>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</si>
  <si>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</si>
  <si>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</si>
  <si>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</si>
  <si>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</si>
  <si>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</si>
  <si>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</si>
  <si>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</si>
  <si>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</si>
  <si>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</si>
  <si>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</si>
  <si>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</si>
  <si>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</si>
  <si>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</si>
  <si>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</si>
  <si>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</si>
  <si>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</si>
  <si>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</si>
  <si>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</si>
  <si>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</si>
  <si>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</si>
  <si>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</si>
  <si>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</si>
  <si>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</si>
  <si>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</si>
  <si>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</si>
  <si>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</si>
  <si>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</si>
  <si>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</si>
  <si>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</si>
  <si>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</si>
  <si>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</si>
  <si>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</si>
  <si>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</si>
  <si>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</si>
  <si>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</si>
  <si>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</si>
  <si>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</si>
  <si>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</si>
  <si>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</si>
  <si>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</si>
  <si>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</si>
  <si>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</si>
  <si>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</si>
  <si>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</si>
  <si>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</si>
  <si>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</si>
  <si>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</si>
  <si>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</si>
  <si>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</si>
  <si>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</si>
  <si>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</si>
  <si>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</si>
  <si>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</si>
  <si>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</si>
  <si>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</si>
  <si>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</si>
  <si>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</si>
  <si>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</si>
  <si>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</si>
  <si>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</si>
  <si>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</si>
  <si>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</si>
  <si>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</si>
  <si>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</si>
  <si>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</si>
  <si>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</si>
  <si>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</si>
  <si>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</si>
  <si>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</si>
  <si>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</si>
  <si>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</si>
  <si>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</si>
  <si>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</si>
  <si>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</si>
  <si>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</si>
  <si>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</si>
  <si>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</si>
  <si>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</si>
  <si>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</si>
  <si>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</si>
  <si>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</si>
  <si>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</si>
  <si>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</si>
  <si>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</si>
  <si>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</si>
  <si>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</si>
  <si>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</si>
  <si>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</si>
  <si>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</si>
  <si>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</si>
  <si>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</si>
  <si>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</si>
  <si>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</si>
  <si>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</si>
  <si>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</si>
  <si>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</si>
  <si>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</si>
  <si>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</si>
  <si>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</si>
  <si>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</si>
  <si>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</si>
  <si>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</si>
  <si>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</si>
  <si>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</si>
  <si>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</si>
  <si>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</si>
  <si>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</si>
  <si>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</si>
  <si>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</si>
  <si>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</si>
  <si>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</si>
  <si>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</si>
  <si>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</si>
  <si>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</si>
  <si>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</si>
  <si>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</si>
  <si>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</si>
  <si>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</si>
  <si>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</si>
  <si>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</si>
  <si>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</si>
  <si>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</si>
  <si>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</si>
  <si>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</si>
  <si>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</si>
  <si>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</si>
  <si>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</si>
  <si>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</si>
  <si>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</si>
  <si>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</si>
  <si>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</si>
  <si>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</si>
  <si>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</si>
  <si>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</si>
  <si>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</si>
  <si>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</si>
  <si>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</si>
  <si>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</si>
  <si>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</si>
  <si>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</si>
  <si>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</si>
  <si>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</si>
  <si>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</si>
  <si>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</si>
  <si>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</si>
  <si>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</si>
  <si>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</si>
  <si>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</si>
  <si>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</si>
  <si>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</si>
  <si>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</si>
  <si>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</si>
  <si>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</si>
  <si>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</si>
  <si>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</si>
  <si>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</si>
  <si>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</si>
  <si>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</si>
  <si>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</si>
  <si>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</si>
  <si>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</si>
  <si>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</si>
  <si>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</si>
  <si>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</si>
  <si>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</si>
  <si>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</si>
  <si>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</si>
  <si>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</si>
  <si>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</si>
  <si>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</si>
  <si>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</si>
  <si>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</si>
  <si>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</si>
  <si>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</si>
  <si>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</si>
  <si>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</si>
  <si>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</si>
  <si>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</si>
  <si>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</si>
  <si>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</si>
  <si>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</si>
  <si>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</si>
  <si>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</si>
  <si>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</si>
  <si>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</si>
  <si>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</si>
  <si>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</si>
  <si>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</si>
  <si>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</si>
  <si>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</si>
  <si>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</si>
  <si>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</si>
  <si>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</si>
  <si>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</si>
  <si>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</si>
  <si>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</si>
  <si>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</si>
  <si>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</si>
  <si>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</si>
  <si>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</si>
  <si>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</si>
  <si>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</si>
  <si>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</si>
  <si>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</si>
  <si>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</si>
  <si>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</si>
  <si>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</si>
  <si>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</si>
  <si>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</si>
  <si>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</si>
  <si>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</si>
  <si>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</si>
  <si>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</si>
  <si>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</si>
  <si>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</si>
  <si>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</si>
  <si>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</si>
  <si>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</si>
  <si>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</si>
  <si>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</si>
  <si>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</si>
  <si>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</si>
  <si>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</si>
  <si>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</si>
  <si>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</si>
  <si>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</si>
  <si>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</si>
  <si>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</si>
  <si>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</si>
  <si>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</si>
  <si>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</si>
  <si>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</si>
  <si>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</si>
  <si>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</si>
  <si>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</si>
  <si>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</si>
  <si>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</si>
  <si>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</si>
  <si>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</si>
  <si>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</si>
  <si>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</si>
  <si>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</si>
  <si>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</si>
  <si>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</si>
  <si>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</si>
  <si>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</si>
  <si>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</si>
  <si>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</si>
  <si>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</si>
  <si>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</si>
  <si>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</si>
  <si>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</si>
  <si>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</si>
  <si>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</si>
  <si>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</si>
  <si>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</si>
  <si>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</si>
  <si>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</si>
  <si>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</si>
  <si>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</si>
  <si>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</si>
  <si>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</si>
  <si>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</si>
  <si>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</si>
  <si>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</si>
  <si>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</si>
  <si>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</si>
  <si>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</si>
  <si>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</si>
  <si>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</si>
  <si>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</si>
  <si>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</si>
  <si>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</si>
  <si>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</si>
  <si>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</si>
  <si>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</si>
  <si>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</si>
  <si>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</si>
  <si>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</si>
  <si>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</si>
  <si>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</si>
  <si>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</si>
  <si>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</si>
  <si>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</si>
  <si>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</si>
  <si>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</si>
  <si>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</si>
  <si>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</si>
  <si>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</si>
  <si>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</si>
  <si>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</si>
  <si>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</si>
  <si>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</si>
  <si>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</si>
  <si>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</si>
  <si>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</si>
  <si>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</si>
  <si>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</si>
  <si>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</si>
  <si>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</si>
  <si>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</si>
  <si>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</si>
  <si>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</si>
  <si>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</si>
  <si>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</si>
  <si>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</si>
  <si>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</si>
  <si>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</si>
  <si>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</si>
  <si>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</si>
  <si>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</si>
  <si>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</si>
  <si>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</si>
  <si>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</si>
  <si>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</si>
  <si>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</si>
  <si>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</si>
  <si>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</si>
  <si>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</si>
  <si>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</si>
  <si>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</si>
  <si>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</si>
  <si>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</si>
  <si>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</si>
  <si>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</si>
  <si>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</si>
  <si>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</si>
  <si>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</si>
  <si>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</si>
  <si>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</si>
  <si>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</si>
  <si>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</si>
  <si>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</si>
  <si>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</si>
  <si>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</si>
  <si>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</si>
  <si>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</si>
  <si>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</si>
  <si>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</si>
  <si>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</si>
  <si>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</si>
  <si>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</si>
  <si>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</si>
  <si>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</si>
  <si>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</si>
  <si>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</si>
  <si>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</si>
  <si>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</si>
  <si>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</si>
  <si>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</si>
  <si>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</si>
  <si>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</si>
  <si>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</si>
  <si>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</si>
  <si>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</si>
  <si>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</si>
  <si>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</si>
  <si>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</si>
  <si>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</si>
  <si>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</si>
  <si>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</si>
  <si>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</si>
  <si>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</si>
  <si>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</si>
  <si>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</si>
  <si>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</si>
  <si>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</si>
  <si>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</si>
  <si>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</si>
  <si>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</si>
  <si>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</si>
  <si>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</si>
  <si>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</si>
  <si>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</si>
  <si>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</si>
  <si>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</si>
  <si>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</si>
  <si>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</si>
  <si>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</si>
  <si>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</si>
  <si>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</si>
  <si>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</si>
  <si>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</si>
  <si>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</si>
  <si>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</si>
  <si>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</si>
  <si>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</si>
  <si>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</si>
  <si>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</si>
  <si>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</si>
  <si>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</si>
  <si>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</si>
  <si>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</si>
  <si>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</si>
  <si>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</si>
  <si>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</si>
  <si>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</si>
  <si>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</si>
  <si>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</si>
  <si>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</si>
  <si>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</si>
  <si>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</si>
  <si>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</si>
  <si>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</si>
  <si>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</si>
  <si>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</si>
  <si>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</si>
  <si>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</si>
  <si>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</si>
  <si>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</si>
  <si>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</si>
  <si>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</si>
  <si>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</si>
  <si>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</si>
  <si>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</si>
  <si>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</si>
  <si>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</si>
  <si>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</si>
  <si>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</si>
  <si>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</si>
  <si>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</si>
  <si>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</si>
  <si>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</si>
  <si>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</si>
  <si>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</si>
  <si>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</si>
  <si>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</si>
  <si>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</si>
  <si>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</si>
  <si>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</si>
  <si>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</si>
  <si>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</si>
  <si>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</si>
  <si>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</si>
  <si>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</si>
  <si>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</si>
  <si>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</si>
  <si>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</si>
  <si>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</si>
  <si>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</si>
  <si>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</si>
  <si>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</si>
  <si>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</si>
  <si>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</si>
  <si>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</si>
  <si>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</si>
  <si>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</si>
  <si>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</si>
  <si>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</si>
  <si>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</si>
  <si>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</si>
  <si>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</si>
  <si>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</si>
  <si>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</si>
  <si>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</si>
  <si>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</si>
  <si>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</si>
  <si>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</si>
  <si>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</si>
  <si>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</si>
  <si>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</si>
  <si>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</si>
  <si>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</si>
  <si>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</si>
  <si>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</si>
  <si>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</si>
  <si>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</si>
  <si>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</si>
  <si>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</si>
  <si>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</si>
  <si>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</si>
  <si>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</si>
  <si>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</si>
  <si>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</si>
  <si>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</si>
  <si>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</si>
  <si>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</si>
  <si>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</si>
  <si>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</si>
  <si>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</si>
  <si>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</si>
  <si>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</si>
  <si>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</si>
  <si>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</si>
  <si>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</si>
  <si>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</si>
  <si>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</si>
  <si>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</si>
  <si>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</si>
  <si>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</si>
  <si>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</si>
  <si>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</si>
  <si>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</si>
  <si>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</si>
  <si>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</si>
  <si>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</si>
  <si>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</si>
  <si>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</si>
  <si>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</si>
  <si>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</si>
  <si>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</si>
  <si>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</si>
  <si>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</si>
  <si>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</si>
  <si>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</si>
  <si>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</si>
  <si>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</si>
  <si>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</si>
  <si>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</si>
  <si>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</si>
  <si>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</si>
  <si>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</si>
  <si>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</si>
  <si>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</si>
  <si>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</si>
  <si>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</si>
  <si>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</si>
  <si>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</si>
  <si>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</si>
  <si>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</si>
  <si>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</si>
  <si>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</si>
  <si>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</si>
  <si>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</si>
  <si>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</si>
  <si>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</si>
  <si>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</si>
  <si>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</si>
  <si>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</si>
  <si>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</si>
  <si>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</si>
  <si>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</si>
  <si>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</si>
  <si>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</si>
  <si>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</si>
  <si>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</si>
  <si>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</si>
  <si>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</si>
  <si>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</si>
  <si>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</si>
  <si>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</si>
  <si>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</si>
  <si>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</si>
  <si>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</si>
  <si>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</si>
  <si>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</si>
  <si>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</si>
  <si>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</si>
  <si>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</si>
  <si>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</si>
  <si>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</si>
  <si>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</si>
  <si>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</si>
  <si>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</si>
  <si>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</si>
  <si>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</si>
  <si>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</si>
  <si>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</si>
  <si>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</si>
  <si>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</si>
  <si>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</si>
  <si>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</si>
  <si>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</si>
  <si>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</si>
  <si>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</si>
  <si>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</si>
  <si>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</si>
  <si>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</si>
  <si>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</si>
  <si>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</si>
  <si>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</si>
  <si>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</si>
  <si>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</si>
  <si>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</si>
  <si>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</si>
  <si>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</si>
  <si>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</si>
  <si>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</si>
  <si>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</si>
  <si>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</si>
  <si>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</si>
  <si>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</si>
  <si>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</si>
  <si>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</si>
  <si>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</si>
  <si>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</si>
  <si>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</si>
  <si>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</si>
  <si>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</si>
  <si>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</si>
  <si>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</si>
  <si>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</si>
  <si>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</si>
  <si>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</si>
  <si>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</si>
  <si>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</si>
  <si>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</si>
  <si>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</si>
  <si>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</si>
  <si>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</si>
  <si>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</si>
  <si>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</si>
  <si>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</si>
  <si>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</si>
  <si>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</si>
  <si>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</si>
  <si>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</si>
  <si>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</si>
  <si>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</si>
  <si>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</si>
  <si>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</si>
  <si>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</si>
  <si>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</si>
  <si>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</si>
  <si>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</si>
  <si>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</si>
  <si>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</si>
  <si>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</si>
  <si>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</si>
  <si>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</si>
  <si>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</si>
  <si>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</si>
  <si>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</si>
  <si>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</si>
  <si>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</si>
  <si>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</si>
  <si>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</si>
  <si>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</si>
  <si>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</si>
  <si>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</si>
  <si>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</si>
  <si>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</si>
  <si>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</si>
  <si>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</si>
  <si>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</si>
  <si>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</si>
  <si>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</si>
  <si>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</si>
  <si>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</si>
  <si>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</si>
  <si>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</si>
  <si>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</si>
  <si>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</si>
  <si>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</si>
  <si>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</si>
  <si>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</si>
  <si>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</si>
  <si>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</si>
  <si>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</si>
  <si>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</si>
  <si>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</si>
  <si>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</si>
  <si>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</si>
  <si>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</si>
  <si>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</si>
  <si>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</si>
  <si>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</si>
  <si>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</si>
  <si>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</si>
  <si>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</si>
  <si>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</si>
  <si>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</si>
  <si>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</si>
  <si>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</si>
  <si>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</si>
  <si>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</si>
  <si>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</si>
  <si>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</si>
  <si>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</si>
  <si>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</si>
  <si>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</si>
  <si>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</si>
  <si>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</si>
  <si>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</si>
  <si>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</si>
  <si>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</si>
  <si>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</si>
  <si>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</si>
  <si>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</si>
  <si>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</si>
  <si>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</si>
  <si>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</si>
  <si>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</si>
  <si>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</si>
  <si>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</si>
  <si>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</si>
  <si>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</si>
  <si>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</si>
  <si>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</si>
  <si>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</si>
  <si>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</si>
  <si>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</si>
  <si>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</si>
  <si>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</si>
  <si>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</si>
  <si>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</si>
  <si>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</si>
  <si>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</si>
  <si>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</si>
  <si>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</si>
  <si>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</si>
  <si>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</si>
  <si>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</si>
  <si>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</si>
  <si>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</si>
  <si>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</si>
  <si>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</si>
  <si>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</si>
  <si>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</si>
  <si>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</si>
  <si>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</si>
  <si>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</si>
  <si>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</si>
  <si>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</si>
  <si>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</si>
  <si>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</si>
  <si>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</si>
  <si>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</si>
  <si>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</si>
  <si>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</si>
  <si>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</si>
  <si>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</si>
  <si>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</si>
  <si>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</si>
  <si>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</si>
  <si>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</si>
  <si>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</si>
  <si>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</si>
  <si>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</si>
  <si>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</si>
  <si>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</si>
  <si>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</si>
  <si>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</si>
  <si>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</si>
  <si>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</si>
  <si>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</si>
  <si>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</si>
  <si>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</si>
  <si>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</si>
  <si>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</si>
  <si>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</si>
  <si>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</si>
  <si>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</si>
  <si>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</si>
  <si>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</si>
  <si>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</si>
  <si>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</si>
  <si>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</si>
  <si>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</si>
  <si>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</si>
  <si>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</si>
  <si>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</si>
  <si>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</si>
  <si>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</si>
  <si>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</si>
  <si>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</si>
  <si>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</si>
  <si>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</si>
  <si>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</si>
  <si>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</si>
  <si>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</si>
  <si>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</si>
  <si>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</si>
  <si>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</si>
  <si>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</si>
  <si>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</si>
  <si>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</si>
  <si>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</si>
  <si>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</si>
  <si>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</si>
  <si>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</si>
  <si>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</si>
  <si>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</si>
  <si>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</si>
  <si>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</si>
  <si>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</si>
  <si>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</si>
  <si>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</si>
  <si>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</si>
  <si>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</si>
  <si>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</si>
  <si>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</si>
  <si>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</si>
  <si>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</si>
  <si>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</si>
  <si>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</si>
  <si>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</si>
  <si>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</si>
  <si>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</si>
  <si>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</si>
  <si>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</si>
  <si>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</si>
  <si>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</si>
  <si>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</si>
  <si>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</si>
  <si>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</si>
  <si>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</si>
  <si>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</si>
  <si>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</si>
  <si>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</si>
  <si>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</si>
  <si>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</si>
  <si>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</si>
  <si>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</si>
  <si>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</si>
  <si>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</si>
  <si>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</si>
  <si>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</si>
  <si>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</si>
  <si>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</si>
  <si>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</si>
  <si>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</si>
  <si>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</si>
  <si>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</si>
  <si>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</si>
  <si>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</si>
  <si>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</si>
  <si>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</si>
  <si>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</si>
  <si>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</si>
  <si>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</si>
  <si>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</si>
  <si>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</si>
  <si>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</si>
  <si>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</si>
  <si>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</si>
  <si>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</si>
  <si>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</si>
  <si>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</si>
  <si>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</si>
  <si>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</si>
  <si>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</si>
  <si>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</si>
  <si>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</si>
  <si>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</si>
  <si>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</si>
  <si>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</si>
  <si>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</si>
  <si>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</si>
  <si>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</si>
  <si>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</si>
  <si>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</si>
  <si>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</si>
  <si>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</si>
  <si>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</si>
  <si>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</si>
  <si>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</si>
  <si>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</si>
  <si>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</si>
  <si>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</si>
  <si>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</si>
  <si>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</si>
  <si>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</si>
  <si>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</si>
  <si>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</si>
  <si>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</si>
  <si>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</si>
  <si>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</si>
  <si>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</si>
  <si>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</si>
  <si>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</si>
  <si>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</si>
  <si>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</si>
  <si>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</si>
  <si>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</si>
  <si>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</si>
  <si>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</si>
  <si>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</si>
  <si>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</si>
  <si>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</si>
  <si>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</si>
  <si>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</si>
  <si>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</si>
  <si>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</si>
  <si>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</si>
  <si>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</si>
  <si>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</si>
  <si>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</si>
  <si>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</si>
  <si>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</si>
  <si>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</si>
  <si>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</si>
  <si>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</si>
  <si>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</si>
  <si>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</si>
  <si>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</si>
  <si>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</si>
  <si>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</si>
  <si>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</si>
  <si>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</si>
  <si>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</si>
  <si>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</si>
  <si>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</si>
  <si>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</si>
  <si>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</si>
  <si>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</si>
  <si>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</si>
  <si>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</si>
  <si>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</si>
  <si>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</si>
  <si>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</si>
  <si>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</si>
  <si>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</si>
  <si>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</si>
  <si>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</si>
  <si>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</si>
  <si>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</si>
  <si>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</si>
  <si>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</si>
  <si>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</si>
  <si>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</si>
  <si>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</si>
  <si>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</si>
  <si>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</si>
  <si>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</si>
  <si>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</si>
  <si>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</si>
  <si>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</si>
  <si>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</si>
  <si>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</si>
  <si>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</si>
  <si>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</si>
  <si>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</si>
  <si>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</si>
  <si>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</si>
  <si>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</si>
  <si>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</si>
  <si>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</si>
  <si>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</si>
  <si>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</si>
  <si>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</si>
  <si>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</si>
  <si>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</si>
  <si>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</si>
  <si>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</si>
  <si>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</si>
  <si>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</si>
  <si>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</si>
  <si>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</si>
  <si>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</si>
  <si>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</si>
  <si>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</si>
  <si>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</si>
  <si>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</si>
  <si>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</si>
  <si>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</si>
  <si>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</si>
  <si>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</si>
  <si>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</si>
  <si>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</si>
  <si>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</si>
  <si>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</si>
  <si>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</si>
  <si>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</si>
  <si>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</si>
  <si>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</si>
  <si>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</si>
  <si>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</si>
  <si>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</si>
  <si>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</si>
  <si>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</si>
  <si>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</si>
  <si>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</si>
  <si>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</si>
  <si>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</si>
  <si>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</si>
  <si>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</si>
  <si>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</si>
  <si>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</si>
  <si>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</si>
  <si>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</si>
  <si>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</si>
  <si>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</si>
  <si>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</si>
  <si>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</si>
  <si>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</si>
  <si>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</si>
  <si>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</si>
  <si>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</si>
  <si>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</si>
  <si>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</si>
  <si>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</si>
  <si>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</si>
  <si>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</si>
  <si>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</si>
  <si>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</si>
  <si>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</si>
  <si>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</si>
  <si>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</si>
  <si>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</si>
  <si>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</si>
  <si>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</si>
  <si>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</si>
  <si>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</si>
  <si>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</si>
  <si>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</si>
  <si>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</si>
  <si>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</si>
  <si>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</si>
  <si>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</si>
  <si>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</si>
  <si>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</si>
  <si>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</si>
  <si>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</si>
  <si>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</si>
  <si>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</si>
  <si>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</si>
  <si>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</si>
  <si>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</si>
  <si>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</si>
  <si>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</si>
  <si>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</si>
  <si>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</si>
  <si>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</si>
  <si>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</si>
  <si>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</si>
  <si>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</si>
  <si>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</si>
  <si>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</si>
  <si>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</si>
  <si>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</si>
  <si>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</si>
  <si>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</si>
  <si>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</si>
  <si>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</si>
  <si>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</si>
  <si>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</si>
  <si>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</si>
  <si>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</si>
  <si>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</si>
  <si>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</si>
  <si>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</si>
  <si>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</si>
  <si>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</si>
  <si>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</si>
  <si>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</si>
  <si>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</si>
  <si>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</si>
  <si>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</si>
  <si>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</si>
  <si>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</si>
  <si>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</si>
  <si>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</si>
  <si>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</si>
  <si>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</si>
  <si>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</si>
  <si>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</si>
  <si>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</si>
  <si>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</si>
  <si>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</si>
  <si>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</si>
  <si>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</si>
  <si>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</si>
  <si>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</si>
  <si>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</si>
  <si>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</si>
  <si>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</si>
  <si>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</si>
  <si>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</si>
  <si>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</si>
  <si>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</si>
  <si>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</si>
  <si>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</si>
  <si>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</si>
  <si>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</si>
  <si>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</si>
  <si>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</si>
  <si>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</si>
  <si>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</si>
  <si>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</si>
  <si>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</si>
  <si>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</si>
  <si>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</si>
  <si>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</si>
  <si>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</si>
  <si>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</si>
  <si>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</si>
  <si>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</si>
  <si>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</si>
  <si>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</si>
  <si>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</si>
  <si>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</si>
  <si>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</si>
  <si>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</si>
  <si>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</si>
  <si>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</si>
  <si>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</si>
  <si>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</si>
  <si>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</si>
  <si>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</si>
  <si>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</si>
  <si>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</si>
  <si>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</si>
  <si>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</si>
  <si>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</si>
  <si>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</si>
  <si>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</si>
  <si>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</si>
  <si>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</si>
  <si>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</si>
  <si>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</si>
  <si>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</si>
  <si>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</si>
  <si>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</si>
  <si>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</si>
  <si>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</si>
  <si>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</si>
  <si>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</si>
  <si>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</si>
  <si>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</si>
  <si>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</si>
  <si>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</si>
  <si>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</si>
  <si>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</si>
  <si>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</si>
  <si>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</si>
  <si>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</si>
  <si>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</si>
  <si>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</si>
  <si>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</si>
  <si>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</si>
  <si>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</si>
  <si>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</si>
  <si>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</si>
  <si>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</si>
  <si>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</si>
  <si>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</si>
  <si>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</si>
  <si>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</si>
  <si>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</si>
  <si>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</si>
  <si>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</si>
  <si>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</si>
  <si>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</si>
  <si>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</si>
  <si>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</si>
  <si>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</si>
  <si>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</si>
  <si>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</si>
  <si>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</si>
  <si>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</si>
  <si>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</si>
  <si>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</si>
  <si>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</si>
  <si>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</si>
  <si>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</si>
  <si>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</si>
  <si>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</si>
  <si>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</si>
  <si>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</si>
  <si>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</si>
  <si>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</si>
  <si>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</si>
  <si>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</si>
  <si>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</si>
  <si>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</si>
  <si>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</si>
  <si>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</si>
  <si>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</si>
  <si>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</si>
  <si>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</si>
  <si>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</si>
  <si>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</si>
  <si>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</si>
  <si>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</si>
  <si>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</si>
  <si>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</si>
  <si>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</si>
  <si>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</si>
  <si>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</si>
  <si>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</si>
  <si>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</si>
  <si>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</si>
  <si>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</si>
  <si>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</si>
  <si>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</si>
  <si>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</si>
  <si>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</si>
  <si>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</si>
  <si>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</si>
  <si>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</si>
  <si>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</si>
  <si>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</si>
  <si>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</si>
  <si>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</si>
  <si>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</si>
  <si>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</si>
  <si>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</si>
  <si>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</si>
  <si>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</si>
  <si>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</si>
  <si>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</si>
  <si>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</si>
  <si>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</si>
  <si>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</si>
  <si>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</si>
  <si>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</si>
  <si>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</si>
  <si>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</si>
  <si>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</si>
  <si>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</si>
  <si>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</si>
  <si>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</si>
  <si>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</si>
  <si>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</si>
  <si>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</si>
  <si>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</si>
  <si>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</si>
  <si>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</si>
  <si>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</si>
  <si>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</si>
  <si>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</si>
  <si>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</si>
  <si>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</si>
  <si>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</si>
  <si>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</si>
  <si>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</si>
  <si>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</si>
  <si>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</si>
  <si>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</si>
  <si>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</si>
  <si>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</si>
  <si>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</si>
  <si>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</si>
  <si>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</si>
  <si>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</si>
  <si>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</si>
  <si>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</si>
  <si>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</si>
  <si>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</si>
  <si>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</si>
  <si>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</si>
  <si>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</si>
  <si>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</si>
  <si>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</si>
  <si>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</si>
  <si>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</si>
  <si>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</si>
  <si>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</si>
  <si>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</si>
  <si>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</si>
  <si>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</si>
  <si>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</si>
  <si>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</si>
  <si>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</si>
  <si>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</si>
  <si>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</si>
  <si>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</si>
  <si>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</si>
  <si>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</si>
  <si>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</si>
  <si>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</si>
  <si>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</si>
  <si>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</si>
  <si>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</si>
  <si>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</si>
  <si>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</si>
  <si>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</si>
  <si>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</si>
  <si>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</si>
  <si>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</si>
  <si>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</si>
  <si>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</si>
  <si>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</si>
  <si>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</si>
  <si>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</si>
  <si>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</si>
  <si>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</si>
  <si>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</si>
  <si>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</si>
  <si>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</si>
  <si>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</si>
  <si>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</si>
  <si>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</si>
  <si>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</si>
  <si>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</si>
  <si>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</si>
  <si>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</si>
  <si>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</si>
  <si>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</si>
  <si>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</si>
  <si>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</si>
  <si>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</si>
  <si>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</si>
  <si>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</si>
  <si>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</si>
  <si>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</si>
  <si>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</si>
  <si>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</si>
  <si>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</si>
  <si>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</si>
  <si>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</si>
  <si>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</si>
  <si>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</si>
  <si>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</si>
  <si>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</si>
  <si>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</si>
  <si>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</si>
  <si>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</si>
  <si>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</si>
  <si>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</si>
  <si>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</si>
  <si>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</si>
  <si>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</si>
  <si>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</si>
  <si>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</si>
  <si>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</si>
  <si>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</si>
  <si>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</si>
  <si>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</si>
  <si>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</si>
  <si>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</si>
  <si>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</si>
  <si>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</si>
  <si>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</si>
  <si>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</si>
  <si>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</si>
  <si>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</si>
  <si>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</si>
  <si>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</si>
  <si>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</si>
  <si>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</si>
  <si>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</si>
  <si>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</si>
  <si>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</si>
  <si>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</si>
  <si>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</si>
  <si>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</si>
  <si>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</si>
  <si>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</si>
  <si>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</si>
  <si>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</si>
  <si>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</si>
  <si>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</si>
  <si>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</si>
  <si>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</si>
  <si>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</si>
  <si>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</si>
  <si>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</si>
  <si>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</si>
  <si>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</si>
  <si>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</si>
  <si>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</si>
  <si>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</si>
  <si>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</si>
  <si>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</si>
  <si>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</si>
  <si>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</si>
  <si>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</si>
  <si>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</si>
  <si>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</si>
  <si>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</si>
  <si>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</si>
  <si>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</si>
  <si>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</si>
  <si>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</si>
  <si>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</si>
  <si>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</si>
  <si>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</si>
  <si>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</si>
  <si>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</si>
  <si>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</si>
  <si>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</si>
  <si>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</si>
  <si>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</si>
  <si>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</si>
  <si>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</si>
  <si>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</si>
  <si>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</si>
  <si>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</si>
  <si>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</si>
  <si>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</si>
  <si>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</si>
  <si>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</si>
  <si>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</si>
  <si>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</si>
  <si>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</si>
  <si>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</si>
  <si>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</si>
  <si>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</si>
  <si>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</si>
  <si>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</si>
  <si>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</si>
  <si>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</si>
  <si>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</si>
  <si>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</si>
  <si>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</si>
  <si>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</si>
  <si>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</si>
  <si>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</si>
  <si>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</si>
  <si>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</si>
  <si>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</si>
  <si>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</si>
  <si>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</si>
  <si>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</si>
  <si>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</si>
  <si>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</si>
  <si>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</si>
  <si>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</si>
  <si>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</si>
  <si>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</si>
  <si>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</si>
  <si>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</si>
  <si>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</si>
  <si>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</si>
  <si>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</si>
  <si>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</si>
  <si>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</si>
  <si>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</si>
  <si>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</si>
  <si>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</si>
  <si>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</si>
  <si>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</si>
  <si>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</si>
  <si>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</si>
  <si>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</si>
  <si>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</si>
  <si>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</si>
  <si>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</si>
  <si>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</si>
  <si>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</si>
  <si>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</si>
  <si>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</si>
  <si>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</si>
  <si>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</si>
  <si>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</si>
  <si>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</si>
  <si>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</si>
  <si>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</si>
  <si>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</si>
  <si>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</si>
  <si>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</si>
  <si>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</si>
  <si>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</si>
  <si>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</si>
  <si>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</si>
  <si>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</si>
  <si>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</si>
  <si>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</si>
  <si>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</si>
  <si>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</si>
  <si>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</si>
  <si>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</si>
  <si>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</si>
  <si>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</si>
  <si>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</si>
  <si>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</si>
  <si>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</si>
  <si>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</si>
  <si>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</si>
  <si>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</si>
  <si>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</si>
  <si>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</si>
  <si>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</si>
  <si>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</si>
  <si>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</si>
  <si>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</si>
  <si>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</si>
  <si>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</si>
  <si>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</si>
  <si>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</si>
  <si>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</si>
  <si>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</si>
  <si>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</si>
  <si>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</si>
  <si>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</si>
  <si>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</si>
  <si>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</si>
  <si>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</si>
  <si>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</si>
  <si>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</si>
  <si>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</si>
  <si>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</si>
  <si>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</si>
  <si>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</si>
  <si>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</si>
  <si>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</si>
  <si>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</si>
  <si>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</si>
  <si>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</si>
  <si>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</si>
  <si>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</si>
  <si>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</si>
  <si>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</si>
  <si>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</si>
  <si>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</si>
  <si>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</si>
  <si>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</si>
  <si>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</si>
  <si>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</si>
  <si>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</si>
  <si>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</si>
  <si>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</si>
  <si>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</si>
  <si>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</si>
  <si>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</si>
  <si>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</si>
  <si>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</si>
  <si>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</si>
  <si>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</si>
  <si>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</si>
  <si>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</si>
  <si>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</si>
  <si>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</si>
  <si>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</si>
  <si>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</si>
  <si>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</si>
  <si>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</si>
  <si>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</si>
  <si>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</si>
  <si>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</si>
  <si>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</si>
  <si>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</si>
  <si>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</si>
  <si>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</si>
  <si>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</si>
  <si>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</si>
  <si>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</si>
  <si>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</si>
  <si>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</si>
  <si>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</si>
  <si>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</si>
  <si>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</si>
  <si>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</si>
  <si>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</si>
  <si>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</si>
  <si>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</si>
  <si>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</si>
  <si>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</si>
  <si>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</si>
  <si>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</si>
  <si>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</si>
  <si>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</si>
  <si>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</si>
  <si>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</si>
  <si>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</si>
  <si>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</si>
  <si>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</si>
  <si>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</si>
  <si>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</si>
  <si>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</si>
  <si>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</si>
  <si>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</si>
  <si>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</si>
  <si>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</si>
  <si>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</si>
  <si>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</si>
  <si>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</si>
  <si>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</si>
  <si>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</si>
  <si>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</si>
  <si>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</si>
  <si>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</si>
  <si>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</si>
  <si>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</si>
  <si>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</si>
  <si>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</si>
  <si>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</si>
  <si>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</si>
  <si>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</si>
  <si>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</si>
  <si>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</si>
  <si>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</si>
  <si>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</si>
  <si>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</si>
  <si>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</si>
  <si>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</si>
  <si>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</si>
  <si>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</si>
  <si>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</si>
  <si>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</si>
  <si>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</si>
  <si>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</si>
  <si>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</si>
  <si>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</si>
  <si>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</si>
  <si>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</si>
  <si>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</si>
  <si>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</si>
  <si>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</si>
  <si>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</si>
  <si>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</si>
  <si>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</si>
  <si>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</si>
  <si>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</si>
  <si>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</si>
  <si>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</si>
  <si>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</si>
  <si>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</si>
  <si>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</si>
  <si>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</si>
  <si>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</si>
  <si>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</si>
  <si>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</si>
  <si>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</si>
  <si>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</si>
  <si>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</si>
  <si>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</si>
  <si>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</si>
  <si>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</si>
  <si>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</si>
  <si>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</si>
  <si>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</si>
  <si>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</si>
  <si>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</si>
  <si>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</si>
  <si>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</si>
  <si>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</si>
  <si>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</si>
  <si>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</si>
  <si>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</si>
  <si>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</si>
  <si>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</si>
  <si>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</si>
  <si>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</si>
  <si>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</si>
  <si>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</si>
  <si>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</si>
  <si>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</si>
  <si>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</si>
  <si>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</si>
  <si>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</si>
  <si>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</si>
  <si>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</si>
  <si>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</si>
  <si>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</si>
  <si>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</si>
  <si>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</si>
  <si>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</si>
  <si>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</si>
  <si>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</si>
  <si>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</si>
  <si>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</si>
  <si>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</si>
  <si>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</si>
  <si>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</si>
  <si>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</si>
  <si>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</si>
  <si>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</si>
  <si>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</si>
  <si>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</si>
  <si>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</si>
  <si>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</si>
  <si>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</si>
  <si>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</si>
  <si>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</si>
  <si>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</si>
  <si>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</si>
  <si>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</si>
  <si>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</si>
  <si>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</si>
  <si>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</si>
  <si>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</si>
  <si>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</si>
  <si>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</si>
  <si>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</si>
  <si>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</si>
  <si>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</si>
  <si>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</si>
  <si>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</si>
  <si>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</si>
  <si>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</si>
  <si>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</si>
  <si>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</si>
  <si>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</si>
  <si>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</si>
  <si>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</si>
  <si>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</si>
  <si>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</si>
  <si>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</si>
  <si>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</si>
  <si>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</si>
  <si>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</si>
  <si>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</si>
  <si>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</si>
  <si>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</si>
  <si>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</si>
  <si>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</si>
  <si>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</si>
  <si>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</si>
  <si>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</si>
  <si>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</si>
  <si>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</si>
  <si>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</si>
  <si>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</si>
  <si>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</si>
  <si>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</si>
  <si>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</si>
  <si>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</si>
  <si>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</si>
  <si>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</si>
  <si>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</si>
  <si>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</si>
  <si>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</si>
  <si>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</si>
  <si>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</si>
  <si>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</si>
  <si>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</si>
  <si>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</si>
  <si>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</si>
  <si>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</si>
  <si>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</si>
  <si>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</si>
  <si>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</si>
  <si>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</si>
  <si>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</si>
  <si>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</si>
  <si>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</si>
  <si>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</si>
  <si>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</si>
  <si>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</si>
  <si>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</si>
  <si>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</si>
  <si>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</si>
  <si>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</si>
  <si>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</si>
  <si>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</si>
  <si>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</si>
  <si>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</si>
  <si>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</si>
  <si>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</si>
  <si>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</si>
  <si>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</si>
  <si>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</si>
  <si>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</si>
  <si>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</si>
  <si>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</si>
  <si>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</si>
  <si>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</si>
  <si>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</si>
  <si>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</si>
  <si>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</si>
  <si>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</si>
  <si>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</si>
  <si>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</si>
  <si>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</si>
  <si>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</si>
  <si>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</si>
  <si>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</si>
  <si>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</si>
  <si>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</si>
  <si>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</si>
  <si>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</si>
  <si>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</si>
  <si>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</si>
  <si>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</si>
  <si>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</si>
  <si>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</si>
  <si>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</si>
  <si>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</si>
  <si>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</si>
  <si>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</si>
  <si>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</si>
  <si>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</si>
  <si>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</si>
  <si>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</si>
  <si>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</si>
  <si>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</si>
  <si>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</si>
  <si>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</si>
  <si>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</si>
  <si>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</si>
  <si>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</si>
  <si>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</si>
  <si>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</si>
  <si>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</si>
  <si>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</si>
  <si>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</si>
  <si>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</si>
  <si>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</si>
  <si>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</si>
  <si>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</si>
  <si>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</si>
  <si>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</si>
  <si>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</si>
  <si>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</si>
  <si>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</si>
  <si>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</si>
  <si>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</si>
  <si>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</si>
  <si>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</si>
  <si>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</si>
  <si>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</si>
  <si>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</si>
  <si>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</si>
  <si>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</si>
  <si>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</si>
  <si>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</si>
  <si>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</si>
  <si>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</si>
  <si>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</si>
  <si>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</si>
  <si>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</si>
  <si>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</si>
  <si>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</si>
  <si>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</si>
  <si>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</si>
  <si>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</si>
  <si>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</si>
  <si>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</si>
  <si>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</si>
  <si>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</si>
  <si>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</si>
  <si>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</si>
  <si>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</si>
  <si>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</si>
  <si>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</si>
  <si>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</si>
  <si>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</si>
  <si>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</si>
  <si>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</si>
  <si>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</si>
  <si>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</si>
  <si>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</si>
  <si>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</si>
  <si>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</si>
  <si>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</si>
  <si>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</si>
  <si>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</si>
  <si>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</si>
  <si>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</si>
  <si>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</si>
  <si>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</si>
  <si>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</si>
  <si>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</si>
  <si>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</si>
  <si>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</si>
  <si>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</si>
  <si>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</si>
  <si>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</si>
  <si>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</si>
  <si>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</si>
  <si>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</si>
  <si>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</si>
  <si>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</si>
  <si>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</si>
  <si>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</si>
  <si>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</si>
  <si>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</si>
  <si>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</si>
  <si>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</si>
  <si>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</si>
  <si>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</si>
  <si>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</si>
  <si>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</si>
  <si>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</si>
  <si>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</si>
  <si>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</si>
  <si>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</si>
  <si>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</si>
  <si>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</si>
  <si>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</si>
  <si>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</si>
  <si>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</si>
  <si>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</si>
  <si>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</si>
  <si>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</si>
  <si>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</si>
  <si>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</si>
  <si>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</si>
  <si>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</si>
  <si>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</si>
  <si>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</si>
  <si>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</si>
  <si>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</si>
  <si>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</si>
  <si>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</si>
  <si>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</si>
  <si>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</si>
  <si>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</si>
  <si>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</si>
  <si>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</si>
  <si>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</si>
  <si>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</si>
  <si>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</si>
  <si>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</si>
  <si>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</si>
  <si>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</si>
  <si>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</si>
  <si>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</si>
  <si>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</si>
  <si>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</si>
  <si>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</si>
  <si>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</si>
  <si>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</si>
  <si>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</si>
  <si>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</si>
  <si>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</si>
  <si>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</si>
  <si>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</si>
  <si>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</si>
  <si>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</si>
  <si>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</si>
  <si>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</si>
  <si>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</si>
  <si>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</si>
  <si>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</si>
  <si>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</si>
  <si>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</si>
  <si>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</si>
  <si>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</si>
  <si>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</si>
  <si>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</si>
  <si>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</si>
  <si>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</si>
  <si>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</si>
  <si>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</si>
  <si>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</si>
  <si>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</si>
  <si>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</si>
  <si>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</si>
  <si>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</si>
  <si>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</si>
  <si>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</si>
  <si>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</si>
  <si>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</si>
  <si>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</si>
  <si>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</si>
  <si>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</si>
  <si>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</si>
  <si>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</si>
  <si>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</si>
  <si>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</si>
  <si>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</si>
  <si>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</si>
  <si>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</si>
  <si>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</si>
  <si>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</si>
  <si>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</si>
  <si>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</si>
  <si>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</si>
  <si>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</si>
  <si>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</si>
  <si>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</si>
  <si>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</si>
  <si>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</si>
  <si>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</si>
  <si>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</si>
  <si>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</si>
  <si>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</si>
  <si>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</si>
  <si>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</si>
  <si>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</si>
  <si>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</si>
  <si>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</si>
  <si>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</si>
  <si>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</si>
  <si>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</si>
  <si>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</si>
  <si>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</si>
  <si>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</si>
  <si>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</si>
  <si>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</si>
  <si>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</si>
  <si>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</si>
  <si>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</si>
  <si>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</si>
  <si>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</si>
  <si>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</si>
  <si>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</si>
  <si>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</si>
  <si>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</si>
  <si>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</si>
  <si>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</si>
  <si>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</si>
  <si>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</si>
  <si>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</si>
  <si>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</si>
  <si>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</si>
  <si>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</si>
  <si>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</si>
  <si>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</si>
  <si>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</si>
  <si>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</si>
  <si>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</si>
  <si>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</si>
  <si>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</si>
  <si>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</si>
  <si>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</si>
  <si>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</si>
  <si>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</si>
  <si>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</si>
  <si>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</si>
  <si>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</si>
  <si>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</si>
  <si>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</si>
  <si>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</si>
  <si>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</si>
  <si>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</si>
  <si>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</si>
  <si>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</si>
  <si>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</si>
  <si>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</si>
  <si>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</si>
  <si>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</si>
  <si>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</si>
  <si>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</si>
  <si>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</si>
  <si>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</si>
  <si>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</si>
  <si>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</si>
  <si>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</si>
  <si>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</si>
  <si>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</si>
  <si>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</si>
  <si>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</si>
  <si>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</si>
  <si>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</si>
  <si>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</si>
  <si>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</si>
  <si>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</si>
  <si>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</si>
  <si>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</si>
  <si>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</si>
  <si>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</si>
  <si>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</si>
  <si>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</si>
  <si>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</si>
  <si>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</si>
  <si>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</si>
  <si>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</si>
  <si>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</si>
  <si>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</si>
  <si>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</si>
  <si>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</si>
  <si>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</si>
  <si>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</si>
  <si>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</si>
  <si>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</si>
  <si>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</si>
  <si>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</si>
  <si>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</si>
  <si>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</si>
  <si>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</si>
  <si>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</si>
  <si>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</si>
  <si>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</si>
  <si>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</si>
  <si>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</si>
  <si>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</si>
  <si>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</si>
  <si>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</si>
  <si>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</si>
  <si>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</si>
  <si>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</si>
  <si>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</si>
  <si>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</si>
  <si>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</si>
  <si>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</si>
  <si>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</si>
  <si>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</si>
  <si>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</si>
  <si>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</si>
  <si>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</si>
  <si>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</si>
  <si>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</si>
  <si>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</si>
  <si>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</si>
  <si>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</si>
  <si>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</si>
  <si>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</si>
  <si>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</si>
  <si>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</si>
  <si>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</si>
  <si>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</si>
  <si>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</si>
  <si>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</si>
  <si>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</si>
  <si>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</si>
  <si>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</si>
  <si>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</si>
  <si>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</si>
  <si>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</si>
  <si>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</si>
  <si>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</si>
  <si>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</si>
  <si>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</si>
  <si>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</si>
  <si>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</si>
  <si>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</si>
  <si>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</si>
  <si>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</si>
  <si>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</si>
  <si>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</si>
  <si>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</si>
  <si>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</si>
  <si>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</si>
  <si>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</si>
  <si>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</si>
  <si>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</si>
  <si>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</si>
  <si>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</si>
  <si>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</si>
  <si>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</si>
  <si>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</si>
  <si>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</si>
  <si>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</si>
  <si>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</si>
  <si>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</si>
  <si>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</si>
  <si>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</si>
  <si>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</si>
  <si>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</si>
  <si>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</si>
  <si>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</si>
  <si>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</si>
  <si>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</si>
  <si>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</si>
  <si>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</si>
  <si>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</si>
  <si>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</si>
  <si>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</si>
  <si>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</si>
  <si>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</si>
  <si>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</si>
  <si>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</si>
  <si>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</si>
  <si>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</si>
  <si>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</si>
  <si>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</si>
  <si>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</si>
  <si>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</si>
  <si>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</si>
  <si>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</si>
  <si>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</si>
  <si>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</si>
  <si>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</si>
  <si>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</si>
  <si>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</si>
  <si>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</si>
  <si>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</si>
  <si>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</si>
  <si>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</si>
  <si>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</si>
  <si>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</si>
  <si>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</si>
  <si>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</si>
  <si>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</si>
  <si>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</si>
  <si>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</si>
  <si>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</si>
  <si>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</si>
  <si>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</si>
  <si>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</si>
  <si>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</si>
  <si>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</si>
  <si>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</si>
  <si>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</si>
  <si>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</si>
  <si>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</si>
  <si>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</si>
  <si>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</si>
  <si>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</si>
  <si>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</si>
  <si>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</si>
  <si>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</si>
  <si>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</si>
  <si>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</si>
  <si>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</si>
  <si>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</si>
  <si>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</si>
  <si>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</si>
  <si>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</si>
  <si>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</si>
  <si>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</si>
  <si>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</si>
  <si>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</si>
  <si>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</si>
  <si>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</si>
  <si>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</si>
  <si>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</si>
  <si>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</si>
  <si>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</si>
  <si>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</si>
  <si>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</si>
  <si>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</si>
  <si>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</si>
  <si>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</si>
  <si>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</si>
  <si>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</si>
  <si>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</si>
  <si>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</si>
  <si>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</si>
  <si>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</si>
  <si>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</si>
  <si>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</si>
  <si>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</si>
  <si>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</si>
  <si>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</si>
  <si>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</si>
  <si>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</si>
  <si>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</si>
  <si>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</si>
  <si>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</si>
  <si>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</si>
  <si>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</si>
  <si>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</si>
  <si>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</si>
  <si>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</si>
  <si>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</si>
  <si>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</si>
  <si>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</si>
  <si>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</si>
  <si>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</si>
  <si>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</si>
  <si>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</si>
  <si>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</si>
  <si>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</si>
  <si>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</si>
  <si>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</si>
  <si>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</si>
  <si>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</si>
  <si>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</si>
  <si>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</si>
  <si>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</si>
  <si>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</si>
  <si>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</si>
  <si>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</si>
  <si>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</si>
  <si>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</si>
  <si>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</si>
  <si>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</si>
  <si>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</si>
  <si>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</si>
  <si>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</si>
  <si>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</si>
  <si>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</si>
  <si>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</si>
  <si>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</si>
  <si>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</si>
  <si>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</si>
  <si>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</si>
  <si>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</si>
  <si>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</si>
  <si>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</si>
  <si>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</si>
  <si>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</si>
  <si>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</si>
  <si>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</si>
  <si>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</si>
  <si>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</si>
  <si>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</si>
  <si>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</si>
  <si>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</si>
  <si>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</si>
  <si>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</si>
  <si>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</si>
  <si>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</si>
  <si>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</si>
  <si>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</si>
  <si>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</si>
  <si>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</si>
  <si>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</si>
  <si>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</si>
  <si>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</si>
  <si>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</si>
  <si>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</si>
  <si>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</si>
  <si>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</si>
  <si>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</si>
  <si>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</si>
  <si>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</si>
  <si>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</si>
  <si>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</si>
  <si>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</si>
  <si>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</si>
  <si>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</si>
  <si>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</si>
  <si>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</si>
  <si>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</si>
  <si>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</si>
  <si>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</si>
  <si>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</si>
  <si>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</si>
  <si>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</si>
  <si>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</si>
  <si>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</si>
  <si>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</si>
  <si>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</si>
  <si>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</si>
  <si>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</si>
  <si>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</si>
  <si>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</si>
  <si>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</si>
  <si>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</si>
  <si>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</si>
  <si>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</si>
  <si>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</si>
  <si>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</si>
  <si>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</si>
  <si>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</si>
  <si>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</si>
  <si>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</si>
  <si>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</si>
  <si>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</si>
  <si>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</si>
  <si>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</si>
  <si>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</si>
  <si>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</si>
  <si>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</si>
  <si>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</si>
  <si>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</si>
  <si>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</si>
  <si>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</si>
  <si>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</si>
  <si>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</si>
  <si>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</si>
  <si>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</si>
  <si>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</si>
  <si>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</si>
  <si>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</si>
  <si>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</si>
  <si>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</si>
  <si>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</si>
  <si>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</si>
  <si>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</si>
  <si>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</si>
  <si>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</si>
  <si>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</si>
  <si>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</si>
  <si>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</si>
  <si>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</si>
  <si>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</si>
  <si>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</si>
  <si>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</si>
  <si>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</si>
  <si>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</si>
  <si>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</si>
  <si>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</si>
  <si>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</si>
  <si>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</si>
  <si>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</si>
  <si>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</si>
  <si>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</si>
  <si>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</si>
  <si>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</si>
  <si>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</si>
  <si>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</si>
  <si>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</si>
  <si>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</si>
  <si>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</si>
  <si>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</si>
  <si>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</si>
  <si>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</si>
  <si>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</si>
  <si>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</si>
  <si>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</si>
  <si>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</si>
  <si>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</si>
  <si>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</si>
  <si>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</si>
  <si>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</si>
  <si>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</si>
  <si>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</si>
  <si>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</si>
  <si>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</si>
  <si>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</si>
  <si>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</si>
  <si>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</si>
  <si>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</si>
  <si>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</si>
  <si>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</si>
  <si>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</si>
  <si>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</si>
  <si>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</si>
  <si>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</si>
  <si>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</si>
  <si>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</si>
  <si>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</si>
  <si>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</si>
  <si>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</si>
  <si>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</si>
  <si>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</si>
  <si>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</si>
  <si>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</si>
  <si>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</si>
  <si>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</si>
  <si>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</si>
  <si>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</si>
  <si>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</si>
  <si>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</si>
  <si>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</si>
  <si>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</si>
  <si>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</si>
  <si>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</si>
  <si>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</si>
  <si>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</si>
  <si>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</si>
  <si>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</si>
  <si>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</si>
  <si>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</si>
  <si>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</si>
  <si>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</si>
  <si>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</si>
  <si>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</si>
  <si>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</si>
  <si>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</si>
  <si>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</si>
  <si>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</si>
  <si>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</si>
  <si>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</si>
  <si>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</si>
  <si>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</si>
  <si>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</si>
  <si>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</si>
  <si>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</si>
  <si>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</si>
  <si>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</si>
  <si>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</si>
  <si>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</si>
  <si>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</si>
  <si>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</si>
  <si>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</si>
  <si>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</si>
  <si>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</si>
  <si>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</si>
  <si>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</si>
  <si>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</si>
  <si>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</si>
  <si>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</si>
  <si>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</si>
  <si>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</si>
  <si>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</si>
  <si>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</si>
  <si>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</si>
  <si>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</si>
  <si>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</si>
  <si>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</si>
  <si>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</si>
  <si>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</si>
  <si>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</si>
  <si>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</si>
  <si>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</si>
  <si>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</si>
  <si>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</si>
  <si>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</si>
  <si>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</si>
  <si>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</si>
  <si>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</si>
  <si>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</si>
  <si>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</si>
  <si>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</si>
  <si>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</si>
  <si>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</si>
  <si>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</si>
  <si>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</si>
  <si>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</si>
  <si>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</si>
  <si>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</si>
  <si>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</si>
  <si>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</si>
  <si>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</si>
  <si>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</si>
  <si>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</si>
  <si>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</si>
  <si>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</si>
  <si>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</si>
  <si>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</si>
  <si>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</si>
  <si>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</si>
  <si>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</si>
  <si>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</si>
  <si>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</si>
  <si>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</si>
  <si>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</si>
  <si>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</si>
  <si>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</si>
  <si>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</si>
  <si>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</si>
  <si>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</si>
  <si>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</si>
  <si>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</si>
  <si>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</si>
  <si>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</si>
  <si>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</si>
  <si>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</si>
  <si>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</si>
  <si>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</si>
  <si>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</si>
  <si>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</si>
  <si>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</si>
  <si>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</si>
  <si>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</si>
  <si>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</si>
  <si>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</si>
  <si>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</si>
  <si>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</si>
  <si>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</si>
  <si>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</si>
  <si>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</si>
  <si>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</si>
  <si>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</si>
  <si>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</si>
  <si>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</si>
  <si>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</si>
  <si>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</si>
  <si>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</si>
  <si>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</si>
  <si>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</si>
  <si>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</si>
  <si>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</si>
  <si>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</si>
  <si>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</si>
  <si>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</si>
  <si>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</si>
  <si>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</si>
  <si>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</si>
  <si>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</si>
  <si>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</si>
  <si>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</si>
  <si>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</si>
  <si>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</si>
  <si>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</si>
  <si>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</si>
  <si>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</si>
  <si>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</si>
  <si>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</si>
  <si>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</si>
  <si>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</si>
  <si>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</si>
  <si>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</si>
  <si>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</si>
  <si>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</si>
  <si>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</si>
  <si>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</si>
  <si>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</si>
  <si>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</si>
  <si>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</si>
  <si>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</si>
  <si>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</si>
  <si>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</si>
  <si>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</si>
  <si>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</si>
  <si>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</si>
  <si>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</si>
  <si>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</si>
  <si>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</si>
  <si>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</si>
  <si>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</si>
  <si>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</si>
  <si>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</si>
  <si>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</si>
  <si>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</si>
  <si>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</si>
  <si>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</si>
  <si>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</si>
  <si>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</si>
  <si>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</si>
  <si>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</si>
  <si>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</si>
  <si>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</si>
  <si>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</si>
  <si>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</si>
  <si>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</si>
  <si>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</si>
  <si>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</si>
  <si>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</si>
  <si>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</si>
  <si>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</si>
  <si>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</si>
  <si>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</si>
  <si>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</si>
  <si>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</si>
  <si>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</si>
  <si>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</si>
  <si>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</si>
  <si>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</si>
  <si>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</si>
  <si>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</si>
  <si>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</si>
  <si>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</si>
  <si>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</si>
  <si>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</si>
  <si>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</si>
  <si>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</si>
  <si>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</si>
  <si>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</si>
  <si>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</si>
  <si>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</si>
  <si>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</si>
  <si>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</si>
  <si>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</si>
  <si>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</si>
  <si>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</si>
  <si>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</si>
  <si>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</si>
  <si>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</si>
  <si>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</si>
  <si>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</si>
  <si>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</si>
  <si>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</si>
  <si>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</si>
  <si>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</si>
  <si>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</si>
  <si>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</si>
  <si>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</si>
  <si>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</si>
  <si>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</si>
  <si>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</si>
  <si>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</si>
  <si>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</si>
  <si>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</si>
  <si>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</si>
  <si>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</si>
  <si>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</si>
  <si>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</si>
  <si>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</si>
  <si>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</si>
  <si>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</si>
  <si>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</si>
  <si>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</si>
  <si>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</si>
  <si>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</si>
  <si>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</si>
  <si>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</si>
  <si>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</si>
  <si>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</si>
  <si>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</si>
  <si>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</si>
  <si>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</si>
  <si>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</si>
  <si>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</si>
  <si>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</si>
  <si>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</si>
  <si>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</si>
  <si>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</si>
  <si>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</si>
  <si>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</si>
  <si>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</si>
  <si>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</si>
  <si>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</si>
  <si>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</si>
  <si>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</si>
  <si>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</si>
  <si>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</si>
  <si>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</si>
  <si>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</si>
  <si>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</si>
  <si>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</si>
  <si>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</si>
  <si>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</si>
  <si>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</si>
  <si>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</si>
  <si>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</si>
  <si>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</si>
  <si>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</si>
  <si>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</si>
  <si>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</si>
  <si>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</si>
  <si>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</si>
  <si>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</si>
  <si>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</si>
  <si>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</si>
  <si>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</si>
  <si>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</si>
  <si>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</si>
  <si>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</si>
  <si>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</si>
  <si>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</si>
  <si>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</si>
  <si>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</si>
  <si>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</si>
  <si>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</si>
  <si>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</si>
  <si>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</si>
  <si>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</si>
  <si>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</si>
  <si>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</si>
  <si>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</si>
  <si>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</si>
  <si>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</si>
  <si>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</si>
  <si>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</si>
  <si>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</si>
  <si>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</si>
  <si>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</si>
  <si>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</si>
  <si>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</si>
  <si>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</si>
  <si>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</si>
  <si>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</si>
  <si>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</si>
  <si>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</si>
  <si>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</si>
  <si>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</si>
  <si>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</si>
  <si>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</si>
  <si>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</si>
  <si>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</si>
  <si>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</si>
  <si>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</si>
  <si>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</si>
  <si>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</si>
  <si>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</si>
  <si>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</si>
  <si>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</si>
  <si>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</si>
  <si>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</si>
  <si>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</si>
  <si>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</si>
  <si>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</si>
  <si>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</si>
  <si>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</si>
  <si>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</si>
  <si>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</si>
  <si>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</si>
  <si>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</si>
  <si>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</si>
  <si>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</si>
  <si>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</si>
  <si>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</si>
  <si>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</si>
  <si>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</si>
  <si>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</si>
  <si>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</si>
  <si>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</si>
  <si>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</si>
  <si>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</si>
  <si>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</si>
  <si>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</si>
  <si>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</si>
  <si>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</si>
  <si>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</si>
  <si>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</si>
  <si>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</si>
  <si>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</si>
  <si>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</si>
  <si>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</si>
  <si>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</si>
  <si>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</si>
  <si>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</si>
  <si>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</si>
  <si>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</si>
  <si>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</si>
  <si>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</si>
  <si>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</si>
  <si>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</si>
  <si>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</si>
  <si>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</si>
  <si>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</si>
  <si>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</si>
  <si>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</si>
  <si>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</si>
  <si>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</si>
  <si>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</si>
  <si>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</si>
  <si>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</si>
  <si>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</si>
  <si>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</si>
  <si>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</si>
  <si>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</si>
  <si>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</si>
  <si>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</si>
  <si>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</si>
  <si>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</si>
  <si>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</si>
  <si>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</si>
  <si>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</si>
  <si>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</si>
  <si>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</si>
  <si>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</si>
  <si>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</si>
  <si>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</si>
  <si>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</si>
  <si>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</si>
  <si>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</si>
  <si>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</si>
  <si>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</si>
  <si>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</si>
  <si>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</si>
  <si>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</si>
  <si>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</si>
  <si>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</si>
  <si>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</si>
  <si>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</si>
  <si>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</si>
  <si>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</si>
  <si>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</si>
  <si>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</si>
  <si>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</si>
  <si>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</si>
  <si>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</si>
  <si>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</si>
  <si>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</si>
  <si>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</si>
  <si>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</si>
  <si>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</si>
  <si>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</si>
  <si>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</si>
  <si>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</si>
  <si>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</si>
  <si>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</si>
  <si>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</si>
  <si>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</si>
  <si>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</si>
  <si>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</si>
  <si>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</si>
  <si>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</si>
  <si>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</si>
  <si>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</si>
  <si>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</si>
  <si>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</si>
  <si>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</si>
  <si>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</si>
  <si>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</si>
  <si>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</si>
  <si>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</si>
  <si>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</si>
  <si>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</si>
  <si>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</si>
  <si>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</si>
  <si>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</si>
  <si>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</si>
  <si>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</si>
  <si>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</si>
  <si>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</si>
  <si>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</si>
  <si>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</si>
  <si>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</si>
  <si>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</si>
  <si>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</si>
  <si>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</si>
  <si>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</si>
  <si>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</si>
  <si>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</si>
  <si>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</si>
  <si>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</si>
  <si>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</si>
  <si>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</si>
  <si>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</si>
  <si>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</si>
  <si>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</si>
  <si>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</si>
  <si>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</si>
  <si>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</si>
  <si>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</si>
  <si>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</si>
  <si>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</si>
  <si>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</si>
  <si>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</si>
  <si>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</si>
  <si>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</si>
  <si>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</si>
  <si>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</si>
  <si>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</si>
  <si>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</si>
  <si>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</si>
  <si>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</si>
  <si>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</si>
  <si>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</si>
  <si>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</si>
  <si>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</si>
  <si>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</si>
  <si>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</si>
  <si>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</si>
  <si>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</si>
  <si>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</si>
  <si>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</si>
  <si>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</si>
  <si>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</si>
  <si>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</si>
  <si>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</si>
  <si>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</si>
  <si>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</si>
  <si>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</si>
  <si>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</si>
  <si>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</si>
  <si>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</si>
  <si>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</si>
  <si>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</si>
  <si>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</si>
  <si>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</si>
  <si>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</si>
  <si>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</si>
  <si>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</si>
  <si>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</si>
  <si>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</si>
  <si>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</si>
  <si>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</si>
  <si>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</si>
  <si>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</si>
  <si>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</si>
  <si>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</si>
  <si>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</si>
  <si>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</si>
  <si>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</si>
  <si>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</si>
  <si>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</si>
  <si>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</si>
  <si>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</si>
  <si>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</si>
  <si>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</si>
  <si>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</si>
  <si>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</si>
  <si>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</si>
  <si>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</si>
  <si>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</si>
  <si>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</si>
  <si>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</si>
  <si>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</si>
  <si>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</si>
  <si>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</si>
  <si>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</si>
  <si>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</si>
  <si>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</si>
  <si>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</si>
  <si>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</si>
  <si>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</si>
  <si>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</si>
  <si>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</si>
  <si>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</si>
  <si>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</si>
  <si>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</si>
  <si>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</si>
  <si>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</si>
  <si>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</si>
  <si>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</si>
  <si>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</si>
  <si>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</si>
  <si>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</si>
  <si>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</si>
  <si>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</si>
  <si>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</si>
  <si>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</si>
  <si>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</si>
  <si>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</si>
  <si>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</si>
  <si>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</si>
  <si>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</si>
  <si>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</si>
  <si>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</si>
  <si>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</si>
  <si>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</si>
  <si>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</si>
  <si>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</si>
  <si>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</si>
  <si>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</si>
  <si>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</si>
  <si>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</si>
  <si>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</si>
  <si>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</si>
  <si>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</si>
  <si>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</si>
  <si>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</si>
  <si>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</si>
  <si>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</si>
  <si>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</si>
  <si>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</si>
  <si>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</si>
  <si>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</si>
  <si>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</si>
  <si>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</si>
  <si>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</si>
  <si>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</si>
  <si>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</si>
  <si>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</si>
  <si>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</si>
  <si>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</si>
  <si>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</si>
  <si>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</si>
  <si>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</si>
  <si>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</si>
  <si>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</si>
  <si>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</si>
  <si>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</si>
  <si>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</si>
  <si>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</si>
  <si>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</si>
  <si>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</si>
  <si>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</si>
  <si>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</si>
  <si>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</si>
  <si>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</si>
  <si>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</si>
  <si>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</si>
  <si>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</si>
  <si>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</si>
  <si>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</si>
  <si>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</si>
  <si>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</si>
  <si>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</si>
  <si>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</si>
  <si>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</si>
  <si>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</si>
  <si>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</si>
  <si>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</si>
  <si>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</si>
  <si>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</si>
  <si>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</si>
  <si>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</si>
  <si>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</si>
  <si>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</si>
  <si>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</si>
  <si>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</si>
  <si>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</si>
  <si>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</si>
  <si>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</si>
  <si>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</si>
  <si>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</si>
  <si>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</si>
  <si>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</si>
  <si>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</si>
  <si>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</si>
  <si>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</si>
  <si>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</si>
  <si>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</si>
  <si>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</si>
  <si>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</si>
  <si>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</si>
  <si>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</si>
  <si>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</si>
  <si>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</si>
  <si>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</si>
  <si>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</si>
  <si>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</si>
  <si>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</si>
  <si>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</si>
  <si>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</si>
  <si>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</si>
  <si>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</si>
  <si>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</si>
  <si>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</si>
  <si>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</si>
  <si>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</si>
  <si>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</si>
  <si>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</si>
  <si>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</si>
  <si>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</si>
  <si>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</si>
  <si>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</si>
  <si>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</si>
  <si>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</si>
  <si>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</si>
  <si>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</si>
  <si>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</si>
  <si>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</si>
  <si>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</si>
  <si>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</si>
  <si>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</si>
  <si>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</si>
  <si>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</si>
  <si>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</si>
  <si>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</si>
  <si>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</si>
  <si>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</si>
  <si>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</si>
  <si>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</si>
  <si>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</si>
  <si>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</si>
  <si>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</si>
  <si>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</si>
  <si>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</si>
  <si>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</si>
  <si>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</si>
  <si>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</si>
  <si>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</si>
  <si>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</si>
  <si>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</si>
  <si>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</si>
  <si>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</si>
  <si>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</si>
  <si>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</si>
  <si>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</si>
  <si>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</si>
  <si>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</si>
  <si>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</si>
  <si>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</si>
  <si>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</si>
  <si>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</si>
  <si>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</si>
  <si>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</si>
  <si>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</si>
  <si>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</si>
  <si>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</si>
  <si>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</si>
  <si>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</si>
  <si>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</si>
  <si>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</si>
  <si>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</si>
  <si>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</si>
  <si>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</si>
  <si>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</si>
  <si>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</si>
  <si>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</si>
  <si>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</si>
  <si>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</si>
  <si>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</si>
  <si>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</si>
  <si>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</si>
  <si>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</si>
  <si>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</si>
  <si>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</si>
  <si>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</si>
  <si>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</si>
  <si>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</si>
  <si>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</si>
  <si>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</si>
  <si>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</si>
  <si>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</si>
  <si>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</si>
  <si>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</si>
  <si>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</si>
  <si>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</si>
  <si>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</si>
  <si>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</si>
  <si>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</si>
  <si>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</si>
  <si>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</si>
  <si>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</si>
  <si>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</si>
  <si>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</si>
  <si>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</si>
  <si>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</si>
  <si>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</si>
  <si>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</si>
  <si>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</si>
  <si>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</si>
  <si>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</si>
  <si>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</si>
  <si>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</si>
  <si>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</si>
  <si>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</si>
  <si>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</si>
  <si>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</si>
  <si>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</si>
  <si>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</si>
  <si>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</si>
  <si>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</si>
  <si>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</si>
  <si>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</si>
  <si>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</si>
  <si>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</si>
  <si>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</si>
  <si>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</si>
  <si>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</si>
  <si>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</si>
  <si>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</si>
  <si>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</si>
  <si>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</si>
  <si>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</si>
  <si>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</si>
  <si>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</si>
  <si>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</si>
  <si>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</si>
  <si>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</si>
  <si>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</si>
  <si>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</si>
  <si>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</si>
  <si>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</si>
  <si>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</si>
  <si>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</si>
  <si>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</si>
  <si>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</si>
  <si>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</si>
  <si>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</si>
  <si>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</si>
  <si>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</si>
  <si>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</si>
  <si>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</si>
  <si>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</si>
  <si>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</si>
  <si>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</si>
  <si>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</si>
  <si>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</si>
  <si>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</si>
  <si>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</si>
  <si>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</si>
  <si>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</si>
  <si>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</si>
  <si>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</si>
  <si>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</si>
  <si>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</si>
  <si>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</si>
  <si>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</si>
  <si>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</si>
  <si>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</si>
  <si>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</si>
  <si>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</si>
  <si>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</si>
  <si>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</si>
  <si>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</si>
  <si>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</si>
  <si>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</si>
  <si>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</si>
  <si>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</si>
  <si>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</si>
  <si>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</si>
  <si>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</si>
  <si>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</si>
  <si>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</si>
  <si>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</si>
  <si>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</si>
  <si>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</si>
  <si>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</si>
  <si>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</si>
  <si>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</si>
  <si>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</si>
  <si>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</si>
  <si>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</si>
  <si>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</si>
  <si>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</si>
  <si>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</si>
  <si>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</si>
  <si>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</si>
  <si>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</si>
  <si>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</si>
  <si>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</si>
  <si>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</si>
  <si>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</si>
  <si>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</si>
  <si>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</si>
  <si>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</si>
  <si>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</si>
  <si>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</si>
  <si>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</si>
  <si>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</si>
  <si>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</si>
  <si>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</si>
  <si>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</si>
  <si>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</si>
  <si>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</si>
  <si>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</si>
  <si>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</si>
  <si>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</si>
  <si>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</si>
  <si>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</si>
  <si>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</si>
  <si>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</si>
  <si>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</si>
  <si>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</si>
  <si>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</si>
  <si>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</si>
  <si>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</si>
  <si>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</si>
  <si>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</si>
  <si>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</si>
  <si>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</si>
  <si>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</si>
  <si>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</si>
  <si>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</si>
  <si>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</si>
  <si>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</si>
  <si>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</si>
  <si>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</si>
  <si>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</si>
  <si>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</si>
  <si>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</si>
  <si>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</si>
  <si>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</si>
  <si>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</si>
  <si>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</si>
  <si>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</si>
  <si>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</si>
  <si>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</si>
  <si>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</si>
  <si>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</si>
  <si>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</si>
  <si>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</si>
  <si>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</si>
  <si>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</si>
  <si>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</si>
  <si>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</si>
  <si>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</si>
  <si>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</si>
  <si>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</si>
  <si>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</si>
  <si>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</si>
  <si>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</si>
  <si>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</si>
  <si>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</si>
  <si>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</si>
  <si>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</si>
  <si>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</si>
  <si>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</si>
  <si>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</si>
  <si>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</si>
  <si>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</si>
  <si>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</si>
  <si>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</si>
  <si>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</si>
  <si>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</si>
  <si>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</si>
  <si>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</si>
  <si>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</si>
  <si>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</si>
  <si>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</si>
  <si>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</si>
  <si>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</si>
  <si>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</si>
  <si>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</si>
  <si>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</si>
  <si>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</si>
  <si>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</si>
  <si>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</si>
  <si>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</si>
  <si>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</si>
  <si>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</si>
  <si>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</si>
  <si>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</si>
  <si>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</si>
  <si>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</si>
  <si>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</si>
  <si>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</si>
  <si>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</si>
  <si>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</si>
  <si>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</si>
  <si>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</si>
  <si>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</si>
  <si>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</si>
  <si>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</si>
  <si>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</si>
  <si>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</si>
  <si>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</si>
  <si>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</si>
  <si>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</si>
  <si>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</si>
  <si>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</si>
  <si>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</si>
  <si>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</si>
  <si>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</si>
  <si>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</si>
  <si>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</si>
  <si>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</si>
  <si>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</si>
  <si>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</si>
  <si>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</si>
  <si>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</si>
  <si>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</si>
  <si>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</si>
  <si>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</si>
  <si>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</si>
  <si>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</si>
  <si>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</si>
  <si>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</si>
  <si>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</si>
  <si>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</si>
  <si>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</si>
  <si>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</si>
  <si>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</si>
  <si>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</si>
  <si>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</si>
  <si>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</si>
  <si>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</si>
  <si>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</si>
  <si>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</si>
  <si>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</si>
  <si>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</si>
  <si>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</si>
  <si>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</si>
  <si>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</si>
  <si>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</si>
  <si>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</si>
  <si>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</si>
  <si>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</si>
  <si>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</si>
  <si>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</si>
  <si>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</si>
  <si>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</si>
  <si>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</si>
  <si>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</si>
  <si>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</si>
  <si>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</si>
  <si>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</si>
  <si>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</si>
  <si>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</si>
  <si>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</si>
  <si>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</si>
  <si>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</si>
  <si>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</si>
  <si>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</si>
  <si>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</si>
  <si>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</si>
  <si>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</si>
  <si>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</si>
  <si>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</si>
  <si>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</si>
  <si>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</si>
  <si>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</si>
  <si>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</si>
  <si>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</si>
  <si>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</si>
  <si>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</si>
  <si>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</si>
  <si>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</si>
  <si>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</si>
  <si>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</si>
  <si>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</si>
  <si>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</si>
  <si>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</si>
  <si>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</si>
  <si>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</si>
  <si>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</si>
  <si>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</si>
  <si>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</si>
  <si>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</si>
  <si>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</si>
  <si>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</si>
  <si>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</si>
  <si>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</si>
  <si>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</si>
  <si>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</si>
  <si>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</si>
  <si>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</si>
  <si>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</si>
  <si>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</si>
  <si>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</si>
  <si>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</si>
  <si>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</si>
  <si>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</si>
  <si>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</si>
  <si>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</si>
  <si>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</si>
  <si>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</si>
  <si>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</si>
  <si>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</si>
  <si>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</si>
  <si>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</si>
  <si>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</si>
  <si>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</si>
  <si>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</si>
  <si>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</si>
  <si>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</si>
  <si>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</si>
  <si>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</si>
  <si>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</si>
  <si>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</si>
  <si>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</si>
  <si>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</si>
  <si>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</si>
  <si>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</si>
  <si>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</si>
  <si>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</si>
  <si>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</si>
  <si>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</si>
  <si>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</si>
  <si>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</si>
  <si>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</si>
  <si>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</si>
  <si>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</si>
  <si>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</si>
  <si>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</si>
  <si>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</si>
  <si>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</si>
  <si>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</si>
  <si>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</si>
  <si>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</si>
  <si>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</si>
  <si>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</si>
  <si>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</si>
  <si>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</si>
  <si>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</si>
  <si>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</si>
  <si>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</si>
  <si>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</si>
  <si>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</si>
  <si>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</si>
  <si>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</si>
  <si>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</si>
  <si>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</si>
  <si>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</si>
  <si>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</si>
  <si>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</si>
  <si>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</si>
  <si>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</si>
  <si>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</si>
  <si>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</si>
  <si>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</si>
  <si>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</si>
  <si>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</si>
  <si>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</si>
  <si>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</si>
  <si>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</si>
  <si>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</si>
  <si>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</si>
  <si>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</si>
  <si>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</si>
  <si>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</si>
  <si>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</si>
  <si>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</si>
  <si>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</si>
  <si>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</si>
  <si>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</si>
  <si>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</si>
  <si>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</si>
  <si>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</si>
  <si>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</si>
  <si>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</si>
  <si>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</si>
  <si>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</si>
  <si>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</si>
  <si>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</si>
  <si>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</si>
  <si>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</si>
  <si>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</si>
  <si>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</si>
  <si>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</si>
  <si>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</si>
  <si>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</si>
  <si>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</si>
  <si>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</si>
  <si>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</si>
  <si>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</si>
  <si>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</si>
  <si>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</si>
  <si>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</si>
  <si>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</si>
  <si>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</si>
  <si>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</si>
  <si>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</si>
  <si>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</si>
  <si>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</si>
  <si>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</si>
  <si>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</si>
  <si>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</si>
  <si>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</si>
  <si>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</si>
  <si>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</si>
  <si>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</si>
  <si>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</si>
  <si>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</si>
  <si>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</si>
  <si>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</si>
  <si>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</si>
  <si>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</si>
  <si>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</si>
  <si>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</si>
  <si>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</si>
  <si>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</si>
  <si>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</si>
  <si>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</si>
  <si>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</si>
  <si>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</si>
  <si>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</si>
  <si>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</si>
  <si>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</si>
  <si>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</si>
  <si>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</si>
  <si>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</si>
  <si>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</si>
  <si>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</si>
  <si>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</si>
  <si>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</si>
  <si>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</si>
  <si>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</si>
  <si>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</si>
  <si>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</si>
  <si>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</si>
  <si>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</si>
  <si>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</si>
  <si>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</si>
  <si>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</si>
  <si>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</si>
  <si>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</si>
  <si>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</si>
  <si>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</si>
  <si>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</si>
  <si>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</si>
  <si>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</si>
  <si>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</si>
  <si>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</si>
  <si>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</si>
  <si>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</si>
  <si>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</si>
  <si>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</si>
  <si>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</si>
  <si>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</si>
  <si>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</si>
  <si>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</si>
  <si>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</si>
  <si>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</si>
  <si>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</si>
  <si>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</si>
  <si>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</si>
  <si>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</si>
  <si>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</si>
  <si>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</si>
  <si>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</si>
  <si>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</si>
  <si>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</si>
  <si>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</si>
  <si>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</si>
  <si>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</si>
  <si>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</si>
  <si>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</si>
  <si>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</si>
  <si>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</si>
  <si>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</si>
  <si>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</si>
  <si>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</si>
  <si>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</si>
  <si>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</si>
  <si>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</si>
  <si>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</si>
  <si>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</si>
  <si>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</si>
  <si>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</si>
  <si>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</si>
  <si>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</si>
  <si>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</si>
  <si>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</si>
  <si>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</si>
  <si>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</si>
  <si>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</si>
  <si>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</si>
  <si>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</si>
  <si>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</si>
  <si>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</si>
  <si>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</si>
  <si>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</si>
  <si>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</si>
  <si>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</si>
  <si>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</si>
  <si>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</si>
  <si>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</si>
  <si>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</si>
  <si>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</si>
  <si>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</si>
  <si>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</si>
  <si>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</si>
  <si>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</si>
  <si>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</si>
  <si>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</si>
  <si>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</si>
  <si>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</si>
  <si>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</si>
  <si>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</si>
  <si>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</si>
  <si>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</si>
  <si>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</si>
  <si>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</si>
  <si>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</si>
  <si>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</si>
  <si>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</si>
  <si>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</si>
  <si>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</si>
  <si>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</si>
  <si>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</si>
  <si>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</si>
  <si>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</si>
  <si>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</si>
  <si>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</si>
  <si>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</si>
  <si>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</si>
  <si>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</si>
  <si>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</si>
  <si>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</si>
  <si>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</si>
  <si>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</si>
  <si>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</si>
  <si>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</si>
  <si>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</si>
  <si>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</si>
  <si>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</si>
  <si>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</si>
  <si>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</si>
  <si>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</si>
  <si>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</si>
  <si>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</si>
  <si>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</si>
  <si>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</si>
  <si>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</si>
  <si>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</si>
  <si>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</si>
  <si>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</si>
  <si>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</si>
  <si>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</si>
  <si>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</si>
  <si>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</si>
  <si>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</si>
  <si>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</si>
  <si>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</si>
  <si>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</si>
  <si>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</si>
  <si>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</si>
  <si>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</si>
  <si>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</si>
  <si>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</si>
  <si>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</si>
  <si>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</si>
  <si>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</si>
  <si>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</si>
  <si>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</si>
  <si>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</si>
  <si>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</si>
  <si>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</si>
  <si>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</si>
  <si>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</si>
  <si>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</si>
  <si>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</si>
  <si>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</si>
  <si>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</si>
  <si>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</si>
  <si>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</si>
  <si>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</si>
  <si>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</si>
  <si>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</si>
  <si>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</si>
  <si>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</si>
  <si>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</si>
  <si>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</si>
  <si>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</si>
  <si>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</si>
  <si>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</si>
  <si>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</si>
  <si>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</si>
  <si>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</si>
  <si>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</si>
  <si>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</si>
  <si>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</si>
  <si>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</si>
  <si>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</si>
  <si>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</si>
  <si>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</si>
  <si>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</si>
  <si>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</si>
  <si>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</si>
  <si>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</si>
  <si>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</si>
  <si>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</si>
  <si>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</si>
  <si>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</si>
  <si>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</si>
  <si>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</si>
  <si>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</si>
  <si>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</si>
  <si>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</si>
  <si>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</si>
  <si>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</si>
  <si>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</si>
  <si>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</si>
  <si>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</si>
  <si>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</si>
  <si>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</si>
  <si>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</si>
  <si>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</si>
  <si>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</si>
  <si>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</si>
  <si>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</si>
  <si>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</si>
  <si>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</si>
  <si>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</si>
  <si>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</si>
  <si>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</si>
  <si>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</si>
  <si>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</si>
  <si>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</si>
  <si>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</si>
  <si>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</si>
  <si>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</si>
  <si>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</si>
  <si>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</si>
  <si>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</si>
  <si>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</si>
  <si>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</si>
  <si>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</si>
  <si>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</si>
  <si>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</si>
  <si>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</si>
  <si>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</si>
  <si>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</si>
  <si>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</si>
  <si>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</si>
  <si>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</si>
  <si>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</si>
  <si>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</si>
  <si>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</si>
  <si>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</si>
  <si>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</si>
  <si>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</si>
  <si>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</si>
  <si>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</si>
  <si>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</si>
  <si>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</si>
  <si>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</si>
  <si>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</si>
  <si>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</si>
  <si>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</si>
  <si>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</si>
  <si>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</si>
  <si>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</si>
  <si>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</si>
  <si>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</si>
  <si>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</si>
  <si>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</si>
  <si>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</si>
  <si>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</si>
  <si>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</si>
  <si>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</si>
  <si>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</si>
  <si>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</si>
  <si>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</si>
  <si>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</si>
  <si>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</si>
  <si>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</si>
  <si>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</si>
  <si>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</si>
  <si>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</si>
  <si>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</si>
  <si>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</si>
  <si>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</si>
  <si>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</si>
  <si>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</si>
  <si>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</si>
  <si>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</si>
  <si>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</si>
  <si>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</si>
  <si>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</si>
  <si>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</si>
  <si>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</si>
  <si>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</si>
  <si>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</si>
  <si>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</si>
  <si>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</si>
  <si>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</si>
  <si>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</si>
  <si>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</si>
  <si>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</si>
  <si>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</si>
  <si>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</si>
  <si>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</si>
  <si>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</si>
  <si>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</si>
  <si>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</si>
  <si>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</si>
  <si>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</si>
  <si>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</si>
  <si>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</si>
  <si>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</si>
  <si>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</si>
  <si>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</si>
  <si>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</si>
  <si>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</si>
  <si>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</si>
  <si>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</si>
  <si>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</si>
  <si>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</si>
  <si>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</si>
  <si>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</si>
  <si>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</si>
  <si>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</si>
  <si>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</si>
  <si>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</si>
  <si>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</si>
  <si>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</si>
  <si>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</si>
  <si>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</si>
  <si>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</si>
  <si>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</si>
  <si>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</si>
  <si>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</si>
  <si>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</si>
  <si>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</si>
  <si>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</si>
  <si>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</si>
  <si>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</si>
  <si>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</si>
  <si>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</si>
  <si>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</si>
  <si>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</si>
  <si>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</si>
  <si>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</si>
  <si>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</si>
  <si>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</si>
  <si>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</si>
  <si>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</si>
  <si>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</si>
  <si>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</si>
  <si>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</si>
  <si>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</si>
  <si>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</si>
  <si>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</si>
  <si>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</si>
  <si>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</si>
  <si>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</si>
  <si>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</si>
  <si>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</si>
  <si>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</si>
  <si>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</si>
  <si>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</si>
  <si>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</si>
  <si>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</si>
  <si>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</si>
  <si>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</si>
  <si>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</si>
  <si>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</si>
  <si>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</si>
  <si>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</si>
  <si>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</si>
  <si>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</si>
  <si>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</si>
  <si>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</si>
  <si>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</si>
  <si>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</si>
  <si>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</si>
  <si>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</si>
  <si>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</si>
  <si>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</si>
  <si>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</si>
  <si>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</si>
  <si>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</si>
  <si>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</si>
  <si>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</si>
  <si>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</si>
  <si>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</si>
  <si>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</si>
  <si>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</si>
  <si>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</si>
  <si>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</si>
  <si>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</si>
  <si>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</si>
  <si>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</si>
  <si>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</si>
  <si>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</si>
  <si>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</si>
  <si>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</si>
  <si>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</si>
  <si>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</si>
  <si>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</si>
  <si>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</si>
  <si>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</si>
  <si>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</si>
  <si>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</si>
  <si>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</si>
  <si>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</si>
  <si>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</si>
  <si>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</si>
  <si>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</si>
  <si>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</si>
  <si>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</si>
  <si>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</si>
  <si>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</si>
  <si>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</si>
  <si>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</si>
  <si>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</si>
  <si>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</si>
  <si>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</si>
  <si>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</si>
  <si>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</si>
  <si>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</si>
  <si>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</si>
  <si>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</si>
  <si>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</si>
  <si>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</si>
  <si>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</si>
  <si>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</si>
  <si>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</si>
  <si>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</si>
  <si>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</si>
  <si>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</si>
  <si>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</si>
  <si>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</si>
  <si>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</si>
  <si>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</si>
  <si>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</si>
  <si>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</si>
  <si>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</si>
  <si>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</si>
  <si>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</si>
  <si>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</si>
  <si>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</si>
  <si>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</si>
  <si>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</si>
  <si>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</si>
  <si>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</si>
  <si>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</si>
  <si>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</si>
  <si>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</si>
  <si>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</si>
  <si>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</si>
  <si>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</si>
  <si>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</si>
  <si>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</si>
  <si>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</si>
  <si>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</si>
  <si>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</si>
  <si>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</si>
  <si>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</si>
  <si>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</si>
  <si>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</si>
  <si>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</si>
  <si>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</si>
  <si>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</si>
  <si>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</si>
  <si>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</si>
  <si>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</si>
  <si>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</si>
  <si>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</si>
  <si>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</si>
  <si>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</si>
  <si>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</si>
  <si>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</si>
  <si>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</si>
  <si>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</si>
  <si>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</si>
  <si>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</si>
  <si>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</si>
  <si>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</si>
  <si>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</si>
  <si>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</si>
  <si>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</si>
  <si>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</si>
  <si>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</si>
  <si>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</si>
  <si>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</si>
  <si>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</si>
  <si>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</si>
  <si>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</si>
  <si>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</si>
  <si>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</si>
  <si>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</si>
  <si>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</si>
  <si>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</si>
  <si>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</si>
  <si>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</si>
  <si>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</si>
  <si>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</si>
  <si>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</si>
  <si>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</si>
  <si>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</si>
  <si>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</si>
  <si>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</si>
  <si>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</si>
  <si>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</si>
  <si>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</si>
  <si>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</si>
  <si>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</si>
  <si>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</si>
  <si>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</si>
  <si>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</si>
  <si>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</si>
  <si>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</si>
  <si>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</si>
  <si>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</si>
  <si>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</si>
  <si>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</si>
  <si>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</si>
  <si>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</si>
  <si>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</si>
  <si>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</si>
  <si>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</si>
  <si>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</si>
  <si>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</si>
  <si>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</si>
  <si>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</si>
  <si>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</si>
  <si>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</si>
  <si>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</si>
  <si>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</si>
  <si>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</si>
  <si>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</si>
  <si>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</si>
  <si>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</si>
  <si>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</si>
  <si>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</si>
  <si>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</si>
  <si>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</si>
  <si>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</si>
  <si>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</si>
  <si>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</si>
  <si>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</si>
  <si>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</si>
  <si>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</si>
  <si>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</si>
  <si>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</si>
  <si>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</si>
  <si>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</si>
  <si>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</si>
  <si>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</si>
  <si>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</si>
  <si>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</si>
  <si>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</si>
  <si>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</si>
  <si>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</si>
  <si>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</si>
  <si>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</si>
  <si>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</si>
  <si>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</si>
  <si>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</si>
  <si>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</si>
  <si>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</si>
  <si>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</si>
  <si>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</si>
  <si>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</si>
  <si>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</si>
  <si>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</si>
  <si>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</si>
  <si>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</si>
  <si>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</si>
  <si>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</si>
  <si>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</si>
  <si>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</si>
  <si>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</si>
  <si>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</si>
  <si>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</si>
  <si>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</si>
  <si>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</si>
  <si>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</si>
  <si>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</si>
  <si>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</si>
  <si>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</si>
  <si>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</si>
  <si>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</si>
  <si>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</si>
  <si>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</si>
  <si>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</si>
  <si>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</si>
  <si>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</si>
  <si>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</si>
  <si>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</si>
  <si>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</si>
  <si>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</si>
  <si>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</si>
  <si>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</si>
  <si>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</si>
  <si>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</si>
  <si>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</si>
  <si>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</si>
  <si>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</si>
  <si>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</si>
  <si>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</si>
  <si>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</si>
  <si>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</si>
  <si>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</si>
  <si>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</si>
  <si>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</si>
  <si>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</si>
  <si>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</si>
  <si>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</si>
  <si>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</si>
  <si>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</si>
  <si>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</si>
  <si>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</si>
  <si>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</si>
  <si>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</si>
  <si>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</si>
  <si>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</si>
  <si>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</si>
  <si>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</si>
  <si>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</si>
  <si>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</si>
  <si>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</si>
  <si>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</si>
  <si>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</si>
  <si>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</si>
  <si>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</si>
  <si>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</si>
  <si>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</si>
  <si>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</si>
  <si>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</si>
  <si>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</si>
  <si>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</si>
  <si>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</si>
  <si>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</si>
  <si>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</si>
  <si>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</si>
  <si>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</si>
  <si>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</si>
  <si>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</si>
  <si>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</si>
  <si>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</si>
  <si>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</si>
  <si>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</si>
  <si>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</si>
  <si>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</si>
  <si>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</si>
  <si>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</si>
  <si>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</si>
  <si>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</si>
  <si>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</si>
  <si>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</si>
  <si>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</si>
  <si>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</si>
  <si>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</si>
  <si>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</si>
  <si>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</si>
  <si>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</si>
  <si>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</si>
  <si>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</si>
  <si>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</si>
  <si>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</si>
  <si>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</si>
  <si>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</si>
  <si>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</si>
  <si>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</si>
  <si>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</si>
  <si>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</si>
  <si>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</si>
  <si>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</si>
  <si>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</si>
  <si>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</si>
  <si>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</si>
  <si>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</si>
  <si>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</si>
  <si>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</si>
  <si>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</si>
  <si>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</si>
  <si>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</si>
  <si>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</si>
  <si>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</si>
  <si>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</si>
  <si>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</si>
  <si>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</si>
  <si>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</si>
  <si>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</si>
  <si>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</si>
  <si>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</si>
  <si>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</si>
  <si>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</si>
  <si>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</si>
  <si>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</si>
  <si>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</si>
  <si>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</si>
  <si>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</si>
  <si>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</si>
  <si>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</si>
  <si>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</si>
  <si>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</si>
  <si>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</si>
  <si>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</si>
  <si>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</si>
  <si>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</si>
  <si>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</si>
  <si>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</si>
  <si>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</si>
  <si>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</si>
  <si>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</si>
  <si>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</si>
  <si>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</si>
  <si>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</si>
  <si>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</si>
  <si>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</si>
  <si>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</si>
  <si>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</si>
  <si>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</si>
  <si>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</si>
  <si>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</si>
  <si>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</si>
  <si>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</si>
  <si>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</si>
  <si>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</si>
  <si>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</si>
  <si>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</si>
  <si>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</si>
  <si>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</si>
  <si>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</si>
  <si>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</si>
  <si>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</si>
  <si>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</si>
  <si>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</si>
  <si>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</si>
  <si>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</si>
  <si>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</si>
  <si>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</si>
  <si>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</si>
  <si>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</si>
  <si>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</si>
  <si>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</si>
  <si>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</si>
  <si>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</si>
  <si>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</si>
  <si>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</si>
  <si>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</si>
  <si>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</si>
  <si>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</si>
  <si>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</si>
  <si>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</si>
  <si>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</si>
  <si>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</si>
  <si>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</si>
  <si>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</si>
  <si>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</si>
  <si>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</si>
  <si>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</si>
  <si>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</si>
  <si>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</si>
  <si>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</si>
  <si>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</si>
  <si>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</si>
  <si>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</si>
  <si>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</si>
  <si>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</si>
  <si>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</si>
  <si>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</si>
  <si>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</si>
  <si>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</si>
  <si>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</si>
  <si>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</si>
  <si>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</si>
  <si>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</si>
  <si>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</si>
  <si>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</si>
  <si>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</si>
  <si>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</si>
  <si>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</si>
  <si>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</si>
  <si>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</si>
  <si>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</si>
  <si>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</si>
  <si>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</si>
  <si>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</si>
  <si>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</si>
  <si>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</si>
  <si>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</si>
  <si>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</si>
  <si>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</si>
  <si>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</si>
  <si>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</si>
  <si>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</si>
  <si>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</si>
  <si>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</si>
  <si>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</si>
  <si>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</si>
  <si>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</si>
  <si>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</si>
  <si>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</si>
  <si>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</si>
  <si>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</si>
  <si>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</si>
  <si>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</si>
  <si>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</si>
  <si>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</si>
  <si>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</si>
  <si>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</si>
  <si>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</si>
  <si>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</si>
  <si>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</si>
  <si>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</si>
  <si>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</si>
  <si>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</si>
  <si>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</si>
  <si>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</si>
  <si>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</si>
  <si>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</si>
  <si>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</si>
  <si>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</si>
  <si>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</si>
  <si>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</si>
  <si>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</si>
  <si>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</si>
  <si>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</si>
  <si>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</si>
  <si>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</si>
  <si>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</si>
  <si>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</si>
  <si>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</si>
  <si>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</si>
  <si>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</si>
  <si>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</si>
  <si>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</si>
  <si>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</si>
  <si>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</si>
  <si>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</si>
  <si>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</si>
  <si>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</si>
  <si>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</si>
  <si>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</si>
  <si>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</si>
  <si>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</si>
  <si>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</si>
  <si>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</si>
  <si>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</si>
  <si>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</si>
  <si>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</si>
  <si>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</si>
  <si>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</si>
  <si>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</si>
  <si>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</si>
  <si>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</si>
  <si>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</si>
  <si>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</si>
  <si>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</si>
  <si>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</si>
  <si>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</si>
  <si>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</si>
  <si>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</si>
  <si>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</si>
  <si>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</si>
  <si>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</si>
  <si>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</si>
  <si>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</si>
  <si>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</si>
  <si>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</si>
  <si>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</si>
  <si>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</si>
  <si>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</si>
  <si>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</si>
  <si>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</si>
  <si>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</si>
  <si>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</si>
  <si>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</si>
  <si>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</si>
  <si>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</si>
  <si>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</si>
  <si>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</si>
  <si>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</si>
  <si>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</si>
  <si>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</si>
  <si>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</si>
  <si>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</si>
  <si>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</si>
  <si>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</si>
  <si>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</si>
  <si>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</si>
  <si>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</si>
  <si>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</si>
  <si>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</si>
  <si>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</si>
  <si>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</si>
  <si>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</si>
  <si>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</si>
  <si>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</si>
  <si>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</si>
  <si>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</si>
  <si>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</si>
  <si>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</si>
  <si>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</si>
  <si>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</si>
  <si>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</si>
  <si>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</si>
  <si>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</si>
  <si>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</si>
  <si>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</si>
  <si>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</si>
  <si>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</si>
  <si>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</si>
  <si>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</si>
  <si>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</si>
  <si>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</si>
  <si>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</si>
  <si>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</si>
  <si>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</si>
  <si>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</si>
  <si>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</si>
  <si>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</si>
  <si>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</si>
  <si>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</si>
  <si>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</si>
  <si>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</si>
  <si>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</si>
  <si>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</si>
  <si>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</si>
  <si>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</si>
  <si>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</si>
  <si>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</si>
  <si>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</si>
  <si>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</si>
  <si>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</si>
  <si>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</si>
  <si>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</si>
  <si>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</si>
  <si>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</si>
  <si>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</si>
  <si>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</si>
  <si>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</si>
  <si>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</si>
  <si>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</si>
  <si>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</si>
  <si>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</si>
  <si>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</si>
  <si>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</si>
  <si>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</si>
  <si>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</si>
  <si>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</si>
  <si>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</si>
  <si>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</si>
  <si>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</si>
  <si>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</si>
  <si>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</si>
  <si>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</si>
  <si>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</si>
  <si>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</si>
  <si>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</si>
  <si>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</si>
  <si>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</si>
  <si>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</si>
  <si>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</si>
  <si>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</si>
  <si>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</si>
  <si>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</si>
  <si>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</si>
  <si>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</si>
  <si>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</si>
  <si>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</si>
  <si>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</si>
  <si>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</si>
  <si>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</si>
  <si>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</si>
  <si>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</si>
  <si>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</si>
  <si>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</si>
  <si>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</si>
  <si>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</si>
  <si>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</si>
  <si>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</si>
  <si>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</si>
  <si>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</si>
  <si>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</si>
  <si>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</si>
  <si>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</si>
  <si>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</si>
  <si>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</si>
  <si>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</si>
  <si>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</si>
  <si>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</si>
  <si>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</si>
  <si>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</si>
  <si>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</si>
  <si>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</si>
  <si>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</si>
  <si>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</si>
  <si>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</si>
  <si>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</si>
  <si>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</si>
  <si>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</si>
  <si>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</si>
  <si>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</si>
  <si>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</si>
  <si>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</si>
  <si>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</si>
  <si>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</si>
  <si>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</si>
  <si>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</si>
  <si>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</si>
  <si>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</si>
  <si>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</si>
  <si>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</si>
  <si>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</si>
  <si>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</si>
  <si>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</si>
  <si>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</si>
  <si>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</si>
  <si>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</si>
  <si>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</si>
  <si>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</si>
  <si>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</si>
  <si>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</si>
  <si>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</si>
  <si>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</si>
  <si>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</si>
  <si>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</si>
  <si>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</si>
  <si>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</si>
  <si>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</si>
  <si>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</si>
  <si>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</si>
  <si>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</si>
  <si>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</si>
  <si>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</si>
  <si>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</si>
  <si>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</si>
  <si>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</si>
  <si>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</si>
  <si>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</si>
  <si>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</si>
  <si>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</si>
  <si>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</si>
  <si>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</si>
  <si>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</si>
  <si>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</si>
  <si>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</si>
  <si>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</si>
  <si>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</si>
  <si>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</si>
  <si>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</si>
  <si>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</si>
  <si>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</si>
  <si>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</si>
  <si>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</si>
  <si>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</si>
  <si>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</si>
  <si>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</si>
  <si>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</si>
  <si>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</si>
  <si>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</si>
  <si>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</si>
  <si>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</si>
  <si>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</si>
  <si>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</si>
  <si>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</si>
  <si>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</si>
  <si>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</si>
  <si>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</si>
  <si>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</si>
  <si>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</si>
  <si>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</si>
  <si>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</si>
  <si>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</si>
  <si>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</si>
  <si>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</si>
  <si>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</si>
  <si>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</si>
  <si>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</si>
  <si>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</si>
  <si>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</si>
  <si>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</si>
  <si>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</si>
  <si>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</si>
  <si>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</si>
  <si>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</si>
  <si>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</si>
  <si>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</si>
  <si>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</si>
  <si>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</si>
  <si>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</si>
  <si>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</si>
  <si>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</si>
  <si>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</si>
  <si>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</si>
  <si>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</si>
  <si>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</si>
  <si>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</si>
  <si>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</si>
  <si>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</si>
  <si>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</si>
  <si>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</si>
  <si>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</si>
  <si>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</si>
  <si>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</si>
  <si>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</si>
  <si>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</si>
  <si>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</si>
  <si>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</si>
  <si>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</si>
  <si>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</si>
  <si>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</si>
  <si>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</si>
  <si>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</si>
  <si>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</si>
  <si>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</si>
  <si>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</si>
  <si>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</si>
  <si>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</si>
  <si>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</si>
  <si>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</si>
  <si>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</si>
  <si>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</si>
  <si>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</si>
  <si>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</si>
  <si>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</si>
  <si>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</si>
  <si>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</si>
  <si>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</si>
  <si>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</si>
  <si>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</si>
  <si>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</si>
  <si>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</si>
  <si>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</si>
  <si>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</si>
  <si>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</si>
  <si>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</si>
  <si>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</si>
  <si>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</si>
  <si>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</si>
  <si>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</si>
  <si>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</si>
  <si>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</si>
  <si>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</si>
  <si>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</si>
  <si>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</si>
  <si>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</si>
  <si>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</si>
  <si>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</si>
  <si>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</si>
  <si>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</si>
  <si>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</si>
  <si>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</si>
  <si>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</si>
  <si>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</si>
  <si>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</si>
  <si>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</si>
  <si>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</si>
  <si>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</si>
  <si>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</si>
  <si>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</si>
  <si>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</si>
  <si>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</si>
  <si>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</si>
  <si>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</si>
  <si>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</si>
  <si>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</si>
  <si>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</si>
  <si>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</si>
  <si>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</si>
  <si>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</si>
  <si>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</si>
  <si>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</si>
  <si>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</si>
  <si>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</si>
  <si>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</si>
  <si>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</si>
  <si>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</si>
  <si>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</si>
  <si>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</si>
  <si>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</si>
  <si>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</si>
  <si>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</si>
  <si>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</si>
  <si>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</si>
  <si>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</si>
  <si>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</si>
  <si>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</si>
  <si>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</si>
  <si>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</si>
  <si>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</si>
  <si>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</si>
  <si>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</si>
  <si>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</si>
  <si>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</si>
  <si>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</si>
  <si>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</si>
  <si>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</si>
  <si>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</si>
  <si>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</si>
  <si>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</si>
  <si>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</si>
  <si>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</si>
  <si>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</si>
  <si>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</si>
  <si>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</si>
  <si>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</si>
  <si>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</si>
  <si>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</si>
  <si>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</si>
  <si>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</si>
  <si>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</si>
  <si>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</si>
  <si>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</si>
  <si>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</si>
  <si>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</si>
  <si>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</si>
  <si>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</si>
  <si>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</si>
  <si>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</si>
  <si>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</si>
  <si>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</si>
  <si>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</si>
  <si>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</si>
  <si>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</si>
  <si>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</si>
  <si>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</si>
  <si>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</si>
  <si>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</si>
  <si>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</si>
  <si>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</si>
  <si>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</si>
  <si>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</si>
  <si>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</si>
  <si>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</si>
  <si>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</si>
  <si>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</si>
  <si>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</si>
  <si>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</si>
  <si>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</si>
  <si>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</si>
  <si>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</si>
  <si>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</si>
  <si>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</si>
  <si>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</si>
  <si>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</si>
  <si>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</si>
  <si>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</si>
  <si>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</si>
  <si>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</si>
  <si>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</si>
  <si>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</si>
  <si>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</si>
  <si>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</si>
  <si>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</si>
  <si>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</si>
  <si>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</si>
  <si>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</si>
  <si>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</si>
  <si>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</si>
  <si>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</si>
  <si>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</si>
  <si>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</si>
  <si>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</si>
  <si>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</si>
  <si>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</si>
  <si>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</si>
  <si>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</si>
  <si>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</si>
  <si>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</si>
  <si>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</si>
  <si>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</si>
  <si>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</si>
  <si>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</si>
  <si>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</si>
  <si>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</si>
  <si>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</si>
  <si>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</si>
  <si>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</si>
  <si>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</si>
  <si>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</si>
  <si>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</si>
  <si>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</si>
  <si>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</si>
  <si>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</si>
  <si>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</si>
  <si>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</si>
  <si>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</si>
  <si>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</si>
  <si>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</si>
  <si>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</si>
  <si>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</si>
  <si>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</si>
  <si>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</si>
  <si>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</si>
  <si>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</si>
  <si>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</si>
  <si>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</si>
  <si>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</si>
  <si>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</si>
  <si>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</si>
  <si>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</si>
  <si>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</si>
  <si>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</si>
  <si>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</si>
  <si>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</si>
  <si>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</si>
  <si>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</si>
  <si>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</si>
  <si>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</si>
  <si>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</si>
  <si>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</si>
  <si>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</si>
  <si>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</si>
  <si>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</si>
  <si>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</si>
  <si>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</si>
  <si>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</si>
  <si>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</si>
  <si>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</si>
  <si>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</si>
  <si>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</si>
  <si>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</si>
  <si>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</si>
  <si>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</si>
  <si>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</si>
  <si>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</si>
  <si>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</si>
  <si>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</si>
  <si>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</si>
  <si>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</si>
  <si>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</si>
  <si>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</si>
  <si>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</si>
  <si>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</si>
  <si>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</si>
  <si>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</si>
  <si>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</si>
  <si>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</si>
  <si>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</si>
  <si>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</si>
  <si>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</si>
  <si>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</si>
  <si>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</si>
  <si>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</si>
  <si>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</si>
  <si>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</si>
  <si>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</si>
  <si>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</si>
  <si>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</si>
  <si>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</si>
  <si>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</si>
  <si>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</si>
  <si>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</si>
  <si>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</si>
  <si>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</si>
  <si>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</si>
  <si>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</si>
  <si>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</si>
  <si>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</si>
  <si>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</si>
  <si>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</si>
  <si>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</si>
  <si>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</si>
  <si>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</si>
  <si>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</si>
  <si>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</si>
  <si>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</si>
  <si>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</si>
  <si>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</si>
  <si>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</si>
  <si>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</si>
  <si>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</si>
  <si>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</si>
  <si>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</si>
  <si>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</si>
  <si>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</si>
  <si>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</si>
  <si>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</si>
  <si>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</si>
  <si>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</si>
  <si>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</si>
  <si>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</si>
  <si>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</si>
  <si>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</si>
  <si>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</si>
  <si>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</si>
  <si>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</si>
  <si>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</si>
  <si>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</si>
  <si>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</si>
  <si>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</si>
  <si>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</si>
  <si>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</si>
  <si>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</si>
  <si>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</si>
  <si>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</si>
  <si>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</si>
  <si>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</si>
  <si>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</si>
  <si>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</si>
  <si>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</si>
  <si>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</si>
  <si>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</si>
  <si>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</si>
  <si>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</si>
  <si>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</si>
  <si>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</si>
  <si>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</si>
  <si>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</si>
  <si>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</si>
  <si>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</si>
  <si>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</si>
  <si>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</si>
  <si>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</si>
  <si>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</si>
  <si>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</si>
  <si>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</si>
  <si>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</si>
  <si>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</si>
  <si>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</si>
  <si>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</si>
  <si>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</si>
  <si>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</si>
  <si>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</si>
  <si>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</si>
  <si>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</si>
  <si>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</si>
  <si>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</si>
  <si>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</si>
  <si>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</si>
  <si>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</si>
  <si>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</si>
  <si>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</si>
  <si>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</si>
  <si>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</si>
  <si>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</si>
  <si>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</si>
  <si>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</si>
  <si>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</si>
  <si>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</si>
  <si>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</si>
  <si>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</si>
  <si>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</si>
  <si>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</si>
  <si>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</si>
  <si>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</si>
  <si>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</si>
  <si>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</si>
  <si>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</si>
  <si>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</si>
  <si>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</si>
  <si>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</si>
  <si>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</si>
  <si>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</si>
  <si>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</si>
  <si>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</si>
  <si>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</si>
  <si>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</si>
  <si>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</si>
  <si>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</si>
  <si>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</si>
  <si>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</si>
  <si>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</si>
  <si>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</si>
  <si>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</si>
  <si>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</si>
  <si>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</si>
  <si>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</si>
  <si>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</si>
  <si>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</si>
  <si>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</si>
  <si>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</si>
  <si>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</si>
  <si>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</si>
  <si>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</si>
  <si>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</si>
  <si>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</si>
  <si>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</si>
  <si>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</si>
  <si>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</si>
  <si>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</si>
  <si>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</si>
  <si>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</si>
  <si>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</si>
  <si>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</si>
  <si>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</si>
  <si>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</si>
  <si>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</si>
  <si>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</si>
  <si>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</si>
  <si>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</si>
  <si>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</si>
  <si>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</si>
  <si>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</si>
  <si>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</si>
  <si>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</si>
  <si>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</si>
  <si>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</si>
  <si>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</si>
  <si>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</si>
  <si>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</si>
  <si>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</si>
  <si>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</si>
  <si>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</si>
  <si>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</si>
  <si>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</si>
  <si>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</si>
  <si>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</si>
  <si>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</si>
  <si>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</si>
  <si>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</si>
  <si>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</si>
  <si>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</si>
  <si>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</si>
  <si>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</si>
  <si>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</si>
  <si>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</si>
  <si>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</si>
  <si>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</si>
  <si>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</si>
  <si>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</si>
  <si>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</si>
  <si>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</si>
  <si>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</si>
  <si>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</si>
  <si>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</si>
  <si>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</si>
  <si>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</si>
  <si>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</si>
  <si>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</si>
  <si>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</si>
  <si>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</si>
  <si>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</si>
  <si>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</si>
  <si>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</si>
  <si>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</si>
  <si>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</si>
  <si>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</si>
  <si>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</si>
  <si>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</si>
  <si>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</si>
  <si>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</si>
  <si>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</si>
  <si>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</si>
  <si>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</si>
  <si>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</si>
  <si>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</si>
  <si>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</si>
  <si>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</si>
  <si>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</si>
  <si>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</si>
  <si>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</si>
  <si>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</si>
  <si>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</si>
  <si>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</si>
  <si>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</si>
  <si>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</si>
  <si>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</si>
  <si>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</si>
  <si>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</si>
  <si>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</si>
  <si>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</si>
  <si>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</si>
  <si>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</si>
  <si>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</si>
  <si>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</si>
  <si>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</si>
  <si>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</si>
  <si>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</si>
  <si>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</si>
  <si>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</si>
  <si>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</si>
  <si>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</si>
  <si>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</si>
  <si>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</si>
  <si>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</si>
  <si>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</si>
  <si>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</si>
  <si>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</si>
  <si>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</si>
  <si>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</si>
  <si>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</si>
  <si>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</si>
  <si>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</si>
  <si>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</si>
  <si>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</si>
  <si>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</si>
  <si>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</si>
  <si>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</si>
  <si>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</si>
  <si>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</si>
  <si>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</si>
  <si>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</si>
  <si>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</si>
  <si>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</si>
  <si>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</si>
  <si>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</si>
  <si>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</si>
  <si>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</si>
  <si>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</si>
  <si>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</si>
  <si>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</si>
  <si>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</si>
  <si>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</si>
  <si>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</si>
  <si>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</si>
  <si>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</si>
  <si>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</si>
  <si>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</si>
  <si>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</si>
  <si>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</si>
  <si>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</si>
  <si>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</si>
  <si>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</si>
  <si>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</si>
  <si>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</si>
  <si>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</si>
  <si>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</si>
  <si>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</si>
  <si>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</si>
  <si>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</si>
  <si>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</si>
  <si>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</si>
  <si>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</si>
  <si>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</si>
  <si>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</si>
  <si>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</si>
  <si>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</si>
  <si>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</si>
  <si>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</si>
  <si>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</si>
  <si>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</si>
  <si>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</si>
  <si>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</si>
  <si>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</si>
  <si>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</si>
  <si>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</si>
  <si>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</si>
  <si>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</si>
  <si>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</si>
  <si>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</si>
  <si>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</si>
  <si>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</si>
  <si>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</si>
  <si>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</si>
  <si>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</si>
  <si>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</si>
  <si>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</si>
  <si>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</si>
  <si>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</si>
  <si>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</si>
  <si>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</si>
  <si>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</si>
  <si>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</si>
  <si>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</si>
  <si>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</si>
  <si>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</si>
  <si>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</si>
  <si>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</si>
  <si>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</si>
  <si>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</si>
  <si>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</si>
  <si>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</si>
  <si>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</si>
  <si>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</si>
  <si>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</si>
  <si>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</si>
  <si>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</si>
  <si>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</si>
  <si>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</si>
  <si>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</si>
  <si>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</si>
  <si>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</si>
  <si>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</si>
  <si>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</si>
  <si>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</si>
  <si>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</si>
  <si>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</si>
  <si>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</si>
  <si>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</si>
  <si>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</si>
  <si>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</si>
  <si>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</si>
  <si>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</si>
  <si>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</si>
  <si>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</si>
  <si>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</si>
  <si>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</si>
  <si>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</si>
  <si>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</si>
  <si>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</si>
  <si>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</si>
  <si>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</si>
  <si>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</si>
  <si>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</si>
  <si>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</si>
  <si>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</si>
  <si>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</si>
  <si>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</si>
  <si>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</si>
  <si>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</si>
  <si>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</si>
  <si>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</si>
  <si>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</si>
  <si>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</si>
  <si>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</si>
  <si>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</si>
  <si>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</si>
  <si>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</si>
  <si>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</si>
  <si>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</si>
  <si>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</si>
  <si>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</si>
  <si>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</si>
  <si>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</si>
  <si>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</si>
  <si>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</si>
  <si>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</si>
  <si>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</si>
  <si>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</si>
  <si>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</si>
  <si>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</si>
  <si>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</si>
  <si>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</si>
  <si>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</si>
  <si>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</si>
  <si>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</si>
  <si>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</si>
  <si>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</si>
  <si>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</si>
  <si>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</si>
  <si>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</si>
  <si>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</si>
  <si>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</si>
  <si>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</si>
  <si>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</si>
  <si>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</si>
  <si>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</si>
  <si>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</si>
  <si>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</si>
  <si>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</si>
  <si>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</si>
  <si>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</si>
  <si>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</si>
  <si>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</si>
  <si>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</si>
  <si>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</si>
  <si>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</si>
  <si>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</si>
  <si>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</si>
  <si>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</si>
  <si>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</si>
  <si>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</si>
  <si>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</si>
  <si>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</si>
  <si>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</si>
  <si>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</si>
  <si>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</si>
  <si>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</si>
  <si>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</si>
  <si>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</si>
  <si>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</si>
  <si>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</si>
  <si>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</si>
  <si>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</si>
  <si>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</si>
  <si>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</si>
  <si>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</si>
  <si>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</si>
  <si>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</si>
  <si>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</si>
  <si>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</si>
  <si>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</si>
  <si>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</si>
  <si>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</si>
  <si>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</si>
  <si>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</si>
  <si>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</si>
  <si>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</si>
  <si>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</si>
  <si>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</si>
  <si>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</si>
  <si>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</si>
  <si>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</si>
  <si>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</si>
  <si>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</si>
  <si>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</si>
  <si>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</si>
  <si>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</si>
  <si>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</si>
  <si>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</si>
  <si>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</si>
  <si>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</si>
  <si>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</si>
  <si>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</si>
  <si>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</si>
  <si>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</si>
  <si>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</si>
  <si>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</si>
  <si>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</si>
  <si>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</si>
  <si>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</si>
  <si>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</si>
  <si>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</si>
  <si>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</si>
  <si>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</si>
  <si>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</si>
  <si>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</si>
  <si>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</si>
  <si>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</si>
  <si>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</si>
  <si>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</si>
  <si>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</si>
  <si>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</si>
  <si>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</si>
  <si>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</si>
  <si>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</si>
  <si>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</si>
  <si>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</si>
  <si>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</si>
  <si>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</si>
  <si>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</si>
  <si>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</si>
  <si>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</si>
  <si>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</si>
  <si>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</si>
  <si>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</si>
  <si>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</si>
  <si>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</si>
  <si>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</si>
  <si>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</si>
  <si>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</si>
  <si>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</si>
  <si>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</si>
  <si>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</si>
  <si>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</si>
  <si>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</si>
  <si>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</si>
  <si>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</si>
  <si>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</si>
  <si>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</si>
  <si>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</si>
  <si>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</si>
  <si>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</si>
  <si>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</si>
  <si>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</si>
  <si>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</si>
  <si>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</si>
  <si>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</si>
  <si>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</si>
  <si>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</si>
  <si>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</si>
  <si>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</si>
  <si>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</si>
  <si>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</si>
  <si>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</si>
  <si>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</si>
  <si>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</si>
  <si>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</si>
  <si>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</si>
  <si>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</si>
  <si>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</si>
  <si>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</si>
  <si>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</si>
  <si>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</si>
  <si>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</si>
  <si>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</si>
  <si>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</si>
  <si>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</si>
  <si>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</si>
  <si>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</si>
  <si>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</si>
  <si>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</si>
  <si>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</si>
  <si>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</si>
  <si>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</si>
  <si>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</si>
  <si>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</si>
  <si>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</si>
  <si>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</si>
  <si>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</si>
  <si>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</si>
  <si>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</si>
  <si>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</si>
  <si>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</si>
  <si>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</si>
  <si>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</si>
  <si>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</si>
  <si>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</si>
  <si>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</si>
  <si>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</si>
  <si>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</si>
  <si>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</si>
  <si>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</si>
  <si>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</si>
  <si>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</si>
  <si>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</si>
  <si>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</si>
  <si>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</si>
  <si>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</si>
  <si>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</si>
  <si>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</si>
  <si>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</si>
  <si>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</si>
  <si>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</si>
  <si>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</si>
  <si>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</si>
  <si>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</si>
  <si>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</si>
  <si>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</si>
  <si>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</si>
  <si>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</si>
  <si>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</si>
  <si>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</si>
  <si>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</si>
  <si>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</si>
  <si>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</si>
  <si>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</si>
  <si>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</si>
  <si>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</si>
  <si>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</si>
  <si>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</si>
  <si>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</si>
  <si>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</si>
  <si>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</si>
  <si>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</si>
  <si>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</si>
  <si>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</si>
  <si>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</si>
  <si>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</si>
  <si>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</si>
  <si>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</si>
  <si>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</si>
  <si>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</si>
  <si>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</si>
  <si>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</si>
  <si>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</si>
  <si>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</si>
  <si>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</si>
  <si>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</si>
  <si>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</si>
  <si>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</si>
  <si>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</si>
  <si>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</si>
  <si>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</si>
  <si>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</si>
  <si>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</si>
  <si>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</si>
  <si>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</si>
  <si>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</si>
  <si>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</si>
  <si>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</si>
  <si>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</si>
  <si>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</si>
  <si>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</si>
  <si>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</si>
  <si>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</si>
  <si>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</si>
  <si>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</si>
  <si>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</si>
  <si>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</si>
  <si>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</si>
  <si>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</si>
  <si>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</si>
  <si>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</si>
  <si>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</si>
  <si>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</si>
  <si>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</si>
  <si>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</si>
  <si>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</si>
  <si>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</si>
  <si>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</si>
  <si>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</si>
  <si>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</si>
  <si>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</si>
  <si>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</si>
  <si>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</si>
  <si>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</si>
  <si>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</si>
  <si>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</si>
  <si>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</si>
  <si>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</si>
  <si>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</si>
  <si>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</si>
  <si>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</si>
  <si>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</si>
  <si>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</si>
  <si>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</si>
  <si>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</si>
  <si>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</si>
  <si>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</si>
  <si>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</si>
  <si>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</si>
  <si>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</si>
  <si>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</si>
  <si>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</si>
  <si>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</si>
  <si>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</si>
  <si>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</si>
  <si>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</si>
  <si>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</si>
  <si>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</si>
  <si>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</si>
  <si>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</si>
  <si>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</si>
  <si>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</si>
  <si>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</si>
  <si>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</si>
  <si>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</si>
  <si>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</si>
  <si>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</si>
  <si>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</si>
  <si>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</si>
  <si>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</si>
  <si>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</si>
  <si>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</si>
  <si>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</si>
  <si>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</si>
  <si>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</si>
  <si>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</si>
  <si>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</si>
  <si>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</si>
  <si>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</si>
  <si>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</si>
  <si>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</si>
  <si>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</si>
  <si>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</si>
  <si>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</si>
  <si>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</si>
  <si>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</si>
  <si>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</si>
  <si>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</si>
  <si>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</si>
  <si>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</si>
  <si>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</si>
  <si>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</si>
  <si>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</si>
  <si>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</si>
  <si>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</si>
  <si>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</si>
  <si>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</si>
  <si>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</si>
  <si>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</si>
  <si>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</si>
  <si>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</si>
  <si>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</si>
  <si>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</si>
  <si>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</si>
  <si>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</si>
  <si>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</si>
  <si>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</si>
  <si>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</si>
  <si>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</si>
  <si>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</si>
  <si>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</si>
  <si>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</si>
  <si>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</si>
  <si>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</si>
  <si>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</si>
  <si>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</si>
  <si>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</si>
  <si>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</si>
  <si>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</si>
  <si>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</si>
  <si>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</si>
  <si>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</si>
  <si>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</si>
  <si>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</si>
  <si>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</si>
  <si>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</si>
  <si>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</si>
  <si>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</si>
  <si>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</si>
  <si>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</si>
  <si>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</si>
  <si>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</si>
  <si>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</si>
  <si>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</si>
  <si>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</si>
  <si>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</si>
  <si>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</si>
  <si>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</si>
  <si>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</si>
  <si>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</si>
  <si>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</si>
  <si>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</si>
  <si>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</si>
  <si>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</si>
  <si>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</si>
  <si>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</si>
  <si>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</si>
  <si>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</si>
  <si>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</si>
  <si>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</si>
  <si>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</si>
  <si>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</si>
  <si>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</si>
  <si>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</si>
  <si>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</si>
  <si>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</si>
  <si>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</si>
  <si>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</si>
  <si>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</si>
  <si>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</si>
  <si>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</si>
  <si>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</si>
  <si>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</si>
  <si>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</si>
  <si>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</si>
  <si>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</si>
  <si>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</si>
  <si>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</si>
  <si>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</si>
  <si>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</si>
  <si>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</si>
  <si>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</si>
  <si>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</si>
  <si>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</si>
  <si>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</si>
  <si>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</si>
  <si>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</si>
  <si>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</si>
  <si>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</si>
  <si>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</si>
  <si>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</si>
  <si>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</si>
  <si>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</si>
  <si>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</si>
  <si>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</si>
  <si>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</si>
  <si>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</si>
  <si>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</si>
  <si>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</si>
  <si>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</si>
  <si>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</si>
  <si>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</si>
  <si>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</si>
  <si>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</si>
  <si>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</si>
  <si>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</si>
  <si>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</si>
  <si>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</si>
  <si>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</si>
  <si>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</si>
  <si>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</si>
  <si>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</si>
  <si>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</si>
  <si>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</si>
  <si>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</si>
  <si>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</si>
  <si>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</si>
  <si>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</si>
  <si>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</si>
  <si>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</si>
  <si>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</si>
  <si>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</si>
  <si>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</si>
  <si>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</si>
  <si>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</si>
  <si>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</si>
  <si>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</si>
  <si>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</si>
  <si>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</si>
  <si>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</si>
  <si>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</si>
  <si>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</si>
  <si>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</si>
  <si>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</si>
  <si>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</si>
  <si>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</si>
  <si>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</si>
  <si>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</si>
  <si>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</si>
  <si>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</si>
  <si>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</si>
  <si>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</si>
  <si>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</si>
  <si>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</si>
  <si>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</si>
  <si>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</si>
  <si>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</si>
  <si>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</si>
  <si>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</si>
  <si>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</si>
  <si>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</si>
  <si>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</si>
  <si>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</si>
  <si>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</si>
  <si>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</si>
  <si>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</si>
  <si>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</si>
  <si>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</si>
  <si>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</si>
  <si>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</si>
  <si>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</si>
  <si>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</si>
  <si>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</si>
  <si>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</si>
  <si>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</si>
  <si>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</si>
  <si>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</si>
  <si>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</si>
  <si>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</si>
  <si>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</si>
  <si>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</si>
  <si>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</si>
  <si>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</si>
  <si>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</si>
  <si>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</si>
  <si>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</si>
  <si>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</si>
  <si>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</si>
  <si>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</si>
  <si>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</si>
  <si>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</si>
  <si>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</si>
  <si>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</si>
  <si>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</si>
  <si>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</si>
  <si>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</si>
  <si>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</si>
  <si>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</si>
  <si>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</si>
  <si>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</si>
  <si>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</si>
  <si>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</si>
  <si>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</si>
  <si>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</si>
  <si>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</si>
  <si>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</si>
  <si>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</si>
  <si>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</si>
  <si>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</si>
  <si>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</si>
  <si>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</si>
  <si>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</si>
  <si>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</si>
  <si>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</si>
  <si>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</si>
  <si>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</si>
  <si>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</si>
  <si>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</si>
  <si>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</si>
  <si>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</si>
  <si>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</si>
  <si>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</si>
  <si>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</si>
  <si>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</si>
  <si>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</si>
  <si>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</si>
  <si>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</si>
  <si>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</si>
  <si>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</si>
  <si>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</si>
  <si>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</si>
  <si>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</si>
  <si>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</si>
  <si>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</si>
  <si>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</si>
  <si>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</si>
  <si>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</si>
  <si>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</si>
  <si>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</si>
  <si>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</si>
  <si>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</si>
  <si>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</si>
  <si>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</si>
  <si>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</si>
  <si>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</si>
  <si>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</si>
  <si>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</si>
  <si>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</si>
  <si>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</si>
  <si>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</si>
  <si>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</si>
  <si>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</si>
  <si>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</si>
  <si>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</si>
  <si>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</si>
  <si>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</si>
  <si>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</si>
  <si>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</si>
  <si>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</si>
  <si>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</si>
  <si>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</si>
  <si>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</si>
  <si>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</si>
  <si>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</si>
  <si>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</si>
  <si>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</si>
  <si>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</si>
  <si>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</si>
  <si>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</si>
  <si>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</si>
  <si>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</si>
  <si>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</si>
  <si>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</si>
  <si>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</si>
  <si>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</si>
  <si>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</si>
  <si>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</si>
  <si>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</si>
  <si>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</si>
  <si>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</si>
  <si>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</si>
  <si>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</si>
  <si>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</si>
  <si>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</si>
  <si>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</si>
  <si>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</si>
  <si>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</si>
  <si>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</si>
  <si>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</si>
  <si>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</si>
  <si>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</si>
  <si>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</si>
  <si>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</si>
  <si>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</si>
  <si>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</si>
  <si>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</si>
  <si>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</si>
  <si>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</si>
  <si>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</si>
  <si>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</si>
  <si>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</si>
  <si>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</si>
  <si>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</si>
  <si>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</si>
  <si>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</si>
  <si>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</si>
  <si>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</si>
  <si>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</si>
  <si>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</si>
  <si>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</si>
  <si>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</si>
  <si>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</si>
  <si>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</si>
  <si>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</si>
  <si>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</si>
  <si>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</si>
  <si>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</si>
  <si>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</si>
  <si>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</si>
  <si>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</si>
  <si>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</si>
  <si>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</si>
  <si>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</si>
  <si>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</si>
  <si>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</si>
  <si>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</si>
  <si>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</si>
  <si>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</si>
  <si>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</si>
  <si>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</si>
  <si>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</si>
  <si>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</si>
  <si>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</si>
  <si>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</si>
  <si>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</si>
  <si>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</si>
  <si>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</si>
  <si>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</si>
  <si>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</si>
  <si>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</si>
  <si>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</si>
  <si>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</si>
  <si>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</si>
  <si>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</si>
  <si>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</si>
  <si>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</si>
  <si>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</si>
  <si>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</si>
  <si>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</si>
  <si>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</si>
  <si>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</si>
  <si>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</si>
  <si>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</si>
  <si>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</si>
  <si>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</si>
  <si>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</si>
  <si>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</si>
  <si>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</si>
  <si>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</si>
  <si>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</si>
  <si>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</si>
  <si>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</si>
  <si>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</si>
  <si>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</si>
  <si>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</si>
  <si>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</si>
  <si>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</si>
  <si>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</si>
  <si>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</si>
  <si>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</si>
  <si>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</si>
  <si>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</si>
  <si>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</si>
  <si>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</si>
  <si>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</si>
  <si>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</si>
  <si>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</si>
  <si>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</si>
  <si>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</si>
  <si>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</si>
  <si>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</si>
  <si>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</si>
  <si>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</si>
  <si>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</si>
  <si>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</si>
  <si>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</si>
  <si>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</si>
  <si>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</si>
  <si>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</si>
  <si>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</si>
  <si>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</si>
  <si>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</si>
  <si>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</si>
  <si>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</si>
  <si>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</si>
  <si>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</si>
  <si>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</si>
  <si>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</si>
  <si>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</si>
  <si>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</si>
  <si>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</si>
  <si>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</si>
  <si>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</si>
  <si>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</si>
  <si>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</si>
  <si>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</si>
  <si>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</si>
  <si>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</si>
  <si>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</si>
  <si>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</si>
  <si>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</si>
  <si>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</si>
  <si>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</si>
  <si>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</si>
  <si>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</si>
  <si>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</si>
  <si>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</si>
  <si>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</si>
  <si>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</si>
  <si>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</si>
  <si>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</si>
  <si>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</si>
  <si>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</si>
  <si>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</si>
  <si>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</si>
  <si>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</si>
  <si>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</si>
  <si>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</si>
  <si>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</si>
  <si>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</si>
  <si>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</si>
  <si>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</si>
  <si>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</si>
  <si>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</si>
  <si>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</si>
  <si>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</si>
  <si>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</si>
  <si>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</si>
  <si>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</si>
  <si>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</si>
  <si>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</si>
  <si>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</si>
  <si>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</si>
  <si>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</si>
  <si>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</si>
  <si>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</si>
  <si>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</si>
  <si>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</si>
  <si>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</si>
  <si>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</si>
  <si>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</si>
  <si>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</si>
  <si>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</si>
  <si>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</si>
  <si>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</si>
  <si>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</si>
  <si>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</si>
  <si>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</si>
  <si>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</si>
  <si>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</si>
  <si>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</si>
  <si>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</si>
  <si>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</si>
  <si>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</si>
  <si>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</si>
  <si>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</si>
  <si>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</si>
  <si>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</si>
  <si>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</si>
  <si>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</si>
  <si>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</si>
  <si>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</si>
  <si>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</si>
  <si>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</si>
  <si>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</si>
  <si>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</si>
  <si>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</si>
  <si>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</si>
  <si>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</si>
  <si>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</si>
  <si>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</si>
  <si>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</si>
  <si>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</si>
  <si>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</si>
  <si>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</si>
  <si>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</si>
  <si>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</si>
  <si>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</si>
  <si>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</si>
  <si>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</si>
  <si>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</si>
  <si>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</si>
  <si>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</si>
  <si>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</si>
  <si>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</si>
  <si>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</si>
  <si>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</si>
  <si>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</si>
  <si>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</si>
  <si>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</si>
  <si>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</si>
  <si>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</si>
  <si>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</si>
  <si>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</si>
  <si>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</si>
  <si>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</si>
  <si>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</si>
  <si>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</si>
  <si>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</si>
  <si>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</si>
  <si>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</si>
  <si>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</si>
  <si>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</si>
  <si>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</si>
  <si>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</si>
  <si>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</si>
  <si>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</si>
  <si>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</si>
  <si>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</si>
  <si>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</si>
  <si>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</si>
  <si>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</si>
  <si>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</si>
  <si>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</si>
  <si>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</si>
  <si>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</si>
  <si>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</si>
  <si>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</si>
  <si>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</si>
  <si>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</si>
  <si>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</si>
  <si>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</si>
  <si>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</si>
  <si>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</si>
  <si>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</si>
  <si>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</si>
  <si>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</si>
  <si>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</si>
  <si>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</si>
  <si>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</si>
  <si>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</si>
  <si>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</si>
  <si>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</si>
  <si>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</si>
  <si>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</si>
  <si>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</si>
  <si>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</si>
  <si>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</si>
  <si>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</si>
  <si>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</si>
  <si>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</si>
  <si>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</si>
  <si>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</si>
  <si>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</si>
  <si>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</si>
  <si>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</si>
  <si>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</si>
  <si>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</si>
  <si>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</si>
  <si>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</si>
  <si>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</si>
  <si>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</si>
  <si>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</si>
  <si>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</si>
  <si>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</si>
  <si>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</si>
  <si>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</si>
  <si>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</si>
  <si>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</si>
  <si>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</si>
  <si>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</si>
  <si>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</si>
  <si>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</si>
  <si>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</si>
  <si>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</si>
  <si>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</si>
  <si>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</si>
  <si>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</si>
  <si>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</si>
  <si>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</si>
  <si>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</si>
  <si>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</si>
  <si>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</si>
  <si>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</si>
  <si>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</si>
  <si>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</si>
  <si>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</si>
  <si>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</si>
  <si>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</si>
  <si>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</si>
  <si>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</si>
  <si>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</si>
  <si>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</si>
  <si>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</si>
  <si>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</si>
  <si>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</si>
  <si>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</si>
  <si>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</si>
  <si>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</si>
  <si>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</si>
  <si>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</si>
  <si>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</si>
  <si>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</si>
  <si>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</si>
  <si>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</si>
  <si>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</si>
  <si>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</si>
  <si>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</si>
  <si>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</si>
  <si>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</si>
  <si>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</si>
  <si>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</si>
  <si>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</si>
  <si>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</si>
  <si>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</si>
  <si>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</si>
  <si>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</si>
  <si>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</si>
  <si>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</si>
  <si>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</si>
  <si>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</si>
  <si>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</si>
  <si>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</si>
  <si>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</si>
  <si>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</si>
  <si>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</si>
  <si>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</si>
  <si>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</si>
  <si>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</si>
  <si>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</si>
  <si>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</si>
  <si>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</si>
  <si>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</si>
  <si>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</si>
  <si>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</si>
  <si>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</si>
  <si>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</si>
  <si>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</si>
  <si>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</si>
  <si>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</si>
  <si>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</si>
  <si>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</si>
  <si>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</si>
  <si>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</si>
  <si>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</si>
  <si>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</si>
  <si>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</si>
  <si>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</si>
  <si>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</si>
  <si>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</si>
  <si>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</si>
  <si>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</si>
  <si>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</si>
  <si>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</si>
  <si>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</si>
  <si>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</si>
  <si>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</si>
  <si>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</si>
  <si>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</si>
  <si>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</si>
  <si>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</si>
  <si>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</si>
  <si>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</si>
  <si>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</si>
  <si>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</si>
  <si>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</si>
  <si>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</si>
  <si>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</si>
  <si>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</si>
  <si>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</si>
  <si>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</si>
  <si>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</si>
  <si>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</si>
  <si>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</si>
  <si>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</si>
  <si>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</si>
  <si>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</si>
  <si>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</si>
  <si>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</si>
  <si>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</si>
  <si>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</si>
  <si>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</si>
  <si>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</si>
  <si>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</si>
  <si>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</si>
  <si>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</si>
  <si>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</si>
  <si>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</si>
  <si>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</si>
  <si>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</si>
  <si>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</si>
  <si>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</si>
  <si>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</si>
  <si>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</si>
  <si>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</si>
  <si>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</si>
  <si>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</si>
  <si>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</si>
  <si>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</si>
  <si>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</si>
  <si>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</si>
  <si>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</si>
  <si>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</si>
  <si>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</si>
  <si>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</si>
  <si>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</si>
  <si>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</si>
  <si>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</si>
  <si>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</si>
  <si>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</si>
  <si>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</si>
  <si>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</si>
  <si>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</si>
  <si>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</si>
  <si>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</si>
  <si>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</si>
  <si>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</si>
  <si>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</si>
  <si>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</si>
  <si>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</si>
  <si>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</si>
  <si>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</si>
  <si>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</si>
  <si>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</si>
  <si>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</si>
  <si>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</si>
  <si>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</si>
  <si>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</si>
  <si>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</si>
  <si>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</si>
  <si>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</si>
  <si>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</si>
  <si>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</si>
  <si>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</si>
  <si>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</si>
  <si>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</si>
  <si>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</si>
  <si>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</si>
  <si>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</si>
  <si>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</si>
  <si>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</si>
  <si>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</si>
  <si>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</si>
  <si>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</si>
  <si>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</si>
  <si>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</si>
  <si>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</si>
  <si>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</si>
  <si>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</si>
  <si>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</si>
  <si>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</si>
  <si>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</si>
  <si>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</si>
  <si>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</si>
  <si>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</si>
  <si>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</si>
  <si>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</si>
  <si>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</si>
  <si>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</si>
  <si>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</si>
  <si>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</si>
  <si>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</si>
  <si>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</si>
  <si>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</si>
  <si>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</si>
  <si>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</si>
  <si>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</si>
  <si>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</si>
  <si>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</si>
  <si>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</si>
  <si>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</si>
  <si>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</si>
  <si>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</si>
  <si>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</si>
  <si>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</si>
  <si>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</si>
  <si>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</si>
  <si>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</si>
  <si>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</si>
  <si>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</si>
  <si>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</si>
  <si>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</si>
  <si>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</si>
  <si>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</si>
  <si>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</si>
  <si>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</si>
  <si>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</si>
  <si>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</si>
  <si>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</si>
  <si>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</si>
  <si>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</si>
  <si>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</si>
  <si>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</si>
  <si>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</si>
  <si>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</si>
  <si>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</si>
  <si>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</si>
  <si>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</si>
  <si>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</si>
  <si>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</si>
  <si>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</si>
  <si>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</si>
  <si>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</si>
  <si>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</si>
  <si>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</si>
  <si>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</si>
  <si>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</si>
  <si>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</si>
  <si>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</si>
  <si>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</si>
  <si>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</si>
  <si>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</si>
  <si>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</si>
  <si>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</si>
  <si>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</si>
  <si>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</si>
  <si>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</si>
  <si>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</si>
  <si>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</si>
  <si>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</si>
  <si>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</si>
  <si>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</si>
  <si>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</si>
  <si>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</si>
  <si>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</si>
  <si>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</si>
  <si>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</si>
  <si>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</si>
  <si>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</si>
  <si>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</si>
  <si>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</si>
  <si>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</si>
  <si>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</si>
  <si>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</si>
  <si>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</si>
  <si>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</si>
  <si>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</si>
  <si>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</si>
  <si>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</si>
  <si>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</si>
  <si>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</si>
  <si>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</si>
  <si>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</si>
  <si>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</si>
  <si>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</si>
  <si>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</si>
  <si>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</si>
  <si>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</si>
  <si>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</si>
  <si>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</si>
  <si>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</si>
  <si>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</si>
  <si>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</si>
  <si>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</si>
  <si>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</si>
  <si>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</si>
  <si>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</si>
  <si>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</si>
  <si>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</si>
  <si>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</si>
  <si>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</si>
  <si>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</si>
  <si>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</si>
  <si>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</si>
  <si>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</si>
  <si>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</si>
  <si>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</si>
  <si>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</si>
  <si>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</si>
  <si>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</si>
  <si>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</si>
  <si>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</si>
  <si>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</si>
  <si>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</si>
  <si>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</si>
  <si>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</si>
  <si>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</si>
  <si>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</si>
  <si>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</si>
  <si>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</si>
  <si>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</si>
  <si>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</si>
  <si>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</si>
  <si>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</si>
  <si>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</si>
  <si>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</si>
  <si>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</si>
  <si>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</si>
  <si>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</si>
  <si>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</si>
  <si>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</si>
  <si>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</si>
  <si>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</si>
  <si>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</si>
  <si>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</si>
  <si>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</si>
  <si>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</si>
  <si>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</si>
  <si>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</si>
  <si>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</si>
  <si>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</si>
  <si>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</si>
  <si>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</si>
  <si>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</si>
  <si>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</si>
  <si>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</si>
  <si>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</si>
  <si>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</si>
  <si>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</si>
  <si>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</si>
  <si>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</si>
  <si>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</si>
  <si>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</si>
  <si>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</si>
  <si>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</si>
  <si>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</si>
  <si>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</si>
  <si>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</si>
  <si>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</si>
  <si>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</si>
  <si>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</si>
  <si>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</si>
  <si>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</si>
  <si>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</si>
  <si>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</si>
  <si>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</si>
  <si>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</si>
  <si>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</si>
  <si>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</si>
  <si>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</si>
  <si>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</si>
  <si>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</si>
  <si>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</si>
  <si>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</si>
  <si>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</si>
  <si>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</si>
  <si>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</si>
  <si>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</si>
  <si>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</si>
  <si>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</si>
  <si>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</si>
  <si>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</si>
  <si>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</si>
  <si>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</si>
  <si>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</si>
  <si>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</si>
  <si>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</si>
  <si>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</si>
  <si>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</si>
  <si>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</si>
  <si>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</si>
  <si>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</si>
  <si>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</si>
  <si>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</si>
  <si>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</si>
  <si>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</si>
  <si>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</si>
  <si>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</si>
  <si>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</si>
  <si>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</si>
  <si>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</si>
  <si>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</si>
  <si>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</si>
  <si>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</si>
  <si>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</si>
  <si>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</si>
  <si>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</si>
  <si>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</si>
  <si>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</si>
  <si>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</si>
  <si>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</si>
  <si>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</si>
  <si>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</si>
  <si>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</si>
  <si>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</si>
  <si>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</si>
  <si>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</si>
  <si>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</si>
  <si>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</si>
  <si>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</si>
  <si>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</si>
  <si>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</si>
  <si>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</si>
  <si>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</si>
  <si>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</si>
  <si>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</si>
  <si>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</si>
  <si>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</si>
  <si>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</si>
  <si>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</si>
  <si>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</si>
  <si>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</si>
  <si>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</si>
  <si>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</si>
  <si>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</si>
  <si>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</si>
  <si>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</si>
  <si>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</si>
  <si>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</si>
  <si>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</si>
  <si>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</si>
  <si>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</si>
  <si>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</si>
  <si>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</si>
  <si>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</si>
  <si>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</si>
  <si>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</si>
  <si>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</si>
  <si>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</si>
  <si>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</si>
  <si>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</si>
  <si>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</si>
  <si>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</si>
  <si>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</si>
  <si>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</si>
  <si>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</si>
  <si>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</si>
  <si>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</si>
  <si>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</si>
  <si>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</si>
  <si>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</si>
  <si>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</si>
  <si>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</si>
  <si>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</si>
  <si>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</si>
  <si>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</si>
  <si>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</si>
  <si>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</si>
  <si>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</si>
  <si>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</si>
  <si>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</si>
  <si>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</si>
  <si>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</si>
  <si>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</si>
  <si>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</si>
  <si>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</si>
  <si>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</si>
  <si>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</si>
  <si>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</si>
  <si>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</si>
  <si>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</si>
  <si>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</si>
  <si>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</si>
  <si>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</si>
  <si>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</si>
  <si>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</si>
  <si>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</si>
  <si>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</si>
  <si>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</si>
  <si>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</si>
  <si>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</si>
  <si>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</si>
  <si>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</si>
  <si>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</si>
  <si>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</si>
  <si>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</si>
  <si>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</si>
  <si>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</si>
  <si>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</si>
  <si>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</si>
  <si>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</si>
  <si>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</si>
  <si>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</si>
  <si>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</si>
  <si>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</si>
  <si>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</si>
  <si>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</si>
  <si>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</si>
  <si>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</si>
  <si>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</si>
  <si>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</si>
  <si>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</si>
  <si>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</si>
  <si>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</si>
  <si>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</si>
  <si>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</si>
  <si>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</si>
  <si>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</si>
  <si>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</si>
  <si>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</si>
  <si>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</si>
  <si>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</si>
  <si>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</si>
  <si>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</si>
  <si>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</si>
  <si>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</si>
  <si>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</si>
  <si>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</si>
  <si>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</si>
  <si>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</si>
  <si>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</si>
  <si>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</si>
  <si>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</si>
  <si>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</si>
  <si>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</si>
  <si>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</si>
  <si>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</si>
  <si>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</si>
  <si>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</si>
  <si>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</si>
  <si>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</si>
  <si>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</si>
  <si>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</si>
  <si>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</si>
  <si>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</si>
  <si>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</si>
  <si>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</si>
  <si>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</si>
  <si>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</si>
  <si>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</si>
  <si>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</si>
  <si>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</si>
  <si>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</si>
  <si>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</si>
  <si>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</si>
  <si>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</si>
  <si>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</si>
  <si>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</si>
  <si>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</si>
  <si>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</si>
  <si>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</si>
  <si>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</si>
  <si>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</si>
  <si>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</si>
  <si>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</si>
  <si>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</si>
  <si>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</si>
  <si>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</si>
  <si>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</si>
  <si>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</si>
  <si>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</si>
  <si>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</si>
  <si>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</si>
  <si>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</si>
  <si>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</si>
  <si>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</si>
  <si>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</si>
  <si>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</si>
  <si>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</si>
  <si>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</si>
  <si>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</si>
  <si>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</si>
  <si>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</si>
  <si>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</si>
  <si>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</si>
  <si>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</si>
  <si>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</si>
  <si>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</si>
  <si>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</si>
  <si>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</si>
  <si>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</si>
  <si>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</si>
  <si>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</si>
  <si>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</si>
  <si>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</si>
  <si>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</si>
  <si>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</si>
  <si>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</si>
  <si>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</si>
  <si>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</si>
  <si>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</si>
  <si>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</si>
  <si>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</si>
  <si>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</si>
  <si>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</si>
  <si>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</si>
  <si>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</si>
  <si>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</si>
  <si>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</si>
  <si>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</si>
  <si>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</si>
  <si>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</si>
  <si>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</si>
  <si>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</si>
  <si>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</si>
  <si>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</si>
  <si>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</si>
  <si>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</si>
  <si>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</si>
  <si>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</si>
  <si>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</si>
  <si>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</si>
  <si>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</si>
  <si>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</si>
  <si>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</si>
  <si>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</si>
  <si>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</si>
  <si>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</si>
  <si>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</si>
  <si>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</si>
  <si>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</si>
  <si>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</si>
  <si>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</si>
  <si>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</si>
  <si>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</si>
  <si>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</si>
  <si>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</si>
  <si>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</si>
  <si>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</si>
  <si>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</si>
  <si>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</si>
  <si>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</si>
  <si>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</si>
  <si>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</si>
  <si>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</si>
  <si>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</si>
  <si>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</si>
  <si>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</si>
  <si>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</si>
  <si>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</si>
  <si>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</si>
  <si>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</si>
  <si>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</si>
  <si>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</si>
  <si>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</si>
  <si>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</si>
  <si>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</si>
  <si>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</si>
  <si>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</si>
  <si>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</si>
  <si>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</si>
  <si>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</si>
  <si>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</si>
  <si>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</si>
  <si>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</si>
  <si>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</si>
  <si>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</si>
  <si>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</si>
  <si>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</si>
  <si>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</si>
  <si>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</si>
  <si>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</si>
  <si>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</si>
  <si>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</si>
  <si>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</si>
  <si>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</si>
  <si>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</si>
  <si>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</si>
  <si>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</si>
  <si>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</si>
  <si>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</si>
  <si>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</si>
  <si>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</si>
  <si>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</si>
  <si>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</si>
  <si>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</si>
  <si>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</si>
  <si>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</si>
  <si>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</si>
  <si>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</si>
  <si>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</si>
  <si>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</si>
  <si>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</si>
  <si>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</si>
  <si>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</si>
  <si>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</si>
  <si>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</si>
  <si>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</si>
  <si>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</si>
  <si>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</si>
  <si>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</si>
  <si>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</si>
  <si>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</si>
  <si>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</si>
  <si>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</si>
  <si>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</si>
  <si>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</si>
  <si>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</si>
  <si>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</si>
  <si>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</si>
  <si>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</si>
  <si>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</si>
  <si>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</si>
  <si>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</si>
  <si>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</si>
  <si>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</si>
  <si>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</si>
  <si>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</si>
  <si>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</si>
  <si>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</si>
  <si>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</si>
  <si>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</si>
  <si>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</si>
  <si>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</si>
  <si>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</si>
  <si>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</si>
  <si>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</si>
  <si>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</si>
  <si>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</si>
  <si>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</si>
  <si>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</si>
  <si>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</si>
  <si>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</si>
  <si>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</si>
  <si>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</si>
  <si>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</si>
  <si>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</si>
  <si>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</si>
  <si>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</si>
  <si>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</si>
  <si>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</si>
  <si>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</si>
  <si>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</si>
  <si>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</si>
  <si>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</si>
  <si>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</si>
  <si>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</si>
  <si>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</si>
  <si>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</si>
  <si>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</si>
  <si>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</si>
  <si>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</si>
  <si>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</si>
  <si>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</si>
  <si>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</si>
  <si>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</si>
  <si>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</si>
  <si>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</si>
  <si>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</si>
  <si>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</si>
  <si>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</si>
  <si>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</si>
  <si>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</si>
  <si>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</si>
  <si>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</si>
  <si>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</si>
  <si>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</si>
  <si>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</si>
  <si>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</si>
  <si>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</si>
  <si>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</si>
  <si>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</si>
  <si>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</si>
  <si>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</si>
  <si>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</si>
  <si>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</si>
  <si>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</si>
  <si>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</si>
  <si>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</si>
  <si>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</si>
  <si>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</si>
  <si>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</si>
  <si>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</si>
  <si>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</si>
  <si>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</si>
  <si>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</si>
  <si>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</si>
  <si>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</si>
  <si>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</si>
  <si>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</si>
  <si>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</si>
  <si>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</si>
  <si>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</si>
  <si>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</si>
  <si>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</si>
  <si>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</si>
  <si>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</si>
  <si>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</si>
  <si>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</si>
  <si>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</si>
  <si>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</si>
  <si>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</si>
  <si>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</si>
  <si>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</si>
  <si>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</si>
  <si>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</si>
  <si>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</si>
  <si>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</si>
  <si>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</si>
  <si>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</si>
  <si>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</si>
  <si>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</si>
  <si>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</si>
  <si>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</si>
  <si>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</si>
  <si>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</si>
  <si>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</si>
  <si>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</si>
  <si>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</si>
  <si>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</si>
  <si>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</si>
  <si>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</si>
  <si>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</si>
  <si>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</si>
  <si>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</si>
  <si>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</si>
  <si>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</si>
  <si>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</si>
  <si>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</si>
  <si>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</si>
  <si>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</si>
  <si>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</si>
  <si>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</si>
  <si>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</si>
  <si>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</si>
  <si>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</si>
  <si>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</si>
  <si>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</si>
  <si>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</si>
  <si>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</si>
  <si>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</si>
  <si>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</si>
  <si>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</si>
  <si>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</si>
  <si>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</si>
  <si>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</si>
  <si>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</si>
  <si>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</si>
  <si>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</si>
  <si>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</si>
  <si>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</si>
  <si>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</si>
  <si>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</si>
  <si>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</si>
  <si>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</si>
  <si>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</si>
  <si>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</si>
  <si>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</si>
  <si>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</si>
  <si>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</si>
  <si>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</si>
  <si>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</si>
  <si>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</si>
  <si>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</si>
  <si>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</si>
  <si>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</si>
  <si>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</si>
  <si>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</si>
  <si>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</si>
  <si>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</si>
  <si>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</si>
  <si>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</si>
  <si>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</si>
  <si>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</si>
  <si>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</si>
  <si>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</si>
  <si>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</si>
  <si>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</si>
  <si>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</si>
  <si>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</si>
  <si>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</si>
  <si>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</si>
  <si>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</si>
  <si>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</si>
  <si>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</si>
  <si>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</si>
  <si>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</si>
  <si>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</si>
  <si>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</si>
  <si>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</si>
  <si>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</si>
  <si>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</si>
  <si>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</si>
  <si>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</si>
  <si>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</si>
  <si>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</si>
  <si>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</si>
  <si>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</si>
  <si>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</si>
  <si>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</si>
  <si>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</si>
  <si>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</si>
  <si>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</si>
  <si>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</si>
  <si>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</si>
  <si>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</si>
  <si>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</si>
  <si>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</si>
  <si>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</si>
  <si>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</si>
  <si>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</si>
  <si>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</si>
  <si>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</si>
  <si>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</si>
  <si>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</si>
  <si>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</si>
  <si>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</si>
  <si>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</si>
  <si>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</si>
  <si>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</si>
  <si>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</si>
  <si>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</si>
  <si>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</si>
  <si>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</si>
  <si>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</si>
  <si>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</si>
  <si>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</si>
  <si>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</si>
  <si>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</si>
  <si>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</si>
  <si>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</si>
  <si>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</si>
  <si>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</si>
  <si>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</si>
  <si>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</si>
  <si>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</si>
  <si>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</si>
  <si>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</si>
  <si>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</si>
  <si>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</si>
  <si>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</si>
  <si>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</si>
  <si>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</si>
  <si>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</si>
  <si>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</si>
  <si>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</si>
  <si>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</si>
  <si>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</si>
  <si>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</si>
  <si>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</si>
  <si>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</si>
  <si>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</si>
  <si>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</si>
  <si>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</si>
  <si>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</si>
  <si>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</si>
  <si>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</si>
  <si>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</si>
  <si>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</si>
  <si>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</si>
  <si>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</si>
  <si>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</si>
  <si>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</si>
  <si>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</si>
  <si>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</si>
  <si>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</si>
  <si>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</si>
  <si>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</si>
  <si>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</si>
  <si>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</si>
  <si>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</si>
  <si>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</si>
  <si>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</si>
  <si>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</si>
  <si>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</si>
  <si>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</si>
  <si>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</si>
  <si>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</si>
  <si>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</si>
  <si>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</si>
  <si>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</si>
  <si>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</si>
  <si>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</si>
  <si>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</si>
  <si>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</si>
  <si>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</si>
  <si>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</si>
  <si>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</si>
  <si>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</si>
  <si>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</si>
  <si>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</si>
  <si>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</si>
  <si>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</si>
  <si>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</si>
  <si>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</si>
  <si>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</si>
  <si>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</si>
  <si>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</si>
  <si>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</si>
  <si>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</si>
  <si>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</si>
  <si>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</si>
  <si>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</si>
  <si>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</si>
  <si>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</si>
  <si>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</si>
  <si>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</si>
  <si>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</si>
  <si>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</si>
  <si>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</si>
  <si>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</si>
  <si>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</si>
  <si>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</si>
  <si>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</si>
  <si>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</si>
  <si>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</si>
  <si>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</si>
  <si>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</si>
  <si>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</si>
  <si>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</si>
  <si>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</si>
  <si>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</si>
  <si>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</si>
  <si>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</si>
  <si>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</si>
  <si>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</si>
  <si>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</si>
  <si>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</si>
  <si>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</si>
  <si>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</si>
  <si>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</si>
  <si>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</si>
  <si>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</si>
  <si>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</si>
  <si>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</si>
  <si>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</si>
  <si>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</si>
  <si>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</si>
  <si>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</si>
  <si>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</si>
  <si>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</si>
  <si>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</si>
  <si>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</si>
  <si>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</si>
  <si>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</si>
  <si>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</si>
  <si>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</si>
  <si>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</si>
  <si>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</si>
  <si>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</si>
  <si>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</si>
  <si>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</si>
  <si>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</si>
  <si>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</si>
  <si>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</si>
  <si>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</si>
  <si>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</si>
  <si>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</si>
  <si>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</si>
  <si>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</si>
  <si>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</si>
  <si>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</si>
  <si>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</si>
  <si>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</si>
  <si>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</si>
  <si>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</si>
  <si>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</si>
  <si>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</si>
  <si>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</si>
  <si>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</si>
  <si>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</si>
  <si>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</si>
  <si>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</si>
  <si>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</si>
  <si>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</si>
  <si>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</si>
  <si>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</si>
  <si>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</si>
  <si>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</si>
  <si>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</si>
  <si>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</si>
  <si>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</si>
  <si>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</si>
  <si>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</si>
  <si>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</si>
  <si>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</si>
  <si>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</si>
  <si>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</si>
  <si>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</si>
  <si>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</si>
  <si>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</si>
  <si>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</si>
  <si>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</si>
  <si>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</si>
  <si>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</si>
  <si>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</si>
  <si>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</si>
  <si>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</si>
  <si>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</si>
  <si>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</si>
  <si>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</si>
  <si>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</si>
  <si>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</si>
  <si>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</si>
  <si>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</si>
  <si>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</si>
  <si>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</si>
  <si>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</si>
  <si>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</si>
  <si>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</si>
  <si>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</si>
  <si>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</si>
  <si>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</si>
  <si>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</si>
  <si>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</si>
  <si>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</si>
  <si>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</si>
  <si>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</si>
  <si>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</si>
  <si>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</si>
  <si>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</si>
  <si>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</si>
  <si>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</si>
  <si>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</si>
  <si>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</si>
  <si>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</si>
  <si>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</si>
  <si>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</si>
  <si>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</si>
  <si>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</si>
  <si>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</si>
  <si>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</si>
  <si>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</si>
  <si>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</si>
  <si>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</si>
  <si>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</si>
  <si>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</si>
  <si>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</si>
  <si>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</si>
  <si>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</si>
  <si>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</si>
  <si>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</si>
  <si>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</si>
  <si>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</si>
  <si>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</si>
  <si>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</si>
  <si>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</si>
  <si>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</si>
  <si>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</si>
  <si>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</si>
  <si>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</si>
  <si>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</si>
  <si>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</si>
  <si>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</si>
  <si>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</si>
  <si>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</si>
  <si>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</si>
  <si>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</si>
  <si>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</si>
  <si>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</si>
  <si>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</si>
  <si>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</si>
  <si>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</si>
  <si>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</si>
  <si>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</si>
  <si>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</si>
  <si>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</si>
  <si>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</si>
  <si>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</si>
  <si>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</si>
  <si>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</si>
  <si>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</si>
  <si>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</si>
  <si>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</si>
  <si>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</si>
  <si>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</si>
  <si>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</si>
  <si>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</si>
  <si>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</si>
  <si>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</si>
  <si>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</si>
  <si>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</si>
  <si>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</si>
  <si>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</si>
  <si>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</si>
  <si>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</si>
  <si>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</si>
  <si>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</si>
  <si>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</si>
  <si>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</si>
  <si>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</si>
  <si>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</si>
  <si>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</si>
  <si>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</si>
  <si>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</si>
  <si>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</si>
  <si>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</si>
  <si>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</si>
  <si>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</si>
  <si>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</si>
  <si>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</si>
  <si>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</si>
  <si>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</si>
  <si>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</si>
  <si>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</si>
  <si>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</si>
  <si>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</si>
  <si>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</si>
  <si>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</si>
  <si>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</si>
  <si>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</si>
  <si>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</si>
  <si>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</si>
  <si>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</si>
  <si>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</si>
  <si>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</si>
  <si>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</si>
  <si>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</si>
  <si>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</si>
  <si>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</si>
  <si>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</si>
  <si>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</si>
  <si>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</si>
  <si>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</si>
  <si>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</si>
  <si>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</si>
  <si>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</si>
  <si>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</si>
  <si>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</si>
  <si>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</si>
  <si>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</si>
  <si>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</si>
  <si>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</si>
  <si>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</si>
  <si>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</si>
  <si>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</si>
  <si>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</si>
  <si>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</si>
  <si>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</si>
  <si>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</si>
  <si>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</si>
  <si>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</si>
  <si>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</si>
  <si>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</si>
  <si>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</si>
  <si>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</si>
  <si>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</si>
  <si>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</si>
  <si>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</si>
  <si>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</si>
  <si>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</si>
  <si>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</si>
  <si>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</si>
  <si>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</si>
  <si>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</si>
  <si>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</si>
  <si>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</si>
  <si>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</si>
  <si>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</si>
  <si>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</si>
  <si>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</si>
  <si>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</si>
  <si>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</si>
  <si>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</si>
  <si>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</si>
  <si>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</si>
  <si>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</si>
  <si>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</si>
  <si>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</si>
  <si>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</si>
  <si>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</si>
  <si>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</si>
  <si>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</si>
  <si>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</si>
  <si>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</si>
  <si>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</si>
  <si>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</si>
  <si>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</si>
  <si>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</si>
  <si>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</si>
  <si>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</si>
  <si>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</si>
  <si>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</si>
  <si>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</si>
  <si>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</si>
  <si>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</si>
  <si>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</si>
  <si>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</si>
  <si>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</si>
  <si>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</si>
  <si>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</si>
  <si>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</si>
  <si>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</si>
  <si>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</si>
  <si>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</si>
  <si>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</si>
  <si>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</si>
  <si>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</si>
  <si>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</si>
  <si>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</si>
  <si>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</si>
  <si>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</si>
  <si>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</si>
  <si>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</si>
  <si>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</si>
  <si>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</si>
  <si>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</si>
  <si>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</si>
  <si>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</si>
  <si>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</si>
  <si>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</si>
  <si>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</si>
  <si>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</si>
  <si>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</si>
  <si>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</si>
  <si>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</si>
  <si>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</si>
  <si>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</si>
  <si>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</si>
  <si>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</si>
  <si>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</si>
  <si>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</si>
  <si>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</si>
  <si>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</si>
  <si>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</si>
  <si>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</si>
  <si>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</si>
  <si>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</si>
  <si>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</si>
  <si>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</si>
  <si>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</si>
  <si>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</si>
  <si>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</si>
  <si>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</si>
  <si>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</si>
  <si>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</si>
  <si>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</si>
  <si>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</si>
  <si>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</si>
  <si>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</si>
  <si>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</si>
  <si>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</si>
  <si>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</si>
  <si>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</si>
  <si>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</si>
  <si>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</si>
  <si>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</si>
  <si>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</si>
  <si>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</si>
  <si>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</si>
  <si>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</si>
  <si>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</si>
  <si>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</si>
  <si>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</si>
  <si>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</si>
  <si>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</si>
  <si>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</si>
  <si>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</si>
  <si>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</si>
  <si>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</si>
  <si>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</si>
  <si>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</si>
  <si>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</si>
  <si>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</si>
  <si>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</si>
  <si>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</si>
  <si>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</si>
  <si>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</si>
  <si>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</si>
  <si>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</si>
  <si>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</si>
  <si>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</si>
  <si>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</si>
  <si>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</si>
  <si>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</si>
  <si>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</si>
  <si>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</si>
  <si>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</si>
  <si>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</si>
  <si>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</si>
  <si>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</si>
  <si>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</si>
  <si>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</si>
  <si>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</si>
  <si>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</si>
  <si>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</si>
  <si>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</si>
  <si>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</si>
  <si>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</si>
  <si>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</si>
  <si>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</si>
  <si>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</si>
  <si>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</si>
  <si>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</si>
  <si>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</si>
  <si>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</si>
  <si>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</si>
  <si>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</si>
  <si>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</si>
  <si>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</si>
  <si>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</si>
  <si>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</si>
  <si>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</si>
  <si>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</si>
  <si>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</si>
  <si>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</si>
  <si>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</si>
  <si>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</si>
  <si>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</si>
  <si>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</si>
  <si>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</si>
  <si>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</si>
  <si>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</si>
  <si>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</si>
  <si>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</si>
  <si>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</si>
  <si>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</si>
  <si>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</si>
  <si>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</si>
  <si>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</si>
  <si>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</si>
  <si>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</si>
  <si>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</si>
  <si>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</si>
  <si>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</si>
  <si>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</si>
  <si>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</si>
  <si>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</si>
  <si>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</si>
  <si>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</si>
  <si>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</si>
  <si>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</si>
  <si>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</si>
  <si>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</si>
  <si>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</si>
  <si>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</si>
  <si>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</si>
  <si>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</si>
  <si>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</si>
  <si>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</si>
  <si>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</si>
  <si>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</si>
  <si>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</si>
  <si>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</si>
  <si>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</si>
  <si>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</si>
  <si>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</si>
  <si>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</si>
  <si>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</si>
  <si>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</si>
  <si>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</si>
  <si>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</si>
  <si>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</si>
  <si>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</si>
  <si>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</si>
  <si>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</si>
  <si>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</si>
  <si>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</si>
  <si>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</si>
  <si>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</si>
  <si>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</si>
  <si>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</si>
  <si>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</si>
  <si>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</si>
  <si>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</si>
  <si>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</si>
  <si>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</si>
  <si>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</si>
  <si>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</si>
  <si>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</si>
  <si>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</si>
  <si>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</si>
  <si>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</si>
  <si>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</si>
  <si>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</si>
  <si>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</si>
  <si>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</si>
  <si>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</si>
  <si>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</si>
  <si>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</si>
  <si>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</si>
  <si>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</si>
  <si>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</si>
  <si>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</si>
  <si>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</si>
  <si>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</si>
  <si>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</si>
  <si>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</si>
  <si>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</si>
  <si>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</si>
  <si>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</si>
  <si>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</si>
  <si>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</si>
  <si>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</si>
  <si>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</si>
  <si>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</si>
  <si>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</si>
  <si>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</si>
  <si>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</si>
  <si>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</si>
  <si>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</si>
  <si>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</si>
  <si>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</si>
  <si>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</si>
  <si>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</si>
  <si>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</si>
  <si>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</si>
  <si>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</si>
  <si>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</si>
  <si>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</si>
  <si>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</si>
  <si>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</si>
  <si>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</si>
  <si>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</si>
  <si>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</si>
  <si>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</si>
  <si>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</si>
  <si>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</si>
  <si>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</si>
  <si>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</si>
  <si>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</si>
  <si>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</si>
  <si>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</si>
  <si>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</si>
  <si>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</si>
  <si>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</si>
  <si>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</si>
  <si>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</si>
  <si>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</si>
  <si>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</si>
  <si>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</si>
  <si>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</si>
  <si>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</si>
  <si>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</si>
  <si>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</si>
  <si>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</si>
  <si>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</si>
  <si>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</si>
  <si>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</si>
  <si>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</si>
  <si>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</si>
  <si>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</si>
  <si>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</si>
  <si>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</si>
  <si>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</si>
  <si>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</si>
  <si>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</si>
  <si>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</si>
  <si>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</si>
  <si>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</si>
  <si>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</si>
  <si>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</si>
  <si>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</si>
  <si>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</si>
  <si>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</si>
  <si>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</si>
  <si>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</si>
  <si>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</si>
  <si>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</si>
  <si>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</si>
  <si>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</si>
  <si>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</si>
  <si>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</si>
  <si>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</si>
  <si>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</si>
  <si>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</si>
  <si>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</si>
  <si>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</si>
  <si>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</si>
  <si>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</si>
  <si>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</si>
  <si>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</si>
  <si>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</si>
  <si>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</si>
  <si>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</si>
  <si>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</si>
  <si>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</si>
  <si>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</si>
  <si>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</si>
  <si>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</si>
  <si>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</si>
  <si>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</si>
  <si>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</si>
  <si>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</si>
  <si>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</si>
  <si>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</si>
  <si>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</si>
  <si>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</si>
  <si>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</si>
  <si>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</si>
  <si>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</si>
  <si>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</si>
  <si>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</si>
  <si>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</si>
  <si>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</si>
  <si>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</si>
  <si>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</si>
  <si>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</si>
  <si>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</si>
  <si>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</si>
  <si>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</si>
  <si>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</si>
  <si>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</si>
  <si>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</si>
  <si>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</si>
  <si>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</si>
  <si>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</si>
  <si>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</si>
  <si>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</si>
  <si>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</si>
  <si>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</si>
  <si>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</si>
  <si>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</si>
  <si>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</si>
  <si>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</si>
  <si>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</si>
  <si>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</si>
  <si>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</si>
  <si>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</si>
  <si>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</si>
  <si>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</si>
  <si>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</si>
  <si>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</si>
  <si>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</si>
  <si>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</si>
  <si>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</si>
  <si>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</si>
  <si>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</si>
  <si>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</si>
  <si>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</si>
  <si>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</si>
  <si>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</si>
  <si>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</si>
  <si>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</si>
  <si>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</si>
  <si>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</si>
  <si>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</si>
  <si>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</si>
  <si>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</si>
  <si>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</si>
  <si>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</si>
  <si>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</si>
  <si>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</si>
  <si>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</si>
  <si>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</si>
  <si>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</si>
  <si>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</si>
  <si>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</si>
  <si>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</si>
  <si>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</si>
  <si>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</si>
  <si>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</si>
  <si>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</si>
  <si>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</si>
  <si>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</si>
  <si>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</si>
  <si>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</si>
  <si>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</si>
  <si>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</si>
  <si>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</si>
  <si>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</si>
  <si>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</si>
  <si>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</si>
  <si>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</si>
  <si>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</si>
  <si>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</si>
  <si>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</si>
  <si>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</si>
  <si>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</si>
  <si>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</si>
  <si>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</si>
  <si>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</si>
  <si>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</si>
  <si>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</si>
  <si>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</si>
  <si>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</si>
  <si>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</si>
  <si>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</si>
  <si>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</si>
  <si>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</si>
  <si>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</si>
  <si>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</si>
  <si>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</si>
  <si>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</si>
  <si>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</si>
  <si>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</si>
  <si>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</si>
  <si>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</si>
  <si>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</si>
  <si>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</si>
  <si>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</si>
  <si>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</si>
  <si>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</si>
  <si>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</si>
  <si>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</si>
  <si>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</si>
  <si>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</si>
  <si>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</si>
  <si>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</si>
  <si>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</si>
  <si>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</si>
  <si>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</si>
  <si>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</si>
  <si>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</si>
  <si>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</si>
  <si>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</si>
  <si>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</si>
  <si>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</si>
  <si>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</si>
  <si>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</si>
  <si>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</si>
  <si>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</si>
  <si>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</si>
  <si>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</si>
  <si>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</si>
  <si>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</si>
  <si>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</si>
  <si>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</si>
  <si>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</si>
  <si>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</si>
  <si>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</si>
  <si>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</si>
  <si>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</si>
  <si>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</si>
  <si>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</si>
  <si>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</si>
  <si>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</si>
  <si>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</si>
  <si>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</si>
  <si>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</si>
  <si>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</si>
  <si>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</si>
  <si>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</si>
  <si>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</si>
  <si>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</si>
  <si>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</si>
  <si>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</si>
  <si>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</si>
  <si>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</si>
  <si>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</si>
  <si>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</si>
  <si>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</si>
  <si>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</si>
  <si>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</si>
  <si>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</si>
  <si>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</si>
  <si>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</si>
  <si>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</si>
  <si>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</si>
  <si>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</si>
  <si>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</si>
  <si>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</si>
  <si>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</si>
  <si>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</si>
  <si>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</si>
  <si>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</si>
  <si>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</si>
  <si>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</si>
  <si>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</si>
  <si>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</si>
  <si>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</si>
  <si>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</si>
  <si>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</si>
  <si>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</si>
  <si>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</si>
  <si>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</si>
  <si>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</si>
  <si>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</si>
  <si>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</si>
  <si>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</si>
  <si>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</si>
  <si>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</si>
  <si>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</si>
  <si>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</si>
  <si>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</si>
  <si>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</si>
  <si>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</si>
  <si>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</si>
  <si>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</si>
  <si>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</si>
  <si>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</si>
  <si>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</si>
  <si>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</si>
  <si>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</si>
  <si>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</si>
  <si>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</si>
  <si>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</si>
  <si>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</si>
  <si>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</si>
  <si>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</si>
  <si>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</si>
  <si>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</si>
  <si>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</si>
  <si>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</si>
  <si>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</si>
  <si>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</si>
  <si>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</si>
  <si>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</si>
  <si>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</si>
  <si>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</si>
  <si>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</si>
  <si>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</si>
  <si>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</si>
  <si>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</si>
  <si>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</si>
  <si>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</si>
  <si>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</si>
  <si>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</si>
  <si>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</si>
  <si>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</si>
  <si>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</si>
  <si>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</si>
  <si>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</si>
  <si>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</si>
  <si>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</si>
  <si>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</si>
  <si>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</si>
  <si>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</si>
  <si>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</si>
  <si>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</si>
  <si>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</si>
  <si>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</si>
  <si>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</si>
  <si>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</si>
  <si>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</si>
  <si>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</si>
  <si>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</si>
  <si>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</si>
  <si>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</si>
  <si>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</si>
  <si>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</si>
  <si>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</si>
  <si>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</si>
  <si>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</si>
  <si>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</si>
  <si>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</si>
  <si>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</si>
  <si>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</si>
  <si>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</si>
  <si>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</si>
  <si>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</si>
  <si>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</si>
  <si>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</si>
  <si>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</si>
  <si>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</si>
  <si>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</si>
  <si>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</si>
  <si>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</si>
  <si>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</si>
  <si>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</si>
  <si>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</si>
  <si>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</si>
  <si>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</si>
  <si>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</si>
  <si>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</si>
  <si>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</si>
  <si>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</si>
  <si>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</si>
  <si>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</si>
  <si>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</si>
  <si>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</si>
  <si>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</si>
  <si>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</si>
  <si>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</si>
  <si>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</si>
  <si>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</si>
  <si>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</si>
  <si>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</si>
  <si>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</si>
  <si>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</si>
  <si>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</si>
  <si>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</si>
  <si>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</si>
  <si>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</si>
  <si>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</si>
  <si>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</si>
  <si>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</si>
  <si>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</si>
  <si>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</si>
  <si>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</si>
  <si>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</si>
  <si>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</si>
  <si>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</si>
  <si>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</si>
  <si>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</si>
  <si>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</si>
  <si>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</si>
  <si>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</si>
  <si>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</si>
  <si>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</si>
  <si>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</si>
  <si>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</si>
  <si>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</si>
  <si>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</si>
  <si>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</si>
  <si>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</si>
  <si>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</si>
  <si>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</si>
  <si>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</si>
  <si>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</si>
  <si>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</si>
  <si>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</si>
  <si>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</si>
  <si>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</si>
  <si>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</si>
  <si>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</si>
  <si>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</si>
  <si>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</si>
  <si>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</si>
  <si>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</si>
  <si>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</si>
  <si>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</si>
  <si>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</si>
  <si>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</si>
  <si>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</si>
  <si>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</si>
  <si>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</si>
  <si>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</si>
  <si>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</si>
  <si>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</si>
  <si>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</si>
  <si>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</si>
  <si>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</si>
  <si>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</si>
  <si>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</si>
  <si>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</si>
  <si>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</si>
  <si>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</si>
  <si>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</si>
  <si>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</si>
  <si>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</si>
  <si>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</si>
  <si>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</si>
  <si>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</si>
  <si>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</si>
  <si>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</si>
  <si>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</si>
  <si>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</si>
  <si>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</si>
  <si>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</si>
  <si>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</si>
  <si>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</si>
  <si>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</si>
  <si>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</si>
  <si>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</si>
  <si>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</si>
  <si>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</si>
  <si>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</si>
  <si>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</si>
  <si>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</si>
  <si>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</si>
  <si>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</si>
  <si>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</si>
  <si>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</si>
  <si>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</si>
  <si>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</si>
  <si>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</si>
  <si>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</si>
  <si>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</si>
  <si>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</si>
  <si>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</si>
  <si>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</si>
  <si>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</si>
  <si>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</si>
  <si>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</si>
  <si>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</si>
  <si>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</si>
  <si>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</si>
  <si>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</si>
  <si>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</si>
  <si>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</si>
  <si>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</si>
  <si>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</si>
  <si>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</si>
  <si>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</si>
  <si>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</si>
  <si>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</si>
  <si>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</si>
  <si>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</si>
  <si>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</si>
  <si>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</si>
  <si>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</si>
  <si>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</si>
  <si>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</si>
  <si>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</si>
  <si>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</si>
  <si>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</si>
  <si>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</si>
  <si>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</si>
  <si>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</si>
  <si>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</si>
  <si>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</si>
  <si>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</si>
  <si>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</si>
  <si>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</si>
  <si>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</si>
  <si>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</si>
  <si>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</si>
  <si>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</si>
  <si>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</si>
  <si>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</si>
  <si>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</si>
  <si>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</si>
  <si>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</si>
  <si>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</si>
  <si>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</si>
  <si>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</si>
  <si>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</si>
  <si>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</si>
  <si>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</si>
  <si>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</si>
  <si>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</si>
  <si>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</si>
  <si>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</si>
  <si>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</si>
  <si>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</si>
  <si>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</si>
  <si>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</si>
  <si>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</si>
  <si>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</si>
  <si>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</si>
  <si>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</si>
  <si>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</si>
  <si>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</si>
  <si>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</si>
  <si>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</si>
  <si>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</si>
  <si>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</si>
  <si>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</si>
  <si>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</si>
  <si>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</si>
  <si>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</si>
  <si>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</si>
  <si>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</si>
  <si>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</si>
  <si>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</si>
  <si>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</si>
  <si>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</si>
  <si>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</si>
  <si>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</si>
  <si>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</si>
  <si>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</si>
  <si>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</si>
  <si>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</si>
  <si>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</si>
  <si>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</si>
  <si>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</si>
  <si>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</si>
  <si>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</si>
  <si>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</si>
  <si>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</si>
  <si>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</si>
  <si>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</si>
  <si>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</si>
  <si>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</si>
  <si>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</si>
  <si>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</si>
  <si>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</si>
  <si>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</si>
  <si>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</si>
  <si>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</si>
  <si>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</si>
  <si>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</si>
  <si>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</si>
  <si>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</si>
  <si>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</si>
  <si>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</si>
  <si>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</si>
  <si>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</si>
  <si>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</si>
  <si>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</si>
  <si>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</si>
  <si>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</si>
  <si>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</si>
  <si>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</si>
  <si>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</si>
  <si>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</si>
  <si>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</si>
  <si>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</si>
  <si>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</si>
  <si>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</si>
  <si>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</si>
  <si>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</si>
  <si>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</si>
  <si>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</si>
  <si>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</si>
  <si>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</si>
  <si>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</si>
  <si>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</si>
  <si>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</si>
  <si>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</si>
  <si>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</si>
  <si>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</si>
  <si>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</si>
  <si>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</si>
  <si>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</si>
  <si>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</si>
  <si>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</si>
  <si>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</si>
  <si>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</si>
  <si>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</si>
  <si>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</si>
  <si>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</si>
  <si>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</si>
  <si>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</si>
  <si>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</si>
  <si>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</si>
  <si>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</si>
  <si>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</si>
  <si>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</si>
  <si>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</si>
  <si>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</si>
  <si>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</si>
  <si>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</si>
  <si>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</si>
  <si>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</si>
  <si>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</si>
  <si>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</si>
  <si>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</si>
  <si>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</si>
  <si>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</si>
  <si>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</si>
  <si>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</si>
  <si>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</si>
  <si>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</si>
  <si>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</si>
  <si>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</si>
  <si>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</si>
  <si>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</si>
  <si>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</si>
  <si>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</si>
  <si>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</si>
  <si>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</si>
  <si>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</si>
  <si>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</si>
  <si>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</si>
  <si>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</si>
  <si>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</si>
  <si>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</si>
  <si>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</si>
  <si>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</si>
  <si>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</si>
  <si>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</si>
  <si>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</si>
  <si>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</si>
  <si>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</si>
  <si>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</si>
  <si>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</si>
  <si>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</si>
  <si>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</si>
  <si>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</si>
  <si>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</si>
  <si>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</si>
  <si>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</si>
  <si>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</si>
  <si>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</si>
  <si>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</si>
  <si>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</si>
  <si>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</si>
  <si>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</si>
  <si>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</si>
  <si>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</si>
  <si>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</si>
  <si>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</si>
  <si>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</si>
  <si>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</si>
  <si>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</si>
  <si>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</si>
  <si>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</si>
  <si>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</si>
  <si>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</si>
  <si>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</si>
  <si>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</si>
  <si>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</si>
  <si>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</si>
  <si>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</si>
  <si>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</si>
  <si>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</si>
  <si>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</si>
  <si>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</si>
  <si>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</si>
  <si>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</si>
  <si>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</si>
  <si>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</si>
  <si>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</si>
  <si>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</si>
  <si>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</si>
  <si>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</si>
  <si>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</si>
  <si>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</si>
  <si>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</si>
  <si>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</si>
  <si>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</si>
  <si>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</si>
  <si>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</si>
  <si>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</si>
  <si>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</si>
  <si>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</si>
  <si>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</si>
  <si>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</si>
  <si>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</si>
  <si>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</si>
  <si>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</si>
  <si>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</si>
  <si>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</si>
  <si>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</si>
  <si>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</si>
  <si>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</si>
  <si>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</si>
  <si>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</si>
  <si>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</si>
  <si>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</si>
  <si>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</si>
  <si>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</si>
  <si>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</si>
  <si>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</si>
  <si>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</si>
  <si>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</si>
  <si>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</si>
  <si>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</si>
  <si>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</si>
  <si>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</si>
  <si>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</si>
  <si>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</si>
  <si>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</si>
  <si>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</si>
  <si>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</si>
  <si>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</si>
  <si>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</si>
  <si>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</si>
  <si>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</si>
  <si>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</si>
  <si>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</si>
  <si>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</si>
  <si>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</si>
  <si>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</si>
  <si>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</si>
  <si>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</si>
  <si>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</si>
  <si>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</si>
  <si>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</si>
  <si>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</si>
  <si>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</si>
  <si>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</si>
  <si>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</si>
  <si>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</si>
  <si>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</si>
  <si>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</si>
  <si>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</si>
  <si>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</si>
  <si>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</si>
  <si>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</si>
  <si>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</si>
  <si>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</si>
  <si>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</si>
  <si>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</si>
  <si>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</si>
  <si>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</si>
  <si>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</si>
  <si>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</si>
  <si>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</si>
  <si>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</si>
  <si>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</si>
  <si>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</si>
  <si>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</si>
  <si>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</si>
  <si>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</si>
  <si>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</si>
  <si>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</si>
  <si>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</si>
  <si>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</si>
  <si>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</si>
  <si>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</si>
  <si>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</si>
  <si>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</si>
  <si>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</si>
  <si>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</si>
  <si>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</si>
  <si>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</si>
  <si>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</si>
  <si>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</si>
  <si>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</si>
  <si>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</si>
  <si>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</si>
  <si>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</si>
  <si>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</si>
  <si>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</si>
  <si>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</si>
  <si>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</si>
  <si>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</si>
  <si>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</si>
  <si>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</si>
  <si>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</si>
  <si>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</si>
  <si>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</si>
  <si>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</si>
  <si>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</si>
  <si>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</si>
  <si>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</si>
  <si>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</si>
  <si>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</si>
  <si>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</si>
  <si>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</si>
  <si>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</si>
  <si>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</si>
  <si>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</si>
  <si>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</si>
  <si>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</si>
  <si>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</si>
  <si>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</si>
  <si>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</si>
  <si>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</si>
  <si>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</si>
  <si>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</si>
  <si>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</si>
  <si>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</si>
  <si>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</si>
  <si>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</si>
  <si>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</si>
  <si>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</si>
  <si>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</si>
  <si>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</si>
  <si>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</si>
  <si>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</si>
  <si>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</si>
  <si>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</si>
  <si>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</si>
  <si>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</si>
  <si>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</si>
  <si>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</si>
  <si>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</si>
  <si>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</si>
  <si>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</si>
  <si>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</si>
  <si>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</si>
  <si>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</si>
  <si>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</si>
  <si>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</si>
  <si>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</si>
  <si>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</si>
  <si>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</si>
  <si>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</si>
  <si>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</si>
  <si>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</si>
  <si>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</si>
  <si>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</si>
  <si>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</si>
  <si>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</si>
  <si>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</si>
  <si>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</si>
  <si>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</si>
  <si>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</si>
  <si>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</si>
  <si>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</si>
  <si>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</si>
  <si>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</si>
  <si>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</si>
  <si>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</si>
  <si>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</si>
  <si>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</si>
  <si>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</si>
  <si>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</si>
  <si>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</si>
  <si>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</si>
  <si>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</si>
  <si>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</si>
  <si>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</si>
  <si>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</si>
  <si>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</si>
  <si>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</si>
  <si>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</si>
  <si>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</si>
  <si>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</si>
  <si>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</si>
  <si>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</si>
  <si>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</si>
  <si>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</si>
  <si>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</si>
  <si>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</si>
  <si>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</si>
  <si>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</si>
  <si>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</si>
  <si>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</si>
  <si>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</si>
  <si>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</si>
  <si>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</si>
  <si>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</si>
  <si>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</si>
  <si>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</si>
  <si>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</si>
  <si>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</si>
  <si>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</si>
  <si>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</si>
  <si>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</si>
  <si>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</si>
  <si>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</si>
  <si>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</si>
  <si>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</si>
  <si>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</si>
  <si>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</si>
  <si>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</si>
  <si>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</si>
  <si>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</si>
  <si>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</si>
  <si>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</si>
  <si>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</si>
  <si>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</si>
  <si>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</si>
  <si>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</si>
  <si>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</si>
  <si>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</si>
  <si>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</si>
  <si>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</si>
  <si>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</si>
  <si>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</si>
  <si>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</si>
  <si>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</si>
  <si>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</si>
  <si>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</si>
  <si>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</si>
  <si>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</si>
  <si>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</si>
  <si>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</si>
  <si>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</si>
  <si>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</si>
  <si>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</si>
  <si>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</si>
  <si>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</si>
  <si>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</si>
  <si>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</si>
  <si>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</si>
  <si>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</si>
  <si>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</si>
  <si>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</si>
  <si>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</si>
  <si>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</si>
  <si>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</si>
  <si>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</si>
  <si>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</si>
  <si>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</si>
  <si>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</si>
  <si>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</si>
  <si>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</si>
  <si>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</si>
  <si>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</si>
  <si>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</si>
  <si>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</si>
  <si>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</si>
  <si>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</si>
  <si>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</si>
  <si>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</si>
  <si>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</si>
  <si>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</si>
  <si>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</si>
  <si>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</si>
  <si>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</si>
  <si>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</si>
  <si>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</si>
  <si>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</si>
  <si>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</si>
  <si>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</si>
  <si>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</si>
  <si>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</si>
  <si>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</si>
  <si>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</si>
  <si>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</si>
  <si>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</si>
  <si>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</si>
  <si>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</si>
  <si>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</si>
  <si>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</si>
  <si>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</si>
  <si>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</si>
  <si>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</si>
  <si>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</si>
  <si>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</si>
  <si>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</si>
  <si>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</si>
  <si>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</si>
  <si>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</si>
  <si>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</si>
  <si>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</si>
  <si>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</si>
  <si>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</si>
  <si>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</si>
  <si>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</si>
  <si>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</si>
  <si>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</si>
  <si>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</si>
  <si>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</si>
  <si>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</si>
  <si>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</si>
  <si>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</si>
  <si>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</si>
  <si>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</si>
  <si>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</si>
  <si>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</si>
  <si>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</si>
  <si>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</si>
  <si>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</si>
  <si>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</si>
  <si>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</si>
  <si>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</si>
  <si>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</si>
  <si>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</si>
  <si>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</si>
  <si>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</si>
  <si>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</si>
  <si>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</si>
  <si>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</si>
  <si>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</si>
  <si>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</si>
  <si>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</si>
  <si>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</si>
  <si>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</si>
  <si>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</si>
  <si>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</si>
  <si>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</si>
  <si>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</si>
  <si>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</si>
  <si>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</si>
  <si>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</si>
  <si>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</si>
  <si>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</si>
  <si>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</si>
  <si>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</si>
  <si>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</si>
  <si>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</si>
  <si>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</si>
  <si>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</si>
  <si>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</si>
  <si>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</si>
  <si>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</si>
  <si>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</si>
  <si>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</si>
  <si>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</si>
  <si>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</si>
  <si>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</si>
  <si>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</si>
  <si>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</si>
  <si>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</si>
  <si>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</si>
  <si>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</si>
  <si>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</si>
  <si>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</si>
  <si>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</si>
  <si>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</si>
  <si>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</si>
  <si>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</si>
  <si>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</si>
  <si>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</si>
  <si>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</si>
  <si>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</si>
  <si>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</si>
  <si>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</si>
  <si>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</si>
  <si>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</si>
  <si>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</si>
  <si>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</si>
  <si>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</si>
  <si>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</si>
  <si>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</si>
  <si>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</si>
  <si>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</si>
  <si>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</si>
  <si>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</si>
  <si>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</si>
  <si>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</si>
  <si>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</si>
  <si>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</si>
  <si>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</si>
  <si>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</si>
  <si>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</si>
  <si>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</si>
  <si>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</si>
  <si>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</si>
  <si>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</si>
  <si>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</si>
  <si>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</si>
  <si>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</si>
  <si>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</si>
  <si>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</si>
  <si>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</si>
  <si>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</si>
  <si>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</si>
  <si>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</si>
  <si>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</si>
  <si>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</si>
  <si>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</si>
  <si>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</si>
  <si>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</si>
  <si>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</si>
  <si>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</si>
  <si>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</si>
  <si>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</si>
  <si>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</si>
  <si>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</si>
  <si>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</si>
  <si>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</si>
  <si>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</si>
  <si>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</si>
  <si>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</si>
  <si>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</si>
  <si>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</si>
  <si>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</si>
  <si>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</si>
  <si>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</si>
  <si>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</si>
  <si>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</si>
  <si>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</si>
  <si>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</si>
  <si>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</si>
  <si>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</si>
  <si>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</si>
  <si>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</si>
  <si>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</si>
  <si>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</si>
  <si>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</si>
  <si>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</si>
  <si>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</si>
  <si>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</si>
  <si>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</si>
  <si>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</si>
  <si>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</si>
  <si>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</si>
  <si>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</si>
  <si>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</si>
  <si>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</si>
  <si>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</si>
  <si>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</si>
  <si>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</si>
  <si>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</si>
  <si>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</si>
  <si>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</si>
  <si>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</si>
  <si>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</si>
  <si>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</si>
  <si>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</si>
  <si>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</si>
  <si>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</si>
  <si>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</si>
  <si>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</si>
  <si>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</si>
  <si>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</si>
  <si>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</si>
  <si>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</si>
  <si>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</si>
  <si>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</si>
  <si>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</si>
  <si>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</si>
  <si>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</si>
  <si>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</si>
  <si>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</si>
  <si>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</si>
  <si>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</si>
  <si>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</si>
  <si>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</si>
  <si>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</si>
  <si>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</si>
  <si>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</si>
  <si>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</si>
  <si>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</si>
  <si>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</si>
  <si>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</si>
  <si>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</si>
  <si>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</si>
  <si>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</si>
  <si>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</si>
  <si>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</si>
  <si>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</si>
  <si>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</si>
  <si>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</si>
  <si>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</si>
  <si>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</si>
  <si>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</si>
  <si>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</si>
  <si>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</si>
  <si>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</si>
  <si>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</si>
  <si>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</si>
  <si>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</si>
  <si>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</si>
  <si>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</si>
  <si>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</si>
  <si>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</si>
  <si>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</si>
  <si>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</si>
  <si>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</si>
  <si>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</si>
  <si>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</si>
  <si>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</si>
  <si>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</si>
  <si>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</si>
  <si>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</si>
  <si>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</si>
  <si>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</si>
  <si>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</si>
  <si>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</si>
  <si>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</si>
  <si>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</si>
  <si>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</si>
  <si>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</si>
  <si>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</si>
  <si>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</si>
  <si>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</si>
  <si>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</si>
  <si>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</si>
  <si>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</si>
  <si>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</si>
  <si>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</si>
  <si>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</si>
  <si>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</si>
  <si>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</si>
  <si>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</si>
  <si>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</si>
  <si>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</si>
  <si>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</si>
  <si>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</si>
  <si>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</si>
  <si>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</si>
  <si>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</si>
  <si>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</si>
  <si>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</si>
  <si>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</si>
  <si>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</si>
  <si>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</si>
  <si>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</si>
  <si>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</si>
  <si>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</si>
  <si>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</si>
  <si>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</si>
  <si>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</si>
  <si>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</si>
  <si>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</si>
  <si>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</si>
  <si>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</si>
  <si>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</si>
  <si>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</si>
  <si>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</si>
  <si>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</si>
  <si>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</si>
  <si>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</si>
  <si>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</si>
  <si>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</si>
  <si>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</si>
  <si>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</si>
  <si>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</si>
  <si>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</si>
  <si>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</si>
  <si>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</si>
  <si>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</si>
  <si>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</si>
  <si>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</si>
  <si>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</si>
  <si>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</si>
  <si>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</si>
  <si>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</si>
  <si>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</si>
  <si>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</si>
  <si>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</si>
  <si>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</si>
  <si>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</si>
  <si>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</si>
  <si>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</si>
  <si>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</si>
  <si>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</si>
  <si>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</si>
  <si>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</si>
  <si>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</si>
  <si>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</si>
  <si>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</si>
  <si>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</si>
  <si>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</si>
  <si>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</si>
  <si>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</si>
  <si>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</si>
  <si>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</si>
  <si>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</si>
  <si>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</si>
  <si>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</si>
  <si>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</si>
  <si>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</si>
  <si>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</si>
  <si>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</si>
  <si>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</si>
  <si>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</si>
  <si>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</si>
  <si>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</si>
  <si>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</si>
  <si>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</si>
  <si>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</si>
  <si>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</si>
  <si>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</si>
  <si>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</si>
  <si>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</si>
  <si>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</si>
  <si>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</si>
  <si>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</si>
  <si>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</si>
  <si>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</si>
  <si>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</si>
  <si>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</si>
  <si>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</si>
  <si>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</si>
  <si>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</si>
  <si>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</si>
  <si>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</si>
  <si>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</si>
  <si>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</si>
  <si>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</si>
  <si>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</si>
  <si>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</si>
  <si>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</si>
  <si>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</si>
  <si>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</si>
  <si>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</si>
  <si>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</si>
  <si>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</si>
  <si>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</si>
  <si>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</si>
  <si>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</si>
  <si>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</si>
  <si>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</si>
  <si>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</si>
  <si>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</si>
  <si>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</si>
  <si>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</si>
  <si>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</si>
  <si>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</si>
  <si>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</si>
  <si>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</si>
  <si>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</si>
  <si>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</si>
  <si>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</si>
  <si>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</si>
  <si>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</si>
  <si>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</si>
  <si>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</si>
  <si>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</si>
  <si>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</si>
  <si>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</si>
  <si>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</si>
  <si>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</si>
  <si>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</si>
  <si>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</si>
  <si>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</si>
  <si>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</si>
  <si>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</si>
  <si>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</si>
  <si>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</si>
  <si>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</si>
  <si>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</si>
  <si>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</si>
  <si>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</si>
  <si>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</si>
  <si>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</si>
  <si>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</si>
  <si>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</si>
  <si>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</si>
  <si>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</si>
  <si>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</si>
  <si>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</si>
  <si>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</si>
  <si>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</si>
  <si>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</si>
  <si>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</si>
  <si>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</si>
  <si>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</si>
  <si>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</si>
  <si>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</si>
  <si>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</si>
  <si>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</si>
  <si>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</si>
  <si>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</si>
  <si>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</si>
  <si>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</si>
  <si>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</si>
  <si>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</si>
  <si>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</si>
  <si>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</si>
  <si>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</si>
  <si>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</si>
  <si>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</si>
  <si>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</si>
  <si>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</si>
  <si>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</si>
  <si>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</si>
  <si>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</si>
  <si>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</si>
  <si>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</si>
  <si>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</si>
  <si>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</si>
  <si>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</si>
  <si>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</si>
  <si>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</si>
  <si>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</si>
  <si>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</si>
  <si>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</si>
  <si>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</si>
  <si>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</si>
  <si>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</si>
  <si>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</si>
  <si>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</si>
  <si>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</si>
  <si>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</si>
  <si>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</si>
  <si>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</si>
  <si>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</si>
  <si>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</si>
  <si>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</si>
  <si>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</si>
  <si>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</si>
  <si>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</si>
  <si>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</si>
  <si>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</si>
  <si>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</si>
  <si>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</si>
  <si>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</si>
  <si>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</si>
  <si>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</si>
  <si>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</si>
  <si>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</si>
  <si>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</si>
  <si>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</si>
  <si>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</si>
  <si>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</si>
  <si>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</si>
  <si>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</si>
  <si>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</si>
  <si>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</si>
  <si>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</si>
  <si>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</si>
  <si>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</si>
  <si>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</si>
  <si>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</si>
  <si>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</si>
  <si>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</si>
  <si>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</si>
  <si>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</si>
  <si>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</si>
  <si>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</si>
  <si>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</si>
  <si>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</si>
  <si>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</si>
  <si>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</si>
  <si>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</si>
  <si>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</si>
  <si>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</si>
  <si>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</si>
  <si>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</si>
  <si>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</si>
  <si>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</si>
  <si>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</si>
  <si>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</si>
  <si>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</si>
  <si>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</si>
  <si>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</si>
  <si>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</si>
  <si>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</si>
  <si>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</si>
  <si>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</si>
  <si>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</si>
  <si>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</si>
  <si>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</si>
  <si>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</si>
  <si>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</si>
  <si>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</si>
  <si>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</si>
  <si>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</si>
  <si>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</si>
  <si>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</si>
  <si>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</si>
  <si>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</si>
  <si>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</si>
  <si>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</si>
  <si>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</si>
  <si>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</si>
  <si>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</si>
  <si>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</si>
  <si>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</si>
  <si>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</si>
  <si>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</si>
  <si>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</si>
  <si>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</si>
  <si>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</si>
  <si>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</si>
  <si>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</si>
  <si>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</si>
  <si>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</si>
  <si>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</si>
  <si>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</si>
  <si>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</si>
  <si>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</si>
  <si>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</si>
  <si>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</si>
  <si>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</si>
  <si>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</si>
  <si>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</si>
  <si>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</si>
  <si>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</si>
  <si>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</si>
  <si>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</si>
  <si>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</si>
  <si>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</si>
  <si>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</si>
  <si>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</si>
  <si>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</si>
  <si>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</si>
  <si>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</si>
  <si>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</si>
  <si>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</si>
  <si>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</si>
  <si>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</si>
  <si>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</si>
  <si>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</si>
  <si>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</si>
  <si>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</si>
  <si>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</si>
  <si>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</si>
  <si>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</si>
  <si>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</si>
  <si>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</si>
  <si>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</si>
  <si>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</si>
  <si>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</si>
  <si>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</si>
  <si>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</si>
  <si>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</si>
  <si>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</si>
  <si>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</si>
  <si>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</si>
  <si>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</si>
  <si>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</si>
  <si>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</si>
  <si>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</si>
  <si>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</si>
  <si>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</si>
  <si>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</si>
  <si>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</si>
  <si>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</si>
  <si>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</si>
  <si>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</si>
  <si>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</si>
  <si>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</si>
  <si>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</si>
  <si>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</si>
  <si>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</si>
  <si>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</si>
  <si>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</si>
  <si>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</si>
  <si>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</si>
  <si>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</si>
  <si>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</si>
  <si>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</si>
  <si>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</si>
  <si>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</si>
  <si>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</si>
  <si>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</si>
  <si>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</si>
  <si>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</si>
  <si>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</si>
  <si>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</si>
  <si>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</si>
  <si>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</si>
  <si>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</si>
  <si>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</si>
  <si>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</si>
  <si>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</si>
  <si>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</si>
  <si>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</si>
  <si>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</si>
  <si>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</si>
  <si>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</si>
  <si>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</si>
  <si>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</si>
  <si>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</si>
  <si>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</si>
  <si>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</si>
  <si>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</si>
  <si>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</si>
  <si>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</si>
  <si>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</si>
  <si>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</si>
  <si>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</si>
  <si>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</si>
  <si>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</si>
  <si>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</si>
  <si>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</si>
  <si>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</si>
  <si>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</si>
  <si>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</si>
  <si>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</si>
  <si>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</si>
  <si>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</si>
  <si>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</si>
  <si>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</si>
  <si>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</si>
  <si>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</si>
  <si>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</si>
  <si>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</si>
  <si>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</si>
  <si>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</si>
  <si>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</si>
  <si>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</si>
  <si>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</si>
  <si>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</si>
  <si>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</si>
  <si>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</si>
  <si>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</si>
  <si>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</si>
  <si>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</si>
  <si>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</si>
  <si>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</si>
  <si>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</si>
  <si>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</si>
  <si>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</si>
  <si>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</si>
  <si>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</si>
  <si>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</si>
  <si>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</si>
  <si>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</si>
  <si>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</si>
  <si>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</si>
  <si>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</si>
  <si>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</si>
  <si>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</si>
  <si>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</si>
  <si>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</si>
  <si>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</si>
  <si>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</si>
  <si>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</si>
  <si>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</si>
  <si>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</si>
  <si>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</si>
  <si>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</si>
  <si>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</si>
  <si>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</si>
  <si>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</si>
  <si>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</si>
  <si>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</si>
  <si>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</si>
  <si>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</si>
  <si>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</si>
  <si>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</si>
  <si>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</si>
  <si>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</si>
  <si>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</si>
  <si>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</si>
  <si>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</si>
  <si>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</si>
  <si>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</si>
  <si>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</si>
  <si>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</si>
  <si>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</si>
  <si>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</si>
  <si>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</si>
  <si>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</si>
  <si>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</si>
  <si>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</si>
  <si>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</si>
  <si>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</si>
  <si>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</si>
  <si>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</si>
  <si>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</si>
  <si>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</si>
  <si>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</si>
  <si>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</si>
  <si>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</si>
  <si>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</si>
  <si>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</si>
  <si>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</si>
  <si>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</si>
  <si>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</si>
  <si>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</si>
  <si>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</si>
  <si>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</si>
  <si>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</si>
  <si>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</si>
  <si>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</si>
  <si>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</si>
  <si>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</si>
  <si>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</si>
  <si>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</si>
  <si>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</si>
  <si>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</si>
  <si>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</si>
  <si>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</si>
  <si>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</si>
  <si>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</si>
  <si>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</si>
  <si>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</si>
  <si>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</si>
  <si>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</si>
  <si>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</si>
  <si>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</si>
  <si>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</si>
  <si>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</si>
  <si>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</si>
  <si>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</si>
  <si>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</si>
  <si>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</si>
  <si>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</si>
  <si>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</si>
  <si>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</si>
  <si>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</si>
  <si>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</si>
  <si>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</si>
  <si>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</si>
  <si>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</si>
  <si>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</si>
  <si>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</si>
  <si>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</si>
  <si>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</si>
  <si>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</si>
  <si>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</si>
  <si>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</si>
  <si>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</si>
  <si>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</si>
  <si>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</si>
  <si>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</si>
  <si>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</si>
  <si>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</si>
  <si>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</si>
  <si>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</si>
  <si>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</si>
  <si>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</si>
  <si>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</si>
  <si>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</si>
  <si>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</si>
  <si>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</si>
  <si>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</si>
  <si>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</si>
  <si>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</si>
  <si>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</si>
  <si>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</si>
  <si>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</si>
  <si>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</si>
  <si>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</si>
  <si>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</si>
  <si>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</si>
  <si>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</si>
  <si>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</si>
  <si>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</si>
  <si>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</si>
  <si>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</si>
  <si>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</si>
  <si>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</si>
  <si>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</si>
  <si>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</si>
  <si>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</si>
  <si>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</si>
  <si>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</si>
  <si>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</si>
  <si>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</si>
  <si>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</si>
  <si>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</si>
  <si>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</si>
  <si>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</si>
  <si>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</si>
  <si>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</si>
  <si>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</si>
  <si>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</si>
  <si>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</si>
  <si>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</si>
  <si>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</si>
  <si>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</si>
  <si>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</si>
  <si>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</si>
  <si>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</si>
  <si>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</si>
  <si>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</si>
  <si>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</si>
  <si>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</si>
  <si>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</si>
  <si>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</si>
  <si>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</si>
  <si>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</si>
  <si>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</si>
  <si>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</si>
  <si>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</si>
  <si>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</si>
  <si>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</si>
  <si>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</si>
  <si>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</si>
  <si>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</si>
  <si>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</si>
  <si>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</si>
  <si>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</si>
  <si>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</si>
  <si>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</si>
  <si>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</si>
  <si>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</si>
  <si>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</si>
  <si>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</si>
  <si>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</si>
  <si>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</si>
  <si>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</si>
  <si>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</si>
  <si>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</si>
  <si>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</si>
  <si>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</si>
  <si>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</si>
  <si>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</si>
  <si>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</si>
  <si>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</si>
  <si>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</si>
  <si>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</si>
  <si>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</si>
  <si>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</si>
  <si>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</si>
  <si>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</si>
  <si>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</si>
  <si>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</si>
  <si>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</si>
  <si>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</si>
  <si>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</si>
  <si>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</si>
  <si>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</si>
  <si>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</si>
  <si>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</si>
  <si>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</si>
  <si>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</si>
  <si>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</si>
  <si>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</si>
  <si>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</si>
  <si>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</si>
  <si>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</si>
  <si>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</si>
  <si>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</si>
  <si>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</si>
  <si>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</si>
  <si>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</si>
  <si>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</si>
  <si>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</si>
  <si>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</si>
  <si>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</si>
  <si>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</si>
  <si>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</si>
  <si>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</si>
  <si>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</si>
  <si>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</si>
  <si>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</si>
  <si>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</si>
  <si>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</si>
  <si>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</si>
  <si>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</si>
  <si>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</si>
  <si>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</si>
  <si>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</si>
  <si>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</si>
  <si>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</si>
  <si>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</si>
  <si>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</si>
  <si>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</si>
  <si>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</si>
  <si>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</si>
  <si>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</si>
  <si>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</si>
  <si>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</si>
  <si>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</si>
  <si>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</si>
  <si>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</si>
  <si>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</si>
  <si>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</si>
  <si>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</si>
  <si>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</si>
  <si>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</si>
  <si>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</si>
  <si>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</si>
  <si>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</si>
  <si>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</si>
  <si>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</si>
  <si>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</si>
  <si>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</si>
  <si>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</si>
  <si>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</si>
  <si>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</si>
  <si>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</si>
  <si>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</si>
  <si>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</si>
  <si>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</si>
  <si>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</si>
  <si>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</si>
  <si>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</si>
  <si>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</si>
  <si>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</si>
  <si>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</si>
  <si>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</si>
  <si>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</si>
  <si>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</si>
  <si>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</si>
  <si>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</si>
  <si>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</si>
  <si>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</si>
  <si>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</si>
  <si>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</si>
  <si>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</si>
  <si>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</si>
  <si>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</si>
  <si>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</si>
  <si>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</si>
  <si>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</si>
  <si>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</si>
  <si>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</si>
  <si>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</si>
  <si>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</si>
  <si>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</si>
  <si>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</si>
  <si>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</si>
  <si>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</si>
  <si>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</si>
  <si>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</si>
  <si>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</si>
  <si>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</si>
  <si>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</si>
  <si>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</si>
  <si>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</si>
  <si>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</si>
  <si>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</si>
  <si>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</si>
  <si>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</si>
  <si>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</si>
  <si>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</si>
  <si>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</si>
  <si>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</si>
  <si>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</si>
  <si>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</si>
  <si>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</si>
  <si>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</si>
  <si>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</si>
  <si>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</si>
  <si>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</si>
  <si>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</si>
  <si>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</si>
  <si>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</si>
  <si>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</si>
  <si>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</si>
  <si>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</si>
  <si>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</si>
  <si>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</si>
  <si>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</si>
  <si>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</si>
  <si>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</si>
  <si>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</si>
  <si>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</si>
  <si>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</si>
  <si>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</si>
  <si>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</si>
  <si>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</si>
  <si>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</si>
  <si>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</si>
  <si>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</si>
  <si>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</si>
  <si>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</si>
  <si>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</si>
  <si>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</si>
  <si>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</si>
  <si>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</si>
  <si>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</si>
  <si>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</si>
  <si>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</si>
  <si>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</si>
  <si>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</si>
  <si>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</si>
  <si>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</si>
  <si>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</si>
  <si>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</si>
  <si>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</si>
  <si>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</si>
  <si>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</si>
  <si>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</si>
  <si>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</si>
  <si>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</si>
  <si>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</si>
  <si>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</si>
  <si>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</si>
  <si>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</si>
  <si>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</si>
  <si>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</si>
  <si>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</si>
  <si>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</si>
  <si>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</si>
  <si>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</si>
  <si>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</si>
  <si>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</si>
  <si>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</si>
  <si>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</si>
  <si>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</si>
  <si>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</si>
  <si>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</si>
  <si>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</si>
  <si>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</si>
  <si>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</si>
  <si>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</si>
  <si>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</si>
  <si>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</si>
  <si>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</si>
  <si>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</si>
  <si>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</si>
  <si>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</si>
  <si>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</si>
  <si>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</si>
  <si>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</si>
  <si>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</si>
  <si>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</si>
  <si>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</si>
  <si>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</si>
  <si>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</si>
  <si>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</si>
  <si>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</si>
  <si>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</si>
  <si>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</si>
  <si>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</si>
  <si>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</si>
  <si>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</si>
  <si>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</si>
  <si>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</si>
  <si>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</si>
  <si>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</si>
  <si>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</si>
  <si>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</si>
  <si>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</si>
  <si>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</si>
  <si>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</si>
  <si>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</si>
  <si>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</si>
  <si>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</si>
  <si>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</si>
  <si>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</si>
  <si>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</si>
  <si>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</si>
  <si>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</si>
  <si>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</si>
  <si>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</si>
  <si>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</si>
  <si>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</si>
  <si>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</si>
  <si>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</si>
  <si>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</si>
  <si>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</si>
  <si>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</si>
  <si>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</si>
  <si>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</si>
  <si>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</si>
  <si>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</si>
  <si>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</si>
  <si>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</si>
  <si>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</si>
  <si>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</si>
  <si>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</si>
  <si>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</si>
  <si>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</si>
  <si>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</si>
  <si>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</si>
  <si>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</si>
  <si>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</si>
  <si>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</si>
  <si>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</si>
  <si>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</si>
  <si>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</si>
  <si>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</si>
  <si>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</si>
  <si>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</si>
  <si>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</si>
  <si>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</si>
  <si>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</si>
  <si>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</si>
  <si>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</si>
  <si>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</si>
  <si>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</si>
  <si>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</si>
  <si>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</si>
  <si>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</si>
  <si>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</si>
  <si>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</si>
  <si>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</si>
  <si>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</si>
  <si>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</si>
  <si>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</si>
  <si>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</si>
  <si>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</si>
  <si>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</si>
  <si>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</si>
  <si>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</si>
  <si>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</si>
  <si>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</si>
  <si>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</si>
  <si>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</si>
  <si>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</si>
  <si>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</si>
  <si>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</si>
  <si>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</si>
  <si>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</si>
  <si>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</si>
  <si>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</si>
  <si>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</si>
  <si>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</si>
  <si>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</si>
  <si>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</si>
  <si>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</si>
  <si>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</si>
  <si>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</si>
  <si>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</si>
  <si>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</si>
  <si>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</si>
  <si>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</si>
  <si>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</si>
  <si>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</si>
  <si>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</si>
  <si>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</si>
  <si>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</si>
  <si>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</si>
  <si>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</si>
  <si>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</si>
  <si>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</si>
  <si>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</si>
  <si>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</si>
  <si>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</si>
  <si>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</si>
  <si>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</si>
  <si>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</si>
  <si>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</si>
  <si>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</si>
  <si>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</si>
  <si>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</si>
  <si>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</si>
  <si>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</si>
  <si>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</si>
  <si>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</si>
  <si>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</si>
  <si>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</si>
  <si>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</si>
  <si>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</si>
  <si>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</si>
  <si>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</si>
  <si>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</si>
  <si>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</si>
  <si>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</si>
  <si>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</si>
  <si>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</si>
  <si>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</si>
  <si>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</si>
  <si>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</si>
  <si>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</si>
  <si>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</si>
  <si>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</si>
  <si>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</si>
  <si>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</si>
  <si>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</si>
  <si>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</si>
  <si>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</si>
  <si>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</si>
  <si>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</si>
  <si>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</si>
  <si>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</si>
  <si>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</si>
  <si>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</si>
  <si>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</si>
  <si>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</si>
  <si>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</si>
  <si>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</si>
  <si>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</si>
  <si>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</si>
  <si>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</si>
  <si>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</si>
  <si>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</si>
  <si>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</si>
  <si>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</si>
  <si>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HEH2601282</t>
  </si>
  <si>
    <t>2624S</t>
  </si>
  <si>
    <t>CAAU5985640</t>
  </si>
  <si>
    <t>TBKKOS2609001</t>
  </si>
  <si>
    <t>V-054N</t>
  </si>
  <si>
    <t>50 BALES</t>
  </si>
  <si>
    <t>STPHCMPNH269024</t>
  </si>
  <si>
    <t>BY INLAND</t>
  </si>
  <si>
    <t>I 141062</t>
  </si>
  <si>
    <t>I 143202</t>
  </si>
  <si>
    <t>I 143201</t>
  </si>
  <si>
    <t>I 143198</t>
  </si>
  <si>
    <t>I 144276</t>
  </si>
  <si>
    <t>STPHKGSIH269044</t>
  </si>
  <si>
    <t>1PKGS</t>
  </si>
  <si>
    <t>4-1Z78001A6797852376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</si>
</sst>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\-yyyy"/>
    <numFmt numFmtId="165" formatCode="#,###\ &quot;KGS&quot;"/>
    <numFmt numFmtId="166" formatCode="[$-409]d\-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0"/>
      <color theme="1"/>
      <name val="Times New Roman"/>
    </font>
    <font>
      <sz val="11"/>
      <color theme="2" tint="-0.89999084444715716"/>
      <name val="Calibri"/>
      <scheme val="minor"/>
    </font>
    <font>
      <sz val="10"/>
      <color theme="0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166" fontId="0" fillId="0" borderId="0"/>
    <xf numFmtId="166" fontId="3" fillId="0" borderId="0"/>
    <xf numFmtId="166" fontId="4" fillId="0" borderId="0" applyNumberFormat="0" applyFill="0" applyBorder="0" applyAlignment="0" applyProtection="0"/>
  </cellStyleXfs>
  <cellXfs count="149">
    <xf numFmtId="166" fontId="0" fillId="0" borderId="0" xfId="0"/>
    <xf numFmtId="166" fontId="1" fillId="2" borderId="0" xfId="0" applyFont="1" applyFill="1" applyAlignment="1">
      <alignment horizontal="center" vertical="center"/>
    </xf>
    <xf numFmtId="166" fontId="0" fillId="0" borderId="0" xfId="0" applyAlignment="1">
      <alignment horizontal="center" vertical="center"/>
    </xf>
    <xf numFmtId="166" fontId="2" fillId="0" borderId="1" xfId="0" quotePrefix="1" applyFont="1" applyBorder="1" applyAlignment="1">
      <alignment horizontal="center" vertical="center"/>
    </xf>
    <xf numFmtId="166" fontId="2" fillId="0" borderId="1" xfId="0" applyFont="1" applyBorder="1" applyAlignment="1">
      <alignment horizontal="center" vertical="center"/>
    </xf>
    <xf numFmtId="166" fontId="2" fillId="0" borderId="2" xfId="0" applyFont="1" applyBorder="1" applyAlignment="1">
      <alignment horizontal="center" vertical="center"/>
    </xf>
    <xf numFmtId="166" fontId="2" fillId="0" borderId="2" xfId="0" applyFont="1" applyFill="1" applyBorder="1" applyAlignment="1">
      <alignment horizontal="center" vertical="center"/>
    </xf>
    <xf numFmtId="166" fontId="2" fillId="0" borderId="1" xfId="0" applyFont="1" applyFill="1" applyBorder="1" applyAlignment="1">
      <alignment horizontal="center" vertical="center"/>
    </xf>
    <xf numFmtId="166" fontId="2" fillId="0" borderId="3" xfId="0" quotePrefix="1" applyFont="1" applyBorder="1" applyAlignment="1">
      <alignment horizontal="center" vertical="center"/>
    </xf>
    <xf numFmtId="166" fontId="2" fillId="0" borderId="3" xfId="0" applyFont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6" xfId="0" quotePrefix="1" applyNumberFormat="1" applyBorder="1" applyAlignment="1">
      <alignment horizontal="left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64" fontId="0" fillId="0" borderId="7" xfId="0" quotePrefix="1" applyNumberFormat="1" applyBorder="1" applyAlignment="1">
      <alignment horizontal="left"/>
    </xf>
    <xf numFmtId="1" fontId="0" fillId="0" borderId="3" xfId="0" applyNumberFormat="1" applyBorder="1"/>
    <xf numFmtId="1" fontId="0" fillId="0" borderId="3" xfId="0" applyNumberFormat="1" applyBorder="1" applyAlignment="1">
      <alignment horizontal="center"/>
    </xf>
    <xf numFmtId="166" fontId="0" fillId="0" borderId="0" xfId="0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66" fontId="0" fillId="0" borderId="0" xfId="0" applyBorder="1"/>
    <xf numFmtId="166" fontId="0" fillId="0" borderId="5" xfId="0" applyNumberFormat="1" applyBorder="1" applyAlignment="1">
      <alignment horizontal="center" vertical="center"/>
    </xf>
    <xf numFmtId="166" fontId="6" fillId="0" borderId="1" xfId="0" applyFont="1" applyFill="1" applyBorder="1" applyAlignment="1">
      <alignment horizontal="center" vertical="center"/>
    </xf>
    <xf numFmtId="166" fontId="6" fillId="0" borderId="3" xfId="0" applyFont="1" applyBorder="1" applyAlignment="1">
      <alignment horizontal="center" vertical="center"/>
    </xf>
    <xf numFmtId="166" fontId="2" fillId="0" borderId="3" xfId="0" applyFont="1" applyFill="1" applyBorder="1" applyAlignment="1">
      <alignment horizontal="center" vertical="center"/>
    </xf>
    <xf numFmtId="166" fontId="0" fillId="0" borderId="0" xfId="0" applyBorder="1" applyAlignment="1">
      <alignment horizontal="center"/>
    </xf>
    <xf numFmtId="166" fontId="6" fillId="0" borderId="1" xfId="0" quotePrefix="1" applyFont="1" applyFill="1" applyBorder="1" applyAlignment="1">
      <alignment horizontal="center" vertical="center"/>
    </xf>
    <xf numFmtId="166" fontId="2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8" fillId="0" borderId="0" xfId="0" applyFont="1" applyAlignment="1">
      <alignment horizontal="center" vertical="center"/>
    </xf>
    <xf numFmtId="166" fontId="0" fillId="0" borderId="0" xfId="0" applyNumberFormat="1" applyBorder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2" xfId="0" applyNumberFormat="1" applyBorder="1" applyAlignment="1">
      <alignment horizontal="right" vertical="center"/>
    </xf>
    <xf numFmtId="164" fontId="0" fillId="0" borderId="0" xfId="0" applyNumberFormat="1" applyBorder="1"/>
    <xf numFmtId="164" fontId="0" fillId="0" borderId="0" xfId="0" applyNumberFormat="1"/>
    <xf numFmtId="164" fontId="0" fillId="0" borderId="4" xfId="0" applyNumberFormat="1" applyBorder="1" applyAlignment="1">
      <alignment horizontal="center" vertical="center"/>
    </xf>
    <xf numFmtId="166" fontId="0" fillId="0" borderId="0" xfId="0" applyBorder="1" applyAlignment="1">
      <alignment horizontal="left"/>
    </xf>
    <xf numFmtId="166" fontId="0" fillId="0" borderId="0" xfId="0" applyAlignment="1">
      <alignment horizontal="left"/>
    </xf>
    <xf numFmtId="1" fontId="0" fillId="0" borderId="2" xfId="0" applyNumberFormat="1" applyBorder="1" applyAlignment="1">
      <alignment horizontal="left" vertical="center"/>
    </xf>
    <xf numFmtId="165" fontId="0" fillId="0" borderId="0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10" fillId="0" borderId="4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66" fontId="0" fillId="0" borderId="0" xfId="0" applyNumberFormat="1" applyBorder="1" applyAlignment="1" applyProtection="1">
      <alignment horizontal="center"/>
      <protection hidden="1"/>
    </xf>
    <xf numFmtId="166" fontId="0" fillId="0" borderId="0" xfId="0" applyNumberFormat="1" applyAlignment="1" applyProtection="1">
      <alignment horizontal="center"/>
      <protection hidden="1"/>
    </xf>
    <xf numFmtId="166" fontId="0" fillId="0" borderId="0" xfId="0" applyNumberFormat="1" applyBorder="1" applyAlignment="1" applyProtection="1">
      <alignment horizontal="center" vertical="center"/>
      <protection hidden="1"/>
    </xf>
    <xf numFmtId="1" fontId="0" fillId="0" borderId="1" xfId="0" applyNumberFormat="1" applyBorder="1" applyAlignment="1" applyProtection="1">
      <alignment horizontal="center" vertical="center"/>
      <protection hidden="1"/>
    </xf>
    <xf numFmtId="15" fontId="1" fillId="2" borderId="0" xfId="0" applyNumberFormat="1" applyFont="1" applyFill="1" applyAlignment="1">
      <alignment horizontal="center" vertical="center"/>
    </xf>
    <xf numFmtId="15" fontId="1" fillId="2" borderId="0" xfId="0" applyNumberFormat="1" applyFont="1" applyFill="1" applyAlignment="1" applyProtection="1">
      <alignment horizontal="center" vertical="center"/>
      <protection hidden="1"/>
    </xf>
    <xf numFmtId="15" fontId="2" fillId="0" borderId="1" xfId="0" applyNumberFormat="1" applyFont="1" applyBorder="1" applyAlignment="1" applyProtection="1">
      <alignment horizontal="center" vertical="center"/>
      <protection hidden="1"/>
    </xf>
    <xf numFmtId="15" fontId="6" fillId="0" borderId="1" xfId="0" applyNumberFormat="1" applyFont="1" applyFill="1" applyBorder="1" applyAlignment="1" applyProtection="1">
      <alignment horizontal="center" vertical="center"/>
      <protection hidden="1"/>
    </xf>
    <xf numFmtId="15" fontId="2" fillId="0" borderId="3" xfId="0" applyNumberFormat="1" applyFont="1" applyBorder="1" applyAlignment="1" applyProtection="1">
      <alignment horizontal="center" vertical="center"/>
      <protection hidden="1"/>
    </xf>
    <xf numFmtId="15" fontId="2" fillId="0" borderId="1" xfId="0" applyNumberFormat="1" applyFont="1" applyFill="1" applyBorder="1" applyAlignment="1" applyProtection="1">
      <alignment horizontal="center" vertical="center"/>
      <protection hidden="1"/>
    </xf>
    <xf numFmtId="15" fontId="0" fillId="0" borderId="0" xfId="0" applyNumberFormat="1"/>
    <xf numFmtId="15" fontId="0" fillId="0" borderId="0" xfId="0" applyNumberFormat="1" applyProtection="1">
      <protection hidden="1"/>
    </xf>
    <xf numFmtId="15" fontId="9" fillId="0" borderId="1" xfId="0" applyNumberFormat="1" applyFont="1" applyBorder="1" applyAlignment="1">
      <alignment horizontal="center" vertical="center"/>
    </xf>
    <xf numFmtId="15" fontId="0" fillId="0" borderId="0" xfId="0" applyNumberFormat="1" applyAlignment="1" applyProtection="1">
      <alignment horizontal="center" vertical="center"/>
      <protection hidden="1"/>
    </xf>
    <xf numFmtId="166" fontId="6" fillId="0" borderId="3" xfId="0" quotePrefix="1" applyFont="1" applyFill="1" applyBorder="1" applyAlignment="1">
      <alignment horizontal="center" vertical="center"/>
    </xf>
    <xf numFmtId="166" fontId="6" fillId="0" borderId="3" xfId="0" applyFont="1" applyFill="1" applyBorder="1" applyAlignment="1">
      <alignment horizontal="center" vertical="center"/>
    </xf>
    <xf numFmtId="15" fontId="6" fillId="0" borderId="3" xfId="0" applyNumberFormat="1" applyFont="1" applyFill="1" applyBorder="1" applyAlignment="1" applyProtection="1">
      <alignment horizontal="center" vertical="center"/>
      <protection hidden="1"/>
    </xf>
    <xf numFmtId="164" fontId="5" fillId="3" borderId="0" xfId="0" applyNumberFormat="1" applyFont="1" applyFill="1" applyBorder="1"/>
    <xf numFmtId="166" fontId="5" fillId="3" borderId="0" xfId="0" applyFont="1" applyFill="1" applyBorder="1"/>
    <xf numFmtId="166" fontId="5" fillId="3" borderId="0" xfId="0" applyFont="1" applyFill="1" applyBorder="1" applyAlignment="1">
      <alignment horizontal="left"/>
    </xf>
    <xf numFmtId="166" fontId="5" fillId="3" borderId="0" xfId="0" applyNumberFormat="1" applyFont="1" applyFill="1" applyBorder="1" applyAlignment="1">
      <alignment horizontal="right"/>
    </xf>
    <xf numFmtId="166" fontId="5" fillId="3" borderId="0" xfId="0" applyFont="1" applyFill="1" applyBorder="1" applyAlignment="1">
      <alignment horizontal="center"/>
    </xf>
    <xf numFmtId="166" fontId="5" fillId="3" borderId="0" xfId="0" applyNumberFormat="1" applyFont="1" applyFill="1" applyBorder="1" applyAlignment="1">
      <alignment horizontal="center"/>
    </xf>
    <xf numFmtId="165" fontId="5" fillId="3" borderId="0" xfId="0" applyNumberFormat="1" applyFont="1" applyFill="1" applyBorder="1" applyAlignment="1">
      <alignment horizontal="center"/>
    </xf>
    <xf numFmtId="166" fontId="7" fillId="3" borderId="0" xfId="0" applyFont="1" applyFill="1" applyBorder="1"/>
    <xf numFmtId="164" fontId="8" fillId="4" borderId="0" xfId="0" applyNumberFormat="1" applyFont="1" applyFill="1" applyBorder="1" applyAlignment="1">
      <alignment horizontal="center" vertical="center"/>
    </xf>
    <xf numFmtId="166" fontId="8" fillId="4" borderId="0" xfId="0" applyFont="1" applyFill="1" applyBorder="1" applyAlignment="1">
      <alignment horizontal="center" vertical="center"/>
    </xf>
    <xf numFmtId="166" fontId="8" fillId="4" borderId="0" xfId="0" applyFont="1" applyFill="1" applyBorder="1" applyAlignment="1">
      <alignment horizontal="left" vertical="center"/>
    </xf>
    <xf numFmtId="166" fontId="8" fillId="4" borderId="0" xfId="0" applyNumberFormat="1" applyFont="1" applyFill="1" applyBorder="1" applyAlignment="1">
      <alignment horizontal="right" vertical="center"/>
    </xf>
    <xf numFmtId="166" fontId="8" fillId="4" borderId="0" xfId="0" applyNumberFormat="1" applyFont="1" applyFill="1" applyBorder="1" applyAlignment="1" applyProtection="1">
      <alignment horizontal="center" vertical="center"/>
      <protection hidden="1"/>
    </xf>
    <xf numFmtId="166" fontId="8" fillId="4" borderId="0" xfId="0" applyNumberFormat="1" applyFont="1" applyFill="1" applyBorder="1" applyAlignment="1">
      <alignment horizontal="center" vertical="center"/>
    </xf>
    <xf numFmtId="165" fontId="8" fillId="4" borderId="0" xfId="0" applyNumberFormat="1" applyFont="1" applyFill="1" applyBorder="1" applyAlignment="1">
      <alignment horizontal="center" vertical="center"/>
    </xf>
    <xf numFmtId="164" fontId="5" fillId="3" borderId="1" xfId="0" quotePrefix="1" applyNumberFormat="1" applyFont="1" applyFill="1" applyBorder="1"/>
    <xf numFmtId="166" fontId="5" fillId="3" borderId="1" xfId="0" applyFont="1" applyFill="1" applyBorder="1"/>
    <xf numFmtId="166" fontId="5" fillId="3" borderId="1" xfId="0" applyFont="1" applyFill="1" applyBorder="1" applyAlignment="1">
      <alignment horizontal="left"/>
    </xf>
    <xf numFmtId="166" fontId="5" fillId="3" borderId="1" xfId="0" applyNumberFormat="1" applyFont="1" applyFill="1" applyBorder="1" applyAlignment="1">
      <alignment horizontal="right"/>
    </xf>
    <xf numFmtId="166" fontId="5" fillId="3" borderId="1" xfId="0" applyFont="1" applyFill="1" applyBorder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/>
    </xf>
    <xf numFmtId="166" fontId="7" fillId="3" borderId="1" xfId="0" applyFont="1" applyFill="1" applyBorder="1"/>
    <xf numFmtId="166" fontId="5" fillId="3" borderId="1" xfId="0" quotePrefix="1" applyNumberFormat="1" applyFont="1" applyFill="1" applyBorder="1" applyAlignment="1">
      <alignment horizontal="left"/>
    </xf>
    <xf numFmtId="166" fontId="5" fillId="3" borderId="1" xfId="0" quotePrefix="1" applyNumberFormat="1" applyFont="1" applyFill="1" applyBorder="1" applyAlignment="1">
      <alignment horizontal="center" vertical="center"/>
    </xf>
    <xf numFmtId="165" fontId="5" fillId="3" borderId="1" xfId="0" quotePrefix="1" applyNumberFormat="1" applyFont="1" applyFill="1" applyBorder="1" applyAlignment="1">
      <alignment horizontal="center"/>
    </xf>
    <xf numFmtId="164" fontId="5" fillId="3" borderId="1" xfId="0" applyNumberFormat="1" applyFont="1" applyFill="1" applyBorder="1"/>
    <xf numFmtId="166" fontId="5" fillId="3" borderId="1" xfId="0" quotePrefix="1" applyFont="1" applyFill="1" applyBorder="1" applyAlignment="1">
      <alignment horizontal="left"/>
    </xf>
    <xf numFmtId="166" fontId="7" fillId="3" borderId="1" xfId="0" quotePrefix="1" applyFont="1" applyFill="1" applyBorder="1" applyAlignment="1">
      <alignment horizontal="left"/>
    </xf>
    <xf numFmtId="166" fontId="7" fillId="3" borderId="1" xfId="0" applyNumberFormat="1" applyFont="1" applyFill="1" applyBorder="1" applyAlignment="1">
      <alignment horizontal="right"/>
    </xf>
    <xf numFmtId="166" fontId="7" fillId="3" borderId="1" xfId="0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/>
    </xf>
    <xf numFmtId="166" fontId="5" fillId="3" borderId="1" xfId="0" applyFont="1" applyFill="1" applyBorder="1" applyAlignment="1"/>
    <xf numFmtId="14" fontId="5" fillId="3" borderId="1" xfId="0" applyNumberFormat="1" applyFont="1" applyFill="1" applyBorder="1" applyAlignment="1" applyProtection="1">
      <alignment horizontal="center"/>
      <protection hidden="1"/>
    </xf>
    <xf numFmtId="14" fontId="7" fillId="3" borderId="1" xfId="0" applyNumberFormat="1" applyFont="1" applyFill="1" applyBorder="1" applyAlignment="1" applyProtection="1">
      <alignment horizontal="center"/>
      <protection hidden="1"/>
    </xf>
    <xf numFmtId="14" fontId="5" fillId="3" borderId="0" xfId="0" applyNumberFormat="1" applyFont="1" applyFill="1" applyBorder="1" applyAlignment="1" applyProtection="1">
      <alignment horizontal="center"/>
      <protection hidden="1"/>
    </xf>
    <xf numFmtId="14" fontId="8" fillId="4" borderId="0" xfId="0" applyNumberFormat="1" applyFont="1" applyFill="1" applyBorder="1" applyAlignment="1" applyProtection="1">
      <alignment horizontal="center" vertical="center"/>
      <protection hidden="1"/>
    </xf>
    <xf numFmtId="14" fontId="5" fillId="3" borderId="1" xfId="0" quotePrefix="1" applyNumberFormat="1" applyFont="1" applyFill="1" applyBorder="1" applyAlignment="1" applyProtection="1">
      <alignment horizontal="center"/>
      <protection hidden="1"/>
    </xf>
    <xf numFmtId="166" fontId="5" fillId="3" borderId="1" xfId="0" applyNumberFormat="1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right"/>
    </xf>
    <xf numFmtId="166" fontId="7" fillId="3" borderId="1" xfId="0" applyFont="1" applyFill="1" applyBorder="1" applyAlignment="1"/>
    <xf numFmtId="166" fontId="7" fillId="3" borderId="1" xfId="0" applyNumberFormat="1" applyFont="1" applyFill="1" applyBorder="1" applyAlignment="1">
      <alignment horizontal="center"/>
    </xf>
    <xf numFmtId="14" fontId="7" fillId="3" borderId="1" xfId="0" quotePrefix="1" applyNumberFormat="1" applyFont="1" applyFill="1" applyBorder="1" applyAlignment="1" applyProtection="1">
      <alignment horizontal="center"/>
      <protection hidden="1"/>
    </xf>
    <xf numFmtId="166" fontId="5" fillId="3" borderId="1" xfId="0" applyNumberFormat="1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center"/>
    </xf>
    <xf numFmtId="166" fontId="5" fillId="3" borderId="1" xfId="0" applyNumberFormat="1" applyFont="1" applyFill="1" applyBorder="1" applyAlignment="1">
      <alignment horizontal="center"/>
    </xf>
    <xf numFmtId="166" fontId="5" fillId="5" borderId="1" xfId="0" applyFont="1" applyFill="1" applyBorder="1" applyAlignment="1">
      <alignment horizontal="center"/>
    </xf>
    <xf numFmtId="164" fontId="5" fillId="6" borderId="0" xfId="0" quotePrefix="1" applyNumberFormat="1" applyFont="1" applyFill="1" applyBorder="1"/>
    <xf numFmtId="166" fontId="5" fillId="6" borderId="0" xfId="0" applyFont="1" applyFill="1" applyBorder="1"/>
    <xf numFmtId="166" fontId="5" fillId="6" borderId="0" xfId="0" applyFont="1" applyFill="1" applyBorder="1" applyAlignment="1">
      <alignment horizontal="left"/>
    </xf>
    <xf numFmtId="166" fontId="5" fillId="6" borderId="0" xfId="0" applyNumberFormat="1" applyFont="1" applyFill="1" applyBorder="1" applyAlignment="1">
      <alignment horizontal="right"/>
    </xf>
    <xf numFmtId="166" fontId="5" fillId="6" borderId="0" xfId="0" applyFont="1" applyFill="1" applyBorder="1" applyAlignment="1">
      <alignment horizontal="center"/>
    </xf>
    <xf numFmtId="166" fontId="5" fillId="6" borderId="0" xfId="0" applyNumberFormat="1" applyFont="1" applyFill="1" applyBorder="1" applyAlignment="1">
      <alignment horizontal="center"/>
    </xf>
    <xf numFmtId="14" fontId="5" fillId="6" borderId="0" xfId="0" applyNumberFormat="1" applyFont="1" applyFill="1" applyBorder="1" applyAlignment="1" applyProtection="1">
      <alignment horizontal="center"/>
      <protection hidden="1"/>
    </xf>
    <xf numFmtId="166" fontId="5" fillId="6" borderId="0" xfId="0" applyNumberFormat="1" applyFont="1" applyFill="1" applyBorder="1" applyAlignment="1">
      <alignment horizontal="center"/>
    </xf>
    <xf numFmtId="165" fontId="5" fillId="6" borderId="0" xfId="0" applyNumberFormat="1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center"/>
    </xf>
    <xf numFmtId="165" fontId="7" fillId="3" borderId="0" xfId="0" applyNumberFormat="1" applyFont="1" applyFill="1" applyAlignment="1">
      <alignment horizontal="center"/>
    </xf>
    <xf numFmtId="166" fontId="5" fillId="3" borderId="1" xfId="0" quotePrefix="1" applyNumberFormat="1" applyFont="1" applyFill="1" applyBorder="1" applyAlignment="1">
      <alignment horizontal="center"/>
    </xf>
    <xf numFmtId="166" fontId="7" fillId="3" borderId="1" xfId="0" quotePrefix="1" applyNumberFormat="1" applyFont="1" applyFill="1" applyBorder="1" applyAlignment="1">
      <alignment horizontal="center"/>
    </xf>
    <xf numFmtId="164" fontId="7" fillId="3" borderId="0" xfId="0" applyNumberFormat="1" applyFont="1" applyFill="1" applyBorder="1"/>
    <xf numFmtId="166" fontId="7" fillId="3" borderId="0" xfId="0" applyFont="1" applyFill="1" applyBorder="1" applyAlignment="1">
      <alignment horizontal="left"/>
    </xf>
    <xf numFmtId="166" fontId="7" fillId="3" borderId="0" xfId="0" applyNumberFormat="1" applyFont="1" applyFill="1" applyBorder="1" applyAlignment="1">
      <alignment horizontal="right"/>
    </xf>
    <xf numFmtId="166" fontId="7" fillId="3" borderId="0" xfId="0" applyFont="1" applyFill="1" applyBorder="1" applyAlignment="1">
      <alignment horizontal="center"/>
    </xf>
    <xf numFmtId="166" fontId="7" fillId="3" borderId="0" xfId="0" applyNumberFormat="1" applyFont="1" applyFill="1" applyBorder="1" applyAlignment="1">
      <alignment horizontal="center"/>
    </xf>
    <xf numFmtId="14" fontId="7" fillId="3" borderId="0" xfId="0" applyNumberFormat="1" applyFont="1" applyFill="1" applyBorder="1" applyAlignment="1" applyProtection="1">
      <alignment horizontal="center"/>
      <protection hidden="1"/>
    </xf>
    <xf numFmtId="166" fontId="7" fillId="3" borderId="0" xfId="0" applyNumberFormat="1" applyFont="1" applyFill="1" applyBorder="1" applyAlignment="1">
      <alignment horizontal="center"/>
    </xf>
    <xf numFmtId="165" fontId="7" fillId="3" borderId="0" xfId="0" applyNumberFormat="1" applyFont="1" applyFill="1" applyBorder="1" applyAlignment="1">
      <alignment horizontal="center"/>
    </xf>
    <xf numFmtId="166" fontId="6" fillId="0" borderId="2" xfId="0" applyFont="1" applyFill="1" applyBorder="1" applyAlignment="1">
      <alignment horizontal="center" vertical="center"/>
    </xf>
    <xf numFmtId="166" fontId="11" fillId="2" borderId="0" xfId="0" applyFont="1" applyFill="1" applyAlignment="1">
      <alignment horizontal="center" vertical="center"/>
    </xf>
    <xf numFmtId="166" fontId="7" fillId="3" borderId="1" xfId="0" applyNumberFormat="1" applyFont="1" applyFill="1" applyBorder="1" applyAlignment="1">
      <alignment horizontal="right"/>
    </xf>
    <xf numFmtId="166" fontId="6" fillId="7" borderId="1" xfId="0" applyFont="1" applyFill="1" applyBorder="1" applyAlignment="1">
      <alignment horizontal="center" vertical="center"/>
    </xf>
    <xf numFmtId="15" fontId="6" fillId="7" borderId="1" xfId="0" applyNumberFormat="1" applyFont="1" applyFill="1" applyBorder="1" applyAlignment="1" applyProtection="1">
      <alignment horizontal="center" vertical="center"/>
      <protection hidden="1"/>
    </xf>
    <xf numFmtId="166" fontId="2" fillId="4" borderId="3" xfId="0" quotePrefix="1" applyFont="1" applyFill="1" applyBorder="1" applyAlignment="1">
      <alignment horizontal="center" vertical="center"/>
    </xf>
    <xf numFmtId="166" fontId="6" fillId="7" borderId="3" xfId="0" applyFont="1" applyFill="1" applyBorder="1" applyAlignment="1">
      <alignment horizontal="center" vertical="center"/>
    </xf>
    <xf numFmtId="166" fontId="2" fillId="4" borderId="3" xfId="0" applyFont="1" applyFill="1" applyBorder="1" applyAlignment="1">
      <alignment horizontal="center" vertical="center"/>
    </xf>
    <xf numFmtId="166" fontId="2" fillId="0" borderId="1" xfId="0" applyFont="1" applyBorder="1" applyAlignment="1">
      <alignment horizontal="center"/>
    </xf>
    <xf numFmtId="166" fontId="0" fillId="0" borderId="1" xfId="0" applyBorder="1" applyAlignment="1">
      <alignment horizontal="center" vertical="center"/>
    </xf>
    <xf numFmtId="15" fontId="2" fillId="4" borderId="3" xfId="0" applyNumberFormat="1" applyFont="1" applyFill="1" applyBorder="1" applyAlignment="1" applyProtection="1">
      <alignment horizontal="center" vertical="center"/>
      <protection hidden="1"/>
    </xf>
    <xf numFmtId="166" fontId="6" fillId="0" borderId="1" xfId="0" applyFont="1" applyBorder="1" applyAlignment="1">
      <alignment horizontal="center" vertical="center"/>
    </xf>
    <xf numFmtId="166" fontId="6" fillId="0" borderId="0" xfId="0" applyFont="1" applyFill="1" applyBorder="1" applyAlignment="1">
      <alignment horizontal="center" vertical="center"/>
    </xf>
    <xf numFmtId="166" fontId="0" fillId="0" borderId="1" xfId="0" applyBorder="1"/>
    <xf numFmtId="166" fontId="2" fillId="0" borderId="0" xfId="0" applyFon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0" xfId="0" applyNumberFormat="1"/>
  </cellXfs>
  <cellStyles count="3">
    <cellStyle name="Hyperlink 2" xfId="2"/>
    <cellStyle name="Normal" xfId="0" builtinId="0"/>
    <cellStyle name="Normal 2" xfId="1"/>
  </cellStyles>
  <dxfs count="16439"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64" formatCode="mmm\-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numFmt numFmtId="165" formatCode="#,###\ &quot;KGS&quot;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numFmt numFmtId="166" formatCode="[$-409]d\-mmm\-yy;@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numFmt numFmtId="164" formatCode="mmm\-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mm\-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4" displayName="Table4" ref="A2:XFD149" totalsRowShown="0" headerRowDxfId="16434" dataDxfId="16433" headerRowCellStyle="Normal" dataCellStyle="Normal">
  <autoFilter ref="A2:XFD149"/>
  <sortState ref="A3:XFD149">
    <sortCondition ref="M2:M149"/>
  </sortState>
  <tableColumns count="16384">
    <tableColumn id="1" name="MONTH" dataDxfId="16432" dataCellStyle="Normal"/>
    <tableColumn id="2" name="Consignee" dataDxfId="16431" dataCellStyle="Normal"/>
    <tableColumn id="3" name="Quantity" dataDxfId="16430" dataCellStyle="Normal"/>
    <tableColumn id="5" name="HAWB / BL" dataDxfId="16429" dataCellStyle="Normal"/>
    <tableColumn id="6" name="Ship Mode" dataDxfId="16428" dataCellStyle="Normal"/>
    <tableColumn id="7" name="Vassel Name / Flight No." dataDxfId="16427" dataCellStyle="Normal"/>
    <tableColumn id="8" name="Voyage" dataDxfId="16426" dataCellStyle="Normal"/>
    <tableColumn id="9" name="Port Clear" dataDxfId="16425" dataCellStyle="Normal"/>
    <tableColumn id="10" name="Forwarder" dataDxfId="16424" dataCellStyle="Normal"/>
    <tableColumn id="11" name="Received Dox" dataDxfId="16423" dataCellStyle="Normal"/>
    <tableColumn id="12" name="ETA Port" dataDxfId="16422" dataCellStyle="Normal"/>
    <tableColumn id="13" name="DO Release" dataDxfId="16421" dataCellStyle="Normal"/>
    <tableColumn id="14" name="Clearance_x000a_Date" dataDxfId="16420" dataCellStyle="Normal"/>
    <tableColumn id="15" name="Arrive_x000a_Factory" dataDxfId="16419" dataCellStyle="Normal"/>
    <tableColumn id="16" name="Container No." dataDxfId="16418" dataCellStyle="Normal"/>
    <tableColumn id="17" name="Size" dataDxfId="16417" dataCellStyle="Normal"/>
    <tableColumn id="18" name="MARK" dataDxfId="16416" dataCellStyle="Normal"/>
    <tableColumn id="22" name="DECLEAR" dataDxfId="16415"/>
    <tableColumn id="4" name="GS INV" dataDxfId="16414" dataCellStyle="Normal"/>
    <tableColumn id="19" name="GS DIS" dataDxfId="16413" dataCellStyle="Normal"/>
    <tableColumn id="20" name="GS DN" dataDxfId="16412" dataCellStyle="Normal"/>
    <tableColumn id="21" name="Column1" dataDxfId="16411" dataCellStyle="Normal"/>
    <tableColumn id="23" name="Column2" dataDxfId="16410" dataCellStyle="Normal"/>
    <tableColumn id="24" name="Column3" dataDxfId="16409" dataCellStyle="Normal"/>
    <tableColumn id="25" name="Column4" dataDxfId="16408" dataCellStyle="Normal"/>
    <tableColumn id="26" name="Column5" dataDxfId="16407" dataCellStyle="Normal"/>
    <tableColumn id="27" name="Column6" dataDxfId="16406" dataCellStyle="Normal"/>
    <tableColumn id="28" name="Column7" dataDxfId="16405" dataCellStyle="Normal"/>
    <tableColumn id="29" name="Column8" dataDxfId="16404" dataCellStyle="Normal"/>
    <tableColumn id="30" name="Column9" dataDxfId="16403" dataCellStyle="Normal"/>
    <tableColumn id="31" name="Column10" dataDxfId="16402" dataCellStyle="Normal"/>
    <tableColumn id="32" name="Column11" dataDxfId="16401" dataCellStyle="Normal"/>
    <tableColumn id="33" name="Column12" dataDxfId="16400" dataCellStyle="Normal"/>
    <tableColumn id="34" name="Column13" dataDxfId="16399" dataCellStyle="Normal"/>
    <tableColumn id="35" name="Column14" dataDxfId="16398" dataCellStyle="Normal"/>
    <tableColumn id="36" name="Column15" dataDxfId="16397" dataCellStyle="Normal"/>
    <tableColumn id="37" name="Column16" dataDxfId="16396" dataCellStyle="Normal"/>
    <tableColumn id="38" name="Column17" dataDxfId="16395" dataCellStyle="Normal"/>
    <tableColumn id="39" name="Column18" dataDxfId="16394" dataCellStyle="Normal"/>
    <tableColumn id="40" name="Column19" dataDxfId="16393" dataCellStyle="Normal"/>
    <tableColumn id="41" name="Column20" dataDxfId="16392" dataCellStyle="Normal"/>
    <tableColumn id="42" name="Column21" dataDxfId="16391" dataCellStyle="Normal"/>
    <tableColumn id="43" name="Column22" dataDxfId="16390" dataCellStyle="Normal"/>
    <tableColumn id="44" name="Column23" dataDxfId="16389" dataCellStyle="Normal"/>
    <tableColumn id="45" name="Column24" dataDxfId="16388" dataCellStyle="Normal"/>
    <tableColumn id="46" name="Column25" dataDxfId="16387" dataCellStyle="Normal"/>
    <tableColumn id="47" name="Column26" dataDxfId="16386" dataCellStyle="Normal"/>
    <tableColumn id="48" name="Column27" dataDxfId="16385" dataCellStyle="Normal"/>
    <tableColumn id="49" name="Column28" dataDxfId="16384" dataCellStyle="Normal"/>
    <tableColumn id="50" name="Column29" dataDxfId="16383" dataCellStyle="Normal"/>
    <tableColumn id="51" name="Column30" dataDxfId="16382" dataCellStyle="Normal"/>
    <tableColumn id="52" name="Column31" dataDxfId="16381" dataCellStyle="Normal"/>
    <tableColumn id="53" name="Column32" dataDxfId="16380" dataCellStyle="Normal"/>
    <tableColumn id="54" name="Column33" dataDxfId="16379" dataCellStyle="Normal"/>
    <tableColumn id="55" name="Column34" dataDxfId="16378" dataCellStyle="Normal"/>
    <tableColumn id="56" name="Column35" dataDxfId="16377" dataCellStyle="Normal"/>
    <tableColumn id="57" name="Column36" dataDxfId="16376" dataCellStyle="Normal"/>
    <tableColumn id="58" name="Column37" dataDxfId="16375" dataCellStyle="Normal"/>
    <tableColumn id="59" name="Column38" dataDxfId="16374" dataCellStyle="Normal"/>
    <tableColumn id="60" name="Column39" dataDxfId="16373" dataCellStyle="Normal"/>
    <tableColumn id="61" name="Column40" dataDxfId="16372" dataCellStyle="Normal"/>
    <tableColumn id="62" name="Column41" dataDxfId="16371" dataCellStyle="Normal"/>
    <tableColumn id="63" name="Column42" dataDxfId="16370" dataCellStyle="Normal"/>
    <tableColumn id="64" name="Column43" dataDxfId="16369" dataCellStyle="Normal"/>
    <tableColumn id="65" name="Column44" dataDxfId="16368" dataCellStyle="Normal"/>
    <tableColumn id="66" name="Column45" dataDxfId="16367" dataCellStyle="Normal"/>
    <tableColumn id="67" name="Column46" dataDxfId="16366" dataCellStyle="Normal"/>
    <tableColumn id="68" name="Column47" dataDxfId="16365" dataCellStyle="Normal"/>
    <tableColumn id="69" name="Column48" dataDxfId="16364" dataCellStyle="Normal"/>
    <tableColumn id="70" name="Column49" dataDxfId="16363" dataCellStyle="Normal"/>
    <tableColumn id="71" name="Column50" dataDxfId="16362" dataCellStyle="Normal"/>
    <tableColumn id="72" name="Column51" dataDxfId="16361" dataCellStyle="Normal"/>
    <tableColumn id="73" name="Column52" dataDxfId="16360" dataCellStyle="Normal"/>
    <tableColumn id="74" name="Column53" dataDxfId="16359" dataCellStyle="Normal"/>
    <tableColumn id="75" name="Column54" dataDxfId="16358" dataCellStyle="Normal"/>
    <tableColumn id="76" name="Column55" dataDxfId="16357" dataCellStyle="Normal"/>
    <tableColumn id="77" name="Column56" dataDxfId="16356" dataCellStyle="Normal"/>
    <tableColumn id="78" name="Column57" dataDxfId="16355" dataCellStyle="Normal"/>
    <tableColumn id="79" name="Column58" dataDxfId="16354" dataCellStyle="Normal"/>
    <tableColumn id="80" name="Column59" dataDxfId="16353" dataCellStyle="Normal"/>
    <tableColumn id="81" name="Column60" dataDxfId="16352" dataCellStyle="Normal"/>
    <tableColumn id="82" name="Column61" dataDxfId="16351" dataCellStyle="Normal"/>
    <tableColumn id="83" name="Column62" dataDxfId="16350" dataCellStyle="Normal"/>
    <tableColumn id="84" name="Column63" dataDxfId="16349" dataCellStyle="Normal"/>
    <tableColumn id="85" name="Column64" dataDxfId="16348" dataCellStyle="Normal"/>
    <tableColumn id="86" name="Column65" dataDxfId="16347" dataCellStyle="Normal"/>
    <tableColumn id="87" name="Column66" dataDxfId="16346" dataCellStyle="Normal"/>
    <tableColumn id="88" name="Column67" dataDxfId="16345" dataCellStyle="Normal"/>
    <tableColumn id="89" name="Column68" dataDxfId="16344" dataCellStyle="Normal"/>
    <tableColumn id="90" name="Column69" dataDxfId="16343" dataCellStyle="Normal"/>
    <tableColumn id="91" name="Column70" dataDxfId="16342" dataCellStyle="Normal"/>
    <tableColumn id="92" name="Column71" dataDxfId="16341" dataCellStyle="Normal"/>
    <tableColumn id="93" name="Column72" dataDxfId="16340" dataCellStyle="Normal"/>
    <tableColumn id="94" name="Column73" dataDxfId="16339" dataCellStyle="Normal"/>
    <tableColumn id="95" name="Column74" dataDxfId="16338" dataCellStyle="Normal"/>
    <tableColumn id="96" name="Column75" dataDxfId="16337" dataCellStyle="Normal"/>
    <tableColumn id="97" name="Column76" dataDxfId="16336" dataCellStyle="Normal"/>
    <tableColumn id="98" name="Column77" dataDxfId="16335" dataCellStyle="Normal"/>
    <tableColumn id="99" name="Column78" dataDxfId="16334" dataCellStyle="Normal"/>
    <tableColumn id="100" name="Column79" dataDxfId="16333" dataCellStyle="Normal"/>
    <tableColumn id="101" name="Column80" dataDxfId="16332" dataCellStyle="Normal"/>
    <tableColumn id="102" name="Column81" dataDxfId="16331" dataCellStyle="Normal"/>
    <tableColumn id="103" name="Column82" dataDxfId="16330" dataCellStyle="Normal"/>
    <tableColumn id="104" name="Column83" dataDxfId="16329" dataCellStyle="Normal"/>
    <tableColumn id="105" name="Column84" dataDxfId="16328" dataCellStyle="Normal"/>
    <tableColumn id="106" name="Column85" dataDxfId="16327" dataCellStyle="Normal"/>
    <tableColumn id="107" name="Column86" dataDxfId="16326" dataCellStyle="Normal"/>
    <tableColumn id="108" name="Column87" dataDxfId="16325" dataCellStyle="Normal"/>
    <tableColumn id="109" name="Column88" dataDxfId="16324" dataCellStyle="Normal"/>
    <tableColumn id="110" name="Column89" dataDxfId="16323" dataCellStyle="Normal"/>
    <tableColumn id="111" name="Column90" dataDxfId="16322" dataCellStyle="Normal"/>
    <tableColumn id="112" name="Column91" dataDxfId="16321" dataCellStyle="Normal"/>
    <tableColumn id="113" name="Column92" dataDxfId="16320" dataCellStyle="Normal"/>
    <tableColumn id="114" name="Column93" dataDxfId="16319" dataCellStyle="Normal"/>
    <tableColumn id="115" name="Column94" dataDxfId="16318" dataCellStyle="Normal"/>
    <tableColumn id="116" name="Column95" dataDxfId="16317" dataCellStyle="Normal"/>
    <tableColumn id="117" name="Column96" dataDxfId="16316" dataCellStyle="Normal"/>
    <tableColumn id="118" name="Column97" dataDxfId="16315" dataCellStyle="Normal"/>
    <tableColumn id="119" name="Column98" dataDxfId="16314" dataCellStyle="Normal"/>
    <tableColumn id="120" name="Column99" dataDxfId="16313" dataCellStyle="Normal"/>
    <tableColumn id="121" name="Column100" dataDxfId="16312" dataCellStyle="Normal"/>
    <tableColumn id="122" name="Column101" dataDxfId="16311" dataCellStyle="Normal"/>
    <tableColumn id="123" name="Column102" dataDxfId="16310" dataCellStyle="Normal"/>
    <tableColumn id="124" name="Column103" dataDxfId="16309" dataCellStyle="Normal"/>
    <tableColumn id="125" name="Column104" dataDxfId="16308" dataCellStyle="Normal"/>
    <tableColumn id="126" name="Column105" dataDxfId="16307" dataCellStyle="Normal"/>
    <tableColumn id="127" name="Column106" dataDxfId="16306" dataCellStyle="Normal"/>
    <tableColumn id="128" name="Column107" dataDxfId="16305" dataCellStyle="Normal"/>
    <tableColumn id="129" name="Column108" dataDxfId="16304" dataCellStyle="Normal"/>
    <tableColumn id="130" name="Column109" dataDxfId="16303" dataCellStyle="Normal"/>
    <tableColumn id="131" name="Column110" dataDxfId="16302" dataCellStyle="Normal"/>
    <tableColumn id="132" name="Column111" dataDxfId="16301" dataCellStyle="Normal"/>
    <tableColumn id="133" name="Column112" dataDxfId="16300" dataCellStyle="Normal"/>
    <tableColumn id="134" name="Column113" dataDxfId="16299" dataCellStyle="Normal"/>
    <tableColumn id="135" name="Column114" dataDxfId="16298" dataCellStyle="Normal"/>
    <tableColumn id="136" name="Column115" dataDxfId="16297" dataCellStyle="Normal"/>
    <tableColumn id="137" name="Column116" dataDxfId="16296" dataCellStyle="Normal"/>
    <tableColumn id="138" name="Column117" dataDxfId="16295" dataCellStyle="Normal"/>
    <tableColumn id="139" name="Column118" dataDxfId="16294" dataCellStyle="Normal"/>
    <tableColumn id="140" name="Column119" dataDxfId="16293" dataCellStyle="Normal"/>
    <tableColumn id="141" name="Column120" dataDxfId="16292" dataCellStyle="Normal"/>
    <tableColumn id="142" name="Column121" dataDxfId="16291" dataCellStyle="Normal"/>
    <tableColumn id="143" name="Column122" dataDxfId="16290" dataCellStyle="Normal"/>
    <tableColumn id="144" name="Column123" dataDxfId="16289" dataCellStyle="Normal"/>
    <tableColumn id="145" name="Column124" dataDxfId="16288" dataCellStyle="Normal"/>
    <tableColumn id="146" name="Column125" dataDxfId="16287" dataCellStyle="Normal"/>
    <tableColumn id="147" name="Column126" dataDxfId="16286" dataCellStyle="Normal"/>
    <tableColumn id="148" name="Column127" dataDxfId="16285" dataCellStyle="Normal"/>
    <tableColumn id="149" name="Column128" dataDxfId="16284" dataCellStyle="Normal"/>
    <tableColumn id="150" name="Column129" dataDxfId="16283" dataCellStyle="Normal"/>
    <tableColumn id="151" name="Column130" dataDxfId="16282" dataCellStyle="Normal"/>
    <tableColumn id="152" name="Column131" dataDxfId="16281" dataCellStyle="Normal"/>
    <tableColumn id="153" name="Column132" dataDxfId="16280" dataCellStyle="Normal"/>
    <tableColumn id="154" name="Column133" dataDxfId="16279" dataCellStyle="Normal"/>
    <tableColumn id="155" name="Column134" dataDxfId="16278" dataCellStyle="Normal"/>
    <tableColumn id="156" name="Column135" dataDxfId="16277" dataCellStyle="Normal"/>
    <tableColumn id="157" name="Column136" dataDxfId="16276" dataCellStyle="Normal"/>
    <tableColumn id="158" name="Column137" dataDxfId="16275" dataCellStyle="Normal"/>
    <tableColumn id="159" name="Column138" dataDxfId="16274" dataCellStyle="Normal"/>
    <tableColumn id="160" name="Column139" dataDxfId="16273" dataCellStyle="Normal"/>
    <tableColumn id="161" name="Column140" dataDxfId="16272" dataCellStyle="Normal"/>
    <tableColumn id="162" name="Column141" dataDxfId="16271" dataCellStyle="Normal"/>
    <tableColumn id="163" name="Column142" dataDxfId="16270" dataCellStyle="Normal"/>
    <tableColumn id="164" name="Column143" dataDxfId="16269" dataCellStyle="Normal"/>
    <tableColumn id="165" name="Column144" dataDxfId="16268" dataCellStyle="Normal"/>
    <tableColumn id="166" name="Column145" dataDxfId="16267" dataCellStyle="Normal"/>
    <tableColumn id="167" name="Column146" dataDxfId="16266" dataCellStyle="Normal"/>
    <tableColumn id="168" name="Column147" dataDxfId="16265" dataCellStyle="Normal"/>
    <tableColumn id="169" name="Column148" dataDxfId="16264" dataCellStyle="Normal"/>
    <tableColumn id="170" name="Column149" dataDxfId="16263" dataCellStyle="Normal"/>
    <tableColumn id="171" name="Column150" dataDxfId="16262" dataCellStyle="Normal"/>
    <tableColumn id="172" name="Column151" dataDxfId="16261" dataCellStyle="Normal"/>
    <tableColumn id="173" name="Column152" dataDxfId="16260" dataCellStyle="Normal"/>
    <tableColumn id="174" name="Column153" dataDxfId="16259" dataCellStyle="Normal"/>
    <tableColumn id="175" name="Column154" dataDxfId="16258" dataCellStyle="Normal"/>
    <tableColumn id="176" name="Column155" dataDxfId="16257" dataCellStyle="Normal"/>
    <tableColumn id="177" name="Column156" dataDxfId="16256" dataCellStyle="Normal"/>
    <tableColumn id="178" name="Column157" dataDxfId="16255" dataCellStyle="Normal"/>
    <tableColumn id="179" name="Column158" dataDxfId="16254" dataCellStyle="Normal"/>
    <tableColumn id="180" name="Column159" dataDxfId="16253" dataCellStyle="Normal"/>
    <tableColumn id="181" name="Column160" dataDxfId="16252" dataCellStyle="Normal"/>
    <tableColumn id="182" name="Column161" dataDxfId="16251" dataCellStyle="Normal"/>
    <tableColumn id="183" name="Column162" dataDxfId="16250" dataCellStyle="Normal"/>
    <tableColumn id="184" name="Column163" dataDxfId="16249" dataCellStyle="Normal"/>
    <tableColumn id="185" name="Column164" dataDxfId="16248" dataCellStyle="Normal"/>
    <tableColumn id="186" name="Column165" dataDxfId="16247" dataCellStyle="Normal"/>
    <tableColumn id="187" name="Column166" dataDxfId="16246" dataCellStyle="Normal"/>
    <tableColumn id="188" name="Column167" dataDxfId="16245" dataCellStyle="Normal"/>
    <tableColumn id="189" name="Column168" dataDxfId="16244" dataCellStyle="Normal"/>
    <tableColumn id="190" name="Column169" dataDxfId="16243" dataCellStyle="Normal"/>
    <tableColumn id="191" name="Column170" dataDxfId="16242" dataCellStyle="Normal"/>
    <tableColumn id="192" name="Column171" dataDxfId="16241" dataCellStyle="Normal"/>
    <tableColumn id="193" name="Column172" dataDxfId="16240" dataCellStyle="Normal"/>
    <tableColumn id="194" name="Column173" dataDxfId="16239" dataCellStyle="Normal"/>
    <tableColumn id="195" name="Column174" dataDxfId="16238" dataCellStyle="Normal"/>
    <tableColumn id="196" name="Column175" dataDxfId="16237" dataCellStyle="Normal"/>
    <tableColumn id="197" name="Column176" dataDxfId="16236" dataCellStyle="Normal"/>
    <tableColumn id="198" name="Column177" dataDxfId="16235" dataCellStyle="Normal"/>
    <tableColumn id="199" name="Column178" dataDxfId="16234" dataCellStyle="Normal"/>
    <tableColumn id="200" name="Column179" dataDxfId="16233" dataCellStyle="Normal"/>
    <tableColumn id="201" name="Column180" dataDxfId="16232" dataCellStyle="Normal"/>
    <tableColumn id="202" name="Column181" dataDxfId="16231" dataCellStyle="Normal"/>
    <tableColumn id="203" name="Column182" dataDxfId="16230" dataCellStyle="Normal"/>
    <tableColumn id="204" name="Column183" dataDxfId="16229" dataCellStyle="Normal"/>
    <tableColumn id="205" name="Column184" dataDxfId="16228" dataCellStyle="Normal"/>
    <tableColumn id="206" name="Column185" dataDxfId="16227" dataCellStyle="Normal"/>
    <tableColumn id="207" name="Column186" dataDxfId="16226" dataCellStyle="Normal"/>
    <tableColumn id="208" name="Column187" dataDxfId="16225" dataCellStyle="Normal"/>
    <tableColumn id="209" name="Column188" dataDxfId="16224" dataCellStyle="Normal"/>
    <tableColumn id="210" name="Column189" dataDxfId="16223" dataCellStyle="Normal"/>
    <tableColumn id="211" name="Column190" dataDxfId="16222" dataCellStyle="Normal"/>
    <tableColumn id="212" name="Column191" dataDxfId="16221" dataCellStyle="Normal"/>
    <tableColumn id="213" name="Column192" dataDxfId="16220" dataCellStyle="Normal"/>
    <tableColumn id="214" name="Column193" dataDxfId="16219" dataCellStyle="Normal"/>
    <tableColumn id="215" name="Column194" dataDxfId="16218" dataCellStyle="Normal"/>
    <tableColumn id="216" name="Column195" dataDxfId="16217" dataCellStyle="Normal"/>
    <tableColumn id="217" name="Column196" dataDxfId="16216" dataCellStyle="Normal"/>
    <tableColumn id="218" name="Column197" dataDxfId="16215" dataCellStyle="Normal"/>
    <tableColumn id="219" name="Column198" dataDxfId="16214" dataCellStyle="Normal"/>
    <tableColumn id="220" name="Column199" dataDxfId="16213" dataCellStyle="Normal"/>
    <tableColumn id="221" name="Column200" dataDxfId="16212" dataCellStyle="Normal"/>
    <tableColumn id="222" name="Column201" dataDxfId="16211" dataCellStyle="Normal"/>
    <tableColumn id="223" name="Column202" dataDxfId="16210" dataCellStyle="Normal"/>
    <tableColumn id="224" name="Column203" dataDxfId="16209" dataCellStyle="Normal"/>
    <tableColumn id="225" name="Column204" dataDxfId="16208" dataCellStyle="Normal"/>
    <tableColumn id="226" name="Column205" dataDxfId="16207" dataCellStyle="Normal"/>
    <tableColumn id="227" name="Column206" dataDxfId="16206" dataCellStyle="Normal"/>
    <tableColumn id="228" name="Column207" dataDxfId="16205" dataCellStyle="Normal"/>
    <tableColumn id="229" name="Column208" dataDxfId="16204" dataCellStyle="Normal"/>
    <tableColumn id="230" name="Column209" dataDxfId="16203" dataCellStyle="Normal"/>
    <tableColumn id="231" name="Column210" dataDxfId="16202" dataCellStyle="Normal"/>
    <tableColumn id="232" name="Column211" dataDxfId="16201" dataCellStyle="Normal"/>
    <tableColumn id="233" name="Column212" dataDxfId="16200" dataCellStyle="Normal"/>
    <tableColumn id="234" name="Column213" dataDxfId="16199" dataCellStyle="Normal"/>
    <tableColumn id="235" name="Column214" dataDxfId="16198" dataCellStyle="Normal"/>
    <tableColumn id="236" name="Column215" dataDxfId="16197" dataCellStyle="Normal"/>
    <tableColumn id="237" name="Column216" dataDxfId="16196" dataCellStyle="Normal"/>
    <tableColumn id="238" name="Column217" dataDxfId="16195" dataCellStyle="Normal"/>
    <tableColumn id="239" name="Column218" dataDxfId="16194" dataCellStyle="Normal"/>
    <tableColumn id="240" name="Column219" dataDxfId="16193" dataCellStyle="Normal"/>
    <tableColumn id="241" name="Column220" dataDxfId="16192" dataCellStyle="Normal"/>
    <tableColumn id="242" name="Column221" dataDxfId="16191" dataCellStyle="Normal"/>
    <tableColumn id="243" name="Column222" dataDxfId="16190" dataCellStyle="Normal"/>
    <tableColumn id="244" name="Column223" dataDxfId="16189" dataCellStyle="Normal"/>
    <tableColumn id="245" name="Column224" dataDxfId="16188" dataCellStyle="Normal"/>
    <tableColumn id="246" name="Column225" dataDxfId="16187" dataCellStyle="Normal"/>
    <tableColumn id="247" name="Column226" dataDxfId="16186" dataCellStyle="Normal"/>
    <tableColumn id="248" name="Column227" dataDxfId="16185" dataCellStyle="Normal"/>
    <tableColumn id="249" name="Column228" dataDxfId="16184" dataCellStyle="Normal"/>
    <tableColumn id="250" name="Column229" dataDxfId="16183" dataCellStyle="Normal"/>
    <tableColumn id="251" name="Column230" dataDxfId="16182" dataCellStyle="Normal"/>
    <tableColumn id="252" name="Column231" dataDxfId="16181" dataCellStyle="Normal"/>
    <tableColumn id="253" name="Column232" dataDxfId="16180" dataCellStyle="Normal"/>
    <tableColumn id="254" name="Column233" dataDxfId="16179" dataCellStyle="Normal"/>
    <tableColumn id="255" name="Column234" dataDxfId="16178" dataCellStyle="Normal"/>
    <tableColumn id="256" name="Column235" dataDxfId="16177" dataCellStyle="Normal"/>
    <tableColumn id="257" name="Column236" dataDxfId="16176" dataCellStyle="Normal"/>
    <tableColumn id="258" name="Column237" dataDxfId="16175" dataCellStyle="Normal"/>
    <tableColumn id="259" name="Column238" dataDxfId="16174" dataCellStyle="Normal"/>
    <tableColumn id="260" name="Column239" dataDxfId="16173" dataCellStyle="Normal"/>
    <tableColumn id="261" name="Column240" dataDxfId="16172" dataCellStyle="Normal"/>
    <tableColumn id="262" name="Column241" dataDxfId="16171" dataCellStyle="Normal"/>
    <tableColumn id="263" name="Column242" dataDxfId="16170" dataCellStyle="Normal"/>
    <tableColumn id="264" name="Column243" dataDxfId="16169" dataCellStyle="Normal"/>
    <tableColumn id="265" name="Column244" dataDxfId="16168" dataCellStyle="Normal"/>
    <tableColumn id="266" name="Column245" dataDxfId="16167" dataCellStyle="Normal"/>
    <tableColumn id="267" name="Column246" dataDxfId="16166" dataCellStyle="Normal"/>
    <tableColumn id="268" name="Column247" dataDxfId="16165" dataCellStyle="Normal"/>
    <tableColumn id="269" name="Column248" dataDxfId="16164" dataCellStyle="Normal"/>
    <tableColumn id="270" name="Column249" dataDxfId="16163" dataCellStyle="Normal"/>
    <tableColumn id="271" name="Column250" dataDxfId="16162" dataCellStyle="Normal"/>
    <tableColumn id="272" name="Column251" dataDxfId="16161" dataCellStyle="Normal"/>
    <tableColumn id="273" name="Column252" dataDxfId="16160" dataCellStyle="Normal"/>
    <tableColumn id="274" name="Column253" dataDxfId="16159" dataCellStyle="Normal"/>
    <tableColumn id="275" name="Column254" dataDxfId="16158" dataCellStyle="Normal"/>
    <tableColumn id="276" name="Column255" dataDxfId="16157" dataCellStyle="Normal"/>
    <tableColumn id="277" name="Column256" dataDxfId="16156" dataCellStyle="Normal"/>
    <tableColumn id="278" name="Column257" dataDxfId="16155" dataCellStyle="Normal"/>
    <tableColumn id="279" name="Column258" dataDxfId="16154" dataCellStyle="Normal"/>
    <tableColumn id="280" name="Column259" dataDxfId="16153" dataCellStyle="Normal"/>
    <tableColumn id="281" name="Column260" dataDxfId="16152" dataCellStyle="Normal"/>
    <tableColumn id="282" name="Column261" dataDxfId="16151" dataCellStyle="Normal"/>
    <tableColumn id="283" name="Column262" dataDxfId="16150" dataCellStyle="Normal"/>
    <tableColumn id="284" name="Column263" dataDxfId="16149" dataCellStyle="Normal"/>
    <tableColumn id="285" name="Column264" dataDxfId="16148" dataCellStyle="Normal"/>
    <tableColumn id="286" name="Column265" dataDxfId="16147" dataCellStyle="Normal"/>
    <tableColumn id="287" name="Column266" dataDxfId="16146" dataCellStyle="Normal"/>
    <tableColumn id="288" name="Column267" dataDxfId="16145" dataCellStyle="Normal"/>
    <tableColumn id="289" name="Column268" dataDxfId="16144" dataCellStyle="Normal"/>
    <tableColumn id="290" name="Column269" dataDxfId="16143" dataCellStyle="Normal"/>
    <tableColumn id="291" name="Column270" dataDxfId="16142" dataCellStyle="Normal"/>
    <tableColumn id="292" name="Column271" dataDxfId="16141" dataCellStyle="Normal"/>
    <tableColumn id="293" name="Column272" dataDxfId="16140" dataCellStyle="Normal"/>
    <tableColumn id="294" name="Column273" dataDxfId="16139" dataCellStyle="Normal"/>
    <tableColumn id="295" name="Column274" dataDxfId="16138" dataCellStyle="Normal"/>
    <tableColumn id="296" name="Column275" dataDxfId="16137" dataCellStyle="Normal"/>
    <tableColumn id="297" name="Column276" dataDxfId="16136" dataCellStyle="Normal"/>
    <tableColumn id="298" name="Column277" dataDxfId="16135" dataCellStyle="Normal"/>
    <tableColumn id="299" name="Column278" dataDxfId="16134" dataCellStyle="Normal"/>
    <tableColumn id="300" name="Column279" dataDxfId="16133" dataCellStyle="Normal"/>
    <tableColumn id="301" name="Column280" dataDxfId="16132" dataCellStyle="Normal"/>
    <tableColumn id="302" name="Column281" dataDxfId="16131" dataCellStyle="Normal"/>
    <tableColumn id="303" name="Column282" dataDxfId="16130" dataCellStyle="Normal"/>
    <tableColumn id="304" name="Column283" dataDxfId="16129" dataCellStyle="Normal"/>
    <tableColumn id="305" name="Column284" dataDxfId="16128" dataCellStyle="Normal"/>
    <tableColumn id="306" name="Column285" dataDxfId="16127" dataCellStyle="Normal"/>
    <tableColumn id="307" name="Column286" dataDxfId="16126" dataCellStyle="Normal"/>
    <tableColumn id="308" name="Column287" dataDxfId="16125" dataCellStyle="Normal"/>
    <tableColumn id="309" name="Column288" dataDxfId="16124" dataCellStyle="Normal"/>
    <tableColumn id="310" name="Column289" dataDxfId="16123" dataCellStyle="Normal"/>
    <tableColumn id="311" name="Column290" dataDxfId="16122" dataCellStyle="Normal"/>
    <tableColumn id="312" name="Column291" dataDxfId="16121" dataCellStyle="Normal"/>
    <tableColumn id="313" name="Column292" dataDxfId="16120" dataCellStyle="Normal"/>
    <tableColumn id="314" name="Column293" dataDxfId="16119" dataCellStyle="Normal"/>
    <tableColumn id="315" name="Column294" dataDxfId="16118" dataCellStyle="Normal"/>
    <tableColumn id="316" name="Column295" dataDxfId="16117" dataCellStyle="Normal"/>
    <tableColumn id="317" name="Column296" dataDxfId="16116" dataCellStyle="Normal"/>
    <tableColumn id="318" name="Column297" dataDxfId="16115" dataCellStyle="Normal"/>
    <tableColumn id="319" name="Column298" dataDxfId="16114" dataCellStyle="Normal"/>
    <tableColumn id="320" name="Column299" dataDxfId="16113" dataCellStyle="Normal"/>
    <tableColumn id="321" name="Column300" dataDxfId="16112" dataCellStyle="Normal"/>
    <tableColumn id="322" name="Column301" dataDxfId="16111" dataCellStyle="Normal"/>
    <tableColumn id="323" name="Column302" dataDxfId="16110" dataCellStyle="Normal"/>
    <tableColumn id="324" name="Column303" dataDxfId="16109" dataCellStyle="Normal"/>
    <tableColumn id="325" name="Column304" dataDxfId="16108" dataCellStyle="Normal"/>
    <tableColumn id="326" name="Column305" dataDxfId="16107" dataCellStyle="Normal"/>
    <tableColumn id="327" name="Column306" dataDxfId="16106" dataCellStyle="Normal"/>
    <tableColumn id="328" name="Column307" dataDxfId="16105" dataCellStyle="Normal"/>
    <tableColumn id="329" name="Column308" dataDxfId="16104" dataCellStyle="Normal"/>
    <tableColumn id="330" name="Column309" dataDxfId="16103" dataCellStyle="Normal"/>
    <tableColumn id="331" name="Column310" dataDxfId="16102" dataCellStyle="Normal"/>
    <tableColumn id="332" name="Column311" dataDxfId="16101" dataCellStyle="Normal"/>
    <tableColumn id="333" name="Column312" dataDxfId="16100" dataCellStyle="Normal"/>
    <tableColumn id="334" name="Column313" dataDxfId="16099" dataCellStyle="Normal"/>
    <tableColumn id="335" name="Column314" dataDxfId="16098" dataCellStyle="Normal"/>
    <tableColumn id="336" name="Column315" dataDxfId="16097" dataCellStyle="Normal"/>
    <tableColumn id="337" name="Column316" dataDxfId="16096" dataCellStyle="Normal"/>
    <tableColumn id="338" name="Column317" dataDxfId="16095" dataCellStyle="Normal"/>
    <tableColumn id="339" name="Column318" dataDxfId="16094" dataCellStyle="Normal"/>
    <tableColumn id="340" name="Column319" dataDxfId="16093" dataCellStyle="Normal"/>
    <tableColumn id="341" name="Column320" dataDxfId="16092" dataCellStyle="Normal"/>
    <tableColumn id="342" name="Column321" dataDxfId="16091" dataCellStyle="Normal"/>
    <tableColumn id="343" name="Column322" dataDxfId="16090" dataCellStyle="Normal"/>
    <tableColumn id="344" name="Column323" dataDxfId="16089" dataCellStyle="Normal"/>
    <tableColumn id="345" name="Column324" dataDxfId="16088" dataCellStyle="Normal"/>
    <tableColumn id="346" name="Column325" dataDxfId="16087" dataCellStyle="Normal"/>
    <tableColumn id="347" name="Column326" dataDxfId="16086" dataCellStyle="Normal"/>
    <tableColumn id="348" name="Column327" dataDxfId="16085" dataCellStyle="Normal"/>
    <tableColumn id="349" name="Column328" dataDxfId="16084" dataCellStyle="Normal"/>
    <tableColumn id="350" name="Column329" dataDxfId="16083" dataCellStyle="Normal"/>
    <tableColumn id="351" name="Column330" dataDxfId="16082" dataCellStyle="Normal"/>
    <tableColumn id="352" name="Column331" dataDxfId="16081" dataCellStyle="Normal"/>
    <tableColumn id="353" name="Column332" dataDxfId="16080" dataCellStyle="Normal"/>
    <tableColumn id="354" name="Column333" dataDxfId="16079" dataCellStyle="Normal"/>
    <tableColumn id="355" name="Column334" dataDxfId="16078" dataCellStyle="Normal"/>
    <tableColumn id="356" name="Column335" dataDxfId="16077" dataCellStyle="Normal"/>
    <tableColumn id="357" name="Column336" dataDxfId="16076" dataCellStyle="Normal"/>
    <tableColumn id="358" name="Column337" dataDxfId="16075" dataCellStyle="Normal"/>
    <tableColumn id="359" name="Column338" dataDxfId="16074" dataCellStyle="Normal"/>
    <tableColumn id="360" name="Column339" dataDxfId="16073" dataCellStyle="Normal"/>
    <tableColumn id="361" name="Column340" dataDxfId="16072" dataCellStyle="Normal"/>
    <tableColumn id="362" name="Column341" dataDxfId="16071" dataCellStyle="Normal"/>
    <tableColumn id="363" name="Column342" dataDxfId="16070" dataCellStyle="Normal"/>
    <tableColumn id="364" name="Column343" dataDxfId="16069" dataCellStyle="Normal"/>
    <tableColumn id="365" name="Column344" dataDxfId="16068" dataCellStyle="Normal"/>
    <tableColumn id="366" name="Column345" dataDxfId="16067" dataCellStyle="Normal"/>
    <tableColumn id="367" name="Column346" dataDxfId="16066" dataCellStyle="Normal"/>
    <tableColumn id="368" name="Column347" dataDxfId="16065" dataCellStyle="Normal"/>
    <tableColumn id="369" name="Column348" dataDxfId="16064" dataCellStyle="Normal"/>
    <tableColumn id="370" name="Column349" dataDxfId="16063" dataCellStyle="Normal"/>
    <tableColumn id="371" name="Column350" dataDxfId="16062" dataCellStyle="Normal"/>
    <tableColumn id="372" name="Column351" dataDxfId="16061" dataCellStyle="Normal"/>
    <tableColumn id="373" name="Column352" dataDxfId="16060" dataCellStyle="Normal"/>
    <tableColumn id="374" name="Column353" dataDxfId="16059" dataCellStyle="Normal"/>
    <tableColumn id="375" name="Column354" dataDxfId="16058" dataCellStyle="Normal"/>
    <tableColumn id="376" name="Column355" dataDxfId="16057" dataCellStyle="Normal"/>
    <tableColumn id="377" name="Column356" dataDxfId="16056" dataCellStyle="Normal"/>
    <tableColumn id="378" name="Column357" dataDxfId="16055" dataCellStyle="Normal"/>
    <tableColumn id="379" name="Column358" dataDxfId="16054" dataCellStyle="Normal"/>
    <tableColumn id="380" name="Column359" dataDxfId="16053" dataCellStyle="Normal"/>
    <tableColumn id="381" name="Column360" dataDxfId="16052" dataCellStyle="Normal"/>
    <tableColumn id="382" name="Column361" dataDxfId="16051" dataCellStyle="Normal"/>
    <tableColumn id="383" name="Column362" dataDxfId="16050" dataCellStyle="Normal"/>
    <tableColumn id="384" name="Column363" dataDxfId="16049" dataCellStyle="Normal"/>
    <tableColumn id="385" name="Column364" dataDxfId="16048" dataCellStyle="Normal"/>
    <tableColumn id="386" name="Column365" dataDxfId="16047" dataCellStyle="Normal"/>
    <tableColumn id="387" name="Column366" dataDxfId="16046" dataCellStyle="Normal"/>
    <tableColumn id="388" name="Column367" dataDxfId="16045" dataCellStyle="Normal"/>
    <tableColumn id="389" name="Column368" dataDxfId="16044" dataCellStyle="Normal"/>
    <tableColumn id="390" name="Column369" dataDxfId="16043" dataCellStyle="Normal"/>
    <tableColumn id="391" name="Column370" dataDxfId="16042" dataCellStyle="Normal"/>
    <tableColumn id="392" name="Column371" dataDxfId="16041" dataCellStyle="Normal"/>
    <tableColumn id="393" name="Column372" dataDxfId="16040" dataCellStyle="Normal"/>
    <tableColumn id="394" name="Column373" dataDxfId="16039" dataCellStyle="Normal"/>
    <tableColumn id="395" name="Column374" dataDxfId="16038" dataCellStyle="Normal"/>
    <tableColumn id="396" name="Column375" dataDxfId="16037" dataCellStyle="Normal"/>
    <tableColumn id="397" name="Column376" dataDxfId="16036" dataCellStyle="Normal"/>
    <tableColumn id="398" name="Column377" dataDxfId="16035" dataCellStyle="Normal"/>
    <tableColumn id="399" name="Column378" dataDxfId="16034" dataCellStyle="Normal"/>
    <tableColumn id="400" name="Column379" dataDxfId="16033" dataCellStyle="Normal"/>
    <tableColumn id="401" name="Column380" dataDxfId="16032" dataCellStyle="Normal"/>
    <tableColumn id="402" name="Column381" dataDxfId="16031" dataCellStyle="Normal"/>
    <tableColumn id="403" name="Column382" dataDxfId="16030" dataCellStyle="Normal"/>
    <tableColumn id="404" name="Column383" dataDxfId="16029" dataCellStyle="Normal"/>
    <tableColumn id="405" name="Column384" dataDxfId="16028" dataCellStyle="Normal"/>
    <tableColumn id="406" name="Column385" dataDxfId="16027" dataCellStyle="Normal"/>
    <tableColumn id="407" name="Column386" dataDxfId="16026" dataCellStyle="Normal"/>
    <tableColumn id="408" name="Column387" dataDxfId="16025" dataCellStyle="Normal"/>
    <tableColumn id="409" name="Column388" dataDxfId="16024" dataCellStyle="Normal"/>
    <tableColumn id="410" name="Column389" dataDxfId="16023" dataCellStyle="Normal"/>
    <tableColumn id="411" name="Column390" dataDxfId="16022" dataCellStyle="Normal"/>
    <tableColumn id="412" name="Column391" dataDxfId="16021" dataCellStyle="Normal"/>
    <tableColumn id="413" name="Column392" dataDxfId="16020" dataCellStyle="Normal"/>
    <tableColumn id="414" name="Column393" dataDxfId="16019" dataCellStyle="Normal"/>
    <tableColumn id="415" name="Column394" dataDxfId="16018" dataCellStyle="Normal"/>
    <tableColumn id="416" name="Column395" dataDxfId="16017" dataCellStyle="Normal"/>
    <tableColumn id="417" name="Column396" dataDxfId="16016" dataCellStyle="Normal"/>
    <tableColumn id="418" name="Column397" dataDxfId="16015" dataCellStyle="Normal"/>
    <tableColumn id="419" name="Column398" dataDxfId="16014" dataCellStyle="Normal"/>
    <tableColumn id="420" name="Column399" dataDxfId="16013" dataCellStyle="Normal"/>
    <tableColumn id="421" name="Column400" dataDxfId="16012" dataCellStyle="Normal"/>
    <tableColumn id="422" name="Column401" dataDxfId="16011" dataCellStyle="Normal"/>
    <tableColumn id="423" name="Column402" dataDxfId="16010" dataCellStyle="Normal"/>
    <tableColumn id="424" name="Column403" dataDxfId="16009" dataCellStyle="Normal"/>
    <tableColumn id="425" name="Column404" dataDxfId="16008" dataCellStyle="Normal"/>
    <tableColumn id="426" name="Column405" dataDxfId="16007" dataCellStyle="Normal"/>
    <tableColumn id="427" name="Column406" dataDxfId="16006" dataCellStyle="Normal"/>
    <tableColumn id="428" name="Column407" dataDxfId="16005" dataCellStyle="Normal"/>
    <tableColumn id="429" name="Column408" dataDxfId="16004" dataCellStyle="Normal"/>
    <tableColumn id="430" name="Column409" dataDxfId="16003" dataCellStyle="Normal"/>
    <tableColumn id="431" name="Column410" dataDxfId="16002" dataCellStyle="Normal"/>
    <tableColumn id="432" name="Column411" dataDxfId="16001" dataCellStyle="Normal"/>
    <tableColumn id="433" name="Column412" dataDxfId="16000" dataCellStyle="Normal"/>
    <tableColumn id="434" name="Column413" dataDxfId="15999" dataCellStyle="Normal"/>
    <tableColumn id="435" name="Column414" dataDxfId="15998" dataCellStyle="Normal"/>
    <tableColumn id="436" name="Column415" dataDxfId="15997" dataCellStyle="Normal"/>
    <tableColumn id="437" name="Column416" dataDxfId="15996" dataCellStyle="Normal"/>
    <tableColumn id="438" name="Column417" dataDxfId="15995" dataCellStyle="Normal"/>
    <tableColumn id="439" name="Column418" dataDxfId="15994" dataCellStyle="Normal"/>
    <tableColumn id="440" name="Column419" dataDxfId="15993" dataCellStyle="Normal"/>
    <tableColumn id="441" name="Column420" dataDxfId="15992" dataCellStyle="Normal"/>
    <tableColumn id="442" name="Column421" dataDxfId="15991" dataCellStyle="Normal"/>
    <tableColumn id="443" name="Column422" dataDxfId="15990" dataCellStyle="Normal"/>
    <tableColumn id="444" name="Column423" dataDxfId="15989" dataCellStyle="Normal"/>
    <tableColumn id="445" name="Column424" dataDxfId="15988" dataCellStyle="Normal"/>
    <tableColumn id="446" name="Column425" dataDxfId="15987" dataCellStyle="Normal"/>
    <tableColumn id="447" name="Column426" dataDxfId="15986" dataCellStyle="Normal"/>
    <tableColumn id="448" name="Column427" dataDxfId="15985" dataCellStyle="Normal"/>
    <tableColumn id="449" name="Column428" dataDxfId="15984" dataCellStyle="Normal"/>
    <tableColumn id="450" name="Column429" dataDxfId="15983" dataCellStyle="Normal"/>
    <tableColumn id="451" name="Column430" dataDxfId="15982" dataCellStyle="Normal"/>
    <tableColumn id="452" name="Column431" dataDxfId="15981" dataCellStyle="Normal"/>
    <tableColumn id="453" name="Column432" dataDxfId="15980" dataCellStyle="Normal"/>
    <tableColumn id="454" name="Column433" dataDxfId="15979" dataCellStyle="Normal"/>
    <tableColumn id="455" name="Column434" dataDxfId="15978" dataCellStyle="Normal"/>
    <tableColumn id="456" name="Column435" dataDxfId="15977" dataCellStyle="Normal"/>
    <tableColumn id="457" name="Column436" dataDxfId="15976" dataCellStyle="Normal"/>
    <tableColumn id="458" name="Column437" dataDxfId="15975" dataCellStyle="Normal"/>
    <tableColumn id="459" name="Column438" dataDxfId="15974" dataCellStyle="Normal"/>
    <tableColumn id="460" name="Column439" dataDxfId="15973" dataCellStyle="Normal"/>
    <tableColumn id="461" name="Column440" dataDxfId="15972" dataCellStyle="Normal"/>
    <tableColumn id="462" name="Column441" dataDxfId="15971" dataCellStyle="Normal"/>
    <tableColumn id="463" name="Column442" dataDxfId="15970" dataCellStyle="Normal"/>
    <tableColumn id="464" name="Column443" dataDxfId="15969" dataCellStyle="Normal"/>
    <tableColumn id="465" name="Column444" dataDxfId="15968" dataCellStyle="Normal"/>
    <tableColumn id="466" name="Column445" dataDxfId="15967" dataCellStyle="Normal"/>
    <tableColumn id="467" name="Column446" dataDxfId="15966" dataCellStyle="Normal"/>
    <tableColumn id="468" name="Column447" dataDxfId="15965" dataCellStyle="Normal"/>
    <tableColumn id="469" name="Column448" dataDxfId="15964" dataCellStyle="Normal"/>
    <tableColumn id="470" name="Column449" dataDxfId="15963" dataCellStyle="Normal"/>
    <tableColumn id="471" name="Column450" dataDxfId="15962" dataCellStyle="Normal"/>
    <tableColumn id="472" name="Column451" dataDxfId="15961" dataCellStyle="Normal"/>
    <tableColumn id="473" name="Column452" dataDxfId="15960" dataCellStyle="Normal"/>
    <tableColumn id="474" name="Column453" dataDxfId="15959" dataCellStyle="Normal"/>
    <tableColumn id="475" name="Column454" dataDxfId="15958" dataCellStyle="Normal"/>
    <tableColumn id="476" name="Column455" dataDxfId="15957" dataCellStyle="Normal"/>
    <tableColumn id="477" name="Column456" dataDxfId="15956" dataCellStyle="Normal"/>
    <tableColumn id="478" name="Column457" dataDxfId="15955" dataCellStyle="Normal"/>
    <tableColumn id="479" name="Column458" dataDxfId="15954" dataCellStyle="Normal"/>
    <tableColumn id="480" name="Column459" dataDxfId="15953" dataCellStyle="Normal"/>
    <tableColumn id="481" name="Column460" dataDxfId="15952" dataCellStyle="Normal"/>
    <tableColumn id="482" name="Column461" dataDxfId="15951" dataCellStyle="Normal"/>
    <tableColumn id="483" name="Column462" dataDxfId="15950" dataCellStyle="Normal"/>
    <tableColumn id="484" name="Column463" dataDxfId="15949" dataCellStyle="Normal"/>
    <tableColumn id="485" name="Column464" dataDxfId="15948" dataCellStyle="Normal"/>
    <tableColumn id="486" name="Column465" dataDxfId="15947" dataCellStyle="Normal"/>
    <tableColumn id="487" name="Column466" dataDxfId="15946" dataCellStyle="Normal"/>
    <tableColumn id="488" name="Column467" dataDxfId="15945" dataCellStyle="Normal"/>
    <tableColumn id="489" name="Column468" dataDxfId="15944" dataCellStyle="Normal"/>
    <tableColumn id="490" name="Column469" dataDxfId="15943" dataCellStyle="Normal"/>
    <tableColumn id="491" name="Column470" dataDxfId="15942" dataCellStyle="Normal"/>
    <tableColumn id="492" name="Column471" dataDxfId="15941" dataCellStyle="Normal"/>
    <tableColumn id="493" name="Column472" dataDxfId="15940" dataCellStyle="Normal"/>
    <tableColumn id="494" name="Column473" dataDxfId="15939" dataCellStyle="Normal"/>
    <tableColumn id="495" name="Column474" dataDxfId="15938" dataCellStyle="Normal"/>
    <tableColumn id="496" name="Column475" dataDxfId="15937" dataCellStyle="Normal"/>
    <tableColumn id="497" name="Column476" dataDxfId="15936" dataCellStyle="Normal"/>
    <tableColumn id="498" name="Column477" dataDxfId="15935" dataCellStyle="Normal"/>
    <tableColumn id="499" name="Column478" dataDxfId="15934" dataCellStyle="Normal"/>
    <tableColumn id="500" name="Column479" dataDxfId="15933" dataCellStyle="Normal"/>
    <tableColumn id="501" name="Column480" dataDxfId="15932" dataCellStyle="Normal"/>
    <tableColumn id="502" name="Column481" dataDxfId="15931" dataCellStyle="Normal"/>
    <tableColumn id="503" name="Column482" dataDxfId="15930" dataCellStyle="Normal"/>
    <tableColumn id="504" name="Column483" dataDxfId="15929" dataCellStyle="Normal"/>
    <tableColumn id="505" name="Column484" dataDxfId="15928" dataCellStyle="Normal"/>
    <tableColumn id="506" name="Column485" dataDxfId="15927" dataCellStyle="Normal"/>
    <tableColumn id="507" name="Column486" dataDxfId="15926" dataCellStyle="Normal"/>
    <tableColumn id="508" name="Column487" dataDxfId="15925" dataCellStyle="Normal"/>
    <tableColumn id="509" name="Column488" dataDxfId="15924" dataCellStyle="Normal"/>
    <tableColumn id="510" name="Column489" dataDxfId="15923" dataCellStyle="Normal"/>
    <tableColumn id="511" name="Column490" dataDxfId="15922" dataCellStyle="Normal"/>
    <tableColumn id="512" name="Column491" dataDxfId="15921" dataCellStyle="Normal"/>
    <tableColumn id="513" name="Column492" dataDxfId="15920" dataCellStyle="Normal"/>
    <tableColumn id="514" name="Column493" dataDxfId="15919" dataCellStyle="Normal"/>
    <tableColumn id="515" name="Column494" dataDxfId="15918" dataCellStyle="Normal"/>
    <tableColumn id="516" name="Column495" dataDxfId="15917" dataCellStyle="Normal"/>
    <tableColumn id="517" name="Column496" dataDxfId="15916" dataCellStyle="Normal"/>
    <tableColumn id="518" name="Column497" dataDxfId="15915" dataCellStyle="Normal"/>
    <tableColumn id="519" name="Column498" dataDxfId="15914" dataCellStyle="Normal"/>
    <tableColumn id="520" name="Column499" dataDxfId="15913" dataCellStyle="Normal"/>
    <tableColumn id="521" name="Column500" dataDxfId="15912" dataCellStyle="Normal"/>
    <tableColumn id="522" name="Column501" dataDxfId="15911" dataCellStyle="Normal"/>
    <tableColumn id="523" name="Column502" dataDxfId="15910" dataCellStyle="Normal"/>
    <tableColumn id="524" name="Column503" dataDxfId="15909" dataCellStyle="Normal"/>
    <tableColumn id="525" name="Column504" dataDxfId="15908" dataCellStyle="Normal"/>
    <tableColumn id="526" name="Column505" dataDxfId="15907" dataCellStyle="Normal"/>
    <tableColumn id="527" name="Column506" dataDxfId="15906" dataCellStyle="Normal"/>
    <tableColumn id="528" name="Column507" dataDxfId="15905" dataCellStyle="Normal"/>
    <tableColumn id="529" name="Column508" dataDxfId="15904" dataCellStyle="Normal"/>
    <tableColumn id="530" name="Column509" dataDxfId="15903" dataCellStyle="Normal"/>
    <tableColumn id="531" name="Column510" dataDxfId="15902" dataCellStyle="Normal"/>
    <tableColumn id="532" name="Column511" dataDxfId="15901" dataCellStyle="Normal"/>
    <tableColumn id="533" name="Column512" dataDxfId="15900" dataCellStyle="Normal"/>
    <tableColumn id="534" name="Column513" dataDxfId="15899" dataCellStyle="Normal"/>
    <tableColumn id="535" name="Column514" dataDxfId="15898" dataCellStyle="Normal"/>
    <tableColumn id="536" name="Column515" dataDxfId="15897" dataCellStyle="Normal"/>
    <tableColumn id="537" name="Column516" dataDxfId="15896" dataCellStyle="Normal"/>
    <tableColumn id="538" name="Column517" dataDxfId="15895" dataCellStyle="Normal"/>
    <tableColumn id="539" name="Column518" dataDxfId="15894" dataCellStyle="Normal"/>
    <tableColumn id="540" name="Column519" dataDxfId="15893" dataCellStyle="Normal"/>
    <tableColumn id="541" name="Column520" dataDxfId="15892" dataCellStyle="Normal"/>
    <tableColumn id="542" name="Column521" dataDxfId="15891" dataCellStyle="Normal"/>
    <tableColumn id="543" name="Column522" dataDxfId="15890" dataCellStyle="Normal"/>
    <tableColumn id="544" name="Column523" dataDxfId="15889" dataCellStyle="Normal"/>
    <tableColumn id="545" name="Column524" dataDxfId="15888" dataCellStyle="Normal"/>
    <tableColumn id="546" name="Column525" dataDxfId="15887" dataCellStyle="Normal"/>
    <tableColumn id="547" name="Column526" dataDxfId="15886" dataCellStyle="Normal"/>
    <tableColumn id="548" name="Column527" dataDxfId="15885" dataCellStyle="Normal"/>
    <tableColumn id="549" name="Column528" dataDxfId="15884" dataCellStyle="Normal"/>
    <tableColumn id="550" name="Column529" dataDxfId="15883" dataCellStyle="Normal"/>
    <tableColumn id="551" name="Column530" dataDxfId="15882" dataCellStyle="Normal"/>
    <tableColumn id="552" name="Column531" dataDxfId="15881" dataCellStyle="Normal"/>
    <tableColumn id="553" name="Column532" dataDxfId="15880" dataCellStyle="Normal"/>
    <tableColumn id="554" name="Column533" dataDxfId="15879" dataCellStyle="Normal"/>
    <tableColumn id="555" name="Column534" dataDxfId="15878" dataCellStyle="Normal"/>
    <tableColumn id="556" name="Column535" dataDxfId="15877" dataCellStyle="Normal"/>
    <tableColumn id="557" name="Column536" dataDxfId="15876" dataCellStyle="Normal"/>
    <tableColumn id="558" name="Column537" dataDxfId="15875" dataCellStyle="Normal"/>
    <tableColumn id="559" name="Column538" dataDxfId="15874" dataCellStyle="Normal"/>
    <tableColumn id="560" name="Column539" dataDxfId="15873" dataCellStyle="Normal"/>
    <tableColumn id="561" name="Column540" dataDxfId="15872" dataCellStyle="Normal"/>
    <tableColumn id="562" name="Column541" dataDxfId="15871" dataCellStyle="Normal"/>
    <tableColumn id="563" name="Column542" dataDxfId="15870" dataCellStyle="Normal"/>
    <tableColumn id="564" name="Column543" dataDxfId="15869" dataCellStyle="Normal"/>
    <tableColumn id="565" name="Column544" dataDxfId="15868" dataCellStyle="Normal"/>
    <tableColumn id="566" name="Column545" dataDxfId="15867" dataCellStyle="Normal"/>
    <tableColumn id="567" name="Column546" dataDxfId="15866" dataCellStyle="Normal"/>
    <tableColumn id="568" name="Column547" dataDxfId="15865" dataCellStyle="Normal"/>
    <tableColumn id="569" name="Column548" dataDxfId="15864" dataCellStyle="Normal"/>
    <tableColumn id="570" name="Column549" dataDxfId="15863" dataCellStyle="Normal"/>
    <tableColumn id="571" name="Column550" dataDxfId="15862" dataCellStyle="Normal"/>
    <tableColumn id="572" name="Column551" dataDxfId="15861" dataCellStyle="Normal"/>
    <tableColumn id="573" name="Column552" dataDxfId="15860" dataCellStyle="Normal"/>
    <tableColumn id="574" name="Column553" dataDxfId="15859" dataCellStyle="Normal"/>
    <tableColumn id="575" name="Column554" dataDxfId="15858" dataCellStyle="Normal"/>
    <tableColumn id="576" name="Column555" dataDxfId="15857" dataCellStyle="Normal"/>
    <tableColumn id="577" name="Column556" dataDxfId="15856" dataCellStyle="Normal"/>
    <tableColumn id="578" name="Column557" dataDxfId="15855" dataCellStyle="Normal"/>
    <tableColumn id="579" name="Column558" dataDxfId="15854" dataCellStyle="Normal"/>
    <tableColumn id="580" name="Column559" dataDxfId="15853" dataCellStyle="Normal"/>
    <tableColumn id="581" name="Column560" dataDxfId="15852" dataCellStyle="Normal"/>
    <tableColumn id="582" name="Column561" dataDxfId="15851" dataCellStyle="Normal"/>
    <tableColumn id="583" name="Column562" dataDxfId="15850" dataCellStyle="Normal"/>
    <tableColumn id="584" name="Column563" dataDxfId="15849" dataCellStyle="Normal"/>
    <tableColumn id="585" name="Column564" dataDxfId="15848" dataCellStyle="Normal"/>
    <tableColumn id="586" name="Column565" dataDxfId="15847" dataCellStyle="Normal"/>
    <tableColumn id="587" name="Column566" dataDxfId="15846" dataCellStyle="Normal"/>
    <tableColumn id="588" name="Column567" dataDxfId="15845" dataCellStyle="Normal"/>
    <tableColumn id="589" name="Column568" dataDxfId="15844" dataCellStyle="Normal"/>
    <tableColumn id="590" name="Column569" dataDxfId="15843" dataCellStyle="Normal"/>
    <tableColumn id="591" name="Column570" dataDxfId="15842" dataCellStyle="Normal"/>
    <tableColumn id="592" name="Column571" dataDxfId="15841" dataCellStyle="Normal"/>
    <tableColumn id="593" name="Column572" dataDxfId="15840" dataCellStyle="Normal"/>
    <tableColumn id="594" name="Column573" dataDxfId="15839" dataCellStyle="Normal"/>
    <tableColumn id="595" name="Column574" dataDxfId="15838" dataCellStyle="Normal"/>
    <tableColumn id="596" name="Column575" dataDxfId="15837" dataCellStyle="Normal"/>
    <tableColumn id="597" name="Column576" dataDxfId="15836" dataCellStyle="Normal"/>
    <tableColumn id="598" name="Column577" dataDxfId="15835" dataCellStyle="Normal"/>
    <tableColumn id="599" name="Column578" dataDxfId="15834" dataCellStyle="Normal"/>
    <tableColumn id="600" name="Column579" dataDxfId="15833" dataCellStyle="Normal"/>
    <tableColumn id="601" name="Column580" dataDxfId="15832" dataCellStyle="Normal"/>
    <tableColumn id="602" name="Column581" dataDxfId="15831" dataCellStyle="Normal"/>
    <tableColumn id="603" name="Column582" dataDxfId="15830" dataCellStyle="Normal"/>
    <tableColumn id="604" name="Column583" dataDxfId="15829" dataCellStyle="Normal"/>
    <tableColumn id="605" name="Column584" dataDxfId="15828" dataCellStyle="Normal"/>
    <tableColumn id="606" name="Column585" dataDxfId="15827" dataCellStyle="Normal"/>
    <tableColumn id="607" name="Column586" dataDxfId="15826" dataCellStyle="Normal"/>
    <tableColumn id="608" name="Column587" dataDxfId="15825" dataCellStyle="Normal"/>
    <tableColumn id="609" name="Column588" dataDxfId="15824" dataCellStyle="Normal"/>
    <tableColumn id="610" name="Column589" dataDxfId="15823" dataCellStyle="Normal"/>
    <tableColumn id="611" name="Column590" dataDxfId="15822" dataCellStyle="Normal"/>
    <tableColumn id="612" name="Column591" dataDxfId="15821" dataCellStyle="Normal"/>
    <tableColumn id="613" name="Column592" dataDxfId="15820" dataCellStyle="Normal"/>
    <tableColumn id="614" name="Column593" dataDxfId="15819" dataCellStyle="Normal"/>
    <tableColumn id="615" name="Column594" dataDxfId="15818" dataCellStyle="Normal"/>
    <tableColumn id="616" name="Column595" dataDxfId="15817" dataCellStyle="Normal"/>
    <tableColumn id="617" name="Column596" dataDxfId="15816" dataCellStyle="Normal"/>
    <tableColumn id="618" name="Column597" dataDxfId="15815" dataCellStyle="Normal"/>
    <tableColumn id="619" name="Column598" dataDxfId="15814" dataCellStyle="Normal"/>
    <tableColumn id="620" name="Column599" dataDxfId="15813" dataCellStyle="Normal"/>
    <tableColumn id="621" name="Column600" dataDxfId="15812" dataCellStyle="Normal"/>
    <tableColumn id="622" name="Column601" dataDxfId="15811" dataCellStyle="Normal"/>
    <tableColumn id="623" name="Column602" dataDxfId="15810" dataCellStyle="Normal"/>
    <tableColumn id="624" name="Column603" dataDxfId="15809" dataCellStyle="Normal"/>
    <tableColumn id="625" name="Column604" dataDxfId="15808" dataCellStyle="Normal"/>
    <tableColumn id="626" name="Column605" dataDxfId="15807" dataCellStyle="Normal"/>
    <tableColumn id="627" name="Column606" dataDxfId="15806" dataCellStyle="Normal"/>
    <tableColumn id="628" name="Column607" dataDxfId="15805" dataCellStyle="Normal"/>
    <tableColumn id="629" name="Column608" dataDxfId="15804" dataCellStyle="Normal"/>
    <tableColumn id="630" name="Column609" dataDxfId="15803" dataCellStyle="Normal"/>
    <tableColumn id="631" name="Column610" dataDxfId="15802" dataCellStyle="Normal"/>
    <tableColumn id="632" name="Column611" dataDxfId="15801" dataCellStyle="Normal"/>
    <tableColumn id="633" name="Column612" dataDxfId="15800" dataCellStyle="Normal"/>
    <tableColumn id="634" name="Column613" dataDxfId="15799" dataCellStyle="Normal"/>
    <tableColumn id="635" name="Column614" dataDxfId="15798" dataCellStyle="Normal"/>
    <tableColumn id="636" name="Column615" dataDxfId="15797" dataCellStyle="Normal"/>
    <tableColumn id="637" name="Column616" dataDxfId="15796" dataCellStyle="Normal"/>
    <tableColumn id="638" name="Column617" dataDxfId="15795" dataCellStyle="Normal"/>
    <tableColumn id="639" name="Column618" dataDxfId="15794" dataCellStyle="Normal"/>
    <tableColumn id="640" name="Column619" dataDxfId="15793" dataCellStyle="Normal"/>
    <tableColumn id="641" name="Column620" dataDxfId="15792" dataCellStyle="Normal"/>
    <tableColumn id="642" name="Column621" dataDxfId="15791" dataCellStyle="Normal"/>
    <tableColumn id="643" name="Column622" dataDxfId="15790" dataCellStyle="Normal"/>
    <tableColumn id="644" name="Column623" dataDxfId="15789" dataCellStyle="Normal"/>
    <tableColumn id="645" name="Column624" dataDxfId="15788" dataCellStyle="Normal"/>
    <tableColumn id="646" name="Column625" dataDxfId="15787" dataCellStyle="Normal"/>
    <tableColumn id="647" name="Column626" dataDxfId="15786" dataCellStyle="Normal"/>
    <tableColumn id="648" name="Column627" dataDxfId="15785" dataCellStyle="Normal"/>
    <tableColumn id="649" name="Column628" dataDxfId="15784" dataCellStyle="Normal"/>
    <tableColumn id="650" name="Column629" dataDxfId="15783" dataCellStyle="Normal"/>
    <tableColumn id="651" name="Column630" dataDxfId="15782" dataCellStyle="Normal"/>
    <tableColumn id="652" name="Column631" dataDxfId="15781" dataCellStyle="Normal"/>
    <tableColumn id="653" name="Column632" dataDxfId="15780" dataCellStyle="Normal"/>
    <tableColumn id="654" name="Column633" dataDxfId="15779" dataCellStyle="Normal"/>
    <tableColumn id="655" name="Column634" dataDxfId="15778" dataCellStyle="Normal"/>
    <tableColumn id="656" name="Column635" dataDxfId="15777" dataCellStyle="Normal"/>
    <tableColumn id="657" name="Column636" dataDxfId="15776" dataCellStyle="Normal"/>
    <tableColumn id="658" name="Column637" dataDxfId="15775" dataCellStyle="Normal"/>
    <tableColumn id="659" name="Column638" dataDxfId="15774" dataCellStyle="Normal"/>
    <tableColumn id="660" name="Column639" dataDxfId="15773" dataCellStyle="Normal"/>
    <tableColumn id="661" name="Column640" dataDxfId="15772" dataCellStyle="Normal"/>
    <tableColumn id="662" name="Column641" dataDxfId="15771" dataCellStyle="Normal"/>
    <tableColumn id="663" name="Column642" dataDxfId="15770" dataCellStyle="Normal"/>
    <tableColumn id="664" name="Column643" dataDxfId="15769" dataCellStyle="Normal"/>
    <tableColumn id="665" name="Column644" dataDxfId="15768" dataCellStyle="Normal"/>
    <tableColumn id="666" name="Column645" dataDxfId="15767" dataCellStyle="Normal"/>
    <tableColumn id="667" name="Column646" dataDxfId="15766" dataCellStyle="Normal"/>
    <tableColumn id="668" name="Column647" dataDxfId="15765" dataCellStyle="Normal"/>
    <tableColumn id="669" name="Column648" dataDxfId="15764" dataCellStyle="Normal"/>
    <tableColumn id="670" name="Column649" dataDxfId="15763" dataCellStyle="Normal"/>
    <tableColumn id="671" name="Column650" dataDxfId="15762" dataCellStyle="Normal"/>
    <tableColumn id="672" name="Column651" dataDxfId="15761" dataCellStyle="Normal"/>
    <tableColumn id="673" name="Column652" dataDxfId="15760" dataCellStyle="Normal"/>
    <tableColumn id="674" name="Column653" dataDxfId="15759" dataCellStyle="Normal"/>
    <tableColumn id="675" name="Column654" dataDxfId="15758" dataCellStyle="Normal"/>
    <tableColumn id="676" name="Column655" dataDxfId="15757" dataCellStyle="Normal"/>
    <tableColumn id="677" name="Column656" dataDxfId="15756" dataCellStyle="Normal"/>
    <tableColumn id="678" name="Column657" dataDxfId="15755" dataCellStyle="Normal"/>
    <tableColumn id="679" name="Column658" dataDxfId="15754" dataCellStyle="Normal"/>
    <tableColumn id="680" name="Column659" dataDxfId="15753" dataCellStyle="Normal"/>
    <tableColumn id="681" name="Column660" dataDxfId="15752" dataCellStyle="Normal"/>
    <tableColumn id="682" name="Column661" dataDxfId="15751" dataCellStyle="Normal"/>
    <tableColumn id="683" name="Column662" dataDxfId="15750" dataCellStyle="Normal"/>
    <tableColumn id="684" name="Column663" dataDxfId="15749" dataCellStyle="Normal"/>
    <tableColumn id="685" name="Column664" dataDxfId="15748" dataCellStyle="Normal"/>
    <tableColumn id="686" name="Column665" dataDxfId="15747" dataCellStyle="Normal"/>
    <tableColumn id="687" name="Column666" dataDxfId="15746" dataCellStyle="Normal"/>
    <tableColumn id="688" name="Column667" dataDxfId="15745" dataCellStyle="Normal"/>
    <tableColumn id="689" name="Column668" dataDxfId="15744" dataCellStyle="Normal"/>
    <tableColumn id="690" name="Column669" dataDxfId="15743" dataCellStyle="Normal"/>
    <tableColumn id="691" name="Column670" dataDxfId="15742" dataCellStyle="Normal"/>
    <tableColumn id="692" name="Column671" dataDxfId="15741" dataCellStyle="Normal"/>
    <tableColumn id="693" name="Column672" dataDxfId="15740" dataCellStyle="Normal"/>
    <tableColumn id="694" name="Column673" dataDxfId="15739" dataCellStyle="Normal"/>
    <tableColumn id="695" name="Column674" dataDxfId="15738" dataCellStyle="Normal"/>
    <tableColumn id="696" name="Column675" dataDxfId="15737" dataCellStyle="Normal"/>
    <tableColumn id="697" name="Column676" dataDxfId="15736" dataCellStyle="Normal"/>
    <tableColumn id="698" name="Column677" dataDxfId="15735" dataCellStyle="Normal"/>
    <tableColumn id="699" name="Column678" dataDxfId="15734" dataCellStyle="Normal"/>
    <tableColumn id="700" name="Column679" dataDxfId="15733" dataCellStyle="Normal"/>
    <tableColumn id="701" name="Column680" dataDxfId="15732" dataCellStyle="Normal"/>
    <tableColumn id="702" name="Column681" dataDxfId="15731" dataCellStyle="Normal"/>
    <tableColumn id="703" name="Column682" dataDxfId="15730" dataCellStyle="Normal"/>
    <tableColumn id="704" name="Column683" dataDxfId="15729" dataCellStyle="Normal"/>
    <tableColumn id="705" name="Column684" dataDxfId="15728" dataCellStyle="Normal"/>
    <tableColumn id="706" name="Column685" dataDxfId="15727" dataCellStyle="Normal"/>
    <tableColumn id="707" name="Column686" dataDxfId="15726" dataCellStyle="Normal"/>
    <tableColumn id="708" name="Column687" dataDxfId="15725" dataCellStyle="Normal"/>
    <tableColumn id="709" name="Column688" dataDxfId="15724" dataCellStyle="Normal"/>
    <tableColumn id="710" name="Column689" dataDxfId="15723" dataCellStyle="Normal"/>
    <tableColumn id="711" name="Column690" dataDxfId="15722" dataCellStyle="Normal"/>
    <tableColumn id="712" name="Column691" dataDxfId="15721" dataCellStyle="Normal"/>
    <tableColumn id="713" name="Column692" dataDxfId="15720" dataCellStyle="Normal"/>
    <tableColumn id="714" name="Column693" dataDxfId="15719" dataCellStyle="Normal"/>
    <tableColumn id="715" name="Column694" dataDxfId="15718" dataCellStyle="Normal"/>
    <tableColumn id="716" name="Column695" dataDxfId="15717" dataCellStyle="Normal"/>
    <tableColumn id="717" name="Column696" dataDxfId="15716" dataCellStyle="Normal"/>
    <tableColumn id="718" name="Column697" dataDxfId="15715" dataCellStyle="Normal"/>
    <tableColumn id="719" name="Column698" dataDxfId="15714" dataCellStyle="Normal"/>
    <tableColumn id="720" name="Column699" dataDxfId="15713" dataCellStyle="Normal"/>
    <tableColumn id="721" name="Column700" dataDxfId="15712" dataCellStyle="Normal"/>
    <tableColumn id="722" name="Column701" dataDxfId="15711" dataCellStyle="Normal"/>
    <tableColumn id="723" name="Column702" dataDxfId="15710" dataCellStyle="Normal"/>
    <tableColumn id="724" name="Column703" dataDxfId="15709" dataCellStyle="Normal"/>
    <tableColumn id="725" name="Column704" dataDxfId="15708" dataCellStyle="Normal"/>
    <tableColumn id="726" name="Column705" dataDxfId="15707" dataCellStyle="Normal"/>
    <tableColumn id="727" name="Column706" dataDxfId="15706" dataCellStyle="Normal"/>
    <tableColumn id="728" name="Column707" dataDxfId="15705" dataCellStyle="Normal"/>
    <tableColumn id="729" name="Column708" dataDxfId="15704" dataCellStyle="Normal"/>
    <tableColumn id="730" name="Column709" dataDxfId="15703" dataCellStyle="Normal"/>
    <tableColumn id="731" name="Column710" dataDxfId="15702" dataCellStyle="Normal"/>
    <tableColumn id="732" name="Column711" dataDxfId="15701" dataCellStyle="Normal"/>
    <tableColumn id="733" name="Column712" dataDxfId="15700" dataCellStyle="Normal"/>
    <tableColumn id="734" name="Column713" dataDxfId="15699" dataCellStyle="Normal"/>
    <tableColumn id="735" name="Column714" dataDxfId="15698" dataCellStyle="Normal"/>
    <tableColumn id="736" name="Column715" dataDxfId="15697" dataCellStyle="Normal"/>
    <tableColumn id="737" name="Column716" dataDxfId="15696" dataCellStyle="Normal"/>
    <tableColumn id="738" name="Column717" dataDxfId="15695" dataCellStyle="Normal"/>
    <tableColumn id="739" name="Column718" dataDxfId="15694" dataCellStyle="Normal"/>
    <tableColumn id="740" name="Column719" dataDxfId="15693" dataCellStyle="Normal"/>
    <tableColumn id="741" name="Column720" dataDxfId="15692" dataCellStyle="Normal"/>
    <tableColumn id="742" name="Column721" dataDxfId="15691" dataCellStyle="Normal"/>
    <tableColumn id="743" name="Column722" dataDxfId="15690" dataCellStyle="Normal"/>
    <tableColumn id="744" name="Column723" dataDxfId="15689" dataCellStyle="Normal"/>
    <tableColumn id="745" name="Column724" dataDxfId="15688" dataCellStyle="Normal"/>
    <tableColumn id="746" name="Column725" dataDxfId="15687" dataCellStyle="Normal"/>
    <tableColumn id="747" name="Column726" dataDxfId="15686" dataCellStyle="Normal"/>
    <tableColumn id="748" name="Column727" dataDxfId="15685" dataCellStyle="Normal"/>
    <tableColumn id="749" name="Column728" dataDxfId="15684" dataCellStyle="Normal"/>
    <tableColumn id="750" name="Column729" dataDxfId="15683" dataCellStyle="Normal"/>
    <tableColumn id="751" name="Column730" dataDxfId="15682" dataCellStyle="Normal"/>
    <tableColumn id="752" name="Column731" dataDxfId="15681" dataCellStyle="Normal"/>
    <tableColumn id="753" name="Column732" dataDxfId="15680" dataCellStyle="Normal"/>
    <tableColumn id="754" name="Column733" dataDxfId="15679" dataCellStyle="Normal"/>
    <tableColumn id="755" name="Column734" dataDxfId="15678" dataCellStyle="Normal"/>
    <tableColumn id="756" name="Column735" dataDxfId="15677" dataCellStyle="Normal"/>
    <tableColumn id="757" name="Column736" dataDxfId="15676" dataCellStyle="Normal"/>
    <tableColumn id="758" name="Column737" dataDxfId="15675" dataCellStyle="Normal"/>
    <tableColumn id="759" name="Column738" dataDxfId="15674" dataCellStyle="Normal"/>
    <tableColumn id="760" name="Column739" dataDxfId="15673" dataCellStyle="Normal"/>
    <tableColumn id="761" name="Column740" dataDxfId="15672" dataCellStyle="Normal"/>
    <tableColumn id="762" name="Column741" dataDxfId="15671" dataCellStyle="Normal"/>
    <tableColumn id="763" name="Column742" dataDxfId="15670" dataCellStyle="Normal"/>
    <tableColumn id="764" name="Column743" dataDxfId="15669" dataCellStyle="Normal"/>
    <tableColumn id="765" name="Column744" dataDxfId="15668" dataCellStyle="Normal"/>
    <tableColumn id="766" name="Column745" dataDxfId="15667" dataCellStyle="Normal"/>
    <tableColumn id="767" name="Column746" dataDxfId="15666" dataCellStyle="Normal"/>
    <tableColumn id="768" name="Column747" dataDxfId="15665" dataCellStyle="Normal"/>
    <tableColumn id="769" name="Column748" dataDxfId="15664" dataCellStyle="Normal"/>
    <tableColumn id="770" name="Column749" dataDxfId="15663" dataCellStyle="Normal"/>
    <tableColumn id="771" name="Column750" dataDxfId="15662" dataCellStyle="Normal"/>
    <tableColumn id="772" name="Column751" dataDxfId="15661" dataCellStyle="Normal"/>
    <tableColumn id="773" name="Column752" dataDxfId="15660" dataCellStyle="Normal"/>
    <tableColumn id="774" name="Column753" dataDxfId="15659" dataCellStyle="Normal"/>
    <tableColumn id="775" name="Column754" dataDxfId="15658" dataCellStyle="Normal"/>
    <tableColumn id="776" name="Column755" dataDxfId="15657" dataCellStyle="Normal"/>
    <tableColumn id="777" name="Column756" dataDxfId="15656" dataCellStyle="Normal"/>
    <tableColumn id="778" name="Column757" dataDxfId="15655" dataCellStyle="Normal"/>
    <tableColumn id="779" name="Column758" dataDxfId="15654" dataCellStyle="Normal"/>
    <tableColumn id="780" name="Column759" dataDxfId="15653" dataCellStyle="Normal"/>
    <tableColumn id="781" name="Column760" dataDxfId="15652" dataCellStyle="Normal"/>
    <tableColumn id="782" name="Column761" dataDxfId="15651" dataCellStyle="Normal"/>
    <tableColumn id="783" name="Column762" dataDxfId="15650" dataCellStyle="Normal"/>
    <tableColumn id="784" name="Column763" dataDxfId="15649" dataCellStyle="Normal"/>
    <tableColumn id="785" name="Column764" dataDxfId="15648" dataCellStyle="Normal"/>
    <tableColumn id="786" name="Column765" dataDxfId="15647" dataCellStyle="Normal"/>
    <tableColumn id="787" name="Column766" dataDxfId="15646" dataCellStyle="Normal"/>
    <tableColumn id="788" name="Column767" dataDxfId="15645" dataCellStyle="Normal"/>
    <tableColumn id="789" name="Column768" dataDxfId="15644" dataCellStyle="Normal"/>
    <tableColumn id="790" name="Column769" dataDxfId="15643" dataCellStyle="Normal"/>
    <tableColumn id="791" name="Column770" dataDxfId="15642" dataCellStyle="Normal"/>
    <tableColumn id="792" name="Column771" dataDxfId="15641" dataCellStyle="Normal"/>
    <tableColumn id="793" name="Column772" dataDxfId="15640" dataCellStyle="Normal"/>
    <tableColumn id="794" name="Column773" dataDxfId="15639" dataCellStyle="Normal"/>
    <tableColumn id="795" name="Column774" dataDxfId="15638" dataCellStyle="Normal"/>
    <tableColumn id="796" name="Column775" dataDxfId="15637" dataCellStyle="Normal"/>
    <tableColumn id="797" name="Column776" dataDxfId="15636" dataCellStyle="Normal"/>
    <tableColumn id="798" name="Column777" dataDxfId="15635" dataCellStyle="Normal"/>
    <tableColumn id="799" name="Column778" dataDxfId="15634" dataCellStyle="Normal"/>
    <tableColumn id="800" name="Column779" dataDxfId="15633" dataCellStyle="Normal"/>
    <tableColumn id="801" name="Column780" dataDxfId="15632" dataCellStyle="Normal"/>
    <tableColumn id="802" name="Column781" dataDxfId="15631" dataCellStyle="Normal"/>
    <tableColumn id="803" name="Column782" dataDxfId="15630" dataCellStyle="Normal"/>
    <tableColumn id="804" name="Column783" dataDxfId="15629" dataCellStyle="Normal"/>
    <tableColumn id="805" name="Column784" dataDxfId="15628" dataCellStyle="Normal"/>
    <tableColumn id="806" name="Column785" dataDxfId="15627" dataCellStyle="Normal"/>
    <tableColumn id="807" name="Column786" dataDxfId="15626" dataCellStyle="Normal"/>
    <tableColumn id="808" name="Column787" dataDxfId="15625" dataCellStyle="Normal"/>
    <tableColumn id="809" name="Column788" dataDxfId="15624" dataCellStyle="Normal"/>
    <tableColumn id="810" name="Column789" dataDxfId="15623" dataCellStyle="Normal"/>
    <tableColumn id="811" name="Column790" dataDxfId="15622" dataCellStyle="Normal"/>
    <tableColumn id="812" name="Column791" dataDxfId="15621" dataCellStyle="Normal"/>
    <tableColumn id="813" name="Column792" dataDxfId="15620" dataCellStyle="Normal"/>
    <tableColumn id="814" name="Column793" dataDxfId="15619" dataCellStyle="Normal"/>
    <tableColumn id="815" name="Column794" dataDxfId="15618" dataCellStyle="Normal"/>
    <tableColumn id="816" name="Column795" dataDxfId="15617" dataCellStyle="Normal"/>
    <tableColumn id="817" name="Column796" dataDxfId="15616" dataCellStyle="Normal"/>
    <tableColumn id="818" name="Column797" dataDxfId="15615" dataCellStyle="Normal"/>
    <tableColumn id="819" name="Column798" dataDxfId="15614" dataCellStyle="Normal"/>
    <tableColumn id="820" name="Column799" dataDxfId="15613" dataCellStyle="Normal"/>
    <tableColumn id="821" name="Column800" dataDxfId="15612" dataCellStyle="Normal"/>
    <tableColumn id="822" name="Column801" dataDxfId="15611" dataCellStyle="Normal"/>
    <tableColumn id="823" name="Column802" dataDxfId="15610" dataCellStyle="Normal"/>
    <tableColumn id="824" name="Column803" dataDxfId="15609" dataCellStyle="Normal"/>
    <tableColumn id="825" name="Column804" dataDxfId="15608" dataCellStyle="Normal"/>
    <tableColumn id="826" name="Column805" dataDxfId="15607" dataCellStyle="Normal"/>
    <tableColumn id="827" name="Column806" dataDxfId="15606" dataCellStyle="Normal"/>
    <tableColumn id="828" name="Column807" dataDxfId="15605" dataCellStyle="Normal"/>
    <tableColumn id="829" name="Column808" dataDxfId="15604" dataCellStyle="Normal"/>
    <tableColumn id="830" name="Column809" dataDxfId="15603" dataCellStyle="Normal"/>
    <tableColumn id="831" name="Column810" dataDxfId="15602" dataCellStyle="Normal"/>
    <tableColumn id="832" name="Column811" dataDxfId="15601" dataCellStyle="Normal"/>
    <tableColumn id="833" name="Column812" dataDxfId="15600" dataCellStyle="Normal"/>
    <tableColumn id="834" name="Column813" dataDxfId="15599" dataCellStyle="Normal"/>
    <tableColumn id="835" name="Column814" dataDxfId="15598" dataCellStyle="Normal"/>
    <tableColumn id="836" name="Column815" dataDxfId="15597" dataCellStyle="Normal"/>
    <tableColumn id="837" name="Column816" dataDxfId="15596" dataCellStyle="Normal"/>
    <tableColumn id="838" name="Column817" dataDxfId="15595" dataCellStyle="Normal"/>
    <tableColumn id="839" name="Column818" dataDxfId="15594" dataCellStyle="Normal"/>
    <tableColumn id="840" name="Column819" dataDxfId="15593" dataCellStyle="Normal"/>
    <tableColumn id="841" name="Column820" dataDxfId="15592" dataCellStyle="Normal"/>
    <tableColumn id="842" name="Column821" dataDxfId="15591" dataCellStyle="Normal"/>
    <tableColumn id="843" name="Column822" dataDxfId="15590" dataCellStyle="Normal"/>
    <tableColumn id="844" name="Column823" dataDxfId="15589" dataCellStyle="Normal"/>
    <tableColumn id="845" name="Column824" dataDxfId="15588" dataCellStyle="Normal"/>
    <tableColumn id="846" name="Column825" dataDxfId="15587" dataCellStyle="Normal"/>
    <tableColumn id="847" name="Column826" dataDxfId="15586" dataCellStyle="Normal"/>
    <tableColumn id="848" name="Column827" dataDxfId="15585" dataCellStyle="Normal"/>
    <tableColumn id="849" name="Column828" dataDxfId="15584" dataCellStyle="Normal"/>
    <tableColumn id="850" name="Column829" dataDxfId="15583" dataCellStyle="Normal"/>
    <tableColumn id="851" name="Column830" dataDxfId="15582" dataCellStyle="Normal"/>
    <tableColumn id="852" name="Column831" dataDxfId="15581" dataCellStyle="Normal"/>
    <tableColumn id="853" name="Column832" dataDxfId="15580" dataCellStyle="Normal"/>
    <tableColumn id="854" name="Column833" dataDxfId="15579" dataCellStyle="Normal"/>
    <tableColumn id="855" name="Column834" dataDxfId="15578" dataCellStyle="Normal"/>
    <tableColumn id="856" name="Column835" dataDxfId="15577" dataCellStyle="Normal"/>
    <tableColumn id="857" name="Column836" dataDxfId="15576" dataCellStyle="Normal"/>
    <tableColumn id="858" name="Column837" dataDxfId="15575" dataCellStyle="Normal"/>
    <tableColumn id="859" name="Column838" dataDxfId="15574" dataCellStyle="Normal"/>
    <tableColumn id="860" name="Column839" dataDxfId="15573" dataCellStyle="Normal"/>
    <tableColumn id="861" name="Column840" dataDxfId="15572" dataCellStyle="Normal"/>
    <tableColumn id="862" name="Column841" dataDxfId="15571" dataCellStyle="Normal"/>
    <tableColumn id="863" name="Column842" dataDxfId="15570" dataCellStyle="Normal"/>
    <tableColumn id="864" name="Column843" dataDxfId="15569" dataCellStyle="Normal"/>
    <tableColumn id="865" name="Column844" dataDxfId="15568" dataCellStyle="Normal"/>
    <tableColumn id="866" name="Column845" dataDxfId="15567" dataCellStyle="Normal"/>
    <tableColumn id="867" name="Column846" dataDxfId="15566" dataCellStyle="Normal"/>
    <tableColumn id="868" name="Column847" dataDxfId="15565" dataCellStyle="Normal"/>
    <tableColumn id="869" name="Column848" dataDxfId="15564" dataCellStyle="Normal"/>
    <tableColumn id="870" name="Column849" dataDxfId="15563" dataCellStyle="Normal"/>
    <tableColumn id="871" name="Column850" dataDxfId="15562" dataCellStyle="Normal"/>
    <tableColumn id="872" name="Column851" dataDxfId="15561" dataCellStyle="Normal"/>
    <tableColumn id="873" name="Column852" dataDxfId="15560" dataCellStyle="Normal"/>
    <tableColumn id="874" name="Column853" dataDxfId="15559" dataCellStyle="Normal"/>
    <tableColumn id="875" name="Column854" dataDxfId="15558" dataCellStyle="Normal"/>
    <tableColumn id="876" name="Column855" dataDxfId="15557" dataCellStyle="Normal"/>
    <tableColumn id="877" name="Column856" dataDxfId="15556" dataCellStyle="Normal"/>
    <tableColumn id="878" name="Column857" dataDxfId="15555" dataCellStyle="Normal"/>
    <tableColumn id="879" name="Column858" dataDxfId="15554" dataCellStyle="Normal"/>
    <tableColumn id="880" name="Column859" dataDxfId="15553" dataCellStyle="Normal"/>
    <tableColumn id="881" name="Column860" dataDxfId="15552" dataCellStyle="Normal"/>
    <tableColumn id="882" name="Column861" dataDxfId="15551" dataCellStyle="Normal"/>
    <tableColumn id="883" name="Column862" dataDxfId="15550" dataCellStyle="Normal"/>
    <tableColumn id="884" name="Column863" dataDxfId="15549" dataCellStyle="Normal"/>
    <tableColumn id="885" name="Column864" dataDxfId="15548" dataCellStyle="Normal"/>
    <tableColumn id="886" name="Column865" dataDxfId="15547" dataCellStyle="Normal"/>
    <tableColumn id="887" name="Column866" dataDxfId="15546" dataCellStyle="Normal"/>
    <tableColumn id="888" name="Column867" dataDxfId="15545" dataCellStyle="Normal"/>
    <tableColumn id="889" name="Column868" dataDxfId="15544" dataCellStyle="Normal"/>
    <tableColumn id="890" name="Column869" dataDxfId="15543" dataCellStyle="Normal"/>
    <tableColumn id="891" name="Column870" dataDxfId="15542" dataCellStyle="Normal"/>
    <tableColumn id="892" name="Column871" dataDxfId="15541" dataCellStyle="Normal"/>
    <tableColumn id="893" name="Column872" dataDxfId="15540" dataCellStyle="Normal"/>
    <tableColumn id="894" name="Column873" dataDxfId="15539" dataCellStyle="Normal"/>
    <tableColumn id="895" name="Column874" dataDxfId="15538" dataCellStyle="Normal"/>
    <tableColumn id="896" name="Column875" dataDxfId="15537" dataCellStyle="Normal"/>
    <tableColumn id="897" name="Column876" dataDxfId="15536" dataCellStyle="Normal"/>
    <tableColumn id="898" name="Column877" dataDxfId="15535" dataCellStyle="Normal"/>
    <tableColumn id="899" name="Column878" dataDxfId="15534" dataCellStyle="Normal"/>
    <tableColumn id="900" name="Column879" dataDxfId="15533" dataCellStyle="Normal"/>
    <tableColumn id="901" name="Column880" dataDxfId="15532" dataCellStyle="Normal"/>
    <tableColumn id="902" name="Column881" dataDxfId="15531" dataCellStyle="Normal"/>
    <tableColumn id="903" name="Column882" dataDxfId="15530" dataCellStyle="Normal"/>
    <tableColumn id="904" name="Column883" dataDxfId="15529" dataCellStyle="Normal"/>
    <tableColumn id="905" name="Column884" dataDxfId="15528" dataCellStyle="Normal"/>
    <tableColumn id="906" name="Column885" dataDxfId="15527" dataCellStyle="Normal"/>
    <tableColumn id="907" name="Column886" dataDxfId="15526" dataCellStyle="Normal"/>
    <tableColumn id="908" name="Column887" dataDxfId="15525" dataCellStyle="Normal"/>
    <tableColumn id="909" name="Column888" dataDxfId="15524" dataCellStyle="Normal"/>
    <tableColumn id="910" name="Column889" dataDxfId="15523" dataCellStyle="Normal"/>
    <tableColumn id="911" name="Column890" dataDxfId="15522" dataCellStyle="Normal"/>
    <tableColumn id="912" name="Column891" dataDxfId="15521" dataCellStyle="Normal"/>
    <tableColumn id="913" name="Column892" dataDxfId="15520" dataCellStyle="Normal"/>
    <tableColumn id="914" name="Column893" dataDxfId="15519" dataCellStyle="Normal"/>
    <tableColumn id="915" name="Column894" dataDxfId="15518" dataCellStyle="Normal"/>
    <tableColumn id="916" name="Column895" dataDxfId="15517" dataCellStyle="Normal"/>
    <tableColumn id="917" name="Column896" dataDxfId="15516" dataCellStyle="Normal"/>
    <tableColumn id="918" name="Column897" dataDxfId="15515" dataCellStyle="Normal"/>
    <tableColumn id="919" name="Column898" dataDxfId="15514" dataCellStyle="Normal"/>
    <tableColumn id="920" name="Column899" dataDxfId="15513" dataCellStyle="Normal"/>
    <tableColumn id="921" name="Column900" dataDxfId="15512" dataCellStyle="Normal"/>
    <tableColumn id="922" name="Column901" dataDxfId="15511" dataCellStyle="Normal"/>
    <tableColumn id="923" name="Column902" dataDxfId="15510" dataCellStyle="Normal"/>
    <tableColumn id="924" name="Column903" dataDxfId="15509" dataCellStyle="Normal"/>
    <tableColumn id="925" name="Column904" dataDxfId="15508" dataCellStyle="Normal"/>
    <tableColumn id="926" name="Column905" dataDxfId="15507" dataCellStyle="Normal"/>
    <tableColumn id="927" name="Column906" dataDxfId="15506" dataCellStyle="Normal"/>
    <tableColumn id="928" name="Column907" dataDxfId="15505" dataCellStyle="Normal"/>
    <tableColumn id="929" name="Column908" dataDxfId="15504" dataCellStyle="Normal"/>
    <tableColumn id="930" name="Column909" dataDxfId="15503" dataCellStyle="Normal"/>
    <tableColumn id="931" name="Column910" dataDxfId="15502" dataCellStyle="Normal"/>
    <tableColumn id="932" name="Column911" dataDxfId="15501" dataCellStyle="Normal"/>
    <tableColumn id="933" name="Column912" dataDxfId="15500" dataCellStyle="Normal"/>
    <tableColumn id="934" name="Column913" dataDxfId="15499" dataCellStyle="Normal"/>
    <tableColumn id="935" name="Column914" dataDxfId="15498" dataCellStyle="Normal"/>
    <tableColumn id="936" name="Column915" dataDxfId="15497" dataCellStyle="Normal"/>
    <tableColumn id="937" name="Column916" dataDxfId="15496" dataCellStyle="Normal"/>
    <tableColumn id="938" name="Column917" dataDxfId="15495" dataCellStyle="Normal"/>
    <tableColumn id="939" name="Column918" dataDxfId="15494" dataCellStyle="Normal"/>
    <tableColumn id="940" name="Column919" dataDxfId="15493" dataCellStyle="Normal"/>
    <tableColumn id="941" name="Column920" dataDxfId="15492" dataCellStyle="Normal"/>
    <tableColumn id="942" name="Column921" dataDxfId="15491" dataCellStyle="Normal"/>
    <tableColumn id="943" name="Column922" dataDxfId="15490" dataCellStyle="Normal"/>
    <tableColumn id="944" name="Column923" dataDxfId="15489" dataCellStyle="Normal"/>
    <tableColumn id="945" name="Column924" dataDxfId="15488" dataCellStyle="Normal"/>
    <tableColumn id="946" name="Column925" dataDxfId="15487" dataCellStyle="Normal"/>
    <tableColumn id="947" name="Column926" dataDxfId="15486" dataCellStyle="Normal"/>
    <tableColumn id="948" name="Column927" dataDxfId="15485" dataCellStyle="Normal"/>
    <tableColumn id="949" name="Column928" dataDxfId="15484" dataCellStyle="Normal"/>
    <tableColumn id="950" name="Column929" dataDxfId="15483" dataCellStyle="Normal"/>
    <tableColumn id="951" name="Column930" dataDxfId="15482" dataCellStyle="Normal"/>
    <tableColumn id="952" name="Column931" dataDxfId="15481" dataCellStyle="Normal"/>
    <tableColumn id="953" name="Column932" dataDxfId="15480" dataCellStyle="Normal"/>
    <tableColumn id="954" name="Column933" dataDxfId="15479" dataCellStyle="Normal"/>
    <tableColumn id="955" name="Column934" dataDxfId="15478" dataCellStyle="Normal"/>
    <tableColumn id="956" name="Column935" dataDxfId="15477" dataCellStyle="Normal"/>
    <tableColumn id="957" name="Column936" dataDxfId="15476" dataCellStyle="Normal"/>
    <tableColumn id="958" name="Column937" dataDxfId="15475" dataCellStyle="Normal"/>
    <tableColumn id="959" name="Column938" dataDxfId="15474" dataCellStyle="Normal"/>
    <tableColumn id="960" name="Column939" dataDxfId="15473" dataCellStyle="Normal"/>
    <tableColumn id="961" name="Column940" dataDxfId="15472" dataCellStyle="Normal"/>
    <tableColumn id="962" name="Column941" dataDxfId="15471" dataCellStyle="Normal"/>
    <tableColumn id="963" name="Column942" dataDxfId="15470" dataCellStyle="Normal"/>
    <tableColumn id="964" name="Column943" dataDxfId="15469" dataCellStyle="Normal"/>
    <tableColumn id="965" name="Column944" dataDxfId="15468" dataCellStyle="Normal"/>
    <tableColumn id="966" name="Column945" dataDxfId="15467" dataCellStyle="Normal"/>
    <tableColumn id="967" name="Column946" dataDxfId="15466" dataCellStyle="Normal"/>
    <tableColumn id="968" name="Column947" dataDxfId="15465" dataCellStyle="Normal"/>
    <tableColumn id="969" name="Column948" dataDxfId="15464" dataCellStyle="Normal"/>
    <tableColumn id="970" name="Column949" dataDxfId="15463" dataCellStyle="Normal"/>
    <tableColumn id="971" name="Column950" dataDxfId="15462" dataCellStyle="Normal"/>
    <tableColumn id="972" name="Column951" dataDxfId="15461" dataCellStyle="Normal"/>
    <tableColumn id="973" name="Column952" dataDxfId="15460" dataCellStyle="Normal"/>
    <tableColumn id="974" name="Column953" dataDxfId="15459" dataCellStyle="Normal"/>
    <tableColumn id="975" name="Column954" dataDxfId="15458" dataCellStyle="Normal"/>
    <tableColumn id="976" name="Column955" dataDxfId="15457" dataCellStyle="Normal"/>
    <tableColumn id="977" name="Column956" dataDxfId="15456" dataCellStyle="Normal"/>
    <tableColumn id="978" name="Column957" dataDxfId="15455" dataCellStyle="Normal"/>
    <tableColumn id="979" name="Column958" dataDxfId="15454" dataCellStyle="Normal"/>
    <tableColumn id="980" name="Column959" dataDxfId="15453" dataCellStyle="Normal"/>
    <tableColumn id="981" name="Column960" dataDxfId="15452" dataCellStyle="Normal"/>
    <tableColumn id="982" name="Column961" dataDxfId="15451" dataCellStyle="Normal"/>
    <tableColumn id="983" name="Column962" dataDxfId="15450" dataCellStyle="Normal"/>
    <tableColumn id="984" name="Column963" dataDxfId="15449" dataCellStyle="Normal"/>
    <tableColumn id="985" name="Column964" dataDxfId="15448" dataCellStyle="Normal"/>
    <tableColumn id="986" name="Column965" dataDxfId="15447" dataCellStyle="Normal"/>
    <tableColumn id="987" name="Column966" dataDxfId="15446" dataCellStyle="Normal"/>
    <tableColumn id="988" name="Column967" dataDxfId="15445" dataCellStyle="Normal"/>
    <tableColumn id="989" name="Column968" dataDxfId="15444" dataCellStyle="Normal"/>
    <tableColumn id="990" name="Column969" dataDxfId="15443" dataCellStyle="Normal"/>
    <tableColumn id="991" name="Column970" dataDxfId="15442" dataCellStyle="Normal"/>
    <tableColumn id="992" name="Column971" dataDxfId="15441" dataCellStyle="Normal"/>
    <tableColumn id="993" name="Column972" dataDxfId="15440" dataCellStyle="Normal"/>
    <tableColumn id="994" name="Column973" dataDxfId="15439" dataCellStyle="Normal"/>
    <tableColumn id="995" name="Column974" dataDxfId="15438" dataCellStyle="Normal"/>
    <tableColumn id="996" name="Column975" dataDxfId="15437" dataCellStyle="Normal"/>
    <tableColumn id="997" name="Column976" dataDxfId="15436" dataCellStyle="Normal"/>
    <tableColumn id="998" name="Column977" dataDxfId="15435" dataCellStyle="Normal"/>
    <tableColumn id="999" name="Column978" dataDxfId="15434" dataCellStyle="Normal"/>
    <tableColumn id="1000" name="Column979" dataDxfId="15433" dataCellStyle="Normal"/>
    <tableColumn id="1001" name="Column980" dataDxfId="15432" dataCellStyle="Normal"/>
    <tableColumn id="1002" name="Column981" dataDxfId="15431" dataCellStyle="Normal"/>
    <tableColumn id="1003" name="Column982" dataDxfId="15430" dataCellStyle="Normal"/>
    <tableColumn id="1004" name="Column983" dataDxfId="15429" dataCellStyle="Normal"/>
    <tableColumn id="1005" name="Column984" dataDxfId="15428" dataCellStyle="Normal"/>
    <tableColumn id="1006" name="Column985" dataDxfId="15427" dataCellStyle="Normal"/>
    <tableColumn id="1007" name="Column986" dataDxfId="15426" dataCellStyle="Normal"/>
    <tableColumn id="1008" name="Column987" dataDxfId="15425" dataCellStyle="Normal"/>
    <tableColumn id="1009" name="Column988" dataDxfId="15424" dataCellStyle="Normal"/>
    <tableColumn id="1010" name="Column989" dataDxfId="15423" dataCellStyle="Normal"/>
    <tableColumn id="1011" name="Column990" dataDxfId="15422" dataCellStyle="Normal"/>
    <tableColumn id="1012" name="Column991" dataDxfId="15421" dataCellStyle="Normal"/>
    <tableColumn id="1013" name="Column992" dataDxfId="15420" dataCellStyle="Normal"/>
    <tableColumn id="1014" name="Column993" dataDxfId="15419" dataCellStyle="Normal"/>
    <tableColumn id="1015" name="Column994" dataDxfId="15418" dataCellStyle="Normal"/>
    <tableColumn id="1016" name="Column995" dataDxfId="15417" dataCellStyle="Normal"/>
    <tableColumn id="1017" name="Column996" dataDxfId="15416" dataCellStyle="Normal"/>
    <tableColumn id="1018" name="Column997" dataDxfId="15415" dataCellStyle="Normal"/>
    <tableColumn id="1019" name="Column998" dataDxfId="15414" dataCellStyle="Normal"/>
    <tableColumn id="1020" name="Column999" dataDxfId="15413" dataCellStyle="Normal"/>
    <tableColumn id="1021" name="Column1000" dataDxfId="15412" dataCellStyle="Normal"/>
    <tableColumn id="1022" name="Column1001" dataDxfId="15411" dataCellStyle="Normal"/>
    <tableColumn id="1023" name="Column1002" dataDxfId="15410" dataCellStyle="Normal"/>
    <tableColumn id="1024" name="Column1003" dataDxfId="15409" dataCellStyle="Normal"/>
    <tableColumn id="1025" name="Column1004" dataDxfId="15408" dataCellStyle="Normal"/>
    <tableColumn id="1026" name="Column1005" dataDxfId="15407" dataCellStyle="Normal"/>
    <tableColumn id="1027" name="Column1006" dataDxfId="15406" dataCellStyle="Normal"/>
    <tableColumn id="1028" name="Column1007" dataDxfId="15405" dataCellStyle="Normal"/>
    <tableColumn id="1029" name="Column1008" dataDxfId="15404" dataCellStyle="Normal"/>
    <tableColumn id="1030" name="Column1009" dataDxfId="15403" dataCellStyle="Normal"/>
    <tableColumn id="1031" name="Column1010" dataDxfId="15402" dataCellStyle="Normal"/>
    <tableColumn id="1032" name="Column1011" dataDxfId="15401" dataCellStyle="Normal"/>
    <tableColumn id="1033" name="Column1012" dataDxfId="15400" dataCellStyle="Normal"/>
    <tableColumn id="1034" name="Column1013" dataDxfId="15399" dataCellStyle="Normal"/>
    <tableColumn id="1035" name="Column1014" dataDxfId="15398" dataCellStyle="Normal"/>
    <tableColumn id="1036" name="Column1015" dataDxfId="15397" dataCellStyle="Normal"/>
    <tableColumn id="1037" name="Column1016" dataDxfId="15396" dataCellStyle="Normal"/>
    <tableColumn id="1038" name="Column1017" dataDxfId="15395" dataCellStyle="Normal"/>
    <tableColumn id="1039" name="Column1018" dataDxfId="15394" dataCellStyle="Normal"/>
    <tableColumn id="1040" name="Column1019" dataDxfId="15393" dataCellStyle="Normal"/>
    <tableColumn id="1041" name="Column1020" dataDxfId="15392" dataCellStyle="Normal"/>
    <tableColumn id="1042" name="Column1021" dataDxfId="15391" dataCellStyle="Normal"/>
    <tableColumn id="1043" name="Column1022" dataDxfId="15390" dataCellStyle="Normal"/>
    <tableColumn id="1044" name="Column1023" dataDxfId="15389" dataCellStyle="Normal"/>
    <tableColumn id="1045" name="Column1024" dataDxfId="15388" dataCellStyle="Normal"/>
    <tableColumn id="1046" name="Column1025" dataDxfId="15387" dataCellStyle="Normal"/>
    <tableColumn id="1047" name="Column1026" dataDxfId="15386" dataCellStyle="Normal"/>
    <tableColumn id="1048" name="Column1027" dataDxfId="15385" dataCellStyle="Normal"/>
    <tableColumn id="1049" name="Column1028" dataDxfId="15384" dataCellStyle="Normal"/>
    <tableColumn id="1050" name="Column1029" dataDxfId="15383" dataCellStyle="Normal"/>
    <tableColumn id="1051" name="Column1030" dataDxfId="15382" dataCellStyle="Normal"/>
    <tableColumn id="1052" name="Column1031" dataDxfId="15381" dataCellStyle="Normal"/>
    <tableColumn id="1053" name="Column1032" dataDxfId="15380" dataCellStyle="Normal"/>
    <tableColumn id="1054" name="Column1033" dataDxfId="15379" dataCellStyle="Normal"/>
    <tableColumn id="1055" name="Column1034" dataDxfId="15378" dataCellStyle="Normal"/>
    <tableColumn id="1056" name="Column1035" dataDxfId="15377" dataCellStyle="Normal"/>
    <tableColumn id="1057" name="Column1036" dataDxfId="15376" dataCellStyle="Normal"/>
    <tableColumn id="1058" name="Column1037" dataDxfId="15375" dataCellStyle="Normal"/>
    <tableColumn id="1059" name="Column1038" dataDxfId="15374" dataCellStyle="Normal"/>
    <tableColumn id="1060" name="Column1039" dataDxfId="15373" dataCellStyle="Normal"/>
    <tableColumn id="1061" name="Column1040" dataDxfId="15372" dataCellStyle="Normal"/>
    <tableColumn id="1062" name="Column1041" dataDxfId="15371" dataCellStyle="Normal"/>
    <tableColumn id="1063" name="Column1042" dataDxfId="15370" dataCellStyle="Normal"/>
    <tableColumn id="1064" name="Column1043" dataDxfId="15369" dataCellStyle="Normal"/>
    <tableColumn id="1065" name="Column1044" dataDxfId="15368" dataCellStyle="Normal"/>
    <tableColumn id="1066" name="Column1045" dataDxfId="15367" dataCellStyle="Normal"/>
    <tableColumn id="1067" name="Column1046" dataDxfId="15366" dataCellStyle="Normal"/>
    <tableColumn id="1068" name="Column1047" dataDxfId="15365" dataCellStyle="Normal"/>
    <tableColumn id="1069" name="Column1048" dataDxfId="15364" dataCellStyle="Normal"/>
    <tableColumn id="1070" name="Column1049" dataDxfId="15363" dataCellStyle="Normal"/>
    <tableColumn id="1071" name="Column1050" dataDxfId="15362" dataCellStyle="Normal"/>
    <tableColumn id="1072" name="Column1051" dataDxfId="15361" dataCellStyle="Normal"/>
    <tableColumn id="1073" name="Column1052" dataDxfId="15360" dataCellStyle="Normal"/>
    <tableColumn id="1074" name="Column1053" dataDxfId="15359" dataCellStyle="Normal"/>
    <tableColumn id="1075" name="Column1054" dataDxfId="15358" dataCellStyle="Normal"/>
    <tableColumn id="1076" name="Column1055" dataDxfId="15357" dataCellStyle="Normal"/>
    <tableColumn id="1077" name="Column1056" dataDxfId="15356" dataCellStyle="Normal"/>
    <tableColumn id="1078" name="Column1057" dataDxfId="15355" dataCellStyle="Normal"/>
    <tableColumn id="1079" name="Column1058" dataDxfId="15354" dataCellStyle="Normal"/>
    <tableColumn id="1080" name="Column1059" dataDxfId="15353" dataCellStyle="Normal"/>
    <tableColumn id="1081" name="Column1060" dataDxfId="15352" dataCellStyle="Normal"/>
    <tableColumn id="1082" name="Column1061" dataDxfId="15351" dataCellStyle="Normal"/>
    <tableColumn id="1083" name="Column1062" dataDxfId="15350" dataCellStyle="Normal"/>
    <tableColumn id="1084" name="Column1063" dataDxfId="15349" dataCellStyle="Normal"/>
    <tableColumn id="1085" name="Column1064" dataDxfId="15348" dataCellStyle="Normal"/>
    <tableColumn id="1086" name="Column1065" dataDxfId="15347" dataCellStyle="Normal"/>
    <tableColumn id="1087" name="Column1066" dataDxfId="15346" dataCellStyle="Normal"/>
    <tableColumn id="1088" name="Column1067" dataDxfId="15345" dataCellStyle="Normal"/>
    <tableColumn id="1089" name="Column1068" dataDxfId="15344" dataCellStyle="Normal"/>
    <tableColumn id="1090" name="Column1069" dataDxfId="15343" dataCellStyle="Normal"/>
    <tableColumn id="1091" name="Column1070" dataDxfId="15342" dataCellStyle="Normal"/>
    <tableColumn id="1092" name="Column1071" dataDxfId="15341" dataCellStyle="Normal"/>
    <tableColumn id="1093" name="Column1072" dataDxfId="15340" dataCellStyle="Normal"/>
    <tableColumn id="1094" name="Column1073" dataDxfId="15339" dataCellStyle="Normal"/>
    <tableColumn id="1095" name="Column1074" dataDxfId="15338" dataCellStyle="Normal"/>
    <tableColumn id="1096" name="Column1075" dataDxfId="15337" dataCellStyle="Normal"/>
    <tableColumn id="1097" name="Column1076" dataDxfId="15336" dataCellStyle="Normal"/>
    <tableColumn id="1098" name="Column1077" dataDxfId="15335" dataCellStyle="Normal"/>
    <tableColumn id="1099" name="Column1078" dataDxfId="15334" dataCellStyle="Normal"/>
    <tableColumn id="1100" name="Column1079" dataDxfId="15333" dataCellStyle="Normal"/>
    <tableColumn id="1101" name="Column1080" dataDxfId="15332" dataCellStyle="Normal"/>
    <tableColumn id="1102" name="Column1081" dataDxfId="15331" dataCellStyle="Normal"/>
    <tableColumn id="1103" name="Column1082" dataDxfId="15330" dataCellStyle="Normal"/>
    <tableColumn id="1104" name="Column1083" dataDxfId="15329" dataCellStyle="Normal"/>
    <tableColumn id="1105" name="Column1084" dataDxfId="15328" dataCellStyle="Normal"/>
    <tableColumn id="1106" name="Column1085" dataDxfId="15327" dataCellStyle="Normal"/>
    <tableColumn id="1107" name="Column1086" dataDxfId="15326" dataCellStyle="Normal"/>
    <tableColumn id="1108" name="Column1087" dataDxfId="15325" dataCellStyle="Normal"/>
    <tableColumn id="1109" name="Column1088" dataDxfId="15324" dataCellStyle="Normal"/>
    <tableColumn id="1110" name="Column1089" dataDxfId="15323" dataCellStyle="Normal"/>
    <tableColumn id="1111" name="Column1090" dataDxfId="15322" dataCellStyle="Normal"/>
    <tableColumn id="1112" name="Column1091" dataDxfId="15321" dataCellStyle="Normal"/>
    <tableColumn id="1113" name="Column1092" dataDxfId="15320" dataCellStyle="Normal"/>
    <tableColumn id="1114" name="Column1093" dataDxfId="15319" dataCellStyle="Normal"/>
    <tableColumn id="1115" name="Column1094" dataDxfId="15318" dataCellStyle="Normal"/>
    <tableColumn id="1116" name="Column1095" dataDxfId="15317" dataCellStyle="Normal"/>
    <tableColumn id="1117" name="Column1096" dataDxfId="15316" dataCellStyle="Normal"/>
    <tableColumn id="1118" name="Column1097" dataDxfId="15315" dataCellStyle="Normal"/>
    <tableColumn id="1119" name="Column1098" dataDxfId="15314" dataCellStyle="Normal"/>
    <tableColumn id="1120" name="Column1099" dataDxfId="15313" dataCellStyle="Normal"/>
    <tableColumn id="1121" name="Column1100" dataDxfId="15312" dataCellStyle="Normal"/>
    <tableColumn id="1122" name="Column1101" dataDxfId="15311" dataCellStyle="Normal"/>
    <tableColumn id="1123" name="Column1102" dataDxfId="15310" dataCellStyle="Normal"/>
    <tableColumn id="1124" name="Column1103" dataDxfId="15309" dataCellStyle="Normal"/>
    <tableColumn id="1125" name="Column1104" dataDxfId="15308" dataCellStyle="Normal"/>
    <tableColumn id="1126" name="Column1105" dataDxfId="15307" dataCellStyle="Normal"/>
    <tableColumn id="1127" name="Column1106" dataDxfId="15306" dataCellStyle="Normal"/>
    <tableColumn id="1128" name="Column1107" dataDxfId="15305" dataCellStyle="Normal"/>
    <tableColumn id="1129" name="Column1108" dataDxfId="15304" dataCellStyle="Normal"/>
    <tableColumn id="1130" name="Column1109" dataDxfId="15303" dataCellStyle="Normal"/>
    <tableColumn id="1131" name="Column1110" dataDxfId="15302" dataCellStyle="Normal"/>
    <tableColumn id="1132" name="Column1111" dataDxfId="15301" dataCellStyle="Normal"/>
    <tableColumn id="1133" name="Column1112" dataDxfId="15300" dataCellStyle="Normal"/>
    <tableColumn id="1134" name="Column1113" dataDxfId="15299" dataCellStyle="Normal"/>
    <tableColumn id="1135" name="Column1114" dataDxfId="15298" dataCellStyle="Normal"/>
    <tableColumn id="1136" name="Column1115" dataDxfId="15297" dataCellStyle="Normal"/>
    <tableColumn id="1137" name="Column1116" dataDxfId="15296" dataCellStyle="Normal"/>
    <tableColumn id="1138" name="Column1117" dataDxfId="15295" dataCellStyle="Normal"/>
    <tableColumn id="1139" name="Column1118" dataDxfId="15294" dataCellStyle="Normal"/>
    <tableColumn id="1140" name="Column1119" dataDxfId="15293" dataCellStyle="Normal"/>
    <tableColumn id="1141" name="Column1120" dataDxfId="15292" dataCellStyle="Normal"/>
    <tableColumn id="1142" name="Column1121" dataDxfId="15291" dataCellStyle="Normal"/>
    <tableColumn id="1143" name="Column1122" dataDxfId="15290" dataCellStyle="Normal"/>
    <tableColumn id="1144" name="Column1123" dataDxfId="15289" dataCellStyle="Normal"/>
    <tableColumn id="1145" name="Column1124" dataDxfId="15288" dataCellStyle="Normal"/>
    <tableColumn id="1146" name="Column1125" dataDxfId="15287" dataCellStyle="Normal"/>
    <tableColumn id="1147" name="Column1126" dataDxfId="15286" dataCellStyle="Normal"/>
    <tableColumn id="1148" name="Column1127" dataDxfId="15285" dataCellStyle="Normal"/>
    <tableColumn id="1149" name="Column1128" dataDxfId="15284" dataCellStyle="Normal"/>
    <tableColumn id="1150" name="Column1129" dataDxfId="15283" dataCellStyle="Normal"/>
    <tableColumn id="1151" name="Column1130" dataDxfId="15282" dataCellStyle="Normal"/>
    <tableColumn id="1152" name="Column1131" dataDxfId="15281" dataCellStyle="Normal"/>
    <tableColumn id="1153" name="Column1132" dataDxfId="15280" dataCellStyle="Normal"/>
    <tableColumn id="1154" name="Column1133" dataDxfId="15279" dataCellStyle="Normal"/>
    <tableColumn id="1155" name="Column1134" dataDxfId="15278" dataCellStyle="Normal"/>
    <tableColumn id="1156" name="Column1135" dataDxfId="15277" dataCellStyle="Normal"/>
    <tableColumn id="1157" name="Column1136" dataDxfId="15276" dataCellStyle="Normal"/>
    <tableColumn id="1158" name="Column1137" dataDxfId="15275" dataCellStyle="Normal"/>
    <tableColumn id="1159" name="Column1138" dataDxfId="15274" dataCellStyle="Normal"/>
    <tableColumn id="1160" name="Column1139" dataDxfId="15273" dataCellStyle="Normal"/>
    <tableColumn id="1161" name="Column1140" dataDxfId="15272" dataCellStyle="Normal"/>
    <tableColumn id="1162" name="Column1141" dataDxfId="15271" dataCellStyle="Normal"/>
    <tableColumn id="1163" name="Column1142" dataDxfId="15270" dataCellStyle="Normal"/>
    <tableColumn id="1164" name="Column1143" dataDxfId="15269" dataCellStyle="Normal"/>
    <tableColumn id="1165" name="Column1144" dataDxfId="15268" dataCellStyle="Normal"/>
    <tableColumn id="1166" name="Column1145" dataDxfId="15267" dataCellStyle="Normal"/>
    <tableColumn id="1167" name="Column1146" dataDxfId="15266" dataCellStyle="Normal"/>
    <tableColumn id="1168" name="Column1147" dataDxfId="15265" dataCellStyle="Normal"/>
    <tableColumn id="1169" name="Column1148" dataDxfId="15264" dataCellStyle="Normal"/>
    <tableColumn id="1170" name="Column1149" dataDxfId="15263" dataCellStyle="Normal"/>
    <tableColumn id="1171" name="Column1150" dataDxfId="15262" dataCellStyle="Normal"/>
    <tableColumn id="1172" name="Column1151" dataDxfId="15261" dataCellStyle="Normal"/>
    <tableColumn id="1173" name="Column1152" dataDxfId="15260" dataCellStyle="Normal"/>
    <tableColumn id="1174" name="Column1153" dataDxfId="15259" dataCellStyle="Normal"/>
    <tableColumn id="1175" name="Column1154" dataDxfId="15258" dataCellStyle="Normal"/>
    <tableColumn id="1176" name="Column1155" dataDxfId="15257" dataCellStyle="Normal"/>
    <tableColumn id="1177" name="Column1156" dataDxfId="15256" dataCellStyle="Normal"/>
    <tableColumn id="1178" name="Column1157" dataDxfId="15255" dataCellStyle="Normal"/>
    <tableColumn id="1179" name="Column1158" dataDxfId="15254" dataCellStyle="Normal"/>
    <tableColumn id="1180" name="Column1159" dataDxfId="15253" dataCellStyle="Normal"/>
    <tableColumn id="1181" name="Column1160" dataDxfId="15252" dataCellStyle="Normal"/>
    <tableColumn id="1182" name="Column1161" dataDxfId="15251" dataCellStyle="Normal"/>
    <tableColumn id="1183" name="Column1162" dataDxfId="15250" dataCellStyle="Normal"/>
    <tableColumn id="1184" name="Column1163" dataDxfId="15249" dataCellStyle="Normal"/>
    <tableColumn id="1185" name="Column1164" dataDxfId="15248" dataCellStyle="Normal"/>
    <tableColumn id="1186" name="Column1165" dataDxfId="15247" dataCellStyle="Normal"/>
    <tableColumn id="1187" name="Column1166" dataDxfId="15246" dataCellStyle="Normal"/>
    <tableColumn id="1188" name="Column1167" dataDxfId="15245" dataCellStyle="Normal"/>
    <tableColumn id="1189" name="Column1168" dataDxfId="15244" dataCellStyle="Normal"/>
    <tableColumn id="1190" name="Column1169" dataDxfId="15243" dataCellStyle="Normal"/>
    <tableColumn id="1191" name="Column1170" dataDxfId="15242" dataCellStyle="Normal"/>
    <tableColumn id="1192" name="Column1171" dataDxfId="15241" dataCellStyle="Normal"/>
    <tableColumn id="1193" name="Column1172" dataDxfId="15240" dataCellStyle="Normal"/>
    <tableColumn id="1194" name="Column1173" dataDxfId="15239" dataCellStyle="Normal"/>
    <tableColumn id="1195" name="Column1174" dataDxfId="15238" dataCellStyle="Normal"/>
    <tableColumn id="1196" name="Column1175" dataDxfId="15237" dataCellStyle="Normal"/>
    <tableColumn id="1197" name="Column1176" dataDxfId="15236" dataCellStyle="Normal"/>
    <tableColumn id="1198" name="Column1177" dataDxfId="15235" dataCellStyle="Normal"/>
    <tableColumn id="1199" name="Column1178" dataDxfId="15234" dataCellStyle="Normal"/>
    <tableColumn id="1200" name="Column1179" dataDxfId="15233" dataCellStyle="Normal"/>
    <tableColumn id="1201" name="Column1180" dataDxfId="15232" dataCellStyle="Normal"/>
    <tableColumn id="1202" name="Column1181" dataDxfId="15231" dataCellStyle="Normal"/>
    <tableColumn id="1203" name="Column1182" dataDxfId="15230" dataCellStyle="Normal"/>
    <tableColumn id="1204" name="Column1183" dataDxfId="15229" dataCellStyle="Normal"/>
    <tableColumn id="1205" name="Column1184" dataDxfId="15228" dataCellStyle="Normal"/>
    <tableColumn id="1206" name="Column1185" dataDxfId="15227" dataCellStyle="Normal"/>
    <tableColumn id="1207" name="Column1186" dataDxfId="15226" dataCellStyle="Normal"/>
    <tableColumn id="1208" name="Column1187" dataDxfId="15225" dataCellStyle="Normal"/>
    <tableColumn id="1209" name="Column1188" dataDxfId="15224" dataCellStyle="Normal"/>
    <tableColumn id="1210" name="Column1189" dataDxfId="15223" dataCellStyle="Normal"/>
    <tableColumn id="1211" name="Column1190" dataDxfId="15222" dataCellStyle="Normal"/>
    <tableColumn id="1212" name="Column1191" dataDxfId="15221" dataCellStyle="Normal"/>
    <tableColumn id="1213" name="Column1192" dataDxfId="15220" dataCellStyle="Normal"/>
    <tableColumn id="1214" name="Column1193" dataDxfId="15219" dataCellStyle="Normal"/>
    <tableColumn id="1215" name="Column1194" dataDxfId="15218" dataCellStyle="Normal"/>
    <tableColumn id="1216" name="Column1195" dataDxfId="15217" dataCellStyle="Normal"/>
    <tableColumn id="1217" name="Column1196" dataDxfId="15216" dataCellStyle="Normal"/>
    <tableColumn id="1218" name="Column1197" dataDxfId="15215" dataCellStyle="Normal"/>
    <tableColumn id="1219" name="Column1198" dataDxfId="15214" dataCellStyle="Normal"/>
    <tableColumn id="1220" name="Column1199" dataDxfId="15213" dataCellStyle="Normal"/>
    <tableColumn id="1221" name="Column1200" dataDxfId="15212" dataCellStyle="Normal"/>
    <tableColumn id="1222" name="Column1201" dataDxfId="15211" dataCellStyle="Normal"/>
    <tableColumn id="1223" name="Column1202" dataDxfId="15210" dataCellStyle="Normal"/>
    <tableColumn id="1224" name="Column1203" dataDxfId="15209" dataCellStyle="Normal"/>
    <tableColumn id="1225" name="Column1204" dataDxfId="15208" dataCellStyle="Normal"/>
    <tableColumn id="1226" name="Column1205" dataDxfId="15207" dataCellStyle="Normal"/>
    <tableColumn id="1227" name="Column1206" dataDxfId="15206" dataCellStyle="Normal"/>
    <tableColumn id="1228" name="Column1207" dataDxfId="15205" dataCellStyle="Normal"/>
    <tableColumn id="1229" name="Column1208" dataDxfId="15204" dataCellStyle="Normal"/>
    <tableColumn id="1230" name="Column1209" dataDxfId="15203" dataCellStyle="Normal"/>
    <tableColumn id="1231" name="Column1210" dataDxfId="15202" dataCellStyle="Normal"/>
    <tableColumn id="1232" name="Column1211" dataDxfId="15201" dataCellStyle="Normal"/>
    <tableColumn id="1233" name="Column1212" dataDxfId="15200" dataCellStyle="Normal"/>
    <tableColumn id="1234" name="Column1213" dataDxfId="15199" dataCellStyle="Normal"/>
    <tableColumn id="1235" name="Column1214" dataDxfId="15198" dataCellStyle="Normal"/>
    <tableColumn id="1236" name="Column1215" dataDxfId="15197" dataCellStyle="Normal"/>
    <tableColumn id="1237" name="Column1216" dataDxfId="15196" dataCellStyle="Normal"/>
    <tableColumn id="1238" name="Column1217" dataDxfId="15195" dataCellStyle="Normal"/>
    <tableColumn id="1239" name="Column1218" dataDxfId="15194" dataCellStyle="Normal"/>
    <tableColumn id="1240" name="Column1219" dataDxfId="15193" dataCellStyle="Normal"/>
    <tableColumn id="1241" name="Column1220" dataDxfId="15192" dataCellStyle="Normal"/>
    <tableColumn id="1242" name="Column1221" dataDxfId="15191" dataCellStyle="Normal"/>
    <tableColumn id="1243" name="Column1222" dataDxfId="15190" dataCellStyle="Normal"/>
    <tableColumn id="1244" name="Column1223" dataDxfId="15189" dataCellStyle="Normal"/>
    <tableColumn id="1245" name="Column1224" dataDxfId="15188" dataCellStyle="Normal"/>
    <tableColumn id="1246" name="Column1225" dataDxfId="15187" dataCellStyle="Normal"/>
    <tableColumn id="1247" name="Column1226" dataDxfId="15186" dataCellStyle="Normal"/>
    <tableColumn id="1248" name="Column1227" dataDxfId="15185" dataCellStyle="Normal"/>
    <tableColumn id="1249" name="Column1228" dataDxfId="15184" dataCellStyle="Normal"/>
    <tableColumn id="1250" name="Column1229" dataDxfId="15183" dataCellStyle="Normal"/>
    <tableColumn id="1251" name="Column1230" dataDxfId="15182" dataCellStyle="Normal"/>
    <tableColumn id="1252" name="Column1231" dataDxfId="15181" dataCellStyle="Normal"/>
    <tableColumn id="1253" name="Column1232" dataDxfId="15180" dataCellStyle="Normal"/>
    <tableColumn id="1254" name="Column1233" dataDxfId="15179" dataCellStyle="Normal"/>
    <tableColumn id="1255" name="Column1234" dataDxfId="15178" dataCellStyle="Normal"/>
    <tableColumn id="1256" name="Column1235" dataDxfId="15177" dataCellStyle="Normal"/>
    <tableColumn id="1257" name="Column1236" dataDxfId="15176" dataCellStyle="Normal"/>
    <tableColumn id="1258" name="Column1237" dataDxfId="15175" dataCellStyle="Normal"/>
    <tableColumn id="1259" name="Column1238" dataDxfId="15174" dataCellStyle="Normal"/>
    <tableColumn id="1260" name="Column1239" dataDxfId="15173" dataCellStyle="Normal"/>
    <tableColumn id="1261" name="Column1240" dataDxfId="15172" dataCellStyle="Normal"/>
    <tableColumn id="1262" name="Column1241" dataDxfId="15171" dataCellStyle="Normal"/>
    <tableColumn id="1263" name="Column1242" dataDxfId="15170" dataCellStyle="Normal"/>
    <tableColumn id="1264" name="Column1243" dataDxfId="15169" dataCellStyle="Normal"/>
    <tableColumn id="1265" name="Column1244" dataDxfId="15168" dataCellStyle="Normal"/>
    <tableColumn id="1266" name="Column1245" dataDxfId="15167" dataCellStyle="Normal"/>
    <tableColumn id="1267" name="Column1246" dataDxfId="15166" dataCellStyle="Normal"/>
    <tableColumn id="1268" name="Column1247" dataDxfId="15165" dataCellStyle="Normal"/>
    <tableColumn id="1269" name="Column1248" dataDxfId="15164" dataCellStyle="Normal"/>
    <tableColumn id="1270" name="Column1249" dataDxfId="15163" dataCellStyle="Normal"/>
    <tableColumn id="1271" name="Column1250" dataDxfId="15162" dataCellStyle="Normal"/>
    <tableColumn id="1272" name="Column1251" dataDxfId="15161" dataCellStyle="Normal"/>
    <tableColumn id="1273" name="Column1252" dataDxfId="15160" dataCellStyle="Normal"/>
    <tableColumn id="1274" name="Column1253" dataDxfId="15159" dataCellStyle="Normal"/>
    <tableColumn id="1275" name="Column1254" dataDxfId="15158" dataCellStyle="Normal"/>
    <tableColumn id="1276" name="Column1255" dataDxfId="15157" dataCellStyle="Normal"/>
    <tableColumn id="1277" name="Column1256" dataDxfId="15156" dataCellStyle="Normal"/>
    <tableColumn id="1278" name="Column1257" dataDxfId="15155" dataCellStyle="Normal"/>
    <tableColumn id="1279" name="Column1258" dataDxfId="15154" dataCellStyle="Normal"/>
    <tableColumn id="1280" name="Column1259" dataDxfId="15153" dataCellStyle="Normal"/>
    <tableColumn id="1281" name="Column1260" dataDxfId="15152" dataCellStyle="Normal"/>
    <tableColumn id="1282" name="Column1261" dataDxfId="15151" dataCellStyle="Normal"/>
    <tableColumn id="1283" name="Column1262" dataDxfId="15150" dataCellStyle="Normal"/>
    <tableColumn id="1284" name="Column1263" dataDxfId="15149" dataCellStyle="Normal"/>
    <tableColumn id="1285" name="Column1264" dataDxfId="15148" dataCellStyle="Normal"/>
    <tableColumn id="1286" name="Column1265" dataDxfId="15147" dataCellStyle="Normal"/>
    <tableColumn id="1287" name="Column1266" dataDxfId="15146" dataCellStyle="Normal"/>
    <tableColumn id="1288" name="Column1267" dataDxfId="15145" dataCellStyle="Normal"/>
    <tableColumn id="1289" name="Column1268" dataDxfId="15144" dataCellStyle="Normal"/>
    <tableColumn id="1290" name="Column1269" dataDxfId="15143" dataCellStyle="Normal"/>
    <tableColumn id="1291" name="Column1270" dataDxfId="15142" dataCellStyle="Normal"/>
    <tableColumn id="1292" name="Column1271" dataDxfId="15141" dataCellStyle="Normal"/>
    <tableColumn id="1293" name="Column1272" dataDxfId="15140" dataCellStyle="Normal"/>
    <tableColumn id="1294" name="Column1273" dataDxfId="15139" dataCellStyle="Normal"/>
    <tableColumn id="1295" name="Column1274" dataDxfId="15138" dataCellStyle="Normal"/>
    <tableColumn id="1296" name="Column1275" dataDxfId="15137" dataCellStyle="Normal"/>
    <tableColumn id="1297" name="Column1276" dataDxfId="15136" dataCellStyle="Normal"/>
    <tableColumn id="1298" name="Column1277" dataDxfId="15135" dataCellStyle="Normal"/>
    <tableColumn id="1299" name="Column1278" dataDxfId="15134" dataCellStyle="Normal"/>
    <tableColumn id="1300" name="Column1279" dataDxfId="15133" dataCellStyle="Normal"/>
    <tableColumn id="1301" name="Column1280" dataDxfId="15132" dataCellStyle="Normal"/>
    <tableColumn id="1302" name="Column1281" dataDxfId="15131" dataCellStyle="Normal"/>
    <tableColumn id="1303" name="Column1282" dataDxfId="15130" dataCellStyle="Normal"/>
    <tableColumn id="1304" name="Column1283" dataDxfId="15129" dataCellStyle="Normal"/>
    <tableColumn id="1305" name="Column1284" dataDxfId="15128" dataCellStyle="Normal"/>
    <tableColumn id="1306" name="Column1285" dataDxfId="15127" dataCellStyle="Normal"/>
    <tableColumn id="1307" name="Column1286" dataDxfId="15126" dataCellStyle="Normal"/>
    <tableColumn id="1308" name="Column1287" dataDxfId="15125" dataCellStyle="Normal"/>
    <tableColumn id="1309" name="Column1288" dataDxfId="15124" dataCellStyle="Normal"/>
    <tableColumn id="1310" name="Column1289" dataDxfId="15123" dataCellStyle="Normal"/>
    <tableColumn id="1311" name="Column1290" dataDxfId="15122" dataCellStyle="Normal"/>
    <tableColumn id="1312" name="Column1291" dataDxfId="15121" dataCellStyle="Normal"/>
    <tableColumn id="1313" name="Column1292" dataDxfId="15120" dataCellStyle="Normal"/>
    <tableColumn id="1314" name="Column1293" dataDxfId="15119" dataCellStyle="Normal"/>
    <tableColumn id="1315" name="Column1294" dataDxfId="15118" dataCellStyle="Normal"/>
    <tableColumn id="1316" name="Column1295" dataDxfId="15117" dataCellStyle="Normal"/>
    <tableColumn id="1317" name="Column1296" dataDxfId="15116" dataCellStyle="Normal"/>
    <tableColumn id="1318" name="Column1297" dataDxfId="15115" dataCellStyle="Normal"/>
    <tableColumn id="1319" name="Column1298" dataDxfId="15114" dataCellStyle="Normal"/>
    <tableColumn id="1320" name="Column1299" dataDxfId="15113" dataCellStyle="Normal"/>
    <tableColumn id="1321" name="Column1300" dataDxfId="15112" dataCellStyle="Normal"/>
    <tableColumn id="1322" name="Column1301" dataDxfId="15111" dataCellStyle="Normal"/>
    <tableColumn id="1323" name="Column1302" dataDxfId="15110" dataCellStyle="Normal"/>
    <tableColumn id="1324" name="Column1303" dataDxfId="15109" dataCellStyle="Normal"/>
    <tableColumn id="1325" name="Column1304" dataDxfId="15108" dataCellStyle="Normal"/>
    <tableColumn id="1326" name="Column1305" dataDxfId="15107" dataCellStyle="Normal"/>
    <tableColumn id="1327" name="Column1306" dataDxfId="15106" dataCellStyle="Normal"/>
    <tableColumn id="1328" name="Column1307" dataDxfId="15105" dataCellStyle="Normal"/>
    <tableColumn id="1329" name="Column1308" dataDxfId="15104" dataCellStyle="Normal"/>
    <tableColumn id="1330" name="Column1309" dataDxfId="15103" dataCellStyle="Normal"/>
    <tableColumn id="1331" name="Column1310" dataDxfId="15102" dataCellStyle="Normal"/>
    <tableColumn id="1332" name="Column1311" dataDxfId="15101" dataCellStyle="Normal"/>
    <tableColumn id="1333" name="Column1312" dataDxfId="15100" dataCellStyle="Normal"/>
    <tableColumn id="1334" name="Column1313" dataDxfId="15099" dataCellStyle="Normal"/>
    <tableColumn id="1335" name="Column1314" dataDxfId="15098" dataCellStyle="Normal"/>
    <tableColumn id="1336" name="Column1315" dataDxfId="15097" dataCellStyle="Normal"/>
    <tableColumn id="1337" name="Column1316" dataDxfId="15096" dataCellStyle="Normal"/>
    <tableColumn id="1338" name="Column1317" dataDxfId="15095" dataCellStyle="Normal"/>
    <tableColumn id="1339" name="Column1318" dataDxfId="15094" dataCellStyle="Normal"/>
    <tableColumn id="1340" name="Column1319" dataDxfId="15093" dataCellStyle="Normal"/>
    <tableColumn id="1341" name="Column1320" dataDxfId="15092" dataCellStyle="Normal"/>
    <tableColumn id="1342" name="Column1321" dataDxfId="15091" dataCellStyle="Normal"/>
    <tableColumn id="1343" name="Column1322" dataDxfId="15090" dataCellStyle="Normal"/>
    <tableColumn id="1344" name="Column1323" dataDxfId="15089" dataCellStyle="Normal"/>
    <tableColumn id="1345" name="Column1324" dataDxfId="15088" dataCellStyle="Normal"/>
    <tableColumn id="1346" name="Column1325" dataDxfId="15087" dataCellStyle="Normal"/>
    <tableColumn id="1347" name="Column1326" dataDxfId="15086" dataCellStyle="Normal"/>
    <tableColumn id="1348" name="Column1327" dataDxfId="15085" dataCellStyle="Normal"/>
    <tableColumn id="1349" name="Column1328" dataDxfId="15084" dataCellStyle="Normal"/>
    <tableColumn id="1350" name="Column1329" dataDxfId="15083" dataCellStyle="Normal"/>
    <tableColumn id="1351" name="Column1330" dataDxfId="15082" dataCellStyle="Normal"/>
    <tableColumn id="1352" name="Column1331" dataDxfId="15081" dataCellStyle="Normal"/>
    <tableColumn id="1353" name="Column1332" dataDxfId="15080" dataCellStyle="Normal"/>
    <tableColumn id="1354" name="Column1333" dataDxfId="15079" dataCellStyle="Normal"/>
    <tableColumn id="1355" name="Column1334" dataDxfId="15078" dataCellStyle="Normal"/>
    <tableColumn id="1356" name="Column1335" dataDxfId="15077" dataCellStyle="Normal"/>
    <tableColumn id="1357" name="Column1336" dataDxfId="15076" dataCellStyle="Normal"/>
    <tableColumn id="1358" name="Column1337" dataDxfId="15075" dataCellStyle="Normal"/>
    <tableColumn id="1359" name="Column1338" dataDxfId="15074" dataCellStyle="Normal"/>
    <tableColumn id="1360" name="Column1339" dataDxfId="15073" dataCellStyle="Normal"/>
    <tableColumn id="1361" name="Column1340" dataDxfId="15072" dataCellStyle="Normal"/>
    <tableColumn id="1362" name="Column1341" dataDxfId="15071" dataCellStyle="Normal"/>
    <tableColumn id="1363" name="Column1342" dataDxfId="15070" dataCellStyle="Normal"/>
    <tableColumn id="1364" name="Column1343" dataDxfId="15069" dataCellStyle="Normal"/>
    <tableColumn id="1365" name="Column1344" dataDxfId="15068" dataCellStyle="Normal"/>
    <tableColumn id="1366" name="Column1345" dataDxfId="15067" dataCellStyle="Normal"/>
    <tableColumn id="1367" name="Column1346" dataDxfId="15066" dataCellStyle="Normal"/>
    <tableColumn id="1368" name="Column1347" dataDxfId="15065" dataCellStyle="Normal"/>
    <tableColumn id="1369" name="Column1348" dataDxfId="15064" dataCellStyle="Normal"/>
    <tableColumn id="1370" name="Column1349" dataDxfId="15063" dataCellStyle="Normal"/>
    <tableColumn id="1371" name="Column1350" dataDxfId="15062" dataCellStyle="Normal"/>
    <tableColumn id="1372" name="Column1351" dataDxfId="15061" dataCellStyle="Normal"/>
    <tableColumn id="1373" name="Column1352" dataDxfId="15060" dataCellStyle="Normal"/>
    <tableColumn id="1374" name="Column1353" dataDxfId="15059" dataCellStyle="Normal"/>
    <tableColumn id="1375" name="Column1354" dataDxfId="15058" dataCellStyle="Normal"/>
    <tableColumn id="1376" name="Column1355" dataDxfId="15057" dataCellStyle="Normal"/>
    <tableColumn id="1377" name="Column1356" dataDxfId="15056" dataCellStyle="Normal"/>
    <tableColumn id="1378" name="Column1357" dataDxfId="15055" dataCellStyle="Normal"/>
    <tableColumn id="1379" name="Column1358" dataDxfId="15054" dataCellStyle="Normal"/>
    <tableColumn id="1380" name="Column1359" dataDxfId="15053" dataCellStyle="Normal"/>
    <tableColumn id="1381" name="Column1360" dataDxfId="15052" dataCellStyle="Normal"/>
    <tableColumn id="1382" name="Column1361" dataDxfId="15051" dataCellStyle="Normal"/>
    <tableColumn id="1383" name="Column1362" dataDxfId="15050" dataCellStyle="Normal"/>
    <tableColumn id="1384" name="Column1363" dataDxfId="15049" dataCellStyle="Normal"/>
    <tableColumn id="1385" name="Column1364" dataDxfId="15048" dataCellStyle="Normal"/>
    <tableColumn id="1386" name="Column1365" dataDxfId="15047" dataCellStyle="Normal"/>
    <tableColumn id="1387" name="Column1366" dataDxfId="15046" dataCellStyle="Normal"/>
    <tableColumn id="1388" name="Column1367" dataDxfId="15045" dataCellStyle="Normal"/>
    <tableColumn id="1389" name="Column1368" dataDxfId="15044" dataCellStyle="Normal"/>
    <tableColumn id="1390" name="Column1369" dataDxfId="15043" dataCellStyle="Normal"/>
    <tableColumn id="1391" name="Column1370" dataDxfId="15042" dataCellStyle="Normal"/>
    <tableColumn id="1392" name="Column1371" dataDxfId="15041" dataCellStyle="Normal"/>
    <tableColumn id="1393" name="Column1372" dataDxfId="15040" dataCellStyle="Normal"/>
    <tableColumn id="1394" name="Column1373" dataDxfId="15039" dataCellStyle="Normal"/>
    <tableColumn id="1395" name="Column1374" dataDxfId="15038" dataCellStyle="Normal"/>
    <tableColumn id="1396" name="Column1375" dataDxfId="15037" dataCellStyle="Normal"/>
    <tableColumn id="1397" name="Column1376" dataDxfId="15036" dataCellStyle="Normal"/>
    <tableColumn id="1398" name="Column1377" dataDxfId="15035" dataCellStyle="Normal"/>
    <tableColumn id="1399" name="Column1378" dataDxfId="15034" dataCellStyle="Normal"/>
    <tableColumn id="1400" name="Column1379" dataDxfId="15033" dataCellStyle="Normal"/>
    <tableColumn id="1401" name="Column1380" dataDxfId="15032" dataCellStyle="Normal"/>
    <tableColumn id="1402" name="Column1381" dataDxfId="15031" dataCellStyle="Normal"/>
    <tableColumn id="1403" name="Column1382" dataDxfId="15030" dataCellStyle="Normal"/>
    <tableColumn id="1404" name="Column1383" dataDxfId="15029" dataCellStyle="Normal"/>
    <tableColumn id="1405" name="Column1384" dataDxfId="15028" dataCellStyle="Normal"/>
    <tableColumn id="1406" name="Column1385" dataDxfId="15027" dataCellStyle="Normal"/>
    <tableColumn id="1407" name="Column1386" dataDxfId="15026" dataCellStyle="Normal"/>
    <tableColumn id="1408" name="Column1387" dataDxfId="15025" dataCellStyle="Normal"/>
    <tableColumn id="1409" name="Column1388" dataDxfId="15024" dataCellStyle="Normal"/>
    <tableColumn id="1410" name="Column1389" dataDxfId="15023" dataCellStyle="Normal"/>
    <tableColumn id="1411" name="Column1390" dataDxfId="15022" dataCellStyle="Normal"/>
    <tableColumn id="1412" name="Column1391" dataDxfId="15021" dataCellStyle="Normal"/>
    <tableColumn id="1413" name="Column1392" dataDxfId="15020" dataCellStyle="Normal"/>
    <tableColumn id="1414" name="Column1393" dataDxfId="15019" dataCellStyle="Normal"/>
    <tableColumn id="1415" name="Column1394" dataDxfId="15018" dataCellStyle="Normal"/>
    <tableColumn id="1416" name="Column1395" dataDxfId="15017" dataCellStyle="Normal"/>
    <tableColumn id="1417" name="Column1396" dataDxfId="15016" dataCellStyle="Normal"/>
    <tableColumn id="1418" name="Column1397" dataDxfId="15015" dataCellStyle="Normal"/>
    <tableColumn id="1419" name="Column1398" dataDxfId="15014" dataCellStyle="Normal"/>
    <tableColumn id="1420" name="Column1399" dataDxfId="15013" dataCellStyle="Normal"/>
    <tableColumn id="1421" name="Column1400" dataDxfId="15012" dataCellStyle="Normal"/>
    <tableColumn id="1422" name="Column1401" dataDxfId="15011" dataCellStyle="Normal"/>
    <tableColumn id="1423" name="Column1402" dataDxfId="15010" dataCellStyle="Normal"/>
    <tableColumn id="1424" name="Column1403" dataDxfId="15009" dataCellStyle="Normal"/>
    <tableColumn id="1425" name="Column1404" dataDxfId="15008" dataCellStyle="Normal"/>
    <tableColumn id="1426" name="Column1405" dataDxfId="15007" dataCellStyle="Normal"/>
    <tableColumn id="1427" name="Column1406" dataDxfId="15006" dataCellStyle="Normal"/>
    <tableColumn id="1428" name="Column1407" dataDxfId="15005" dataCellStyle="Normal"/>
    <tableColumn id="1429" name="Column1408" dataDxfId="15004" dataCellStyle="Normal"/>
    <tableColumn id="1430" name="Column1409" dataDxfId="15003" dataCellStyle="Normal"/>
    <tableColumn id="1431" name="Column1410" dataDxfId="15002" dataCellStyle="Normal"/>
    <tableColumn id="1432" name="Column1411" dataDxfId="15001" dataCellStyle="Normal"/>
    <tableColumn id="1433" name="Column1412" dataDxfId="15000" dataCellStyle="Normal"/>
    <tableColumn id="1434" name="Column1413" dataDxfId="14999" dataCellStyle="Normal"/>
    <tableColumn id="1435" name="Column1414" dataDxfId="14998" dataCellStyle="Normal"/>
    <tableColumn id="1436" name="Column1415" dataDxfId="14997" dataCellStyle="Normal"/>
    <tableColumn id="1437" name="Column1416" dataDxfId="14996" dataCellStyle="Normal"/>
    <tableColumn id="1438" name="Column1417" dataDxfId="14995" dataCellStyle="Normal"/>
    <tableColumn id="1439" name="Column1418" dataDxfId="14994" dataCellStyle="Normal"/>
    <tableColumn id="1440" name="Column1419" dataDxfId="14993" dataCellStyle="Normal"/>
    <tableColumn id="1441" name="Column1420" dataDxfId="14992" dataCellStyle="Normal"/>
    <tableColumn id="1442" name="Column1421" dataDxfId="14991" dataCellStyle="Normal"/>
    <tableColumn id="1443" name="Column1422" dataDxfId="14990" dataCellStyle="Normal"/>
    <tableColumn id="1444" name="Column1423" dataDxfId="14989" dataCellStyle="Normal"/>
    <tableColumn id="1445" name="Column1424" dataDxfId="14988" dataCellStyle="Normal"/>
    <tableColumn id="1446" name="Column1425" dataDxfId="14987" dataCellStyle="Normal"/>
    <tableColumn id="1447" name="Column1426" dataDxfId="14986" dataCellStyle="Normal"/>
    <tableColumn id="1448" name="Column1427" dataDxfId="14985" dataCellStyle="Normal"/>
    <tableColumn id="1449" name="Column1428" dataDxfId="14984" dataCellStyle="Normal"/>
    <tableColumn id="1450" name="Column1429" dataDxfId="14983" dataCellStyle="Normal"/>
    <tableColumn id="1451" name="Column1430" dataDxfId="14982" dataCellStyle="Normal"/>
    <tableColumn id="1452" name="Column1431" dataDxfId="14981" dataCellStyle="Normal"/>
    <tableColumn id="1453" name="Column1432" dataDxfId="14980" dataCellStyle="Normal"/>
    <tableColumn id="1454" name="Column1433" dataDxfId="14979" dataCellStyle="Normal"/>
    <tableColumn id="1455" name="Column1434" dataDxfId="14978" dataCellStyle="Normal"/>
    <tableColumn id="1456" name="Column1435" dataDxfId="14977" dataCellStyle="Normal"/>
    <tableColumn id="1457" name="Column1436" dataDxfId="14976" dataCellStyle="Normal"/>
    <tableColumn id="1458" name="Column1437" dataDxfId="14975" dataCellStyle="Normal"/>
    <tableColumn id="1459" name="Column1438" dataDxfId="14974" dataCellStyle="Normal"/>
    <tableColumn id="1460" name="Column1439" dataDxfId="14973" dataCellStyle="Normal"/>
    <tableColumn id="1461" name="Column1440" dataDxfId="14972" dataCellStyle="Normal"/>
    <tableColumn id="1462" name="Column1441" dataDxfId="14971" dataCellStyle="Normal"/>
    <tableColumn id="1463" name="Column1442" dataDxfId="14970" dataCellStyle="Normal"/>
    <tableColumn id="1464" name="Column1443" dataDxfId="14969" dataCellStyle="Normal"/>
    <tableColumn id="1465" name="Column1444" dataDxfId="14968" dataCellStyle="Normal"/>
    <tableColumn id="1466" name="Column1445" dataDxfId="14967" dataCellStyle="Normal"/>
    <tableColumn id="1467" name="Column1446" dataDxfId="14966" dataCellStyle="Normal"/>
    <tableColumn id="1468" name="Column1447" dataDxfId="14965" dataCellStyle="Normal"/>
    <tableColumn id="1469" name="Column1448" dataDxfId="14964" dataCellStyle="Normal"/>
    <tableColumn id="1470" name="Column1449" dataDxfId="14963" dataCellStyle="Normal"/>
    <tableColumn id="1471" name="Column1450" dataDxfId="14962" dataCellStyle="Normal"/>
    <tableColumn id="1472" name="Column1451" dataDxfId="14961" dataCellStyle="Normal"/>
    <tableColumn id="1473" name="Column1452" dataDxfId="14960" dataCellStyle="Normal"/>
    <tableColumn id="1474" name="Column1453" dataDxfId="14959" dataCellStyle="Normal"/>
    <tableColumn id="1475" name="Column1454" dataDxfId="14958" dataCellStyle="Normal"/>
    <tableColumn id="1476" name="Column1455" dataDxfId="14957" dataCellStyle="Normal"/>
    <tableColumn id="1477" name="Column1456" dataDxfId="14956" dataCellStyle="Normal"/>
    <tableColumn id="1478" name="Column1457" dataDxfId="14955" dataCellStyle="Normal"/>
    <tableColumn id="1479" name="Column1458" dataDxfId="14954" dataCellStyle="Normal"/>
    <tableColumn id="1480" name="Column1459" dataDxfId="14953" dataCellStyle="Normal"/>
    <tableColumn id="1481" name="Column1460" dataDxfId="14952" dataCellStyle="Normal"/>
    <tableColumn id="1482" name="Column1461" dataDxfId="14951" dataCellStyle="Normal"/>
    <tableColumn id="1483" name="Column1462" dataDxfId="14950" dataCellStyle="Normal"/>
    <tableColumn id="1484" name="Column1463" dataDxfId="14949" dataCellStyle="Normal"/>
    <tableColumn id="1485" name="Column1464" dataDxfId="14948" dataCellStyle="Normal"/>
    <tableColumn id="1486" name="Column1465" dataDxfId="14947" dataCellStyle="Normal"/>
    <tableColumn id="1487" name="Column1466" dataDxfId="14946" dataCellStyle="Normal"/>
    <tableColumn id="1488" name="Column1467" dataDxfId="14945" dataCellStyle="Normal"/>
    <tableColumn id="1489" name="Column1468" dataDxfId="14944" dataCellStyle="Normal"/>
    <tableColumn id="1490" name="Column1469" dataDxfId="14943" dataCellStyle="Normal"/>
    <tableColumn id="1491" name="Column1470" dataDxfId="14942" dataCellStyle="Normal"/>
    <tableColumn id="1492" name="Column1471" dataDxfId="14941" dataCellStyle="Normal"/>
    <tableColumn id="1493" name="Column1472" dataDxfId="14940" dataCellStyle="Normal"/>
    <tableColumn id="1494" name="Column1473" dataDxfId="14939" dataCellStyle="Normal"/>
    <tableColumn id="1495" name="Column1474" dataDxfId="14938" dataCellStyle="Normal"/>
    <tableColumn id="1496" name="Column1475" dataDxfId="14937" dataCellStyle="Normal"/>
    <tableColumn id="1497" name="Column1476" dataDxfId="14936" dataCellStyle="Normal"/>
    <tableColumn id="1498" name="Column1477" dataDxfId="14935" dataCellStyle="Normal"/>
    <tableColumn id="1499" name="Column1478" dataDxfId="14934" dataCellStyle="Normal"/>
    <tableColumn id="1500" name="Column1479" dataDxfId="14933" dataCellStyle="Normal"/>
    <tableColumn id="1501" name="Column1480" dataDxfId="14932" dataCellStyle="Normal"/>
    <tableColumn id="1502" name="Column1481" dataDxfId="14931" dataCellStyle="Normal"/>
    <tableColumn id="1503" name="Column1482" dataDxfId="14930" dataCellStyle="Normal"/>
    <tableColumn id="1504" name="Column1483" dataDxfId="14929" dataCellStyle="Normal"/>
    <tableColumn id="1505" name="Column1484" dataDxfId="14928" dataCellStyle="Normal"/>
    <tableColumn id="1506" name="Column1485" dataDxfId="14927" dataCellStyle="Normal"/>
    <tableColumn id="1507" name="Column1486" dataDxfId="14926" dataCellStyle="Normal"/>
    <tableColumn id="1508" name="Column1487" dataDxfId="14925" dataCellStyle="Normal"/>
    <tableColumn id="1509" name="Column1488" dataDxfId="14924" dataCellStyle="Normal"/>
    <tableColumn id="1510" name="Column1489" dataDxfId="14923" dataCellStyle="Normal"/>
    <tableColumn id="1511" name="Column1490" dataDxfId="14922" dataCellStyle="Normal"/>
    <tableColumn id="1512" name="Column1491" dataDxfId="14921" dataCellStyle="Normal"/>
    <tableColumn id="1513" name="Column1492" dataDxfId="14920" dataCellStyle="Normal"/>
    <tableColumn id="1514" name="Column1493" dataDxfId="14919" dataCellStyle="Normal"/>
    <tableColumn id="1515" name="Column1494" dataDxfId="14918" dataCellStyle="Normal"/>
    <tableColumn id="1516" name="Column1495" dataDxfId="14917" dataCellStyle="Normal"/>
    <tableColumn id="1517" name="Column1496" dataDxfId="14916" dataCellStyle="Normal"/>
    <tableColumn id="1518" name="Column1497" dataDxfId="14915" dataCellStyle="Normal"/>
    <tableColumn id="1519" name="Column1498" dataDxfId="14914" dataCellStyle="Normal"/>
    <tableColumn id="1520" name="Column1499" dataDxfId="14913" dataCellStyle="Normal"/>
    <tableColumn id="1521" name="Column1500" dataDxfId="14912" dataCellStyle="Normal"/>
    <tableColumn id="1522" name="Column1501" dataDxfId="14911" dataCellStyle="Normal"/>
    <tableColumn id="1523" name="Column1502" dataDxfId="14910" dataCellStyle="Normal"/>
    <tableColumn id="1524" name="Column1503" dataDxfId="14909" dataCellStyle="Normal"/>
    <tableColumn id="1525" name="Column1504" dataDxfId="14908" dataCellStyle="Normal"/>
    <tableColumn id="1526" name="Column1505" dataDxfId="14907" dataCellStyle="Normal"/>
    <tableColumn id="1527" name="Column1506" dataDxfId="14906" dataCellStyle="Normal"/>
    <tableColumn id="1528" name="Column1507" dataDxfId="14905" dataCellStyle="Normal"/>
    <tableColumn id="1529" name="Column1508" dataDxfId="14904" dataCellStyle="Normal"/>
    <tableColumn id="1530" name="Column1509" dataDxfId="14903" dataCellStyle="Normal"/>
    <tableColumn id="1531" name="Column1510" dataDxfId="14902" dataCellStyle="Normal"/>
    <tableColumn id="1532" name="Column1511" dataDxfId="14901" dataCellStyle="Normal"/>
    <tableColumn id="1533" name="Column1512" dataDxfId="14900" dataCellStyle="Normal"/>
    <tableColumn id="1534" name="Column1513" dataDxfId="14899" dataCellStyle="Normal"/>
    <tableColumn id="1535" name="Column1514" dataDxfId="14898" dataCellStyle="Normal"/>
    <tableColumn id="1536" name="Column1515" dataDxfId="14897" dataCellStyle="Normal"/>
    <tableColumn id="1537" name="Column1516" dataDxfId="14896" dataCellStyle="Normal"/>
    <tableColumn id="1538" name="Column1517" dataDxfId="14895" dataCellStyle="Normal"/>
    <tableColumn id="1539" name="Column1518" dataDxfId="14894" dataCellStyle="Normal"/>
    <tableColumn id="1540" name="Column1519" dataDxfId="14893" dataCellStyle="Normal"/>
    <tableColumn id="1541" name="Column1520" dataDxfId="14892" dataCellStyle="Normal"/>
    <tableColumn id="1542" name="Column1521" dataDxfId="14891" dataCellStyle="Normal"/>
    <tableColumn id="1543" name="Column1522" dataDxfId="14890" dataCellStyle="Normal"/>
    <tableColumn id="1544" name="Column1523" dataDxfId="14889" dataCellStyle="Normal"/>
    <tableColumn id="1545" name="Column1524" dataDxfId="14888" dataCellStyle="Normal"/>
    <tableColumn id="1546" name="Column1525" dataDxfId="14887" dataCellStyle="Normal"/>
    <tableColumn id="1547" name="Column1526" dataDxfId="14886" dataCellStyle="Normal"/>
    <tableColumn id="1548" name="Column1527" dataDxfId="14885" dataCellStyle="Normal"/>
    <tableColumn id="1549" name="Column1528" dataDxfId="14884" dataCellStyle="Normal"/>
    <tableColumn id="1550" name="Column1529" dataDxfId="14883" dataCellStyle="Normal"/>
    <tableColumn id="1551" name="Column1530" dataDxfId="14882" dataCellStyle="Normal"/>
    <tableColumn id="1552" name="Column1531" dataDxfId="14881" dataCellStyle="Normal"/>
    <tableColumn id="1553" name="Column1532" dataDxfId="14880" dataCellStyle="Normal"/>
    <tableColumn id="1554" name="Column1533" dataDxfId="14879" dataCellStyle="Normal"/>
    <tableColumn id="1555" name="Column1534" dataDxfId="14878" dataCellStyle="Normal"/>
    <tableColumn id="1556" name="Column1535" dataDxfId="14877" dataCellStyle="Normal"/>
    <tableColumn id="1557" name="Column1536" dataDxfId="14876" dataCellStyle="Normal"/>
    <tableColumn id="1558" name="Column1537" dataDxfId="14875" dataCellStyle="Normal"/>
    <tableColumn id="1559" name="Column1538" dataDxfId="14874" dataCellStyle="Normal"/>
    <tableColumn id="1560" name="Column1539" dataDxfId="14873" dataCellStyle="Normal"/>
    <tableColumn id="1561" name="Column1540" dataDxfId="14872" dataCellStyle="Normal"/>
    <tableColumn id="1562" name="Column1541" dataDxfId="14871" dataCellStyle="Normal"/>
    <tableColumn id="1563" name="Column1542" dataDxfId="14870" dataCellStyle="Normal"/>
    <tableColumn id="1564" name="Column1543" dataDxfId="14869" dataCellStyle="Normal"/>
    <tableColumn id="1565" name="Column1544" dataDxfId="14868" dataCellStyle="Normal"/>
    <tableColumn id="1566" name="Column1545" dataDxfId="14867" dataCellStyle="Normal"/>
    <tableColumn id="1567" name="Column1546" dataDxfId="14866" dataCellStyle="Normal"/>
    <tableColumn id="1568" name="Column1547" dataDxfId="14865" dataCellStyle="Normal"/>
    <tableColumn id="1569" name="Column1548" dataDxfId="14864" dataCellStyle="Normal"/>
    <tableColumn id="1570" name="Column1549" dataDxfId="14863" dataCellStyle="Normal"/>
    <tableColumn id="1571" name="Column1550" dataDxfId="14862" dataCellStyle="Normal"/>
    <tableColumn id="1572" name="Column1551" dataDxfId="14861" dataCellStyle="Normal"/>
    <tableColumn id="1573" name="Column1552" dataDxfId="14860" dataCellStyle="Normal"/>
    <tableColumn id="1574" name="Column1553" dataDxfId="14859" dataCellStyle="Normal"/>
    <tableColumn id="1575" name="Column1554" dataDxfId="14858" dataCellStyle="Normal"/>
    <tableColumn id="1576" name="Column1555" dataDxfId="14857" dataCellStyle="Normal"/>
    <tableColumn id="1577" name="Column1556" dataDxfId="14856" dataCellStyle="Normal"/>
    <tableColumn id="1578" name="Column1557" dataDxfId="14855" dataCellStyle="Normal"/>
    <tableColumn id="1579" name="Column1558" dataDxfId="14854" dataCellStyle="Normal"/>
    <tableColumn id="1580" name="Column1559" dataDxfId="14853" dataCellStyle="Normal"/>
    <tableColumn id="1581" name="Column1560" dataDxfId="14852" dataCellStyle="Normal"/>
    <tableColumn id="1582" name="Column1561" dataDxfId="14851" dataCellStyle="Normal"/>
    <tableColumn id="1583" name="Column1562" dataDxfId="14850" dataCellStyle="Normal"/>
    <tableColumn id="1584" name="Column1563" dataDxfId="14849" dataCellStyle="Normal"/>
    <tableColumn id="1585" name="Column1564" dataDxfId="14848" dataCellStyle="Normal"/>
    <tableColumn id="1586" name="Column1565" dataDxfId="14847" dataCellStyle="Normal"/>
    <tableColumn id="1587" name="Column1566" dataDxfId="14846" dataCellStyle="Normal"/>
    <tableColumn id="1588" name="Column1567" dataDxfId="14845" dataCellStyle="Normal"/>
    <tableColumn id="1589" name="Column1568" dataDxfId="14844" dataCellStyle="Normal"/>
    <tableColumn id="1590" name="Column1569" dataDxfId="14843" dataCellStyle="Normal"/>
    <tableColumn id="1591" name="Column1570" dataDxfId="14842" dataCellStyle="Normal"/>
    <tableColumn id="1592" name="Column1571" dataDxfId="14841" dataCellStyle="Normal"/>
    <tableColumn id="1593" name="Column1572" dataDxfId="14840" dataCellStyle="Normal"/>
    <tableColumn id="1594" name="Column1573" dataDxfId="14839" dataCellStyle="Normal"/>
    <tableColumn id="1595" name="Column1574" dataDxfId="14838" dataCellStyle="Normal"/>
    <tableColumn id="1596" name="Column1575" dataDxfId="14837" dataCellStyle="Normal"/>
    <tableColumn id="1597" name="Column1576" dataDxfId="14836" dataCellStyle="Normal"/>
    <tableColumn id="1598" name="Column1577" dataDxfId="14835" dataCellStyle="Normal"/>
    <tableColumn id="1599" name="Column1578" dataDxfId="14834" dataCellStyle="Normal"/>
    <tableColumn id="1600" name="Column1579" dataDxfId="14833" dataCellStyle="Normal"/>
    <tableColumn id="1601" name="Column1580" dataDxfId="14832" dataCellStyle="Normal"/>
    <tableColumn id="1602" name="Column1581" dataDxfId="14831" dataCellStyle="Normal"/>
    <tableColumn id="1603" name="Column1582" dataDxfId="14830" dataCellStyle="Normal"/>
    <tableColumn id="1604" name="Column1583" dataDxfId="14829" dataCellStyle="Normal"/>
    <tableColumn id="1605" name="Column1584" dataDxfId="14828" dataCellStyle="Normal"/>
    <tableColumn id="1606" name="Column1585" dataDxfId="14827" dataCellStyle="Normal"/>
    <tableColumn id="1607" name="Column1586" dataDxfId="14826" dataCellStyle="Normal"/>
    <tableColumn id="1608" name="Column1587" dataDxfId="14825" dataCellStyle="Normal"/>
    <tableColumn id="1609" name="Column1588" dataDxfId="14824" dataCellStyle="Normal"/>
    <tableColumn id="1610" name="Column1589" dataDxfId="14823" dataCellStyle="Normal"/>
    <tableColumn id="1611" name="Column1590" dataDxfId="14822" dataCellStyle="Normal"/>
    <tableColumn id="1612" name="Column1591" dataDxfId="14821" dataCellStyle="Normal"/>
    <tableColumn id="1613" name="Column1592" dataDxfId="14820" dataCellStyle="Normal"/>
    <tableColumn id="1614" name="Column1593" dataDxfId="14819" dataCellStyle="Normal"/>
    <tableColumn id="1615" name="Column1594" dataDxfId="14818" dataCellStyle="Normal"/>
    <tableColumn id="1616" name="Column1595" dataDxfId="14817" dataCellStyle="Normal"/>
    <tableColumn id="1617" name="Column1596" dataDxfId="14816" dataCellStyle="Normal"/>
    <tableColumn id="1618" name="Column1597" dataDxfId="14815" dataCellStyle="Normal"/>
    <tableColumn id="1619" name="Column1598" dataDxfId="14814" dataCellStyle="Normal"/>
    <tableColumn id="1620" name="Column1599" dataDxfId="14813" dataCellStyle="Normal"/>
    <tableColumn id="1621" name="Column1600" dataDxfId="14812" dataCellStyle="Normal"/>
    <tableColumn id="1622" name="Column1601" dataDxfId="14811" dataCellStyle="Normal"/>
    <tableColumn id="1623" name="Column1602" dataDxfId="14810" dataCellStyle="Normal"/>
    <tableColumn id="1624" name="Column1603" dataDxfId="14809" dataCellStyle="Normal"/>
    <tableColumn id="1625" name="Column1604" dataDxfId="14808" dataCellStyle="Normal"/>
    <tableColumn id="1626" name="Column1605" dataDxfId="14807" dataCellStyle="Normal"/>
    <tableColumn id="1627" name="Column1606" dataDxfId="14806" dataCellStyle="Normal"/>
    <tableColumn id="1628" name="Column1607" dataDxfId="14805" dataCellStyle="Normal"/>
    <tableColumn id="1629" name="Column1608" dataDxfId="14804" dataCellStyle="Normal"/>
    <tableColumn id="1630" name="Column1609" dataDxfId="14803" dataCellStyle="Normal"/>
    <tableColumn id="1631" name="Column1610" dataDxfId="14802" dataCellStyle="Normal"/>
    <tableColumn id="1632" name="Column1611" dataDxfId="14801" dataCellStyle="Normal"/>
    <tableColumn id="1633" name="Column1612" dataDxfId="14800" dataCellStyle="Normal"/>
    <tableColumn id="1634" name="Column1613" dataDxfId="14799" dataCellStyle="Normal"/>
    <tableColumn id="1635" name="Column1614" dataDxfId="14798" dataCellStyle="Normal"/>
    <tableColumn id="1636" name="Column1615" dataDxfId="14797" dataCellStyle="Normal"/>
    <tableColumn id="1637" name="Column1616" dataDxfId="14796" dataCellStyle="Normal"/>
    <tableColumn id="1638" name="Column1617" dataDxfId="14795" dataCellStyle="Normal"/>
    <tableColumn id="1639" name="Column1618" dataDxfId="14794" dataCellStyle="Normal"/>
    <tableColumn id="1640" name="Column1619" dataDxfId="14793" dataCellStyle="Normal"/>
    <tableColumn id="1641" name="Column1620" dataDxfId="14792" dataCellStyle="Normal"/>
    <tableColumn id="1642" name="Column1621" dataDxfId="14791" dataCellStyle="Normal"/>
    <tableColumn id="1643" name="Column1622" dataDxfId="14790" dataCellStyle="Normal"/>
    <tableColumn id="1644" name="Column1623" dataDxfId="14789" dataCellStyle="Normal"/>
    <tableColumn id="1645" name="Column1624" dataDxfId="14788" dataCellStyle="Normal"/>
    <tableColumn id="1646" name="Column1625" dataDxfId="14787" dataCellStyle="Normal"/>
    <tableColumn id="1647" name="Column1626" dataDxfId="14786" dataCellStyle="Normal"/>
    <tableColumn id="1648" name="Column1627" dataDxfId="14785" dataCellStyle="Normal"/>
    <tableColumn id="1649" name="Column1628" dataDxfId="14784" dataCellStyle="Normal"/>
    <tableColumn id="1650" name="Column1629" dataDxfId="14783" dataCellStyle="Normal"/>
    <tableColumn id="1651" name="Column1630" dataDxfId="14782" dataCellStyle="Normal"/>
    <tableColumn id="1652" name="Column1631" dataDxfId="14781" dataCellStyle="Normal"/>
    <tableColumn id="1653" name="Column1632" dataDxfId="14780" dataCellStyle="Normal"/>
    <tableColumn id="1654" name="Column1633" dataDxfId="14779" dataCellStyle="Normal"/>
    <tableColumn id="1655" name="Column1634" dataDxfId="14778" dataCellStyle="Normal"/>
    <tableColumn id="1656" name="Column1635" dataDxfId="14777" dataCellStyle="Normal"/>
    <tableColumn id="1657" name="Column1636" dataDxfId="14776" dataCellStyle="Normal"/>
    <tableColumn id="1658" name="Column1637" dataDxfId="14775" dataCellStyle="Normal"/>
    <tableColumn id="1659" name="Column1638" dataDxfId="14774" dataCellStyle="Normal"/>
    <tableColumn id="1660" name="Column1639" dataDxfId="14773" dataCellStyle="Normal"/>
    <tableColumn id="1661" name="Column1640" dataDxfId="14772" dataCellStyle="Normal"/>
    <tableColumn id="1662" name="Column1641" dataDxfId="14771" dataCellStyle="Normal"/>
    <tableColumn id="1663" name="Column1642" dataDxfId="14770" dataCellStyle="Normal"/>
    <tableColumn id="1664" name="Column1643" dataDxfId="14769" dataCellStyle="Normal"/>
    <tableColumn id="1665" name="Column1644" dataDxfId="14768" dataCellStyle="Normal"/>
    <tableColumn id="1666" name="Column1645" dataDxfId="14767" dataCellStyle="Normal"/>
    <tableColumn id="1667" name="Column1646" dataDxfId="14766" dataCellStyle="Normal"/>
    <tableColumn id="1668" name="Column1647" dataDxfId="14765" dataCellStyle="Normal"/>
    <tableColumn id="1669" name="Column1648" dataDxfId="14764" dataCellStyle="Normal"/>
    <tableColumn id="1670" name="Column1649" dataDxfId="14763" dataCellStyle="Normal"/>
    <tableColumn id="1671" name="Column1650" dataDxfId="14762" dataCellStyle="Normal"/>
    <tableColumn id="1672" name="Column1651" dataDxfId="14761" dataCellStyle="Normal"/>
    <tableColumn id="1673" name="Column1652" dataDxfId="14760" dataCellStyle="Normal"/>
    <tableColumn id="1674" name="Column1653" dataDxfId="14759" dataCellStyle="Normal"/>
    <tableColumn id="1675" name="Column1654" dataDxfId="14758" dataCellStyle="Normal"/>
    <tableColumn id="1676" name="Column1655" dataDxfId="14757" dataCellStyle="Normal"/>
    <tableColumn id="1677" name="Column1656" dataDxfId="14756" dataCellStyle="Normal"/>
    <tableColumn id="1678" name="Column1657" dataDxfId="14755" dataCellStyle="Normal"/>
    <tableColumn id="1679" name="Column1658" dataDxfId="14754" dataCellStyle="Normal"/>
    <tableColumn id="1680" name="Column1659" dataDxfId="14753" dataCellStyle="Normal"/>
    <tableColumn id="1681" name="Column1660" dataDxfId="14752" dataCellStyle="Normal"/>
    <tableColumn id="1682" name="Column1661" dataDxfId="14751" dataCellStyle="Normal"/>
    <tableColumn id="1683" name="Column1662" dataDxfId="14750" dataCellStyle="Normal"/>
    <tableColumn id="1684" name="Column1663" dataDxfId="14749" dataCellStyle="Normal"/>
    <tableColumn id="1685" name="Column1664" dataDxfId="14748" dataCellStyle="Normal"/>
    <tableColumn id="1686" name="Column1665" dataDxfId="14747" dataCellStyle="Normal"/>
    <tableColumn id="1687" name="Column1666" dataDxfId="14746" dataCellStyle="Normal"/>
    <tableColumn id="1688" name="Column1667" dataDxfId="14745" dataCellStyle="Normal"/>
    <tableColumn id="1689" name="Column1668" dataDxfId="14744" dataCellStyle="Normal"/>
    <tableColumn id="1690" name="Column1669" dataDxfId="14743" dataCellStyle="Normal"/>
    <tableColumn id="1691" name="Column1670" dataDxfId="14742" dataCellStyle="Normal"/>
    <tableColumn id="1692" name="Column1671" dataDxfId="14741" dataCellStyle="Normal"/>
    <tableColumn id="1693" name="Column1672" dataDxfId="14740" dataCellStyle="Normal"/>
    <tableColumn id="1694" name="Column1673" dataDxfId="14739" dataCellStyle="Normal"/>
    <tableColumn id="1695" name="Column1674" dataDxfId="14738" dataCellStyle="Normal"/>
    <tableColumn id="1696" name="Column1675" dataDxfId="14737" dataCellStyle="Normal"/>
    <tableColumn id="1697" name="Column1676" dataDxfId="14736" dataCellStyle="Normal"/>
    <tableColumn id="1698" name="Column1677" dataDxfId="14735" dataCellStyle="Normal"/>
    <tableColumn id="1699" name="Column1678" dataDxfId="14734" dataCellStyle="Normal"/>
    <tableColumn id="1700" name="Column1679" dataDxfId="14733" dataCellStyle="Normal"/>
    <tableColumn id="1701" name="Column1680" dataDxfId="14732" dataCellStyle="Normal"/>
    <tableColumn id="1702" name="Column1681" dataDxfId="14731" dataCellStyle="Normal"/>
    <tableColumn id="1703" name="Column1682" dataDxfId="14730" dataCellStyle="Normal"/>
    <tableColumn id="1704" name="Column1683" dataDxfId="14729" dataCellStyle="Normal"/>
    <tableColumn id="1705" name="Column1684" dataDxfId="14728" dataCellStyle="Normal"/>
    <tableColumn id="1706" name="Column1685" dataDxfId="14727" dataCellStyle="Normal"/>
    <tableColumn id="1707" name="Column1686" dataDxfId="14726" dataCellStyle="Normal"/>
    <tableColumn id="1708" name="Column1687" dataDxfId="14725" dataCellStyle="Normal"/>
    <tableColumn id="1709" name="Column1688" dataDxfId="14724" dataCellStyle="Normal"/>
    <tableColumn id="1710" name="Column1689" dataDxfId="14723" dataCellStyle="Normal"/>
    <tableColumn id="1711" name="Column1690" dataDxfId="14722" dataCellStyle="Normal"/>
    <tableColumn id="1712" name="Column1691" dataDxfId="14721" dataCellStyle="Normal"/>
    <tableColumn id="1713" name="Column1692" dataDxfId="14720" dataCellStyle="Normal"/>
    <tableColumn id="1714" name="Column1693" dataDxfId="14719" dataCellStyle="Normal"/>
    <tableColumn id="1715" name="Column1694" dataDxfId="14718" dataCellStyle="Normal"/>
    <tableColumn id="1716" name="Column1695" dataDxfId="14717" dataCellStyle="Normal"/>
    <tableColumn id="1717" name="Column1696" dataDxfId="14716" dataCellStyle="Normal"/>
    <tableColumn id="1718" name="Column1697" dataDxfId="14715" dataCellStyle="Normal"/>
    <tableColumn id="1719" name="Column1698" dataDxfId="14714" dataCellStyle="Normal"/>
    <tableColumn id="1720" name="Column1699" dataDxfId="14713" dataCellStyle="Normal"/>
    <tableColumn id="1721" name="Column1700" dataDxfId="14712" dataCellStyle="Normal"/>
    <tableColumn id="1722" name="Column1701" dataDxfId="14711" dataCellStyle="Normal"/>
    <tableColumn id="1723" name="Column1702" dataDxfId="14710" dataCellStyle="Normal"/>
    <tableColumn id="1724" name="Column1703" dataDxfId="14709" dataCellStyle="Normal"/>
    <tableColumn id="1725" name="Column1704" dataDxfId="14708" dataCellStyle="Normal"/>
    <tableColumn id="1726" name="Column1705" dataDxfId="14707" dataCellStyle="Normal"/>
    <tableColumn id="1727" name="Column1706" dataDxfId="14706" dataCellStyle="Normal"/>
    <tableColumn id="1728" name="Column1707" dataDxfId="14705" dataCellStyle="Normal"/>
    <tableColumn id="1729" name="Column1708" dataDxfId="14704" dataCellStyle="Normal"/>
    <tableColumn id="1730" name="Column1709" dataDxfId="14703" dataCellStyle="Normal"/>
    <tableColumn id="1731" name="Column1710" dataDxfId="14702" dataCellStyle="Normal"/>
    <tableColumn id="1732" name="Column1711" dataDxfId="14701" dataCellStyle="Normal"/>
    <tableColumn id="1733" name="Column1712" dataDxfId="14700" dataCellStyle="Normal"/>
    <tableColumn id="1734" name="Column1713" dataDxfId="14699" dataCellStyle="Normal"/>
    <tableColumn id="1735" name="Column1714" dataDxfId="14698" dataCellStyle="Normal"/>
    <tableColumn id="1736" name="Column1715" dataDxfId="14697" dataCellStyle="Normal"/>
    <tableColumn id="1737" name="Column1716" dataDxfId="14696" dataCellStyle="Normal"/>
    <tableColumn id="1738" name="Column1717" dataDxfId="14695" dataCellStyle="Normal"/>
    <tableColumn id="1739" name="Column1718" dataDxfId="14694" dataCellStyle="Normal"/>
    <tableColumn id="1740" name="Column1719" dataDxfId="14693" dataCellStyle="Normal"/>
    <tableColumn id="1741" name="Column1720" dataDxfId="14692" dataCellStyle="Normal"/>
    <tableColumn id="1742" name="Column1721" dataDxfId="14691" dataCellStyle="Normal"/>
    <tableColumn id="1743" name="Column1722" dataDxfId="14690" dataCellStyle="Normal"/>
    <tableColumn id="1744" name="Column1723" dataDxfId="14689" dataCellStyle="Normal"/>
    <tableColumn id="1745" name="Column1724" dataDxfId="14688" dataCellStyle="Normal"/>
    <tableColumn id="1746" name="Column1725" dataDxfId="14687" dataCellStyle="Normal"/>
    <tableColumn id="1747" name="Column1726" dataDxfId="14686" dataCellStyle="Normal"/>
    <tableColumn id="1748" name="Column1727" dataDxfId="14685" dataCellStyle="Normal"/>
    <tableColumn id="1749" name="Column1728" dataDxfId="14684" dataCellStyle="Normal"/>
    <tableColumn id="1750" name="Column1729" dataDxfId="14683" dataCellStyle="Normal"/>
    <tableColumn id="1751" name="Column1730" dataDxfId="14682" dataCellStyle="Normal"/>
    <tableColumn id="1752" name="Column1731" dataDxfId="14681" dataCellStyle="Normal"/>
    <tableColumn id="1753" name="Column1732" dataDxfId="14680" dataCellStyle="Normal"/>
    <tableColumn id="1754" name="Column1733" dataDxfId="14679" dataCellStyle="Normal"/>
    <tableColumn id="1755" name="Column1734" dataDxfId="14678" dataCellStyle="Normal"/>
    <tableColumn id="1756" name="Column1735" dataDxfId="14677" dataCellStyle="Normal"/>
    <tableColumn id="1757" name="Column1736" dataDxfId="14676" dataCellStyle="Normal"/>
    <tableColumn id="1758" name="Column1737" dataDxfId="14675" dataCellStyle="Normal"/>
    <tableColumn id="1759" name="Column1738" dataDxfId="14674" dataCellStyle="Normal"/>
    <tableColumn id="1760" name="Column1739" dataDxfId="14673" dataCellStyle="Normal"/>
    <tableColumn id="1761" name="Column1740" dataDxfId="14672" dataCellStyle="Normal"/>
    <tableColumn id="1762" name="Column1741" dataDxfId="14671" dataCellStyle="Normal"/>
    <tableColumn id="1763" name="Column1742" dataDxfId="14670" dataCellStyle="Normal"/>
    <tableColumn id="1764" name="Column1743" dataDxfId="14669" dataCellStyle="Normal"/>
    <tableColumn id="1765" name="Column1744" dataDxfId="14668" dataCellStyle="Normal"/>
    <tableColumn id="1766" name="Column1745" dataDxfId="14667" dataCellStyle="Normal"/>
    <tableColumn id="1767" name="Column1746" dataDxfId="14666" dataCellStyle="Normal"/>
    <tableColumn id="1768" name="Column1747" dataDxfId="14665" dataCellStyle="Normal"/>
    <tableColumn id="1769" name="Column1748" dataDxfId="14664" dataCellStyle="Normal"/>
    <tableColumn id="1770" name="Column1749" dataDxfId="14663" dataCellStyle="Normal"/>
    <tableColumn id="1771" name="Column1750" dataDxfId="14662" dataCellStyle="Normal"/>
    <tableColumn id="1772" name="Column1751" dataDxfId="14661" dataCellStyle="Normal"/>
    <tableColumn id="1773" name="Column1752" dataDxfId="14660" dataCellStyle="Normal"/>
    <tableColumn id="1774" name="Column1753" dataDxfId="14659" dataCellStyle="Normal"/>
    <tableColumn id="1775" name="Column1754" dataDxfId="14658" dataCellStyle="Normal"/>
    <tableColumn id="1776" name="Column1755" dataDxfId="14657" dataCellStyle="Normal"/>
    <tableColumn id="1777" name="Column1756" dataDxfId="14656" dataCellStyle="Normal"/>
    <tableColumn id="1778" name="Column1757" dataDxfId="14655" dataCellStyle="Normal"/>
    <tableColumn id="1779" name="Column1758" dataDxfId="14654" dataCellStyle="Normal"/>
    <tableColumn id="1780" name="Column1759" dataDxfId="14653" dataCellStyle="Normal"/>
    <tableColumn id="1781" name="Column1760" dataDxfId="14652" dataCellStyle="Normal"/>
    <tableColumn id="1782" name="Column1761" dataDxfId="14651" dataCellStyle="Normal"/>
    <tableColumn id="1783" name="Column1762" dataDxfId="14650" dataCellStyle="Normal"/>
    <tableColumn id="1784" name="Column1763" dataDxfId="14649" dataCellStyle="Normal"/>
    <tableColumn id="1785" name="Column1764" dataDxfId="14648" dataCellStyle="Normal"/>
    <tableColumn id="1786" name="Column1765" dataDxfId="14647" dataCellStyle="Normal"/>
    <tableColumn id="1787" name="Column1766" dataDxfId="14646" dataCellStyle="Normal"/>
    <tableColumn id="1788" name="Column1767" dataDxfId="14645" dataCellStyle="Normal"/>
    <tableColumn id="1789" name="Column1768" dataDxfId="14644" dataCellStyle="Normal"/>
    <tableColumn id="1790" name="Column1769" dataDxfId="14643" dataCellStyle="Normal"/>
    <tableColumn id="1791" name="Column1770" dataDxfId="14642" dataCellStyle="Normal"/>
    <tableColumn id="1792" name="Column1771" dataDxfId="14641" dataCellStyle="Normal"/>
    <tableColumn id="1793" name="Column1772" dataDxfId="14640" dataCellStyle="Normal"/>
    <tableColumn id="1794" name="Column1773" dataDxfId="14639" dataCellStyle="Normal"/>
    <tableColumn id="1795" name="Column1774" dataDxfId="14638" dataCellStyle="Normal"/>
    <tableColumn id="1796" name="Column1775" dataDxfId="14637" dataCellStyle="Normal"/>
    <tableColumn id="1797" name="Column1776" dataDxfId="14636" dataCellStyle="Normal"/>
    <tableColumn id="1798" name="Column1777" dataDxfId="14635" dataCellStyle="Normal"/>
    <tableColumn id="1799" name="Column1778" dataDxfId="14634" dataCellStyle="Normal"/>
    <tableColumn id="1800" name="Column1779" dataDxfId="14633" dataCellStyle="Normal"/>
    <tableColumn id="1801" name="Column1780" dataDxfId="14632" dataCellStyle="Normal"/>
    <tableColumn id="1802" name="Column1781" dataDxfId="14631" dataCellStyle="Normal"/>
    <tableColumn id="1803" name="Column1782" dataDxfId="14630" dataCellStyle="Normal"/>
    <tableColumn id="1804" name="Column1783" dataDxfId="14629" dataCellStyle="Normal"/>
    <tableColumn id="1805" name="Column1784" dataDxfId="14628" dataCellStyle="Normal"/>
    <tableColumn id="1806" name="Column1785" dataDxfId="14627" dataCellStyle="Normal"/>
    <tableColumn id="1807" name="Column1786" dataDxfId="14626" dataCellStyle="Normal"/>
    <tableColumn id="1808" name="Column1787" dataDxfId="14625" dataCellStyle="Normal"/>
    <tableColumn id="1809" name="Column1788" dataDxfId="14624" dataCellStyle="Normal"/>
    <tableColumn id="1810" name="Column1789" dataDxfId="14623" dataCellStyle="Normal"/>
    <tableColumn id="1811" name="Column1790" dataDxfId="14622" dataCellStyle="Normal"/>
    <tableColumn id="1812" name="Column1791" dataDxfId="14621" dataCellStyle="Normal"/>
    <tableColumn id="1813" name="Column1792" dataDxfId="14620" dataCellStyle="Normal"/>
    <tableColumn id="1814" name="Column1793" dataDxfId="14619" dataCellStyle="Normal"/>
    <tableColumn id="1815" name="Column1794" dataDxfId="14618" dataCellStyle="Normal"/>
    <tableColumn id="1816" name="Column1795" dataDxfId="14617" dataCellStyle="Normal"/>
    <tableColumn id="1817" name="Column1796" dataDxfId="14616" dataCellStyle="Normal"/>
    <tableColumn id="1818" name="Column1797" dataDxfId="14615" dataCellStyle="Normal"/>
    <tableColumn id="1819" name="Column1798" dataDxfId="14614" dataCellStyle="Normal"/>
    <tableColumn id="1820" name="Column1799" dataDxfId="14613" dataCellStyle="Normal"/>
    <tableColumn id="1821" name="Column1800" dataDxfId="14612" dataCellStyle="Normal"/>
    <tableColumn id="1822" name="Column1801" dataDxfId="14611" dataCellStyle="Normal"/>
    <tableColumn id="1823" name="Column1802" dataDxfId="14610" dataCellStyle="Normal"/>
    <tableColumn id="1824" name="Column1803" dataDxfId="14609" dataCellStyle="Normal"/>
    <tableColumn id="1825" name="Column1804" dataDxfId="14608" dataCellStyle="Normal"/>
    <tableColumn id="1826" name="Column1805" dataDxfId="14607" dataCellStyle="Normal"/>
    <tableColumn id="1827" name="Column1806" dataDxfId="14606" dataCellStyle="Normal"/>
    <tableColumn id="1828" name="Column1807" dataDxfId="14605" dataCellStyle="Normal"/>
    <tableColumn id="1829" name="Column1808" dataDxfId="14604" dataCellStyle="Normal"/>
    <tableColumn id="1830" name="Column1809" dataDxfId="14603" dataCellStyle="Normal"/>
    <tableColumn id="1831" name="Column1810" dataDxfId="14602" dataCellStyle="Normal"/>
    <tableColumn id="1832" name="Column1811" dataDxfId="14601" dataCellStyle="Normal"/>
    <tableColumn id="1833" name="Column1812" dataDxfId="14600" dataCellStyle="Normal"/>
    <tableColumn id="1834" name="Column1813" dataDxfId="14599" dataCellStyle="Normal"/>
    <tableColumn id="1835" name="Column1814" dataDxfId="14598" dataCellStyle="Normal"/>
    <tableColumn id="1836" name="Column1815" dataDxfId="14597" dataCellStyle="Normal"/>
    <tableColumn id="1837" name="Column1816" dataDxfId="14596" dataCellStyle="Normal"/>
    <tableColumn id="1838" name="Column1817" dataDxfId="14595" dataCellStyle="Normal"/>
    <tableColumn id="1839" name="Column1818" dataDxfId="14594" dataCellStyle="Normal"/>
    <tableColumn id="1840" name="Column1819" dataDxfId="14593" dataCellStyle="Normal"/>
    <tableColumn id="1841" name="Column1820" dataDxfId="14592" dataCellStyle="Normal"/>
    <tableColumn id="1842" name="Column1821" dataDxfId="14591" dataCellStyle="Normal"/>
    <tableColumn id="1843" name="Column1822" dataDxfId="14590" dataCellStyle="Normal"/>
    <tableColumn id="1844" name="Column1823" dataDxfId="14589" dataCellStyle="Normal"/>
    <tableColumn id="1845" name="Column1824" dataDxfId="14588" dataCellStyle="Normal"/>
    <tableColumn id="1846" name="Column1825" dataDxfId="14587" dataCellStyle="Normal"/>
    <tableColumn id="1847" name="Column1826" dataDxfId="14586" dataCellStyle="Normal"/>
    <tableColumn id="1848" name="Column1827" dataDxfId="14585" dataCellStyle="Normal"/>
    <tableColumn id="1849" name="Column1828" dataDxfId="14584" dataCellStyle="Normal"/>
    <tableColumn id="1850" name="Column1829" dataDxfId="14583" dataCellStyle="Normal"/>
    <tableColumn id="1851" name="Column1830" dataDxfId="14582" dataCellStyle="Normal"/>
    <tableColumn id="1852" name="Column1831" dataDxfId="14581" dataCellStyle="Normal"/>
    <tableColumn id="1853" name="Column1832" dataDxfId="14580" dataCellStyle="Normal"/>
    <tableColumn id="1854" name="Column1833" dataDxfId="14579" dataCellStyle="Normal"/>
    <tableColumn id="1855" name="Column1834" dataDxfId="14578" dataCellStyle="Normal"/>
    <tableColumn id="1856" name="Column1835" dataDxfId="14577" dataCellStyle="Normal"/>
    <tableColumn id="1857" name="Column1836" dataDxfId="14576" dataCellStyle="Normal"/>
    <tableColumn id="1858" name="Column1837" dataDxfId="14575" dataCellStyle="Normal"/>
    <tableColumn id="1859" name="Column1838" dataDxfId="14574" dataCellStyle="Normal"/>
    <tableColumn id="1860" name="Column1839" dataDxfId="14573" dataCellStyle="Normal"/>
    <tableColumn id="1861" name="Column1840" dataDxfId="14572" dataCellStyle="Normal"/>
    <tableColumn id="1862" name="Column1841" dataDxfId="14571" dataCellStyle="Normal"/>
    <tableColumn id="1863" name="Column1842" dataDxfId="14570" dataCellStyle="Normal"/>
    <tableColumn id="1864" name="Column1843" dataDxfId="14569" dataCellStyle="Normal"/>
    <tableColumn id="1865" name="Column1844" dataDxfId="14568" dataCellStyle="Normal"/>
    <tableColumn id="1866" name="Column1845" dataDxfId="14567" dataCellStyle="Normal"/>
    <tableColumn id="1867" name="Column1846" dataDxfId="14566" dataCellStyle="Normal"/>
    <tableColumn id="1868" name="Column1847" dataDxfId="14565" dataCellStyle="Normal"/>
    <tableColumn id="1869" name="Column1848" dataDxfId="14564" dataCellStyle="Normal"/>
    <tableColumn id="1870" name="Column1849" dataDxfId="14563" dataCellStyle="Normal"/>
    <tableColumn id="1871" name="Column1850" dataDxfId="14562" dataCellStyle="Normal"/>
    <tableColumn id="1872" name="Column1851" dataDxfId="14561" dataCellStyle="Normal"/>
    <tableColumn id="1873" name="Column1852" dataDxfId="14560" dataCellStyle="Normal"/>
    <tableColumn id="1874" name="Column1853" dataDxfId="14559" dataCellStyle="Normal"/>
    <tableColumn id="1875" name="Column1854" dataDxfId="14558" dataCellStyle="Normal"/>
    <tableColumn id="1876" name="Column1855" dataDxfId="14557" dataCellStyle="Normal"/>
    <tableColumn id="1877" name="Column1856" dataDxfId="14556" dataCellStyle="Normal"/>
    <tableColumn id="1878" name="Column1857" dataDxfId="14555" dataCellStyle="Normal"/>
    <tableColumn id="1879" name="Column1858" dataDxfId="14554" dataCellStyle="Normal"/>
    <tableColumn id="1880" name="Column1859" dataDxfId="14553" dataCellStyle="Normal"/>
    <tableColumn id="1881" name="Column1860" dataDxfId="14552" dataCellStyle="Normal"/>
    <tableColumn id="1882" name="Column1861" dataDxfId="14551" dataCellStyle="Normal"/>
    <tableColumn id="1883" name="Column1862" dataDxfId="14550" dataCellStyle="Normal"/>
    <tableColumn id="1884" name="Column1863" dataDxfId="14549" dataCellStyle="Normal"/>
    <tableColumn id="1885" name="Column1864" dataDxfId="14548" dataCellStyle="Normal"/>
    <tableColumn id="1886" name="Column1865" dataDxfId="14547" dataCellStyle="Normal"/>
    <tableColumn id="1887" name="Column1866" dataDxfId="14546" dataCellStyle="Normal"/>
    <tableColumn id="1888" name="Column1867" dataDxfId="14545" dataCellStyle="Normal"/>
    <tableColumn id="1889" name="Column1868" dataDxfId="14544" dataCellStyle="Normal"/>
    <tableColumn id="1890" name="Column1869" dataDxfId="14543" dataCellStyle="Normal"/>
    <tableColumn id="1891" name="Column1870" dataDxfId="14542" dataCellStyle="Normal"/>
    <tableColumn id="1892" name="Column1871" dataDxfId="14541" dataCellStyle="Normal"/>
    <tableColumn id="1893" name="Column1872" dataDxfId="14540" dataCellStyle="Normal"/>
    <tableColumn id="1894" name="Column1873" dataDxfId="14539" dataCellStyle="Normal"/>
    <tableColumn id="1895" name="Column1874" dataDxfId="14538" dataCellStyle="Normal"/>
    <tableColumn id="1896" name="Column1875" dataDxfId="14537" dataCellStyle="Normal"/>
    <tableColumn id="1897" name="Column1876" dataDxfId="14536" dataCellStyle="Normal"/>
    <tableColumn id="1898" name="Column1877" dataDxfId="14535" dataCellStyle="Normal"/>
    <tableColumn id="1899" name="Column1878" dataDxfId="14534" dataCellStyle="Normal"/>
    <tableColumn id="1900" name="Column1879" dataDxfId="14533" dataCellStyle="Normal"/>
    <tableColumn id="1901" name="Column1880" dataDxfId="14532" dataCellStyle="Normal"/>
    <tableColumn id="1902" name="Column1881" dataDxfId="14531" dataCellStyle="Normal"/>
    <tableColumn id="1903" name="Column1882" dataDxfId="14530" dataCellStyle="Normal"/>
    <tableColumn id="1904" name="Column1883" dataDxfId="14529" dataCellStyle="Normal"/>
    <tableColumn id="1905" name="Column1884" dataDxfId="14528" dataCellStyle="Normal"/>
    <tableColumn id="1906" name="Column1885" dataDxfId="14527" dataCellStyle="Normal"/>
    <tableColumn id="1907" name="Column1886" dataDxfId="14526" dataCellStyle="Normal"/>
    <tableColumn id="1908" name="Column1887" dataDxfId="14525" dataCellStyle="Normal"/>
    <tableColumn id="1909" name="Column1888" dataDxfId="14524" dataCellStyle="Normal"/>
    <tableColumn id="1910" name="Column1889" dataDxfId="14523" dataCellStyle="Normal"/>
    <tableColumn id="1911" name="Column1890" dataDxfId="14522" dataCellStyle="Normal"/>
    <tableColumn id="1912" name="Column1891" dataDxfId="14521" dataCellStyle="Normal"/>
    <tableColumn id="1913" name="Column1892" dataDxfId="14520" dataCellStyle="Normal"/>
    <tableColumn id="1914" name="Column1893" dataDxfId="14519" dataCellStyle="Normal"/>
    <tableColumn id="1915" name="Column1894" dataDxfId="14518" dataCellStyle="Normal"/>
    <tableColumn id="1916" name="Column1895" dataDxfId="14517" dataCellStyle="Normal"/>
    <tableColumn id="1917" name="Column1896" dataDxfId="14516" dataCellStyle="Normal"/>
    <tableColumn id="1918" name="Column1897" dataDxfId="14515" dataCellStyle="Normal"/>
    <tableColumn id="1919" name="Column1898" dataDxfId="14514" dataCellStyle="Normal"/>
    <tableColumn id="1920" name="Column1899" dataDxfId="14513" dataCellStyle="Normal"/>
    <tableColumn id="1921" name="Column1900" dataDxfId="14512" dataCellStyle="Normal"/>
    <tableColumn id="1922" name="Column1901" dataDxfId="14511" dataCellStyle="Normal"/>
    <tableColumn id="1923" name="Column1902" dataDxfId="14510" dataCellStyle="Normal"/>
    <tableColumn id="1924" name="Column1903" dataDxfId="14509" dataCellStyle="Normal"/>
    <tableColumn id="1925" name="Column1904" dataDxfId="14508" dataCellStyle="Normal"/>
    <tableColumn id="1926" name="Column1905" dataDxfId="14507" dataCellStyle="Normal"/>
    <tableColumn id="1927" name="Column1906" dataDxfId="14506" dataCellStyle="Normal"/>
    <tableColumn id="1928" name="Column1907" dataDxfId="14505" dataCellStyle="Normal"/>
    <tableColumn id="1929" name="Column1908" dataDxfId="14504" dataCellStyle="Normal"/>
    <tableColumn id="1930" name="Column1909" dataDxfId="14503" dataCellStyle="Normal"/>
    <tableColumn id="1931" name="Column1910" dataDxfId="14502" dataCellStyle="Normal"/>
    <tableColumn id="1932" name="Column1911" dataDxfId="14501" dataCellStyle="Normal"/>
    <tableColumn id="1933" name="Column1912" dataDxfId="14500" dataCellStyle="Normal"/>
    <tableColumn id="1934" name="Column1913" dataDxfId="14499" dataCellStyle="Normal"/>
    <tableColumn id="1935" name="Column1914" dataDxfId="14498" dataCellStyle="Normal"/>
    <tableColumn id="1936" name="Column1915" dataDxfId="14497" dataCellStyle="Normal"/>
    <tableColumn id="1937" name="Column1916" dataDxfId="14496" dataCellStyle="Normal"/>
    <tableColumn id="1938" name="Column1917" dataDxfId="14495" dataCellStyle="Normal"/>
    <tableColumn id="1939" name="Column1918" dataDxfId="14494" dataCellStyle="Normal"/>
    <tableColumn id="1940" name="Column1919" dataDxfId="14493" dataCellStyle="Normal"/>
    <tableColumn id="1941" name="Column1920" dataDxfId="14492" dataCellStyle="Normal"/>
    <tableColumn id="1942" name="Column1921" dataDxfId="14491" dataCellStyle="Normal"/>
    <tableColumn id="1943" name="Column1922" dataDxfId="14490" dataCellStyle="Normal"/>
    <tableColumn id="1944" name="Column1923" dataDxfId="14489" dataCellStyle="Normal"/>
    <tableColumn id="1945" name="Column1924" dataDxfId="14488" dataCellStyle="Normal"/>
    <tableColumn id="1946" name="Column1925" dataDxfId="14487" dataCellStyle="Normal"/>
    <tableColumn id="1947" name="Column1926" dataDxfId="14486" dataCellStyle="Normal"/>
    <tableColumn id="1948" name="Column1927" dataDxfId="14485" dataCellStyle="Normal"/>
    <tableColumn id="1949" name="Column1928" dataDxfId="14484" dataCellStyle="Normal"/>
    <tableColumn id="1950" name="Column1929" dataDxfId="14483" dataCellStyle="Normal"/>
    <tableColumn id="1951" name="Column1930" dataDxfId="14482" dataCellStyle="Normal"/>
    <tableColumn id="1952" name="Column1931" dataDxfId="14481" dataCellStyle="Normal"/>
    <tableColumn id="1953" name="Column1932" dataDxfId="14480" dataCellStyle="Normal"/>
    <tableColumn id="1954" name="Column1933" dataDxfId="14479" dataCellStyle="Normal"/>
    <tableColumn id="1955" name="Column1934" dataDxfId="14478" dataCellStyle="Normal"/>
    <tableColumn id="1956" name="Column1935" dataDxfId="14477" dataCellStyle="Normal"/>
    <tableColumn id="1957" name="Column1936" dataDxfId="14476" dataCellStyle="Normal"/>
    <tableColumn id="1958" name="Column1937" dataDxfId="14475" dataCellStyle="Normal"/>
    <tableColumn id="1959" name="Column1938" dataDxfId="14474" dataCellStyle="Normal"/>
    <tableColumn id="1960" name="Column1939" dataDxfId="14473" dataCellStyle="Normal"/>
    <tableColumn id="1961" name="Column1940" dataDxfId="14472" dataCellStyle="Normal"/>
    <tableColumn id="1962" name="Column1941" dataDxfId="14471" dataCellStyle="Normal"/>
    <tableColumn id="1963" name="Column1942" dataDxfId="14470" dataCellStyle="Normal"/>
    <tableColumn id="1964" name="Column1943" dataDxfId="14469" dataCellStyle="Normal"/>
    <tableColumn id="1965" name="Column1944" dataDxfId="14468" dataCellStyle="Normal"/>
    <tableColumn id="1966" name="Column1945" dataDxfId="14467" dataCellStyle="Normal"/>
    <tableColumn id="1967" name="Column1946" dataDxfId="14466" dataCellStyle="Normal"/>
    <tableColumn id="1968" name="Column1947" dataDxfId="14465" dataCellStyle="Normal"/>
    <tableColumn id="1969" name="Column1948" dataDxfId="14464" dataCellStyle="Normal"/>
    <tableColumn id="1970" name="Column1949" dataDxfId="14463" dataCellStyle="Normal"/>
    <tableColumn id="1971" name="Column1950" dataDxfId="14462" dataCellStyle="Normal"/>
    <tableColumn id="1972" name="Column1951" dataDxfId="14461" dataCellStyle="Normal"/>
    <tableColumn id="1973" name="Column1952" dataDxfId="14460" dataCellStyle="Normal"/>
    <tableColumn id="1974" name="Column1953" dataDxfId="14459" dataCellStyle="Normal"/>
    <tableColumn id="1975" name="Column1954" dataDxfId="14458" dataCellStyle="Normal"/>
    <tableColumn id="1976" name="Column1955" dataDxfId="14457" dataCellStyle="Normal"/>
    <tableColumn id="1977" name="Column1956" dataDxfId="14456" dataCellStyle="Normal"/>
    <tableColumn id="1978" name="Column1957" dataDxfId="14455" dataCellStyle="Normal"/>
    <tableColumn id="1979" name="Column1958" dataDxfId="14454" dataCellStyle="Normal"/>
    <tableColumn id="1980" name="Column1959" dataDxfId="14453" dataCellStyle="Normal"/>
    <tableColumn id="1981" name="Column1960" dataDxfId="14452" dataCellStyle="Normal"/>
    <tableColumn id="1982" name="Column1961" dataDxfId="14451" dataCellStyle="Normal"/>
    <tableColumn id="1983" name="Column1962" dataDxfId="14450" dataCellStyle="Normal"/>
    <tableColumn id="1984" name="Column1963" dataDxfId="14449" dataCellStyle="Normal"/>
    <tableColumn id="1985" name="Column1964" dataDxfId="14448" dataCellStyle="Normal"/>
    <tableColumn id="1986" name="Column1965" dataDxfId="14447" dataCellStyle="Normal"/>
    <tableColumn id="1987" name="Column1966" dataDxfId="14446" dataCellStyle="Normal"/>
    <tableColumn id="1988" name="Column1967" dataDxfId="14445" dataCellStyle="Normal"/>
    <tableColumn id="1989" name="Column1968" dataDxfId="14444" dataCellStyle="Normal"/>
    <tableColumn id="1990" name="Column1969" dataDxfId="14443" dataCellStyle="Normal"/>
    <tableColumn id="1991" name="Column1970" dataDxfId="14442" dataCellStyle="Normal"/>
    <tableColumn id="1992" name="Column1971" dataDxfId="14441" dataCellStyle="Normal"/>
    <tableColumn id="1993" name="Column1972" dataDxfId="14440" dataCellStyle="Normal"/>
    <tableColumn id="1994" name="Column1973" dataDxfId="14439" dataCellStyle="Normal"/>
    <tableColumn id="1995" name="Column1974" dataDxfId="14438" dataCellStyle="Normal"/>
    <tableColumn id="1996" name="Column1975" dataDxfId="14437" dataCellStyle="Normal"/>
    <tableColumn id="1997" name="Column1976" dataDxfId="14436" dataCellStyle="Normal"/>
    <tableColumn id="1998" name="Column1977" dataDxfId="14435" dataCellStyle="Normal"/>
    <tableColumn id="1999" name="Column1978" dataDxfId="14434" dataCellStyle="Normal"/>
    <tableColumn id="2000" name="Column1979" dataDxfId="14433" dataCellStyle="Normal"/>
    <tableColumn id="2001" name="Column1980" dataDxfId="14432" dataCellStyle="Normal"/>
    <tableColumn id="2002" name="Column1981" dataDxfId="14431" dataCellStyle="Normal"/>
    <tableColumn id="2003" name="Column1982" dataDxfId="14430" dataCellStyle="Normal"/>
    <tableColumn id="2004" name="Column1983" dataDxfId="14429" dataCellStyle="Normal"/>
    <tableColumn id="2005" name="Column1984" dataDxfId="14428" dataCellStyle="Normal"/>
    <tableColumn id="2006" name="Column1985" dataDxfId="14427" dataCellStyle="Normal"/>
    <tableColumn id="2007" name="Column1986" dataDxfId="14426" dataCellStyle="Normal"/>
    <tableColumn id="2008" name="Column1987" dataDxfId="14425" dataCellStyle="Normal"/>
    <tableColumn id="2009" name="Column1988" dataDxfId="14424" dataCellStyle="Normal"/>
    <tableColumn id="2010" name="Column1989" dataDxfId="14423" dataCellStyle="Normal"/>
    <tableColumn id="2011" name="Column1990" dataDxfId="14422" dataCellStyle="Normal"/>
    <tableColumn id="2012" name="Column1991" dataDxfId="14421" dataCellStyle="Normal"/>
    <tableColumn id="2013" name="Column1992" dataDxfId="14420" dataCellStyle="Normal"/>
    <tableColumn id="2014" name="Column1993" dataDxfId="14419" dataCellStyle="Normal"/>
    <tableColumn id="2015" name="Column1994" dataDxfId="14418" dataCellStyle="Normal"/>
    <tableColumn id="2016" name="Column1995" dataDxfId="14417" dataCellStyle="Normal"/>
    <tableColumn id="2017" name="Column1996" dataDxfId="14416" dataCellStyle="Normal"/>
    <tableColumn id="2018" name="Column1997" dataDxfId="14415" dataCellStyle="Normal"/>
    <tableColumn id="2019" name="Column1998" dataDxfId="14414" dataCellStyle="Normal"/>
    <tableColumn id="2020" name="Column1999" dataDxfId="14413" dataCellStyle="Normal"/>
    <tableColumn id="2021" name="Column2000" dataDxfId="14412" dataCellStyle="Normal"/>
    <tableColumn id="2022" name="Column2001" dataDxfId="14411" dataCellStyle="Normal"/>
    <tableColumn id="2023" name="Column2002" dataDxfId="14410" dataCellStyle="Normal"/>
    <tableColumn id="2024" name="Column2003" dataDxfId="14409" dataCellStyle="Normal"/>
    <tableColumn id="2025" name="Column2004" dataDxfId="14408" dataCellStyle="Normal"/>
    <tableColumn id="2026" name="Column2005" dataDxfId="14407" dataCellStyle="Normal"/>
    <tableColumn id="2027" name="Column2006" dataDxfId="14406" dataCellStyle="Normal"/>
    <tableColumn id="2028" name="Column2007" dataDxfId="14405" dataCellStyle="Normal"/>
    <tableColumn id="2029" name="Column2008" dataDxfId="14404" dataCellStyle="Normal"/>
    <tableColumn id="2030" name="Column2009" dataDxfId="14403" dataCellStyle="Normal"/>
    <tableColumn id="2031" name="Column2010" dataDxfId="14402" dataCellStyle="Normal"/>
    <tableColumn id="2032" name="Column2011" dataDxfId="14401" dataCellStyle="Normal"/>
    <tableColumn id="2033" name="Column2012" dataDxfId="14400" dataCellStyle="Normal"/>
    <tableColumn id="2034" name="Column2013" dataDxfId="14399" dataCellStyle="Normal"/>
    <tableColumn id="2035" name="Column2014" dataDxfId="14398" dataCellStyle="Normal"/>
    <tableColumn id="2036" name="Column2015" dataDxfId="14397" dataCellStyle="Normal"/>
    <tableColumn id="2037" name="Column2016" dataDxfId="14396" dataCellStyle="Normal"/>
    <tableColumn id="2038" name="Column2017" dataDxfId="14395" dataCellStyle="Normal"/>
    <tableColumn id="2039" name="Column2018" dataDxfId="14394" dataCellStyle="Normal"/>
    <tableColumn id="2040" name="Column2019" dataDxfId="14393" dataCellStyle="Normal"/>
    <tableColumn id="2041" name="Column2020" dataDxfId="14392" dataCellStyle="Normal"/>
    <tableColumn id="2042" name="Column2021" dataDxfId="14391" dataCellStyle="Normal"/>
    <tableColumn id="2043" name="Column2022" dataDxfId="14390" dataCellStyle="Normal"/>
    <tableColumn id="2044" name="Column2023" dataDxfId="14389" dataCellStyle="Normal"/>
    <tableColumn id="2045" name="Column2024" dataDxfId="14388" dataCellStyle="Normal"/>
    <tableColumn id="2046" name="Column2025" dataDxfId="14387" dataCellStyle="Normal"/>
    <tableColumn id="2047" name="Column2026" dataDxfId="14386" dataCellStyle="Normal"/>
    <tableColumn id="2048" name="Column2027" dataDxfId="14385" dataCellStyle="Normal"/>
    <tableColumn id="2049" name="Column2028" dataDxfId="14384" dataCellStyle="Normal"/>
    <tableColumn id="2050" name="Column2029" dataDxfId="14383" dataCellStyle="Normal"/>
    <tableColumn id="2051" name="Column2030" dataDxfId="14382" dataCellStyle="Normal"/>
    <tableColumn id="2052" name="Column2031" dataDxfId="14381" dataCellStyle="Normal"/>
    <tableColumn id="2053" name="Column2032" dataDxfId="14380" dataCellStyle="Normal"/>
    <tableColumn id="2054" name="Column2033" dataDxfId="14379" dataCellStyle="Normal"/>
    <tableColumn id="2055" name="Column2034" dataDxfId="14378" dataCellStyle="Normal"/>
    <tableColumn id="2056" name="Column2035" dataDxfId="14377" dataCellStyle="Normal"/>
    <tableColumn id="2057" name="Column2036" dataDxfId="14376" dataCellStyle="Normal"/>
    <tableColumn id="2058" name="Column2037" dataDxfId="14375" dataCellStyle="Normal"/>
    <tableColumn id="2059" name="Column2038" dataDxfId="14374" dataCellStyle="Normal"/>
    <tableColumn id="2060" name="Column2039" dataDxfId="14373" dataCellStyle="Normal"/>
    <tableColumn id="2061" name="Column2040" dataDxfId="14372" dataCellStyle="Normal"/>
    <tableColumn id="2062" name="Column2041" dataDxfId="14371" dataCellStyle="Normal"/>
    <tableColumn id="2063" name="Column2042" dataDxfId="14370" dataCellStyle="Normal"/>
    <tableColumn id="2064" name="Column2043" dataDxfId="14369" dataCellStyle="Normal"/>
    <tableColumn id="2065" name="Column2044" dataDxfId="14368" dataCellStyle="Normal"/>
    <tableColumn id="2066" name="Column2045" dataDxfId="14367" dataCellStyle="Normal"/>
    <tableColumn id="2067" name="Column2046" dataDxfId="14366" dataCellStyle="Normal"/>
    <tableColumn id="2068" name="Column2047" dataDxfId="14365" dataCellStyle="Normal"/>
    <tableColumn id="2069" name="Column2048" dataDxfId="14364" dataCellStyle="Normal"/>
    <tableColumn id="2070" name="Column2049" dataDxfId="14363" dataCellStyle="Normal"/>
    <tableColumn id="2071" name="Column2050" dataDxfId="14362" dataCellStyle="Normal"/>
    <tableColumn id="2072" name="Column2051" dataDxfId="14361" dataCellStyle="Normal"/>
    <tableColumn id="2073" name="Column2052" dataDxfId="14360" dataCellStyle="Normal"/>
    <tableColumn id="2074" name="Column2053" dataDxfId="14359" dataCellStyle="Normal"/>
    <tableColumn id="2075" name="Column2054" dataDxfId="14358" dataCellStyle="Normal"/>
    <tableColumn id="2076" name="Column2055" dataDxfId="14357" dataCellStyle="Normal"/>
    <tableColumn id="2077" name="Column2056" dataDxfId="14356" dataCellStyle="Normal"/>
    <tableColumn id="2078" name="Column2057" dataDxfId="14355" dataCellStyle="Normal"/>
    <tableColumn id="2079" name="Column2058" dataDxfId="14354" dataCellStyle="Normal"/>
    <tableColumn id="2080" name="Column2059" dataDxfId="14353" dataCellStyle="Normal"/>
    <tableColumn id="2081" name="Column2060" dataDxfId="14352" dataCellStyle="Normal"/>
    <tableColumn id="2082" name="Column2061" dataDxfId="14351" dataCellStyle="Normal"/>
    <tableColumn id="2083" name="Column2062" dataDxfId="14350" dataCellStyle="Normal"/>
    <tableColumn id="2084" name="Column2063" dataDxfId="14349" dataCellStyle="Normal"/>
    <tableColumn id="2085" name="Column2064" dataDxfId="14348" dataCellStyle="Normal"/>
    <tableColumn id="2086" name="Column2065" dataDxfId="14347" dataCellStyle="Normal"/>
    <tableColumn id="2087" name="Column2066" dataDxfId="14346" dataCellStyle="Normal"/>
    <tableColumn id="2088" name="Column2067" dataDxfId="14345" dataCellStyle="Normal"/>
    <tableColumn id="2089" name="Column2068" dataDxfId="14344" dataCellStyle="Normal"/>
    <tableColumn id="2090" name="Column2069" dataDxfId="14343" dataCellStyle="Normal"/>
    <tableColumn id="2091" name="Column2070" dataDxfId="14342" dataCellStyle="Normal"/>
    <tableColumn id="2092" name="Column2071" dataDxfId="14341" dataCellStyle="Normal"/>
    <tableColumn id="2093" name="Column2072" dataDxfId="14340" dataCellStyle="Normal"/>
    <tableColumn id="2094" name="Column2073" dataDxfId="14339" dataCellStyle="Normal"/>
    <tableColumn id="2095" name="Column2074" dataDxfId="14338" dataCellStyle="Normal"/>
    <tableColumn id="2096" name="Column2075" dataDxfId="14337" dataCellStyle="Normal"/>
    <tableColumn id="2097" name="Column2076" dataDxfId="14336" dataCellStyle="Normal"/>
    <tableColumn id="2098" name="Column2077" dataDxfId="14335" dataCellStyle="Normal"/>
    <tableColumn id="2099" name="Column2078" dataDxfId="14334" dataCellStyle="Normal"/>
    <tableColumn id="2100" name="Column2079" dataDxfId="14333" dataCellStyle="Normal"/>
    <tableColumn id="2101" name="Column2080" dataDxfId="14332" dataCellStyle="Normal"/>
    <tableColumn id="2102" name="Column2081" dataDxfId="14331" dataCellStyle="Normal"/>
    <tableColumn id="2103" name="Column2082" dataDxfId="14330" dataCellStyle="Normal"/>
    <tableColumn id="2104" name="Column2083" dataDxfId="14329" dataCellStyle="Normal"/>
    <tableColumn id="2105" name="Column2084" dataDxfId="14328" dataCellStyle="Normal"/>
    <tableColumn id="2106" name="Column2085" dataDxfId="14327" dataCellStyle="Normal"/>
    <tableColumn id="2107" name="Column2086" dataDxfId="14326" dataCellStyle="Normal"/>
    <tableColumn id="2108" name="Column2087" dataDxfId="14325" dataCellStyle="Normal"/>
    <tableColumn id="2109" name="Column2088" dataDxfId="14324" dataCellStyle="Normal"/>
    <tableColumn id="2110" name="Column2089" dataDxfId="14323" dataCellStyle="Normal"/>
    <tableColumn id="2111" name="Column2090" dataDxfId="14322" dataCellStyle="Normal"/>
    <tableColumn id="2112" name="Column2091" dataDxfId="14321" dataCellStyle="Normal"/>
    <tableColumn id="2113" name="Column2092" dataDxfId="14320" dataCellStyle="Normal"/>
    <tableColumn id="2114" name="Column2093" dataDxfId="14319" dataCellStyle="Normal"/>
    <tableColumn id="2115" name="Column2094" dataDxfId="14318" dataCellStyle="Normal"/>
    <tableColumn id="2116" name="Column2095" dataDxfId="14317" dataCellStyle="Normal"/>
    <tableColumn id="2117" name="Column2096" dataDxfId="14316" dataCellStyle="Normal"/>
    <tableColumn id="2118" name="Column2097" dataDxfId="14315" dataCellStyle="Normal"/>
    <tableColumn id="2119" name="Column2098" dataDxfId="14314" dataCellStyle="Normal"/>
    <tableColumn id="2120" name="Column2099" dataDxfId="14313" dataCellStyle="Normal"/>
    <tableColumn id="2121" name="Column2100" dataDxfId="14312" dataCellStyle="Normal"/>
    <tableColumn id="2122" name="Column2101" dataDxfId="14311" dataCellStyle="Normal"/>
    <tableColumn id="2123" name="Column2102" dataDxfId="14310" dataCellStyle="Normal"/>
    <tableColumn id="2124" name="Column2103" dataDxfId="14309" dataCellStyle="Normal"/>
    <tableColumn id="2125" name="Column2104" dataDxfId="14308" dataCellStyle="Normal"/>
    <tableColumn id="2126" name="Column2105" dataDxfId="14307" dataCellStyle="Normal"/>
    <tableColumn id="2127" name="Column2106" dataDxfId="14306" dataCellStyle="Normal"/>
    <tableColumn id="2128" name="Column2107" dataDxfId="14305" dataCellStyle="Normal"/>
    <tableColumn id="2129" name="Column2108" dataDxfId="14304" dataCellStyle="Normal"/>
    <tableColumn id="2130" name="Column2109" dataDxfId="14303" dataCellStyle="Normal"/>
    <tableColumn id="2131" name="Column2110" dataDxfId="14302" dataCellStyle="Normal"/>
    <tableColumn id="2132" name="Column2111" dataDxfId="14301" dataCellStyle="Normal"/>
    <tableColumn id="2133" name="Column2112" dataDxfId="14300" dataCellStyle="Normal"/>
    <tableColumn id="2134" name="Column2113" dataDxfId="14299" dataCellStyle="Normal"/>
    <tableColumn id="2135" name="Column2114" dataDxfId="14298" dataCellStyle="Normal"/>
    <tableColumn id="2136" name="Column2115" dataDxfId="14297" dataCellStyle="Normal"/>
    <tableColumn id="2137" name="Column2116" dataDxfId="14296" dataCellStyle="Normal"/>
    <tableColumn id="2138" name="Column2117" dataDxfId="14295" dataCellStyle="Normal"/>
    <tableColumn id="2139" name="Column2118" dataDxfId="14294" dataCellStyle="Normal"/>
    <tableColumn id="2140" name="Column2119" dataDxfId="14293" dataCellStyle="Normal"/>
    <tableColumn id="2141" name="Column2120" dataDxfId="14292" dataCellStyle="Normal"/>
    <tableColumn id="2142" name="Column2121" dataDxfId="14291" dataCellStyle="Normal"/>
    <tableColumn id="2143" name="Column2122" dataDxfId="14290" dataCellStyle="Normal"/>
    <tableColumn id="2144" name="Column2123" dataDxfId="14289" dataCellStyle="Normal"/>
    <tableColumn id="2145" name="Column2124" dataDxfId="14288" dataCellStyle="Normal"/>
    <tableColumn id="2146" name="Column2125" dataDxfId="14287" dataCellStyle="Normal"/>
    <tableColumn id="2147" name="Column2126" dataDxfId="14286" dataCellStyle="Normal"/>
    <tableColumn id="2148" name="Column2127" dataDxfId="14285" dataCellStyle="Normal"/>
    <tableColumn id="2149" name="Column2128" dataDxfId="14284" dataCellStyle="Normal"/>
    <tableColumn id="2150" name="Column2129" dataDxfId="14283" dataCellStyle="Normal"/>
    <tableColumn id="2151" name="Column2130" dataDxfId="14282" dataCellStyle="Normal"/>
    <tableColumn id="2152" name="Column2131" dataDxfId="14281" dataCellStyle="Normal"/>
    <tableColumn id="2153" name="Column2132" dataDxfId="14280" dataCellStyle="Normal"/>
    <tableColumn id="2154" name="Column2133" dataDxfId="14279" dataCellStyle="Normal"/>
    <tableColumn id="2155" name="Column2134" dataDxfId="14278" dataCellStyle="Normal"/>
    <tableColumn id="2156" name="Column2135" dataDxfId="14277" dataCellStyle="Normal"/>
    <tableColumn id="2157" name="Column2136" dataDxfId="14276" dataCellStyle="Normal"/>
    <tableColumn id="2158" name="Column2137" dataDxfId="14275" dataCellStyle="Normal"/>
    <tableColumn id="2159" name="Column2138" dataDxfId="14274" dataCellStyle="Normal"/>
    <tableColumn id="2160" name="Column2139" dataDxfId="14273" dataCellStyle="Normal"/>
    <tableColumn id="2161" name="Column2140" dataDxfId="14272" dataCellStyle="Normal"/>
    <tableColumn id="2162" name="Column2141" dataDxfId="14271" dataCellStyle="Normal"/>
    <tableColumn id="2163" name="Column2142" dataDxfId="14270" dataCellStyle="Normal"/>
    <tableColumn id="2164" name="Column2143" dataDxfId="14269" dataCellStyle="Normal"/>
    <tableColumn id="2165" name="Column2144" dataDxfId="14268" dataCellStyle="Normal"/>
    <tableColumn id="2166" name="Column2145" dataDxfId="14267" dataCellStyle="Normal"/>
    <tableColumn id="2167" name="Column2146" dataDxfId="14266" dataCellStyle="Normal"/>
    <tableColumn id="2168" name="Column2147" dataDxfId="14265" dataCellStyle="Normal"/>
    <tableColumn id="2169" name="Column2148" dataDxfId="14264" dataCellStyle="Normal"/>
    <tableColumn id="2170" name="Column2149" dataDxfId="14263" dataCellStyle="Normal"/>
    <tableColumn id="2171" name="Column2150" dataDxfId="14262" dataCellStyle="Normal"/>
    <tableColumn id="2172" name="Column2151" dataDxfId="14261" dataCellStyle="Normal"/>
    <tableColumn id="2173" name="Column2152" dataDxfId="14260" dataCellStyle="Normal"/>
    <tableColumn id="2174" name="Column2153" dataDxfId="14259" dataCellStyle="Normal"/>
    <tableColumn id="2175" name="Column2154" dataDxfId="14258" dataCellStyle="Normal"/>
    <tableColumn id="2176" name="Column2155" dataDxfId="14257" dataCellStyle="Normal"/>
    <tableColumn id="2177" name="Column2156" dataDxfId="14256" dataCellStyle="Normal"/>
    <tableColumn id="2178" name="Column2157" dataDxfId="14255" dataCellStyle="Normal"/>
    <tableColumn id="2179" name="Column2158" dataDxfId="14254" dataCellStyle="Normal"/>
    <tableColumn id="2180" name="Column2159" dataDxfId="14253" dataCellStyle="Normal"/>
    <tableColumn id="2181" name="Column2160" dataDxfId="14252" dataCellStyle="Normal"/>
    <tableColumn id="2182" name="Column2161" dataDxfId="14251" dataCellStyle="Normal"/>
    <tableColumn id="2183" name="Column2162" dataDxfId="14250" dataCellStyle="Normal"/>
    <tableColumn id="2184" name="Column2163" dataDxfId="14249" dataCellStyle="Normal"/>
    <tableColumn id="2185" name="Column2164" dataDxfId="14248" dataCellStyle="Normal"/>
    <tableColumn id="2186" name="Column2165" dataDxfId="14247" dataCellStyle="Normal"/>
    <tableColumn id="2187" name="Column2166" dataDxfId="14246" dataCellStyle="Normal"/>
    <tableColumn id="2188" name="Column2167" dataDxfId="14245" dataCellStyle="Normal"/>
    <tableColumn id="2189" name="Column2168" dataDxfId="14244" dataCellStyle="Normal"/>
    <tableColumn id="2190" name="Column2169" dataDxfId="14243" dataCellStyle="Normal"/>
    <tableColumn id="2191" name="Column2170" dataDxfId="14242" dataCellStyle="Normal"/>
    <tableColumn id="2192" name="Column2171" dataDxfId="14241" dataCellStyle="Normal"/>
    <tableColumn id="2193" name="Column2172" dataDxfId="14240" dataCellStyle="Normal"/>
    <tableColumn id="2194" name="Column2173" dataDxfId="14239" dataCellStyle="Normal"/>
    <tableColumn id="2195" name="Column2174" dataDxfId="14238" dataCellStyle="Normal"/>
    <tableColumn id="2196" name="Column2175" dataDxfId="14237" dataCellStyle="Normal"/>
    <tableColumn id="2197" name="Column2176" dataDxfId="14236" dataCellStyle="Normal"/>
    <tableColumn id="2198" name="Column2177" dataDxfId="14235" dataCellStyle="Normal"/>
    <tableColumn id="2199" name="Column2178" dataDxfId="14234" dataCellStyle="Normal"/>
    <tableColumn id="2200" name="Column2179" dataDxfId="14233" dataCellStyle="Normal"/>
    <tableColumn id="2201" name="Column2180" dataDxfId="14232" dataCellStyle="Normal"/>
    <tableColumn id="2202" name="Column2181" dataDxfId="14231" dataCellStyle="Normal"/>
    <tableColumn id="2203" name="Column2182" dataDxfId="14230" dataCellStyle="Normal"/>
    <tableColumn id="2204" name="Column2183" dataDxfId="14229" dataCellStyle="Normal"/>
    <tableColumn id="2205" name="Column2184" dataDxfId="14228" dataCellStyle="Normal"/>
    <tableColumn id="2206" name="Column2185" dataDxfId="14227" dataCellStyle="Normal"/>
    <tableColumn id="2207" name="Column2186" dataDxfId="14226" dataCellStyle="Normal"/>
    <tableColumn id="2208" name="Column2187" dataDxfId="14225" dataCellStyle="Normal"/>
    <tableColumn id="2209" name="Column2188" dataDxfId="14224" dataCellStyle="Normal"/>
    <tableColumn id="2210" name="Column2189" dataDxfId="14223" dataCellStyle="Normal"/>
    <tableColumn id="2211" name="Column2190" dataDxfId="14222" dataCellStyle="Normal"/>
    <tableColumn id="2212" name="Column2191" dataDxfId="14221" dataCellStyle="Normal"/>
    <tableColumn id="2213" name="Column2192" dataDxfId="14220" dataCellStyle="Normal"/>
    <tableColumn id="2214" name="Column2193" dataDxfId="14219" dataCellStyle="Normal"/>
    <tableColumn id="2215" name="Column2194" dataDxfId="14218" dataCellStyle="Normal"/>
    <tableColumn id="2216" name="Column2195" dataDxfId="14217" dataCellStyle="Normal"/>
    <tableColumn id="2217" name="Column2196" dataDxfId="14216" dataCellStyle="Normal"/>
    <tableColumn id="2218" name="Column2197" dataDxfId="14215" dataCellStyle="Normal"/>
    <tableColumn id="2219" name="Column2198" dataDxfId="14214" dataCellStyle="Normal"/>
    <tableColumn id="2220" name="Column2199" dataDxfId="14213" dataCellStyle="Normal"/>
    <tableColumn id="2221" name="Column2200" dataDxfId="14212" dataCellStyle="Normal"/>
    <tableColumn id="2222" name="Column2201" dataDxfId="14211" dataCellStyle="Normal"/>
    <tableColumn id="2223" name="Column2202" dataDxfId="14210" dataCellStyle="Normal"/>
    <tableColumn id="2224" name="Column2203" dataDxfId="14209" dataCellStyle="Normal"/>
    <tableColumn id="2225" name="Column2204" dataDxfId="14208" dataCellStyle="Normal"/>
    <tableColumn id="2226" name="Column2205" dataDxfId="14207" dataCellStyle="Normal"/>
    <tableColumn id="2227" name="Column2206" dataDxfId="14206" dataCellStyle="Normal"/>
    <tableColumn id="2228" name="Column2207" dataDxfId="14205" dataCellStyle="Normal"/>
    <tableColumn id="2229" name="Column2208" dataDxfId="14204" dataCellStyle="Normal"/>
    <tableColumn id="2230" name="Column2209" dataDxfId="14203" dataCellStyle="Normal"/>
    <tableColumn id="2231" name="Column2210" dataDxfId="14202" dataCellStyle="Normal"/>
    <tableColumn id="2232" name="Column2211" dataDxfId="14201" dataCellStyle="Normal"/>
    <tableColumn id="2233" name="Column2212" dataDxfId="14200" dataCellStyle="Normal"/>
    <tableColumn id="2234" name="Column2213" dataDxfId="14199" dataCellStyle="Normal"/>
    <tableColumn id="2235" name="Column2214" dataDxfId="14198" dataCellStyle="Normal"/>
    <tableColumn id="2236" name="Column2215" dataDxfId="14197" dataCellStyle="Normal"/>
    <tableColumn id="2237" name="Column2216" dataDxfId="14196" dataCellStyle="Normal"/>
    <tableColumn id="2238" name="Column2217" dataDxfId="14195" dataCellStyle="Normal"/>
    <tableColumn id="2239" name="Column2218" dataDxfId="14194" dataCellStyle="Normal"/>
    <tableColumn id="2240" name="Column2219" dataDxfId="14193" dataCellStyle="Normal"/>
    <tableColumn id="2241" name="Column2220" dataDxfId="14192" dataCellStyle="Normal"/>
    <tableColumn id="2242" name="Column2221" dataDxfId="14191" dataCellStyle="Normal"/>
    <tableColumn id="2243" name="Column2222" dataDxfId="14190" dataCellStyle="Normal"/>
    <tableColumn id="2244" name="Column2223" dataDxfId="14189" dataCellStyle="Normal"/>
    <tableColumn id="2245" name="Column2224" dataDxfId="14188" dataCellStyle="Normal"/>
    <tableColumn id="2246" name="Column2225" dataDxfId="14187" dataCellStyle="Normal"/>
    <tableColumn id="2247" name="Column2226" dataDxfId="14186" dataCellStyle="Normal"/>
    <tableColumn id="2248" name="Column2227" dataDxfId="14185" dataCellStyle="Normal"/>
    <tableColumn id="2249" name="Column2228" dataDxfId="14184" dataCellStyle="Normal"/>
    <tableColumn id="2250" name="Column2229" dataDxfId="14183" dataCellStyle="Normal"/>
    <tableColumn id="2251" name="Column2230" dataDxfId="14182" dataCellStyle="Normal"/>
    <tableColumn id="2252" name="Column2231" dataDxfId="14181" dataCellStyle="Normal"/>
    <tableColumn id="2253" name="Column2232" dataDxfId="14180" dataCellStyle="Normal"/>
    <tableColumn id="2254" name="Column2233" dataDxfId="14179" dataCellStyle="Normal"/>
    <tableColumn id="2255" name="Column2234" dataDxfId="14178" dataCellStyle="Normal"/>
    <tableColumn id="2256" name="Column2235" dataDxfId="14177" dataCellStyle="Normal"/>
    <tableColumn id="2257" name="Column2236" dataDxfId="14176" dataCellStyle="Normal"/>
    <tableColumn id="2258" name="Column2237" dataDxfId="14175" dataCellStyle="Normal"/>
    <tableColumn id="2259" name="Column2238" dataDxfId="14174" dataCellStyle="Normal"/>
    <tableColumn id="2260" name="Column2239" dataDxfId="14173" dataCellStyle="Normal"/>
    <tableColumn id="2261" name="Column2240" dataDxfId="14172" dataCellStyle="Normal"/>
    <tableColumn id="2262" name="Column2241" dataDxfId="14171" dataCellStyle="Normal"/>
    <tableColumn id="2263" name="Column2242" dataDxfId="14170" dataCellStyle="Normal"/>
    <tableColumn id="2264" name="Column2243" dataDxfId="14169" dataCellStyle="Normal"/>
    <tableColumn id="2265" name="Column2244" dataDxfId="14168" dataCellStyle="Normal"/>
    <tableColumn id="2266" name="Column2245" dataDxfId="14167" dataCellStyle="Normal"/>
    <tableColumn id="2267" name="Column2246" dataDxfId="14166" dataCellStyle="Normal"/>
    <tableColumn id="2268" name="Column2247" dataDxfId="14165" dataCellStyle="Normal"/>
    <tableColumn id="2269" name="Column2248" dataDxfId="14164" dataCellStyle="Normal"/>
    <tableColumn id="2270" name="Column2249" dataDxfId="14163" dataCellStyle="Normal"/>
    <tableColumn id="2271" name="Column2250" dataDxfId="14162" dataCellStyle="Normal"/>
    <tableColumn id="2272" name="Column2251" dataDxfId="14161" dataCellStyle="Normal"/>
    <tableColumn id="2273" name="Column2252" dataDxfId="14160" dataCellStyle="Normal"/>
    <tableColumn id="2274" name="Column2253" dataDxfId="14159" dataCellStyle="Normal"/>
    <tableColumn id="2275" name="Column2254" dataDxfId="14158" dataCellStyle="Normal"/>
    <tableColumn id="2276" name="Column2255" dataDxfId="14157" dataCellStyle="Normal"/>
    <tableColumn id="2277" name="Column2256" dataDxfId="14156" dataCellStyle="Normal"/>
    <tableColumn id="2278" name="Column2257" dataDxfId="14155" dataCellStyle="Normal"/>
    <tableColumn id="2279" name="Column2258" dataDxfId="14154" dataCellStyle="Normal"/>
    <tableColumn id="2280" name="Column2259" dataDxfId="14153" dataCellStyle="Normal"/>
    <tableColumn id="2281" name="Column2260" dataDxfId="14152" dataCellStyle="Normal"/>
    <tableColumn id="2282" name="Column2261" dataDxfId="14151" dataCellStyle="Normal"/>
    <tableColumn id="2283" name="Column2262" dataDxfId="14150" dataCellStyle="Normal"/>
    <tableColumn id="2284" name="Column2263" dataDxfId="14149" dataCellStyle="Normal"/>
    <tableColumn id="2285" name="Column2264" dataDxfId="14148" dataCellStyle="Normal"/>
    <tableColumn id="2286" name="Column2265" dataDxfId="14147" dataCellStyle="Normal"/>
    <tableColumn id="2287" name="Column2266" dataDxfId="14146" dataCellStyle="Normal"/>
    <tableColumn id="2288" name="Column2267" dataDxfId="14145" dataCellStyle="Normal"/>
    <tableColumn id="2289" name="Column2268" dataDxfId="14144" dataCellStyle="Normal"/>
    <tableColumn id="2290" name="Column2269" dataDxfId="14143" dataCellStyle="Normal"/>
    <tableColumn id="2291" name="Column2270" dataDxfId="14142" dataCellStyle="Normal"/>
    <tableColumn id="2292" name="Column2271" dataDxfId="14141" dataCellStyle="Normal"/>
    <tableColumn id="2293" name="Column2272" dataDxfId="14140" dataCellStyle="Normal"/>
    <tableColumn id="2294" name="Column2273" dataDxfId="14139" dataCellStyle="Normal"/>
    <tableColumn id="2295" name="Column2274" dataDxfId="14138" dataCellStyle="Normal"/>
    <tableColumn id="2296" name="Column2275" dataDxfId="14137" dataCellStyle="Normal"/>
    <tableColumn id="2297" name="Column2276" dataDxfId="14136" dataCellStyle="Normal"/>
    <tableColumn id="2298" name="Column2277" dataDxfId="14135" dataCellStyle="Normal"/>
    <tableColumn id="2299" name="Column2278" dataDxfId="14134" dataCellStyle="Normal"/>
    <tableColumn id="2300" name="Column2279" dataDxfId="14133" dataCellStyle="Normal"/>
    <tableColumn id="2301" name="Column2280" dataDxfId="14132" dataCellStyle="Normal"/>
    <tableColumn id="2302" name="Column2281" dataDxfId="14131" dataCellStyle="Normal"/>
    <tableColumn id="2303" name="Column2282" dataDxfId="14130" dataCellStyle="Normal"/>
    <tableColumn id="2304" name="Column2283" dataDxfId="14129" dataCellStyle="Normal"/>
    <tableColumn id="2305" name="Column2284" dataDxfId="14128" dataCellStyle="Normal"/>
    <tableColumn id="2306" name="Column2285" dataDxfId="14127" dataCellStyle="Normal"/>
    <tableColumn id="2307" name="Column2286" dataDxfId="14126" dataCellStyle="Normal"/>
    <tableColumn id="2308" name="Column2287" dataDxfId="14125" dataCellStyle="Normal"/>
    <tableColumn id="2309" name="Column2288" dataDxfId="14124" dataCellStyle="Normal"/>
    <tableColumn id="2310" name="Column2289" dataDxfId="14123" dataCellStyle="Normal"/>
    <tableColumn id="2311" name="Column2290" dataDxfId="14122" dataCellStyle="Normal"/>
    <tableColumn id="2312" name="Column2291" dataDxfId="14121" dataCellStyle="Normal"/>
    <tableColumn id="2313" name="Column2292" dataDxfId="14120" dataCellStyle="Normal"/>
    <tableColumn id="2314" name="Column2293" dataDxfId="14119" dataCellStyle="Normal"/>
    <tableColumn id="2315" name="Column2294" dataDxfId="14118" dataCellStyle="Normal"/>
    <tableColumn id="2316" name="Column2295" dataDxfId="14117" dataCellStyle="Normal"/>
    <tableColumn id="2317" name="Column2296" dataDxfId="14116" dataCellStyle="Normal"/>
    <tableColumn id="2318" name="Column2297" dataDxfId="14115" dataCellStyle="Normal"/>
    <tableColumn id="2319" name="Column2298" dataDxfId="14114" dataCellStyle="Normal"/>
    <tableColumn id="2320" name="Column2299" dataDxfId="14113" dataCellStyle="Normal"/>
    <tableColumn id="2321" name="Column2300" dataDxfId="14112" dataCellStyle="Normal"/>
    <tableColumn id="2322" name="Column2301" dataDxfId="14111" dataCellStyle="Normal"/>
    <tableColumn id="2323" name="Column2302" dataDxfId="14110" dataCellStyle="Normal"/>
    <tableColumn id="2324" name="Column2303" dataDxfId="14109" dataCellStyle="Normal"/>
    <tableColumn id="2325" name="Column2304" dataDxfId="14108" dataCellStyle="Normal"/>
    <tableColumn id="2326" name="Column2305" dataDxfId="14107" dataCellStyle="Normal"/>
    <tableColumn id="2327" name="Column2306" dataDxfId="14106" dataCellStyle="Normal"/>
    <tableColumn id="2328" name="Column2307" dataDxfId="14105" dataCellStyle="Normal"/>
    <tableColumn id="2329" name="Column2308" dataDxfId="14104" dataCellStyle="Normal"/>
    <tableColumn id="2330" name="Column2309" dataDxfId="14103" dataCellStyle="Normal"/>
    <tableColumn id="2331" name="Column2310" dataDxfId="14102" dataCellStyle="Normal"/>
    <tableColumn id="2332" name="Column2311" dataDxfId="14101" dataCellStyle="Normal"/>
    <tableColumn id="2333" name="Column2312" dataDxfId="14100" dataCellStyle="Normal"/>
    <tableColumn id="2334" name="Column2313" dataDxfId="14099" dataCellStyle="Normal"/>
    <tableColumn id="2335" name="Column2314" dataDxfId="14098" dataCellStyle="Normal"/>
    <tableColumn id="2336" name="Column2315" dataDxfId="14097" dataCellStyle="Normal"/>
    <tableColumn id="2337" name="Column2316" dataDxfId="14096" dataCellStyle="Normal"/>
    <tableColumn id="2338" name="Column2317" dataDxfId="14095" dataCellStyle="Normal"/>
    <tableColumn id="2339" name="Column2318" dataDxfId="14094" dataCellStyle="Normal"/>
    <tableColumn id="2340" name="Column2319" dataDxfId="14093" dataCellStyle="Normal"/>
    <tableColumn id="2341" name="Column2320" dataDxfId="14092" dataCellStyle="Normal"/>
    <tableColumn id="2342" name="Column2321" dataDxfId="14091" dataCellStyle="Normal"/>
    <tableColumn id="2343" name="Column2322" dataDxfId="14090" dataCellStyle="Normal"/>
    <tableColumn id="2344" name="Column2323" dataDxfId="14089" dataCellStyle="Normal"/>
    <tableColumn id="2345" name="Column2324" dataDxfId="14088" dataCellStyle="Normal"/>
    <tableColumn id="2346" name="Column2325" dataDxfId="14087" dataCellStyle="Normal"/>
    <tableColumn id="2347" name="Column2326" dataDxfId="14086" dataCellStyle="Normal"/>
    <tableColumn id="2348" name="Column2327" dataDxfId="14085" dataCellStyle="Normal"/>
    <tableColumn id="2349" name="Column2328" dataDxfId="14084" dataCellStyle="Normal"/>
    <tableColumn id="2350" name="Column2329" dataDxfId="14083" dataCellStyle="Normal"/>
    <tableColumn id="2351" name="Column2330" dataDxfId="14082" dataCellStyle="Normal"/>
    <tableColumn id="2352" name="Column2331" dataDxfId="14081" dataCellStyle="Normal"/>
    <tableColumn id="2353" name="Column2332" dataDxfId="14080" dataCellStyle="Normal"/>
    <tableColumn id="2354" name="Column2333" dataDxfId="14079" dataCellStyle="Normal"/>
    <tableColumn id="2355" name="Column2334" dataDxfId="14078" dataCellStyle="Normal"/>
    <tableColumn id="2356" name="Column2335" dataDxfId="14077" dataCellStyle="Normal"/>
    <tableColumn id="2357" name="Column2336" dataDxfId="14076" dataCellStyle="Normal"/>
    <tableColumn id="2358" name="Column2337" dataDxfId="14075" dataCellStyle="Normal"/>
    <tableColumn id="2359" name="Column2338" dataDxfId="14074" dataCellStyle="Normal"/>
    <tableColumn id="2360" name="Column2339" dataDxfId="14073" dataCellStyle="Normal"/>
    <tableColumn id="2361" name="Column2340" dataDxfId="14072" dataCellStyle="Normal"/>
    <tableColumn id="2362" name="Column2341" dataDxfId="14071" dataCellStyle="Normal"/>
    <tableColumn id="2363" name="Column2342" dataDxfId="14070" dataCellStyle="Normal"/>
    <tableColumn id="2364" name="Column2343" dataDxfId="14069" dataCellStyle="Normal"/>
    <tableColumn id="2365" name="Column2344" dataDxfId="14068" dataCellStyle="Normal"/>
    <tableColumn id="2366" name="Column2345" dataDxfId="14067" dataCellStyle="Normal"/>
    <tableColumn id="2367" name="Column2346" dataDxfId="14066" dataCellStyle="Normal"/>
    <tableColumn id="2368" name="Column2347" dataDxfId="14065" dataCellStyle="Normal"/>
    <tableColumn id="2369" name="Column2348" dataDxfId="14064" dataCellStyle="Normal"/>
    <tableColumn id="2370" name="Column2349" dataDxfId="14063" dataCellStyle="Normal"/>
    <tableColumn id="2371" name="Column2350" dataDxfId="14062" dataCellStyle="Normal"/>
    <tableColumn id="2372" name="Column2351" dataDxfId="14061" dataCellStyle="Normal"/>
    <tableColumn id="2373" name="Column2352" dataDxfId="14060" dataCellStyle="Normal"/>
    <tableColumn id="2374" name="Column2353" dataDxfId="14059" dataCellStyle="Normal"/>
    <tableColumn id="2375" name="Column2354" dataDxfId="14058" dataCellStyle="Normal"/>
    <tableColumn id="2376" name="Column2355" dataDxfId="14057" dataCellStyle="Normal"/>
    <tableColumn id="2377" name="Column2356" dataDxfId="14056" dataCellStyle="Normal"/>
    <tableColumn id="2378" name="Column2357" dataDxfId="14055" dataCellStyle="Normal"/>
    <tableColumn id="2379" name="Column2358" dataDxfId="14054" dataCellStyle="Normal"/>
    <tableColumn id="2380" name="Column2359" dataDxfId="14053" dataCellStyle="Normal"/>
    <tableColumn id="2381" name="Column2360" dataDxfId="14052" dataCellStyle="Normal"/>
    <tableColumn id="2382" name="Column2361" dataDxfId="14051" dataCellStyle="Normal"/>
    <tableColumn id="2383" name="Column2362" dataDxfId="14050" dataCellStyle="Normal"/>
    <tableColumn id="2384" name="Column2363" dataDxfId="14049" dataCellStyle="Normal"/>
    <tableColumn id="2385" name="Column2364" dataDxfId="14048" dataCellStyle="Normal"/>
    <tableColumn id="2386" name="Column2365" dataDxfId="14047" dataCellStyle="Normal"/>
    <tableColumn id="2387" name="Column2366" dataDxfId="14046" dataCellStyle="Normal"/>
    <tableColumn id="2388" name="Column2367" dataDxfId="14045" dataCellStyle="Normal"/>
    <tableColumn id="2389" name="Column2368" dataDxfId="14044" dataCellStyle="Normal"/>
    <tableColumn id="2390" name="Column2369" dataDxfId="14043" dataCellStyle="Normal"/>
    <tableColumn id="2391" name="Column2370" dataDxfId="14042" dataCellStyle="Normal"/>
    <tableColumn id="2392" name="Column2371" dataDxfId="14041" dataCellStyle="Normal"/>
    <tableColumn id="2393" name="Column2372" dataDxfId="14040" dataCellStyle="Normal"/>
    <tableColumn id="2394" name="Column2373" dataDxfId="14039" dataCellStyle="Normal"/>
    <tableColumn id="2395" name="Column2374" dataDxfId="14038" dataCellStyle="Normal"/>
    <tableColumn id="2396" name="Column2375" dataDxfId="14037" dataCellStyle="Normal"/>
    <tableColumn id="2397" name="Column2376" dataDxfId="14036" dataCellStyle="Normal"/>
    <tableColumn id="2398" name="Column2377" dataDxfId="14035" dataCellStyle="Normal"/>
    <tableColumn id="2399" name="Column2378" dataDxfId="14034" dataCellStyle="Normal"/>
    <tableColumn id="2400" name="Column2379" dataDxfId="14033" dataCellStyle="Normal"/>
    <tableColumn id="2401" name="Column2380" dataDxfId="14032" dataCellStyle="Normal"/>
    <tableColumn id="2402" name="Column2381" dataDxfId="14031" dataCellStyle="Normal"/>
    <tableColumn id="2403" name="Column2382" dataDxfId="14030" dataCellStyle="Normal"/>
    <tableColumn id="2404" name="Column2383" dataDxfId="14029" dataCellStyle="Normal"/>
    <tableColumn id="2405" name="Column2384" dataDxfId="14028" dataCellStyle="Normal"/>
    <tableColumn id="2406" name="Column2385" dataDxfId="14027" dataCellStyle="Normal"/>
    <tableColumn id="2407" name="Column2386" dataDxfId="14026" dataCellStyle="Normal"/>
    <tableColumn id="2408" name="Column2387" dataDxfId="14025" dataCellStyle="Normal"/>
    <tableColumn id="2409" name="Column2388" dataDxfId="14024" dataCellStyle="Normal"/>
    <tableColumn id="2410" name="Column2389" dataDxfId="14023" dataCellStyle="Normal"/>
    <tableColumn id="2411" name="Column2390" dataDxfId="14022" dataCellStyle="Normal"/>
    <tableColumn id="2412" name="Column2391" dataDxfId="14021" dataCellStyle="Normal"/>
    <tableColumn id="2413" name="Column2392" dataDxfId="14020" dataCellStyle="Normal"/>
    <tableColumn id="2414" name="Column2393" dataDxfId="14019" dataCellStyle="Normal"/>
    <tableColumn id="2415" name="Column2394" dataDxfId="14018" dataCellStyle="Normal"/>
    <tableColumn id="2416" name="Column2395" dataDxfId="14017" dataCellStyle="Normal"/>
    <tableColumn id="2417" name="Column2396" dataDxfId="14016" dataCellStyle="Normal"/>
    <tableColumn id="2418" name="Column2397" dataDxfId="14015" dataCellStyle="Normal"/>
    <tableColumn id="2419" name="Column2398" dataDxfId="14014" dataCellStyle="Normal"/>
    <tableColumn id="2420" name="Column2399" dataDxfId="14013" dataCellStyle="Normal"/>
    <tableColumn id="2421" name="Column2400" dataDxfId="14012" dataCellStyle="Normal"/>
    <tableColumn id="2422" name="Column2401" dataDxfId="14011" dataCellStyle="Normal"/>
    <tableColumn id="2423" name="Column2402" dataDxfId="14010" dataCellStyle="Normal"/>
    <tableColumn id="2424" name="Column2403" dataDxfId="14009" dataCellStyle="Normal"/>
    <tableColumn id="2425" name="Column2404" dataDxfId="14008" dataCellStyle="Normal"/>
    <tableColumn id="2426" name="Column2405" dataDxfId="14007" dataCellStyle="Normal"/>
    <tableColumn id="2427" name="Column2406" dataDxfId="14006" dataCellStyle="Normal"/>
    <tableColumn id="2428" name="Column2407" dataDxfId="14005" dataCellStyle="Normal"/>
    <tableColumn id="2429" name="Column2408" dataDxfId="14004" dataCellStyle="Normal"/>
    <tableColumn id="2430" name="Column2409" dataDxfId="14003" dataCellStyle="Normal"/>
    <tableColumn id="2431" name="Column2410" dataDxfId="14002" dataCellStyle="Normal"/>
    <tableColumn id="2432" name="Column2411" dataDxfId="14001" dataCellStyle="Normal"/>
    <tableColumn id="2433" name="Column2412" dataDxfId="14000" dataCellStyle="Normal"/>
    <tableColumn id="2434" name="Column2413" dataDxfId="13999" dataCellStyle="Normal"/>
    <tableColumn id="2435" name="Column2414" dataDxfId="13998" dataCellStyle="Normal"/>
    <tableColumn id="2436" name="Column2415" dataDxfId="13997" dataCellStyle="Normal"/>
    <tableColumn id="2437" name="Column2416" dataDxfId="13996" dataCellStyle="Normal"/>
    <tableColumn id="2438" name="Column2417" dataDxfId="13995" dataCellStyle="Normal"/>
    <tableColumn id="2439" name="Column2418" dataDxfId="13994" dataCellStyle="Normal"/>
    <tableColumn id="2440" name="Column2419" dataDxfId="13993" dataCellStyle="Normal"/>
    <tableColumn id="2441" name="Column2420" dataDxfId="13992" dataCellStyle="Normal"/>
    <tableColumn id="2442" name="Column2421" dataDxfId="13991" dataCellStyle="Normal"/>
    <tableColumn id="2443" name="Column2422" dataDxfId="13990" dataCellStyle="Normal"/>
    <tableColumn id="2444" name="Column2423" dataDxfId="13989" dataCellStyle="Normal"/>
    <tableColumn id="2445" name="Column2424" dataDxfId="13988" dataCellStyle="Normal"/>
    <tableColumn id="2446" name="Column2425" dataDxfId="13987" dataCellStyle="Normal"/>
    <tableColumn id="2447" name="Column2426" dataDxfId="13986" dataCellStyle="Normal"/>
    <tableColumn id="2448" name="Column2427" dataDxfId="13985" dataCellStyle="Normal"/>
    <tableColumn id="2449" name="Column2428" dataDxfId="13984" dataCellStyle="Normal"/>
    <tableColumn id="2450" name="Column2429" dataDxfId="13983" dataCellStyle="Normal"/>
    <tableColumn id="2451" name="Column2430" dataDxfId="13982" dataCellStyle="Normal"/>
    <tableColumn id="2452" name="Column2431" dataDxfId="13981" dataCellStyle="Normal"/>
    <tableColumn id="2453" name="Column2432" dataDxfId="13980" dataCellStyle="Normal"/>
    <tableColumn id="2454" name="Column2433" dataDxfId="13979" dataCellStyle="Normal"/>
    <tableColumn id="2455" name="Column2434" dataDxfId="13978" dataCellStyle="Normal"/>
    <tableColumn id="2456" name="Column2435" dataDxfId="13977" dataCellStyle="Normal"/>
    <tableColumn id="2457" name="Column2436" dataDxfId="13976" dataCellStyle="Normal"/>
    <tableColumn id="2458" name="Column2437" dataDxfId="13975" dataCellStyle="Normal"/>
    <tableColumn id="2459" name="Column2438" dataDxfId="13974" dataCellStyle="Normal"/>
    <tableColumn id="2460" name="Column2439" dataDxfId="13973" dataCellStyle="Normal"/>
    <tableColumn id="2461" name="Column2440" dataDxfId="13972" dataCellStyle="Normal"/>
    <tableColumn id="2462" name="Column2441" dataDxfId="13971" dataCellStyle="Normal"/>
    <tableColumn id="2463" name="Column2442" dataDxfId="13970" dataCellStyle="Normal"/>
    <tableColumn id="2464" name="Column2443" dataDxfId="13969" dataCellStyle="Normal"/>
    <tableColumn id="2465" name="Column2444" dataDxfId="13968" dataCellStyle="Normal"/>
    <tableColumn id="2466" name="Column2445" dataDxfId="13967" dataCellStyle="Normal"/>
    <tableColumn id="2467" name="Column2446" dataDxfId="13966" dataCellStyle="Normal"/>
    <tableColumn id="2468" name="Column2447" dataDxfId="13965" dataCellStyle="Normal"/>
    <tableColumn id="2469" name="Column2448" dataDxfId="13964" dataCellStyle="Normal"/>
    <tableColumn id="2470" name="Column2449" dataDxfId="13963" dataCellStyle="Normal"/>
    <tableColumn id="2471" name="Column2450" dataDxfId="13962" dataCellStyle="Normal"/>
    <tableColumn id="2472" name="Column2451" dataDxfId="13961" dataCellStyle="Normal"/>
    <tableColumn id="2473" name="Column2452" dataDxfId="13960" dataCellStyle="Normal"/>
    <tableColumn id="2474" name="Column2453" dataDxfId="13959" dataCellStyle="Normal"/>
    <tableColumn id="2475" name="Column2454" dataDxfId="13958" dataCellStyle="Normal"/>
    <tableColumn id="2476" name="Column2455" dataDxfId="13957" dataCellStyle="Normal"/>
    <tableColumn id="2477" name="Column2456" dataDxfId="13956" dataCellStyle="Normal"/>
    <tableColumn id="2478" name="Column2457" dataDxfId="13955" dataCellStyle="Normal"/>
    <tableColumn id="2479" name="Column2458" dataDxfId="13954" dataCellStyle="Normal"/>
    <tableColumn id="2480" name="Column2459" dataDxfId="13953" dataCellStyle="Normal"/>
    <tableColumn id="2481" name="Column2460" dataDxfId="13952" dataCellStyle="Normal"/>
    <tableColumn id="2482" name="Column2461" dataDxfId="13951" dataCellStyle="Normal"/>
    <tableColumn id="2483" name="Column2462" dataDxfId="13950" dataCellStyle="Normal"/>
    <tableColumn id="2484" name="Column2463" dataDxfId="13949" dataCellStyle="Normal"/>
    <tableColumn id="2485" name="Column2464" dataDxfId="13948" dataCellStyle="Normal"/>
    <tableColumn id="2486" name="Column2465" dataDxfId="13947" dataCellStyle="Normal"/>
    <tableColumn id="2487" name="Column2466" dataDxfId="13946" dataCellStyle="Normal"/>
    <tableColumn id="2488" name="Column2467" dataDxfId="13945" dataCellStyle="Normal"/>
    <tableColumn id="2489" name="Column2468" dataDxfId="13944" dataCellStyle="Normal"/>
    <tableColumn id="2490" name="Column2469" dataDxfId="13943" dataCellStyle="Normal"/>
    <tableColumn id="2491" name="Column2470" dataDxfId="13942" dataCellStyle="Normal"/>
    <tableColumn id="2492" name="Column2471" dataDxfId="13941" dataCellStyle="Normal"/>
    <tableColumn id="2493" name="Column2472" dataDxfId="13940" dataCellStyle="Normal"/>
    <tableColumn id="2494" name="Column2473" dataDxfId="13939" dataCellStyle="Normal"/>
    <tableColumn id="2495" name="Column2474" dataDxfId="13938" dataCellStyle="Normal"/>
    <tableColumn id="2496" name="Column2475" dataDxfId="13937" dataCellStyle="Normal"/>
    <tableColumn id="2497" name="Column2476" dataDxfId="13936" dataCellStyle="Normal"/>
    <tableColumn id="2498" name="Column2477" dataDxfId="13935" dataCellStyle="Normal"/>
    <tableColumn id="2499" name="Column2478" dataDxfId="13934" dataCellStyle="Normal"/>
    <tableColumn id="2500" name="Column2479" dataDxfId="13933" dataCellStyle="Normal"/>
    <tableColumn id="2501" name="Column2480" dataDxfId="13932" dataCellStyle="Normal"/>
    <tableColumn id="2502" name="Column2481" dataDxfId="13931" dataCellStyle="Normal"/>
    <tableColumn id="2503" name="Column2482" dataDxfId="13930" dataCellStyle="Normal"/>
    <tableColumn id="2504" name="Column2483" dataDxfId="13929" dataCellStyle="Normal"/>
    <tableColumn id="2505" name="Column2484" dataDxfId="13928" dataCellStyle="Normal"/>
    <tableColumn id="2506" name="Column2485" dataDxfId="13927" dataCellStyle="Normal"/>
    <tableColumn id="2507" name="Column2486" dataDxfId="13926" dataCellStyle="Normal"/>
    <tableColumn id="2508" name="Column2487" dataDxfId="13925" dataCellStyle="Normal"/>
    <tableColumn id="2509" name="Column2488" dataDxfId="13924" dataCellStyle="Normal"/>
    <tableColumn id="2510" name="Column2489" dataDxfId="13923" dataCellStyle="Normal"/>
    <tableColumn id="2511" name="Column2490" dataDxfId="13922" dataCellStyle="Normal"/>
    <tableColumn id="2512" name="Column2491" dataDxfId="13921" dataCellStyle="Normal"/>
    <tableColumn id="2513" name="Column2492" dataDxfId="13920" dataCellStyle="Normal"/>
    <tableColumn id="2514" name="Column2493" dataDxfId="13919" dataCellStyle="Normal"/>
    <tableColumn id="2515" name="Column2494" dataDxfId="13918" dataCellStyle="Normal"/>
    <tableColumn id="2516" name="Column2495" dataDxfId="13917" dataCellStyle="Normal"/>
    <tableColumn id="2517" name="Column2496" dataDxfId="13916" dataCellStyle="Normal"/>
    <tableColumn id="2518" name="Column2497" dataDxfId="13915" dataCellStyle="Normal"/>
    <tableColumn id="2519" name="Column2498" dataDxfId="13914" dataCellStyle="Normal"/>
    <tableColumn id="2520" name="Column2499" dataDxfId="13913" dataCellStyle="Normal"/>
    <tableColumn id="2521" name="Column2500" dataDxfId="13912" dataCellStyle="Normal"/>
    <tableColumn id="2522" name="Column2501" dataDxfId="13911" dataCellStyle="Normal"/>
    <tableColumn id="2523" name="Column2502" dataDxfId="13910" dataCellStyle="Normal"/>
    <tableColumn id="2524" name="Column2503" dataDxfId="13909" dataCellStyle="Normal"/>
    <tableColumn id="2525" name="Column2504" dataDxfId="13908" dataCellStyle="Normal"/>
    <tableColumn id="2526" name="Column2505" dataDxfId="13907" dataCellStyle="Normal"/>
    <tableColumn id="2527" name="Column2506" dataDxfId="13906" dataCellStyle="Normal"/>
    <tableColumn id="2528" name="Column2507" dataDxfId="13905" dataCellStyle="Normal"/>
    <tableColumn id="2529" name="Column2508" dataDxfId="13904" dataCellStyle="Normal"/>
    <tableColumn id="2530" name="Column2509" dataDxfId="13903" dataCellStyle="Normal"/>
    <tableColumn id="2531" name="Column2510" dataDxfId="13902" dataCellStyle="Normal"/>
    <tableColumn id="2532" name="Column2511" dataDxfId="13901" dataCellStyle="Normal"/>
    <tableColumn id="2533" name="Column2512" dataDxfId="13900" dataCellStyle="Normal"/>
    <tableColumn id="2534" name="Column2513" dataDxfId="13899" dataCellStyle="Normal"/>
    <tableColumn id="2535" name="Column2514" dataDxfId="13898" dataCellStyle="Normal"/>
    <tableColumn id="2536" name="Column2515" dataDxfId="13897" dataCellStyle="Normal"/>
    <tableColumn id="2537" name="Column2516" dataDxfId="13896" dataCellStyle="Normal"/>
    <tableColumn id="2538" name="Column2517" dataDxfId="13895" dataCellStyle="Normal"/>
    <tableColumn id="2539" name="Column2518" dataDxfId="13894" dataCellStyle="Normal"/>
    <tableColumn id="2540" name="Column2519" dataDxfId="13893" dataCellStyle="Normal"/>
    <tableColumn id="2541" name="Column2520" dataDxfId="13892" dataCellStyle="Normal"/>
    <tableColumn id="2542" name="Column2521" dataDxfId="13891" dataCellStyle="Normal"/>
    <tableColumn id="2543" name="Column2522" dataDxfId="13890" dataCellStyle="Normal"/>
    <tableColumn id="2544" name="Column2523" dataDxfId="13889" dataCellStyle="Normal"/>
    <tableColumn id="2545" name="Column2524" dataDxfId="13888" dataCellStyle="Normal"/>
    <tableColumn id="2546" name="Column2525" dataDxfId="13887" dataCellStyle="Normal"/>
    <tableColumn id="2547" name="Column2526" dataDxfId="13886" dataCellStyle="Normal"/>
    <tableColumn id="2548" name="Column2527" dataDxfId="13885" dataCellStyle="Normal"/>
    <tableColumn id="2549" name="Column2528" dataDxfId="13884" dataCellStyle="Normal"/>
    <tableColumn id="2550" name="Column2529" dataDxfId="13883" dataCellStyle="Normal"/>
    <tableColumn id="2551" name="Column2530" dataDxfId="13882" dataCellStyle="Normal"/>
    <tableColumn id="2552" name="Column2531" dataDxfId="13881" dataCellStyle="Normal"/>
    <tableColumn id="2553" name="Column2532" dataDxfId="13880" dataCellStyle="Normal"/>
    <tableColumn id="2554" name="Column2533" dataDxfId="13879" dataCellStyle="Normal"/>
    <tableColumn id="2555" name="Column2534" dataDxfId="13878" dataCellStyle="Normal"/>
    <tableColumn id="2556" name="Column2535" dataDxfId="13877" dataCellStyle="Normal"/>
    <tableColumn id="2557" name="Column2536" dataDxfId="13876" dataCellStyle="Normal"/>
    <tableColumn id="2558" name="Column2537" dataDxfId="13875" dataCellStyle="Normal"/>
    <tableColumn id="2559" name="Column2538" dataDxfId="13874" dataCellStyle="Normal"/>
    <tableColumn id="2560" name="Column2539" dataDxfId="13873" dataCellStyle="Normal"/>
    <tableColumn id="2561" name="Column2540" dataDxfId="13872" dataCellStyle="Normal"/>
    <tableColumn id="2562" name="Column2541" dataDxfId="13871" dataCellStyle="Normal"/>
    <tableColumn id="2563" name="Column2542" dataDxfId="13870" dataCellStyle="Normal"/>
    <tableColumn id="2564" name="Column2543" dataDxfId="13869" dataCellStyle="Normal"/>
    <tableColumn id="2565" name="Column2544" dataDxfId="13868" dataCellStyle="Normal"/>
    <tableColumn id="2566" name="Column2545" dataDxfId="13867" dataCellStyle="Normal"/>
    <tableColumn id="2567" name="Column2546" dataDxfId="13866" dataCellStyle="Normal"/>
    <tableColumn id="2568" name="Column2547" dataDxfId="13865" dataCellStyle="Normal"/>
    <tableColumn id="2569" name="Column2548" dataDxfId="13864" dataCellStyle="Normal"/>
    <tableColumn id="2570" name="Column2549" dataDxfId="13863" dataCellStyle="Normal"/>
    <tableColumn id="2571" name="Column2550" dataDxfId="13862" dataCellStyle="Normal"/>
    <tableColumn id="2572" name="Column2551" dataDxfId="13861" dataCellStyle="Normal"/>
    <tableColumn id="2573" name="Column2552" dataDxfId="13860" dataCellStyle="Normal"/>
    <tableColumn id="2574" name="Column2553" dataDxfId="13859" dataCellStyle="Normal"/>
    <tableColumn id="2575" name="Column2554" dataDxfId="13858" dataCellStyle="Normal"/>
    <tableColumn id="2576" name="Column2555" dataDxfId="13857" dataCellStyle="Normal"/>
    <tableColumn id="2577" name="Column2556" dataDxfId="13856" dataCellStyle="Normal"/>
    <tableColumn id="2578" name="Column2557" dataDxfId="13855" dataCellStyle="Normal"/>
    <tableColumn id="2579" name="Column2558" dataDxfId="13854" dataCellStyle="Normal"/>
    <tableColumn id="2580" name="Column2559" dataDxfId="13853" dataCellStyle="Normal"/>
    <tableColumn id="2581" name="Column2560" dataDxfId="13852" dataCellStyle="Normal"/>
    <tableColumn id="2582" name="Column2561" dataDxfId="13851" dataCellStyle="Normal"/>
    <tableColumn id="2583" name="Column2562" dataDxfId="13850" dataCellStyle="Normal"/>
    <tableColumn id="2584" name="Column2563" dataDxfId="13849" dataCellStyle="Normal"/>
    <tableColumn id="2585" name="Column2564" dataDxfId="13848" dataCellStyle="Normal"/>
    <tableColumn id="2586" name="Column2565" dataDxfId="13847" dataCellStyle="Normal"/>
    <tableColumn id="2587" name="Column2566" dataDxfId="13846" dataCellStyle="Normal"/>
    <tableColumn id="2588" name="Column2567" dataDxfId="13845" dataCellStyle="Normal"/>
    <tableColumn id="2589" name="Column2568" dataDxfId="13844" dataCellStyle="Normal"/>
    <tableColumn id="2590" name="Column2569" dataDxfId="13843" dataCellStyle="Normal"/>
    <tableColumn id="2591" name="Column2570" dataDxfId="13842" dataCellStyle="Normal"/>
    <tableColumn id="2592" name="Column2571" dataDxfId="13841" dataCellStyle="Normal"/>
    <tableColumn id="2593" name="Column2572" dataDxfId="13840" dataCellStyle="Normal"/>
    <tableColumn id="2594" name="Column2573" dataDxfId="13839" dataCellStyle="Normal"/>
    <tableColumn id="2595" name="Column2574" dataDxfId="13838" dataCellStyle="Normal"/>
    <tableColumn id="2596" name="Column2575" dataDxfId="13837" dataCellStyle="Normal"/>
    <tableColumn id="2597" name="Column2576" dataDxfId="13836" dataCellStyle="Normal"/>
    <tableColumn id="2598" name="Column2577" dataDxfId="13835" dataCellStyle="Normal"/>
    <tableColumn id="2599" name="Column2578" dataDxfId="13834" dataCellStyle="Normal"/>
    <tableColumn id="2600" name="Column2579" dataDxfId="13833" dataCellStyle="Normal"/>
    <tableColumn id="2601" name="Column2580" dataDxfId="13832" dataCellStyle="Normal"/>
    <tableColumn id="2602" name="Column2581" dataDxfId="13831" dataCellStyle="Normal"/>
    <tableColumn id="2603" name="Column2582" dataDxfId="13830" dataCellStyle="Normal"/>
    <tableColumn id="2604" name="Column2583" dataDxfId="13829" dataCellStyle="Normal"/>
    <tableColumn id="2605" name="Column2584" dataDxfId="13828" dataCellStyle="Normal"/>
    <tableColumn id="2606" name="Column2585" dataDxfId="13827" dataCellStyle="Normal"/>
    <tableColumn id="2607" name="Column2586" dataDxfId="13826" dataCellStyle="Normal"/>
    <tableColumn id="2608" name="Column2587" dataDxfId="13825" dataCellStyle="Normal"/>
    <tableColumn id="2609" name="Column2588" dataDxfId="13824" dataCellStyle="Normal"/>
    <tableColumn id="2610" name="Column2589" dataDxfId="13823" dataCellStyle="Normal"/>
    <tableColumn id="2611" name="Column2590" dataDxfId="13822" dataCellStyle="Normal"/>
    <tableColumn id="2612" name="Column2591" dataDxfId="13821" dataCellStyle="Normal"/>
    <tableColumn id="2613" name="Column2592" dataDxfId="13820" dataCellStyle="Normal"/>
    <tableColumn id="2614" name="Column2593" dataDxfId="13819" dataCellStyle="Normal"/>
    <tableColumn id="2615" name="Column2594" dataDxfId="13818" dataCellStyle="Normal"/>
    <tableColumn id="2616" name="Column2595" dataDxfId="13817" dataCellStyle="Normal"/>
    <tableColumn id="2617" name="Column2596" dataDxfId="13816" dataCellStyle="Normal"/>
    <tableColumn id="2618" name="Column2597" dataDxfId="13815" dataCellStyle="Normal"/>
    <tableColumn id="2619" name="Column2598" dataDxfId="13814" dataCellStyle="Normal"/>
    <tableColumn id="2620" name="Column2599" dataDxfId="13813" dataCellStyle="Normal"/>
    <tableColumn id="2621" name="Column2600" dataDxfId="13812" dataCellStyle="Normal"/>
    <tableColumn id="2622" name="Column2601" dataDxfId="13811" dataCellStyle="Normal"/>
    <tableColumn id="2623" name="Column2602" dataDxfId="13810" dataCellStyle="Normal"/>
    <tableColumn id="2624" name="Column2603" dataDxfId="13809" dataCellStyle="Normal"/>
    <tableColumn id="2625" name="Column2604" dataDxfId="13808" dataCellStyle="Normal"/>
    <tableColumn id="2626" name="Column2605" dataDxfId="13807" dataCellStyle="Normal"/>
    <tableColumn id="2627" name="Column2606" dataDxfId="13806" dataCellStyle="Normal"/>
    <tableColumn id="2628" name="Column2607" dataDxfId="13805" dataCellStyle="Normal"/>
    <tableColumn id="2629" name="Column2608" dataDxfId="13804" dataCellStyle="Normal"/>
    <tableColumn id="2630" name="Column2609" dataDxfId="13803" dataCellStyle="Normal"/>
    <tableColumn id="2631" name="Column2610" dataDxfId="13802" dataCellStyle="Normal"/>
    <tableColumn id="2632" name="Column2611" dataDxfId="13801" dataCellStyle="Normal"/>
    <tableColumn id="2633" name="Column2612" dataDxfId="13800" dataCellStyle="Normal"/>
    <tableColumn id="2634" name="Column2613" dataDxfId="13799" dataCellStyle="Normal"/>
    <tableColumn id="2635" name="Column2614" dataDxfId="13798" dataCellStyle="Normal"/>
    <tableColumn id="2636" name="Column2615" dataDxfId="13797" dataCellStyle="Normal"/>
    <tableColumn id="2637" name="Column2616" dataDxfId="13796" dataCellStyle="Normal"/>
    <tableColumn id="2638" name="Column2617" dataDxfId="13795" dataCellStyle="Normal"/>
    <tableColumn id="2639" name="Column2618" dataDxfId="13794" dataCellStyle="Normal"/>
    <tableColumn id="2640" name="Column2619" dataDxfId="13793" dataCellStyle="Normal"/>
    <tableColumn id="2641" name="Column2620" dataDxfId="13792" dataCellStyle="Normal"/>
    <tableColumn id="2642" name="Column2621" dataDxfId="13791" dataCellStyle="Normal"/>
    <tableColumn id="2643" name="Column2622" dataDxfId="13790" dataCellStyle="Normal"/>
    <tableColumn id="2644" name="Column2623" dataDxfId="13789" dataCellStyle="Normal"/>
    <tableColumn id="2645" name="Column2624" dataDxfId="13788" dataCellStyle="Normal"/>
    <tableColumn id="2646" name="Column2625" dataDxfId="13787" dataCellStyle="Normal"/>
    <tableColumn id="2647" name="Column2626" dataDxfId="13786" dataCellStyle="Normal"/>
    <tableColumn id="2648" name="Column2627" dataDxfId="13785" dataCellStyle="Normal"/>
    <tableColumn id="2649" name="Column2628" dataDxfId="13784" dataCellStyle="Normal"/>
    <tableColumn id="2650" name="Column2629" dataDxfId="13783" dataCellStyle="Normal"/>
    <tableColumn id="2651" name="Column2630" dataDxfId="13782" dataCellStyle="Normal"/>
    <tableColumn id="2652" name="Column2631" dataDxfId="13781" dataCellStyle="Normal"/>
    <tableColumn id="2653" name="Column2632" dataDxfId="13780" dataCellStyle="Normal"/>
    <tableColumn id="2654" name="Column2633" dataDxfId="13779" dataCellStyle="Normal"/>
    <tableColumn id="2655" name="Column2634" dataDxfId="13778" dataCellStyle="Normal"/>
    <tableColumn id="2656" name="Column2635" dataDxfId="13777" dataCellStyle="Normal"/>
    <tableColumn id="2657" name="Column2636" dataDxfId="13776" dataCellStyle="Normal"/>
    <tableColumn id="2658" name="Column2637" dataDxfId="13775" dataCellStyle="Normal"/>
    <tableColumn id="2659" name="Column2638" dataDxfId="13774" dataCellStyle="Normal"/>
    <tableColumn id="2660" name="Column2639" dataDxfId="13773" dataCellStyle="Normal"/>
    <tableColumn id="2661" name="Column2640" dataDxfId="13772" dataCellStyle="Normal"/>
    <tableColumn id="2662" name="Column2641" dataDxfId="13771" dataCellStyle="Normal"/>
    <tableColumn id="2663" name="Column2642" dataDxfId="13770" dataCellStyle="Normal"/>
    <tableColumn id="2664" name="Column2643" dataDxfId="13769" dataCellStyle="Normal"/>
    <tableColumn id="2665" name="Column2644" dataDxfId="13768" dataCellStyle="Normal"/>
    <tableColumn id="2666" name="Column2645" dataDxfId="13767" dataCellStyle="Normal"/>
    <tableColumn id="2667" name="Column2646" dataDxfId="13766" dataCellStyle="Normal"/>
    <tableColumn id="2668" name="Column2647" dataDxfId="13765" dataCellStyle="Normal"/>
    <tableColumn id="2669" name="Column2648" dataDxfId="13764" dataCellStyle="Normal"/>
    <tableColumn id="2670" name="Column2649" dataDxfId="13763" dataCellStyle="Normal"/>
    <tableColumn id="2671" name="Column2650" dataDxfId="13762" dataCellStyle="Normal"/>
    <tableColumn id="2672" name="Column2651" dataDxfId="13761" dataCellStyle="Normal"/>
    <tableColumn id="2673" name="Column2652" dataDxfId="13760" dataCellStyle="Normal"/>
    <tableColumn id="2674" name="Column2653" dataDxfId="13759" dataCellStyle="Normal"/>
    <tableColumn id="2675" name="Column2654" dataDxfId="13758" dataCellStyle="Normal"/>
    <tableColumn id="2676" name="Column2655" dataDxfId="13757" dataCellStyle="Normal"/>
    <tableColumn id="2677" name="Column2656" dataDxfId="13756" dataCellStyle="Normal"/>
    <tableColumn id="2678" name="Column2657" dataDxfId="13755" dataCellStyle="Normal"/>
    <tableColumn id="2679" name="Column2658" dataDxfId="13754" dataCellStyle="Normal"/>
    <tableColumn id="2680" name="Column2659" dataDxfId="13753" dataCellStyle="Normal"/>
    <tableColumn id="2681" name="Column2660" dataDxfId="13752" dataCellStyle="Normal"/>
    <tableColumn id="2682" name="Column2661" dataDxfId="13751" dataCellStyle="Normal"/>
    <tableColumn id="2683" name="Column2662" dataDxfId="13750" dataCellStyle="Normal"/>
    <tableColumn id="2684" name="Column2663" dataDxfId="13749" dataCellStyle="Normal"/>
    <tableColumn id="2685" name="Column2664" dataDxfId="13748" dataCellStyle="Normal"/>
    <tableColumn id="2686" name="Column2665" dataDxfId="13747" dataCellStyle="Normal"/>
    <tableColumn id="2687" name="Column2666" dataDxfId="13746" dataCellStyle="Normal"/>
    <tableColumn id="2688" name="Column2667" dataDxfId="13745" dataCellStyle="Normal"/>
    <tableColumn id="2689" name="Column2668" dataDxfId="13744" dataCellStyle="Normal"/>
    <tableColumn id="2690" name="Column2669" dataDxfId="13743" dataCellStyle="Normal"/>
    <tableColumn id="2691" name="Column2670" dataDxfId="13742" dataCellStyle="Normal"/>
    <tableColumn id="2692" name="Column2671" dataDxfId="13741" dataCellStyle="Normal"/>
    <tableColumn id="2693" name="Column2672" dataDxfId="13740" dataCellStyle="Normal"/>
    <tableColumn id="2694" name="Column2673" dataDxfId="13739" dataCellStyle="Normal"/>
    <tableColumn id="2695" name="Column2674" dataDxfId="13738" dataCellStyle="Normal"/>
    <tableColumn id="2696" name="Column2675" dataDxfId="13737" dataCellStyle="Normal"/>
    <tableColumn id="2697" name="Column2676" dataDxfId="13736" dataCellStyle="Normal"/>
    <tableColumn id="2698" name="Column2677" dataDxfId="13735" dataCellStyle="Normal"/>
    <tableColumn id="2699" name="Column2678" dataDxfId="13734" dataCellStyle="Normal"/>
    <tableColumn id="2700" name="Column2679" dataDxfId="13733" dataCellStyle="Normal"/>
    <tableColumn id="2701" name="Column2680" dataDxfId="13732" dataCellStyle="Normal"/>
    <tableColumn id="2702" name="Column2681" dataDxfId="13731" dataCellStyle="Normal"/>
    <tableColumn id="2703" name="Column2682" dataDxfId="13730" dataCellStyle="Normal"/>
    <tableColumn id="2704" name="Column2683" dataDxfId="13729" dataCellStyle="Normal"/>
    <tableColumn id="2705" name="Column2684" dataDxfId="13728" dataCellStyle="Normal"/>
    <tableColumn id="2706" name="Column2685" dataDxfId="13727" dataCellStyle="Normal"/>
    <tableColumn id="2707" name="Column2686" dataDxfId="13726" dataCellStyle="Normal"/>
    <tableColumn id="2708" name="Column2687" dataDxfId="13725" dataCellStyle="Normal"/>
    <tableColumn id="2709" name="Column2688" dataDxfId="13724" dataCellStyle="Normal"/>
    <tableColumn id="2710" name="Column2689" dataDxfId="13723" dataCellStyle="Normal"/>
    <tableColumn id="2711" name="Column2690" dataDxfId="13722" dataCellStyle="Normal"/>
    <tableColumn id="2712" name="Column2691" dataDxfId="13721" dataCellStyle="Normal"/>
    <tableColumn id="2713" name="Column2692" dataDxfId="13720" dataCellStyle="Normal"/>
    <tableColumn id="2714" name="Column2693" dataDxfId="13719" dataCellStyle="Normal"/>
    <tableColumn id="2715" name="Column2694" dataDxfId="13718" dataCellStyle="Normal"/>
    <tableColumn id="2716" name="Column2695" dataDxfId="13717" dataCellStyle="Normal"/>
    <tableColumn id="2717" name="Column2696" dataDxfId="13716" dataCellStyle="Normal"/>
    <tableColumn id="2718" name="Column2697" dataDxfId="13715" dataCellStyle="Normal"/>
    <tableColumn id="2719" name="Column2698" dataDxfId="13714" dataCellStyle="Normal"/>
    <tableColumn id="2720" name="Column2699" dataDxfId="13713" dataCellStyle="Normal"/>
    <tableColumn id="2721" name="Column2700" dataDxfId="13712" dataCellStyle="Normal"/>
    <tableColumn id="2722" name="Column2701" dataDxfId="13711" dataCellStyle="Normal"/>
    <tableColumn id="2723" name="Column2702" dataDxfId="13710" dataCellStyle="Normal"/>
    <tableColumn id="2724" name="Column2703" dataDxfId="13709" dataCellStyle="Normal"/>
    <tableColumn id="2725" name="Column2704" dataDxfId="13708" dataCellStyle="Normal"/>
    <tableColumn id="2726" name="Column2705" dataDxfId="13707" dataCellStyle="Normal"/>
    <tableColumn id="2727" name="Column2706" dataDxfId="13706" dataCellStyle="Normal"/>
    <tableColumn id="2728" name="Column2707" dataDxfId="13705" dataCellStyle="Normal"/>
    <tableColumn id="2729" name="Column2708" dataDxfId="13704" dataCellStyle="Normal"/>
    <tableColumn id="2730" name="Column2709" dataDxfId="13703" dataCellStyle="Normal"/>
    <tableColumn id="2731" name="Column2710" dataDxfId="13702" dataCellStyle="Normal"/>
    <tableColumn id="2732" name="Column2711" dataDxfId="13701" dataCellStyle="Normal"/>
    <tableColumn id="2733" name="Column2712" dataDxfId="13700" dataCellStyle="Normal"/>
    <tableColumn id="2734" name="Column2713" dataDxfId="13699" dataCellStyle="Normal"/>
    <tableColumn id="2735" name="Column2714" dataDxfId="13698" dataCellStyle="Normal"/>
    <tableColumn id="2736" name="Column2715" dataDxfId="13697" dataCellStyle="Normal"/>
    <tableColumn id="2737" name="Column2716" dataDxfId="13696" dataCellStyle="Normal"/>
    <tableColumn id="2738" name="Column2717" dataDxfId="13695" dataCellStyle="Normal"/>
    <tableColumn id="2739" name="Column2718" dataDxfId="13694" dataCellStyle="Normal"/>
    <tableColumn id="2740" name="Column2719" dataDxfId="13693" dataCellStyle="Normal"/>
    <tableColumn id="2741" name="Column2720" dataDxfId="13692" dataCellStyle="Normal"/>
    <tableColumn id="2742" name="Column2721" dataDxfId="13691" dataCellStyle="Normal"/>
    <tableColumn id="2743" name="Column2722" dataDxfId="13690" dataCellStyle="Normal"/>
    <tableColumn id="2744" name="Column2723" dataDxfId="13689" dataCellStyle="Normal"/>
    <tableColumn id="2745" name="Column2724" dataDxfId="13688" dataCellStyle="Normal"/>
    <tableColumn id="2746" name="Column2725" dataDxfId="13687" dataCellStyle="Normal"/>
    <tableColumn id="2747" name="Column2726" dataDxfId="13686" dataCellStyle="Normal"/>
    <tableColumn id="2748" name="Column2727" dataDxfId="13685" dataCellStyle="Normal"/>
    <tableColumn id="2749" name="Column2728" dataDxfId="13684" dataCellStyle="Normal"/>
    <tableColumn id="2750" name="Column2729" dataDxfId="13683" dataCellStyle="Normal"/>
    <tableColumn id="2751" name="Column2730" dataDxfId="13682" dataCellStyle="Normal"/>
    <tableColumn id="2752" name="Column2731" dataDxfId="13681" dataCellStyle="Normal"/>
    <tableColumn id="2753" name="Column2732" dataDxfId="13680" dataCellStyle="Normal"/>
    <tableColumn id="2754" name="Column2733" dataDxfId="13679" dataCellStyle="Normal"/>
    <tableColumn id="2755" name="Column2734" dataDxfId="13678" dataCellStyle="Normal"/>
    <tableColumn id="2756" name="Column2735" dataDxfId="13677" dataCellStyle="Normal"/>
    <tableColumn id="2757" name="Column2736" dataDxfId="13676" dataCellStyle="Normal"/>
    <tableColumn id="2758" name="Column2737" dataDxfId="13675" dataCellStyle="Normal"/>
    <tableColumn id="2759" name="Column2738" dataDxfId="13674" dataCellStyle="Normal"/>
    <tableColumn id="2760" name="Column2739" dataDxfId="13673" dataCellStyle="Normal"/>
    <tableColumn id="2761" name="Column2740" dataDxfId="13672" dataCellStyle="Normal"/>
    <tableColumn id="2762" name="Column2741" dataDxfId="13671" dataCellStyle="Normal"/>
    <tableColumn id="2763" name="Column2742" dataDxfId="13670" dataCellStyle="Normal"/>
    <tableColumn id="2764" name="Column2743" dataDxfId="13669" dataCellStyle="Normal"/>
    <tableColumn id="2765" name="Column2744" dataDxfId="13668" dataCellStyle="Normal"/>
    <tableColumn id="2766" name="Column2745" dataDxfId="13667" dataCellStyle="Normal"/>
    <tableColumn id="2767" name="Column2746" dataDxfId="13666" dataCellStyle="Normal"/>
    <tableColumn id="2768" name="Column2747" dataDxfId="13665" dataCellStyle="Normal"/>
    <tableColumn id="2769" name="Column2748" dataDxfId="13664" dataCellStyle="Normal"/>
    <tableColumn id="2770" name="Column2749" dataDxfId="13663" dataCellStyle="Normal"/>
    <tableColumn id="2771" name="Column2750" dataDxfId="13662" dataCellStyle="Normal"/>
    <tableColumn id="2772" name="Column2751" dataDxfId="13661" dataCellStyle="Normal"/>
    <tableColumn id="2773" name="Column2752" dataDxfId="13660" dataCellStyle="Normal"/>
    <tableColumn id="2774" name="Column2753" dataDxfId="13659" dataCellStyle="Normal"/>
    <tableColumn id="2775" name="Column2754" dataDxfId="13658" dataCellStyle="Normal"/>
    <tableColumn id="2776" name="Column2755" dataDxfId="13657" dataCellStyle="Normal"/>
    <tableColumn id="2777" name="Column2756" dataDxfId="13656" dataCellStyle="Normal"/>
    <tableColumn id="2778" name="Column2757" dataDxfId="13655" dataCellStyle="Normal"/>
    <tableColumn id="2779" name="Column2758" dataDxfId="13654" dataCellStyle="Normal"/>
    <tableColumn id="2780" name="Column2759" dataDxfId="13653" dataCellStyle="Normal"/>
    <tableColumn id="2781" name="Column2760" dataDxfId="13652" dataCellStyle="Normal"/>
    <tableColumn id="2782" name="Column2761" dataDxfId="13651" dataCellStyle="Normal"/>
    <tableColumn id="2783" name="Column2762" dataDxfId="13650" dataCellStyle="Normal"/>
    <tableColumn id="2784" name="Column2763" dataDxfId="13649" dataCellStyle="Normal"/>
    <tableColumn id="2785" name="Column2764" dataDxfId="13648" dataCellStyle="Normal"/>
    <tableColumn id="2786" name="Column2765" dataDxfId="13647" dataCellStyle="Normal"/>
    <tableColumn id="2787" name="Column2766" dataDxfId="13646" dataCellStyle="Normal"/>
    <tableColumn id="2788" name="Column2767" dataDxfId="13645" dataCellStyle="Normal"/>
    <tableColumn id="2789" name="Column2768" dataDxfId="13644" dataCellStyle="Normal"/>
    <tableColumn id="2790" name="Column2769" dataDxfId="13643" dataCellStyle="Normal"/>
    <tableColumn id="2791" name="Column2770" dataDxfId="13642" dataCellStyle="Normal"/>
    <tableColumn id="2792" name="Column2771" dataDxfId="13641" dataCellStyle="Normal"/>
    <tableColumn id="2793" name="Column2772" dataDxfId="13640" dataCellStyle="Normal"/>
    <tableColumn id="2794" name="Column2773" dataDxfId="13639" dataCellStyle="Normal"/>
    <tableColumn id="2795" name="Column2774" dataDxfId="13638" dataCellStyle="Normal"/>
    <tableColumn id="2796" name="Column2775" dataDxfId="13637" dataCellStyle="Normal"/>
    <tableColumn id="2797" name="Column2776" dataDxfId="13636" dataCellStyle="Normal"/>
    <tableColumn id="2798" name="Column2777" dataDxfId="13635" dataCellStyle="Normal"/>
    <tableColumn id="2799" name="Column2778" dataDxfId="13634" dataCellStyle="Normal"/>
    <tableColumn id="2800" name="Column2779" dataDxfId="13633" dataCellStyle="Normal"/>
    <tableColumn id="2801" name="Column2780" dataDxfId="13632" dataCellStyle="Normal"/>
    <tableColumn id="2802" name="Column2781" dataDxfId="13631" dataCellStyle="Normal"/>
    <tableColumn id="2803" name="Column2782" dataDxfId="13630" dataCellStyle="Normal"/>
    <tableColumn id="2804" name="Column2783" dataDxfId="13629" dataCellStyle="Normal"/>
    <tableColumn id="2805" name="Column2784" dataDxfId="13628" dataCellStyle="Normal"/>
    <tableColumn id="2806" name="Column2785" dataDxfId="13627" dataCellStyle="Normal"/>
    <tableColumn id="2807" name="Column2786" dataDxfId="13626" dataCellStyle="Normal"/>
    <tableColumn id="2808" name="Column2787" dataDxfId="13625" dataCellStyle="Normal"/>
    <tableColumn id="2809" name="Column2788" dataDxfId="13624" dataCellStyle="Normal"/>
    <tableColumn id="2810" name="Column2789" dataDxfId="13623" dataCellStyle="Normal"/>
    <tableColumn id="2811" name="Column2790" dataDxfId="13622" dataCellStyle="Normal"/>
    <tableColumn id="2812" name="Column2791" dataDxfId="13621" dataCellStyle="Normal"/>
    <tableColumn id="2813" name="Column2792" dataDxfId="13620" dataCellStyle="Normal"/>
    <tableColumn id="2814" name="Column2793" dataDxfId="13619" dataCellStyle="Normal"/>
    <tableColumn id="2815" name="Column2794" dataDxfId="13618" dataCellStyle="Normal"/>
    <tableColumn id="2816" name="Column2795" dataDxfId="13617" dataCellStyle="Normal"/>
    <tableColumn id="2817" name="Column2796" dataDxfId="13616" dataCellStyle="Normal"/>
    <tableColumn id="2818" name="Column2797" dataDxfId="13615" dataCellStyle="Normal"/>
    <tableColumn id="2819" name="Column2798" dataDxfId="13614" dataCellStyle="Normal"/>
    <tableColumn id="2820" name="Column2799" dataDxfId="13613" dataCellStyle="Normal"/>
    <tableColumn id="2821" name="Column2800" dataDxfId="13612" dataCellStyle="Normal"/>
    <tableColumn id="2822" name="Column2801" dataDxfId="13611" dataCellStyle="Normal"/>
    <tableColumn id="2823" name="Column2802" dataDxfId="13610" dataCellStyle="Normal"/>
    <tableColumn id="2824" name="Column2803" dataDxfId="13609" dataCellStyle="Normal"/>
    <tableColumn id="2825" name="Column2804" dataDxfId="13608" dataCellStyle="Normal"/>
    <tableColumn id="2826" name="Column2805" dataDxfId="13607" dataCellStyle="Normal"/>
    <tableColumn id="2827" name="Column2806" dataDxfId="13606" dataCellStyle="Normal"/>
    <tableColumn id="2828" name="Column2807" dataDxfId="13605" dataCellStyle="Normal"/>
    <tableColumn id="2829" name="Column2808" dataDxfId="13604" dataCellStyle="Normal"/>
    <tableColumn id="2830" name="Column2809" dataDxfId="13603" dataCellStyle="Normal"/>
    <tableColumn id="2831" name="Column2810" dataDxfId="13602" dataCellStyle="Normal"/>
    <tableColumn id="2832" name="Column2811" dataDxfId="13601" dataCellStyle="Normal"/>
    <tableColumn id="2833" name="Column2812" dataDxfId="13600" dataCellStyle="Normal"/>
    <tableColumn id="2834" name="Column2813" dataDxfId="13599" dataCellStyle="Normal"/>
    <tableColumn id="2835" name="Column2814" dataDxfId="13598" dataCellStyle="Normal"/>
    <tableColumn id="2836" name="Column2815" dataDxfId="13597" dataCellStyle="Normal"/>
    <tableColumn id="2837" name="Column2816" dataDxfId="13596" dataCellStyle="Normal"/>
    <tableColumn id="2838" name="Column2817" dataDxfId="13595" dataCellStyle="Normal"/>
    <tableColumn id="2839" name="Column2818" dataDxfId="13594" dataCellStyle="Normal"/>
    <tableColumn id="2840" name="Column2819" dataDxfId="13593" dataCellStyle="Normal"/>
    <tableColumn id="2841" name="Column2820" dataDxfId="13592" dataCellStyle="Normal"/>
    <tableColumn id="2842" name="Column2821" dataDxfId="13591" dataCellStyle="Normal"/>
    <tableColumn id="2843" name="Column2822" dataDxfId="13590" dataCellStyle="Normal"/>
    <tableColumn id="2844" name="Column2823" dataDxfId="13589" dataCellStyle="Normal"/>
    <tableColumn id="2845" name="Column2824" dataDxfId="13588" dataCellStyle="Normal"/>
    <tableColumn id="2846" name="Column2825" dataDxfId="13587" dataCellStyle="Normal"/>
    <tableColumn id="2847" name="Column2826" dataDxfId="13586" dataCellStyle="Normal"/>
    <tableColumn id="2848" name="Column2827" dataDxfId="13585" dataCellStyle="Normal"/>
    <tableColumn id="2849" name="Column2828" dataDxfId="13584" dataCellStyle="Normal"/>
    <tableColumn id="2850" name="Column2829" dataDxfId="13583" dataCellStyle="Normal"/>
    <tableColumn id="2851" name="Column2830" dataDxfId="13582" dataCellStyle="Normal"/>
    <tableColumn id="2852" name="Column2831" dataDxfId="13581" dataCellStyle="Normal"/>
    <tableColumn id="2853" name="Column2832" dataDxfId="13580" dataCellStyle="Normal"/>
    <tableColumn id="2854" name="Column2833" dataDxfId="13579" dataCellStyle="Normal"/>
    <tableColumn id="2855" name="Column2834" dataDxfId="13578" dataCellStyle="Normal"/>
    <tableColumn id="2856" name="Column2835" dataDxfId="13577" dataCellStyle="Normal"/>
    <tableColumn id="2857" name="Column2836" dataDxfId="13576" dataCellStyle="Normal"/>
    <tableColumn id="2858" name="Column2837" dataDxfId="13575" dataCellStyle="Normal"/>
    <tableColumn id="2859" name="Column2838" dataDxfId="13574" dataCellStyle="Normal"/>
    <tableColumn id="2860" name="Column2839" dataDxfId="13573" dataCellStyle="Normal"/>
    <tableColumn id="2861" name="Column2840" dataDxfId="13572" dataCellStyle="Normal"/>
    <tableColumn id="2862" name="Column2841" dataDxfId="13571" dataCellStyle="Normal"/>
    <tableColumn id="2863" name="Column2842" dataDxfId="13570" dataCellStyle="Normal"/>
    <tableColumn id="2864" name="Column2843" dataDxfId="13569" dataCellStyle="Normal"/>
    <tableColumn id="2865" name="Column2844" dataDxfId="13568" dataCellStyle="Normal"/>
    <tableColumn id="2866" name="Column2845" dataDxfId="13567" dataCellStyle="Normal"/>
    <tableColumn id="2867" name="Column2846" dataDxfId="13566" dataCellStyle="Normal"/>
    <tableColumn id="2868" name="Column2847" dataDxfId="13565" dataCellStyle="Normal"/>
    <tableColumn id="2869" name="Column2848" dataDxfId="13564" dataCellStyle="Normal"/>
    <tableColumn id="2870" name="Column2849" dataDxfId="13563" dataCellStyle="Normal"/>
    <tableColumn id="2871" name="Column2850" dataDxfId="13562" dataCellStyle="Normal"/>
    <tableColumn id="2872" name="Column2851" dataDxfId="13561" dataCellStyle="Normal"/>
    <tableColumn id="2873" name="Column2852" dataDxfId="13560" dataCellStyle="Normal"/>
    <tableColumn id="2874" name="Column2853" dataDxfId="13559" dataCellStyle="Normal"/>
    <tableColumn id="2875" name="Column2854" dataDxfId="13558" dataCellStyle="Normal"/>
    <tableColumn id="2876" name="Column2855" dataDxfId="13557" dataCellStyle="Normal"/>
    <tableColumn id="2877" name="Column2856" dataDxfId="13556" dataCellStyle="Normal"/>
    <tableColumn id="2878" name="Column2857" dataDxfId="13555" dataCellStyle="Normal"/>
    <tableColumn id="2879" name="Column2858" dataDxfId="13554" dataCellStyle="Normal"/>
    <tableColumn id="2880" name="Column2859" dataDxfId="13553" dataCellStyle="Normal"/>
    <tableColumn id="2881" name="Column2860" dataDxfId="13552" dataCellStyle="Normal"/>
    <tableColumn id="2882" name="Column2861" dataDxfId="13551" dataCellStyle="Normal"/>
    <tableColumn id="2883" name="Column2862" dataDxfId="13550" dataCellStyle="Normal"/>
    <tableColumn id="2884" name="Column2863" dataDxfId="13549" dataCellStyle="Normal"/>
    <tableColumn id="2885" name="Column2864" dataDxfId="13548" dataCellStyle="Normal"/>
    <tableColumn id="2886" name="Column2865" dataDxfId="13547" dataCellStyle="Normal"/>
    <tableColumn id="2887" name="Column2866" dataDxfId="13546" dataCellStyle="Normal"/>
    <tableColumn id="2888" name="Column2867" dataDxfId="13545" dataCellStyle="Normal"/>
    <tableColumn id="2889" name="Column2868" dataDxfId="13544" dataCellStyle="Normal"/>
    <tableColumn id="2890" name="Column2869" dataDxfId="13543" dataCellStyle="Normal"/>
    <tableColumn id="2891" name="Column2870" dataDxfId="13542" dataCellStyle="Normal"/>
    <tableColumn id="2892" name="Column2871" dataDxfId="13541" dataCellStyle="Normal"/>
    <tableColumn id="2893" name="Column2872" dataDxfId="13540" dataCellStyle="Normal"/>
    <tableColumn id="2894" name="Column2873" dataDxfId="13539" dataCellStyle="Normal"/>
    <tableColumn id="2895" name="Column2874" dataDxfId="13538" dataCellStyle="Normal"/>
    <tableColumn id="2896" name="Column2875" dataDxfId="13537" dataCellStyle="Normal"/>
    <tableColumn id="2897" name="Column2876" dataDxfId="13536" dataCellStyle="Normal"/>
    <tableColumn id="2898" name="Column2877" dataDxfId="13535" dataCellStyle="Normal"/>
    <tableColumn id="2899" name="Column2878" dataDxfId="13534" dataCellStyle="Normal"/>
    <tableColumn id="2900" name="Column2879" dataDxfId="13533" dataCellStyle="Normal"/>
    <tableColumn id="2901" name="Column2880" dataDxfId="13532" dataCellStyle="Normal"/>
    <tableColumn id="2902" name="Column2881" dataDxfId="13531" dataCellStyle="Normal"/>
    <tableColumn id="2903" name="Column2882" dataDxfId="13530" dataCellStyle="Normal"/>
    <tableColumn id="2904" name="Column2883" dataDxfId="13529" dataCellStyle="Normal"/>
    <tableColumn id="2905" name="Column2884" dataDxfId="13528" dataCellStyle="Normal"/>
    <tableColumn id="2906" name="Column2885" dataDxfId="13527" dataCellStyle="Normal"/>
    <tableColumn id="2907" name="Column2886" dataDxfId="13526" dataCellStyle="Normal"/>
    <tableColumn id="2908" name="Column2887" dataDxfId="13525" dataCellStyle="Normal"/>
    <tableColumn id="2909" name="Column2888" dataDxfId="13524" dataCellStyle="Normal"/>
    <tableColumn id="2910" name="Column2889" dataDxfId="13523" dataCellStyle="Normal"/>
    <tableColumn id="2911" name="Column2890" dataDxfId="13522" dataCellStyle="Normal"/>
    <tableColumn id="2912" name="Column2891" dataDxfId="13521" dataCellStyle="Normal"/>
    <tableColumn id="2913" name="Column2892" dataDxfId="13520" dataCellStyle="Normal"/>
    <tableColumn id="2914" name="Column2893" dataDxfId="13519" dataCellStyle="Normal"/>
    <tableColumn id="2915" name="Column2894" dataDxfId="13518" dataCellStyle="Normal"/>
    <tableColumn id="2916" name="Column2895" dataDxfId="13517" dataCellStyle="Normal"/>
    <tableColumn id="2917" name="Column2896" dataDxfId="13516" dataCellStyle="Normal"/>
    <tableColumn id="2918" name="Column2897" dataDxfId="13515" dataCellStyle="Normal"/>
    <tableColumn id="2919" name="Column2898" dataDxfId="13514" dataCellStyle="Normal"/>
    <tableColumn id="2920" name="Column2899" dataDxfId="13513" dataCellStyle="Normal"/>
    <tableColumn id="2921" name="Column2900" dataDxfId="13512" dataCellStyle="Normal"/>
    <tableColumn id="2922" name="Column2901" dataDxfId="13511" dataCellStyle="Normal"/>
    <tableColumn id="2923" name="Column2902" dataDxfId="13510" dataCellStyle="Normal"/>
    <tableColumn id="2924" name="Column2903" dataDxfId="13509" dataCellStyle="Normal"/>
    <tableColumn id="2925" name="Column2904" dataDxfId="13508" dataCellStyle="Normal"/>
    <tableColumn id="2926" name="Column2905" dataDxfId="13507" dataCellStyle="Normal"/>
    <tableColumn id="2927" name="Column2906" dataDxfId="13506" dataCellStyle="Normal"/>
    <tableColumn id="2928" name="Column2907" dataDxfId="13505" dataCellStyle="Normal"/>
    <tableColumn id="2929" name="Column2908" dataDxfId="13504" dataCellStyle="Normal"/>
    <tableColumn id="2930" name="Column2909" dataDxfId="13503" dataCellStyle="Normal"/>
    <tableColumn id="2931" name="Column2910" dataDxfId="13502" dataCellStyle="Normal"/>
    <tableColumn id="2932" name="Column2911" dataDxfId="13501" dataCellStyle="Normal"/>
    <tableColumn id="2933" name="Column2912" dataDxfId="13500" dataCellStyle="Normal"/>
    <tableColumn id="2934" name="Column2913" dataDxfId="13499" dataCellStyle="Normal"/>
    <tableColumn id="2935" name="Column2914" dataDxfId="13498" dataCellStyle="Normal"/>
    <tableColumn id="2936" name="Column2915" dataDxfId="13497" dataCellStyle="Normal"/>
    <tableColumn id="2937" name="Column2916" dataDxfId="13496" dataCellStyle="Normal"/>
    <tableColumn id="2938" name="Column2917" dataDxfId="13495" dataCellStyle="Normal"/>
    <tableColumn id="2939" name="Column2918" dataDxfId="13494" dataCellStyle="Normal"/>
    <tableColumn id="2940" name="Column2919" dataDxfId="13493" dataCellStyle="Normal"/>
    <tableColumn id="2941" name="Column2920" dataDxfId="13492" dataCellStyle="Normal"/>
    <tableColumn id="2942" name="Column2921" dataDxfId="13491" dataCellStyle="Normal"/>
    <tableColumn id="2943" name="Column2922" dataDxfId="13490" dataCellStyle="Normal"/>
    <tableColumn id="2944" name="Column2923" dataDxfId="13489" dataCellStyle="Normal"/>
    <tableColumn id="2945" name="Column2924" dataDxfId="13488" dataCellStyle="Normal"/>
    <tableColumn id="2946" name="Column2925" dataDxfId="13487" dataCellStyle="Normal"/>
    <tableColumn id="2947" name="Column2926" dataDxfId="13486" dataCellStyle="Normal"/>
    <tableColumn id="2948" name="Column2927" dataDxfId="13485" dataCellStyle="Normal"/>
    <tableColumn id="2949" name="Column2928" dataDxfId="13484" dataCellStyle="Normal"/>
    <tableColumn id="2950" name="Column2929" dataDxfId="13483" dataCellStyle="Normal"/>
    <tableColumn id="2951" name="Column2930" dataDxfId="13482" dataCellStyle="Normal"/>
    <tableColumn id="2952" name="Column2931" dataDxfId="13481" dataCellStyle="Normal"/>
    <tableColumn id="2953" name="Column2932" dataDxfId="13480" dataCellStyle="Normal"/>
    <tableColumn id="2954" name="Column2933" dataDxfId="13479" dataCellStyle="Normal"/>
    <tableColumn id="2955" name="Column2934" dataDxfId="13478" dataCellStyle="Normal"/>
    <tableColumn id="2956" name="Column2935" dataDxfId="13477" dataCellStyle="Normal"/>
    <tableColumn id="2957" name="Column2936" dataDxfId="13476" dataCellStyle="Normal"/>
    <tableColumn id="2958" name="Column2937" dataDxfId="13475" dataCellStyle="Normal"/>
    <tableColumn id="2959" name="Column2938" dataDxfId="13474" dataCellStyle="Normal"/>
    <tableColumn id="2960" name="Column2939" dataDxfId="13473" dataCellStyle="Normal"/>
    <tableColumn id="2961" name="Column2940" dataDxfId="13472" dataCellStyle="Normal"/>
    <tableColumn id="2962" name="Column2941" dataDxfId="13471" dataCellStyle="Normal"/>
    <tableColumn id="2963" name="Column2942" dataDxfId="13470" dataCellStyle="Normal"/>
    <tableColumn id="2964" name="Column2943" dataDxfId="13469" dataCellStyle="Normal"/>
    <tableColumn id="2965" name="Column2944" dataDxfId="13468" dataCellStyle="Normal"/>
    <tableColumn id="2966" name="Column2945" dataDxfId="13467" dataCellStyle="Normal"/>
    <tableColumn id="2967" name="Column2946" dataDxfId="13466" dataCellStyle="Normal"/>
    <tableColumn id="2968" name="Column2947" dataDxfId="13465" dataCellStyle="Normal"/>
    <tableColumn id="2969" name="Column2948" dataDxfId="13464" dataCellStyle="Normal"/>
    <tableColumn id="2970" name="Column2949" dataDxfId="13463" dataCellStyle="Normal"/>
    <tableColumn id="2971" name="Column2950" dataDxfId="13462" dataCellStyle="Normal"/>
    <tableColumn id="2972" name="Column2951" dataDxfId="13461" dataCellStyle="Normal"/>
    <tableColumn id="2973" name="Column2952" dataDxfId="13460" dataCellStyle="Normal"/>
    <tableColumn id="2974" name="Column2953" dataDxfId="13459" dataCellStyle="Normal"/>
    <tableColumn id="2975" name="Column2954" dataDxfId="13458" dataCellStyle="Normal"/>
    <tableColumn id="2976" name="Column2955" dataDxfId="13457" dataCellStyle="Normal"/>
    <tableColumn id="2977" name="Column2956" dataDxfId="13456" dataCellStyle="Normal"/>
    <tableColumn id="2978" name="Column2957" dataDxfId="13455" dataCellStyle="Normal"/>
    <tableColumn id="2979" name="Column2958" dataDxfId="13454" dataCellStyle="Normal"/>
    <tableColumn id="2980" name="Column2959" dataDxfId="13453" dataCellStyle="Normal"/>
    <tableColumn id="2981" name="Column2960" dataDxfId="13452" dataCellStyle="Normal"/>
    <tableColumn id="2982" name="Column2961" dataDxfId="13451" dataCellStyle="Normal"/>
    <tableColumn id="2983" name="Column2962" dataDxfId="13450" dataCellStyle="Normal"/>
    <tableColumn id="2984" name="Column2963" dataDxfId="13449" dataCellStyle="Normal"/>
    <tableColumn id="2985" name="Column2964" dataDxfId="13448" dataCellStyle="Normal"/>
    <tableColumn id="2986" name="Column2965" dataDxfId="13447" dataCellStyle="Normal"/>
    <tableColumn id="2987" name="Column2966" dataDxfId="13446" dataCellStyle="Normal"/>
    <tableColumn id="2988" name="Column2967" dataDxfId="13445" dataCellStyle="Normal"/>
    <tableColumn id="2989" name="Column2968" dataDxfId="13444" dataCellStyle="Normal"/>
    <tableColumn id="2990" name="Column2969" dataDxfId="13443" dataCellStyle="Normal"/>
    <tableColumn id="2991" name="Column2970" dataDxfId="13442" dataCellStyle="Normal"/>
    <tableColumn id="2992" name="Column2971" dataDxfId="13441" dataCellStyle="Normal"/>
    <tableColumn id="2993" name="Column2972" dataDxfId="13440" dataCellStyle="Normal"/>
    <tableColumn id="2994" name="Column2973" dataDxfId="13439" dataCellStyle="Normal"/>
    <tableColumn id="2995" name="Column2974" dataDxfId="13438" dataCellStyle="Normal"/>
    <tableColumn id="2996" name="Column2975" dataDxfId="13437" dataCellStyle="Normal"/>
    <tableColumn id="2997" name="Column2976" dataDxfId="13436" dataCellStyle="Normal"/>
    <tableColumn id="2998" name="Column2977" dataDxfId="13435" dataCellStyle="Normal"/>
    <tableColumn id="2999" name="Column2978" dataDxfId="13434" dataCellStyle="Normal"/>
    <tableColumn id="3000" name="Column2979" dataDxfId="13433" dataCellStyle="Normal"/>
    <tableColumn id="3001" name="Column2980" dataDxfId="13432" dataCellStyle="Normal"/>
    <tableColumn id="3002" name="Column2981" dataDxfId="13431" dataCellStyle="Normal"/>
    <tableColumn id="3003" name="Column2982" dataDxfId="13430" dataCellStyle="Normal"/>
    <tableColumn id="3004" name="Column2983" dataDxfId="13429" dataCellStyle="Normal"/>
    <tableColumn id="3005" name="Column2984" dataDxfId="13428" dataCellStyle="Normal"/>
    <tableColumn id="3006" name="Column2985" dataDxfId="13427" dataCellStyle="Normal"/>
    <tableColumn id="3007" name="Column2986" dataDxfId="13426" dataCellStyle="Normal"/>
    <tableColumn id="3008" name="Column2987" dataDxfId="13425" dataCellStyle="Normal"/>
    <tableColumn id="3009" name="Column2988" dataDxfId="13424" dataCellStyle="Normal"/>
    <tableColumn id="3010" name="Column2989" dataDxfId="13423" dataCellStyle="Normal"/>
    <tableColumn id="3011" name="Column2990" dataDxfId="13422" dataCellStyle="Normal"/>
    <tableColumn id="3012" name="Column2991" dataDxfId="13421" dataCellStyle="Normal"/>
    <tableColumn id="3013" name="Column2992" dataDxfId="13420" dataCellStyle="Normal"/>
    <tableColumn id="3014" name="Column2993" dataDxfId="13419" dataCellStyle="Normal"/>
    <tableColumn id="3015" name="Column2994" dataDxfId="13418" dataCellStyle="Normal"/>
    <tableColumn id="3016" name="Column2995" dataDxfId="13417" dataCellStyle="Normal"/>
    <tableColumn id="3017" name="Column2996" dataDxfId="13416" dataCellStyle="Normal"/>
    <tableColumn id="3018" name="Column2997" dataDxfId="13415" dataCellStyle="Normal"/>
    <tableColumn id="3019" name="Column2998" dataDxfId="13414" dataCellStyle="Normal"/>
    <tableColumn id="3020" name="Column2999" dataDxfId="13413" dataCellStyle="Normal"/>
    <tableColumn id="3021" name="Column3000" dataDxfId="13412" dataCellStyle="Normal"/>
    <tableColumn id="3022" name="Column3001" dataDxfId="13411" dataCellStyle="Normal"/>
    <tableColumn id="3023" name="Column3002" dataDxfId="13410" dataCellStyle="Normal"/>
    <tableColumn id="3024" name="Column3003" dataDxfId="13409" dataCellStyle="Normal"/>
    <tableColumn id="3025" name="Column3004" dataDxfId="13408" dataCellStyle="Normal"/>
    <tableColumn id="3026" name="Column3005" dataDxfId="13407" dataCellStyle="Normal"/>
    <tableColumn id="3027" name="Column3006" dataDxfId="13406" dataCellStyle="Normal"/>
    <tableColumn id="3028" name="Column3007" dataDxfId="13405" dataCellStyle="Normal"/>
    <tableColumn id="3029" name="Column3008" dataDxfId="13404" dataCellStyle="Normal"/>
    <tableColumn id="3030" name="Column3009" dataDxfId="13403" dataCellStyle="Normal"/>
    <tableColumn id="3031" name="Column3010" dataDxfId="13402" dataCellStyle="Normal"/>
    <tableColumn id="3032" name="Column3011" dataDxfId="13401" dataCellStyle="Normal"/>
    <tableColumn id="3033" name="Column3012" dataDxfId="13400" dataCellStyle="Normal"/>
    <tableColumn id="3034" name="Column3013" dataDxfId="13399" dataCellStyle="Normal"/>
    <tableColumn id="3035" name="Column3014" dataDxfId="13398" dataCellStyle="Normal"/>
    <tableColumn id="3036" name="Column3015" dataDxfId="13397" dataCellStyle="Normal"/>
    <tableColumn id="3037" name="Column3016" dataDxfId="13396" dataCellStyle="Normal"/>
    <tableColumn id="3038" name="Column3017" dataDxfId="13395" dataCellStyle="Normal"/>
    <tableColumn id="3039" name="Column3018" dataDxfId="13394" dataCellStyle="Normal"/>
    <tableColumn id="3040" name="Column3019" dataDxfId="13393" dataCellStyle="Normal"/>
    <tableColumn id="3041" name="Column3020" dataDxfId="13392" dataCellStyle="Normal"/>
    <tableColumn id="3042" name="Column3021" dataDxfId="13391" dataCellStyle="Normal"/>
    <tableColumn id="3043" name="Column3022" dataDxfId="13390" dataCellStyle="Normal"/>
    <tableColumn id="3044" name="Column3023" dataDxfId="13389" dataCellStyle="Normal"/>
    <tableColumn id="3045" name="Column3024" dataDxfId="13388" dataCellStyle="Normal"/>
    <tableColumn id="3046" name="Column3025" dataDxfId="13387" dataCellStyle="Normal"/>
    <tableColumn id="3047" name="Column3026" dataDxfId="13386" dataCellStyle="Normal"/>
    <tableColumn id="3048" name="Column3027" dataDxfId="13385" dataCellStyle="Normal"/>
    <tableColumn id="3049" name="Column3028" dataDxfId="13384" dataCellStyle="Normal"/>
    <tableColumn id="3050" name="Column3029" dataDxfId="13383" dataCellStyle="Normal"/>
    <tableColumn id="3051" name="Column3030" dataDxfId="13382" dataCellStyle="Normal"/>
    <tableColumn id="3052" name="Column3031" dataDxfId="13381" dataCellStyle="Normal"/>
    <tableColumn id="3053" name="Column3032" dataDxfId="13380" dataCellStyle="Normal"/>
    <tableColumn id="3054" name="Column3033" dataDxfId="13379" dataCellStyle="Normal"/>
    <tableColumn id="3055" name="Column3034" dataDxfId="13378" dataCellStyle="Normal"/>
    <tableColumn id="3056" name="Column3035" dataDxfId="13377" dataCellStyle="Normal"/>
    <tableColumn id="3057" name="Column3036" dataDxfId="13376" dataCellStyle="Normal"/>
    <tableColumn id="3058" name="Column3037" dataDxfId="13375" dataCellStyle="Normal"/>
    <tableColumn id="3059" name="Column3038" dataDxfId="13374" dataCellStyle="Normal"/>
    <tableColumn id="3060" name="Column3039" dataDxfId="13373" dataCellStyle="Normal"/>
    <tableColumn id="3061" name="Column3040" dataDxfId="13372" dataCellStyle="Normal"/>
    <tableColumn id="3062" name="Column3041" dataDxfId="13371" dataCellStyle="Normal"/>
    <tableColumn id="3063" name="Column3042" dataDxfId="13370" dataCellStyle="Normal"/>
    <tableColumn id="3064" name="Column3043" dataDxfId="13369" dataCellStyle="Normal"/>
    <tableColumn id="3065" name="Column3044" dataDxfId="13368" dataCellStyle="Normal"/>
    <tableColumn id="3066" name="Column3045" dataDxfId="13367" dataCellStyle="Normal"/>
    <tableColumn id="3067" name="Column3046" dataDxfId="13366" dataCellStyle="Normal"/>
    <tableColumn id="3068" name="Column3047" dataDxfId="13365" dataCellStyle="Normal"/>
    <tableColumn id="3069" name="Column3048" dataDxfId="13364" dataCellStyle="Normal"/>
    <tableColumn id="3070" name="Column3049" dataDxfId="13363" dataCellStyle="Normal"/>
    <tableColumn id="3071" name="Column3050" dataDxfId="13362" dataCellStyle="Normal"/>
    <tableColumn id="3072" name="Column3051" dataDxfId="13361" dataCellStyle="Normal"/>
    <tableColumn id="3073" name="Column3052" dataDxfId="13360" dataCellStyle="Normal"/>
    <tableColumn id="3074" name="Column3053" dataDxfId="13359" dataCellStyle="Normal"/>
    <tableColumn id="3075" name="Column3054" dataDxfId="13358" dataCellStyle="Normal"/>
    <tableColumn id="3076" name="Column3055" dataDxfId="13357" dataCellStyle="Normal"/>
    <tableColumn id="3077" name="Column3056" dataDxfId="13356" dataCellStyle="Normal"/>
    <tableColumn id="3078" name="Column3057" dataDxfId="13355" dataCellStyle="Normal"/>
    <tableColumn id="3079" name="Column3058" dataDxfId="13354" dataCellStyle="Normal"/>
    <tableColumn id="3080" name="Column3059" dataDxfId="13353" dataCellStyle="Normal"/>
    <tableColumn id="3081" name="Column3060" dataDxfId="13352" dataCellStyle="Normal"/>
    <tableColumn id="3082" name="Column3061" dataDxfId="13351" dataCellStyle="Normal"/>
    <tableColumn id="3083" name="Column3062" dataDxfId="13350" dataCellStyle="Normal"/>
    <tableColumn id="3084" name="Column3063" dataDxfId="13349" dataCellStyle="Normal"/>
    <tableColumn id="3085" name="Column3064" dataDxfId="13348" dataCellStyle="Normal"/>
    <tableColumn id="3086" name="Column3065" dataDxfId="13347" dataCellStyle="Normal"/>
    <tableColumn id="3087" name="Column3066" dataDxfId="13346" dataCellStyle="Normal"/>
    <tableColumn id="3088" name="Column3067" dataDxfId="13345" dataCellStyle="Normal"/>
    <tableColumn id="3089" name="Column3068" dataDxfId="13344" dataCellStyle="Normal"/>
    <tableColumn id="3090" name="Column3069" dataDxfId="13343" dataCellStyle="Normal"/>
    <tableColumn id="3091" name="Column3070" dataDxfId="13342" dataCellStyle="Normal"/>
    <tableColumn id="3092" name="Column3071" dataDxfId="13341" dataCellStyle="Normal"/>
    <tableColumn id="3093" name="Column3072" dataDxfId="13340" dataCellStyle="Normal"/>
    <tableColumn id="3094" name="Column3073" dataDxfId="13339" dataCellStyle="Normal"/>
    <tableColumn id="3095" name="Column3074" dataDxfId="13338" dataCellStyle="Normal"/>
    <tableColumn id="3096" name="Column3075" dataDxfId="13337" dataCellStyle="Normal"/>
    <tableColumn id="3097" name="Column3076" dataDxfId="13336" dataCellStyle="Normal"/>
    <tableColumn id="3098" name="Column3077" dataDxfId="13335" dataCellStyle="Normal"/>
    <tableColumn id="3099" name="Column3078" dataDxfId="13334" dataCellStyle="Normal"/>
    <tableColumn id="3100" name="Column3079" dataDxfId="13333" dataCellStyle="Normal"/>
    <tableColumn id="3101" name="Column3080" dataDxfId="13332" dataCellStyle="Normal"/>
    <tableColumn id="3102" name="Column3081" dataDxfId="13331" dataCellStyle="Normal"/>
    <tableColumn id="3103" name="Column3082" dataDxfId="13330" dataCellStyle="Normal"/>
    <tableColumn id="3104" name="Column3083" dataDxfId="13329" dataCellStyle="Normal"/>
    <tableColumn id="3105" name="Column3084" dataDxfId="13328" dataCellStyle="Normal"/>
    <tableColumn id="3106" name="Column3085" dataDxfId="13327" dataCellStyle="Normal"/>
    <tableColumn id="3107" name="Column3086" dataDxfId="13326" dataCellStyle="Normal"/>
    <tableColumn id="3108" name="Column3087" dataDxfId="13325" dataCellStyle="Normal"/>
    <tableColumn id="3109" name="Column3088" dataDxfId="13324" dataCellStyle="Normal"/>
    <tableColumn id="3110" name="Column3089" dataDxfId="13323" dataCellStyle="Normal"/>
    <tableColumn id="3111" name="Column3090" dataDxfId="13322" dataCellStyle="Normal"/>
    <tableColumn id="3112" name="Column3091" dataDxfId="13321" dataCellStyle="Normal"/>
    <tableColumn id="3113" name="Column3092" dataDxfId="13320" dataCellStyle="Normal"/>
    <tableColumn id="3114" name="Column3093" dataDxfId="13319" dataCellStyle="Normal"/>
    <tableColumn id="3115" name="Column3094" dataDxfId="13318" dataCellStyle="Normal"/>
    <tableColumn id="3116" name="Column3095" dataDxfId="13317" dataCellStyle="Normal"/>
    <tableColumn id="3117" name="Column3096" dataDxfId="13316" dataCellStyle="Normal"/>
    <tableColumn id="3118" name="Column3097" dataDxfId="13315" dataCellStyle="Normal"/>
    <tableColumn id="3119" name="Column3098" dataDxfId="13314" dataCellStyle="Normal"/>
    <tableColumn id="3120" name="Column3099" dataDxfId="13313" dataCellStyle="Normal"/>
    <tableColumn id="3121" name="Column3100" dataDxfId="13312" dataCellStyle="Normal"/>
    <tableColumn id="3122" name="Column3101" dataDxfId="13311" dataCellStyle="Normal"/>
    <tableColumn id="3123" name="Column3102" dataDxfId="13310" dataCellStyle="Normal"/>
    <tableColumn id="3124" name="Column3103" dataDxfId="13309" dataCellStyle="Normal"/>
    <tableColumn id="3125" name="Column3104" dataDxfId="13308" dataCellStyle="Normal"/>
    <tableColumn id="3126" name="Column3105" dataDxfId="13307" dataCellStyle="Normal"/>
    <tableColumn id="3127" name="Column3106" dataDxfId="13306" dataCellStyle="Normal"/>
    <tableColumn id="3128" name="Column3107" dataDxfId="13305" dataCellStyle="Normal"/>
    <tableColumn id="3129" name="Column3108" dataDxfId="13304" dataCellStyle="Normal"/>
    <tableColumn id="3130" name="Column3109" dataDxfId="13303" dataCellStyle="Normal"/>
    <tableColumn id="3131" name="Column3110" dataDxfId="13302" dataCellStyle="Normal"/>
    <tableColumn id="3132" name="Column3111" dataDxfId="13301" dataCellStyle="Normal"/>
    <tableColumn id="3133" name="Column3112" dataDxfId="13300" dataCellStyle="Normal"/>
    <tableColumn id="3134" name="Column3113" dataDxfId="13299" dataCellStyle="Normal"/>
    <tableColumn id="3135" name="Column3114" dataDxfId="13298" dataCellStyle="Normal"/>
    <tableColumn id="3136" name="Column3115" dataDxfId="13297" dataCellStyle="Normal"/>
    <tableColumn id="3137" name="Column3116" dataDxfId="13296" dataCellStyle="Normal"/>
    <tableColumn id="3138" name="Column3117" dataDxfId="13295" dataCellStyle="Normal"/>
    <tableColumn id="3139" name="Column3118" dataDxfId="13294" dataCellStyle="Normal"/>
    <tableColumn id="3140" name="Column3119" dataDxfId="13293" dataCellStyle="Normal"/>
    <tableColumn id="3141" name="Column3120" dataDxfId="13292" dataCellStyle="Normal"/>
    <tableColumn id="3142" name="Column3121" dataDxfId="13291" dataCellStyle="Normal"/>
    <tableColumn id="3143" name="Column3122" dataDxfId="13290" dataCellStyle="Normal"/>
    <tableColumn id="3144" name="Column3123" dataDxfId="13289" dataCellStyle="Normal"/>
    <tableColumn id="3145" name="Column3124" dataDxfId="13288" dataCellStyle="Normal"/>
    <tableColumn id="3146" name="Column3125" dataDxfId="13287" dataCellStyle="Normal"/>
    <tableColumn id="3147" name="Column3126" dataDxfId="13286" dataCellStyle="Normal"/>
    <tableColumn id="3148" name="Column3127" dataDxfId="13285" dataCellStyle="Normal"/>
    <tableColumn id="3149" name="Column3128" dataDxfId="13284" dataCellStyle="Normal"/>
    <tableColumn id="3150" name="Column3129" dataDxfId="13283" dataCellStyle="Normal"/>
    <tableColumn id="3151" name="Column3130" dataDxfId="13282" dataCellStyle="Normal"/>
    <tableColumn id="3152" name="Column3131" dataDxfId="13281" dataCellStyle="Normal"/>
    <tableColumn id="3153" name="Column3132" dataDxfId="13280" dataCellStyle="Normal"/>
    <tableColumn id="3154" name="Column3133" dataDxfId="13279" dataCellStyle="Normal"/>
    <tableColumn id="3155" name="Column3134" dataDxfId="13278" dataCellStyle="Normal"/>
    <tableColumn id="3156" name="Column3135" dataDxfId="13277" dataCellStyle="Normal"/>
    <tableColumn id="3157" name="Column3136" dataDxfId="13276" dataCellStyle="Normal"/>
    <tableColumn id="3158" name="Column3137" dataDxfId="13275" dataCellStyle="Normal"/>
    <tableColumn id="3159" name="Column3138" dataDxfId="13274" dataCellStyle="Normal"/>
    <tableColumn id="3160" name="Column3139" dataDxfId="13273" dataCellStyle="Normal"/>
    <tableColumn id="3161" name="Column3140" dataDxfId="13272" dataCellStyle="Normal"/>
    <tableColumn id="3162" name="Column3141" dataDxfId="13271" dataCellStyle="Normal"/>
    <tableColumn id="3163" name="Column3142" dataDxfId="13270" dataCellStyle="Normal"/>
    <tableColumn id="3164" name="Column3143" dataDxfId="13269" dataCellStyle="Normal"/>
    <tableColumn id="3165" name="Column3144" dataDxfId="13268" dataCellStyle="Normal"/>
    <tableColumn id="3166" name="Column3145" dataDxfId="13267" dataCellStyle="Normal"/>
    <tableColumn id="3167" name="Column3146" dataDxfId="13266" dataCellStyle="Normal"/>
    <tableColumn id="3168" name="Column3147" dataDxfId="13265" dataCellStyle="Normal"/>
    <tableColumn id="3169" name="Column3148" dataDxfId="13264" dataCellStyle="Normal"/>
    <tableColumn id="3170" name="Column3149" dataDxfId="13263" dataCellStyle="Normal"/>
    <tableColumn id="3171" name="Column3150" dataDxfId="13262" dataCellStyle="Normal"/>
    <tableColumn id="3172" name="Column3151" dataDxfId="13261" dataCellStyle="Normal"/>
    <tableColumn id="3173" name="Column3152" dataDxfId="13260" dataCellStyle="Normal"/>
    <tableColumn id="3174" name="Column3153" dataDxfId="13259" dataCellStyle="Normal"/>
    <tableColumn id="3175" name="Column3154" dataDxfId="13258" dataCellStyle="Normal"/>
    <tableColumn id="3176" name="Column3155" dataDxfId="13257" dataCellStyle="Normal"/>
    <tableColumn id="3177" name="Column3156" dataDxfId="13256" dataCellStyle="Normal"/>
    <tableColumn id="3178" name="Column3157" dataDxfId="13255" dataCellStyle="Normal"/>
    <tableColumn id="3179" name="Column3158" dataDxfId="13254" dataCellStyle="Normal"/>
    <tableColumn id="3180" name="Column3159" dataDxfId="13253" dataCellStyle="Normal"/>
    <tableColumn id="3181" name="Column3160" dataDxfId="13252" dataCellStyle="Normal"/>
    <tableColumn id="3182" name="Column3161" dataDxfId="13251" dataCellStyle="Normal"/>
    <tableColumn id="3183" name="Column3162" dataDxfId="13250" dataCellStyle="Normal"/>
    <tableColumn id="3184" name="Column3163" dataDxfId="13249" dataCellStyle="Normal"/>
    <tableColumn id="3185" name="Column3164" dataDxfId="13248" dataCellStyle="Normal"/>
    <tableColumn id="3186" name="Column3165" dataDxfId="13247" dataCellStyle="Normal"/>
    <tableColumn id="3187" name="Column3166" dataDxfId="13246" dataCellStyle="Normal"/>
    <tableColumn id="3188" name="Column3167" dataDxfId="13245" dataCellStyle="Normal"/>
    <tableColumn id="3189" name="Column3168" dataDxfId="13244" dataCellStyle="Normal"/>
    <tableColumn id="3190" name="Column3169" dataDxfId="13243" dataCellStyle="Normal"/>
    <tableColumn id="3191" name="Column3170" dataDxfId="13242" dataCellStyle="Normal"/>
    <tableColumn id="3192" name="Column3171" dataDxfId="13241" dataCellStyle="Normal"/>
    <tableColumn id="3193" name="Column3172" dataDxfId="13240" dataCellStyle="Normal"/>
    <tableColumn id="3194" name="Column3173" dataDxfId="13239" dataCellStyle="Normal"/>
    <tableColumn id="3195" name="Column3174" dataDxfId="13238" dataCellStyle="Normal"/>
    <tableColumn id="3196" name="Column3175" dataDxfId="13237" dataCellStyle="Normal"/>
    <tableColumn id="3197" name="Column3176" dataDxfId="13236" dataCellStyle="Normal"/>
    <tableColumn id="3198" name="Column3177" dataDxfId="13235" dataCellStyle="Normal"/>
    <tableColumn id="3199" name="Column3178" dataDxfId="13234" dataCellStyle="Normal"/>
    <tableColumn id="3200" name="Column3179" dataDxfId="13233" dataCellStyle="Normal"/>
    <tableColumn id="3201" name="Column3180" dataDxfId="13232" dataCellStyle="Normal"/>
    <tableColumn id="3202" name="Column3181" dataDxfId="13231" dataCellStyle="Normal"/>
    <tableColumn id="3203" name="Column3182" dataDxfId="13230" dataCellStyle="Normal"/>
    <tableColumn id="3204" name="Column3183" dataDxfId="13229" dataCellStyle="Normal"/>
    <tableColumn id="3205" name="Column3184" dataDxfId="13228" dataCellStyle="Normal"/>
    <tableColumn id="3206" name="Column3185" dataDxfId="13227" dataCellStyle="Normal"/>
    <tableColumn id="3207" name="Column3186" dataDxfId="13226" dataCellStyle="Normal"/>
    <tableColumn id="3208" name="Column3187" dataDxfId="13225" dataCellStyle="Normal"/>
    <tableColumn id="3209" name="Column3188" dataDxfId="13224" dataCellStyle="Normal"/>
    <tableColumn id="3210" name="Column3189" dataDxfId="13223" dataCellStyle="Normal"/>
    <tableColumn id="3211" name="Column3190" dataDxfId="13222" dataCellStyle="Normal"/>
    <tableColumn id="3212" name="Column3191" dataDxfId="13221" dataCellStyle="Normal"/>
    <tableColumn id="3213" name="Column3192" dataDxfId="13220" dataCellStyle="Normal"/>
    <tableColumn id="3214" name="Column3193" dataDxfId="13219" dataCellStyle="Normal"/>
    <tableColumn id="3215" name="Column3194" dataDxfId="13218" dataCellStyle="Normal"/>
    <tableColumn id="3216" name="Column3195" dataDxfId="13217" dataCellStyle="Normal"/>
    <tableColumn id="3217" name="Column3196" dataDxfId="13216" dataCellStyle="Normal"/>
    <tableColumn id="3218" name="Column3197" dataDxfId="13215" dataCellStyle="Normal"/>
    <tableColumn id="3219" name="Column3198" dataDxfId="13214" dataCellStyle="Normal"/>
    <tableColumn id="3220" name="Column3199" dataDxfId="13213" dataCellStyle="Normal"/>
    <tableColumn id="3221" name="Column3200" dataDxfId="13212" dataCellStyle="Normal"/>
    <tableColumn id="3222" name="Column3201" dataDxfId="13211" dataCellStyle="Normal"/>
    <tableColumn id="3223" name="Column3202" dataDxfId="13210" dataCellStyle="Normal"/>
    <tableColumn id="3224" name="Column3203" dataDxfId="13209" dataCellStyle="Normal"/>
    <tableColumn id="3225" name="Column3204" dataDxfId="13208" dataCellStyle="Normal"/>
    <tableColumn id="3226" name="Column3205" dataDxfId="13207" dataCellStyle="Normal"/>
    <tableColumn id="3227" name="Column3206" dataDxfId="13206" dataCellStyle="Normal"/>
    <tableColumn id="3228" name="Column3207" dataDxfId="13205" dataCellStyle="Normal"/>
    <tableColumn id="3229" name="Column3208" dataDxfId="13204" dataCellStyle="Normal"/>
    <tableColumn id="3230" name="Column3209" dataDxfId="13203" dataCellStyle="Normal"/>
    <tableColumn id="3231" name="Column3210" dataDxfId="13202" dataCellStyle="Normal"/>
    <tableColumn id="3232" name="Column3211" dataDxfId="13201" dataCellStyle="Normal"/>
    <tableColumn id="3233" name="Column3212" dataDxfId="13200" dataCellStyle="Normal"/>
    <tableColumn id="3234" name="Column3213" dataDxfId="13199" dataCellStyle="Normal"/>
    <tableColumn id="3235" name="Column3214" dataDxfId="13198" dataCellStyle="Normal"/>
    <tableColumn id="3236" name="Column3215" dataDxfId="13197" dataCellStyle="Normal"/>
    <tableColumn id="3237" name="Column3216" dataDxfId="13196" dataCellStyle="Normal"/>
    <tableColumn id="3238" name="Column3217" dataDxfId="13195" dataCellStyle="Normal"/>
    <tableColumn id="3239" name="Column3218" dataDxfId="13194" dataCellStyle="Normal"/>
    <tableColumn id="3240" name="Column3219" dataDxfId="13193" dataCellStyle="Normal"/>
    <tableColumn id="3241" name="Column3220" dataDxfId="13192" dataCellStyle="Normal"/>
    <tableColumn id="3242" name="Column3221" dataDxfId="13191" dataCellStyle="Normal"/>
    <tableColumn id="3243" name="Column3222" dataDxfId="13190" dataCellStyle="Normal"/>
    <tableColumn id="3244" name="Column3223" dataDxfId="13189" dataCellStyle="Normal"/>
    <tableColumn id="3245" name="Column3224" dataDxfId="13188" dataCellStyle="Normal"/>
    <tableColumn id="3246" name="Column3225" dataDxfId="13187" dataCellStyle="Normal"/>
    <tableColumn id="3247" name="Column3226" dataDxfId="13186" dataCellStyle="Normal"/>
    <tableColumn id="3248" name="Column3227" dataDxfId="13185" dataCellStyle="Normal"/>
    <tableColumn id="3249" name="Column3228" dataDxfId="13184" dataCellStyle="Normal"/>
    <tableColumn id="3250" name="Column3229" dataDxfId="13183" dataCellStyle="Normal"/>
    <tableColumn id="3251" name="Column3230" dataDxfId="13182" dataCellStyle="Normal"/>
    <tableColumn id="3252" name="Column3231" dataDxfId="13181" dataCellStyle="Normal"/>
    <tableColumn id="3253" name="Column3232" dataDxfId="13180" dataCellStyle="Normal"/>
    <tableColumn id="3254" name="Column3233" dataDxfId="13179" dataCellStyle="Normal"/>
    <tableColumn id="3255" name="Column3234" dataDxfId="13178" dataCellStyle="Normal"/>
    <tableColumn id="3256" name="Column3235" dataDxfId="13177" dataCellStyle="Normal"/>
    <tableColumn id="3257" name="Column3236" dataDxfId="13176" dataCellStyle="Normal"/>
    <tableColumn id="3258" name="Column3237" dataDxfId="13175" dataCellStyle="Normal"/>
    <tableColumn id="3259" name="Column3238" dataDxfId="13174" dataCellStyle="Normal"/>
    <tableColumn id="3260" name="Column3239" dataDxfId="13173" dataCellStyle="Normal"/>
    <tableColumn id="3261" name="Column3240" dataDxfId="13172" dataCellStyle="Normal"/>
    <tableColumn id="3262" name="Column3241" dataDxfId="13171" dataCellStyle="Normal"/>
    <tableColumn id="3263" name="Column3242" dataDxfId="13170" dataCellStyle="Normal"/>
    <tableColumn id="3264" name="Column3243" dataDxfId="13169" dataCellStyle="Normal"/>
    <tableColumn id="3265" name="Column3244" dataDxfId="13168" dataCellStyle="Normal"/>
    <tableColumn id="3266" name="Column3245" dataDxfId="13167" dataCellStyle="Normal"/>
    <tableColumn id="3267" name="Column3246" dataDxfId="13166" dataCellStyle="Normal"/>
    <tableColumn id="3268" name="Column3247" dataDxfId="13165" dataCellStyle="Normal"/>
    <tableColumn id="3269" name="Column3248" dataDxfId="13164" dataCellStyle="Normal"/>
    <tableColumn id="3270" name="Column3249" dataDxfId="13163" dataCellStyle="Normal"/>
    <tableColumn id="3271" name="Column3250" dataDxfId="13162" dataCellStyle="Normal"/>
    <tableColumn id="3272" name="Column3251" dataDxfId="13161" dataCellStyle="Normal"/>
    <tableColumn id="3273" name="Column3252" dataDxfId="13160" dataCellStyle="Normal"/>
    <tableColumn id="3274" name="Column3253" dataDxfId="13159" dataCellStyle="Normal"/>
    <tableColumn id="3275" name="Column3254" dataDxfId="13158" dataCellStyle="Normal"/>
    <tableColumn id="3276" name="Column3255" dataDxfId="13157" dataCellStyle="Normal"/>
    <tableColumn id="3277" name="Column3256" dataDxfId="13156" dataCellStyle="Normal"/>
    <tableColumn id="3278" name="Column3257" dataDxfId="13155" dataCellStyle="Normal"/>
    <tableColumn id="3279" name="Column3258" dataDxfId="13154" dataCellStyle="Normal"/>
    <tableColumn id="3280" name="Column3259" dataDxfId="13153" dataCellStyle="Normal"/>
    <tableColumn id="3281" name="Column3260" dataDxfId="13152" dataCellStyle="Normal"/>
    <tableColumn id="3282" name="Column3261" dataDxfId="13151" dataCellStyle="Normal"/>
    <tableColumn id="3283" name="Column3262" dataDxfId="13150" dataCellStyle="Normal"/>
    <tableColumn id="3284" name="Column3263" dataDxfId="13149" dataCellStyle="Normal"/>
    <tableColumn id="3285" name="Column3264" dataDxfId="13148" dataCellStyle="Normal"/>
    <tableColumn id="3286" name="Column3265" dataDxfId="13147" dataCellStyle="Normal"/>
    <tableColumn id="3287" name="Column3266" dataDxfId="13146" dataCellStyle="Normal"/>
    <tableColumn id="3288" name="Column3267" dataDxfId="13145" dataCellStyle="Normal"/>
    <tableColumn id="3289" name="Column3268" dataDxfId="13144" dataCellStyle="Normal"/>
    <tableColumn id="3290" name="Column3269" dataDxfId="13143" dataCellStyle="Normal"/>
    <tableColumn id="3291" name="Column3270" dataDxfId="13142" dataCellStyle="Normal"/>
    <tableColumn id="3292" name="Column3271" dataDxfId="13141" dataCellStyle="Normal"/>
    <tableColumn id="3293" name="Column3272" dataDxfId="13140" dataCellStyle="Normal"/>
    <tableColumn id="3294" name="Column3273" dataDxfId="13139" dataCellStyle="Normal"/>
    <tableColumn id="3295" name="Column3274" dataDxfId="13138" dataCellStyle="Normal"/>
    <tableColumn id="3296" name="Column3275" dataDxfId="13137" dataCellStyle="Normal"/>
    <tableColumn id="3297" name="Column3276" dataDxfId="13136" dataCellStyle="Normal"/>
    <tableColumn id="3298" name="Column3277" dataDxfId="13135" dataCellStyle="Normal"/>
    <tableColumn id="3299" name="Column3278" dataDxfId="13134" dataCellStyle="Normal"/>
    <tableColumn id="3300" name="Column3279" dataDxfId="13133" dataCellStyle="Normal"/>
    <tableColumn id="3301" name="Column3280" dataDxfId="13132" dataCellStyle="Normal"/>
    <tableColumn id="3302" name="Column3281" dataDxfId="13131" dataCellStyle="Normal"/>
    <tableColumn id="3303" name="Column3282" dataDxfId="13130" dataCellStyle="Normal"/>
    <tableColumn id="3304" name="Column3283" dataDxfId="13129" dataCellStyle="Normal"/>
    <tableColumn id="3305" name="Column3284" dataDxfId="13128" dataCellStyle="Normal"/>
    <tableColumn id="3306" name="Column3285" dataDxfId="13127" dataCellStyle="Normal"/>
    <tableColumn id="3307" name="Column3286" dataDxfId="13126" dataCellStyle="Normal"/>
    <tableColumn id="3308" name="Column3287" dataDxfId="13125" dataCellStyle="Normal"/>
    <tableColumn id="3309" name="Column3288" dataDxfId="13124" dataCellStyle="Normal"/>
    <tableColumn id="3310" name="Column3289" dataDxfId="13123" dataCellStyle="Normal"/>
    <tableColumn id="3311" name="Column3290" dataDxfId="13122" dataCellStyle="Normal"/>
    <tableColumn id="3312" name="Column3291" dataDxfId="13121" dataCellStyle="Normal"/>
    <tableColumn id="3313" name="Column3292" dataDxfId="13120" dataCellStyle="Normal"/>
    <tableColumn id="3314" name="Column3293" dataDxfId="13119" dataCellStyle="Normal"/>
    <tableColumn id="3315" name="Column3294" dataDxfId="13118" dataCellStyle="Normal"/>
    <tableColumn id="3316" name="Column3295" dataDxfId="13117" dataCellStyle="Normal"/>
    <tableColumn id="3317" name="Column3296" dataDxfId="13116" dataCellStyle="Normal"/>
    <tableColumn id="3318" name="Column3297" dataDxfId="13115" dataCellStyle="Normal"/>
    <tableColumn id="3319" name="Column3298" dataDxfId="13114" dataCellStyle="Normal"/>
    <tableColumn id="3320" name="Column3299" dataDxfId="13113" dataCellStyle="Normal"/>
    <tableColumn id="3321" name="Column3300" dataDxfId="13112" dataCellStyle="Normal"/>
    <tableColumn id="3322" name="Column3301" dataDxfId="13111" dataCellStyle="Normal"/>
    <tableColumn id="3323" name="Column3302" dataDxfId="13110" dataCellStyle="Normal"/>
    <tableColumn id="3324" name="Column3303" dataDxfId="13109" dataCellStyle="Normal"/>
    <tableColumn id="3325" name="Column3304" dataDxfId="13108" dataCellStyle="Normal"/>
    <tableColumn id="3326" name="Column3305" dataDxfId="13107" dataCellStyle="Normal"/>
    <tableColumn id="3327" name="Column3306" dataDxfId="13106" dataCellStyle="Normal"/>
    <tableColumn id="3328" name="Column3307" dataDxfId="13105" dataCellStyle="Normal"/>
    <tableColumn id="3329" name="Column3308" dataDxfId="13104" dataCellStyle="Normal"/>
    <tableColumn id="3330" name="Column3309" dataDxfId="13103" dataCellStyle="Normal"/>
    <tableColumn id="3331" name="Column3310" dataDxfId="13102" dataCellStyle="Normal"/>
    <tableColumn id="3332" name="Column3311" dataDxfId="13101" dataCellStyle="Normal"/>
    <tableColumn id="3333" name="Column3312" dataDxfId="13100" dataCellStyle="Normal"/>
    <tableColumn id="3334" name="Column3313" dataDxfId="13099" dataCellStyle="Normal"/>
    <tableColumn id="3335" name="Column3314" dataDxfId="13098" dataCellStyle="Normal"/>
    <tableColumn id="3336" name="Column3315" dataDxfId="13097" dataCellStyle="Normal"/>
    <tableColumn id="3337" name="Column3316" dataDxfId="13096" dataCellStyle="Normal"/>
    <tableColumn id="3338" name="Column3317" dataDxfId="13095" dataCellStyle="Normal"/>
    <tableColumn id="3339" name="Column3318" dataDxfId="13094" dataCellStyle="Normal"/>
    <tableColumn id="3340" name="Column3319" dataDxfId="13093" dataCellStyle="Normal"/>
    <tableColumn id="3341" name="Column3320" dataDxfId="13092" dataCellStyle="Normal"/>
    <tableColumn id="3342" name="Column3321" dataDxfId="13091" dataCellStyle="Normal"/>
    <tableColumn id="3343" name="Column3322" dataDxfId="13090" dataCellStyle="Normal"/>
    <tableColumn id="3344" name="Column3323" dataDxfId="13089" dataCellStyle="Normal"/>
    <tableColumn id="3345" name="Column3324" dataDxfId="13088" dataCellStyle="Normal"/>
    <tableColumn id="3346" name="Column3325" dataDxfId="13087" dataCellStyle="Normal"/>
    <tableColumn id="3347" name="Column3326" dataDxfId="13086" dataCellStyle="Normal"/>
    <tableColumn id="3348" name="Column3327" dataDxfId="13085" dataCellStyle="Normal"/>
    <tableColumn id="3349" name="Column3328" dataDxfId="13084" dataCellStyle="Normal"/>
    <tableColumn id="3350" name="Column3329" dataDxfId="13083" dataCellStyle="Normal"/>
    <tableColumn id="3351" name="Column3330" dataDxfId="13082" dataCellStyle="Normal"/>
    <tableColumn id="3352" name="Column3331" dataDxfId="13081" dataCellStyle="Normal"/>
    <tableColumn id="3353" name="Column3332" dataDxfId="13080" dataCellStyle="Normal"/>
    <tableColumn id="3354" name="Column3333" dataDxfId="13079" dataCellStyle="Normal"/>
    <tableColumn id="3355" name="Column3334" dataDxfId="13078" dataCellStyle="Normal"/>
    <tableColumn id="3356" name="Column3335" dataDxfId="13077" dataCellStyle="Normal"/>
    <tableColumn id="3357" name="Column3336" dataDxfId="13076" dataCellStyle="Normal"/>
    <tableColumn id="3358" name="Column3337" dataDxfId="13075" dataCellStyle="Normal"/>
    <tableColumn id="3359" name="Column3338" dataDxfId="13074" dataCellStyle="Normal"/>
    <tableColumn id="3360" name="Column3339" dataDxfId="13073" dataCellStyle="Normal"/>
    <tableColumn id="3361" name="Column3340" dataDxfId="13072" dataCellStyle="Normal"/>
    <tableColumn id="3362" name="Column3341" dataDxfId="13071" dataCellStyle="Normal"/>
    <tableColumn id="3363" name="Column3342" dataDxfId="13070" dataCellStyle="Normal"/>
    <tableColumn id="3364" name="Column3343" dataDxfId="13069" dataCellStyle="Normal"/>
    <tableColumn id="3365" name="Column3344" dataDxfId="13068" dataCellStyle="Normal"/>
    <tableColumn id="3366" name="Column3345" dataDxfId="13067" dataCellStyle="Normal"/>
    <tableColumn id="3367" name="Column3346" dataDxfId="13066" dataCellStyle="Normal"/>
    <tableColumn id="3368" name="Column3347" dataDxfId="13065" dataCellStyle="Normal"/>
    <tableColumn id="3369" name="Column3348" dataDxfId="13064" dataCellStyle="Normal"/>
    <tableColumn id="3370" name="Column3349" dataDxfId="13063" dataCellStyle="Normal"/>
    <tableColumn id="3371" name="Column3350" dataDxfId="13062" dataCellStyle="Normal"/>
    <tableColumn id="3372" name="Column3351" dataDxfId="13061" dataCellStyle="Normal"/>
    <tableColumn id="3373" name="Column3352" dataDxfId="13060" dataCellStyle="Normal"/>
    <tableColumn id="3374" name="Column3353" dataDxfId="13059" dataCellStyle="Normal"/>
    <tableColumn id="3375" name="Column3354" dataDxfId="13058" dataCellStyle="Normal"/>
    <tableColumn id="3376" name="Column3355" dataDxfId="13057" dataCellStyle="Normal"/>
    <tableColumn id="3377" name="Column3356" dataDxfId="13056" dataCellStyle="Normal"/>
    <tableColumn id="3378" name="Column3357" dataDxfId="13055" dataCellStyle="Normal"/>
    <tableColumn id="3379" name="Column3358" dataDxfId="13054" dataCellStyle="Normal"/>
    <tableColumn id="3380" name="Column3359" dataDxfId="13053" dataCellStyle="Normal"/>
    <tableColumn id="3381" name="Column3360" dataDxfId="13052" dataCellStyle="Normal"/>
    <tableColumn id="3382" name="Column3361" dataDxfId="13051" dataCellStyle="Normal"/>
    <tableColumn id="3383" name="Column3362" dataDxfId="13050" dataCellStyle="Normal"/>
    <tableColumn id="3384" name="Column3363" dataDxfId="13049" dataCellStyle="Normal"/>
    <tableColumn id="3385" name="Column3364" dataDxfId="13048" dataCellStyle="Normal"/>
    <tableColumn id="3386" name="Column3365" dataDxfId="13047" dataCellStyle="Normal"/>
    <tableColumn id="3387" name="Column3366" dataDxfId="13046" dataCellStyle="Normal"/>
    <tableColumn id="3388" name="Column3367" dataDxfId="13045" dataCellStyle="Normal"/>
    <tableColumn id="3389" name="Column3368" dataDxfId="13044" dataCellStyle="Normal"/>
    <tableColumn id="3390" name="Column3369" dataDxfId="13043" dataCellStyle="Normal"/>
    <tableColumn id="3391" name="Column3370" dataDxfId="13042" dataCellStyle="Normal"/>
    <tableColumn id="3392" name="Column3371" dataDxfId="13041" dataCellStyle="Normal"/>
    <tableColumn id="3393" name="Column3372" dataDxfId="13040" dataCellStyle="Normal"/>
    <tableColumn id="3394" name="Column3373" dataDxfId="13039" dataCellStyle="Normal"/>
    <tableColumn id="3395" name="Column3374" dataDxfId="13038" dataCellStyle="Normal"/>
    <tableColumn id="3396" name="Column3375" dataDxfId="13037" dataCellStyle="Normal"/>
    <tableColumn id="3397" name="Column3376" dataDxfId="13036" dataCellStyle="Normal"/>
    <tableColumn id="3398" name="Column3377" dataDxfId="13035" dataCellStyle="Normal"/>
    <tableColumn id="3399" name="Column3378" dataDxfId="13034" dataCellStyle="Normal"/>
    <tableColumn id="3400" name="Column3379" dataDxfId="13033" dataCellStyle="Normal"/>
    <tableColumn id="3401" name="Column3380" dataDxfId="13032" dataCellStyle="Normal"/>
    <tableColumn id="3402" name="Column3381" dataDxfId="13031" dataCellStyle="Normal"/>
    <tableColumn id="3403" name="Column3382" dataDxfId="13030" dataCellStyle="Normal"/>
    <tableColumn id="3404" name="Column3383" dataDxfId="13029" dataCellStyle="Normal"/>
    <tableColumn id="3405" name="Column3384" dataDxfId="13028" dataCellStyle="Normal"/>
    <tableColumn id="3406" name="Column3385" dataDxfId="13027" dataCellStyle="Normal"/>
    <tableColumn id="3407" name="Column3386" dataDxfId="13026" dataCellStyle="Normal"/>
    <tableColumn id="3408" name="Column3387" dataDxfId="13025" dataCellStyle="Normal"/>
    <tableColumn id="3409" name="Column3388" dataDxfId="13024" dataCellStyle="Normal"/>
    <tableColumn id="3410" name="Column3389" dataDxfId="13023" dataCellStyle="Normal"/>
    <tableColumn id="3411" name="Column3390" dataDxfId="13022" dataCellStyle="Normal"/>
    <tableColumn id="3412" name="Column3391" dataDxfId="13021" dataCellStyle="Normal"/>
    <tableColumn id="3413" name="Column3392" dataDxfId="13020" dataCellStyle="Normal"/>
    <tableColumn id="3414" name="Column3393" dataDxfId="13019" dataCellStyle="Normal"/>
    <tableColumn id="3415" name="Column3394" dataDxfId="13018" dataCellStyle="Normal"/>
    <tableColumn id="3416" name="Column3395" dataDxfId="13017" dataCellStyle="Normal"/>
    <tableColumn id="3417" name="Column3396" dataDxfId="13016" dataCellStyle="Normal"/>
    <tableColumn id="3418" name="Column3397" dataDxfId="13015" dataCellStyle="Normal"/>
    <tableColumn id="3419" name="Column3398" dataDxfId="13014" dataCellStyle="Normal"/>
    <tableColumn id="3420" name="Column3399" dataDxfId="13013" dataCellStyle="Normal"/>
    <tableColumn id="3421" name="Column3400" dataDxfId="13012" dataCellStyle="Normal"/>
    <tableColumn id="3422" name="Column3401" dataDxfId="13011" dataCellStyle="Normal"/>
    <tableColumn id="3423" name="Column3402" dataDxfId="13010" dataCellStyle="Normal"/>
    <tableColumn id="3424" name="Column3403" dataDxfId="13009" dataCellStyle="Normal"/>
    <tableColumn id="3425" name="Column3404" dataDxfId="13008" dataCellStyle="Normal"/>
    <tableColumn id="3426" name="Column3405" dataDxfId="13007" dataCellStyle="Normal"/>
    <tableColumn id="3427" name="Column3406" dataDxfId="13006" dataCellStyle="Normal"/>
    <tableColumn id="3428" name="Column3407" dataDxfId="13005" dataCellStyle="Normal"/>
    <tableColumn id="3429" name="Column3408" dataDxfId="13004" dataCellStyle="Normal"/>
    <tableColumn id="3430" name="Column3409" dataDxfId="13003" dataCellStyle="Normal"/>
    <tableColumn id="3431" name="Column3410" dataDxfId="13002" dataCellStyle="Normal"/>
    <tableColumn id="3432" name="Column3411" dataDxfId="13001" dataCellStyle="Normal"/>
    <tableColumn id="3433" name="Column3412" dataDxfId="13000" dataCellStyle="Normal"/>
    <tableColumn id="3434" name="Column3413" dataDxfId="12999" dataCellStyle="Normal"/>
    <tableColumn id="3435" name="Column3414" dataDxfId="12998" dataCellStyle="Normal"/>
    <tableColumn id="3436" name="Column3415" dataDxfId="12997" dataCellStyle="Normal"/>
    <tableColumn id="3437" name="Column3416" dataDxfId="12996" dataCellStyle="Normal"/>
    <tableColumn id="3438" name="Column3417" dataDxfId="12995" dataCellStyle="Normal"/>
    <tableColumn id="3439" name="Column3418" dataDxfId="12994" dataCellStyle="Normal"/>
    <tableColumn id="3440" name="Column3419" dataDxfId="12993" dataCellStyle="Normal"/>
    <tableColumn id="3441" name="Column3420" dataDxfId="12992" dataCellStyle="Normal"/>
    <tableColumn id="3442" name="Column3421" dataDxfId="12991" dataCellStyle="Normal"/>
    <tableColumn id="3443" name="Column3422" dataDxfId="12990" dataCellStyle="Normal"/>
    <tableColumn id="3444" name="Column3423" dataDxfId="12989" dataCellStyle="Normal"/>
    <tableColumn id="3445" name="Column3424" dataDxfId="12988" dataCellStyle="Normal"/>
    <tableColumn id="3446" name="Column3425" dataDxfId="12987" dataCellStyle="Normal"/>
    <tableColumn id="3447" name="Column3426" dataDxfId="12986" dataCellStyle="Normal"/>
    <tableColumn id="3448" name="Column3427" dataDxfId="12985" dataCellStyle="Normal"/>
    <tableColumn id="3449" name="Column3428" dataDxfId="12984" dataCellStyle="Normal"/>
    <tableColumn id="3450" name="Column3429" dataDxfId="12983" dataCellStyle="Normal"/>
    <tableColumn id="3451" name="Column3430" dataDxfId="12982" dataCellStyle="Normal"/>
    <tableColumn id="3452" name="Column3431" dataDxfId="12981" dataCellStyle="Normal"/>
    <tableColumn id="3453" name="Column3432" dataDxfId="12980" dataCellStyle="Normal"/>
    <tableColumn id="3454" name="Column3433" dataDxfId="12979" dataCellStyle="Normal"/>
    <tableColumn id="3455" name="Column3434" dataDxfId="12978" dataCellStyle="Normal"/>
    <tableColumn id="3456" name="Column3435" dataDxfId="12977" dataCellStyle="Normal"/>
    <tableColumn id="3457" name="Column3436" dataDxfId="12976" dataCellStyle="Normal"/>
    <tableColumn id="3458" name="Column3437" dataDxfId="12975" dataCellStyle="Normal"/>
    <tableColumn id="3459" name="Column3438" dataDxfId="12974" dataCellStyle="Normal"/>
    <tableColumn id="3460" name="Column3439" dataDxfId="12973" dataCellStyle="Normal"/>
    <tableColumn id="3461" name="Column3440" dataDxfId="12972" dataCellStyle="Normal"/>
    <tableColumn id="3462" name="Column3441" dataDxfId="12971" dataCellStyle="Normal"/>
    <tableColumn id="3463" name="Column3442" dataDxfId="12970" dataCellStyle="Normal"/>
    <tableColumn id="3464" name="Column3443" dataDxfId="12969" dataCellStyle="Normal"/>
    <tableColumn id="3465" name="Column3444" dataDxfId="12968" dataCellStyle="Normal"/>
    <tableColumn id="3466" name="Column3445" dataDxfId="12967" dataCellStyle="Normal"/>
    <tableColumn id="3467" name="Column3446" dataDxfId="12966" dataCellStyle="Normal"/>
    <tableColumn id="3468" name="Column3447" dataDxfId="12965" dataCellStyle="Normal"/>
    <tableColumn id="3469" name="Column3448" dataDxfId="12964" dataCellStyle="Normal"/>
    <tableColumn id="3470" name="Column3449" dataDxfId="12963" dataCellStyle="Normal"/>
    <tableColumn id="3471" name="Column3450" dataDxfId="12962" dataCellStyle="Normal"/>
    <tableColumn id="3472" name="Column3451" dataDxfId="12961" dataCellStyle="Normal"/>
    <tableColumn id="3473" name="Column3452" dataDxfId="12960" dataCellStyle="Normal"/>
    <tableColumn id="3474" name="Column3453" dataDxfId="12959" dataCellStyle="Normal"/>
    <tableColumn id="3475" name="Column3454" dataDxfId="12958" dataCellStyle="Normal"/>
    <tableColumn id="3476" name="Column3455" dataDxfId="12957" dataCellStyle="Normal"/>
    <tableColumn id="3477" name="Column3456" dataDxfId="12956" dataCellStyle="Normal"/>
    <tableColumn id="3478" name="Column3457" dataDxfId="12955" dataCellStyle="Normal"/>
    <tableColumn id="3479" name="Column3458" dataDxfId="12954" dataCellStyle="Normal"/>
    <tableColumn id="3480" name="Column3459" dataDxfId="12953" dataCellStyle="Normal"/>
    <tableColumn id="3481" name="Column3460" dataDxfId="12952" dataCellStyle="Normal"/>
    <tableColumn id="3482" name="Column3461" dataDxfId="12951" dataCellStyle="Normal"/>
    <tableColumn id="3483" name="Column3462" dataDxfId="12950" dataCellStyle="Normal"/>
    <tableColumn id="3484" name="Column3463" dataDxfId="12949" dataCellStyle="Normal"/>
    <tableColumn id="3485" name="Column3464" dataDxfId="12948" dataCellStyle="Normal"/>
    <tableColumn id="3486" name="Column3465" dataDxfId="12947" dataCellStyle="Normal"/>
    <tableColumn id="3487" name="Column3466" dataDxfId="12946" dataCellStyle="Normal"/>
    <tableColumn id="3488" name="Column3467" dataDxfId="12945" dataCellStyle="Normal"/>
    <tableColumn id="3489" name="Column3468" dataDxfId="12944" dataCellStyle="Normal"/>
    <tableColumn id="3490" name="Column3469" dataDxfId="12943" dataCellStyle="Normal"/>
    <tableColumn id="3491" name="Column3470" dataDxfId="12942" dataCellStyle="Normal"/>
    <tableColumn id="3492" name="Column3471" dataDxfId="12941" dataCellStyle="Normal"/>
    <tableColumn id="3493" name="Column3472" dataDxfId="12940" dataCellStyle="Normal"/>
    <tableColumn id="3494" name="Column3473" dataDxfId="12939" dataCellStyle="Normal"/>
    <tableColumn id="3495" name="Column3474" dataDxfId="12938" dataCellStyle="Normal"/>
    <tableColumn id="3496" name="Column3475" dataDxfId="12937" dataCellStyle="Normal"/>
    <tableColumn id="3497" name="Column3476" dataDxfId="12936" dataCellStyle="Normal"/>
    <tableColumn id="3498" name="Column3477" dataDxfId="12935" dataCellStyle="Normal"/>
    <tableColumn id="3499" name="Column3478" dataDxfId="12934" dataCellStyle="Normal"/>
    <tableColumn id="3500" name="Column3479" dataDxfId="12933" dataCellStyle="Normal"/>
    <tableColumn id="3501" name="Column3480" dataDxfId="12932" dataCellStyle="Normal"/>
    <tableColumn id="3502" name="Column3481" dataDxfId="12931" dataCellStyle="Normal"/>
    <tableColumn id="3503" name="Column3482" dataDxfId="12930" dataCellStyle="Normal"/>
    <tableColumn id="3504" name="Column3483" dataDxfId="12929" dataCellStyle="Normal"/>
    <tableColumn id="3505" name="Column3484" dataDxfId="12928" dataCellStyle="Normal"/>
    <tableColumn id="3506" name="Column3485" dataDxfId="12927" dataCellStyle="Normal"/>
    <tableColumn id="3507" name="Column3486" dataDxfId="12926" dataCellStyle="Normal"/>
    <tableColumn id="3508" name="Column3487" dataDxfId="12925" dataCellStyle="Normal"/>
    <tableColumn id="3509" name="Column3488" dataDxfId="12924" dataCellStyle="Normal"/>
    <tableColumn id="3510" name="Column3489" dataDxfId="12923" dataCellStyle="Normal"/>
    <tableColumn id="3511" name="Column3490" dataDxfId="12922" dataCellStyle="Normal"/>
    <tableColumn id="3512" name="Column3491" dataDxfId="12921" dataCellStyle="Normal"/>
    <tableColumn id="3513" name="Column3492" dataDxfId="12920" dataCellStyle="Normal"/>
    <tableColumn id="3514" name="Column3493" dataDxfId="12919" dataCellStyle="Normal"/>
    <tableColumn id="3515" name="Column3494" dataDxfId="12918" dataCellStyle="Normal"/>
    <tableColumn id="3516" name="Column3495" dataDxfId="12917" dataCellStyle="Normal"/>
    <tableColumn id="3517" name="Column3496" dataDxfId="12916" dataCellStyle="Normal"/>
    <tableColumn id="3518" name="Column3497" dataDxfId="12915" dataCellStyle="Normal"/>
    <tableColumn id="3519" name="Column3498" dataDxfId="12914" dataCellStyle="Normal"/>
    <tableColumn id="3520" name="Column3499" dataDxfId="12913" dataCellStyle="Normal"/>
    <tableColumn id="3521" name="Column3500" dataDxfId="12912" dataCellStyle="Normal"/>
    <tableColumn id="3522" name="Column3501" dataDxfId="12911" dataCellStyle="Normal"/>
    <tableColumn id="3523" name="Column3502" dataDxfId="12910" dataCellStyle="Normal"/>
    <tableColumn id="3524" name="Column3503" dataDxfId="12909" dataCellStyle="Normal"/>
    <tableColumn id="3525" name="Column3504" dataDxfId="12908" dataCellStyle="Normal"/>
    <tableColumn id="3526" name="Column3505" dataDxfId="12907" dataCellStyle="Normal"/>
    <tableColumn id="3527" name="Column3506" dataDxfId="12906" dataCellStyle="Normal"/>
    <tableColumn id="3528" name="Column3507" dataDxfId="12905" dataCellStyle="Normal"/>
    <tableColumn id="3529" name="Column3508" dataDxfId="12904" dataCellStyle="Normal"/>
    <tableColumn id="3530" name="Column3509" dataDxfId="12903" dataCellStyle="Normal"/>
    <tableColumn id="3531" name="Column3510" dataDxfId="12902" dataCellStyle="Normal"/>
    <tableColumn id="3532" name="Column3511" dataDxfId="12901" dataCellStyle="Normal"/>
    <tableColumn id="3533" name="Column3512" dataDxfId="12900" dataCellStyle="Normal"/>
    <tableColumn id="3534" name="Column3513" dataDxfId="12899" dataCellStyle="Normal"/>
    <tableColumn id="3535" name="Column3514" dataDxfId="12898" dataCellStyle="Normal"/>
    <tableColumn id="3536" name="Column3515" dataDxfId="12897" dataCellStyle="Normal"/>
    <tableColumn id="3537" name="Column3516" dataDxfId="12896" dataCellStyle="Normal"/>
    <tableColumn id="3538" name="Column3517" dataDxfId="12895" dataCellStyle="Normal"/>
    <tableColumn id="3539" name="Column3518" dataDxfId="12894" dataCellStyle="Normal"/>
    <tableColumn id="3540" name="Column3519" dataDxfId="12893" dataCellStyle="Normal"/>
    <tableColumn id="3541" name="Column3520" dataDxfId="12892" dataCellStyle="Normal"/>
    <tableColumn id="3542" name="Column3521" dataDxfId="12891" dataCellStyle="Normal"/>
    <tableColumn id="3543" name="Column3522" dataDxfId="12890" dataCellStyle="Normal"/>
    <tableColumn id="3544" name="Column3523" dataDxfId="12889" dataCellStyle="Normal"/>
    <tableColumn id="3545" name="Column3524" dataDxfId="12888" dataCellStyle="Normal"/>
    <tableColumn id="3546" name="Column3525" dataDxfId="12887" dataCellStyle="Normal"/>
    <tableColumn id="3547" name="Column3526" dataDxfId="12886" dataCellStyle="Normal"/>
    <tableColumn id="3548" name="Column3527" dataDxfId="12885" dataCellStyle="Normal"/>
    <tableColumn id="3549" name="Column3528" dataDxfId="12884" dataCellStyle="Normal"/>
    <tableColumn id="3550" name="Column3529" dataDxfId="12883" dataCellStyle="Normal"/>
    <tableColumn id="3551" name="Column3530" dataDxfId="12882" dataCellStyle="Normal"/>
    <tableColumn id="3552" name="Column3531" dataDxfId="12881" dataCellStyle="Normal"/>
    <tableColumn id="3553" name="Column3532" dataDxfId="12880" dataCellStyle="Normal"/>
    <tableColumn id="3554" name="Column3533" dataDxfId="12879" dataCellStyle="Normal"/>
    <tableColumn id="3555" name="Column3534" dataDxfId="12878" dataCellStyle="Normal"/>
    <tableColumn id="3556" name="Column3535" dataDxfId="12877" dataCellStyle="Normal"/>
    <tableColumn id="3557" name="Column3536" dataDxfId="12876" dataCellStyle="Normal"/>
    <tableColumn id="3558" name="Column3537" dataDxfId="12875" dataCellStyle="Normal"/>
    <tableColumn id="3559" name="Column3538" dataDxfId="12874" dataCellStyle="Normal"/>
    <tableColumn id="3560" name="Column3539" dataDxfId="12873" dataCellStyle="Normal"/>
    <tableColumn id="3561" name="Column3540" dataDxfId="12872" dataCellStyle="Normal"/>
    <tableColumn id="3562" name="Column3541" dataDxfId="12871" dataCellStyle="Normal"/>
    <tableColumn id="3563" name="Column3542" dataDxfId="12870" dataCellStyle="Normal"/>
    <tableColumn id="3564" name="Column3543" dataDxfId="12869" dataCellStyle="Normal"/>
    <tableColumn id="3565" name="Column3544" dataDxfId="12868" dataCellStyle="Normal"/>
    <tableColumn id="3566" name="Column3545" dataDxfId="12867" dataCellStyle="Normal"/>
    <tableColumn id="3567" name="Column3546" dataDxfId="12866" dataCellStyle="Normal"/>
    <tableColumn id="3568" name="Column3547" dataDxfId="12865" dataCellStyle="Normal"/>
    <tableColumn id="3569" name="Column3548" dataDxfId="12864" dataCellStyle="Normal"/>
    <tableColumn id="3570" name="Column3549" dataDxfId="12863" dataCellStyle="Normal"/>
    <tableColumn id="3571" name="Column3550" dataDxfId="12862" dataCellStyle="Normal"/>
    <tableColumn id="3572" name="Column3551" dataDxfId="12861" dataCellStyle="Normal"/>
    <tableColumn id="3573" name="Column3552" dataDxfId="12860" dataCellStyle="Normal"/>
    <tableColumn id="3574" name="Column3553" dataDxfId="12859" dataCellStyle="Normal"/>
    <tableColumn id="3575" name="Column3554" dataDxfId="12858" dataCellStyle="Normal"/>
    <tableColumn id="3576" name="Column3555" dataDxfId="12857" dataCellStyle="Normal"/>
    <tableColumn id="3577" name="Column3556" dataDxfId="12856" dataCellStyle="Normal"/>
    <tableColumn id="3578" name="Column3557" dataDxfId="12855" dataCellStyle="Normal"/>
    <tableColumn id="3579" name="Column3558" dataDxfId="12854" dataCellStyle="Normal"/>
    <tableColumn id="3580" name="Column3559" dataDxfId="12853" dataCellStyle="Normal"/>
    <tableColumn id="3581" name="Column3560" dataDxfId="12852" dataCellStyle="Normal"/>
    <tableColumn id="3582" name="Column3561" dataDxfId="12851" dataCellStyle="Normal"/>
    <tableColumn id="3583" name="Column3562" dataDxfId="12850" dataCellStyle="Normal"/>
    <tableColumn id="3584" name="Column3563" dataDxfId="12849" dataCellStyle="Normal"/>
    <tableColumn id="3585" name="Column3564" dataDxfId="12848" dataCellStyle="Normal"/>
    <tableColumn id="3586" name="Column3565" dataDxfId="12847" dataCellStyle="Normal"/>
    <tableColumn id="3587" name="Column3566" dataDxfId="12846" dataCellStyle="Normal"/>
    <tableColumn id="3588" name="Column3567" dataDxfId="12845" dataCellStyle="Normal"/>
    <tableColumn id="3589" name="Column3568" dataDxfId="12844" dataCellStyle="Normal"/>
    <tableColumn id="3590" name="Column3569" dataDxfId="12843" dataCellStyle="Normal"/>
    <tableColumn id="3591" name="Column3570" dataDxfId="12842" dataCellStyle="Normal"/>
    <tableColumn id="3592" name="Column3571" dataDxfId="12841" dataCellStyle="Normal"/>
    <tableColumn id="3593" name="Column3572" dataDxfId="12840" dataCellStyle="Normal"/>
    <tableColumn id="3594" name="Column3573" dataDxfId="12839" dataCellStyle="Normal"/>
    <tableColumn id="3595" name="Column3574" dataDxfId="12838" dataCellStyle="Normal"/>
    <tableColumn id="3596" name="Column3575" dataDxfId="12837" dataCellStyle="Normal"/>
    <tableColumn id="3597" name="Column3576" dataDxfId="12836" dataCellStyle="Normal"/>
    <tableColumn id="3598" name="Column3577" dataDxfId="12835" dataCellStyle="Normal"/>
    <tableColumn id="3599" name="Column3578" dataDxfId="12834" dataCellStyle="Normal"/>
    <tableColumn id="3600" name="Column3579" dataDxfId="12833" dataCellStyle="Normal"/>
    <tableColumn id="3601" name="Column3580" dataDxfId="12832" dataCellStyle="Normal"/>
    <tableColumn id="3602" name="Column3581" dataDxfId="12831" dataCellStyle="Normal"/>
    <tableColumn id="3603" name="Column3582" dataDxfId="12830" dataCellStyle="Normal"/>
    <tableColumn id="3604" name="Column3583" dataDxfId="12829" dataCellStyle="Normal"/>
    <tableColumn id="3605" name="Column3584" dataDxfId="12828" dataCellStyle="Normal"/>
    <tableColumn id="3606" name="Column3585" dataDxfId="12827" dataCellStyle="Normal"/>
    <tableColumn id="3607" name="Column3586" dataDxfId="12826" dataCellStyle="Normal"/>
    <tableColumn id="3608" name="Column3587" dataDxfId="12825" dataCellStyle="Normal"/>
    <tableColumn id="3609" name="Column3588" dataDxfId="12824" dataCellStyle="Normal"/>
    <tableColumn id="3610" name="Column3589" dataDxfId="12823" dataCellStyle="Normal"/>
    <tableColumn id="3611" name="Column3590" dataDxfId="12822" dataCellStyle="Normal"/>
    <tableColumn id="3612" name="Column3591" dataDxfId="12821" dataCellStyle="Normal"/>
    <tableColumn id="3613" name="Column3592" dataDxfId="12820" dataCellStyle="Normal"/>
    <tableColumn id="3614" name="Column3593" dataDxfId="12819" dataCellStyle="Normal"/>
    <tableColumn id="3615" name="Column3594" dataDxfId="12818" dataCellStyle="Normal"/>
    <tableColumn id="3616" name="Column3595" dataDxfId="12817" dataCellStyle="Normal"/>
    <tableColumn id="3617" name="Column3596" dataDxfId="12816" dataCellStyle="Normal"/>
    <tableColumn id="3618" name="Column3597" dataDxfId="12815" dataCellStyle="Normal"/>
    <tableColumn id="3619" name="Column3598" dataDxfId="12814" dataCellStyle="Normal"/>
    <tableColumn id="3620" name="Column3599" dataDxfId="12813" dataCellStyle="Normal"/>
    <tableColumn id="3621" name="Column3600" dataDxfId="12812" dataCellStyle="Normal"/>
    <tableColumn id="3622" name="Column3601" dataDxfId="12811" dataCellStyle="Normal"/>
    <tableColumn id="3623" name="Column3602" dataDxfId="12810" dataCellStyle="Normal"/>
    <tableColumn id="3624" name="Column3603" dataDxfId="12809" dataCellStyle="Normal"/>
    <tableColumn id="3625" name="Column3604" dataDxfId="12808" dataCellStyle="Normal"/>
    <tableColumn id="3626" name="Column3605" dataDxfId="12807" dataCellStyle="Normal"/>
    <tableColumn id="3627" name="Column3606" dataDxfId="12806" dataCellStyle="Normal"/>
    <tableColumn id="3628" name="Column3607" dataDxfId="12805" dataCellStyle="Normal"/>
    <tableColumn id="3629" name="Column3608" dataDxfId="12804" dataCellStyle="Normal"/>
    <tableColumn id="3630" name="Column3609" dataDxfId="12803" dataCellStyle="Normal"/>
    <tableColumn id="3631" name="Column3610" dataDxfId="12802" dataCellStyle="Normal"/>
    <tableColumn id="3632" name="Column3611" dataDxfId="12801" dataCellStyle="Normal"/>
    <tableColumn id="3633" name="Column3612" dataDxfId="12800" dataCellStyle="Normal"/>
    <tableColumn id="3634" name="Column3613" dataDxfId="12799" dataCellStyle="Normal"/>
    <tableColumn id="3635" name="Column3614" dataDxfId="12798" dataCellStyle="Normal"/>
    <tableColumn id="3636" name="Column3615" dataDxfId="12797" dataCellStyle="Normal"/>
    <tableColumn id="3637" name="Column3616" dataDxfId="12796" dataCellStyle="Normal"/>
    <tableColumn id="3638" name="Column3617" dataDxfId="12795" dataCellStyle="Normal"/>
    <tableColumn id="3639" name="Column3618" dataDxfId="12794" dataCellStyle="Normal"/>
    <tableColumn id="3640" name="Column3619" dataDxfId="12793" dataCellStyle="Normal"/>
    <tableColumn id="3641" name="Column3620" dataDxfId="12792" dataCellStyle="Normal"/>
    <tableColumn id="3642" name="Column3621" dataDxfId="12791" dataCellStyle="Normal"/>
    <tableColumn id="3643" name="Column3622" dataDxfId="12790" dataCellStyle="Normal"/>
    <tableColumn id="3644" name="Column3623" dataDxfId="12789" dataCellStyle="Normal"/>
    <tableColumn id="3645" name="Column3624" dataDxfId="12788" dataCellStyle="Normal"/>
    <tableColumn id="3646" name="Column3625" dataDxfId="12787" dataCellStyle="Normal"/>
    <tableColumn id="3647" name="Column3626" dataDxfId="12786" dataCellStyle="Normal"/>
    <tableColumn id="3648" name="Column3627" dataDxfId="12785" dataCellStyle="Normal"/>
    <tableColumn id="3649" name="Column3628" dataDxfId="12784" dataCellStyle="Normal"/>
    <tableColumn id="3650" name="Column3629" dataDxfId="12783" dataCellStyle="Normal"/>
    <tableColumn id="3651" name="Column3630" dataDxfId="12782" dataCellStyle="Normal"/>
    <tableColumn id="3652" name="Column3631" dataDxfId="12781" dataCellStyle="Normal"/>
    <tableColumn id="3653" name="Column3632" dataDxfId="12780" dataCellStyle="Normal"/>
    <tableColumn id="3654" name="Column3633" dataDxfId="12779" dataCellStyle="Normal"/>
    <tableColumn id="3655" name="Column3634" dataDxfId="12778" dataCellStyle="Normal"/>
    <tableColumn id="3656" name="Column3635" dataDxfId="12777" dataCellStyle="Normal"/>
    <tableColumn id="3657" name="Column3636" dataDxfId="12776" dataCellStyle="Normal"/>
    <tableColumn id="3658" name="Column3637" dataDxfId="12775" dataCellStyle="Normal"/>
    <tableColumn id="3659" name="Column3638" dataDxfId="12774" dataCellStyle="Normal"/>
    <tableColumn id="3660" name="Column3639" dataDxfId="12773" dataCellStyle="Normal"/>
    <tableColumn id="3661" name="Column3640" dataDxfId="12772" dataCellStyle="Normal"/>
    <tableColumn id="3662" name="Column3641" dataDxfId="12771" dataCellStyle="Normal"/>
    <tableColumn id="3663" name="Column3642" dataDxfId="12770" dataCellStyle="Normal"/>
    <tableColumn id="3664" name="Column3643" dataDxfId="12769" dataCellStyle="Normal"/>
    <tableColumn id="3665" name="Column3644" dataDxfId="12768" dataCellStyle="Normal"/>
    <tableColumn id="3666" name="Column3645" dataDxfId="12767" dataCellStyle="Normal"/>
    <tableColumn id="3667" name="Column3646" dataDxfId="12766" dataCellStyle="Normal"/>
    <tableColumn id="3668" name="Column3647" dataDxfId="12765" dataCellStyle="Normal"/>
    <tableColumn id="3669" name="Column3648" dataDxfId="12764" dataCellStyle="Normal"/>
    <tableColumn id="3670" name="Column3649" dataDxfId="12763" dataCellStyle="Normal"/>
    <tableColumn id="3671" name="Column3650" dataDxfId="12762" dataCellStyle="Normal"/>
    <tableColumn id="3672" name="Column3651" dataDxfId="12761" dataCellStyle="Normal"/>
    <tableColumn id="3673" name="Column3652" dataDxfId="12760" dataCellStyle="Normal"/>
    <tableColumn id="3674" name="Column3653" dataDxfId="12759" dataCellStyle="Normal"/>
    <tableColumn id="3675" name="Column3654" dataDxfId="12758" dataCellStyle="Normal"/>
    <tableColumn id="3676" name="Column3655" dataDxfId="12757" dataCellStyle="Normal"/>
    <tableColumn id="3677" name="Column3656" dataDxfId="12756" dataCellStyle="Normal"/>
    <tableColumn id="3678" name="Column3657" dataDxfId="12755" dataCellStyle="Normal"/>
    <tableColumn id="3679" name="Column3658" dataDxfId="12754" dataCellStyle="Normal"/>
    <tableColumn id="3680" name="Column3659" dataDxfId="12753" dataCellStyle="Normal"/>
    <tableColumn id="3681" name="Column3660" dataDxfId="12752" dataCellStyle="Normal"/>
    <tableColumn id="3682" name="Column3661" dataDxfId="12751" dataCellStyle="Normal"/>
    <tableColumn id="3683" name="Column3662" dataDxfId="12750" dataCellStyle="Normal"/>
    <tableColumn id="3684" name="Column3663" dataDxfId="12749" dataCellStyle="Normal"/>
    <tableColumn id="3685" name="Column3664" dataDxfId="12748" dataCellStyle="Normal"/>
    <tableColumn id="3686" name="Column3665" dataDxfId="12747" dataCellStyle="Normal"/>
    <tableColumn id="3687" name="Column3666" dataDxfId="12746" dataCellStyle="Normal"/>
    <tableColumn id="3688" name="Column3667" dataDxfId="12745" dataCellStyle="Normal"/>
    <tableColumn id="3689" name="Column3668" dataDxfId="12744" dataCellStyle="Normal"/>
    <tableColumn id="3690" name="Column3669" dataDxfId="12743" dataCellStyle="Normal"/>
    <tableColumn id="3691" name="Column3670" dataDxfId="12742" dataCellStyle="Normal"/>
    <tableColumn id="3692" name="Column3671" dataDxfId="12741" dataCellStyle="Normal"/>
    <tableColumn id="3693" name="Column3672" dataDxfId="12740" dataCellStyle="Normal"/>
    <tableColumn id="3694" name="Column3673" dataDxfId="12739" dataCellStyle="Normal"/>
    <tableColumn id="3695" name="Column3674" dataDxfId="12738" dataCellStyle="Normal"/>
    <tableColumn id="3696" name="Column3675" dataDxfId="12737" dataCellStyle="Normal"/>
    <tableColumn id="3697" name="Column3676" dataDxfId="12736" dataCellStyle="Normal"/>
    <tableColumn id="3698" name="Column3677" dataDxfId="12735" dataCellStyle="Normal"/>
    <tableColumn id="3699" name="Column3678" dataDxfId="12734" dataCellStyle="Normal"/>
    <tableColumn id="3700" name="Column3679" dataDxfId="12733" dataCellStyle="Normal"/>
    <tableColumn id="3701" name="Column3680" dataDxfId="12732" dataCellStyle="Normal"/>
    <tableColumn id="3702" name="Column3681" dataDxfId="12731" dataCellStyle="Normal"/>
    <tableColumn id="3703" name="Column3682" dataDxfId="12730" dataCellStyle="Normal"/>
    <tableColumn id="3704" name="Column3683" dataDxfId="12729" dataCellStyle="Normal"/>
    <tableColumn id="3705" name="Column3684" dataDxfId="12728" dataCellStyle="Normal"/>
    <tableColumn id="3706" name="Column3685" dataDxfId="12727" dataCellStyle="Normal"/>
    <tableColumn id="3707" name="Column3686" dataDxfId="12726" dataCellStyle="Normal"/>
    <tableColumn id="3708" name="Column3687" dataDxfId="12725" dataCellStyle="Normal"/>
    <tableColumn id="3709" name="Column3688" dataDxfId="12724" dataCellStyle="Normal"/>
    <tableColumn id="3710" name="Column3689" dataDxfId="12723" dataCellStyle="Normal"/>
    <tableColumn id="3711" name="Column3690" dataDxfId="12722" dataCellStyle="Normal"/>
    <tableColumn id="3712" name="Column3691" dataDxfId="12721" dataCellStyle="Normal"/>
    <tableColumn id="3713" name="Column3692" dataDxfId="12720" dataCellStyle="Normal"/>
    <tableColumn id="3714" name="Column3693" dataDxfId="12719" dataCellStyle="Normal"/>
    <tableColumn id="3715" name="Column3694" dataDxfId="12718" dataCellStyle="Normal"/>
    <tableColumn id="3716" name="Column3695" dataDxfId="12717" dataCellStyle="Normal"/>
    <tableColumn id="3717" name="Column3696" dataDxfId="12716" dataCellStyle="Normal"/>
    <tableColumn id="3718" name="Column3697" dataDxfId="12715" dataCellStyle="Normal"/>
    <tableColumn id="3719" name="Column3698" dataDxfId="12714" dataCellStyle="Normal"/>
    <tableColumn id="3720" name="Column3699" dataDxfId="12713" dataCellStyle="Normal"/>
    <tableColumn id="3721" name="Column3700" dataDxfId="12712" dataCellStyle="Normal"/>
    <tableColumn id="3722" name="Column3701" dataDxfId="12711" dataCellStyle="Normal"/>
    <tableColumn id="3723" name="Column3702" dataDxfId="12710" dataCellStyle="Normal"/>
    <tableColumn id="3724" name="Column3703" dataDxfId="12709" dataCellStyle="Normal"/>
    <tableColumn id="3725" name="Column3704" dataDxfId="12708" dataCellStyle="Normal"/>
    <tableColumn id="3726" name="Column3705" dataDxfId="12707" dataCellStyle="Normal"/>
    <tableColumn id="3727" name="Column3706" dataDxfId="12706" dataCellStyle="Normal"/>
    <tableColumn id="3728" name="Column3707" dataDxfId="12705" dataCellStyle="Normal"/>
    <tableColumn id="3729" name="Column3708" dataDxfId="12704" dataCellStyle="Normal"/>
    <tableColumn id="3730" name="Column3709" dataDxfId="12703" dataCellStyle="Normal"/>
    <tableColumn id="3731" name="Column3710" dataDxfId="12702" dataCellStyle="Normal"/>
    <tableColumn id="3732" name="Column3711" dataDxfId="12701" dataCellStyle="Normal"/>
    <tableColumn id="3733" name="Column3712" dataDxfId="12700" dataCellStyle="Normal"/>
    <tableColumn id="3734" name="Column3713" dataDxfId="12699" dataCellStyle="Normal"/>
    <tableColumn id="3735" name="Column3714" dataDxfId="12698" dataCellStyle="Normal"/>
    <tableColumn id="3736" name="Column3715" dataDxfId="12697" dataCellStyle="Normal"/>
    <tableColumn id="3737" name="Column3716" dataDxfId="12696" dataCellStyle="Normal"/>
    <tableColumn id="3738" name="Column3717" dataDxfId="12695" dataCellStyle="Normal"/>
    <tableColumn id="3739" name="Column3718" dataDxfId="12694" dataCellStyle="Normal"/>
    <tableColumn id="3740" name="Column3719" dataDxfId="12693" dataCellStyle="Normal"/>
    <tableColumn id="3741" name="Column3720" dataDxfId="12692" dataCellStyle="Normal"/>
    <tableColumn id="3742" name="Column3721" dataDxfId="12691" dataCellStyle="Normal"/>
    <tableColumn id="3743" name="Column3722" dataDxfId="12690" dataCellStyle="Normal"/>
    <tableColumn id="3744" name="Column3723" dataDxfId="12689" dataCellStyle="Normal"/>
    <tableColumn id="3745" name="Column3724" dataDxfId="12688" dataCellStyle="Normal"/>
    <tableColumn id="3746" name="Column3725" dataDxfId="12687" dataCellStyle="Normal"/>
    <tableColumn id="3747" name="Column3726" dataDxfId="12686" dataCellStyle="Normal"/>
    <tableColumn id="3748" name="Column3727" dataDxfId="12685" dataCellStyle="Normal"/>
    <tableColumn id="3749" name="Column3728" dataDxfId="12684" dataCellStyle="Normal"/>
    <tableColumn id="3750" name="Column3729" dataDxfId="12683" dataCellStyle="Normal"/>
    <tableColumn id="3751" name="Column3730" dataDxfId="12682" dataCellStyle="Normal"/>
    <tableColumn id="3752" name="Column3731" dataDxfId="12681" dataCellStyle="Normal"/>
    <tableColumn id="3753" name="Column3732" dataDxfId="12680" dataCellStyle="Normal"/>
    <tableColumn id="3754" name="Column3733" dataDxfId="12679" dataCellStyle="Normal"/>
    <tableColumn id="3755" name="Column3734" dataDxfId="12678" dataCellStyle="Normal"/>
    <tableColumn id="3756" name="Column3735" dataDxfId="12677" dataCellStyle="Normal"/>
    <tableColumn id="3757" name="Column3736" dataDxfId="12676" dataCellStyle="Normal"/>
    <tableColumn id="3758" name="Column3737" dataDxfId="12675" dataCellStyle="Normal"/>
    <tableColumn id="3759" name="Column3738" dataDxfId="12674" dataCellStyle="Normal"/>
    <tableColumn id="3760" name="Column3739" dataDxfId="12673" dataCellStyle="Normal"/>
    <tableColumn id="3761" name="Column3740" dataDxfId="12672" dataCellStyle="Normal"/>
    <tableColumn id="3762" name="Column3741" dataDxfId="12671" dataCellStyle="Normal"/>
    <tableColumn id="3763" name="Column3742" dataDxfId="12670" dataCellStyle="Normal"/>
    <tableColumn id="3764" name="Column3743" dataDxfId="12669" dataCellStyle="Normal"/>
    <tableColumn id="3765" name="Column3744" dataDxfId="12668" dataCellStyle="Normal"/>
    <tableColumn id="3766" name="Column3745" dataDxfId="12667" dataCellStyle="Normal"/>
    <tableColumn id="3767" name="Column3746" dataDxfId="12666" dataCellStyle="Normal"/>
    <tableColumn id="3768" name="Column3747" dataDxfId="12665" dataCellStyle="Normal"/>
    <tableColumn id="3769" name="Column3748" dataDxfId="12664" dataCellStyle="Normal"/>
    <tableColumn id="3770" name="Column3749" dataDxfId="12663" dataCellStyle="Normal"/>
    <tableColumn id="3771" name="Column3750" dataDxfId="12662" dataCellStyle="Normal"/>
    <tableColumn id="3772" name="Column3751" dataDxfId="12661" dataCellStyle="Normal"/>
    <tableColumn id="3773" name="Column3752" dataDxfId="12660" dataCellStyle="Normal"/>
    <tableColumn id="3774" name="Column3753" dataDxfId="12659" dataCellStyle="Normal"/>
    <tableColumn id="3775" name="Column3754" dataDxfId="12658" dataCellStyle="Normal"/>
    <tableColumn id="3776" name="Column3755" dataDxfId="12657" dataCellStyle="Normal"/>
    <tableColumn id="3777" name="Column3756" dataDxfId="12656" dataCellStyle="Normal"/>
    <tableColumn id="3778" name="Column3757" dataDxfId="12655" dataCellStyle="Normal"/>
    <tableColumn id="3779" name="Column3758" dataDxfId="12654" dataCellStyle="Normal"/>
    <tableColumn id="3780" name="Column3759" dataDxfId="12653" dataCellStyle="Normal"/>
    <tableColumn id="3781" name="Column3760" dataDxfId="12652" dataCellStyle="Normal"/>
    <tableColumn id="3782" name="Column3761" dataDxfId="12651" dataCellStyle="Normal"/>
    <tableColumn id="3783" name="Column3762" dataDxfId="12650" dataCellStyle="Normal"/>
    <tableColumn id="3784" name="Column3763" dataDxfId="12649" dataCellStyle="Normal"/>
    <tableColumn id="3785" name="Column3764" dataDxfId="12648" dataCellStyle="Normal"/>
    <tableColumn id="3786" name="Column3765" dataDxfId="12647" dataCellStyle="Normal"/>
    <tableColumn id="3787" name="Column3766" dataDxfId="12646" dataCellStyle="Normal"/>
    <tableColumn id="3788" name="Column3767" dataDxfId="12645" dataCellStyle="Normal"/>
    <tableColumn id="3789" name="Column3768" dataDxfId="12644" dataCellStyle="Normal"/>
    <tableColumn id="3790" name="Column3769" dataDxfId="12643" dataCellStyle="Normal"/>
    <tableColumn id="3791" name="Column3770" dataDxfId="12642" dataCellStyle="Normal"/>
    <tableColumn id="3792" name="Column3771" dataDxfId="12641" dataCellStyle="Normal"/>
    <tableColumn id="3793" name="Column3772" dataDxfId="12640" dataCellStyle="Normal"/>
    <tableColumn id="3794" name="Column3773" dataDxfId="12639" dataCellStyle="Normal"/>
    <tableColumn id="3795" name="Column3774" dataDxfId="12638" dataCellStyle="Normal"/>
    <tableColumn id="3796" name="Column3775" dataDxfId="12637" dataCellStyle="Normal"/>
    <tableColumn id="3797" name="Column3776" dataDxfId="12636" dataCellStyle="Normal"/>
    <tableColumn id="3798" name="Column3777" dataDxfId="12635" dataCellStyle="Normal"/>
    <tableColumn id="3799" name="Column3778" dataDxfId="12634" dataCellStyle="Normal"/>
    <tableColumn id="3800" name="Column3779" dataDxfId="12633" dataCellStyle="Normal"/>
    <tableColumn id="3801" name="Column3780" dataDxfId="12632" dataCellStyle="Normal"/>
    <tableColumn id="3802" name="Column3781" dataDxfId="12631" dataCellStyle="Normal"/>
    <tableColumn id="3803" name="Column3782" dataDxfId="12630" dataCellStyle="Normal"/>
    <tableColumn id="3804" name="Column3783" dataDxfId="12629" dataCellStyle="Normal"/>
    <tableColumn id="3805" name="Column3784" dataDxfId="12628" dataCellStyle="Normal"/>
    <tableColumn id="3806" name="Column3785" dataDxfId="12627" dataCellStyle="Normal"/>
    <tableColumn id="3807" name="Column3786" dataDxfId="12626" dataCellStyle="Normal"/>
    <tableColumn id="3808" name="Column3787" dataDxfId="12625" dataCellStyle="Normal"/>
    <tableColumn id="3809" name="Column3788" dataDxfId="12624" dataCellStyle="Normal"/>
    <tableColumn id="3810" name="Column3789" dataDxfId="12623" dataCellStyle="Normal"/>
    <tableColumn id="3811" name="Column3790" dataDxfId="12622" dataCellStyle="Normal"/>
    <tableColumn id="3812" name="Column3791" dataDxfId="12621" dataCellStyle="Normal"/>
    <tableColumn id="3813" name="Column3792" dataDxfId="12620" dataCellStyle="Normal"/>
    <tableColumn id="3814" name="Column3793" dataDxfId="12619" dataCellStyle="Normal"/>
    <tableColumn id="3815" name="Column3794" dataDxfId="12618" dataCellStyle="Normal"/>
    <tableColumn id="3816" name="Column3795" dataDxfId="12617" dataCellStyle="Normal"/>
    <tableColumn id="3817" name="Column3796" dataDxfId="12616" dataCellStyle="Normal"/>
    <tableColumn id="3818" name="Column3797" dataDxfId="12615" dataCellStyle="Normal"/>
    <tableColumn id="3819" name="Column3798" dataDxfId="12614" dataCellStyle="Normal"/>
    <tableColumn id="3820" name="Column3799" dataDxfId="12613" dataCellStyle="Normal"/>
    <tableColumn id="3821" name="Column3800" dataDxfId="12612" dataCellStyle="Normal"/>
    <tableColumn id="3822" name="Column3801" dataDxfId="12611" dataCellStyle="Normal"/>
    <tableColumn id="3823" name="Column3802" dataDxfId="12610" dataCellStyle="Normal"/>
    <tableColumn id="3824" name="Column3803" dataDxfId="12609" dataCellStyle="Normal"/>
    <tableColumn id="3825" name="Column3804" dataDxfId="12608" dataCellStyle="Normal"/>
    <tableColumn id="3826" name="Column3805" dataDxfId="12607" dataCellStyle="Normal"/>
    <tableColumn id="3827" name="Column3806" dataDxfId="12606" dataCellStyle="Normal"/>
    <tableColumn id="3828" name="Column3807" dataDxfId="12605" dataCellStyle="Normal"/>
    <tableColumn id="3829" name="Column3808" dataDxfId="12604" dataCellStyle="Normal"/>
    <tableColumn id="3830" name="Column3809" dataDxfId="12603" dataCellStyle="Normal"/>
    <tableColumn id="3831" name="Column3810" dataDxfId="12602" dataCellStyle="Normal"/>
    <tableColumn id="3832" name="Column3811" dataDxfId="12601" dataCellStyle="Normal"/>
    <tableColumn id="3833" name="Column3812" dataDxfId="12600" dataCellStyle="Normal"/>
    <tableColumn id="3834" name="Column3813" dataDxfId="12599" dataCellStyle="Normal"/>
    <tableColumn id="3835" name="Column3814" dataDxfId="12598" dataCellStyle="Normal"/>
    <tableColumn id="3836" name="Column3815" dataDxfId="12597" dataCellStyle="Normal"/>
    <tableColumn id="3837" name="Column3816" dataDxfId="12596" dataCellStyle="Normal"/>
    <tableColumn id="3838" name="Column3817" dataDxfId="12595" dataCellStyle="Normal"/>
    <tableColumn id="3839" name="Column3818" dataDxfId="12594" dataCellStyle="Normal"/>
    <tableColumn id="3840" name="Column3819" dataDxfId="12593" dataCellStyle="Normal"/>
    <tableColumn id="3841" name="Column3820" dataDxfId="12592" dataCellStyle="Normal"/>
    <tableColumn id="3842" name="Column3821" dataDxfId="12591" dataCellStyle="Normal"/>
    <tableColumn id="3843" name="Column3822" dataDxfId="12590" dataCellStyle="Normal"/>
    <tableColumn id="3844" name="Column3823" dataDxfId="12589" dataCellStyle="Normal"/>
    <tableColumn id="3845" name="Column3824" dataDxfId="12588" dataCellStyle="Normal"/>
    <tableColumn id="3846" name="Column3825" dataDxfId="12587" dataCellStyle="Normal"/>
    <tableColumn id="3847" name="Column3826" dataDxfId="12586" dataCellStyle="Normal"/>
    <tableColumn id="3848" name="Column3827" dataDxfId="12585" dataCellStyle="Normal"/>
    <tableColumn id="3849" name="Column3828" dataDxfId="12584" dataCellStyle="Normal"/>
    <tableColumn id="3850" name="Column3829" dataDxfId="12583" dataCellStyle="Normal"/>
    <tableColumn id="3851" name="Column3830" dataDxfId="12582" dataCellStyle="Normal"/>
    <tableColumn id="3852" name="Column3831" dataDxfId="12581" dataCellStyle="Normal"/>
    <tableColumn id="3853" name="Column3832" dataDxfId="12580" dataCellStyle="Normal"/>
    <tableColumn id="3854" name="Column3833" dataDxfId="12579" dataCellStyle="Normal"/>
    <tableColumn id="3855" name="Column3834" dataDxfId="12578" dataCellStyle="Normal"/>
    <tableColumn id="3856" name="Column3835" dataDxfId="12577" dataCellStyle="Normal"/>
    <tableColumn id="3857" name="Column3836" dataDxfId="12576" dataCellStyle="Normal"/>
    <tableColumn id="3858" name="Column3837" dataDxfId="12575" dataCellStyle="Normal"/>
    <tableColumn id="3859" name="Column3838" dataDxfId="12574" dataCellStyle="Normal"/>
    <tableColumn id="3860" name="Column3839" dataDxfId="12573" dataCellStyle="Normal"/>
    <tableColumn id="3861" name="Column3840" dataDxfId="12572" dataCellStyle="Normal"/>
    <tableColumn id="3862" name="Column3841" dataDxfId="12571" dataCellStyle="Normal"/>
    <tableColumn id="3863" name="Column3842" dataDxfId="12570" dataCellStyle="Normal"/>
    <tableColumn id="3864" name="Column3843" dataDxfId="12569" dataCellStyle="Normal"/>
    <tableColumn id="3865" name="Column3844" dataDxfId="12568" dataCellStyle="Normal"/>
    <tableColumn id="3866" name="Column3845" dataDxfId="12567" dataCellStyle="Normal"/>
    <tableColumn id="3867" name="Column3846" dataDxfId="12566" dataCellStyle="Normal"/>
    <tableColumn id="3868" name="Column3847" dataDxfId="12565" dataCellStyle="Normal"/>
    <tableColumn id="3869" name="Column3848" dataDxfId="12564" dataCellStyle="Normal"/>
    <tableColumn id="3870" name="Column3849" dataDxfId="12563" dataCellStyle="Normal"/>
    <tableColumn id="3871" name="Column3850" dataDxfId="12562" dataCellStyle="Normal"/>
    <tableColumn id="3872" name="Column3851" dataDxfId="12561" dataCellStyle="Normal"/>
    <tableColumn id="3873" name="Column3852" dataDxfId="12560" dataCellStyle="Normal"/>
    <tableColumn id="3874" name="Column3853" dataDxfId="12559" dataCellStyle="Normal"/>
    <tableColumn id="3875" name="Column3854" dataDxfId="12558" dataCellStyle="Normal"/>
    <tableColumn id="3876" name="Column3855" dataDxfId="12557" dataCellStyle="Normal"/>
    <tableColumn id="3877" name="Column3856" dataDxfId="12556" dataCellStyle="Normal"/>
    <tableColumn id="3878" name="Column3857" dataDxfId="12555" dataCellStyle="Normal"/>
    <tableColumn id="3879" name="Column3858" dataDxfId="12554" dataCellStyle="Normal"/>
    <tableColumn id="3880" name="Column3859" dataDxfId="12553" dataCellStyle="Normal"/>
    <tableColumn id="3881" name="Column3860" dataDxfId="12552" dataCellStyle="Normal"/>
    <tableColumn id="3882" name="Column3861" dataDxfId="12551" dataCellStyle="Normal"/>
    <tableColumn id="3883" name="Column3862" dataDxfId="12550" dataCellStyle="Normal"/>
    <tableColumn id="3884" name="Column3863" dataDxfId="12549" dataCellStyle="Normal"/>
    <tableColumn id="3885" name="Column3864" dataDxfId="12548" dataCellStyle="Normal"/>
    <tableColumn id="3886" name="Column3865" dataDxfId="12547" dataCellStyle="Normal"/>
    <tableColumn id="3887" name="Column3866" dataDxfId="12546" dataCellStyle="Normal"/>
    <tableColumn id="3888" name="Column3867" dataDxfId="12545" dataCellStyle="Normal"/>
    <tableColumn id="3889" name="Column3868" dataDxfId="12544" dataCellStyle="Normal"/>
    <tableColumn id="3890" name="Column3869" dataDxfId="12543" dataCellStyle="Normal"/>
    <tableColumn id="3891" name="Column3870" dataDxfId="12542" dataCellStyle="Normal"/>
    <tableColumn id="3892" name="Column3871" dataDxfId="12541" dataCellStyle="Normal"/>
    <tableColumn id="3893" name="Column3872" dataDxfId="12540" dataCellStyle="Normal"/>
    <tableColumn id="3894" name="Column3873" dataDxfId="12539" dataCellStyle="Normal"/>
    <tableColumn id="3895" name="Column3874" dataDxfId="12538" dataCellStyle="Normal"/>
    <tableColumn id="3896" name="Column3875" dataDxfId="12537" dataCellStyle="Normal"/>
    <tableColumn id="3897" name="Column3876" dataDxfId="12536" dataCellStyle="Normal"/>
    <tableColumn id="3898" name="Column3877" dataDxfId="12535" dataCellStyle="Normal"/>
    <tableColumn id="3899" name="Column3878" dataDxfId="12534" dataCellStyle="Normal"/>
    <tableColumn id="3900" name="Column3879" dataDxfId="12533" dataCellStyle="Normal"/>
    <tableColumn id="3901" name="Column3880" dataDxfId="12532" dataCellStyle="Normal"/>
    <tableColumn id="3902" name="Column3881" dataDxfId="12531" dataCellStyle="Normal"/>
    <tableColumn id="3903" name="Column3882" dataDxfId="12530" dataCellStyle="Normal"/>
    <tableColumn id="3904" name="Column3883" dataDxfId="12529" dataCellStyle="Normal"/>
    <tableColumn id="3905" name="Column3884" dataDxfId="12528" dataCellStyle="Normal"/>
    <tableColumn id="3906" name="Column3885" dataDxfId="12527" dataCellStyle="Normal"/>
    <tableColumn id="3907" name="Column3886" dataDxfId="12526" dataCellStyle="Normal"/>
    <tableColumn id="3908" name="Column3887" dataDxfId="12525" dataCellStyle="Normal"/>
    <tableColumn id="3909" name="Column3888" dataDxfId="12524" dataCellStyle="Normal"/>
    <tableColumn id="3910" name="Column3889" dataDxfId="12523" dataCellStyle="Normal"/>
    <tableColumn id="3911" name="Column3890" dataDxfId="12522" dataCellStyle="Normal"/>
    <tableColumn id="3912" name="Column3891" dataDxfId="12521" dataCellStyle="Normal"/>
    <tableColumn id="3913" name="Column3892" dataDxfId="12520" dataCellStyle="Normal"/>
    <tableColumn id="3914" name="Column3893" dataDxfId="12519" dataCellStyle="Normal"/>
    <tableColumn id="3915" name="Column3894" dataDxfId="12518" dataCellStyle="Normal"/>
    <tableColumn id="3916" name="Column3895" dataDxfId="12517" dataCellStyle="Normal"/>
    <tableColumn id="3917" name="Column3896" dataDxfId="12516" dataCellStyle="Normal"/>
    <tableColumn id="3918" name="Column3897" dataDxfId="12515" dataCellStyle="Normal"/>
    <tableColumn id="3919" name="Column3898" dataDxfId="12514" dataCellStyle="Normal"/>
    <tableColumn id="3920" name="Column3899" dataDxfId="12513" dataCellStyle="Normal"/>
    <tableColumn id="3921" name="Column3900" dataDxfId="12512" dataCellStyle="Normal"/>
    <tableColumn id="3922" name="Column3901" dataDxfId="12511" dataCellStyle="Normal"/>
    <tableColumn id="3923" name="Column3902" dataDxfId="12510" dataCellStyle="Normal"/>
    <tableColumn id="3924" name="Column3903" dataDxfId="12509" dataCellStyle="Normal"/>
    <tableColumn id="3925" name="Column3904" dataDxfId="12508" dataCellStyle="Normal"/>
    <tableColumn id="3926" name="Column3905" dataDxfId="12507" dataCellStyle="Normal"/>
    <tableColumn id="3927" name="Column3906" dataDxfId="12506" dataCellStyle="Normal"/>
    <tableColumn id="3928" name="Column3907" dataDxfId="12505" dataCellStyle="Normal"/>
    <tableColumn id="3929" name="Column3908" dataDxfId="12504" dataCellStyle="Normal"/>
    <tableColumn id="3930" name="Column3909" dataDxfId="12503" dataCellStyle="Normal"/>
    <tableColumn id="3931" name="Column3910" dataDxfId="12502" dataCellStyle="Normal"/>
    <tableColumn id="3932" name="Column3911" dataDxfId="12501" dataCellStyle="Normal"/>
    <tableColumn id="3933" name="Column3912" dataDxfId="12500" dataCellStyle="Normal"/>
    <tableColumn id="3934" name="Column3913" dataDxfId="12499" dataCellStyle="Normal"/>
    <tableColumn id="3935" name="Column3914" dataDxfId="12498" dataCellStyle="Normal"/>
    <tableColumn id="3936" name="Column3915" dataDxfId="12497" dataCellStyle="Normal"/>
    <tableColumn id="3937" name="Column3916" dataDxfId="12496" dataCellStyle="Normal"/>
    <tableColumn id="3938" name="Column3917" dataDxfId="12495" dataCellStyle="Normal"/>
    <tableColumn id="3939" name="Column3918" dataDxfId="12494" dataCellStyle="Normal"/>
    <tableColumn id="3940" name="Column3919" dataDxfId="12493" dataCellStyle="Normal"/>
    <tableColumn id="3941" name="Column3920" dataDxfId="12492" dataCellStyle="Normal"/>
    <tableColumn id="3942" name="Column3921" dataDxfId="12491" dataCellStyle="Normal"/>
    <tableColumn id="3943" name="Column3922" dataDxfId="12490" dataCellStyle="Normal"/>
    <tableColumn id="3944" name="Column3923" dataDxfId="12489" dataCellStyle="Normal"/>
    <tableColumn id="3945" name="Column3924" dataDxfId="12488" dataCellStyle="Normal"/>
    <tableColumn id="3946" name="Column3925" dataDxfId="12487" dataCellStyle="Normal"/>
    <tableColumn id="3947" name="Column3926" dataDxfId="12486" dataCellStyle="Normal"/>
    <tableColumn id="3948" name="Column3927" dataDxfId="12485" dataCellStyle="Normal"/>
    <tableColumn id="3949" name="Column3928" dataDxfId="12484" dataCellStyle="Normal"/>
    <tableColumn id="3950" name="Column3929" dataDxfId="12483" dataCellStyle="Normal"/>
    <tableColumn id="3951" name="Column3930" dataDxfId="12482" dataCellStyle="Normal"/>
    <tableColumn id="3952" name="Column3931" dataDxfId="12481" dataCellStyle="Normal"/>
    <tableColumn id="3953" name="Column3932" dataDxfId="12480" dataCellStyle="Normal"/>
    <tableColumn id="3954" name="Column3933" dataDxfId="12479" dataCellStyle="Normal"/>
    <tableColumn id="3955" name="Column3934" dataDxfId="12478" dataCellStyle="Normal"/>
    <tableColumn id="3956" name="Column3935" dataDxfId="12477" dataCellStyle="Normal"/>
    <tableColumn id="3957" name="Column3936" dataDxfId="12476" dataCellStyle="Normal"/>
    <tableColumn id="3958" name="Column3937" dataDxfId="12475" dataCellStyle="Normal"/>
    <tableColumn id="3959" name="Column3938" dataDxfId="12474" dataCellStyle="Normal"/>
    <tableColumn id="3960" name="Column3939" dataDxfId="12473" dataCellStyle="Normal"/>
    <tableColumn id="3961" name="Column3940" dataDxfId="12472" dataCellStyle="Normal"/>
    <tableColumn id="3962" name="Column3941" dataDxfId="12471" dataCellStyle="Normal"/>
    <tableColumn id="3963" name="Column3942" dataDxfId="12470" dataCellStyle="Normal"/>
    <tableColumn id="3964" name="Column3943" dataDxfId="12469" dataCellStyle="Normal"/>
    <tableColumn id="3965" name="Column3944" dataDxfId="12468" dataCellStyle="Normal"/>
    <tableColumn id="3966" name="Column3945" dataDxfId="12467" dataCellStyle="Normal"/>
    <tableColumn id="3967" name="Column3946" dataDxfId="12466" dataCellStyle="Normal"/>
    <tableColumn id="3968" name="Column3947" dataDxfId="12465" dataCellStyle="Normal"/>
    <tableColumn id="3969" name="Column3948" dataDxfId="12464" dataCellStyle="Normal"/>
    <tableColumn id="3970" name="Column3949" dataDxfId="12463" dataCellStyle="Normal"/>
    <tableColumn id="3971" name="Column3950" dataDxfId="12462" dataCellStyle="Normal"/>
    <tableColumn id="3972" name="Column3951" dataDxfId="12461" dataCellStyle="Normal"/>
    <tableColumn id="3973" name="Column3952" dataDxfId="12460" dataCellStyle="Normal"/>
    <tableColumn id="3974" name="Column3953" dataDxfId="12459" dataCellStyle="Normal"/>
    <tableColumn id="3975" name="Column3954" dataDxfId="12458" dataCellStyle="Normal"/>
    <tableColumn id="3976" name="Column3955" dataDxfId="12457" dataCellStyle="Normal"/>
    <tableColumn id="3977" name="Column3956" dataDxfId="12456" dataCellStyle="Normal"/>
    <tableColumn id="3978" name="Column3957" dataDxfId="12455" dataCellStyle="Normal"/>
    <tableColumn id="3979" name="Column3958" dataDxfId="12454" dataCellStyle="Normal"/>
    <tableColumn id="3980" name="Column3959" dataDxfId="12453" dataCellStyle="Normal"/>
    <tableColumn id="3981" name="Column3960" dataDxfId="12452" dataCellStyle="Normal"/>
    <tableColumn id="3982" name="Column3961" dataDxfId="12451" dataCellStyle="Normal"/>
    <tableColumn id="3983" name="Column3962" dataDxfId="12450" dataCellStyle="Normal"/>
    <tableColumn id="3984" name="Column3963" dataDxfId="12449" dataCellStyle="Normal"/>
    <tableColumn id="3985" name="Column3964" dataDxfId="12448" dataCellStyle="Normal"/>
    <tableColumn id="3986" name="Column3965" dataDxfId="12447" dataCellStyle="Normal"/>
    <tableColumn id="3987" name="Column3966" dataDxfId="12446" dataCellStyle="Normal"/>
    <tableColumn id="3988" name="Column3967" dataDxfId="12445" dataCellStyle="Normal"/>
    <tableColumn id="3989" name="Column3968" dataDxfId="12444" dataCellStyle="Normal"/>
    <tableColumn id="3990" name="Column3969" dataDxfId="12443" dataCellStyle="Normal"/>
    <tableColumn id="3991" name="Column3970" dataDxfId="12442" dataCellStyle="Normal"/>
    <tableColumn id="3992" name="Column3971" dataDxfId="12441" dataCellStyle="Normal"/>
    <tableColumn id="3993" name="Column3972" dataDxfId="12440" dataCellStyle="Normal"/>
    <tableColumn id="3994" name="Column3973" dataDxfId="12439" dataCellStyle="Normal"/>
    <tableColumn id="3995" name="Column3974" dataDxfId="12438" dataCellStyle="Normal"/>
    <tableColumn id="3996" name="Column3975" dataDxfId="12437" dataCellStyle="Normal"/>
    <tableColumn id="3997" name="Column3976" dataDxfId="12436" dataCellStyle="Normal"/>
    <tableColumn id="3998" name="Column3977" dataDxfId="12435" dataCellStyle="Normal"/>
    <tableColumn id="3999" name="Column3978" dataDxfId="12434" dataCellStyle="Normal"/>
    <tableColumn id="4000" name="Column3979" dataDxfId="12433" dataCellStyle="Normal"/>
    <tableColumn id="4001" name="Column3980" dataDxfId="12432" dataCellStyle="Normal"/>
    <tableColumn id="4002" name="Column3981" dataDxfId="12431" dataCellStyle="Normal"/>
    <tableColumn id="4003" name="Column3982" dataDxfId="12430" dataCellStyle="Normal"/>
    <tableColumn id="4004" name="Column3983" dataDxfId="12429" dataCellStyle="Normal"/>
    <tableColumn id="4005" name="Column3984" dataDxfId="12428" dataCellStyle="Normal"/>
    <tableColumn id="4006" name="Column3985" dataDxfId="12427" dataCellStyle="Normal"/>
    <tableColumn id="4007" name="Column3986" dataDxfId="12426" dataCellStyle="Normal"/>
    <tableColumn id="4008" name="Column3987" dataDxfId="12425" dataCellStyle="Normal"/>
    <tableColumn id="4009" name="Column3988" dataDxfId="12424" dataCellStyle="Normal"/>
    <tableColumn id="4010" name="Column3989" dataDxfId="12423" dataCellStyle="Normal"/>
    <tableColumn id="4011" name="Column3990" dataDxfId="12422" dataCellStyle="Normal"/>
    <tableColumn id="4012" name="Column3991" dataDxfId="12421" dataCellStyle="Normal"/>
    <tableColumn id="4013" name="Column3992" dataDxfId="12420" dataCellStyle="Normal"/>
    <tableColumn id="4014" name="Column3993" dataDxfId="12419" dataCellStyle="Normal"/>
    <tableColumn id="4015" name="Column3994" dataDxfId="12418" dataCellStyle="Normal"/>
    <tableColumn id="4016" name="Column3995" dataDxfId="12417" dataCellStyle="Normal"/>
    <tableColumn id="4017" name="Column3996" dataDxfId="12416" dataCellStyle="Normal"/>
    <tableColumn id="4018" name="Column3997" dataDxfId="12415" dataCellStyle="Normal"/>
    <tableColumn id="4019" name="Column3998" dataDxfId="12414" dataCellStyle="Normal"/>
    <tableColumn id="4020" name="Column3999" dataDxfId="12413" dataCellStyle="Normal"/>
    <tableColumn id="4021" name="Column4000" dataDxfId="12412" dataCellStyle="Normal"/>
    <tableColumn id="4022" name="Column4001" dataDxfId="12411" dataCellStyle="Normal"/>
    <tableColumn id="4023" name="Column4002" dataDxfId="12410" dataCellStyle="Normal"/>
    <tableColumn id="4024" name="Column4003" dataDxfId="12409" dataCellStyle="Normal"/>
    <tableColumn id="4025" name="Column4004" dataDxfId="12408" dataCellStyle="Normal"/>
    <tableColumn id="4026" name="Column4005" dataDxfId="12407" dataCellStyle="Normal"/>
    <tableColumn id="4027" name="Column4006" dataDxfId="12406" dataCellStyle="Normal"/>
    <tableColumn id="4028" name="Column4007" dataDxfId="12405" dataCellStyle="Normal"/>
    <tableColumn id="4029" name="Column4008" dataDxfId="12404" dataCellStyle="Normal"/>
    <tableColumn id="4030" name="Column4009" dataDxfId="12403" dataCellStyle="Normal"/>
    <tableColumn id="4031" name="Column4010" dataDxfId="12402" dataCellStyle="Normal"/>
    <tableColumn id="4032" name="Column4011" dataDxfId="12401" dataCellStyle="Normal"/>
    <tableColumn id="4033" name="Column4012" dataDxfId="12400" dataCellStyle="Normal"/>
    <tableColumn id="4034" name="Column4013" dataDxfId="12399" dataCellStyle="Normal"/>
    <tableColumn id="4035" name="Column4014" dataDxfId="12398" dataCellStyle="Normal"/>
    <tableColumn id="4036" name="Column4015" dataDxfId="12397" dataCellStyle="Normal"/>
    <tableColumn id="4037" name="Column4016" dataDxfId="12396" dataCellStyle="Normal"/>
    <tableColumn id="4038" name="Column4017" dataDxfId="12395" dataCellStyle="Normal"/>
    <tableColumn id="4039" name="Column4018" dataDxfId="12394" dataCellStyle="Normal"/>
    <tableColumn id="4040" name="Column4019" dataDxfId="12393" dataCellStyle="Normal"/>
    <tableColumn id="4041" name="Column4020" dataDxfId="12392" dataCellStyle="Normal"/>
    <tableColumn id="4042" name="Column4021" dataDxfId="12391" dataCellStyle="Normal"/>
    <tableColumn id="4043" name="Column4022" dataDxfId="12390" dataCellStyle="Normal"/>
    <tableColumn id="4044" name="Column4023" dataDxfId="12389" dataCellStyle="Normal"/>
    <tableColumn id="4045" name="Column4024" dataDxfId="12388" dataCellStyle="Normal"/>
    <tableColumn id="4046" name="Column4025" dataDxfId="12387" dataCellStyle="Normal"/>
    <tableColumn id="4047" name="Column4026" dataDxfId="12386" dataCellStyle="Normal"/>
    <tableColumn id="4048" name="Column4027" dataDxfId="12385" dataCellStyle="Normal"/>
    <tableColumn id="4049" name="Column4028" dataDxfId="12384" dataCellStyle="Normal"/>
    <tableColumn id="4050" name="Column4029" dataDxfId="12383" dataCellStyle="Normal"/>
    <tableColumn id="4051" name="Column4030" dataDxfId="12382" dataCellStyle="Normal"/>
    <tableColumn id="4052" name="Column4031" dataDxfId="12381" dataCellStyle="Normal"/>
    <tableColumn id="4053" name="Column4032" dataDxfId="12380" dataCellStyle="Normal"/>
    <tableColumn id="4054" name="Column4033" dataDxfId="12379" dataCellStyle="Normal"/>
    <tableColumn id="4055" name="Column4034" dataDxfId="12378" dataCellStyle="Normal"/>
    <tableColumn id="4056" name="Column4035" dataDxfId="12377" dataCellStyle="Normal"/>
    <tableColumn id="4057" name="Column4036" dataDxfId="12376" dataCellStyle="Normal"/>
    <tableColumn id="4058" name="Column4037" dataDxfId="12375" dataCellStyle="Normal"/>
    <tableColumn id="4059" name="Column4038" dataDxfId="12374" dataCellStyle="Normal"/>
    <tableColumn id="4060" name="Column4039" dataDxfId="12373" dataCellStyle="Normal"/>
    <tableColumn id="4061" name="Column4040" dataDxfId="12372" dataCellStyle="Normal"/>
    <tableColumn id="4062" name="Column4041" dataDxfId="12371" dataCellStyle="Normal"/>
    <tableColumn id="4063" name="Column4042" dataDxfId="12370" dataCellStyle="Normal"/>
    <tableColumn id="4064" name="Column4043" dataDxfId="12369" dataCellStyle="Normal"/>
    <tableColumn id="4065" name="Column4044" dataDxfId="12368" dataCellStyle="Normal"/>
    <tableColumn id="4066" name="Column4045" dataDxfId="12367" dataCellStyle="Normal"/>
    <tableColumn id="4067" name="Column4046" dataDxfId="12366" dataCellStyle="Normal"/>
    <tableColumn id="4068" name="Column4047" dataDxfId="12365" dataCellStyle="Normal"/>
    <tableColumn id="4069" name="Column4048" dataDxfId="12364" dataCellStyle="Normal"/>
    <tableColumn id="4070" name="Column4049" dataDxfId="12363" dataCellStyle="Normal"/>
    <tableColumn id="4071" name="Column4050" dataDxfId="12362" dataCellStyle="Normal"/>
    <tableColumn id="4072" name="Column4051" dataDxfId="12361" dataCellStyle="Normal"/>
    <tableColumn id="4073" name="Column4052" dataDxfId="12360" dataCellStyle="Normal"/>
    <tableColumn id="4074" name="Column4053" dataDxfId="12359" dataCellStyle="Normal"/>
    <tableColumn id="4075" name="Column4054" dataDxfId="12358" dataCellStyle="Normal"/>
    <tableColumn id="4076" name="Column4055" dataDxfId="12357" dataCellStyle="Normal"/>
    <tableColumn id="4077" name="Column4056" dataDxfId="12356" dataCellStyle="Normal"/>
    <tableColumn id="4078" name="Column4057" dataDxfId="12355" dataCellStyle="Normal"/>
    <tableColumn id="4079" name="Column4058" dataDxfId="12354" dataCellStyle="Normal"/>
    <tableColumn id="4080" name="Column4059" dataDxfId="12353" dataCellStyle="Normal"/>
    <tableColumn id="4081" name="Column4060" dataDxfId="12352" dataCellStyle="Normal"/>
    <tableColumn id="4082" name="Column4061" dataDxfId="12351" dataCellStyle="Normal"/>
    <tableColumn id="4083" name="Column4062" dataDxfId="12350" dataCellStyle="Normal"/>
    <tableColumn id="4084" name="Column4063" dataDxfId="12349" dataCellStyle="Normal"/>
    <tableColumn id="4085" name="Column4064" dataDxfId="12348" dataCellStyle="Normal"/>
    <tableColumn id="4086" name="Column4065" dataDxfId="12347" dataCellStyle="Normal"/>
    <tableColumn id="4087" name="Column4066" dataDxfId="12346" dataCellStyle="Normal"/>
    <tableColumn id="4088" name="Column4067" dataDxfId="12345" dataCellStyle="Normal"/>
    <tableColumn id="4089" name="Column4068" dataDxfId="12344" dataCellStyle="Normal"/>
    <tableColumn id="4090" name="Column4069" dataDxfId="12343" dataCellStyle="Normal"/>
    <tableColumn id="4091" name="Column4070" dataDxfId="12342" dataCellStyle="Normal"/>
    <tableColumn id="4092" name="Column4071" dataDxfId="12341" dataCellStyle="Normal"/>
    <tableColumn id="4093" name="Column4072" dataDxfId="12340" dataCellStyle="Normal"/>
    <tableColumn id="4094" name="Column4073" dataDxfId="12339" dataCellStyle="Normal"/>
    <tableColumn id="4095" name="Column4074" dataDxfId="12338" dataCellStyle="Normal"/>
    <tableColumn id="4096" name="Column4075" dataDxfId="12337" dataCellStyle="Normal"/>
    <tableColumn id="4097" name="Column4076" dataDxfId="12336" dataCellStyle="Normal"/>
    <tableColumn id="4098" name="Column4077" dataDxfId="12335" dataCellStyle="Normal"/>
    <tableColumn id="4099" name="Column4078" dataDxfId="12334" dataCellStyle="Normal"/>
    <tableColumn id="4100" name="Column4079" dataDxfId="12333" dataCellStyle="Normal"/>
    <tableColumn id="4101" name="Column4080" dataDxfId="12332" dataCellStyle="Normal"/>
    <tableColumn id="4102" name="Column4081" dataDxfId="12331" dataCellStyle="Normal"/>
    <tableColumn id="4103" name="Column4082" dataDxfId="12330" dataCellStyle="Normal"/>
    <tableColumn id="4104" name="Column4083" dataDxfId="12329" dataCellStyle="Normal"/>
    <tableColumn id="4105" name="Column4084" dataDxfId="12328" dataCellStyle="Normal"/>
    <tableColumn id="4106" name="Column4085" dataDxfId="12327" dataCellStyle="Normal"/>
    <tableColumn id="4107" name="Column4086" dataDxfId="12326" dataCellStyle="Normal"/>
    <tableColumn id="4108" name="Column4087" dataDxfId="12325" dataCellStyle="Normal"/>
    <tableColumn id="4109" name="Column4088" dataDxfId="12324" dataCellStyle="Normal"/>
    <tableColumn id="4110" name="Column4089" dataDxfId="12323" dataCellStyle="Normal"/>
    <tableColumn id="4111" name="Column4090" dataDxfId="12322" dataCellStyle="Normal"/>
    <tableColumn id="4112" name="Column4091" dataDxfId="12321" dataCellStyle="Normal"/>
    <tableColumn id="4113" name="Column4092" dataDxfId="12320" dataCellStyle="Normal"/>
    <tableColumn id="4114" name="Column4093" dataDxfId="12319" dataCellStyle="Normal"/>
    <tableColumn id="4115" name="Column4094" dataDxfId="12318" dataCellStyle="Normal"/>
    <tableColumn id="4116" name="Column4095" dataDxfId="12317" dataCellStyle="Normal"/>
    <tableColumn id="4117" name="Column4096" dataDxfId="12316" dataCellStyle="Normal"/>
    <tableColumn id="4118" name="Column4097" dataDxfId="12315" dataCellStyle="Normal"/>
    <tableColumn id="4119" name="Column4098" dataDxfId="12314" dataCellStyle="Normal"/>
    <tableColumn id="4120" name="Column4099" dataDxfId="12313" dataCellStyle="Normal"/>
    <tableColumn id="4121" name="Column4100" dataDxfId="12312" dataCellStyle="Normal"/>
    <tableColumn id="4122" name="Column4101" dataDxfId="12311" dataCellStyle="Normal"/>
    <tableColumn id="4123" name="Column4102" dataDxfId="12310" dataCellStyle="Normal"/>
    <tableColumn id="4124" name="Column4103" dataDxfId="12309" dataCellStyle="Normal"/>
    <tableColumn id="4125" name="Column4104" dataDxfId="12308" dataCellStyle="Normal"/>
    <tableColumn id="4126" name="Column4105" dataDxfId="12307" dataCellStyle="Normal"/>
    <tableColumn id="4127" name="Column4106" dataDxfId="12306" dataCellStyle="Normal"/>
    <tableColumn id="4128" name="Column4107" dataDxfId="12305" dataCellStyle="Normal"/>
    <tableColumn id="4129" name="Column4108" dataDxfId="12304" dataCellStyle="Normal"/>
    <tableColumn id="4130" name="Column4109" dataDxfId="12303" dataCellStyle="Normal"/>
    <tableColumn id="4131" name="Column4110" dataDxfId="12302" dataCellStyle="Normal"/>
    <tableColumn id="4132" name="Column4111" dataDxfId="12301" dataCellStyle="Normal"/>
    <tableColumn id="4133" name="Column4112" dataDxfId="12300" dataCellStyle="Normal"/>
    <tableColumn id="4134" name="Column4113" dataDxfId="12299" dataCellStyle="Normal"/>
    <tableColumn id="4135" name="Column4114" dataDxfId="12298" dataCellStyle="Normal"/>
    <tableColumn id="4136" name="Column4115" dataDxfId="12297" dataCellStyle="Normal"/>
    <tableColumn id="4137" name="Column4116" dataDxfId="12296" dataCellStyle="Normal"/>
    <tableColumn id="4138" name="Column4117" dataDxfId="12295" dataCellStyle="Normal"/>
    <tableColumn id="4139" name="Column4118" dataDxfId="12294" dataCellStyle="Normal"/>
    <tableColumn id="4140" name="Column4119" dataDxfId="12293" dataCellStyle="Normal"/>
    <tableColumn id="4141" name="Column4120" dataDxfId="12292" dataCellStyle="Normal"/>
    <tableColumn id="4142" name="Column4121" dataDxfId="12291" dataCellStyle="Normal"/>
    <tableColumn id="4143" name="Column4122" dataDxfId="12290" dataCellStyle="Normal"/>
    <tableColumn id="4144" name="Column4123" dataDxfId="12289" dataCellStyle="Normal"/>
    <tableColumn id="4145" name="Column4124" dataDxfId="12288" dataCellStyle="Normal"/>
    <tableColumn id="4146" name="Column4125" dataDxfId="12287" dataCellStyle="Normal"/>
    <tableColumn id="4147" name="Column4126" dataDxfId="12286" dataCellStyle="Normal"/>
    <tableColumn id="4148" name="Column4127" dataDxfId="12285" dataCellStyle="Normal"/>
    <tableColumn id="4149" name="Column4128" dataDxfId="12284" dataCellStyle="Normal"/>
    <tableColumn id="4150" name="Column4129" dataDxfId="12283" dataCellStyle="Normal"/>
    <tableColumn id="4151" name="Column4130" dataDxfId="12282" dataCellStyle="Normal"/>
    <tableColumn id="4152" name="Column4131" dataDxfId="12281" dataCellStyle="Normal"/>
    <tableColumn id="4153" name="Column4132" dataDxfId="12280" dataCellStyle="Normal"/>
    <tableColumn id="4154" name="Column4133" dataDxfId="12279" dataCellStyle="Normal"/>
    <tableColumn id="4155" name="Column4134" dataDxfId="12278" dataCellStyle="Normal"/>
    <tableColumn id="4156" name="Column4135" dataDxfId="12277" dataCellStyle="Normal"/>
    <tableColumn id="4157" name="Column4136" dataDxfId="12276" dataCellStyle="Normal"/>
    <tableColumn id="4158" name="Column4137" dataDxfId="12275" dataCellStyle="Normal"/>
    <tableColumn id="4159" name="Column4138" dataDxfId="12274" dataCellStyle="Normal"/>
    <tableColumn id="4160" name="Column4139" dataDxfId="12273" dataCellStyle="Normal"/>
    <tableColumn id="4161" name="Column4140" dataDxfId="12272" dataCellStyle="Normal"/>
    <tableColumn id="4162" name="Column4141" dataDxfId="12271" dataCellStyle="Normal"/>
    <tableColumn id="4163" name="Column4142" dataDxfId="12270" dataCellStyle="Normal"/>
    <tableColumn id="4164" name="Column4143" dataDxfId="12269" dataCellStyle="Normal"/>
    <tableColumn id="4165" name="Column4144" dataDxfId="12268" dataCellStyle="Normal"/>
    <tableColumn id="4166" name="Column4145" dataDxfId="12267" dataCellStyle="Normal"/>
    <tableColumn id="4167" name="Column4146" dataDxfId="12266" dataCellStyle="Normal"/>
    <tableColumn id="4168" name="Column4147" dataDxfId="12265" dataCellStyle="Normal"/>
    <tableColumn id="4169" name="Column4148" dataDxfId="12264" dataCellStyle="Normal"/>
    <tableColumn id="4170" name="Column4149" dataDxfId="12263" dataCellStyle="Normal"/>
    <tableColumn id="4171" name="Column4150" dataDxfId="12262" dataCellStyle="Normal"/>
    <tableColumn id="4172" name="Column4151" dataDxfId="12261" dataCellStyle="Normal"/>
    <tableColumn id="4173" name="Column4152" dataDxfId="12260" dataCellStyle="Normal"/>
    <tableColumn id="4174" name="Column4153" dataDxfId="12259" dataCellStyle="Normal"/>
    <tableColumn id="4175" name="Column4154" dataDxfId="12258" dataCellStyle="Normal"/>
    <tableColumn id="4176" name="Column4155" dataDxfId="12257" dataCellStyle="Normal"/>
    <tableColumn id="4177" name="Column4156" dataDxfId="12256" dataCellStyle="Normal"/>
    <tableColumn id="4178" name="Column4157" dataDxfId="12255" dataCellStyle="Normal"/>
    <tableColumn id="4179" name="Column4158" dataDxfId="12254" dataCellStyle="Normal"/>
    <tableColumn id="4180" name="Column4159" dataDxfId="12253" dataCellStyle="Normal"/>
    <tableColumn id="4181" name="Column4160" dataDxfId="12252" dataCellStyle="Normal"/>
    <tableColumn id="4182" name="Column4161" dataDxfId="12251" dataCellStyle="Normal"/>
    <tableColumn id="4183" name="Column4162" dataDxfId="12250" dataCellStyle="Normal"/>
    <tableColumn id="4184" name="Column4163" dataDxfId="12249" dataCellStyle="Normal"/>
    <tableColumn id="4185" name="Column4164" dataDxfId="12248" dataCellStyle="Normal"/>
    <tableColumn id="4186" name="Column4165" dataDxfId="12247" dataCellStyle="Normal"/>
    <tableColumn id="4187" name="Column4166" dataDxfId="12246" dataCellStyle="Normal"/>
    <tableColumn id="4188" name="Column4167" dataDxfId="12245" dataCellStyle="Normal"/>
    <tableColumn id="4189" name="Column4168" dataDxfId="12244" dataCellStyle="Normal"/>
    <tableColumn id="4190" name="Column4169" dataDxfId="12243" dataCellStyle="Normal"/>
    <tableColumn id="4191" name="Column4170" dataDxfId="12242" dataCellStyle="Normal"/>
    <tableColumn id="4192" name="Column4171" dataDxfId="12241" dataCellStyle="Normal"/>
    <tableColumn id="4193" name="Column4172" dataDxfId="12240" dataCellStyle="Normal"/>
    <tableColumn id="4194" name="Column4173" dataDxfId="12239" dataCellStyle="Normal"/>
    <tableColumn id="4195" name="Column4174" dataDxfId="12238" dataCellStyle="Normal"/>
    <tableColumn id="4196" name="Column4175" dataDxfId="12237" dataCellStyle="Normal"/>
    <tableColumn id="4197" name="Column4176" dataDxfId="12236" dataCellStyle="Normal"/>
    <tableColumn id="4198" name="Column4177" dataDxfId="12235" dataCellStyle="Normal"/>
    <tableColumn id="4199" name="Column4178" dataDxfId="12234" dataCellStyle="Normal"/>
    <tableColumn id="4200" name="Column4179" dataDxfId="12233" dataCellStyle="Normal"/>
    <tableColumn id="4201" name="Column4180" dataDxfId="12232" dataCellStyle="Normal"/>
    <tableColumn id="4202" name="Column4181" dataDxfId="12231" dataCellStyle="Normal"/>
    <tableColumn id="4203" name="Column4182" dataDxfId="12230" dataCellStyle="Normal"/>
    <tableColumn id="4204" name="Column4183" dataDxfId="12229" dataCellStyle="Normal"/>
    <tableColumn id="4205" name="Column4184" dataDxfId="12228" dataCellStyle="Normal"/>
    <tableColumn id="4206" name="Column4185" dataDxfId="12227" dataCellStyle="Normal"/>
    <tableColumn id="4207" name="Column4186" dataDxfId="12226" dataCellStyle="Normal"/>
    <tableColumn id="4208" name="Column4187" dataDxfId="12225" dataCellStyle="Normal"/>
    <tableColumn id="4209" name="Column4188" dataDxfId="12224" dataCellStyle="Normal"/>
    <tableColumn id="4210" name="Column4189" dataDxfId="12223" dataCellStyle="Normal"/>
    <tableColumn id="4211" name="Column4190" dataDxfId="12222" dataCellStyle="Normal"/>
    <tableColumn id="4212" name="Column4191" dataDxfId="12221" dataCellStyle="Normal"/>
    <tableColumn id="4213" name="Column4192" dataDxfId="12220" dataCellStyle="Normal"/>
    <tableColumn id="4214" name="Column4193" dataDxfId="12219" dataCellStyle="Normal"/>
    <tableColumn id="4215" name="Column4194" dataDxfId="12218" dataCellStyle="Normal"/>
    <tableColumn id="4216" name="Column4195" dataDxfId="12217" dataCellStyle="Normal"/>
    <tableColumn id="4217" name="Column4196" dataDxfId="12216" dataCellStyle="Normal"/>
    <tableColumn id="4218" name="Column4197" dataDxfId="12215" dataCellStyle="Normal"/>
    <tableColumn id="4219" name="Column4198" dataDxfId="12214" dataCellStyle="Normal"/>
    <tableColumn id="4220" name="Column4199" dataDxfId="12213" dataCellStyle="Normal"/>
    <tableColumn id="4221" name="Column4200" dataDxfId="12212" dataCellStyle="Normal"/>
    <tableColumn id="4222" name="Column4201" dataDxfId="12211" dataCellStyle="Normal"/>
    <tableColumn id="4223" name="Column4202" dataDxfId="12210" dataCellStyle="Normal"/>
    <tableColumn id="4224" name="Column4203" dataDxfId="12209" dataCellStyle="Normal"/>
    <tableColumn id="4225" name="Column4204" dataDxfId="12208" dataCellStyle="Normal"/>
    <tableColumn id="4226" name="Column4205" dataDxfId="12207" dataCellStyle="Normal"/>
    <tableColumn id="4227" name="Column4206" dataDxfId="12206" dataCellStyle="Normal"/>
    <tableColumn id="4228" name="Column4207" dataDxfId="12205" dataCellStyle="Normal"/>
    <tableColumn id="4229" name="Column4208" dataDxfId="12204" dataCellStyle="Normal"/>
    <tableColumn id="4230" name="Column4209" dataDxfId="12203" dataCellStyle="Normal"/>
    <tableColumn id="4231" name="Column4210" dataDxfId="12202" dataCellStyle="Normal"/>
    <tableColumn id="4232" name="Column4211" dataDxfId="12201" dataCellStyle="Normal"/>
    <tableColumn id="4233" name="Column4212" dataDxfId="12200" dataCellStyle="Normal"/>
    <tableColumn id="4234" name="Column4213" dataDxfId="12199" dataCellStyle="Normal"/>
    <tableColumn id="4235" name="Column4214" dataDxfId="12198" dataCellStyle="Normal"/>
    <tableColumn id="4236" name="Column4215" dataDxfId="12197" dataCellStyle="Normal"/>
    <tableColumn id="4237" name="Column4216" dataDxfId="12196" dataCellStyle="Normal"/>
    <tableColumn id="4238" name="Column4217" dataDxfId="12195" dataCellStyle="Normal"/>
    <tableColumn id="4239" name="Column4218" dataDxfId="12194" dataCellStyle="Normal"/>
    <tableColumn id="4240" name="Column4219" dataDxfId="12193" dataCellStyle="Normal"/>
    <tableColumn id="4241" name="Column4220" dataDxfId="12192" dataCellStyle="Normal"/>
    <tableColumn id="4242" name="Column4221" dataDxfId="12191" dataCellStyle="Normal"/>
    <tableColumn id="4243" name="Column4222" dataDxfId="12190" dataCellStyle="Normal"/>
    <tableColumn id="4244" name="Column4223" dataDxfId="12189" dataCellStyle="Normal"/>
    <tableColumn id="4245" name="Column4224" dataDxfId="12188" dataCellStyle="Normal"/>
    <tableColumn id="4246" name="Column4225" dataDxfId="12187" dataCellStyle="Normal"/>
    <tableColumn id="4247" name="Column4226" dataDxfId="12186" dataCellStyle="Normal"/>
    <tableColumn id="4248" name="Column4227" dataDxfId="12185" dataCellStyle="Normal"/>
    <tableColumn id="4249" name="Column4228" dataDxfId="12184" dataCellStyle="Normal"/>
    <tableColumn id="4250" name="Column4229" dataDxfId="12183" dataCellStyle="Normal"/>
    <tableColumn id="4251" name="Column4230" dataDxfId="12182" dataCellStyle="Normal"/>
    <tableColumn id="4252" name="Column4231" dataDxfId="12181" dataCellStyle="Normal"/>
    <tableColumn id="4253" name="Column4232" dataDxfId="12180" dataCellStyle="Normal"/>
    <tableColumn id="4254" name="Column4233" dataDxfId="12179" dataCellStyle="Normal"/>
    <tableColumn id="4255" name="Column4234" dataDxfId="12178" dataCellStyle="Normal"/>
    <tableColumn id="4256" name="Column4235" dataDxfId="12177" dataCellStyle="Normal"/>
    <tableColumn id="4257" name="Column4236" dataDxfId="12176" dataCellStyle="Normal"/>
    <tableColumn id="4258" name="Column4237" dataDxfId="12175" dataCellStyle="Normal"/>
    <tableColumn id="4259" name="Column4238" dataDxfId="12174" dataCellStyle="Normal"/>
    <tableColumn id="4260" name="Column4239" dataDxfId="12173" dataCellStyle="Normal"/>
    <tableColumn id="4261" name="Column4240" dataDxfId="12172" dataCellStyle="Normal"/>
    <tableColumn id="4262" name="Column4241" dataDxfId="12171" dataCellStyle="Normal"/>
    <tableColumn id="4263" name="Column4242" dataDxfId="12170" dataCellStyle="Normal"/>
    <tableColumn id="4264" name="Column4243" dataDxfId="12169" dataCellStyle="Normal"/>
    <tableColumn id="4265" name="Column4244" dataDxfId="12168" dataCellStyle="Normal"/>
    <tableColumn id="4266" name="Column4245" dataDxfId="12167" dataCellStyle="Normal"/>
    <tableColumn id="4267" name="Column4246" dataDxfId="12166" dataCellStyle="Normal"/>
    <tableColumn id="4268" name="Column4247" dataDxfId="12165" dataCellStyle="Normal"/>
    <tableColumn id="4269" name="Column4248" dataDxfId="12164" dataCellStyle="Normal"/>
    <tableColumn id="4270" name="Column4249" dataDxfId="12163" dataCellStyle="Normal"/>
    <tableColumn id="4271" name="Column4250" dataDxfId="12162" dataCellStyle="Normal"/>
    <tableColumn id="4272" name="Column4251" dataDxfId="12161" dataCellStyle="Normal"/>
    <tableColumn id="4273" name="Column4252" dataDxfId="12160" dataCellStyle="Normal"/>
    <tableColumn id="4274" name="Column4253" dataDxfId="12159" dataCellStyle="Normal"/>
    <tableColumn id="4275" name="Column4254" dataDxfId="12158" dataCellStyle="Normal"/>
    <tableColumn id="4276" name="Column4255" dataDxfId="12157" dataCellStyle="Normal"/>
    <tableColumn id="4277" name="Column4256" dataDxfId="12156" dataCellStyle="Normal"/>
    <tableColumn id="4278" name="Column4257" dataDxfId="12155" dataCellStyle="Normal"/>
    <tableColumn id="4279" name="Column4258" dataDxfId="12154" dataCellStyle="Normal"/>
    <tableColumn id="4280" name="Column4259" dataDxfId="12153" dataCellStyle="Normal"/>
    <tableColumn id="4281" name="Column4260" dataDxfId="12152" dataCellStyle="Normal"/>
    <tableColumn id="4282" name="Column4261" dataDxfId="12151" dataCellStyle="Normal"/>
    <tableColumn id="4283" name="Column4262" dataDxfId="12150" dataCellStyle="Normal"/>
    <tableColumn id="4284" name="Column4263" dataDxfId="12149" dataCellStyle="Normal"/>
    <tableColumn id="4285" name="Column4264" dataDxfId="12148" dataCellStyle="Normal"/>
    <tableColumn id="4286" name="Column4265" dataDxfId="12147" dataCellStyle="Normal"/>
    <tableColumn id="4287" name="Column4266" dataDxfId="12146" dataCellStyle="Normal"/>
    <tableColumn id="4288" name="Column4267" dataDxfId="12145" dataCellStyle="Normal"/>
    <tableColumn id="4289" name="Column4268" dataDxfId="12144" dataCellStyle="Normal"/>
    <tableColumn id="4290" name="Column4269" dataDxfId="12143" dataCellStyle="Normal"/>
    <tableColumn id="4291" name="Column4270" dataDxfId="12142" dataCellStyle="Normal"/>
    <tableColumn id="4292" name="Column4271" dataDxfId="12141" dataCellStyle="Normal"/>
    <tableColumn id="4293" name="Column4272" dataDxfId="12140" dataCellStyle="Normal"/>
    <tableColumn id="4294" name="Column4273" dataDxfId="12139" dataCellStyle="Normal"/>
    <tableColumn id="4295" name="Column4274" dataDxfId="12138" dataCellStyle="Normal"/>
    <tableColumn id="4296" name="Column4275" dataDxfId="12137" dataCellStyle="Normal"/>
    <tableColumn id="4297" name="Column4276" dataDxfId="12136" dataCellStyle="Normal"/>
    <tableColumn id="4298" name="Column4277" dataDxfId="12135" dataCellStyle="Normal"/>
    <tableColumn id="4299" name="Column4278" dataDxfId="12134" dataCellStyle="Normal"/>
    <tableColumn id="4300" name="Column4279" dataDxfId="12133" dataCellStyle="Normal"/>
    <tableColumn id="4301" name="Column4280" dataDxfId="12132" dataCellStyle="Normal"/>
    <tableColumn id="4302" name="Column4281" dataDxfId="12131" dataCellStyle="Normal"/>
    <tableColumn id="4303" name="Column4282" dataDxfId="12130" dataCellStyle="Normal"/>
    <tableColumn id="4304" name="Column4283" dataDxfId="12129" dataCellStyle="Normal"/>
    <tableColumn id="4305" name="Column4284" dataDxfId="12128" dataCellStyle="Normal"/>
    <tableColumn id="4306" name="Column4285" dataDxfId="12127" dataCellStyle="Normal"/>
    <tableColumn id="4307" name="Column4286" dataDxfId="12126" dataCellStyle="Normal"/>
    <tableColumn id="4308" name="Column4287" dataDxfId="12125" dataCellStyle="Normal"/>
    <tableColumn id="4309" name="Column4288" dataDxfId="12124" dataCellStyle="Normal"/>
    <tableColumn id="4310" name="Column4289" dataDxfId="12123" dataCellStyle="Normal"/>
    <tableColumn id="4311" name="Column4290" dataDxfId="12122" dataCellStyle="Normal"/>
    <tableColumn id="4312" name="Column4291" dataDxfId="12121" dataCellStyle="Normal"/>
    <tableColumn id="4313" name="Column4292" dataDxfId="12120" dataCellStyle="Normal"/>
    <tableColumn id="4314" name="Column4293" dataDxfId="12119" dataCellStyle="Normal"/>
    <tableColumn id="4315" name="Column4294" dataDxfId="12118" dataCellStyle="Normal"/>
    <tableColumn id="4316" name="Column4295" dataDxfId="12117" dataCellStyle="Normal"/>
    <tableColumn id="4317" name="Column4296" dataDxfId="12116" dataCellStyle="Normal"/>
    <tableColumn id="4318" name="Column4297" dataDxfId="12115" dataCellStyle="Normal"/>
    <tableColumn id="4319" name="Column4298" dataDxfId="12114" dataCellStyle="Normal"/>
    <tableColumn id="4320" name="Column4299" dataDxfId="12113" dataCellStyle="Normal"/>
    <tableColumn id="4321" name="Column4300" dataDxfId="12112" dataCellStyle="Normal"/>
    <tableColumn id="4322" name="Column4301" dataDxfId="12111" dataCellStyle="Normal"/>
    <tableColumn id="4323" name="Column4302" dataDxfId="12110" dataCellStyle="Normal"/>
    <tableColumn id="4324" name="Column4303" dataDxfId="12109" dataCellStyle="Normal"/>
    <tableColumn id="4325" name="Column4304" dataDxfId="12108" dataCellStyle="Normal"/>
    <tableColumn id="4326" name="Column4305" dataDxfId="12107" dataCellStyle="Normal"/>
    <tableColumn id="4327" name="Column4306" dataDxfId="12106" dataCellStyle="Normal"/>
    <tableColumn id="4328" name="Column4307" dataDxfId="12105" dataCellStyle="Normal"/>
    <tableColumn id="4329" name="Column4308" dataDxfId="12104" dataCellStyle="Normal"/>
    <tableColumn id="4330" name="Column4309" dataDxfId="12103" dataCellStyle="Normal"/>
    <tableColumn id="4331" name="Column4310" dataDxfId="12102" dataCellStyle="Normal"/>
    <tableColumn id="4332" name="Column4311" dataDxfId="12101" dataCellStyle="Normal"/>
    <tableColumn id="4333" name="Column4312" dataDxfId="12100" dataCellStyle="Normal"/>
    <tableColumn id="4334" name="Column4313" dataDxfId="12099" dataCellStyle="Normal"/>
    <tableColumn id="4335" name="Column4314" dataDxfId="12098" dataCellStyle="Normal"/>
    <tableColumn id="4336" name="Column4315" dataDxfId="12097" dataCellStyle="Normal"/>
    <tableColumn id="4337" name="Column4316" dataDxfId="12096" dataCellStyle="Normal"/>
    <tableColumn id="4338" name="Column4317" dataDxfId="12095" dataCellStyle="Normal"/>
    <tableColumn id="4339" name="Column4318" dataDxfId="12094" dataCellStyle="Normal"/>
    <tableColumn id="4340" name="Column4319" dataDxfId="12093" dataCellStyle="Normal"/>
    <tableColumn id="4341" name="Column4320" dataDxfId="12092" dataCellStyle="Normal"/>
    <tableColumn id="4342" name="Column4321" dataDxfId="12091" dataCellStyle="Normal"/>
    <tableColumn id="4343" name="Column4322" dataDxfId="12090" dataCellStyle="Normal"/>
    <tableColumn id="4344" name="Column4323" dataDxfId="12089" dataCellStyle="Normal"/>
    <tableColumn id="4345" name="Column4324" dataDxfId="12088" dataCellStyle="Normal"/>
    <tableColumn id="4346" name="Column4325" dataDxfId="12087" dataCellStyle="Normal"/>
    <tableColumn id="4347" name="Column4326" dataDxfId="12086" dataCellStyle="Normal"/>
    <tableColumn id="4348" name="Column4327" dataDxfId="12085" dataCellStyle="Normal"/>
    <tableColumn id="4349" name="Column4328" dataDxfId="12084" dataCellStyle="Normal"/>
    <tableColumn id="4350" name="Column4329" dataDxfId="12083" dataCellStyle="Normal"/>
    <tableColumn id="4351" name="Column4330" dataDxfId="12082" dataCellStyle="Normal"/>
    <tableColumn id="4352" name="Column4331" dataDxfId="12081" dataCellStyle="Normal"/>
    <tableColumn id="4353" name="Column4332" dataDxfId="12080" dataCellStyle="Normal"/>
    <tableColumn id="4354" name="Column4333" dataDxfId="12079" dataCellStyle="Normal"/>
    <tableColumn id="4355" name="Column4334" dataDxfId="12078" dataCellStyle="Normal"/>
    <tableColumn id="4356" name="Column4335" dataDxfId="12077" dataCellStyle="Normal"/>
    <tableColumn id="4357" name="Column4336" dataDxfId="12076" dataCellStyle="Normal"/>
    <tableColumn id="4358" name="Column4337" dataDxfId="12075" dataCellStyle="Normal"/>
    <tableColumn id="4359" name="Column4338" dataDxfId="12074" dataCellStyle="Normal"/>
    <tableColumn id="4360" name="Column4339" dataDxfId="12073" dataCellStyle="Normal"/>
    <tableColumn id="4361" name="Column4340" dataDxfId="12072" dataCellStyle="Normal"/>
    <tableColumn id="4362" name="Column4341" dataDxfId="12071" dataCellStyle="Normal"/>
    <tableColumn id="4363" name="Column4342" dataDxfId="12070" dataCellStyle="Normal"/>
    <tableColumn id="4364" name="Column4343" dataDxfId="12069" dataCellStyle="Normal"/>
    <tableColumn id="4365" name="Column4344" dataDxfId="12068" dataCellStyle="Normal"/>
    <tableColumn id="4366" name="Column4345" dataDxfId="12067" dataCellStyle="Normal"/>
    <tableColumn id="4367" name="Column4346" dataDxfId="12066" dataCellStyle="Normal"/>
    <tableColumn id="4368" name="Column4347" dataDxfId="12065" dataCellStyle="Normal"/>
    <tableColumn id="4369" name="Column4348" dataDxfId="12064" dataCellStyle="Normal"/>
    <tableColumn id="4370" name="Column4349" dataDxfId="12063" dataCellStyle="Normal"/>
    <tableColumn id="4371" name="Column4350" dataDxfId="12062" dataCellStyle="Normal"/>
    <tableColumn id="4372" name="Column4351" dataDxfId="12061" dataCellStyle="Normal"/>
    <tableColumn id="4373" name="Column4352" dataDxfId="12060" dataCellStyle="Normal"/>
    <tableColumn id="4374" name="Column4353" dataDxfId="12059" dataCellStyle="Normal"/>
    <tableColumn id="4375" name="Column4354" dataDxfId="12058" dataCellStyle="Normal"/>
    <tableColumn id="4376" name="Column4355" dataDxfId="12057" dataCellStyle="Normal"/>
    <tableColumn id="4377" name="Column4356" dataDxfId="12056" dataCellStyle="Normal"/>
    <tableColumn id="4378" name="Column4357" dataDxfId="12055" dataCellStyle="Normal"/>
    <tableColumn id="4379" name="Column4358" dataDxfId="12054" dataCellStyle="Normal"/>
    <tableColumn id="4380" name="Column4359" dataDxfId="12053" dataCellStyle="Normal"/>
    <tableColumn id="4381" name="Column4360" dataDxfId="12052" dataCellStyle="Normal"/>
    <tableColumn id="4382" name="Column4361" dataDxfId="12051" dataCellStyle="Normal"/>
    <tableColumn id="4383" name="Column4362" dataDxfId="12050" dataCellStyle="Normal"/>
    <tableColumn id="4384" name="Column4363" dataDxfId="12049" dataCellStyle="Normal"/>
    <tableColumn id="4385" name="Column4364" dataDxfId="12048" dataCellStyle="Normal"/>
    <tableColumn id="4386" name="Column4365" dataDxfId="12047" dataCellStyle="Normal"/>
    <tableColumn id="4387" name="Column4366" dataDxfId="12046" dataCellStyle="Normal"/>
    <tableColumn id="4388" name="Column4367" dataDxfId="12045" dataCellStyle="Normal"/>
    <tableColumn id="4389" name="Column4368" dataDxfId="12044" dataCellStyle="Normal"/>
    <tableColumn id="4390" name="Column4369" dataDxfId="12043" dataCellStyle="Normal"/>
    <tableColumn id="4391" name="Column4370" dataDxfId="12042" dataCellStyle="Normal"/>
    <tableColumn id="4392" name="Column4371" dataDxfId="12041" dataCellStyle="Normal"/>
    <tableColumn id="4393" name="Column4372" dataDxfId="12040" dataCellStyle="Normal"/>
    <tableColumn id="4394" name="Column4373" dataDxfId="12039" dataCellStyle="Normal"/>
    <tableColumn id="4395" name="Column4374" dataDxfId="12038" dataCellStyle="Normal"/>
    <tableColumn id="4396" name="Column4375" dataDxfId="12037" dataCellStyle="Normal"/>
    <tableColumn id="4397" name="Column4376" dataDxfId="12036" dataCellStyle="Normal"/>
    <tableColumn id="4398" name="Column4377" dataDxfId="12035" dataCellStyle="Normal"/>
    <tableColumn id="4399" name="Column4378" dataDxfId="12034" dataCellStyle="Normal"/>
    <tableColumn id="4400" name="Column4379" dataDxfId="12033" dataCellStyle="Normal"/>
    <tableColumn id="4401" name="Column4380" dataDxfId="12032" dataCellStyle="Normal"/>
    <tableColumn id="4402" name="Column4381" dataDxfId="12031" dataCellStyle="Normal"/>
    <tableColumn id="4403" name="Column4382" dataDxfId="12030" dataCellStyle="Normal"/>
    <tableColumn id="4404" name="Column4383" dataDxfId="12029" dataCellStyle="Normal"/>
    <tableColumn id="4405" name="Column4384" dataDxfId="12028" dataCellStyle="Normal"/>
    <tableColumn id="4406" name="Column4385" dataDxfId="12027" dataCellStyle="Normal"/>
    <tableColumn id="4407" name="Column4386" dataDxfId="12026" dataCellStyle="Normal"/>
    <tableColumn id="4408" name="Column4387" dataDxfId="12025" dataCellStyle="Normal"/>
    <tableColumn id="4409" name="Column4388" dataDxfId="12024" dataCellStyle="Normal"/>
    <tableColumn id="4410" name="Column4389" dataDxfId="12023" dataCellStyle="Normal"/>
    <tableColumn id="4411" name="Column4390" dataDxfId="12022" dataCellStyle="Normal"/>
    <tableColumn id="4412" name="Column4391" dataDxfId="12021" dataCellStyle="Normal"/>
    <tableColumn id="4413" name="Column4392" dataDxfId="12020" dataCellStyle="Normal"/>
    <tableColumn id="4414" name="Column4393" dataDxfId="12019" dataCellStyle="Normal"/>
    <tableColumn id="4415" name="Column4394" dataDxfId="12018" dataCellStyle="Normal"/>
    <tableColumn id="4416" name="Column4395" dataDxfId="12017" dataCellStyle="Normal"/>
    <tableColumn id="4417" name="Column4396" dataDxfId="12016" dataCellStyle="Normal"/>
    <tableColumn id="4418" name="Column4397" dataDxfId="12015" dataCellStyle="Normal"/>
    <tableColumn id="4419" name="Column4398" dataDxfId="12014" dataCellStyle="Normal"/>
    <tableColumn id="4420" name="Column4399" dataDxfId="12013" dataCellStyle="Normal"/>
    <tableColumn id="4421" name="Column4400" dataDxfId="12012" dataCellStyle="Normal"/>
    <tableColumn id="4422" name="Column4401" dataDxfId="12011" dataCellStyle="Normal"/>
    <tableColumn id="4423" name="Column4402" dataDxfId="12010" dataCellStyle="Normal"/>
    <tableColumn id="4424" name="Column4403" dataDxfId="12009" dataCellStyle="Normal"/>
    <tableColumn id="4425" name="Column4404" dataDxfId="12008" dataCellStyle="Normal"/>
    <tableColumn id="4426" name="Column4405" dataDxfId="12007" dataCellStyle="Normal"/>
    <tableColumn id="4427" name="Column4406" dataDxfId="12006" dataCellStyle="Normal"/>
    <tableColumn id="4428" name="Column4407" dataDxfId="12005" dataCellStyle="Normal"/>
    <tableColumn id="4429" name="Column4408" dataDxfId="12004" dataCellStyle="Normal"/>
    <tableColumn id="4430" name="Column4409" dataDxfId="12003" dataCellStyle="Normal"/>
    <tableColumn id="4431" name="Column4410" dataDxfId="12002" dataCellStyle="Normal"/>
    <tableColumn id="4432" name="Column4411" dataDxfId="12001" dataCellStyle="Normal"/>
    <tableColumn id="4433" name="Column4412" dataDxfId="12000" dataCellStyle="Normal"/>
    <tableColumn id="4434" name="Column4413" dataDxfId="11999" dataCellStyle="Normal"/>
    <tableColumn id="4435" name="Column4414" dataDxfId="11998" dataCellStyle="Normal"/>
    <tableColumn id="4436" name="Column4415" dataDxfId="11997" dataCellStyle="Normal"/>
    <tableColumn id="4437" name="Column4416" dataDxfId="11996" dataCellStyle="Normal"/>
    <tableColumn id="4438" name="Column4417" dataDxfId="11995" dataCellStyle="Normal"/>
    <tableColumn id="4439" name="Column4418" dataDxfId="11994" dataCellStyle="Normal"/>
    <tableColumn id="4440" name="Column4419" dataDxfId="11993" dataCellStyle="Normal"/>
    <tableColumn id="4441" name="Column4420" dataDxfId="11992" dataCellStyle="Normal"/>
    <tableColumn id="4442" name="Column4421" dataDxfId="11991" dataCellStyle="Normal"/>
    <tableColumn id="4443" name="Column4422" dataDxfId="11990" dataCellStyle="Normal"/>
    <tableColumn id="4444" name="Column4423" dataDxfId="11989" dataCellStyle="Normal"/>
    <tableColumn id="4445" name="Column4424" dataDxfId="11988" dataCellStyle="Normal"/>
    <tableColumn id="4446" name="Column4425" dataDxfId="11987" dataCellStyle="Normal"/>
    <tableColumn id="4447" name="Column4426" dataDxfId="11986" dataCellStyle="Normal"/>
    <tableColumn id="4448" name="Column4427" dataDxfId="11985" dataCellStyle="Normal"/>
    <tableColumn id="4449" name="Column4428" dataDxfId="11984" dataCellStyle="Normal"/>
    <tableColumn id="4450" name="Column4429" dataDxfId="11983" dataCellStyle="Normal"/>
    <tableColumn id="4451" name="Column4430" dataDxfId="11982" dataCellStyle="Normal"/>
    <tableColumn id="4452" name="Column4431" dataDxfId="11981" dataCellStyle="Normal"/>
    <tableColumn id="4453" name="Column4432" dataDxfId="11980" dataCellStyle="Normal"/>
    <tableColumn id="4454" name="Column4433" dataDxfId="11979" dataCellStyle="Normal"/>
    <tableColumn id="4455" name="Column4434" dataDxfId="11978" dataCellStyle="Normal"/>
    <tableColumn id="4456" name="Column4435" dataDxfId="11977" dataCellStyle="Normal"/>
    <tableColumn id="4457" name="Column4436" dataDxfId="11976" dataCellStyle="Normal"/>
    <tableColumn id="4458" name="Column4437" dataDxfId="11975" dataCellStyle="Normal"/>
    <tableColumn id="4459" name="Column4438" dataDxfId="11974" dataCellStyle="Normal"/>
    <tableColumn id="4460" name="Column4439" dataDxfId="11973" dataCellStyle="Normal"/>
    <tableColumn id="4461" name="Column4440" dataDxfId="11972" dataCellStyle="Normal"/>
    <tableColumn id="4462" name="Column4441" dataDxfId="11971" dataCellStyle="Normal"/>
    <tableColumn id="4463" name="Column4442" dataDxfId="11970" dataCellStyle="Normal"/>
    <tableColumn id="4464" name="Column4443" dataDxfId="11969" dataCellStyle="Normal"/>
    <tableColumn id="4465" name="Column4444" dataDxfId="11968" dataCellStyle="Normal"/>
    <tableColumn id="4466" name="Column4445" dataDxfId="11967" dataCellStyle="Normal"/>
    <tableColumn id="4467" name="Column4446" dataDxfId="11966" dataCellStyle="Normal"/>
    <tableColumn id="4468" name="Column4447" dataDxfId="11965" dataCellStyle="Normal"/>
    <tableColumn id="4469" name="Column4448" dataDxfId="11964" dataCellStyle="Normal"/>
    <tableColumn id="4470" name="Column4449" dataDxfId="11963" dataCellStyle="Normal"/>
    <tableColumn id="4471" name="Column4450" dataDxfId="11962" dataCellStyle="Normal"/>
    <tableColumn id="4472" name="Column4451" dataDxfId="11961" dataCellStyle="Normal"/>
    <tableColumn id="4473" name="Column4452" dataDxfId="11960" dataCellStyle="Normal"/>
    <tableColumn id="4474" name="Column4453" dataDxfId="11959" dataCellStyle="Normal"/>
    <tableColumn id="4475" name="Column4454" dataDxfId="11958" dataCellStyle="Normal"/>
    <tableColumn id="4476" name="Column4455" dataDxfId="11957" dataCellStyle="Normal"/>
    <tableColumn id="4477" name="Column4456" dataDxfId="11956" dataCellStyle="Normal"/>
    <tableColumn id="4478" name="Column4457" dataDxfId="11955" dataCellStyle="Normal"/>
    <tableColumn id="4479" name="Column4458" dataDxfId="11954" dataCellStyle="Normal"/>
    <tableColumn id="4480" name="Column4459" dataDxfId="11953" dataCellStyle="Normal"/>
    <tableColumn id="4481" name="Column4460" dataDxfId="11952" dataCellStyle="Normal"/>
    <tableColumn id="4482" name="Column4461" dataDxfId="11951" dataCellStyle="Normal"/>
    <tableColumn id="4483" name="Column4462" dataDxfId="11950" dataCellStyle="Normal"/>
    <tableColumn id="4484" name="Column4463" dataDxfId="11949" dataCellStyle="Normal"/>
    <tableColumn id="4485" name="Column4464" dataDxfId="11948" dataCellStyle="Normal"/>
    <tableColumn id="4486" name="Column4465" dataDxfId="11947" dataCellStyle="Normal"/>
    <tableColumn id="4487" name="Column4466" dataDxfId="11946" dataCellStyle="Normal"/>
    <tableColumn id="4488" name="Column4467" dataDxfId="11945" dataCellStyle="Normal"/>
    <tableColumn id="4489" name="Column4468" dataDxfId="11944" dataCellStyle="Normal"/>
    <tableColumn id="4490" name="Column4469" dataDxfId="11943" dataCellStyle="Normal"/>
    <tableColumn id="4491" name="Column4470" dataDxfId="11942" dataCellStyle="Normal"/>
    <tableColumn id="4492" name="Column4471" dataDxfId="11941" dataCellStyle="Normal"/>
    <tableColumn id="4493" name="Column4472" dataDxfId="11940" dataCellStyle="Normal"/>
    <tableColumn id="4494" name="Column4473" dataDxfId="11939" dataCellStyle="Normal"/>
    <tableColumn id="4495" name="Column4474" dataDxfId="11938" dataCellStyle="Normal"/>
    <tableColumn id="4496" name="Column4475" dataDxfId="11937" dataCellStyle="Normal"/>
    <tableColumn id="4497" name="Column4476" dataDxfId="11936" dataCellStyle="Normal"/>
    <tableColumn id="4498" name="Column4477" dataDxfId="11935" dataCellStyle="Normal"/>
    <tableColumn id="4499" name="Column4478" dataDxfId="11934" dataCellStyle="Normal"/>
    <tableColumn id="4500" name="Column4479" dataDxfId="11933" dataCellStyle="Normal"/>
    <tableColumn id="4501" name="Column4480" dataDxfId="11932" dataCellStyle="Normal"/>
    <tableColumn id="4502" name="Column4481" dataDxfId="11931" dataCellStyle="Normal"/>
    <tableColumn id="4503" name="Column4482" dataDxfId="11930" dataCellStyle="Normal"/>
    <tableColumn id="4504" name="Column4483" dataDxfId="11929" dataCellStyle="Normal"/>
    <tableColumn id="4505" name="Column4484" dataDxfId="11928" dataCellStyle="Normal"/>
    <tableColumn id="4506" name="Column4485" dataDxfId="11927" dataCellStyle="Normal"/>
    <tableColumn id="4507" name="Column4486" dataDxfId="11926" dataCellStyle="Normal"/>
    <tableColumn id="4508" name="Column4487" dataDxfId="11925" dataCellStyle="Normal"/>
    <tableColumn id="4509" name="Column4488" dataDxfId="11924" dataCellStyle="Normal"/>
    <tableColumn id="4510" name="Column4489" dataDxfId="11923" dataCellStyle="Normal"/>
    <tableColumn id="4511" name="Column4490" dataDxfId="11922" dataCellStyle="Normal"/>
    <tableColumn id="4512" name="Column4491" dataDxfId="11921" dataCellStyle="Normal"/>
    <tableColumn id="4513" name="Column4492" dataDxfId="11920" dataCellStyle="Normal"/>
    <tableColumn id="4514" name="Column4493" dataDxfId="11919" dataCellStyle="Normal"/>
    <tableColumn id="4515" name="Column4494" dataDxfId="11918" dataCellStyle="Normal"/>
    <tableColumn id="4516" name="Column4495" dataDxfId="11917" dataCellStyle="Normal"/>
    <tableColumn id="4517" name="Column4496" dataDxfId="11916" dataCellStyle="Normal"/>
    <tableColumn id="4518" name="Column4497" dataDxfId="11915" dataCellStyle="Normal"/>
    <tableColumn id="4519" name="Column4498" dataDxfId="11914" dataCellStyle="Normal"/>
    <tableColumn id="4520" name="Column4499" dataDxfId="11913" dataCellStyle="Normal"/>
    <tableColumn id="4521" name="Column4500" dataDxfId="11912" dataCellStyle="Normal"/>
    <tableColumn id="4522" name="Column4501" dataDxfId="11911" dataCellStyle="Normal"/>
    <tableColumn id="4523" name="Column4502" dataDxfId="11910" dataCellStyle="Normal"/>
    <tableColumn id="4524" name="Column4503" dataDxfId="11909" dataCellStyle="Normal"/>
    <tableColumn id="4525" name="Column4504" dataDxfId="11908" dataCellStyle="Normal"/>
    <tableColumn id="4526" name="Column4505" dataDxfId="11907" dataCellStyle="Normal"/>
    <tableColumn id="4527" name="Column4506" dataDxfId="11906" dataCellStyle="Normal"/>
    <tableColumn id="4528" name="Column4507" dataDxfId="11905" dataCellStyle="Normal"/>
    <tableColumn id="4529" name="Column4508" dataDxfId="11904" dataCellStyle="Normal"/>
    <tableColumn id="4530" name="Column4509" dataDxfId="11903" dataCellStyle="Normal"/>
    <tableColumn id="4531" name="Column4510" dataDxfId="11902" dataCellStyle="Normal"/>
    <tableColumn id="4532" name="Column4511" dataDxfId="11901" dataCellStyle="Normal"/>
    <tableColumn id="4533" name="Column4512" dataDxfId="11900" dataCellStyle="Normal"/>
    <tableColumn id="4534" name="Column4513" dataDxfId="11899" dataCellStyle="Normal"/>
    <tableColumn id="4535" name="Column4514" dataDxfId="11898" dataCellStyle="Normal"/>
    <tableColumn id="4536" name="Column4515" dataDxfId="11897" dataCellStyle="Normal"/>
    <tableColumn id="4537" name="Column4516" dataDxfId="11896" dataCellStyle="Normal"/>
    <tableColumn id="4538" name="Column4517" dataDxfId="11895" dataCellStyle="Normal"/>
    <tableColumn id="4539" name="Column4518" dataDxfId="11894" dataCellStyle="Normal"/>
    <tableColumn id="4540" name="Column4519" dataDxfId="11893" dataCellStyle="Normal"/>
    <tableColumn id="4541" name="Column4520" dataDxfId="11892" dataCellStyle="Normal"/>
    <tableColumn id="4542" name="Column4521" dataDxfId="11891" dataCellStyle="Normal"/>
    <tableColumn id="4543" name="Column4522" dataDxfId="11890" dataCellStyle="Normal"/>
    <tableColumn id="4544" name="Column4523" dataDxfId="11889" dataCellStyle="Normal"/>
    <tableColumn id="4545" name="Column4524" dataDxfId="11888" dataCellStyle="Normal"/>
    <tableColumn id="4546" name="Column4525" dataDxfId="11887" dataCellStyle="Normal"/>
    <tableColumn id="4547" name="Column4526" dataDxfId="11886" dataCellStyle="Normal"/>
    <tableColumn id="4548" name="Column4527" dataDxfId="11885" dataCellStyle="Normal"/>
    <tableColumn id="4549" name="Column4528" dataDxfId="11884" dataCellStyle="Normal"/>
    <tableColumn id="4550" name="Column4529" dataDxfId="11883" dataCellStyle="Normal"/>
    <tableColumn id="4551" name="Column4530" dataDxfId="11882" dataCellStyle="Normal"/>
    <tableColumn id="4552" name="Column4531" dataDxfId="11881" dataCellStyle="Normal"/>
    <tableColumn id="4553" name="Column4532" dataDxfId="11880" dataCellStyle="Normal"/>
    <tableColumn id="4554" name="Column4533" dataDxfId="11879" dataCellStyle="Normal"/>
    <tableColumn id="4555" name="Column4534" dataDxfId="11878" dataCellStyle="Normal"/>
    <tableColumn id="4556" name="Column4535" dataDxfId="11877" dataCellStyle="Normal"/>
    <tableColumn id="4557" name="Column4536" dataDxfId="11876" dataCellStyle="Normal"/>
    <tableColumn id="4558" name="Column4537" dataDxfId="11875" dataCellStyle="Normal"/>
    <tableColumn id="4559" name="Column4538" dataDxfId="11874" dataCellStyle="Normal"/>
    <tableColumn id="4560" name="Column4539" dataDxfId="11873" dataCellStyle="Normal"/>
    <tableColumn id="4561" name="Column4540" dataDxfId="11872" dataCellStyle="Normal"/>
    <tableColumn id="4562" name="Column4541" dataDxfId="11871" dataCellStyle="Normal"/>
    <tableColumn id="4563" name="Column4542" dataDxfId="11870" dataCellStyle="Normal"/>
    <tableColumn id="4564" name="Column4543" dataDxfId="11869" dataCellStyle="Normal"/>
    <tableColumn id="4565" name="Column4544" dataDxfId="11868" dataCellStyle="Normal"/>
    <tableColumn id="4566" name="Column4545" dataDxfId="11867" dataCellStyle="Normal"/>
    <tableColumn id="4567" name="Column4546" dataDxfId="11866" dataCellStyle="Normal"/>
    <tableColumn id="4568" name="Column4547" dataDxfId="11865" dataCellStyle="Normal"/>
    <tableColumn id="4569" name="Column4548" dataDxfId="11864" dataCellStyle="Normal"/>
    <tableColumn id="4570" name="Column4549" dataDxfId="11863" dataCellStyle="Normal"/>
    <tableColumn id="4571" name="Column4550" dataDxfId="11862" dataCellStyle="Normal"/>
    <tableColumn id="4572" name="Column4551" dataDxfId="11861" dataCellStyle="Normal"/>
    <tableColumn id="4573" name="Column4552" dataDxfId="11860" dataCellStyle="Normal"/>
    <tableColumn id="4574" name="Column4553" dataDxfId="11859" dataCellStyle="Normal"/>
    <tableColumn id="4575" name="Column4554" dataDxfId="11858" dataCellStyle="Normal"/>
    <tableColumn id="4576" name="Column4555" dataDxfId="11857" dataCellStyle="Normal"/>
    <tableColumn id="4577" name="Column4556" dataDxfId="11856" dataCellStyle="Normal"/>
    <tableColumn id="4578" name="Column4557" dataDxfId="11855" dataCellStyle="Normal"/>
    <tableColumn id="4579" name="Column4558" dataDxfId="11854" dataCellStyle="Normal"/>
    <tableColumn id="4580" name="Column4559" dataDxfId="11853" dataCellStyle="Normal"/>
    <tableColumn id="4581" name="Column4560" dataDxfId="11852" dataCellStyle="Normal"/>
    <tableColumn id="4582" name="Column4561" dataDxfId="11851" dataCellStyle="Normal"/>
    <tableColumn id="4583" name="Column4562" dataDxfId="11850" dataCellStyle="Normal"/>
    <tableColumn id="4584" name="Column4563" dataDxfId="11849" dataCellStyle="Normal"/>
    <tableColumn id="4585" name="Column4564" dataDxfId="11848" dataCellStyle="Normal"/>
    <tableColumn id="4586" name="Column4565" dataDxfId="11847" dataCellStyle="Normal"/>
    <tableColumn id="4587" name="Column4566" dataDxfId="11846" dataCellStyle="Normal"/>
    <tableColumn id="4588" name="Column4567" dataDxfId="11845" dataCellStyle="Normal"/>
    <tableColumn id="4589" name="Column4568" dataDxfId="11844" dataCellStyle="Normal"/>
    <tableColumn id="4590" name="Column4569" dataDxfId="11843" dataCellStyle="Normal"/>
    <tableColumn id="4591" name="Column4570" dataDxfId="11842" dataCellStyle="Normal"/>
    <tableColumn id="4592" name="Column4571" dataDxfId="11841" dataCellStyle="Normal"/>
    <tableColumn id="4593" name="Column4572" dataDxfId="11840" dataCellStyle="Normal"/>
    <tableColumn id="4594" name="Column4573" dataDxfId="11839" dataCellStyle="Normal"/>
    <tableColumn id="4595" name="Column4574" dataDxfId="11838" dataCellStyle="Normal"/>
    <tableColumn id="4596" name="Column4575" dataDxfId="11837" dataCellStyle="Normal"/>
    <tableColumn id="4597" name="Column4576" dataDxfId="11836" dataCellStyle="Normal"/>
    <tableColumn id="4598" name="Column4577" dataDxfId="11835" dataCellStyle="Normal"/>
    <tableColumn id="4599" name="Column4578" dataDxfId="11834" dataCellStyle="Normal"/>
    <tableColumn id="4600" name="Column4579" dataDxfId="11833" dataCellStyle="Normal"/>
    <tableColumn id="4601" name="Column4580" dataDxfId="11832" dataCellStyle="Normal"/>
    <tableColumn id="4602" name="Column4581" dataDxfId="11831" dataCellStyle="Normal"/>
    <tableColumn id="4603" name="Column4582" dataDxfId="11830" dataCellStyle="Normal"/>
    <tableColumn id="4604" name="Column4583" dataDxfId="11829" dataCellStyle="Normal"/>
    <tableColumn id="4605" name="Column4584" dataDxfId="11828" dataCellStyle="Normal"/>
    <tableColumn id="4606" name="Column4585" dataDxfId="11827" dataCellStyle="Normal"/>
    <tableColumn id="4607" name="Column4586" dataDxfId="11826" dataCellStyle="Normal"/>
    <tableColumn id="4608" name="Column4587" dataDxfId="11825" dataCellStyle="Normal"/>
    <tableColumn id="4609" name="Column4588" dataDxfId="11824" dataCellStyle="Normal"/>
    <tableColumn id="4610" name="Column4589" dataDxfId="11823" dataCellStyle="Normal"/>
    <tableColumn id="4611" name="Column4590" dataDxfId="11822" dataCellStyle="Normal"/>
    <tableColumn id="4612" name="Column4591" dataDxfId="11821" dataCellStyle="Normal"/>
    <tableColumn id="4613" name="Column4592" dataDxfId="11820" dataCellStyle="Normal"/>
    <tableColumn id="4614" name="Column4593" dataDxfId="11819" dataCellStyle="Normal"/>
    <tableColumn id="4615" name="Column4594" dataDxfId="11818" dataCellStyle="Normal"/>
    <tableColumn id="4616" name="Column4595" dataDxfId="11817" dataCellStyle="Normal"/>
    <tableColumn id="4617" name="Column4596" dataDxfId="11816" dataCellStyle="Normal"/>
    <tableColumn id="4618" name="Column4597" dataDxfId="11815" dataCellStyle="Normal"/>
    <tableColumn id="4619" name="Column4598" dataDxfId="11814" dataCellStyle="Normal"/>
    <tableColumn id="4620" name="Column4599" dataDxfId="11813" dataCellStyle="Normal"/>
    <tableColumn id="4621" name="Column4600" dataDxfId="11812" dataCellStyle="Normal"/>
    <tableColumn id="4622" name="Column4601" dataDxfId="11811" dataCellStyle="Normal"/>
    <tableColumn id="4623" name="Column4602" dataDxfId="11810" dataCellStyle="Normal"/>
    <tableColumn id="4624" name="Column4603" dataDxfId="11809" dataCellStyle="Normal"/>
    <tableColumn id="4625" name="Column4604" dataDxfId="11808" dataCellStyle="Normal"/>
    <tableColumn id="4626" name="Column4605" dataDxfId="11807" dataCellStyle="Normal"/>
    <tableColumn id="4627" name="Column4606" dataDxfId="11806" dataCellStyle="Normal"/>
    <tableColumn id="4628" name="Column4607" dataDxfId="11805" dataCellStyle="Normal"/>
    <tableColumn id="4629" name="Column4608" dataDxfId="11804" dataCellStyle="Normal"/>
    <tableColumn id="4630" name="Column4609" dataDxfId="11803" dataCellStyle="Normal"/>
    <tableColumn id="4631" name="Column4610" dataDxfId="11802" dataCellStyle="Normal"/>
    <tableColumn id="4632" name="Column4611" dataDxfId="11801" dataCellStyle="Normal"/>
    <tableColumn id="4633" name="Column4612" dataDxfId="11800" dataCellStyle="Normal"/>
    <tableColumn id="4634" name="Column4613" dataDxfId="11799" dataCellStyle="Normal"/>
    <tableColumn id="4635" name="Column4614" dataDxfId="11798" dataCellStyle="Normal"/>
    <tableColumn id="4636" name="Column4615" dataDxfId="11797" dataCellStyle="Normal"/>
    <tableColumn id="4637" name="Column4616" dataDxfId="11796" dataCellStyle="Normal"/>
    <tableColumn id="4638" name="Column4617" dataDxfId="11795" dataCellStyle="Normal"/>
    <tableColumn id="4639" name="Column4618" dataDxfId="11794" dataCellStyle="Normal"/>
    <tableColumn id="4640" name="Column4619" dataDxfId="11793" dataCellStyle="Normal"/>
    <tableColumn id="4641" name="Column4620" dataDxfId="11792" dataCellStyle="Normal"/>
    <tableColumn id="4642" name="Column4621" dataDxfId="11791" dataCellStyle="Normal"/>
    <tableColumn id="4643" name="Column4622" dataDxfId="11790" dataCellStyle="Normal"/>
    <tableColumn id="4644" name="Column4623" dataDxfId="11789" dataCellStyle="Normal"/>
    <tableColumn id="4645" name="Column4624" dataDxfId="11788" dataCellStyle="Normal"/>
    <tableColumn id="4646" name="Column4625" dataDxfId="11787" dataCellStyle="Normal"/>
    <tableColumn id="4647" name="Column4626" dataDxfId="11786" dataCellStyle="Normal"/>
    <tableColumn id="4648" name="Column4627" dataDxfId="11785" dataCellStyle="Normal"/>
    <tableColumn id="4649" name="Column4628" dataDxfId="11784" dataCellStyle="Normal"/>
    <tableColumn id="4650" name="Column4629" dataDxfId="11783" dataCellStyle="Normal"/>
    <tableColumn id="4651" name="Column4630" dataDxfId="11782" dataCellStyle="Normal"/>
    <tableColumn id="4652" name="Column4631" dataDxfId="11781" dataCellStyle="Normal"/>
    <tableColumn id="4653" name="Column4632" dataDxfId="11780" dataCellStyle="Normal"/>
    <tableColumn id="4654" name="Column4633" dataDxfId="11779" dataCellStyle="Normal"/>
    <tableColumn id="4655" name="Column4634" dataDxfId="11778" dataCellStyle="Normal"/>
    <tableColumn id="4656" name="Column4635" dataDxfId="11777" dataCellStyle="Normal"/>
    <tableColumn id="4657" name="Column4636" dataDxfId="11776" dataCellStyle="Normal"/>
    <tableColumn id="4658" name="Column4637" dataDxfId="11775" dataCellStyle="Normal"/>
    <tableColumn id="4659" name="Column4638" dataDxfId="11774" dataCellStyle="Normal"/>
    <tableColumn id="4660" name="Column4639" dataDxfId="11773" dataCellStyle="Normal"/>
    <tableColumn id="4661" name="Column4640" dataDxfId="11772" dataCellStyle="Normal"/>
    <tableColumn id="4662" name="Column4641" dataDxfId="11771" dataCellStyle="Normal"/>
    <tableColumn id="4663" name="Column4642" dataDxfId="11770" dataCellStyle="Normal"/>
    <tableColumn id="4664" name="Column4643" dataDxfId="11769" dataCellStyle="Normal"/>
    <tableColumn id="4665" name="Column4644" dataDxfId="11768" dataCellStyle="Normal"/>
    <tableColumn id="4666" name="Column4645" dataDxfId="11767" dataCellStyle="Normal"/>
    <tableColumn id="4667" name="Column4646" dataDxfId="11766" dataCellStyle="Normal"/>
    <tableColumn id="4668" name="Column4647" dataDxfId="11765" dataCellStyle="Normal"/>
    <tableColumn id="4669" name="Column4648" dataDxfId="11764" dataCellStyle="Normal"/>
    <tableColumn id="4670" name="Column4649" dataDxfId="11763" dataCellStyle="Normal"/>
    <tableColumn id="4671" name="Column4650" dataDxfId="11762" dataCellStyle="Normal"/>
    <tableColumn id="4672" name="Column4651" dataDxfId="11761" dataCellStyle="Normal"/>
    <tableColumn id="4673" name="Column4652" dataDxfId="11760" dataCellStyle="Normal"/>
    <tableColumn id="4674" name="Column4653" dataDxfId="11759" dataCellStyle="Normal"/>
    <tableColumn id="4675" name="Column4654" dataDxfId="11758" dataCellStyle="Normal"/>
    <tableColumn id="4676" name="Column4655" dataDxfId="11757" dataCellStyle="Normal"/>
    <tableColumn id="4677" name="Column4656" dataDxfId="11756" dataCellStyle="Normal"/>
    <tableColumn id="4678" name="Column4657" dataDxfId="11755" dataCellStyle="Normal"/>
    <tableColumn id="4679" name="Column4658" dataDxfId="11754" dataCellStyle="Normal"/>
    <tableColumn id="4680" name="Column4659" dataDxfId="11753" dataCellStyle="Normal"/>
    <tableColumn id="4681" name="Column4660" dataDxfId="11752" dataCellStyle="Normal"/>
    <tableColumn id="4682" name="Column4661" dataDxfId="11751" dataCellStyle="Normal"/>
    <tableColumn id="4683" name="Column4662" dataDxfId="11750" dataCellStyle="Normal"/>
    <tableColumn id="4684" name="Column4663" dataDxfId="11749" dataCellStyle="Normal"/>
    <tableColumn id="4685" name="Column4664" dataDxfId="11748" dataCellStyle="Normal"/>
    <tableColumn id="4686" name="Column4665" dataDxfId="11747" dataCellStyle="Normal"/>
    <tableColumn id="4687" name="Column4666" dataDxfId="11746" dataCellStyle="Normal"/>
    <tableColumn id="4688" name="Column4667" dataDxfId="11745" dataCellStyle="Normal"/>
    <tableColumn id="4689" name="Column4668" dataDxfId="11744" dataCellStyle="Normal"/>
    <tableColumn id="4690" name="Column4669" dataDxfId="11743" dataCellStyle="Normal"/>
    <tableColumn id="4691" name="Column4670" dataDxfId="11742" dataCellStyle="Normal"/>
    <tableColumn id="4692" name="Column4671" dataDxfId="11741" dataCellStyle="Normal"/>
    <tableColumn id="4693" name="Column4672" dataDxfId="11740" dataCellStyle="Normal"/>
    <tableColumn id="4694" name="Column4673" dataDxfId="11739" dataCellStyle="Normal"/>
    <tableColumn id="4695" name="Column4674" dataDxfId="11738" dataCellStyle="Normal"/>
    <tableColumn id="4696" name="Column4675" dataDxfId="11737" dataCellStyle="Normal"/>
    <tableColumn id="4697" name="Column4676" dataDxfId="11736" dataCellStyle="Normal"/>
    <tableColumn id="4698" name="Column4677" dataDxfId="11735" dataCellStyle="Normal"/>
    <tableColumn id="4699" name="Column4678" dataDxfId="11734" dataCellStyle="Normal"/>
    <tableColumn id="4700" name="Column4679" dataDxfId="11733" dataCellStyle="Normal"/>
    <tableColumn id="4701" name="Column4680" dataDxfId="11732" dataCellStyle="Normal"/>
    <tableColumn id="4702" name="Column4681" dataDxfId="11731" dataCellStyle="Normal"/>
    <tableColumn id="4703" name="Column4682" dataDxfId="11730" dataCellStyle="Normal"/>
    <tableColumn id="4704" name="Column4683" dataDxfId="11729" dataCellStyle="Normal"/>
    <tableColumn id="4705" name="Column4684" dataDxfId="11728" dataCellStyle="Normal"/>
    <tableColumn id="4706" name="Column4685" dataDxfId="11727" dataCellStyle="Normal"/>
    <tableColumn id="4707" name="Column4686" dataDxfId="11726" dataCellStyle="Normal"/>
    <tableColumn id="4708" name="Column4687" dataDxfId="11725" dataCellStyle="Normal"/>
    <tableColumn id="4709" name="Column4688" dataDxfId="11724" dataCellStyle="Normal"/>
    <tableColumn id="4710" name="Column4689" dataDxfId="11723" dataCellStyle="Normal"/>
    <tableColumn id="4711" name="Column4690" dataDxfId="11722" dataCellStyle="Normal"/>
    <tableColumn id="4712" name="Column4691" dataDxfId="11721" dataCellStyle="Normal"/>
    <tableColumn id="4713" name="Column4692" dataDxfId="11720" dataCellStyle="Normal"/>
    <tableColumn id="4714" name="Column4693" dataDxfId="11719" dataCellStyle="Normal"/>
    <tableColumn id="4715" name="Column4694" dataDxfId="11718" dataCellStyle="Normal"/>
    <tableColumn id="4716" name="Column4695" dataDxfId="11717" dataCellStyle="Normal"/>
    <tableColumn id="4717" name="Column4696" dataDxfId="11716" dataCellStyle="Normal"/>
    <tableColumn id="4718" name="Column4697" dataDxfId="11715" dataCellStyle="Normal"/>
    <tableColumn id="4719" name="Column4698" dataDxfId="11714" dataCellStyle="Normal"/>
    <tableColumn id="4720" name="Column4699" dataDxfId="11713" dataCellStyle="Normal"/>
    <tableColumn id="4721" name="Column4700" dataDxfId="11712" dataCellStyle="Normal"/>
    <tableColumn id="4722" name="Column4701" dataDxfId="11711" dataCellStyle="Normal"/>
    <tableColumn id="4723" name="Column4702" dataDxfId="11710" dataCellStyle="Normal"/>
    <tableColumn id="4724" name="Column4703" dataDxfId="11709" dataCellStyle="Normal"/>
    <tableColumn id="4725" name="Column4704" dataDxfId="11708" dataCellStyle="Normal"/>
    <tableColumn id="4726" name="Column4705" dataDxfId="11707" dataCellStyle="Normal"/>
    <tableColumn id="4727" name="Column4706" dataDxfId="11706" dataCellStyle="Normal"/>
    <tableColumn id="4728" name="Column4707" dataDxfId="11705" dataCellStyle="Normal"/>
    <tableColumn id="4729" name="Column4708" dataDxfId="11704" dataCellStyle="Normal"/>
    <tableColumn id="4730" name="Column4709" dataDxfId="11703" dataCellStyle="Normal"/>
    <tableColumn id="4731" name="Column4710" dataDxfId="11702" dataCellStyle="Normal"/>
    <tableColumn id="4732" name="Column4711" dataDxfId="11701" dataCellStyle="Normal"/>
    <tableColumn id="4733" name="Column4712" dataDxfId="11700" dataCellStyle="Normal"/>
    <tableColumn id="4734" name="Column4713" dataDxfId="11699" dataCellStyle="Normal"/>
    <tableColumn id="4735" name="Column4714" dataDxfId="11698" dataCellStyle="Normal"/>
    <tableColumn id="4736" name="Column4715" dataDxfId="11697" dataCellStyle="Normal"/>
    <tableColumn id="4737" name="Column4716" dataDxfId="11696" dataCellStyle="Normal"/>
    <tableColumn id="4738" name="Column4717" dataDxfId="11695" dataCellStyle="Normal"/>
    <tableColumn id="4739" name="Column4718" dataDxfId="11694" dataCellStyle="Normal"/>
    <tableColumn id="4740" name="Column4719" dataDxfId="11693" dataCellStyle="Normal"/>
    <tableColumn id="4741" name="Column4720" dataDxfId="11692" dataCellStyle="Normal"/>
    <tableColumn id="4742" name="Column4721" dataDxfId="11691" dataCellStyle="Normal"/>
    <tableColumn id="4743" name="Column4722" dataDxfId="11690" dataCellStyle="Normal"/>
    <tableColumn id="4744" name="Column4723" dataDxfId="11689" dataCellStyle="Normal"/>
    <tableColumn id="4745" name="Column4724" dataDxfId="11688" dataCellStyle="Normal"/>
    <tableColumn id="4746" name="Column4725" dataDxfId="11687" dataCellStyle="Normal"/>
    <tableColumn id="4747" name="Column4726" dataDxfId="11686" dataCellStyle="Normal"/>
    <tableColumn id="4748" name="Column4727" dataDxfId="11685" dataCellStyle="Normal"/>
    <tableColumn id="4749" name="Column4728" dataDxfId="11684" dataCellStyle="Normal"/>
    <tableColumn id="4750" name="Column4729" dataDxfId="11683" dataCellStyle="Normal"/>
    <tableColumn id="4751" name="Column4730" dataDxfId="11682" dataCellStyle="Normal"/>
    <tableColumn id="4752" name="Column4731" dataDxfId="11681" dataCellStyle="Normal"/>
    <tableColumn id="4753" name="Column4732" dataDxfId="11680" dataCellStyle="Normal"/>
    <tableColumn id="4754" name="Column4733" dataDxfId="11679" dataCellStyle="Normal"/>
    <tableColumn id="4755" name="Column4734" dataDxfId="11678" dataCellStyle="Normal"/>
    <tableColumn id="4756" name="Column4735" dataDxfId="11677" dataCellStyle="Normal"/>
    <tableColumn id="4757" name="Column4736" dataDxfId="11676" dataCellStyle="Normal"/>
    <tableColumn id="4758" name="Column4737" dataDxfId="11675" dataCellStyle="Normal"/>
    <tableColumn id="4759" name="Column4738" dataDxfId="11674" dataCellStyle="Normal"/>
    <tableColumn id="4760" name="Column4739" dataDxfId="11673" dataCellStyle="Normal"/>
    <tableColumn id="4761" name="Column4740" dataDxfId="11672" dataCellStyle="Normal"/>
    <tableColumn id="4762" name="Column4741" dataDxfId="11671" dataCellStyle="Normal"/>
    <tableColumn id="4763" name="Column4742" dataDxfId="11670" dataCellStyle="Normal"/>
    <tableColumn id="4764" name="Column4743" dataDxfId="11669" dataCellStyle="Normal"/>
    <tableColumn id="4765" name="Column4744" dataDxfId="11668" dataCellStyle="Normal"/>
    <tableColumn id="4766" name="Column4745" dataDxfId="11667" dataCellStyle="Normal"/>
    <tableColumn id="4767" name="Column4746" dataDxfId="11666" dataCellStyle="Normal"/>
    <tableColumn id="4768" name="Column4747" dataDxfId="11665" dataCellStyle="Normal"/>
    <tableColumn id="4769" name="Column4748" dataDxfId="11664" dataCellStyle="Normal"/>
    <tableColumn id="4770" name="Column4749" dataDxfId="11663" dataCellStyle="Normal"/>
    <tableColumn id="4771" name="Column4750" dataDxfId="11662" dataCellStyle="Normal"/>
    <tableColumn id="4772" name="Column4751" dataDxfId="11661" dataCellStyle="Normal"/>
    <tableColumn id="4773" name="Column4752" dataDxfId="11660" dataCellStyle="Normal"/>
    <tableColumn id="4774" name="Column4753" dataDxfId="11659" dataCellStyle="Normal"/>
    <tableColumn id="4775" name="Column4754" dataDxfId="11658" dataCellStyle="Normal"/>
    <tableColumn id="4776" name="Column4755" dataDxfId="11657" dataCellStyle="Normal"/>
    <tableColumn id="4777" name="Column4756" dataDxfId="11656" dataCellStyle="Normal"/>
    <tableColumn id="4778" name="Column4757" dataDxfId="11655" dataCellStyle="Normal"/>
    <tableColumn id="4779" name="Column4758" dataDxfId="11654" dataCellStyle="Normal"/>
    <tableColumn id="4780" name="Column4759" dataDxfId="11653" dataCellStyle="Normal"/>
    <tableColumn id="4781" name="Column4760" dataDxfId="11652" dataCellStyle="Normal"/>
    <tableColumn id="4782" name="Column4761" dataDxfId="11651" dataCellStyle="Normal"/>
    <tableColumn id="4783" name="Column4762" dataDxfId="11650" dataCellStyle="Normal"/>
    <tableColumn id="4784" name="Column4763" dataDxfId="11649" dataCellStyle="Normal"/>
    <tableColumn id="4785" name="Column4764" dataDxfId="11648" dataCellStyle="Normal"/>
    <tableColumn id="4786" name="Column4765" dataDxfId="11647" dataCellStyle="Normal"/>
    <tableColumn id="4787" name="Column4766" dataDxfId="11646" dataCellStyle="Normal"/>
    <tableColumn id="4788" name="Column4767" dataDxfId="11645" dataCellStyle="Normal"/>
    <tableColumn id="4789" name="Column4768" dataDxfId="11644" dataCellStyle="Normal"/>
    <tableColumn id="4790" name="Column4769" dataDxfId="11643" dataCellStyle="Normal"/>
    <tableColumn id="4791" name="Column4770" dataDxfId="11642" dataCellStyle="Normal"/>
    <tableColumn id="4792" name="Column4771" dataDxfId="11641" dataCellStyle="Normal"/>
    <tableColumn id="4793" name="Column4772" dataDxfId="11640" dataCellStyle="Normal"/>
    <tableColumn id="4794" name="Column4773" dataDxfId="11639" dataCellStyle="Normal"/>
    <tableColumn id="4795" name="Column4774" dataDxfId="11638" dataCellStyle="Normal"/>
    <tableColumn id="4796" name="Column4775" dataDxfId="11637" dataCellStyle="Normal"/>
    <tableColumn id="4797" name="Column4776" dataDxfId="11636" dataCellStyle="Normal"/>
    <tableColumn id="4798" name="Column4777" dataDxfId="11635" dataCellStyle="Normal"/>
    <tableColumn id="4799" name="Column4778" dataDxfId="11634" dataCellStyle="Normal"/>
    <tableColumn id="4800" name="Column4779" dataDxfId="11633" dataCellStyle="Normal"/>
    <tableColumn id="4801" name="Column4780" dataDxfId="11632" dataCellStyle="Normal"/>
    <tableColumn id="4802" name="Column4781" dataDxfId="11631" dataCellStyle="Normal"/>
    <tableColumn id="4803" name="Column4782" dataDxfId="11630" dataCellStyle="Normal"/>
    <tableColumn id="4804" name="Column4783" dataDxfId="11629" dataCellStyle="Normal"/>
    <tableColumn id="4805" name="Column4784" dataDxfId="11628" dataCellStyle="Normal"/>
    <tableColumn id="4806" name="Column4785" dataDxfId="11627" dataCellStyle="Normal"/>
    <tableColumn id="4807" name="Column4786" dataDxfId="11626" dataCellStyle="Normal"/>
    <tableColumn id="4808" name="Column4787" dataDxfId="11625" dataCellStyle="Normal"/>
    <tableColumn id="4809" name="Column4788" dataDxfId="11624" dataCellStyle="Normal"/>
    <tableColumn id="4810" name="Column4789" dataDxfId="11623" dataCellStyle="Normal"/>
    <tableColumn id="4811" name="Column4790" dataDxfId="11622" dataCellStyle="Normal"/>
    <tableColumn id="4812" name="Column4791" dataDxfId="11621" dataCellStyle="Normal"/>
    <tableColumn id="4813" name="Column4792" dataDxfId="11620" dataCellStyle="Normal"/>
    <tableColumn id="4814" name="Column4793" dataDxfId="11619" dataCellStyle="Normal"/>
    <tableColumn id="4815" name="Column4794" dataDxfId="11618" dataCellStyle="Normal"/>
    <tableColumn id="4816" name="Column4795" dataDxfId="11617" dataCellStyle="Normal"/>
    <tableColumn id="4817" name="Column4796" dataDxfId="11616" dataCellStyle="Normal"/>
    <tableColumn id="4818" name="Column4797" dataDxfId="11615" dataCellStyle="Normal"/>
    <tableColumn id="4819" name="Column4798" dataDxfId="11614" dataCellStyle="Normal"/>
    <tableColumn id="4820" name="Column4799" dataDxfId="11613" dataCellStyle="Normal"/>
    <tableColumn id="4821" name="Column4800" dataDxfId="11612" dataCellStyle="Normal"/>
    <tableColumn id="4822" name="Column4801" dataDxfId="11611" dataCellStyle="Normal"/>
    <tableColumn id="4823" name="Column4802" dataDxfId="11610" dataCellStyle="Normal"/>
    <tableColumn id="4824" name="Column4803" dataDxfId="11609" dataCellStyle="Normal"/>
    <tableColumn id="4825" name="Column4804" dataDxfId="11608" dataCellStyle="Normal"/>
    <tableColumn id="4826" name="Column4805" dataDxfId="11607" dataCellStyle="Normal"/>
    <tableColumn id="4827" name="Column4806" dataDxfId="11606" dataCellStyle="Normal"/>
    <tableColumn id="4828" name="Column4807" dataDxfId="11605" dataCellStyle="Normal"/>
    <tableColumn id="4829" name="Column4808" dataDxfId="11604" dataCellStyle="Normal"/>
    <tableColumn id="4830" name="Column4809" dataDxfId="11603" dataCellStyle="Normal"/>
    <tableColumn id="4831" name="Column4810" dataDxfId="11602" dataCellStyle="Normal"/>
    <tableColumn id="4832" name="Column4811" dataDxfId="11601" dataCellStyle="Normal"/>
    <tableColumn id="4833" name="Column4812" dataDxfId="11600" dataCellStyle="Normal"/>
    <tableColumn id="4834" name="Column4813" dataDxfId="11599" dataCellStyle="Normal"/>
    <tableColumn id="4835" name="Column4814" dataDxfId="11598" dataCellStyle="Normal"/>
    <tableColumn id="4836" name="Column4815" dataDxfId="11597" dataCellStyle="Normal"/>
    <tableColumn id="4837" name="Column4816" dataDxfId="11596" dataCellStyle="Normal"/>
    <tableColumn id="4838" name="Column4817" dataDxfId="11595" dataCellStyle="Normal"/>
    <tableColumn id="4839" name="Column4818" dataDxfId="11594" dataCellStyle="Normal"/>
    <tableColumn id="4840" name="Column4819" dataDxfId="11593" dataCellStyle="Normal"/>
    <tableColumn id="4841" name="Column4820" dataDxfId="11592" dataCellStyle="Normal"/>
    <tableColumn id="4842" name="Column4821" dataDxfId="11591" dataCellStyle="Normal"/>
    <tableColumn id="4843" name="Column4822" dataDxfId="11590" dataCellStyle="Normal"/>
    <tableColumn id="4844" name="Column4823" dataDxfId="11589" dataCellStyle="Normal"/>
    <tableColumn id="4845" name="Column4824" dataDxfId="11588" dataCellStyle="Normal"/>
    <tableColumn id="4846" name="Column4825" dataDxfId="11587" dataCellStyle="Normal"/>
    <tableColumn id="4847" name="Column4826" dataDxfId="11586" dataCellStyle="Normal"/>
    <tableColumn id="4848" name="Column4827" dataDxfId="11585" dataCellStyle="Normal"/>
    <tableColumn id="4849" name="Column4828" dataDxfId="11584" dataCellStyle="Normal"/>
    <tableColumn id="4850" name="Column4829" dataDxfId="11583" dataCellStyle="Normal"/>
    <tableColumn id="4851" name="Column4830" dataDxfId="11582" dataCellStyle="Normal"/>
    <tableColumn id="4852" name="Column4831" dataDxfId="11581" dataCellStyle="Normal"/>
    <tableColumn id="4853" name="Column4832" dataDxfId="11580" dataCellStyle="Normal"/>
    <tableColumn id="4854" name="Column4833" dataDxfId="11579" dataCellStyle="Normal"/>
    <tableColumn id="4855" name="Column4834" dataDxfId="11578" dataCellStyle="Normal"/>
    <tableColumn id="4856" name="Column4835" dataDxfId="11577" dataCellStyle="Normal"/>
    <tableColumn id="4857" name="Column4836" dataDxfId="11576" dataCellStyle="Normal"/>
    <tableColumn id="4858" name="Column4837" dataDxfId="11575" dataCellStyle="Normal"/>
    <tableColumn id="4859" name="Column4838" dataDxfId="11574" dataCellStyle="Normal"/>
    <tableColumn id="4860" name="Column4839" dataDxfId="11573" dataCellStyle="Normal"/>
    <tableColumn id="4861" name="Column4840" dataDxfId="11572" dataCellStyle="Normal"/>
    <tableColumn id="4862" name="Column4841" dataDxfId="11571" dataCellStyle="Normal"/>
    <tableColumn id="4863" name="Column4842" dataDxfId="11570" dataCellStyle="Normal"/>
    <tableColumn id="4864" name="Column4843" dataDxfId="11569" dataCellStyle="Normal"/>
    <tableColumn id="4865" name="Column4844" dataDxfId="11568" dataCellStyle="Normal"/>
    <tableColumn id="4866" name="Column4845" dataDxfId="11567" dataCellStyle="Normal"/>
    <tableColumn id="4867" name="Column4846" dataDxfId="11566" dataCellStyle="Normal"/>
    <tableColumn id="4868" name="Column4847" dataDxfId="11565" dataCellStyle="Normal"/>
    <tableColumn id="4869" name="Column4848" dataDxfId="11564" dataCellStyle="Normal"/>
    <tableColumn id="4870" name="Column4849" dataDxfId="11563" dataCellStyle="Normal"/>
    <tableColumn id="4871" name="Column4850" dataDxfId="11562" dataCellStyle="Normal"/>
    <tableColumn id="4872" name="Column4851" dataDxfId="11561" dataCellStyle="Normal"/>
    <tableColumn id="4873" name="Column4852" dataDxfId="11560" dataCellStyle="Normal"/>
    <tableColumn id="4874" name="Column4853" dataDxfId="11559" dataCellStyle="Normal"/>
    <tableColumn id="4875" name="Column4854" dataDxfId="11558" dataCellStyle="Normal"/>
    <tableColumn id="4876" name="Column4855" dataDxfId="11557" dataCellStyle="Normal"/>
    <tableColumn id="4877" name="Column4856" dataDxfId="11556" dataCellStyle="Normal"/>
    <tableColumn id="4878" name="Column4857" dataDxfId="11555" dataCellStyle="Normal"/>
    <tableColumn id="4879" name="Column4858" dataDxfId="11554" dataCellStyle="Normal"/>
    <tableColumn id="4880" name="Column4859" dataDxfId="11553" dataCellStyle="Normal"/>
    <tableColumn id="4881" name="Column4860" dataDxfId="11552" dataCellStyle="Normal"/>
    <tableColumn id="4882" name="Column4861" dataDxfId="11551" dataCellStyle="Normal"/>
    <tableColumn id="4883" name="Column4862" dataDxfId="11550" dataCellStyle="Normal"/>
    <tableColumn id="4884" name="Column4863" dataDxfId="11549" dataCellStyle="Normal"/>
    <tableColumn id="4885" name="Column4864" dataDxfId="11548" dataCellStyle="Normal"/>
    <tableColumn id="4886" name="Column4865" dataDxfId="11547" dataCellStyle="Normal"/>
    <tableColumn id="4887" name="Column4866" dataDxfId="11546" dataCellStyle="Normal"/>
    <tableColumn id="4888" name="Column4867" dataDxfId="11545" dataCellStyle="Normal"/>
    <tableColumn id="4889" name="Column4868" dataDxfId="11544" dataCellStyle="Normal"/>
    <tableColumn id="4890" name="Column4869" dataDxfId="11543" dataCellStyle="Normal"/>
    <tableColumn id="4891" name="Column4870" dataDxfId="11542" dataCellStyle="Normal"/>
    <tableColumn id="4892" name="Column4871" dataDxfId="11541" dataCellStyle="Normal"/>
    <tableColumn id="4893" name="Column4872" dataDxfId="11540" dataCellStyle="Normal"/>
    <tableColumn id="4894" name="Column4873" dataDxfId="11539" dataCellStyle="Normal"/>
    <tableColumn id="4895" name="Column4874" dataDxfId="11538" dataCellStyle="Normal"/>
    <tableColumn id="4896" name="Column4875" dataDxfId="11537" dataCellStyle="Normal"/>
    <tableColumn id="4897" name="Column4876" dataDxfId="11536" dataCellStyle="Normal"/>
    <tableColumn id="4898" name="Column4877" dataDxfId="11535" dataCellStyle="Normal"/>
    <tableColumn id="4899" name="Column4878" dataDxfId="11534" dataCellStyle="Normal"/>
    <tableColumn id="4900" name="Column4879" dataDxfId="11533" dataCellStyle="Normal"/>
    <tableColumn id="4901" name="Column4880" dataDxfId="11532" dataCellStyle="Normal"/>
    <tableColumn id="4902" name="Column4881" dataDxfId="11531" dataCellStyle="Normal"/>
    <tableColumn id="4903" name="Column4882" dataDxfId="11530" dataCellStyle="Normal"/>
    <tableColumn id="4904" name="Column4883" dataDxfId="11529" dataCellStyle="Normal"/>
    <tableColumn id="4905" name="Column4884" dataDxfId="11528" dataCellStyle="Normal"/>
    <tableColumn id="4906" name="Column4885" dataDxfId="11527" dataCellStyle="Normal"/>
    <tableColumn id="4907" name="Column4886" dataDxfId="11526" dataCellStyle="Normal"/>
    <tableColumn id="4908" name="Column4887" dataDxfId="11525" dataCellStyle="Normal"/>
    <tableColumn id="4909" name="Column4888" dataDxfId="11524" dataCellStyle="Normal"/>
    <tableColumn id="4910" name="Column4889" dataDxfId="11523" dataCellStyle="Normal"/>
    <tableColumn id="4911" name="Column4890" dataDxfId="11522" dataCellStyle="Normal"/>
    <tableColumn id="4912" name="Column4891" dataDxfId="11521" dataCellStyle="Normal"/>
    <tableColumn id="4913" name="Column4892" dataDxfId="11520" dataCellStyle="Normal"/>
    <tableColumn id="4914" name="Column4893" dataDxfId="11519" dataCellStyle="Normal"/>
    <tableColumn id="4915" name="Column4894" dataDxfId="11518" dataCellStyle="Normal"/>
    <tableColumn id="4916" name="Column4895" dataDxfId="11517" dataCellStyle="Normal"/>
    <tableColumn id="4917" name="Column4896" dataDxfId="11516" dataCellStyle="Normal"/>
    <tableColumn id="4918" name="Column4897" dataDxfId="11515" dataCellStyle="Normal"/>
    <tableColumn id="4919" name="Column4898" dataDxfId="11514" dataCellStyle="Normal"/>
    <tableColumn id="4920" name="Column4899" dataDxfId="11513" dataCellStyle="Normal"/>
    <tableColumn id="4921" name="Column4900" dataDxfId="11512" dataCellStyle="Normal"/>
    <tableColumn id="4922" name="Column4901" dataDxfId="11511" dataCellStyle="Normal"/>
    <tableColumn id="4923" name="Column4902" dataDxfId="11510" dataCellStyle="Normal"/>
    <tableColumn id="4924" name="Column4903" dataDxfId="11509" dataCellStyle="Normal"/>
    <tableColumn id="4925" name="Column4904" dataDxfId="11508" dataCellStyle="Normal"/>
    <tableColumn id="4926" name="Column4905" dataDxfId="11507" dataCellStyle="Normal"/>
    <tableColumn id="4927" name="Column4906" dataDxfId="11506" dataCellStyle="Normal"/>
    <tableColumn id="4928" name="Column4907" dataDxfId="11505" dataCellStyle="Normal"/>
    <tableColumn id="4929" name="Column4908" dataDxfId="11504" dataCellStyle="Normal"/>
    <tableColumn id="4930" name="Column4909" dataDxfId="11503" dataCellStyle="Normal"/>
    <tableColumn id="4931" name="Column4910" dataDxfId="11502" dataCellStyle="Normal"/>
    <tableColumn id="4932" name="Column4911" dataDxfId="11501" dataCellStyle="Normal"/>
    <tableColumn id="4933" name="Column4912" dataDxfId="11500" dataCellStyle="Normal"/>
    <tableColumn id="4934" name="Column4913" dataDxfId="11499" dataCellStyle="Normal"/>
    <tableColumn id="4935" name="Column4914" dataDxfId="11498" dataCellStyle="Normal"/>
    <tableColumn id="4936" name="Column4915" dataDxfId="11497" dataCellStyle="Normal"/>
    <tableColumn id="4937" name="Column4916" dataDxfId="11496" dataCellStyle="Normal"/>
    <tableColumn id="4938" name="Column4917" dataDxfId="11495" dataCellStyle="Normal"/>
    <tableColumn id="4939" name="Column4918" dataDxfId="11494" dataCellStyle="Normal"/>
    <tableColumn id="4940" name="Column4919" dataDxfId="11493" dataCellStyle="Normal"/>
    <tableColumn id="4941" name="Column4920" dataDxfId="11492" dataCellStyle="Normal"/>
    <tableColumn id="4942" name="Column4921" dataDxfId="11491" dataCellStyle="Normal"/>
    <tableColumn id="4943" name="Column4922" dataDxfId="11490" dataCellStyle="Normal"/>
    <tableColumn id="4944" name="Column4923" dataDxfId="11489" dataCellStyle="Normal"/>
    <tableColumn id="4945" name="Column4924" dataDxfId="11488" dataCellStyle="Normal"/>
    <tableColumn id="4946" name="Column4925" dataDxfId="11487" dataCellStyle="Normal"/>
    <tableColumn id="4947" name="Column4926" dataDxfId="11486" dataCellStyle="Normal"/>
    <tableColumn id="4948" name="Column4927" dataDxfId="11485" dataCellStyle="Normal"/>
    <tableColumn id="4949" name="Column4928" dataDxfId="11484" dataCellStyle="Normal"/>
    <tableColumn id="4950" name="Column4929" dataDxfId="11483" dataCellStyle="Normal"/>
    <tableColumn id="4951" name="Column4930" dataDxfId="11482" dataCellStyle="Normal"/>
    <tableColumn id="4952" name="Column4931" dataDxfId="11481" dataCellStyle="Normal"/>
    <tableColumn id="4953" name="Column4932" dataDxfId="11480" dataCellStyle="Normal"/>
    <tableColumn id="4954" name="Column4933" dataDxfId="11479" dataCellStyle="Normal"/>
    <tableColumn id="4955" name="Column4934" dataDxfId="11478" dataCellStyle="Normal"/>
    <tableColumn id="4956" name="Column4935" dataDxfId="11477" dataCellStyle="Normal"/>
    <tableColumn id="4957" name="Column4936" dataDxfId="11476" dataCellStyle="Normal"/>
    <tableColumn id="4958" name="Column4937" dataDxfId="11475" dataCellStyle="Normal"/>
    <tableColumn id="4959" name="Column4938" dataDxfId="11474" dataCellStyle="Normal"/>
    <tableColumn id="4960" name="Column4939" dataDxfId="11473" dataCellStyle="Normal"/>
    <tableColumn id="4961" name="Column4940" dataDxfId="11472" dataCellStyle="Normal"/>
    <tableColumn id="4962" name="Column4941" dataDxfId="11471" dataCellStyle="Normal"/>
    <tableColumn id="4963" name="Column4942" dataDxfId="11470" dataCellStyle="Normal"/>
    <tableColumn id="4964" name="Column4943" dataDxfId="11469" dataCellStyle="Normal"/>
    <tableColumn id="4965" name="Column4944" dataDxfId="11468" dataCellStyle="Normal"/>
    <tableColumn id="4966" name="Column4945" dataDxfId="11467" dataCellStyle="Normal"/>
    <tableColumn id="4967" name="Column4946" dataDxfId="11466" dataCellStyle="Normal"/>
    <tableColumn id="4968" name="Column4947" dataDxfId="11465" dataCellStyle="Normal"/>
    <tableColumn id="4969" name="Column4948" dataDxfId="11464" dataCellStyle="Normal"/>
    <tableColumn id="4970" name="Column4949" dataDxfId="11463" dataCellStyle="Normal"/>
    <tableColumn id="4971" name="Column4950" dataDxfId="11462" dataCellStyle="Normal"/>
    <tableColumn id="4972" name="Column4951" dataDxfId="11461" dataCellStyle="Normal"/>
    <tableColumn id="4973" name="Column4952" dataDxfId="11460" dataCellStyle="Normal"/>
    <tableColumn id="4974" name="Column4953" dataDxfId="11459" dataCellStyle="Normal"/>
    <tableColumn id="4975" name="Column4954" dataDxfId="11458" dataCellStyle="Normal"/>
    <tableColumn id="4976" name="Column4955" dataDxfId="11457" dataCellStyle="Normal"/>
    <tableColumn id="4977" name="Column4956" dataDxfId="11456" dataCellStyle="Normal"/>
    <tableColumn id="4978" name="Column4957" dataDxfId="11455" dataCellStyle="Normal"/>
    <tableColumn id="4979" name="Column4958" dataDxfId="11454" dataCellStyle="Normal"/>
    <tableColumn id="4980" name="Column4959" dataDxfId="11453" dataCellStyle="Normal"/>
    <tableColumn id="4981" name="Column4960" dataDxfId="11452" dataCellStyle="Normal"/>
    <tableColumn id="4982" name="Column4961" dataDxfId="11451" dataCellStyle="Normal"/>
    <tableColumn id="4983" name="Column4962" dataDxfId="11450" dataCellStyle="Normal"/>
    <tableColumn id="4984" name="Column4963" dataDxfId="11449" dataCellStyle="Normal"/>
    <tableColumn id="4985" name="Column4964" dataDxfId="11448" dataCellStyle="Normal"/>
    <tableColumn id="4986" name="Column4965" dataDxfId="11447" dataCellStyle="Normal"/>
    <tableColumn id="4987" name="Column4966" dataDxfId="11446" dataCellStyle="Normal"/>
    <tableColumn id="4988" name="Column4967" dataDxfId="11445" dataCellStyle="Normal"/>
    <tableColumn id="4989" name="Column4968" dataDxfId="11444" dataCellStyle="Normal"/>
    <tableColumn id="4990" name="Column4969" dataDxfId="11443" dataCellStyle="Normal"/>
    <tableColumn id="4991" name="Column4970" dataDxfId="11442" dataCellStyle="Normal"/>
    <tableColumn id="4992" name="Column4971" dataDxfId="11441" dataCellStyle="Normal"/>
    <tableColumn id="4993" name="Column4972" dataDxfId="11440" dataCellStyle="Normal"/>
    <tableColumn id="4994" name="Column4973" dataDxfId="11439" dataCellStyle="Normal"/>
    <tableColumn id="4995" name="Column4974" dataDxfId="11438" dataCellStyle="Normal"/>
    <tableColumn id="4996" name="Column4975" dataDxfId="11437" dataCellStyle="Normal"/>
    <tableColumn id="4997" name="Column4976" dataDxfId="11436" dataCellStyle="Normal"/>
    <tableColumn id="4998" name="Column4977" dataDxfId="11435" dataCellStyle="Normal"/>
    <tableColumn id="4999" name="Column4978" dataDxfId="11434" dataCellStyle="Normal"/>
    <tableColumn id="5000" name="Column4979" dataDxfId="11433" dataCellStyle="Normal"/>
    <tableColumn id="5001" name="Column4980" dataDxfId="11432" dataCellStyle="Normal"/>
    <tableColumn id="5002" name="Column4981" dataDxfId="11431" dataCellStyle="Normal"/>
    <tableColumn id="5003" name="Column4982" dataDxfId="11430" dataCellStyle="Normal"/>
    <tableColumn id="5004" name="Column4983" dataDxfId="11429" dataCellStyle="Normal"/>
    <tableColumn id="5005" name="Column4984" dataDxfId="11428" dataCellStyle="Normal"/>
    <tableColumn id="5006" name="Column4985" dataDxfId="11427" dataCellStyle="Normal"/>
    <tableColumn id="5007" name="Column4986" dataDxfId="11426" dataCellStyle="Normal"/>
    <tableColumn id="5008" name="Column4987" dataDxfId="11425" dataCellStyle="Normal"/>
    <tableColumn id="5009" name="Column4988" dataDxfId="11424" dataCellStyle="Normal"/>
    <tableColumn id="5010" name="Column4989" dataDxfId="11423" dataCellStyle="Normal"/>
    <tableColumn id="5011" name="Column4990" dataDxfId="11422" dataCellStyle="Normal"/>
    <tableColumn id="5012" name="Column4991" dataDxfId="11421" dataCellStyle="Normal"/>
    <tableColumn id="5013" name="Column4992" dataDxfId="11420" dataCellStyle="Normal"/>
    <tableColumn id="5014" name="Column4993" dataDxfId="11419" dataCellStyle="Normal"/>
    <tableColumn id="5015" name="Column4994" dataDxfId="11418" dataCellStyle="Normal"/>
    <tableColumn id="5016" name="Column4995" dataDxfId="11417" dataCellStyle="Normal"/>
    <tableColumn id="5017" name="Column4996" dataDxfId="11416" dataCellStyle="Normal"/>
    <tableColumn id="5018" name="Column4997" dataDxfId="11415" dataCellStyle="Normal"/>
    <tableColumn id="5019" name="Column4998" dataDxfId="11414" dataCellStyle="Normal"/>
    <tableColumn id="5020" name="Column4999" dataDxfId="11413" dataCellStyle="Normal"/>
    <tableColumn id="5021" name="Column5000" dataDxfId="11412" dataCellStyle="Normal"/>
    <tableColumn id="5022" name="Column5001" dataDxfId="11411" dataCellStyle="Normal"/>
    <tableColumn id="5023" name="Column5002" dataDxfId="11410" dataCellStyle="Normal"/>
    <tableColumn id="5024" name="Column5003" dataDxfId="11409" dataCellStyle="Normal"/>
    <tableColumn id="5025" name="Column5004" dataDxfId="11408" dataCellStyle="Normal"/>
    <tableColumn id="5026" name="Column5005" dataDxfId="11407" dataCellStyle="Normal"/>
    <tableColumn id="5027" name="Column5006" dataDxfId="11406" dataCellStyle="Normal"/>
    <tableColumn id="5028" name="Column5007" dataDxfId="11405" dataCellStyle="Normal"/>
    <tableColumn id="5029" name="Column5008" dataDxfId="11404" dataCellStyle="Normal"/>
    <tableColumn id="5030" name="Column5009" dataDxfId="11403" dataCellStyle="Normal"/>
    <tableColumn id="5031" name="Column5010" dataDxfId="11402" dataCellStyle="Normal"/>
    <tableColumn id="5032" name="Column5011" dataDxfId="11401" dataCellStyle="Normal"/>
    <tableColumn id="5033" name="Column5012" dataDxfId="11400" dataCellStyle="Normal"/>
    <tableColumn id="5034" name="Column5013" dataDxfId="11399" dataCellStyle="Normal"/>
    <tableColumn id="5035" name="Column5014" dataDxfId="11398" dataCellStyle="Normal"/>
    <tableColumn id="5036" name="Column5015" dataDxfId="11397" dataCellStyle="Normal"/>
    <tableColumn id="5037" name="Column5016" dataDxfId="11396" dataCellStyle="Normal"/>
    <tableColumn id="5038" name="Column5017" dataDxfId="11395" dataCellStyle="Normal"/>
    <tableColumn id="5039" name="Column5018" dataDxfId="11394" dataCellStyle="Normal"/>
    <tableColumn id="5040" name="Column5019" dataDxfId="11393" dataCellStyle="Normal"/>
    <tableColumn id="5041" name="Column5020" dataDxfId="11392" dataCellStyle="Normal"/>
    <tableColumn id="5042" name="Column5021" dataDxfId="11391" dataCellStyle="Normal"/>
    <tableColumn id="5043" name="Column5022" dataDxfId="11390" dataCellStyle="Normal"/>
    <tableColumn id="5044" name="Column5023" dataDxfId="11389" dataCellStyle="Normal"/>
    <tableColumn id="5045" name="Column5024" dataDxfId="11388" dataCellStyle="Normal"/>
    <tableColumn id="5046" name="Column5025" dataDxfId="11387" dataCellStyle="Normal"/>
    <tableColumn id="5047" name="Column5026" dataDxfId="11386" dataCellStyle="Normal"/>
    <tableColumn id="5048" name="Column5027" dataDxfId="11385" dataCellStyle="Normal"/>
    <tableColumn id="5049" name="Column5028" dataDxfId="11384" dataCellStyle="Normal"/>
    <tableColumn id="5050" name="Column5029" dataDxfId="11383" dataCellStyle="Normal"/>
    <tableColumn id="5051" name="Column5030" dataDxfId="11382" dataCellStyle="Normal"/>
    <tableColumn id="5052" name="Column5031" dataDxfId="11381" dataCellStyle="Normal"/>
    <tableColumn id="5053" name="Column5032" dataDxfId="11380" dataCellStyle="Normal"/>
    <tableColumn id="5054" name="Column5033" dataDxfId="11379" dataCellStyle="Normal"/>
    <tableColumn id="5055" name="Column5034" dataDxfId="11378" dataCellStyle="Normal"/>
    <tableColumn id="5056" name="Column5035" dataDxfId="11377" dataCellStyle="Normal"/>
    <tableColumn id="5057" name="Column5036" dataDxfId="11376" dataCellStyle="Normal"/>
    <tableColumn id="5058" name="Column5037" dataDxfId="11375" dataCellStyle="Normal"/>
    <tableColumn id="5059" name="Column5038" dataDxfId="11374" dataCellStyle="Normal"/>
    <tableColumn id="5060" name="Column5039" dataDxfId="11373" dataCellStyle="Normal"/>
    <tableColumn id="5061" name="Column5040" dataDxfId="11372" dataCellStyle="Normal"/>
    <tableColumn id="5062" name="Column5041" dataDxfId="11371" dataCellStyle="Normal"/>
    <tableColumn id="5063" name="Column5042" dataDxfId="11370" dataCellStyle="Normal"/>
    <tableColumn id="5064" name="Column5043" dataDxfId="11369" dataCellStyle="Normal"/>
    <tableColumn id="5065" name="Column5044" dataDxfId="11368" dataCellStyle="Normal"/>
    <tableColumn id="5066" name="Column5045" dataDxfId="11367" dataCellStyle="Normal"/>
    <tableColumn id="5067" name="Column5046" dataDxfId="11366" dataCellStyle="Normal"/>
    <tableColumn id="5068" name="Column5047" dataDxfId="11365" dataCellStyle="Normal"/>
    <tableColumn id="5069" name="Column5048" dataDxfId="11364" dataCellStyle="Normal"/>
    <tableColumn id="5070" name="Column5049" dataDxfId="11363" dataCellStyle="Normal"/>
    <tableColumn id="5071" name="Column5050" dataDxfId="11362" dataCellStyle="Normal"/>
    <tableColumn id="5072" name="Column5051" dataDxfId="11361" dataCellStyle="Normal"/>
    <tableColumn id="5073" name="Column5052" dataDxfId="11360" dataCellStyle="Normal"/>
    <tableColumn id="5074" name="Column5053" dataDxfId="11359" dataCellStyle="Normal"/>
    <tableColumn id="5075" name="Column5054" dataDxfId="11358" dataCellStyle="Normal"/>
    <tableColumn id="5076" name="Column5055" dataDxfId="11357" dataCellStyle="Normal"/>
    <tableColumn id="5077" name="Column5056" dataDxfId="11356" dataCellStyle="Normal"/>
    <tableColumn id="5078" name="Column5057" dataDxfId="11355" dataCellStyle="Normal"/>
    <tableColumn id="5079" name="Column5058" dataDxfId="11354" dataCellStyle="Normal"/>
    <tableColumn id="5080" name="Column5059" dataDxfId="11353" dataCellStyle="Normal"/>
    <tableColumn id="5081" name="Column5060" dataDxfId="11352" dataCellStyle="Normal"/>
    <tableColumn id="5082" name="Column5061" dataDxfId="11351" dataCellStyle="Normal"/>
    <tableColumn id="5083" name="Column5062" dataDxfId="11350" dataCellStyle="Normal"/>
    <tableColumn id="5084" name="Column5063" dataDxfId="11349" dataCellStyle="Normal"/>
    <tableColumn id="5085" name="Column5064" dataDxfId="11348" dataCellStyle="Normal"/>
    <tableColumn id="5086" name="Column5065" dataDxfId="11347" dataCellStyle="Normal"/>
    <tableColumn id="5087" name="Column5066" dataDxfId="11346" dataCellStyle="Normal"/>
    <tableColumn id="5088" name="Column5067" dataDxfId="11345" dataCellStyle="Normal"/>
    <tableColumn id="5089" name="Column5068" dataDxfId="11344" dataCellStyle="Normal"/>
    <tableColumn id="5090" name="Column5069" dataDxfId="11343" dataCellStyle="Normal"/>
    <tableColumn id="5091" name="Column5070" dataDxfId="11342" dataCellStyle="Normal"/>
    <tableColumn id="5092" name="Column5071" dataDxfId="11341" dataCellStyle="Normal"/>
    <tableColumn id="5093" name="Column5072" dataDxfId="11340" dataCellStyle="Normal"/>
    <tableColumn id="5094" name="Column5073" dataDxfId="11339" dataCellStyle="Normal"/>
    <tableColumn id="5095" name="Column5074" dataDxfId="11338" dataCellStyle="Normal"/>
    <tableColumn id="5096" name="Column5075" dataDxfId="11337" dataCellStyle="Normal"/>
    <tableColumn id="5097" name="Column5076" dataDxfId="11336" dataCellStyle="Normal"/>
    <tableColumn id="5098" name="Column5077" dataDxfId="11335" dataCellStyle="Normal"/>
    <tableColumn id="5099" name="Column5078" dataDxfId="11334" dataCellStyle="Normal"/>
    <tableColumn id="5100" name="Column5079" dataDxfId="11333" dataCellStyle="Normal"/>
    <tableColumn id="5101" name="Column5080" dataDxfId="11332" dataCellStyle="Normal"/>
    <tableColumn id="5102" name="Column5081" dataDxfId="11331" dataCellStyle="Normal"/>
    <tableColumn id="5103" name="Column5082" dataDxfId="11330" dataCellStyle="Normal"/>
    <tableColumn id="5104" name="Column5083" dataDxfId="11329" dataCellStyle="Normal"/>
    <tableColumn id="5105" name="Column5084" dataDxfId="11328" dataCellStyle="Normal"/>
    <tableColumn id="5106" name="Column5085" dataDxfId="11327" dataCellStyle="Normal"/>
    <tableColumn id="5107" name="Column5086" dataDxfId="11326" dataCellStyle="Normal"/>
    <tableColumn id="5108" name="Column5087" dataDxfId="11325" dataCellStyle="Normal"/>
    <tableColumn id="5109" name="Column5088" dataDxfId="11324" dataCellStyle="Normal"/>
    <tableColumn id="5110" name="Column5089" dataDxfId="11323" dataCellStyle="Normal"/>
    <tableColumn id="5111" name="Column5090" dataDxfId="11322" dataCellStyle="Normal"/>
    <tableColumn id="5112" name="Column5091" dataDxfId="11321" dataCellStyle="Normal"/>
    <tableColumn id="5113" name="Column5092" dataDxfId="11320" dataCellStyle="Normal"/>
    <tableColumn id="5114" name="Column5093" dataDxfId="11319" dataCellStyle="Normal"/>
    <tableColumn id="5115" name="Column5094" dataDxfId="11318" dataCellStyle="Normal"/>
    <tableColumn id="5116" name="Column5095" dataDxfId="11317" dataCellStyle="Normal"/>
    <tableColumn id="5117" name="Column5096" dataDxfId="11316" dataCellStyle="Normal"/>
    <tableColumn id="5118" name="Column5097" dataDxfId="11315" dataCellStyle="Normal"/>
    <tableColumn id="5119" name="Column5098" dataDxfId="11314" dataCellStyle="Normal"/>
    <tableColumn id="5120" name="Column5099" dataDxfId="11313" dataCellStyle="Normal"/>
    <tableColumn id="5121" name="Column5100" dataDxfId="11312" dataCellStyle="Normal"/>
    <tableColumn id="5122" name="Column5101" dataDxfId="11311" dataCellStyle="Normal"/>
    <tableColumn id="5123" name="Column5102" dataDxfId="11310" dataCellStyle="Normal"/>
    <tableColumn id="5124" name="Column5103" dataDxfId="11309" dataCellStyle="Normal"/>
    <tableColumn id="5125" name="Column5104" dataDxfId="11308" dataCellStyle="Normal"/>
    <tableColumn id="5126" name="Column5105" dataDxfId="11307" dataCellStyle="Normal"/>
    <tableColumn id="5127" name="Column5106" dataDxfId="11306" dataCellStyle="Normal"/>
    <tableColumn id="5128" name="Column5107" dataDxfId="11305" dataCellStyle="Normal"/>
    <tableColumn id="5129" name="Column5108" dataDxfId="11304" dataCellStyle="Normal"/>
    <tableColumn id="5130" name="Column5109" dataDxfId="11303" dataCellStyle="Normal"/>
    <tableColumn id="5131" name="Column5110" dataDxfId="11302" dataCellStyle="Normal"/>
    <tableColumn id="5132" name="Column5111" dataDxfId="11301" dataCellStyle="Normal"/>
    <tableColumn id="5133" name="Column5112" dataDxfId="11300" dataCellStyle="Normal"/>
    <tableColumn id="5134" name="Column5113" dataDxfId="11299" dataCellStyle="Normal"/>
    <tableColumn id="5135" name="Column5114" dataDxfId="11298" dataCellStyle="Normal"/>
    <tableColumn id="5136" name="Column5115" dataDxfId="11297" dataCellStyle="Normal"/>
    <tableColumn id="5137" name="Column5116" dataDxfId="11296" dataCellStyle="Normal"/>
    <tableColumn id="5138" name="Column5117" dataDxfId="11295" dataCellStyle="Normal"/>
    <tableColumn id="5139" name="Column5118" dataDxfId="11294" dataCellStyle="Normal"/>
    <tableColumn id="5140" name="Column5119" dataDxfId="11293" dataCellStyle="Normal"/>
    <tableColumn id="5141" name="Column5120" dataDxfId="11292" dataCellStyle="Normal"/>
    <tableColumn id="5142" name="Column5121" dataDxfId="11291" dataCellStyle="Normal"/>
    <tableColumn id="5143" name="Column5122" dataDxfId="11290" dataCellStyle="Normal"/>
    <tableColumn id="5144" name="Column5123" dataDxfId="11289" dataCellStyle="Normal"/>
    <tableColumn id="5145" name="Column5124" dataDxfId="11288" dataCellStyle="Normal"/>
    <tableColumn id="5146" name="Column5125" dataDxfId="11287" dataCellStyle="Normal"/>
    <tableColumn id="5147" name="Column5126" dataDxfId="11286" dataCellStyle="Normal"/>
    <tableColumn id="5148" name="Column5127" dataDxfId="11285" dataCellStyle="Normal"/>
    <tableColumn id="5149" name="Column5128" dataDxfId="11284" dataCellStyle="Normal"/>
    <tableColumn id="5150" name="Column5129" dataDxfId="11283" dataCellStyle="Normal"/>
    <tableColumn id="5151" name="Column5130" dataDxfId="11282" dataCellStyle="Normal"/>
    <tableColumn id="5152" name="Column5131" dataDxfId="11281" dataCellStyle="Normal"/>
    <tableColumn id="5153" name="Column5132" dataDxfId="11280" dataCellStyle="Normal"/>
    <tableColumn id="5154" name="Column5133" dataDxfId="11279" dataCellStyle="Normal"/>
    <tableColumn id="5155" name="Column5134" dataDxfId="11278" dataCellStyle="Normal"/>
    <tableColumn id="5156" name="Column5135" dataDxfId="11277" dataCellStyle="Normal"/>
    <tableColumn id="5157" name="Column5136" dataDxfId="11276" dataCellStyle="Normal"/>
    <tableColumn id="5158" name="Column5137" dataDxfId="11275" dataCellStyle="Normal"/>
    <tableColumn id="5159" name="Column5138" dataDxfId="11274" dataCellStyle="Normal"/>
    <tableColumn id="5160" name="Column5139" dataDxfId="11273" dataCellStyle="Normal"/>
    <tableColumn id="5161" name="Column5140" dataDxfId="11272" dataCellStyle="Normal"/>
    <tableColumn id="5162" name="Column5141" dataDxfId="11271" dataCellStyle="Normal"/>
    <tableColumn id="5163" name="Column5142" dataDxfId="11270" dataCellStyle="Normal"/>
    <tableColumn id="5164" name="Column5143" dataDxfId="11269" dataCellStyle="Normal"/>
    <tableColumn id="5165" name="Column5144" dataDxfId="11268" dataCellStyle="Normal"/>
    <tableColumn id="5166" name="Column5145" dataDxfId="11267" dataCellStyle="Normal"/>
    <tableColumn id="5167" name="Column5146" dataDxfId="11266" dataCellStyle="Normal"/>
    <tableColumn id="5168" name="Column5147" dataDxfId="11265" dataCellStyle="Normal"/>
    <tableColumn id="5169" name="Column5148" dataDxfId="11264" dataCellStyle="Normal"/>
    <tableColumn id="5170" name="Column5149" dataDxfId="11263" dataCellStyle="Normal"/>
    <tableColumn id="5171" name="Column5150" dataDxfId="11262" dataCellStyle="Normal"/>
    <tableColumn id="5172" name="Column5151" dataDxfId="11261" dataCellStyle="Normal"/>
    <tableColumn id="5173" name="Column5152" dataDxfId="11260" dataCellStyle="Normal"/>
    <tableColumn id="5174" name="Column5153" dataDxfId="11259" dataCellStyle="Normal"/>
    <tableColumn id="5175" name="Column5154" dataDxfId="11258" dataCellStyle="Normal"/>
    <tableColumn id="5176" name="Column5155" dataDxfId="11257" dataCellStyle="Normal"/>
    <tableColumn id="5177" name="Column5156" dataDxfId="11256" dataCellStyle="Normal"/>
    <tableColumn id="5178" name="Column5157" dataDxfId="11255" dataCellStyle="Normal"/>
    <tableColumn id="5179" name="Column5158" dataDxfId="11254" dataCellStyle="Normal"/>
    <tableColumn id="5180" name="Column5159" dataDxfId="11253" dataCellStyle="Normal"/>
    <tableColumn id="5181" name="Column5160" dataDxfId="11252" dataCellStyle="Normal"/>
    <tableColumn id="5182" name="Column5161" dataDxfId="11251" dataCellStyle="Normal"/>
    <tableColumn id="5183" name="Column5162" dataDxfId="11250" dataCellStyle="Normal"/>
    <tableColumn id="5184" name="Column5163" dataDxfId="11249" dataCellStyle="Normal"/>
    <tableColumn id="5185" name="Column5164" dataDxfId="11248" dataCellStyle="Normal"/>
    <tableColumn id="5186" name="Column5165" dataDxfId="11247" dataCellStyle="Normal"/>
    <tableColumn id="5187" name="Column5166" dataDxfId="11246" dataCellStyle="Normal"/>
    <tableColumn id="5188" name="Column5167" dataDxfId="11245" dataCellStyle="Normal"/>
    <tableColumn id="5189" name="Column5168" dataDxfId="11244" dataCellStyle="Normal"/>
    <tableColumn id="5190" name="Column5169" dataDxfId="11243" dataCellStyle="Normal"/>
    <tableColumn id="5191" name="Column5170" dataDxfId="11242" dataCellStyle="Normal"/>
    <tableColumn id="5192" name="Column5171" dataDxfId="11241" dataCellStyle="Normal"/>
    <tableColumn id="5193" name="Column5172" dataDxfId="11240" dataCellStyle="Normal"/>
    <tableColumn id="5194" name="Column5173" dataDxfId="11239" dataCellStyle="Normal"/>
    <tableColumn id="5195" name="Column5174" dataDxfId="11238" dataCellStyle="Normal"/>
    <tableColumn id="5196" name="Column5175" dataDxfId="11237" dataCellStyle="Normal"/>
    <tableColumn id="5197" name="Column5176" dataDxfId="11236" dataCellStyle="Normal"/>
    <tableColumn id="5198" name="Column5177" dataDxfId="11235" dataCellStyle="Normal"/>
    <tableColumn id="5199" name="Column5178" dataDxfId="11234" dataCellStyle="Normal"/>
    <tableColumn id="5200" name="Column5179" dataDxfId="11233" dataCellStyle="Normal"/>
    <tableColumn id="5201" name="Column5180" dataDxfId="11232" dataCellStyle="Normal"/>
    <tableColumn id="5202" name="Column5181" dataDxfId="11231" dataCellStyle="Normal"/>
    <tableColumn id="5203" name="Column5182" dataDxfId="11230" dataCellStyle="Normal"/>
    <tableColumn id="5204" name="Column5183" dataDxfId="11229" dataCellStyle="Normal"/>
    <tableColumn id="5205" name="Column5184" dataDxfId="11228" dataCellStyle="Normal"/>
    <tableColumn id="5206" name="Column5185" dataDxfId="11227" dataCellStyle="Normal"/>
    <tableColumn id="5207" name="Column5186" dataDxfId="11226" dataCellStyle="Normal"/>
    <tableColumn id="5208" name="Column5187" dataDxfId="11225" dataCellStyle="Normal"/>
    <tableColumn id="5209" name="Column5188" dataDxfId="11224" dataCellStyle="Normal"/>
    <tableColumn id="5210" name="Column5189" dataDxfId="11223" dataCellStyle="Normal"/>
    <tableColumn id="5211" name="Column5190" dataDxfId="11222" dataCellStyle="Normal"/>
    <tableColumn id="5212" name="Column5191" dataDxfId="11221" dataCellStyle="Normal"/>
    <tableColumn id="5213" name="Column5192" dataDxfId="11220" dataCellStyle="Normal"/>
    <tableColumn id="5214" name="Column5193" dataDxfId="11219" dataCellStyle="Normal"/>
    <tableColumn id="5215" name="Column5194" dataDxfId="11218" dataCellStyle="Normal"/>
    <tableColumn id="5216" name="Column5195" dataDxfId="11217" dataCellStyle="Normal"/>
    <tableColumn id="5217" name="Column5196" dataDxfId="11216" dataCellStyle="Normal"/>
    <tableColumn id="5218" name="Column5197" dataDxfId="11215" dataCellStyle="Normal"/>
    <tableColumn id="5219" name="Column5198" dataDxfId="11214" dataCellStyle="Normal"/>
    <tableColumn id="5220" name="Column5199" dataDxfId="11213" dataCellStyle="Normal"/>
    <tableColumn id="5221" name="Column5200" dataDxfId="11212" dataCellStyle="Normal"/>
    <tableColumn id="5222" name="Column5201" dataDxfId="11211" dataCellStyle="Normal"/>
    <tableColumn id="5223" name="Column5202" dataDxfId="11210" dataCellStyle="Normal"/>
    <tableColumn id="5224" name="Column5203" dataDxfId="11209" dataCellStyle="Normal"/>
    <tableColumn id="5225" name="Column5204" dataDxfId="11208" dataCellStyle="Normal"/>
    <tableColumn id="5226" name="Column5205" dataDxfId="11207" dataCellStyle="Normal"/>
    <tableColumn id="5227" name="Column5206" dataDxfId="11206" dataCellStyle="Normal"/>
    <tableColumn id="5228" name="Column5207" dataDxfId="11205" dataCellStyle="Normal"/>
    <tableColumn id="5229" name="Column5208" dataDxfId="11204" dataCellStyle="Normal"/>
    <tableColumn id="5230" name="Column5209" dataDxfId="11203" dataCellStyle="Normal"/>
    <tableColumn id="5231" name="Column5210" dataDxfId="11202" dataCellStyle="Normal"/>
    <tableColumn id="5232" name="Column5211" dataDxfId="11201" dataCellStyle="Normal"/>
    <tableColumn id="5233" name="Column5212" dataDxfId="11200" dataCellStyle="Normal"/>
    <tableColumn id="5234" name="Column5213" dataDxfId="11199" dataCellStyle="Normal"/>
    <tableColumn id="5235" name="Column5214" dataDxfId="11198" dataCellStyle="Normal"/>
    <tableColumn id="5236" name="Column5215" dataDxfId="11197" dataCellStyle="Normal"/>
    <tableColumn id="5237" name="Column5216" dataDxfId="11196" dataCellStyle="Normal"/>
    <tableColumn id="5238" name="Column5217" dataDxfId="11195" dataCellStyle="Normal"/>
    <tableColumn id="5239" name="Column5218" dataDxfId="11194" dataCellStyle="Normal"/>
    <tableColumn id="5240" name="Column5219" dataDxfId="11193" dataCellStyle="Normal"/>
    <tableColumn id="5241" name="Column5220" dataDxfId="11192" dataCellStyle="Normal"/>
    <tableColumn id="5242" name="Column5221" dataDxfId="11191" dataCellStyle="Normal"/>
    <tableColumn id="5243" name="Column5222" dataDxfId="11190" dataCellStyle="Normal"/>
    <tableColumn id="5244" name="Column5223" dataDxfId="11189" dataCellStyle="Normal"/>
    <tableColumn id="5245" name="Column5224" dataDxfId="11188" dataCellStyle="Normal"/>
    <tableColumn id="5246" name="Column5225" dataDxfId="11187" dataCellStyle="Normal"/>
    <tableColumn id="5247" name="Column5226" dataDxfId="11186" dataCellStyle="Normal"/>
    <tableColumn id="5248" name="Column5227" dataDxfId="11185" dataCellStyle="Normal"/>
    <tableColumn id="5249" name="Column5228" dataDxfId="11184" dataCellStyle="Normal"/>
    <tableColumn id="5250" name="Column5229" dataDxfId="11183" dataCellStyle="Normal"/>
    <tableColumn id="5251" name="Column5230" dataDxfId="11182" dataCellStyle="Normal"/>
    <tableColumn id="5252" name="Column5231" dataDxfId="11181" dataCellStyle="Normal"/>
    <tableColumn id="5253" name="Column5232" dataDxfId="11180" dataCellStyle="Normal"/>
    <tableColumn id="5254" name="Column5233" dataDxfId="11179" dataCellStyle="Normal"/>
    <tableColumn id="5255" name="Column5234" dataDxfId="11178" dataCellStyle="Normal"/>
    <tableColumn id="5256" name="Column5235" dataDxfId="11177" dataCellStyle="Normal"/>
    <tableColumn id="5257" name="Column5236" dataDxfId="11176" dataCellStyle="Normal"/>
    <tableColumn id="5258" name="Column5237" dataDxfId="11175" dataCellStyle="Normal"/>
    <tableColumn id="5259" name="Column5238" dataDxfId="11174" dataCellStyle="Normal"/>
    <tableColumn id="5260" name="Column5239" dataDxfId="11173" dataCellStyle="Normal"/>
    <tableColumn id="5261" name="Column5240" dataDxfId="11172" dataCellStyle="Normal"/>
    <tableColumn id="5262" name="Column5241" dataDxfId="11171" dataCellStyle="Normal"/>
    <tableColumn id="5263" name="Column5242" dataDxfId="11170" dataCellStyle="Normal"/>
    <tableColumn id="5264" name="Column5243" dataDxfId="11169" dataCellStyle="Normal"/>
    <tableColumn id="5265" name="Column5244" dataDxfId="11168" dataCellStyle="Normal"/>
    <tableColumn id="5266" name="Column5245" dataDxfId="11167" dataCellStyle="Normal"/>
    <tableColumn id="5267" name="Column5246" dataDxfId="11166" dataCellStyle="Normal"/>
    <tableColumn id="5268" name="Column5247" dataDxfId="11165" dataCellStyle="Normal"/>
    <tableColumn id="5269" name="Column5248" dataDxfId="11164" dataCellStyle="Normal"/>
    <tableColumn id="5270" name="Column5249" dataDxfId="11163" dataCellStyle="Normal"/>
    <tableColumn id="5271" name="Column5250" dataDxfId="11162" dataCellStyle="Normal"/>
    <tableColumn id="5272" name="Column5251" dataDxfId="11161" dataCellStyle="Normal"/>
    <tableColumn id="5273" name="Column5252" dataDxfId="11160" dataCellStyle="Normal"/>
    <tableColumn id="5274" name="Column5253" dataDxfId="11159" dataCellStyle="Normal"/>
    <tableColumn id="5275" name="Column5254" dataDxfId="11158" dataCellStyle="Normal"/>
    <tableColumn id="5276" name="Column5255" dataDxfId="11157" dataCellStyle="Normal"/>
    <tableColumn id="5277" name="Column5256" dataDxfId="11156" dataCellStyle="Normal"/>
    <tableColumn id="5278" name="Column5257" dataDxfId="11155" dataCellStyle="Normal"/>
    <tableColumn id="5279" name="Column5258" dataDxfId="11154" dataCellStyle="Normal"/>
    <tableColumn id="5280" name="Column5259" dataDxfId="11153" dataCellStyle="Normal"/>
    <tableColumn id="5281" name="Column5260" dataDxfId="11152" dataCellStyle="Normal"/>
    <tableColumn id="5282" name="Column5261" dataDxfId="11151" dataCellStyle="Normal"/>
    <tableColumn id="5283" name="Column5262" dataDxfId="11150" dataCellStyle="Normal"/>
    <tableColumn id="5284" name="Column5263" dataDxfId="11149" dataCellStyle="Normal"/>
    <tableColumn id="5285" name="Column5264" dataDxfId="11148" dataCellStyle="Normal"/>
    <tableColumn id="5286" name="Column5265" dataDxfId="11147" dataCellStyle="Normal"/>
    <tableColumn id="5287" name="Column5266" dataDxfId="11146" dataCellStyle="Normal"/>
    <tableColumn id="5288" name="Column5267" dataDxfId="11145" dataCellStyle="Normal"/>
    <tableColumn id="5289" name="Column5268" dataDxfId="11144" dataCellStyle="Normal"/>
    <tableColumn id="5290" name="Column5269" dataDxfId="11143" dataCellStyle="Normal"/>
    <tableColumn id="5291" name="Column5270" dataDxfId="11142" dataCellStyle="Normal"/>
    <tableColumn id="5292" name="Column5271" dataDxfId="11141" dataCellStyle="Normal"/>
    <tableColumn id="5293" name="Column5272" dataDxfId="11140" dataCellStyle="Normal"/>
    <tableColumn id="5294" name="Column5273" dataDxfId="11139" dataCellStyle="Normal"/>
    <tableColumn id="5295" name="Column5274" dataDxfId="11138" dataCellStyle="Normal"/>
    <tableColumn id="5296" name="Column5275" dataDxfId="11137" dataCellStyle="Normal"/>
    <tableColumn id="5297" name="Column5276" dataDxfId="11136" dataCellStyle="Normal"/>
    <tableColumn id="5298" name="Column5277" dataDxfId="11135" dataCellStyle="Normal"/>
    <tableColumn id="5299" name="Column5278" dataDxfId="11134" dataCellStyle="Normal"/>
    <tableColumn id="5300" name="Column5279" dataDxfId="11133" dataCellStyle="Normal"/>
    <tableColumn id="5301" name="Column5280" dataDxfId="11132" dataCellStyle="Normal"/>
    <tableColumn id="5302" name="Column5281" dataDxfId="11131" dataCellStyle="Normal"/>
    <tableColumn id="5303" name="Column5282" dataDxfId="11130" dataCellStyle="Normal"/>
    <tableColumn id="5304" name="Column5283" dataDxfId="11129" dataCellStyle="Normal"/>
    <tableColumn id="5305" name="Column5284" dataDxfId="11128" dataCellStyle="Normal"/>
    <tableColumn id="5306" name="Column5285" dataDxfId="11127" dataCellStyle="Normal"/>
    <tableColumn id="5307" name="Column5286" dataDxfId="11126" dataCellStyle="Normal"/>
    <tableColumn id="5308" name="Column5287" dataDxfId="11125" dataCellStyle="Normal"/>
    <tableColumn id="5309" name="Column5288" dataDxfId="11124" dataCellStyle="Normal"/>
    <tableColumn id="5310" name="Column5289" dataDxfId="11123" dataCellStyle="Normal"/>
    <tableColumn id="5311" name="Column5290" dataDxfId="11122" dataCellStyle="Normal"/>
    <tableColumn id="5312" name="Column5291" dataDxfId="11121" dataCellStyle="Normal"/>
    <tableColumn id="5313" name="Column5292" dataDxfId="11120" dataCellStyle="Normal"/>
    <tableColumn id="5314" name="Column5293" dataDxfId="11119" dataCellStyle="Normal"/>
    <tableColumn id="5315" name="Column5294" dataDxfId="11118" dataCellStyle="Normal"/>
    <tableColumn id="5316" name="Column5295" dataDxfId="11117" dataCellStyle="Normal"/>
    <tableColumn id="5317" name="Column5296" dataDxfId="11116" dataCellStyle="Normal"/>
    <tableColumn id="5318" name="Column5297" dataDxfId="11115" dataCellStyle="Normal"/>
    <tableColumn id="5319" name="Column5298" dataDxfId="11114" dataCellStyle="Normal"/>
    <tableColumn id="5320" name="Column5299" dataDxfId="11113" dataCellStyle="Normal"/>
    <tableColumn id="5321" name="Column5300" dataDxfId="11112" dataCellStyle="Normal"/>
    <tableColumn id="5322" name="Column5301" dataDxfId="11111" dataCellStyle="Normal"/>
    <tableColumn id="5323" name="Column5302" dataDxfId="11110" dataCellStyle="Normal"/>
    <tableColumn id="5324" name="Column5303" dataDxfId="11109" dataCellStyle="Normal"/>
    <tableColumn id="5325" name="Column5304" dataDxfId="11108" dataCellStyle="Normal"/>
    <tableColumn id="5326" name="Column5305" dataDxfId="11107" dataCellStyle="Normal"/>
    <tableColumn id="5327" name="Column5306" dataDxfId="11106" dataCellStyle="Normal"/>
    <tableColumn id="5328" name="Column5307" dataDxfId="11105" dataCellStyle="Normal"/>
    <tableColumn id="5329" name="Column5308" dataDxfId="11104" dataCellStyle="Normal"/>
    <tableColumn id="5330" name="Column5309" dataDxfId="11103" dataCellStyle="Normal"/>
    <tableColumn id="5331" name="Column5310" dataDxfId="11102" dataCellStyle="Normal"/>
    <tableColumn id="5332" name="Column5311" dataDxfId="11101" dataCellStyle="Normal"/>
    <tableColumn id="5333" name="Column5312" dataDxfId="11100" dataCellStyle="Normal"/>
    <tableColumn id="5334" name="Column5313" dataDxfId="11099" dataCellStyle="Normal"/>
    <tableColumn id="5335" name="Column5314" dataDxfId="11098" dataCellStyle="Normal"/>
    <tableColumn id="5336" name="Column5315" dataDxfId="11097" dataCellStyle="Normal"/>
    <tableColumn id="5337" name="Column5316" dataDxfId="11096" dataCellStyle="Normal"/>
    <tableColumn id="5338" name="Column5317" dataDxfId="11095" dataCellStyle="Normal"/>
    <tableColumn id="5339" name="Column5318" dataDxfId="11094" dataCellStyle="Normal"/>
    <tableColumn id="5340" name="Column5319" dataDxfId="11093" dataCellStyle="Normal"/>
    <tableColumn id="5341" name="Column5320" dataDxfId="11092" dataCellStyle="Normal"/>
    <tableColumn id="5342" name="Column5321" dataDxfId="11091" dataCellStyle="Normal"/>
    <tableColumn id="5343" name="Column5322" dataDxfId="11090" dataCellStyle="Normal"/>
    <tableColumn id="5344" name="Column5323" dataDxfId="11089" dataCellStyle="Normal"/>
    <tableColumn id="5345" name="Column5324" dataDxfId="11088" dataCellStyle="Normal"/>
    <tableColumn id="5346" name="Column5325" dataDxfId="11087" dataCellStyle="Normal"/>
    <tableColumn id="5347" name="Column5326" dataDxfId="11086" dataCellStyle="Normal"/>
    <tableColumn id="5348" name="Column5327" dataDxfId="11085" dataCellStyle="Normal"/>
    <tableColumn id="5349" name="Column5328" dataDxfId="11084" dataCellStyle="Normal"/>
    <tableColumn id="5350" name="Column5329" dataDxfId="11083" dataCellStyle="Normal"/>
    <tableColumn id="5351" name="Column5330" dataDxfId="11082" dataCellStyle="Normal"/>
    <tableColumn id="5352" name="Column5331" dataDxfId="11081" dataCellStyle="Normal"/>
    <tableColumn id="5353" name="Column5332" dataDxfId="11080" dataCellStyle="Normal"/>
    <tableColumn id="5354" name="Column5333" dataDxfId="11079" dataCellStyle="Normal"/>
    <tableColumn id="5355" name="Column5334" dataDxfId="11078" dataCellStyle="Normal"/>
    <tableColumn id="5356" name="Column5335" dataDxfId="11077" dataCellStyle="Normal"/>
    <tableColumn id="5357" name="Column5336" dataDxfId="11076" dataCellStyle="Normal"/>
    <tableColumn id="5358" name="Column5337" dataDxfId="11075" dataCellStyle="Normal"/>
    <tableColumn id="5359" name="Column5338" dataDxfId="11074" dataCellStyle="Normal"/>
    <tableColumn id="5360" name="Column5339" dataDxfId="11073" dataCellStyle="Normal"/>
    <tableColumn id="5361" name="Column5340" dataDxfId="11072" dataCellStyle="Normal"/>
    <tableColumn id="5362" name="Column5341" dataDxfId="11071" dataCellStyle="Normal"/>
    <tableColumn id="5363" name="Column5342" dataDxfId="11070" dataCellStyle="Normal"/>
    <tableColumn id="5364" name="Column5343" dataDxfId="11069" dataCellStyle="Normal"/>
    <tableColumn id="5365" name="Column5344" dataDxfId="11068" dataCellStyle="Normal"/>
    <tableColumn id="5366" name="Column5345" dataDxfId="11067" dataCellStyle="Normal"/>
    <tableColumn id="5367" name="Column5346" dataDxfId="11066" dataCellStyle="Normal"/>
    <tableColumn id="5368" name="Column5347" dataDxfId="11065" dataCellStyle="Normal"/>
    <tableColumn id="5369" name="Column5348" dataDxfId="11064" dataCellStyle="Normal"/>
    <tableColumn id="5370" name="Column5349" dataDxfId="11063" dataCellStyle="Normal"/>
    <tableColumn id="5371" name="Column5350" dataDxfId="11062" dataCellStyle="Normal"/>
    <tableColumn id="5372" name="Column5351" dataDxfId="11061" dataCellStyle="Normal"/>
    <tableColumn id="5373" name="Column5352" dataDxfId="11060" dataCellStyle="Normal"/>
    <tableColumn id="5374" name="Column5353" dataDxfId="11059" dataCellStyle="Normal"/>
    <tableColumn id="5375" name="Column5354" dataDxfId="11058" dataCellStyle="Normal"/>
    <tableColumn id="5376" name="Column5355" dataDxfId="11057" dataCellStyle="Normal"/>
    <tableColumn id="5377" name="Column5356" dataDxfId="11056" dataCellStyle="Normal"/>
    <tableColumn id="5378" name="Column5357" dataDxfId="11055" dataCellStyle="Normal"/>
    <tableColumn id="5379" name="Column5358" dataDxfId="11054" dataCellStyle="Normal"/>
    <tableColumn id="5380" name="Column5359" dataDxfId="11053" dataCellStyle="Normal"/>
    <tableColumn id="5381" name="Column5360" dataDxfId="11052" dataCellStyle="Normal"/>
    <tableColumn id="5382" name="Column5361" dataDxfId="11051" dataCellStyle="Normal"/>
    <tableColumn id="5383" name="Column5362" dataDxfId="11050" dataCellStyle="Normal"/>
    <tableColumn id="5384" name="Column5363" dataDxfId="11049" dataCellStyle="Normal"/>
    <tableColumn id="5385" name="Column5364" dataDxfId="11048" dataCellStyle="Normal"/>
    <tableColumn id="5386" name="Column5365" dataDxfId="11047" dataCellStyle="Normal"/>
    <tableColumn id="5387" name="Column5366" dataDxfId="11046" dataCellStyle="Normal"/>
    <tableColumn id="5388" name="Column5367" dataDxfId="11045" dataCellStyle="Normal"/>
    <tableColumn id="5389" name="Column5368" dataDxfId="11044" dataCellStyle="Normal"/>
    <tableColumn id="5390" name="Column5369" dataDxfId="11043" dataCellStyle="Normal"/>
    <tableColumn id="5391" name="Column5370" dataDxfId="11042" dataCellStyle="Normal"/>
    <tableColumn id="5392" name="Column5371" dataDxfId="11041" dataCellStyle="Normal"/>
    <tableColumn id="5393" name="Column5372" dataDxfId="11040" dataCellStyle="Normal"/>
    <tableColumn id="5394" name="Column5373" dataDxfId="11039" dataCellStyle="Normal"/>
    <tableColumn id="5395" name="Column5374" dataDxfId="11038" dataCellStyle="Normal"/>
    <tableColumn id="5396" name="Column5375" dataDxfId="11037" dataCellStyle="Normal"/>
    <tableColumn id="5397" name="Column5376" dataDxfId="11036" dataCellStyle="Normal"/>
    <tableColumn id="5398" name="Column5377" dataDxfId="11035" dataCellStyle="Normal"/>
    <tableColumn id="5399" name="Column5378" dataDxfId="11034" dataCellStyle="Normal"/>
    <tableColumn id="5400" name="Column5379" dataDxfId="11033" dataCellStyle="Normal"/>
    <tableColumn id="5401" name="Column5380" dataDxfId="11032" dataCellStyle="Normal"/>
    <tableColumn id="5402" name="Column5381" dataDxfId="11031" dataCellStyle="Normal"/>
    <tableColumn id="5403" name="Column5382" dataDxfId="11030" dataCellStyle="Normal"/>
    <tableColumn id="5404" name="Column5383" dataDxfId="11029" dataCellStyle="Normal"/>
    <tableColumn id="5405" name="Column5384" dataDxfId="11028" dataCellStyle="Normal"/>
    <tableColumn id="5406" name="Column5385" dataDxfId="11027" dataCellStyle="Normal"/>
    <tableColumn id="5407" name="Column5386" dataDxfId="11026" dataCellStyle="Normal"/>
    <tableColumn id="5408" name="Column5387" dataDxfId="11025" dataCellStyle="Normal"/>
    <tableColumn id="5409" name="Column5388" dataDxfId="11024" dataCellStyle="Normal"/>
    <tableColumn id="5410" name="Column5389" dataDxfId="11023" dataCellStyle="Normal"/>
    <tableColumn id="5411" name="Column5390" dataDxfId="11022" dataCellStyle="Normal"/>
    <tableColumn id="5412" name="Column5391" dataDxfId="11021" dataCellStyle="Normal"/>
    <tableColumn id="5413" name="Column5392" dataDxfId="11020" dataCellStyle="Normal"/>
    <tableColumn id="5414" name="Column5393" dataDxfId="11019" dataCellStyle="Normal"/>
    <tableColumn id="5415" name="Column5394" dataDxfId="11018" dataCellStyle="Normal"/>
    <tableColumn id="5416" name="Column5395" dataDxfId="11017" dataCellStyle="Normal"/>
    <tableColumn id="5417" name="Column5396" dataDxfId="11016" dataCellStyle="Normal"/>
    <tableColumn id="5418" name="Column5397" dataDxfId="11015" dataCellStyle="Normal"/>
    <tableColumn id="5419" name="Column5398" dataDxfId="11014" dataCellStyle="Normal"/>
    <tableColumn id="5420" name="Column5399" dataDxfId="11013" dataCellStyle="Normal"/>
    <tableColumn id="5421" name="Column5400" dataDxfId="11012" dataCellStyle="Normal"/>
    <tableColumn id="5422" name="Column5401" dataDxfId="11011" dataCellStyle="Normal"/>
    <tableColumn id="5423" name="Column5402" dataDxfId="11010" dataCellStyle="Normal"/>
    <tableColumn id="5424" name="Column5403" dataDxfId="11009" dataCellStyle="Normal"/>
    <tableColumn id="5425" name="Column5404" dataDxfId="11008" dataCellStyle="Normal"/>
    <tableColumn id="5426" name="Column5405" dataDxfId="11007" dataCellStyle="Normal"/>
    <tableColumn id="5427" name="Column5406" dataDxfId="11006" dataCellStyle="Normal"/>
    <tableColumn id="5428" name="Column5407" dataDxfId="11005" dataCellStyle="Normal"/>
    <tableColumn id="5429" name="Column5408" dataDxfId="11004" dataCellStyle="Normal"/>
    <tableColumn id="5430" name="Column5409" dataDxfId="11003" dataCellStyle="Normal"/>
    <tableColumn id="5431" name="Column5410" dataDxfId="11002" dataCellStyle="Normal"/>
    <tableColumn id="5432" name="Column5411" dataDxfId="11001" dataCellStyle="Normal"/>
    <tableColumn id="5433" name="Column5412" dataDxfId="11000" dataCellStyle="Normal"/>
    <tableColumn id="5434" name="Column5413" dataDxfId="10999" dataCellStyle="Normal"/>
    <tableColumn id="5435" name="Column5414" dataDxfId="10998" dataCellStyle="Normal"/>
    <tableColumn id="5436" name="Column5415" dataDxfId="10997" dataCellStyle="Normal"/>
    <tableColumn id="5437" name="Column5416" dataDxfId="10996" dataCellStyle="Normal"/>
    <tableColumn id="5438" name="Column5417" dataDxfId="10995" dataCellStyle="Normal"/>
    <tableColumn id="5439" name="Column5418" dataDxfId="10994" dataCellStyle="Normal"/>
    <tableColumn id="5440" name="Column5419" dataDxfId="10993" dataCellStyle="Normal"/>
    <tableColumn id="5441" name="Column5420" dataDxfId="10992" dataCellStyle="Normal"/>
    <tableColumn id="5442" name="Column5421" dataDxfId="10991" dataCellStyle="Normal"/>
    <tableColumn id="5443" name="Column5422" dataDxfId="10990" dataCellStyle="Normal"/>
    <tableColumn id="5444" name="Column5423" dataDxfId="10989" dataCellStyle="Normal"/>
    <tableColumn id="5445" name="Column5424" dataDxfId="10988" dataCellStyle="Normal"/>
    <tableColumn id="5446" name="Column5425" dataDxfId="10987" dataCellStyle="Normal"/>
    <tableColumn id="5447" name="Column5426" dataDxfId="10986" dataCellStyle="Normal"/>
    <tableColumn id="5448" name="Column5427" dataDxfId="10985" dataCellStyle="Normal"/>
    <tableColumn id="5449" name="Column5428" dataDxfId="10984" dataCellStyle="Normal"/>
    <tableColumn id="5450" name="Column5429" dataDxfId="10983" dataCellStyle="Normal"/>
    <tableColumn id="5451" name="Column5430" dataDxfId="10982" dataCellStyle="Normal"/>
    <tableColumn id="5452" name="Column5431" dataDxfId="10981" dataCellStyle="Normal"/>
    <tableColumn id="5453" name="Column5432" dataDxfId="10980" dataCellStyle="Normal"/>
    <tableColumn id="5454" name="Column5433" dataDxfId="10979" dataCellStyle="Normal"/>
    <tableColumn id="5455" name="Column5434" dataDxfId="10978" dataCellStyle="Normal"/>
    <tableColumn id="5456" name="Column5435" dataDxfId="10977" dataCellStyle="Normal"/>
    <tableColumn id="5457" name="Column5436" dataDxfId="10976" dataCellStyle="Normal"/>
    <tableColumn id="5458" name="Column5437" dataDxfId="10975" dataCellStyle="Normal"/>
    <tableColumn id="5459" name="Column5438" dataDxfId="10974" dataCellStyle="Normal"/>
    <tableColumn id="5460" name="Column5439" dataDxfId="10973" dataCellStyle="Normal"/>
    <tableColumn id="5461" name="Column5440" dataDxfId="10972" dataCellStyle="Normal"/>
    <tableColumn id="5462" name="Column5441" dataDxfId="10971" dataCellStyle="Normal"/>
    <tableColumn id="5463" name="Column5442" dataDxfId="10970" dataCellStyle="Normal"/>
    <tableColumn id="5464" name="Column5443" dataDxfId="10969" dataCellStyle="Normal"/>
    <tableColumn id="5465" name="Column5444" dataDxfId="10968" dataCellStyle="Normal"/>
    <tableColumn id="5466" name="Column5445" dataDxfId="10967" dataCellStyle="Normal"/>
    <tableColumn id="5467" name="Column5446" dataDxfId="10966" dataCellStyle="Normal"/>
    <tableColumn id="5468" name="Column5447" dataDxfId="10965" dataCellStyle="Normal"/>
    <tableColumn id="5469" name="Column5448" dataDxfId="10964" dataCellStyle="Normal"/>
    <tableColumn id="5470" name="Column5449" dataDxfId="10963" dataCellStyle="Normal"/>
    <tableColumn id="5471" name="Column5450" dataDxfId="10962" dataCellStyle="Normal"/>
    <tableColumn id="5472" name="Column5451" dataDxfId="10961" dataCellStyle="Normal"/>
    <tableColumn id="5473" name="Column5452" dataDxfId="10960" dataCellStyle="Normal"/>
    <tableColumn id="5474" name="Column5453" dataDxfId="10959" dataCellStyle="Normal"/>
    <tableColumn id="5475" name="Column5454" dataDxfId="10958" dataCellStyle="Normal"/>
    <tableColumn id="5476" name="Column5455" dataDxfId="10957" dataCellStyle="Normal"/>
    <tableColumn id="5477" name="Column5456" dataDxfId="10956" dataCellStyle="Normal"/>
    <tableColumn id="5478" name="Column5457" dataDxfId="10955" dataCellStyle="Normal"/>
    <tableColumn id="5479" name="Column5458" dataDxfId="10954" dataCellStyle="Normal"/>
    <tableColumn id="5480" name="Column5459" dataDxfId="10953" dataCellStyle="Normal"/>
    <tableColumn id="5481" name="Column5460" dataDxfId="10952" dataCellStyle="Normal"/>
    <tableColumn id="5482" name="Column5461" dataDxfId="10951" dataCellStyle="Normal"/>
    <tableColumn id="5483" name="Column5462" dataDxfId="10950" dataCellStyle="Normal"/>
    <tableColumn id="5484" name="Column5463" dataDxfId="10949" dataCellStyle="Normal"/>
    <tableColumn id="5485" name="Column5464" dataDxfId="10948" dataCellStyle="Normal"/>
    <tableColumn id="5486" name="Column5465" dataDxfId="10947" dataCellStyle="Normal"/>
    <tableColumn id="5487" name="Column5466" dataDxfId="10946" dataCellStyle="Normal"/>
    <tableColumn id="5488" name="Column5467" dataDxfId="10945" dataCellStyle="Normal"/>
    <tableColumn id="5489" name="Column5468" dataDxfId="10944" dataCellStyle="Normal"/>
    <tableColumn id="5490" name="Column5469" dataDxfId="10943" dataCellStyle="Normal"/>
    <tableColumn id="5491" name="Column5470" dataDxfId="10942" dataCellStyle="Normal"/>
    <tableColumn id="5492" name="Column5471" dataDxfId="10941" dataCellStyle="Normal"/>
    <tableColumn id="5493" name="Column5472" dataDxfId="10940" dataCellStyle="Normal"/>
    <tableColumn id="5494" name="Column5473" dataDxfId="10939" dataCellStyle="Normal"/>
    <tableColumn id="5495" name="Column5474" dataDxfId="10938" dataCellStyle="Normal"/>
    <tableColumn id="5496" name="Column5475" dataDxfId="10937" dataCellStyle="Normal"/>
    <tableColumn id="5497" name="Column5476" dataDxfId="10936" dataCellStyle="Normal"/>
    <tableColumn id="5498" name="Column5477" dataDxfId="10935" dataCellStyle="Normal"/>
    <tableColumn id="5499" name="Column5478" dataDxfId="10934" dataCellStyle="Normal"/>
    <tableColumn id="5500" name="Column5479" dataDxfId="10933" dataCellStyle="Normal"/>
    <tableColumn id="5501" name="Column5480" dataDxfId="10932" dataCellStyle="Normal"/>
    <tableColumn id="5502" name="Column5481" dataDxfId="10931" dataCellStyle="Normal"/>
    <tableColumn id="5503" name="Column5482" dataDxfId="10930" dataCellStyle="Normal"/>
    <tableColumn id="5504" name="Column5483" dataDxfId="10929" dataCellStyle="Normal"/>
    <tableColumn id="5505" name="Column5484" dataDxfId="10928" dataCellStyle="Normal"/>
    <tableColumn id="5506" name="Column5485" dataDxfId="10927" dataCellStyle="Normal"/>
    <tableColumn id="5507" name="Column5486" dataDxfId="10926" dataCellStyle="Normal"/>
    <tableColumn id="5508" name="Column5487" dataDxfId="10925" dataCellStyle="Normal"/>
    <tableColumn id="5509" name="Column5488" dataDxfId="10924" dataCellStyle="Normal"/>
    <tableColumn id="5510" name="Column5489" dataDxfId="10923" dataCellStyle="Normal"/>
    <tableColumn id="5511" name="Column5490" dataDxfId="10922" dataCellStyle="Normal"/>
    <tableColumn id="5512" name="Column5491" dataDxfId="10921" dataCellStyle="Normal"/>
    <tableColumn id="5513" name="Column5492" dataDxfId="10920" dataCellStyle="Normal"/>
    <tableColumn id="5514" name="Column5493" dataDxfId="10919" dataCellStyle="Normal"/>
    <tableColumn id="5515" name="Column5494" dataDxfId="10918" dataCellStyle="Normal"/>
    <tableColumn id="5516" name="Column5495" dataDxfId="10917" dataCellStyle="Normal"/>
    <tableColumn id="5517" name="Column5496" dataDxfId="10916" dataCellStyle="Normal"/>
    <tableColumn id="5518" name="Column5497" dataDxfId="10915" dataCellStyle="Normal"/>
    <tableColumn id="5519" name="Column5498" dataDxfId="10914" dataCellStyle="Normal"/>
    <tableColumn id="5520" name="Column5499" dataDxfId="10913" dataCellStyle="Normal"/>
    <tableColumn id="5521" name="Column5500" dataDxfId="10912" dataCellStyle="Normal"/>
    <tableColumn id="5522" name="Column5501" dataDxfId="10911" dataCellStyle="Normal"/>
    <tableColumn id="5523" name="Column5502" dataDxfId="10910" dataCellStyle="Normal"/>
    <tableColumn id="5524" name="Column5503" dataDxfId="10909" dataCellStyle="Normal"/>
    <tableColumn id="5525" name="Column5504" dataDxfId="10908" dataCellStyle="Normal"/>
    <tableColumn id="5526" name="Column5505" dataDxfId="10907" dataCellStyle="Normal"/>
    <tableColumn id="5527" name="Column5506" dataDxfId="10906" dataCellStyle="Normal"/>
    <tableColumn id="5528" name="Column5507" dataDxfId="10905" dataCellStyle="Normal"/>
    <tableColumn id="5529" name="Column5508" dataDxfId="10904" dataCellStyle="Normal"/>
    <tableColumn id="5530" name="Column5509" dataDxfId="10903" dataCellStyle="Normal"/>
    <tableColumn id="5531" name="Column5510" dataDxfId="10902" dataCellStyle="Normal"/>
    <tableColumn id="5532" name="Column5511" dataDxfId="10901" dataCellStyle="Normal"/>
    <tableColumn id="5533" name="Column5512" dataDxfId="10900" dataCellStyle="Normal"/>
    <tableColumn id="5534" name="Column5513" dataDxfId="10899" dataCellStyle="Normal"/>
    <tableColumn id="5535" name="Column5514" dataDxfId="10898" dataCellStyle="Normal"/>
    <tableColumn id="5536" name="Column5515" dataDxfId="10897" dataCellStyle="Normal"/>
    <tableColumn id="5537" name="Column5516" dataDxfId="10896" dataCellStyle="Normal"/>
    <tableColumn id="5538" name="Column5517" dataDxfId="10895" dataCellStyle="Normal"/>
    <tableColumn id="5539" name="Column5518" dataDxfId="10894" dataCellStyle="Normal"/>
    <tableColumn id="5540" name="Column5519" dataDxfId="10893" dataCellStyle="Normal"/>
    <tableColumn id="5541" name="Column5520" dataDxfId="10892" dataCellStyle="Normal"/>
    <tableColumn id="5542" name="Column5521" dataDxfId="10891" dataCellStyle="Normal"/>
    <tableColumn id="5543" name="Column5522" dataDxfId="10890" dataCellStyle="Normal"/>
    <tableColumn id="5544" name="Column5523" dataDxfId="10889" dataCellStyle="Normal"/>
    <tableColumn id="5545" name="Column5524" dataDxfId="10888" dataCellStyle="Normal"/>
    <tableColumn id="5546" name="Column5525" dataDxfId="10887" dataCellStyle="Normal"/>
    <tableColumn id="5547" name="Column5526" dataDxfId="10886" dataCellStyle="Normal"/>
    <tableColumn id="5548" name="Column5527" dataDxfId="10885" dataCellStyle="Normal"/>
    <tableColumn id="5549" name="Column5528" dataDxfId="10884" dataCellStyle="Normal"/>
    <tableColumn id="5550" name="Column5529" dataDxfId="10883" dataCellStyle="Normal"/>
    <tableColumn id="5551" name="Column5530" dataDxfId="10882" dataCellStyle="Normal"/>
    <tableColumn id="5552" name="Column5531" dataDxfId="10881" dataCellStyle="Normal"/>
    <tableColumn id="5553" name="Column5532" dataDxfId="10880" dataCellStyle="Normal"/>
    <tableColumn id="5554" name="Column5533" dataDxfId="10879" dataCellStyle="Normal"/>
    <tableColumn id="5555" name="Column5534" dataDxfId="10878" dataCellStyle="Normal"/>
    <tableColumn id="5556" name="Column5535" dataDxfId="10877" dataCellStyle="Normal"/>
    <tableColumn id="5557" name="Column5536" dataDxfId="10876" dataCellStyle="Normal"/>
    <tableColumn id="5558" name="Column5537" dataDxfId="10875" dataCellStyle="Normal"/>
    <tableColumn id="5559" name="Column5538" dataDxfId="10874" dataCellStyle="Normal"/>
    <tableColumn id="5560" name="Column5539" dataDxfId="10873" dataCellStyle="Normal"/>
    <tableColumn id="5561" name="Column5540" dataDxfId="10872" dataCellStyle="Normal"/>
    <tableColumn id="5562" name="Column5541" dataDxfId="10871" dataCellStyle="Normal"/>
    <tableColumn id="5563" name="Column5542" dataDxfId="10870" dataCellStyle="Normal"/>
    <tableColumn id="5564" name="Column5543" dataDxfId="10869" dataCellStyle="Normal"/>
    <tableColumn id="5565" name="Column5544" dataDxfId="10868" dataCellStyle="Normal"/>
    <tableColumn id="5566" name="Column5545" dataDxfId="10867" dataCellStyle="Normal"/>
    <tableColumn id="5567" name="Column5546" dataDxfId="10866" dataCellStyle="Normal"/>
    <tableColumn id="5568" name="Column5547" dataDxfId="10865" dataCellStyle="Normal"/>
    <tableColumn id="5569" name="Column5548" dataDxfId="10864" dataCellStyle="Normal"/>
    <tableColumn id="5570" name="Column5549" dataDxfId="10863" dataCellStyle="Normal"/>
    <tableColumn id="5571" name="Column5550" dataDxfId="10862" dataCellStyle="Normal"/>
    <tableColumn id="5572" name="Column5551" dataDxfId="10861" dataCellStyle="Normal"/>
    <tableColumn id="5573" name="Column5552" dataDxfId="10860" dataCellStyle="Normal"/>
    <tableColumn id="5574" name="Column5553" dataDxfId="10859" dataCellStyle="Normal"/>
    <tableColumn id="5575" name="Column5554" dataDxfId="10858" dataCellStyle="Normal"/>
    <tableColumn id="5576" name="Column5555" dataDxfId="10857" dataCellStyle="Normal"/>
    <tableColumn id="5577" name="Column5556" dataDxfId="10856" dataCellStyle="Normal"/>
    <tableColumn id="5578" name="Column5557" dataDxfId="10855" dataCellStyle="Normal"/>
    <tableColumn id="5579" name="Column5558" dataDxfId="10854" dataCellStyle="Normal"/>
    <tableColumn id="5580" name="Column5559" dataDxfId="10853" dataCellStyle="Normal"/>
    <tableColumn id="5581" name="Column5560" dataDxfId="10852" dataCellStyle="Normal"/>
    <tableColumn id="5582" name="Column5561" dataDxfId="10851" dataCellStyle="Normal"/>
    <tableColumn id="5583" name="Column5562" dataDxfId="10850" dataCellStyle="Normal"/>
    <tableColumn id="5584" name="Column5563" dataDxfId="10849" dataCellStyle="Normal"/>
    <tableColumn id="5585" name="Column5564" dataDxfId="10848" dataCellStyle="Normal"/>
    <tableColumn id="5586" name="Column5565" dataDxfId="10847" dataCellStyle="Normal"/>
    <tableColumn id="5587" name="Column5566" dataDxfId="10846" dataCellStyle="Normal"/>
    <tableColumn id="5588" name="Column5567" dataDxfId="10845" dataCellStyle="Normal"/>
    <tableColumn id="5589" name="Column5568" dataDxfId="10844" dataCellStyle="Normal"/>
    <tableColumn id="5590" name="Column5569" dataDxfId="10843" dataCellStyle="Normal"/>
    <tableColumn id="5591" name="Column5570" dataDxfId="10842" dataCellStyle="Normal"/>
    <tableColumn id="5592" name="Column5571" dataDxfId="10841" dataCellStyle="Normal"/>
    <tableColumn id="5593" name="Column5572" dataDxfId="10840" dataCellStyle="Normal"/>
    <tableColumn id="5594" name="Column5573" dataDxfId="10839" dataCellStyle="Normal"/>
    <tableColumn id="5595" name="Column5574" dataDxfId="10838" dataCellStyle="Normal"/>
    <tableColumn id="5596" name="Column5575" dataDxfId="10837" dataCellStyle="Normal"/>
    <tableColumn id="5597" name="Column5576" dataDxfId="10836" dataCellStyle="Normal"/>
    <tableColumn id="5598" name="Column5577" dataDxfId="10835" dataCellStyle="Normal"/>
    <tableColumn id="5599" name="Column5578" dataDxfId="10834" dataCellStyle="Normal"/>
    <tableColumn id="5600" name="Column5579" dataDxfId="10833" dataCellStyle="Normal"/>
    <tableColumn id="5601" name="Column5580" dataDxfId="10832" dataCellStyle="Normal"/>
    <tableColumn id="5602" name="Column5581" dataDxfId="10831" dataCellStyle="Normal"/>
    <tableColumn id="5603" name="Column5582" dataDxfId="10830" dataCellStyle="Normal"/>
    <tableColumn id="5604" name="Column5583" dataDxfId="10829" dataCellStyle="Normal"/>
    <tableColumn id="5605" name="Column5584" dataDxfId="10828" dataCellStyle="Normal"/>
    <tableColumn id="5606" name="Column5585" dataDxfId="10827" dataCellStyle="Normal"/>
    <tableColumn id="5607" name="Column5586" dataDxfId="10826" dataCellStyle="Normal"/>
    <tableColumn id="5608" name="Column5587" dataDxfId="10825" dataCellStyle="Normal"/>
    <tableColumn id="5609" name="Column5588" dataDxfId="10824" dataCellStyle="Normal"/>
    <tableColumn id="5610" name="Column5589" dataDxfId="10823" dataCellStyle="Normal"/>
    <tableColumn id="5611" name="Column5590" dataDxfId="10822" dataCellStyle="Normal"/>
    <tableColumn id="5612" name="Column5591" dataDxfId="10821" dataCellStyle="Normal"/>
    <tableColumn id="5613" name="Column5592" dataDxfId="10820" dataCellStyle="Normal"/>
    <tableColumn id="5614" name="Column5593" dataDxfId="10819" dataCellStyle="Normal"/>
    <tableColumn id="5615" name="Column5594" dataDxfId="10818" dataCellStyle="Normal"/>
    <tableColumn id="5616" name="Column5595" dataDxfId="10817" dataCellStyle="Normal"/>
    <tableColumn id="5617" name="Column5596" dataDxfId="10816" dataCellStyle="Normal"/>
    <tableColumn id="5618" name="Column5597" dataDxfId="10815" dataCellStyle="Normal"/>
    <tableColumn id="5619" name="Column5598" dataDxfId="10814" dataCellStyle="Normal"/>
    <tableColumn id="5620" name="Column5599" dataDxfId="10813" dataCellStyle="Normal"/>
    <tableColumn id="5621" name="Column5600" dataDxfId="10812" dataCellStyle="Normal"/>
    <tableColumn id="5622" name="Column5601" dataDxfId="10811" dataCellStyle="Normal"/>
    <tableColumn id="5623" name="Column5602" dataDxfId="10810" dataCellStyle="Normal"/>
    <tableColumn id="5624" name="Column5603" dataDxfId="10809" dataCellStyle="Normal"/>
    <tableColumn id="5625" name="Column5604" dataDxfId="10808" dataCellStyle="Normal"/>
    <tableColumn id="5626" name="Column5605" dataDxfId="10807" dataCellStyle="Normal"/>
    <tableColumn id="5627" name="Column5606" dataDxfId="10806" dataCellStyle="Normal"/>
    <tableColumn id="5628" name="Column5607" dataDxfId="10805" dataCellStyle="Normal"/>
    <tableColumn id="5629" name="Column5608" dataDxfId="10804" dataCellStyle="Normal"/>
    <tableColumn id="5630" name="Column5609" dataDxfId="10803" dataCellStyle="Normal"/>
    <tableColumn id="5631" name="Column5610" dataDxfId="10802" dataCellStyle="Normal"/>
    <tableColumn id="5632" name="Column5611" dataDxfId="10801" dataCellStyle="Normal"/>
    <tableColumn id="5633" name="Column5612" dataDxfId="10800" dataCellStyle="Normal"/>
    <tableColumn id="5634" name="Column5613" dataDxfId="10799" dataCellStyle="Normal"/>
    <tableColumn id="5635" name="Column5614" dataDxfId="10798" dataCellStyle="Normal"/>
    <tableColumn id="5636" name="Column5615" dataDxfId="10797" dataCellStyle="Normal"/>
    <tableColumn id="5637" name="Column5616" dataDxfId="10796" dataCellStyle="Normal"/>
    <tableColumn id="5638" name="Column5617" dataDxfId="10795" dataCellStyle="Normal"/>
    <tableColumn id="5639" name="Column5618" dataDxfId="10794" dataCellStyle="Normal"/>
    <tableColumn id="5640" name="Column5619" dataDxfId="10793" dataCellStyle="Normal"/>
    <tableColumn id="5641" name="Column5620" dataDxfId="10792" dataCellStyle="Normal"/>
    <tableColumn id="5642" name="Column5621" dataDxfId="10791" dataCellStyle="Normal"/>
    <tableColumn id="5643" name="Column5622" dataDxfId="10790" dataCellStyle="Normal"/>
    <tableColumn id="5644" name="Column5623" dataDxfId="10789" dataCellStyle="Normal"/>
    <tableColumn id="5645" name="Column5624" dataDxfId="10788" dataCellStyle="Normal"/>
    <tableColumn id="5646" name="Column5625" dataDxfId="10787" dataCellStyle="Normal"/>
    <tableColumn id="5647" name="Column5626" dataDxfId="10786" dataCellStyle="Normal"/>
    <tableColumn id="5648" name="Column5627" dataDxfId="10785" dataCellStyle="Normal"/>
    <tableColumn id="5649" name="Column5628" dataDxfId="10784" dataCellStyle="Normal"/>
    <tableColumn id="5650" name="Column5629" dataDxfId="10783" dataCellStyle="Normal"/>
    <tableColumn id="5651" name="Column5630" dataDxfId="10782" dataCellStyle="Normal"/>
    <tableColumn id="5652" name="Column5631" dataDxfId="10781" dataCellStyle="Normal"/>
    <tableColumn id="5653" name="Column5632" dataDxfId="10780" dataCellStyle="Normal"/>
    <tableColumn id="5654" name="Column5633" dataDxfId="10779" dataCellStyle="Normal"/>
    <tableColumn id="5655" name="Column5634" dataDxfId="10778" dataCellStyle="Normal"/>
    <tableColumn id="5656" name="Column5635" dataDxfId="10777" dataCellStyle="Normal"/>
    <tableColumn id="5657" name="Column5636" dataDxfId="10776" dataCellStyle="Normal"/>
    <tableColumn id="5658" name="Column5637" dataDxfId="10775" dataCellStyle="Normal"/>
    <tableColumn id="5659" name="Column5638" dataDxfId="10774" dataCellStyle="Normal"/>
    <tableColumn id="5660" name="Column5639" dataDxfId="10773" dataCellStyle="Normal"/>
    <tableColumn id="5661" name="Column5640" dataDxfId="10772" dataCellStyle="Normal"/>
    <tableColumn id="5662" name="Column5641" dataDxfId="10771" dataCellStyle="Normal"/>
    <tableColumn id="5663" name="Column5642" dataDxfId="10770" dataCellStyle="Normal"/>
    <tableColumn id="5664" name="Column5643" dataDxfId="10769" dataCellStyle="Normal"/>
    <tableColumn id="5665" name="Column5644" dataDxfId="10768" dataCellStyle="Normal"/>
    <tableColumn id="5666" name="Column5645" dataDxfId="10767" dataCellStyle="Normal"/>
    <tableColumn id="5667" name="Column5646" dataDxfId="10766" dataCellStyle="Normal"/>
    <tableColumn id="5668" name="Column5647" dataDxfId="10765" dataCellStyle="Normal"/>
    <tableColumn id="5669" name="Column5648" dataDxfId="10764" dataCellStyle="Normal"/>
    <tableColumn id="5670" name="Column5649" dataDxfId="10763" dataCellStyle="Normal"/>
    <tableColumn id="5671" name="Column5650" dataDxfId="10762" dataCellStyle="Normal"/>
    <tableColumn id="5672" name="Column5651" dataDxfId="10761" dataCellStyle="Normal"/>
    <tableColumn id="5673" name="Column5652" dataDxfId="10760" dataCellStyle="Normal"/>
    <tableColumn id="5674" name="Column5653" dataDxfId="10759" dataCellStyle="Normal"/>
    <tableColumn id="5675" name="Column5654" dataDxfId="10758" dataCellStyle="Normal"/>
    <tableColumn id="5676" name="Column5655" dataDxfId="10757" dataCellStyle="Normal"/>
    <tableColumn id="5677" name="Column5656" dataDxfId="10756" dataCellStyle="Normal"/>
    <tableColumn id="5678" name="Column5657" dataDxfId="10755" dataCellStyle="Normal"/>
    <tableColumn id="5679" name="Column5658" dataDxfId="10754" dataCellStyle="Normal"/>
    <tableColumn id="5680" name="Column5659" dataDxfId="10753" dataCellStyle="Normal"/>
    <tableColumn id="5681" name="Column5660" dataDxfId="10752" dataCellStyle="Normal"/>
    <tableColumn id="5682" name="Column5661" dataDxfId="10751" dataCellStyle="Normal"/>
    <tableColumn id="5683" name="Column5662" dataDxfId="10750" dataCellStyle="Normal"/>
    <tableColumn id="5684" name="Column5663" dataDxfId="10749" dataCellStyle="Normal"/>
    <tableColumn id="5685" name="Column5664" dataDxfId="10748" dataCellStyle="Normal"/>
    <tableColumn id="5686" name="Column5665" dataDxfId="10747" dataCellStyle="Normal"/>
    <tableColumn id="5687" name="Column5666" dataDxfId="10746" dataCellStyle="Normal"/>
    <tableColumn id="5688" name="Column5667" dataDxfId="10745" dataCellStyle="Normal"/>
    <tableColumn id="5689" name="Column5668" dataDxfId="10744" dataCellStyle="Normal"/>
    <tableColumn id="5690" name="Column5669" dataDxfId="10743" dataCellStyle="Normal"/>
    <tableColumn id="5691" name="Column5670" dataDxfId="10742" dataCellStyle="Normal"/>
    <tableColumn id="5692" name="Column5671" dataDxfId="10741" dataCellStyle="Normal"/>
    <tableColumn id="5693" name="Column5672" dataDxfId="10740" dataCellStyle="Normal"/>
    <tableColumn id="5694" name="Column5673" dataDxfId="10739" dataCellStyle="Normal"/>
    <tableColumn id="5695" name="Column5674" dataDxfId="10738" dataCellStyle="Normal"/>
    <tableColumn id="5696" name="Column5675" dataDxfId="10737" dataCellStyle="Normal"/>
    <tableColumn id="5697" name="Column5676" dataDxfId="10736" dataCellStyle="Normal"/>
    <tableColumn id="5698" name="Column5677" dataDxfId="10735" dataCellStyle="Normal"/>
    <tableColumn id="5699" name="Column5678" dataDxfId="10734" dataCellStyle="Normal"/>
    <tableColumn id="5700" name="Column5679" dataDxfId="10733" dataCellStyle="Normal"/>
    <tableColumn id="5701" name="Column5680" dataDxfId="10732" dataCellStyle="Normal"/>
    <tableColumn id="5702" name="Column5681" dataDxfId="10731" dataCellStyle="Normal"/>
    <tableColumn id="5703" name="Column5682" dataDxfId="10730" dataCellStyle="Normal"/>
    <tableColumn id="5704" name="Column5683" dataDxfId="10729" dataCellStyle="Normal"/>
    <tableColumn id="5705" name="Column5684" dataDxfId="10728" dataCellStyle="Normal"/>
    <tableColumn id="5706" name="Column5685" dataDxfId="10727" dataCellStyle="Normal"/>
    <tableColumn id="5707" name="Column5686" dataDxfId="10726" dataCellStyle="Normal"/>
    <tableColumn id="5708" name="Column5687" dataDxfId="10725" dataCellStyle="Normal"/>
    <tableColumn id="5709" name="Column5688" dataDxfId="10724" dataCellStyle="Normal"/>
    <tableColumn id="5710" name="Column5689" dataDxfId="10723" dataCellStyle="Normal"/>
    <tableColumn id="5711" name="Column5690" dataDxfId="10722" dataCellStyle="Normal"/>
    <tableColumn id="5712" name="Column5691" dataDxfId="10721" dataCellStyle="Normal"/>
    <tableColumn id="5713" name="Column5692" dataDxfId="10720" dataCellStyle="Normal"/>
    <tableColumn id="5714" name="Column5693" dataDxfId="10719" dataCellStyle="Normal"/>
    <tableColumn id="5715" name="Column5694" dataDxfId="10718" dataCellStyle="Normal"/>
    <tableColumn id="5716" name="Column5695" dataDxfId="10717" dataCellStyle="Normal"/>
    <tableColumn id="5717" name="Column5696" dataDxfId="10716" dataCellStyle="Normal"/>
    <tableColumn id="5718" name="Column5697" dataDxfId="10715" dataCellStyle="Normal"/>
    <tableColumn id="5719" name="Column5698" dataDxfId="10714" dataCellStyle="Normal"/>
    <tableColumn id="5720" name="Column5699" dataDxfId="10713" dataCellStyle="Normal"/>
    <tableColumn id="5721" name="Column5700" dataDxfId="10712" dataCellStyle="Normal"/>
    <tableColumn id="5722" name="Column5701" dataDxfId="10711" dataCellStyle="Normal"/>
    <tableColumn id="5723" name="Column5702" dataDxfId="10710" dataCellStyle="Normal"/>
    <tableColumn id="5724" name="Column5703" dataDxfId="10709" dataCellStyle="Normal"/>
    <tableColumn id="5725" name="Column5704" dataDxfId="10708" dataCellStyle="Normal"/>
    <tableColumn id="5726" name="Column5705" dataDxfId="10707" dataCellStyle="Normal"/>
    <tableColumn id="5727" name="Column5706" dataDxfId="10706" dataCellStyle="Normal"/>
    <tableColumn id="5728" name="Column5707" dataDxfId="10705" dataCellStyle="Normal"/>
    <tableColumn id="5729" name="Column5708" dataDxfId="10704" dataCellStyle="Normal"/>
    <tableColumn id="5730" name="Column5709" dataDxfId="10703" dataCellStyle="Normal"/>
    <tableColumn id="5731" name="Column5710" dataDxfId="10702" dataCellStyle="Normal"/>
    <tableColumn id="5732" name="Column5711" dataDxfId="10701" dataCellStyle="Normal"/>
    <tableColumn id="5733" name="Column5712" dataDxfId="10700" dataCellStyle="Normal"/>
    <tableColumn id="5734" name="Column5713" dataDxfId="10699" dataCellStyle="Normal"/>
    <tableColumn id="5735" name="Column5714" dataDxfId="10698" dataCellStyle="Normal"/>
    <tableColumn id="5736" name="Column5715" dataDxfId="10697" dataCellStyle="Normal"/>
    <tableColumn id="5737" name="Column5716" dataDxfId="10696" dataCellStyle="Normal"/>
    <tableColumn id="5738" name="Column5717" dataDxfId="10695" dataCellStyle="Normal"/>
    <tableColumn id="5739" name="Column5718" dataDxfId="10694" dataCellStyle="Normal"/>
    <tableColumn id="5740" name="Column5719" dataDxfId="10693" dataCellStyle="Normal"/>
    <tableColumn id="5741" name="Column5720" dataDxfId="10692" dataCellStyle="Normal"/>
    <tableColumn id="5742" name="Column5721" dataDxfId="10691" dataCellStyle="Normal"/>
    <tableColumn id="5743" name="Column5722" dataDxfId="10690" dataCellStyle="Normal"/>
    <tableColumn id="5744" name="Column5723" dataDxfId="10689" dataCellStyle="Normal"/>
    <tableColumn id="5745" name="Column5724" dataDxfId="10688" dataCellStyle="Normal"/>
    <tableColumn id="5746" name="Column5725" dataDxfId="10687" dataCellStyle="Normal"/>
    <tableColumn id="5747" name="Column5726" dataDxfId="10686" dataCellStyle="Normal"/>
    <tableColumn id="5748" name="Column5727" dataDxfId="10685" dataCellStyle="Normal"/>
    <tableColumn id="5749" name="Column5728" dataDxfId="10684" dataCellStyle="Normal"/>
    <tableColumn id="5750" name="Column5729" dataDxfId="10683" dataCellStyle="Normal"/>
    <tableColumn id="5751" name="Column5730" dataDxfId="10682" dataCellStyle="Normal"/>
    <tableColumn id="5752" name="Column5731" dataDxfId="10681" dataCellStyle="Normal"/>
    <tableColumn id="5753" name="Column5732" dataDxfId="10680" dataCellStyle="Normal"/>
    <tableColumn id="5754" name="Column5733" dataDxfId="10679" dataCellStyle="Normal"/>
    <tableColumn id="5755" name="Column5734" dataDxfId="10678" dataCellStyle="Normal"/>
    <tableColumn id="5756" name="Column5735" dataDxfId="10677" dataCellStyle="Normal"/>
    <tableColumn id="5757" name="Column5736" dataDxfId="10676" dataCellStyle="Normal"/>
    <tableColumn id="5758" name="Column5737" dataDxfId="10675" dataCellStyle="Normal"/>
    <tableColumn id="5759" name="Column5738" dataDxfId="10674" dataCellStyle="Normal"/>
    <tableColumn id="5760" name="Column5739" dataDxfId="10673" dataCellStyle="Normal"/>
    <tableColumn id="5761" name="Column5740" dataDxfId="10672" dataCellStyle="Normal"/>
    <tableColumn id="5762" name="Column5741" dataDxfId="10671" dataCellStyle="Normal"/>
    <tableColumn id="5763" name="Column5742" dataDxfId="10670" dataCellStyle="Normal"/>
    <tableColumn id="5764" name="Column5743" dataDxfId="10669" dataCellStyle="Normal"/>
    <tableColumn id="5765" name="Column5744" dataDxfId="10668" dataCellStyle="Normal"/>
    <tableColumn id="5766" name="Column5745" dataDxfId="10667" dataCellStyle="Normal"/>
    <tableColumn id="5767" name="Column5746" dataDxfId="10666" dataCellStyle="Normal"/>
    <tableColumn id="5768" name="Column5747" dataDxfId="10665" dataCellStyle="Normal"/>
    <tableColumn id="5769" name="Column5748" dataDxfId="10664" dataCellStyle="Normal"/>
    <tableColumn id="5770" name="Column5749" dataDxfId="10663" dataCellStyle="Normal"/>
    <tableColumn id="5771" name="Column5750" dataDxfId="10662" dataCellStyle="Normal"/>
    <tableColumn id="5772" name="Column5751" dataDxfId="10661" dataCellStyle="Normal"/>
    <tableColumn id="5773" name="Column5752" dataDxfId="10660" dataCellStyle="Normal"/>
    <tableColumn id="5774" name="Column5753" dataDxfId="10659" dataCellStyle="Normal"/>
    <tableColumn id="5775" name="Column5754" dataDxfId="10658" dataCellStyle="Normal"/>
    <tableColumn id="5776" name="Column5755" dataDxfId="10657" dataCellStyle="Normal"/>
    <tableColumn id="5777" name="Column5756" dataDxfId="10656" dataCellStyle="Normal"/>
    <tableColumn id="5778" name="Column5757" dataDxfId="10655" dataCellStyle="Normal"/>
    <tableColumn id="5779" name="Column5758" dataDxfId="10654" dataCellStyle="Normal"/>
    <tableColumn id="5780" name="Column5759" dataDxfId="10653" dataCellStyle="Normal"/>
    <tableColumn id="5781" name="Column5760" dataDxfId="10652" dataCellStyle="Normal"/>
    <tableColumn id="5782" name="Column5761" dataDxfId="10651" dataCellStyle="Normal"/>
    <tableColumn id="5783" name="Column5762" dataDxfId="10650" dataCellStyle="Normal"/>
    <tableColumn id="5784" name="Column5763" dataDxfId="10649" dataCellStyle="Normal"/>
    <tableColumn id="5785" name="Column5764" dataDxfId="10648" dataCellStyle="Normal"/>
    <tableColumn id="5786" name="Column5765" dataDxfId="10647" dataCellStyle="Normal"/>
    <tableColumn id="5787" name="Column5766" dataDxfId="10646" dataCellStyle="Normal"/>
    <tableColumn id="5788" name="Column5767" dataDxfId="10645" dataCellStyle="Normal"/>
    <tableColumn id="5789" name="Column5768" dataDxfId="10644" dataCellStyle="Normal"/>
    <tableColumn id="5790" name="Column5769" dataDxfId="10643" dataCellStyle="Normal"/>
    <tableColumn id="5791" name="Column5770" dataDxfId="10642" dataCellStyle="Normal"/>
    <tableColumn id="5792" name="Column5771" dataDxfId="10641" dataCellStyle="Normal"/>
    <tableColumn id="5793" name="Column5772" dataDxfId="10640" dataCellStyle="Normal"/>
    <tableColumn id="5794" name="Column5773" dataDxfId="10639" dataCellStyle="Normal"/>
    <tableColumn id="5795" name="Column5774" dataDxfId="10638" dataCellStyle="Normal"/>
    <tableColumn id="5796" name="Column5775" dataDxfId="10637" dataCellStyle="Normal"/>
    <tableColumn id="5797" name="Column5776" dataDxfId="10636" dataCellStyle="Normal"/>
    <tableColumn id="5798" name="Column5777" dataDxfId="10635" dataCellStyle="Normal"/>
    <tableColumn id="5799" name="Column5778" dataDxfId="10634" dataCellStyle="Normal"/>
    <tableColumn id="5800" name="Column5779" dataDxfId="10633" dataCellStyle="Normal"/>
    <tableColumn id="5801" name="Column5780" dataDxfId="10632" dataCellStyle="Normal"/>
    <tableColumn id="5802" name="Column5781" dataDxfId="10631" dataCellStyle="Normal"/>
    <tableColumn id="5803" name="Column5782" dataDxfId="10630" dataCellStyle="Normal"/>
    <tableColumn id="5804" name="Column5783" dataDxfId="10629" dataCellStyle="Normal"/>
    <tableColumn id="5805" name="Column5784" dataDxfId="10628" dataCellStyle="Normal"/>
    <tableColumn id="5806" name="Column5785" dataDxfId="10627" dataCellStyle="Normal"/>
    <tableColumn id="5807" name="Column5786" dataDxfId="10626" dataCellStyle="Normal"/>
    <tableColumn id="5808" name="Column5787" dataDxfId="10625" dataCellStyle="Normal"/>
    <tableColumn id="5809" name="Column5788" dataDxfId="10624" dataCellStyle="Normal"/>
    <tableColumn id="5810" name="Column5789" dataDxfId="10623" dataCellStyle="Normal"/>
    <tableColumn id="5811" name="Column5790" dataDxfId="10622" dataCellStyle="Normal"/>
    <tableColumn id="5812" name="Column5791" dataDxfId="10621" dataCellStyle="Normal"/>
    <tableColumn id="5813" name="Column5792" dataDxfId="10620" dataCellStyle="Normal"/>
    <tableColumn id="5814" name="Column5793" dataDxfId="10619" dataCellStyle="Normal"/>
    <tableColumn id="5815" name="Column5794" dataDxfId="10618" dataCellStyle="Normal"/>
    <tableColumn id="5816" name="Column5795" dataDxfId="10617" dataCellStyle="Normal"/>
    <tableColumn id="5817" name="Column5796" dataDxfId="10616" dataCellStyle="Normal"/>
    <tableColumn id="5818" name="Column5797" dataDxfId="10615" dataCellStyle="Normal"/>
    <tableColumn id="5819" name="Column5798" dataDxfId="10614" dataCellStyle="Normal"/>
    <tableColumn id="5820" name="Column5799" dataDxfId="10613" dataCellStyle="Normal"/>
    <tableColumn id="5821" name="Column5800" dataDxfId="10612" dataCellStyle="Normal"/>
    <tableColumn id="5822" name="Column5801" dataDxfId="10611" dataCellStyle="Normal"/>
    <tableColumn id="5823" name="Column5802" dataDxfId="10610" dataCellStyle="Normal"/>
    <tableColumn id="5824" name="Column5803" dataDxfId="10609" dataCellStyle="Normal"/>
    <tableColumn id="5825" name="Column5804" dataDxfId="10608" dataCellStyle="Normal"/>
    <tableColumn id="5826" name="Column5805" dataDxfId="10607" dataCellStyle="Normal"/>
    <tableColumn id="5827" name="Column5806" dataDxfId="10606" dataCellStyle="Normal"/>
    <tableColumn id="5828" name="Column5807" dataDxfId="10605" dataCellStyle="Normal"/>
    <tableColumn id="5829" name="Column5808" dataDxfId="10604" dataCellStyle="Normal"/>
    <tableColumn id="5830" name="Column5809" dataDxfId="10603" dataCellStyle="Normal"/>
    <tableColumn id="5831" name="Column5810" dataDxfId="10602" dataCellStyle="Normal"/>
    <tableColumn id="5832" name="Column5811" dataDxfId="10601" dataCellStyle="Normal"/>
    <tableColumn id="5833" name="Column5812" dataDxfId="10600" dataCellStyle="Normal"/>
    <tableColumn id="5834" name="Column5813" dataDxfId="10599" dataCellStyle="Normal"/>
    <tableColumn id="5835" name="Column5814" dataDxfId="10598" dataCellStyle="Normal"/>
    <tableColumn id="5836" name="Column5815" dataDxfId="10597" dataCellStyle="Normal"/>
    <tableColumn id="5837" name="Column5816" dataDxfId="10596" dataCellStyle="Normal"/>
    <tableColumn id="5838" name="Column5817" dataDxfId="10595" dataCellStyle="Normal"/>
    <tableColumn id="5839" name="Column5818" dataDxfId="10594" dataCellStyle="Normal"/>
    <tableColumn id="5840" name="Column5819" dataDxfId="10593" dataCellStyle="Normal"/>
    <tableColumn id="5841" name="Column5820" dataDxfId="10592" dataCellStyle="Normal"/>
    <tableColumn id="5842" name="Column5821" dataDxfId="10591" dataCellStyle="Normal"/>
    <tableColumn id="5843" name="Column5822" dataDxfId="10590" dataCellStyle="Normal"/>
    <tableColumn id="5844" name="Column5823" dataDxfId="10589" dataCellStyle="Normal"/>
    <tableColumn id="5845" name="Column5824" dataDxfId="10588" dataCellStyle="Normal"/>
    <tableColumn id="5846" name="Column5825" dataDxfId="10587" dataCellStyle="Normal"/>
    <tableColumn id="5847" name="Column5826" dataDxfId="10586" dataCellStyle="Normal"/>
    <tableColumn id="5848" name="Column5827" dataDxfId="10585" dataCellStyle="Normal"/>
    <tableColumn id="5849" name="Column5828" dataDxfId="10584" dataCellStyle="Normal"/>
    <tableColumn id="5850" name="Column5829" dataDxfId="10583" dataCellStyle="Normal"/>
    <tableColumn id="5851" name="Column5830" dataDxfId="10582" dataCellStyle="Normal"/>
    <tableColumn id="5852" name="Column5831" dataDxfId="10581" dataCellStyle="Normal"/>
    <tableColumn id="5853" name="Column5832" dataDxfId="10580" dataCellStyle="Normal"/>
    <tableColumn id="5854" name="Column5833" dataDxfId="10579" dataCellStyle="Normal"/>
    <tableColumn id="5855" name="Column5834" dataDxfId="10578" dataCellStyle="Normal"/>
    <tableColumn id="5856" name="Column5835" dataDxfId="10577" dataCellStyle="Normal"/>
    <tableColumn id="5857" name="Column5836" dataDxfId="10576" dataCellStyle="Normal"/>
    <tableColumn id="5858" name="Column5837" dataDxfId="10575" dataCellStyle="Normal"/>
    <tableColumn id="5859" name="Column5838" dataDxfId="10574" dataCellStyle="Normal"/>
    <tableColumn id="5860" name="Column5839" dataDxfId="10573" dataCellStyle="Normal"/>
    <tableColumn id="5861" name="Column5840" dataDxfId="10572" dataCellStyle="Normal"/>
    <tableColumn id="5862" name="Column5841" dataDxfId="10571" dataCellStyle="Normal"/>
    <tableColumn id="5863" name="Column5842" dataDxfId="10570" dataCellStyle="Normal"/>
    <tableColumn id="5864" name="Column5843" dataDxfId="10569" dataCellStyle="Normal"/>
    <tableColumn id="5865" name="Column5844" dataDxfId="10568" dataCellStyle="Normal"/>
    <tableColumn id="5866" name="Column5845" dataDxfId="10567" dataCellStyle="Normal"/>
    <tableColumn id="5867" name="Column5846" dataDxfId="10566" dataCellStyle="Normal"/>
    <tableColumn id="5868" name="Column5847" dataDxfId="10565" dataCellStyle="Normal"/>
    <tableColumn id="5869" name="Column5848" dataDxfId="10564" dataCellStyle="Normal"/>
    <tableColumn id="5870" name="Column5849" dataDxfId="10563" dataCellStyle="Normal"/>
    <tableColumn id="5871" name="Column5850" dataDxfId="10562" dataCellStyle="Normal"/>
    <tableColumn id="5872" name="Column5851" dataDxfId="10561" dataCellStyle="Normal"/>
    <tableColumn id="5873" name="Column5852" dataDxfId="10560" dataCellStyle="Normal"/>
    <tableColumn id="5874" name="Column5853" dataDxfId="10559" dataCellStyle="Normal"/>
    <tableColumn id="5875" name="Column5854" dataDxfId="10558" dataCellStyle="Normal"/>
    <tableColumn id="5876" name="Column5855" dataDxfId="10557" dataCellStyle="Normal"/>
    <tableColumn id="5877" name="Column5856" dataDxfId="10556" dataCellStyle="Normal"/>
    <tableColumn id="5878" name="Column5857" dataDxfId="10555" dataCellStyle="Normal"/>
    <tableColumn id="5879" name="Column5858" dataDxfId="10554" dataCellStyle="Normal"/>
    <tableColumn id="5880" name="Column5859" dataDxfId="10553" dataCellStyle="Normal"/>
    <tableColumn id="5881" name="Column5860" dataDxfId="10552" dataCellStyle="Normal"/>
    <tableColumn id="5882" name="Column5861" dataDxfId="10551" dataCellStyle="Normal"/>
    <tableColumn id="5883" name="Column5862" dataDxfId="10550" dataCellStyle="Normal"/>
    <tableColumn id="5884" name="Column5863" dataDxfId="10549" dataCellStyle="Normal"/>
    <tableColumn id="5885" name="Column5864" dataDxfId="10548" dataCellStyle="Normal"/>
    <tableColumn id="5886" name="Column5865" dataDxfId="10547" dataCellStyle="Normal"/>
    <tableColumn id="5887" name="Column5866" dataDxfId="10546" dataCellStyle="Normal"/>
    <tableColumn id="5888" name="Column5867" dataDxfId="10545" dataCellStyle="Normal"/>
    <tableColumn id="5889" name="Column5868" dataDxfId="10544" dataCellStyle="Normal"/>
    <tableColumn id="5890" name="Column5869" dataDxfId="10543" dataCellStyle="Normal"/>
    <tableColumn id="5891" name="Column5870" dataDxfId="10542" dataCellStyle="Normal"/>
    <tableColumn id="5892" name="Column5871" dataDxfId="10541" dataCellStyle="Normal"/>
    <tableColumn id="5893" name="Column5872" dataDxfId="10540" dataCellStyle="Normal"/>
    <tableColumn id="5894" name="Column5873" dataDxfId="10539" dataCellStyle="Normal"/>
    <tableColumn id="5895" name="Column5874" dataDxfId="10538" dataCellStyle="Normal"/>
    <tableColumn id="5896" name="Column5875" dataDxfId="10537" dataCellStyle="Normal"/>
    <tableColumn id="5897" name="Column5876" dataDxfId="10536" dataCellStyle="Normal"/>
    <tableColumn id="5898" name="Column5877" dataDxfId="10535" dataCellStyle="Normal"/>
    <tableColumn id="5899" name="Column5878" dataDxfId="10534" dataCellStyle="Normal"/>
    <tableColumn id="5900" name="Column5879" dataDxfId="10533" dataCellStyle="Normal"/>
    <tableColumn id="5901" name="Column5880" dataDxfId="10532" dataCellStyle="Normal"/>
    <tableColumn id="5902" name="Column5881" dataDxfId="10531" dataCellStyle="Normal"/>
    <tableColumn id="5903" name="Column5882" dataDxfId="10530" dataCellStyle="Normal"/>
    <tableColumn id="5904" name="Column5883" dataDxfId="10529" dataCellStyle="Normal"/>
    <tableColumn id="5905" name="Column5884" dataDxfId="10528" dataCellStyle="Normal"/>
    <tableColumn id="5906" name="Column5885" dataDxfId="10527" dataCellStyle="Normal"/>
    <tableColumn id="5907" name="Column5886" dataDxfId="10526" dataCellStyle="Normal"/>
    <tableColumn id="5908" name="Column5887" dataDxfId="10525" dataCellStyle="Normal"/>
    <tableColumn id="5909" name="Column5888" dataDxfId="10524" dataCellStyle="Normal"/>
    <tableColumn id="5910" name="Column5889" dataDxfId="10523" dataCellStyle="Normal"/>
    <tableColumn id="5911" name="Column5890" dataDxfId="10522" dataCellStyle="Normal"/>
    <tableColumn id="5912" name="Column5891" dataDxfId="10521" dataCellStyle="Normal"/>
    <tableColumn id="5913" name="Column5892" dataDxfId="10520" dataCellStyle="Normal"/>
    <tableColumn id="5914" name="Column5893" dataDxfId="10519" dataCellStyle="Normal"/>
    <tableColumn id="5915" name="Column5894" dataDxfId="10518" dataCellStyle="Normal"/>
    <tableColumn id="5916" name="Column5895" dataDxfId="10517" dataCellStyle="Normal"/>
    <tableColumn id="5917" name="Column5896" dataDxfId="10516" dataCellStyle="Normal"/>
    <tableColumn id="5918" name="Column5897" dataDxfId="10515" dataCellStyle="Normal"/>
    <tableColumn id="5919" name="Column5898" dataDxfId="10514" dataCellStyle="Normal"/>
    <tableColumn id="5920" name="Column5899" dataDxfId="10513" dataCellStyle="Normal"/>
    <tableColumn id="5921" name="Column5900" dataDxfId="10512" dataCellStyle="Normal"/>
    <tableColumn id="5922" name="Column5901" dataDxfId="10511" dataCellStyle="Normal"/>
    <tableColumn id="5923" name="Column5902" dataDxfId="10510" dataCellStyle="Normal"/>
    <tableColumn id="5924" name="Column5903" dataDxfId="10509" dataCellStyle="Normal"/>
    <tableColumn id="5925" name="Column5904" dataDxfId="10508" dataCellStyle="Normal"/>
    <tableColumn id="5926" name="Column5905" dataDxfId="10507" dataCellStyle="Normal"/>
    <tableColumn id="5927" name="Column5906" dataDxfId="10506" dataCellStyle="Normal"/>
    <tableColumn id="5928" name="Column5907" dataDxfId="10505" dataCellStyle="Normal"/>
    <tableColumn id="5929" name="Column5908" dataDxfId="10504" dataCellStyle="Normal"/>
    <tableColumn id="5930" name="Column5909" dataDxfId="10503" dataCellStyle="Normal"/>
    <tableColumn id="5931" name="Column5910" dataDxfId="10502" dataCellStyle="Normal"/>
    <tableColumn id="5932" name="Column5911" dataDxfId="10501" dataCellStyle="Normal"/>
    <tableColumn id="5933" name="Column5912" dataDxfId="10500" dataCellStyle="Normal"/>
    <tableColumn id="5934" name="Column5913" dataDxfId="10499" dataCellStyle="Normal"/>
    <tableColumn id="5935" name="Column5914" dataDxfId="10498" dataCellStyle="Normal"/>
    <tableColumn id="5936" name="Column5915" dataDxfId="10497" dataCellStyle="Normal"/>
    <tableColumn id="5937" name="Column5916" dataDxfId="10496" dataCellStyle="Normal"/>
    <tableColumn id="5938" name="Column5917" dataDxfId="10495" dataCellStyle="Normal"/>
    <tableColumn id="5939" name="Column5918" dataDxfId="10494" dataCellStyle="Normal"/>
    <tableColumn id="5940" name="Column5919" dataDxfId="10493" dataCellStyle="Normal"/>
    <tableColumn id="5941" name="Column5920" dataDxfId="10492" dataCellStyle="Normal"/>
    <tableColumn id="5942" name="Column5921" dataDxfId="10491" dataCellStyle="Normal"/>
    <tableColumn id="5943" name="Column5922" dataDxfId="10490" dataCellStyle="Normal"/>
    <tableColumn id="5944" name="Column5923" dataDxfId="10489" dataCellStyle="Normal"/>
    <tableColumn id="5945" name="Column5924" dataDxfId="10488" dataCellStyle="Normal"/>
    <tableColumn id="5946" name="Column5925" dataDxfId="10487" dataCellStyle="Normal"/>
    <tableColumn id="5947" name="Column5926" dataDxfId="10486" dataCellStyle="Normal"/>
    <tableColumn id="5948" name="Column5927" dataDxfId="10485" dataCellStyle="Normal"/>
    <tableColumn id="5949" name="Column5928" dataDxfId="10484" dataCellStyle="Normal"/>
    <tableColumn id="5950" name="Column5929" dataDxfId="10483" dataCellStyle="Normal"/>
    <tableColumn id="5951" name="Column5930" dataDxfId="10482" dataCellStyle="Normal"/>
    <tableColumn id="5952" name="Column5931" dataDxfId="10481" dataCellStyle="Normal"/>
    <tableColumn id="5953" name="Column5932" dataDxfId="10480" dataCellStyle="Normal"/>
    <tableColumn id="5954" name="Column5933" dataDxfId="10479" dataCellStyle="Normal"/>
    <tableColumn id="5955" name="Column5934" dataDxfId="10478" dataCellStyle="Normal"/>
    <tableColumn id="5956" name="Column5935" dataDxfId="10477" dataCellStyle="Normal"/>
    <tableColumn id="5957" name="Column5936" dataDxfId="10476" dataCellStyle="Normal"/>
    <tableColumn id="5958" name="Column5937" dataDxfId="10475" dataCellStyle="Normal"/>
    <tableColumn id="5959" name="Column5938" dataDxfId="10474" dataCellStyle="Normal"/>
    <tableColumn id="5960" name="Column5939" dataDxfId="10473" dataCellStyle="Normal"/>
    <tableColumn id="5961" name="Column5940" dataDxfId="10472" dataCellStyle="Normal"/>
    <tableColumn id="5962" name="Column5941" dataDxfId="10471" dataCellStyle="Normal"/>
    <tableColumn id="5963" name="Column5942" dataDxfId="10470" dataCellStyle="Normal"/>
    <tableColumn id="5964" name="Column5943" dataDxfId="10469" dataCellStyle="Normal"/>
    <tableColumn id="5965" name="Column5944" dataDxfId="10468" dataCellStyle="Normal"/>
    <tableColumn id="5966" name="Column5945" dataDxfId="10467" dataCellStyle="Normal"/>
    <tableColumn id="5967" name="Column5946" dataDxfId="10466" dataCellStyle="Normal"/>
    <tableColumn id="5968" name="Column5947" dataDxfId="10465" dataCellStyle="Normal"/>
    <tableColumn id="5969" name="Column5948" dataDxfId="10464" dataCellStyle="Normal"/>
    <tableColumn id="5970" name="Column5949" dataDxfId="10463" dataCellStyle="Normal"/>
    <tableColumn id="5971" name="Column5950" dataDxfId="10462" dataCellStyle="Normal"/>
    <tableColumn id="5972" name="Column5951" dataDxfId="10461" dataCellStyle="Normal"/>
    <tableColumn id="5973" name="Column5952" dataDxfId="10460" dataCellStyle="Normal"/>
    <tableColumn id="5974" name="Column5953" dataDxfId="10459" dataCellStyle="Normal"/>
    <tableColumn id="5975" name="Column5954" dataDxfId="10458" dataCellStyle="Normal"/>
    <tableColumn id="5976" name="Column5955" dataDxfId="10457" dataCellStyle="Normal"/>
    <tableColumn id="5977" name="Column5956" dataDxfId="10456" dataCellStyle="Normal"/>
    <tableColumn id="5978" name="Column5957" dataDxfId="10455" dataCellStyle="Normal"/>
    <tableColumn id="5979" name="Column5958" dataDxfId="10454" dataCellStyle="Normal"/>
    <tableColumn id="5980" name="Column5959" dataDxfId="10453" dataCellStyle="Normal"/>
    <tableColumn id="5981" name="Column5960" dataDxfId="10452" dataCellStyle="Normal"/>
    <tableColumn id="5982" name="Column5961" dataDxfId="10451" dataCellStyle="Normal"/>
    <tableColumn id="5983" name="Column5962" dataDxfId="10450" dataCellStyle="Normal"/>
    <tableColumn id="5984" name="Column5963" dataDxfId="10449" dataCellStyle="Normal"/>
    <tableColumn id="5985" name="Column5964" dataDxfId="10448" dataCellStyle="Normal"/>
    <tableColumn id="5986" name="Column5965" dataDxfId="10447" dataCellStyle="Normal"/>
    <tableColumn id="5987" name="Column5966" dataDxfId="10446" dataCellStyle="Normal"/>
    <tableColumn id="5988" name="Column5967" dataDxfId="10445" dataCellStyle="Normal"/>
    <tableColumn id="5989" name="Column5968" dataDxfId="10444" dataCellStyle="Normal"/>
    <tableColumn id="5990" name="Column5969" dataDxfId="10443" dataCellStyle="Normal"/>
    <tableColumn id="5991" name="Column5970" dataDxfId="10442" dataCellStyle="Normal"/>
    <tableColumn id="5992" name="Column5971" dataDxfId="10441" dataCellStyle="Normal"/>
    <tableColumn id="5993" name="Column5972" dataDxfId="10440" dataCellStyle="Normal"/>
    <tableColumn id="5994" name="Column5973" dataDxfId="10439" dataCellStyle="Normal"/>
    <tableColumn id="5995" name="Column5974" dataDxfId="10438" dataCellStyle="Normal"/>
    <tableColumn id="5996" name="Column5975" dataDxfId="10437" dataCellStyle="Normal"/>
    <tableColumn id="5997" name="Column5976" dataDxfId="10436" dataCellStyle="Normal"/>
    <tableColumn id="5998" name="Column5977" dataDxfId="10435" dataCellStyle="Normal"/>
    <tableColumn id="5999" name="Column5978" dataDxfId="10434" dataCellStyle="Normal"/>
    <tableColumn id="6000" name="Column5979" dataDxfId="10433" dataCellStyle="Normal"/>
    <tableColumn id="6001" name="Column5980" dataDxfId="10432" dataCellStyle="Normal"/>
    <tableColumn id="6002" name="Column5981" dataDxfId="10431" dataCellStyle="Normal"/>
    <tableColumn id="6003" name="Column5982" dataDxfId="10430" dataCellStyle="Normal"/>
    <tableColumn id="6004" name="Column5983" dataDxfId="10429" dataCellStyle="Normal"/>
    <tableColumn id="6005" name="Column5984" dataDxfId="10428" dataCellStyle="Normal"/>
    <tableColumn id="6006" name="Column5985" dataDxfId="10427" dataCellStyle="Normal"/>
    <tableColumn id="6007" name="Column5986" dataDxfId="10426" dataCellStyle="Normal"/>
    <tableColumn id="6008" name="Column5987" dataDxfId="10425" dataCellStyle="Normal"/>
    <tableColumn id="6009" name="Column5988" dataDxfId="10424" dataCellStyle="Normal"/>
    <tableColumn id="6010" name="Column5989" dataDxfId="10423" dataCellStyle="Normal"/>
    <tableColumn id="6011" name="Column5990" dataDxfId="10422" dataCellStyle="Normal"/>
    <tableColumn id="6012" name="Column5991" dataDxfId="10421" dataCellStyle="Normal"/>
    <tableColumn id="6013" name="Column5992" dataDxfId="10420" dataCellStyle="Normal"/>
    <tableColumn id="6014" name="Column5993" dataDxfId="10419" dataCellStyle="Normal"/>
    <tableColumn id="6015" name="Column5994" dataDxfId="10418" dataCellStyle="Normal"/>
    <tableColumn id="6016" name="Column5995" dataDxfId="10417" dataCellStyle="Normal"/>
    <tableColumn id="6017" name="Column5996" dataDxfId="10416" dataCellStyle="Normal"/>
    <tableColumn id="6018" name="Column5997" dataDxfId="10415" dataCellStyle="Normal"/>
    <tableColumn id="6019" name="Column5998" dataDxfId="10414" dataCellStyle="Normal"/>
    <tableColumn id="6020" name="Column5999" dataDxfId="10413" dataCellStyle="Normal"/>
    <tableColumn id="6021" name="Column6000" dataDxfId="10412" dataCellStyle="Normal"/>
    <tableColumn id="6022" name="Column6001" dataDxfId="10411" dataCellStyle="Normal"/>
    <tableColumn id="6023" name="Column6002" dataDxfId="10410" dataCellStyle="Normal"/>
    <tableColumn id="6024" name="Column6003" dataDxfId="10409" dataCellStyle="Normal"/>
    <tableColumn id="6025" name="Column6004" dataDxfId="10408" dataCellStyle="Normal"/>
    <tableColumn id="6026" name="Column6005" dataDxfId="10407" dataCellStyle="Normal"/>
    <tableColumn id="6027" name="Column6006" dataDxfId="10406" dataCellStyle="Normal"/>
    <tableColumn id="6028" name="Column6007" dataDxfId="10405" dataCellStyle="Normal"/>
    <tableColumn id="6029" name="Column6008" dataDxfId="10404" dataCellStyle="Normal"/>
    <tableColumn id="6030" name="Column6009" dataDxfId="10403" dataCellStyle="Normal"/>
    <tableColumn id="6031" name="Column6010" dataDxfId="10402" dataCellStyle="Normal"/>
    <tableColumn id="6032" name="Column6011" dataDxfId="10401" dataCellStyle="Normal"/>
    <tableColumn id="6033" name="Column6012" dataDxfId="10400" dataCellStyle="Normal"/>
    <tableColumn id="6034" name="Column6013" dataDxfId="10399" dataCellStyle="Normal"/>
    <tableColumn id="6035" name="Column6014" dataDxfId="10398" dataCellStyle="Normal"/>
    <tableColumn id="6036" name="Column6015" dataDxfId="10397" dataCellStyle="Normal"/>
    <tableColumn id="6037" name="Column6016" dataDxfId="10396" dataCellStyle="Normal"/>
    <tableColumn id="6038" name="Column6017" dataDxfId="10395" dataCellStyle="Normal"/>
    <tableColumn id="6039" name="Column6018" dataDxfId="10394" dataCellStyle="Normal"/>
    <tableColumn id="6040" name="Column6019" dataDxfId="10393" dataCellStyle="Normal"/>
    <tableColumn id="6041" name="Column6020" dataDxfId="10392" dataCellStyle="Normal"/>
    <tableColumn id="6042" name="Column6021" dataDxfId="10391" dataCellStyle="Normal"/>
    <tableColumn id="6043" name="Column6022" dataDxfId="10390" dataCellStyle="Normal"/>
    <tableColumn id="6044" name="Column6023" dataDxfId="10389" dataCellStyle="Normal"/>
    <tableColumn id="6045" name="Column6024" dataDxfId="10388" dataCellStyle="Normal"/>
    <tableColumn id="6046" name="Column6025" dataDxfId="10387" dataCellStyle="Normal"/>
    <tableColumn id="6047" name="Column6026" dataDxfId="10386" dataCellStyle="Normal"/>
    <tableColumn id="6048" name="Column6027" dataDxfId="10385" dataCellStyle="Normal"/>
    <tableColumn id="6049" name="Column6028" dataDxfId="10384" dataCellStyle="Normal"/>
    <tableColumn id="6050" name="Column6029" dataDxfId="10383" dataCellStyle="Normal"/>
    <tableColumn id="6051" name="Column6030" dataDxfId="10382" dataCellStyle="Normal"/>
    <tableColumn id="6052" name="Column6031" dataDxfId="10381" dataCellStyle="Normal"/>
    <tableColumn id="6053" name="Column6032" dataDxfId="10380" dataCellStyle="Normal"/>
    <tableColumn id="6054" name="Column6033" dataDxfId="10379" dataCellStyle="Normal"/>
    <tableColumn id="6055" name="Column6034" dataDxfId="10378" dataCellStyle="Normal"/>
    <tableColumn id="6056" name="Column6035" dataDxfId="10377" dataCellStyle="Normal"/>
    <tableColumn id="6057" name="Column6036" dataDxfId="10376" dataCellStyle="Normal"/>
    <tableColumn id="6058" name="Column6037" dataDxfId="10375" dataCellStyle="Normal"/>
    <tableColumn id="6059" name="Column6038" dataDxfId="10374" dataCellStyle="Normal"/>
    <tableColumn id="6060" name="Column6039" dataDxfId="10373" dataCellStyle="Normal"/>
    <tableColumn id="6061" name="Column6040" dataDxfId="10372" dataCellStyle="Normal"/>
    <tableColumn id="6062" name="Column6041" dataDxfId="10371" dataCellStyle="Normal"/>
    <tableColumn id="6063" name="Column6042" dataDxfId="10370" dataCellStyle="Normal"/>
    <tableColumn id="6064" name="Column6043" dataDxfId="10369" dataCellStyle="Normal"/>
    <tableColumn id="6065" name="Column6044" dataDxfId="10368" dataCellStyle="Normal"/>
    <tableColumn id="6066" name="Column6045" dataDxfId="10367" dataCellStyle="Normal"/>
    <tableColumn id="6067" name="Column6046" dataDxfId="10366" dataCellStyle="Normal"/>
    <tableColumn id="6068" name="Column6047" dataDxfId="10365" dataCellStyle="Normal"/>
    <tableColumn id="6069" name="Column6048" dataDxfId="10364" dataCellStyle="Normal"/>
    <tableColumn id="6070" name="Column6049" dataDxfId="10363" dataCellStyle="Normal"/>
    <tableColumn id="6071" name="Column6050" dataDxfId="10362" dataCellStyle="Normal"/>
    <tableColumn id="6072" name="Column6051" dataDxfId="10361" dataCellStyle="Normal"/>
    <tableColumn id="6073" name="Column6052" dataDxfId="10360" dataCellStyle="Normal"/>
    <tableColumn id="6074" name="Column6053" dataDxfId="10359" dataCellStyle="Normal"/>
    <tableColumn id="6075" name="Column6054" dataDxfId="10358" dataCellStyle="Normal"/>
    <tableColumn id="6076" name="Column6055" dataDxfId="10357" dataCellStyle="Normal"/>
    <tableColumn id="6077" name="Column6056" dataDxfId="10356" dataCellStyle="Normal"/>
    <tableColumn id="6078" name="Column6057" dataDxfId="10355" dataCellStyle="Normal"/>
    <tableColumn id="6079" name="Column6058" dataDxfId="10354" dataCellStyle="Normal"/>
    <tableColumn id="6080" name="Column6059" dataDxfId="10353" dataCellStyle="Normal"/>
    <tableColumn id="6081" name="Column6060" dataDxfId="10352" dataCellStyle="Normal"/>
    <tableColumn id="6082" name="Column6061" dataDxfId="10351" dataCellStyle="Normal"/>
    <tableColumn id="6083" name="Column6062" dataDxfId="10350" dataCellStyle="Normal"/>
    <tableColumn id="6084" name="Column6063" dataDxfId="10349" dataCellStyle="Normal"/>
    <tableColumn id="6085" name="Column6064" dataDxfId="10348" dataCellStyle="Normal"/>
    <tableColumn id="6086" name="Column6065" dataDxfId="10347" dataCellStyle="Normal"/>
    <tableColumn id="6087" name="Column6066" dataDxfId="10346" dataCellStyle="Normal"/>
    <tableColumn id="6088" name="Column6067" dataDxfId="10345" dataCellStyle="Normal"/>
    <tableColumn id="6089" name="Column6068" dataDxfId="10344" dataCellStyle="Normal"/>
    <tableColumn id="6090" name="Column6069" dataDxfId="10343" dataCellStyle="Normal"/>
    <tableColumn id="6091" name="Column6070" dataDxfId="10342" dataCellStyle="Normal"/>
    <tableColumn id="6092" name="Column6071" dataDxfId="10341" dataCellStyle="Normal"/>
    <tableColumn id="6093" name="Column6072" dataDxfId="10340" dataCellStyle="Normal"/>
    <tableColumn id="6094" name="Column6073" dataDxfId="10339" dataCellStyle="Normal"/>
    <tableColumn id="6095" name="Column6074" dataDxfId="10338" dataCellStyle="Normal"/>
    <tableColumn id="6096" name="Column6075" dataDxfId="10337" dataCellStyle="Normal"/>
    <tableColumn id="6097" name="Column6076" dataDxfId="10336" dataCellStyle="Normal"/>
    <tableColumn id="6098" name="Column6077" dataDxfId="10335" dataCellStyle="Normal"/>
    <tableColumn id="6099" name="Column6078" dataDxfId="10334" dataCellStyle="Normal"/>
    <tableColumn id="6100" name="Column6079" dataDxfId="10333" dataCellStyle="Normal"/>
    <tableColumn id="6101" name="Column6080" dataDxfId="10332" dataCellStyle="Normal"/>
    <tableColumn id="6102" name="Column6081" dataDxfId="10331" dataCellStyle="Normal"/>
    <tableColumn id="6103" name="Column6082" dataDxfId="10330" dataCellStyle="Normal"/>
    <tableColumn id="6104" name="Column6083" dataDxfId="10329" dataCellStyle="Normal"/>
    <tableColumn id="6105" name="Column6084" dataDxfId="10328" dataCellStyle="Normal"/>
    <tableColumn id="6106" name="Column6085" dataDxfId="10327" dataCellStyle="Normal"/>
    <tableColumn id="6107" name="Column6086" dataDxfId="10326" dataCellStyle="Normal"/>
    <tableColumn id="6108" name="Column6087" dataDxfId="10325" dataCellStyle="Normal"/>
    <tableColumn id="6109" name="Column6088" dataDxfId="10324" dataCellStyle="Normal"/>
    <tableColumn id="6110" name="Column6089" dataDxfId="10323" dataCellStyle="Normal"/>
    <tableColumn id="6111" name="Column6090" dataDxfId="10322" dataCellStyle="Normal"/>
    <tableColumn id="6112" name="Column6091" dataDxfId="10321" dataCellStyle="Normal"/>
    <tableColumn id="6113" name="Column6092" dataDxfId="10320" dataCellStyle="Normal"/>
    <tableColumn id="6114" name="Column6093" dataDxfId="10319" dataCellStyle="Normal"/>
    <tableColumn id="6115" name="Column6094" dataDxfId="10318" dataCellStyle="Normal"/>
    <tableColumn id="6116" name="Column6095" dataDxfId="10317" dataCellStyle="Normal"/>
    <tableColumn id="6117" name="Column6096" dataDxfId="10316" dataCellStyle="Normal"/>
    <tableColumn id="6118" name="Column6097" dataDxfId="10315" dataCellStyle="Normal"/>
    <tableColumn id="6119" name="Column6098" dataDxfId="10314" dataCellStyle="Normal"/>
    <tableColumn id="6120" name="Column6099" dataDxfId="10313" dataCellStyle="Normal"/>
    <tableColumn id="6121" name="Column6100" dataDxfId="10312" dataCellStyle="Normal"/>
    <tableColumn id="6122" name="Column6101" dataDxfId="10311" dataCellStyle="Normal"/>
    <tableColumn id="6123" name="Column6102" dataDxfId="10310" dataCellStyle="Normal"/>
    <tableColumn id="6124" name="Column6103" dataDxfId="10309" dataCellStyle="Normal"/>
    <tableColumn id="6125" name="Column6104" dataDxfId="10308" dataCellStyle="Normal"/>
    <tableColumn id="6126" name="Column6105" dataDxfId="10307" dataCellStyle="Normal"/>
    <tableColumn id="6127" name="Column6106" dataDxfId="10306" dataCellStyle="Normal"/>
    <tableColumn id="6128" name="Column6107" dataDxfId="10305" dataCellStyle="Normal"/>
    <tableColumn id="6129" name="Column6108" dataDxfId="10304" dataCellStyle="Normal"/>
    <tableColumn id="6130" name="Column6109" dataDxfId="10303" dataCellStyle="Normal"/>
    <tableColumn id="6131" name="Column6110" dataDxfId="10302" dataCellStyle="Normal"/>
    <tableColumn id="6132" name="Column6111" dataDxfId="10301" dataCellStyle="Normal"/>
    <tableColumn id="6133" name="Column6112" dataDxfId="10300" dataCellStyle="Normal"/>
    <tableColumn id="6134" name="Column6113" dataDxfId="10299" dataCellStyle="Normal"/>
    <tableColumn id="6135" name="Column6114" dataDxfId="10298" dataCellStyle="Normal"/>
    <tableColumn id="6136" name="Column6115" dataDxfId="10297" dataCellStyle="Normal"/>
    <tableColumn id="6137" name="Column6116" dataDxfId="10296" dataCellStyle="Normal"/>
    <tableColumn id="6138" name="Column6117" dataDxfId="10295" dataCellStyle="Normal"/>
    <tableColumn id="6139" name="Column6118" dataDxfId="10294" dataCellStyle="Normal"/>
    <tableColumn id="6140" name="Column6119" dataDxfId="10293" dataCellStyle="Normal"/>
    <tableColumn id="6141" name="Column6120" dataDxfId="10292" dataCellStyle="Normal"/>
    <tableColumn id="6142" name="Column6121" dataDxfId="10291" dataCellStyle="Normal"/>
    <tableColumn id="6143" name="Column6122" dataDxfId="10290" dataCellStyle="Normal"/>
    <tableColumn id="6144" name="Column6123" dataDxfId="10289" dataCellStyle="Normal"/>
    <tableColumn id="6145" name="Column6124" dataDxfId="10288" dataCellStyle="Normal"/>
    <tableColumn id="6146" name="Column6125" dataDxfId="10287" dataCellStyle="Normal"/>
    <tableColumn id="6147" name="Column6126" dataDxfId="10286" dataCellStyle="Normal"/>
    <tableColumn id="6148" name="Column6127" dataDxfId="10285" dataCellStyle="Normal"/>
    <tableColumn id="6149" name="Column6128" dataDxfId="10284" dataCellStyle="Normal"/>
    <tableColumn id="6150" name="Column6129" dataDxfId="10283" dataCellStyle="Normal"/>
    <tableColumn id="6151" name="Column6130" dataDxfId="10282" dataCellStyle="Normal"/>
    <tableColumn id="6152" name="Column6131" dataDxfId="10281" dataCellStyle="Normal"/>
    <tableColumn id="6153" name="Column6132" dataDxfId="10280" dataCellStyle="Normal"/>
    <tableColumn id="6154" name="Column6133" dataDxfId="10279" dataCellStyle="Normal"/>
    <tableColumn id="6155" name="Column6134" dataDxfId="10278" dataCellStyle="Normal"/>
    <tableColumn id="6156" name="Column6135" dataDxfId="10277" dataCellStyle="Normal"/>
    <tableColumn id="6157" name="Column6136" dataDxfId="10276" dataCellStyle="Normal"/>
    <tableColumn id="6158" name="Column6137" dataDxfId="10275" dataCellStyle="Normal"/>
    <tableColumn id="6159" name="Column6138" dataDxfId="10274" dataCellStyle="Normal"/>
    <tableColumn id="6160" name="Column6139" dataDxfId="10273" dataCellStyle="Normal"/>
    <tableColumn id="6161" name="Column6140" dataDxfId="10272" dataCellStyle="Normal"/>
    <tableColumn id="6162" name="Column6141" dataDxfId="10271" dataCellStyle="Normal"/>
    <tableColumn id="6163" name="Column6142" dataDxfId="10270" dataCellStyle="Normal"/>
    <tableColumn id="6164" name="Column6143" dataDxfId="10269" dataCellStyle="Normal"/>
    <tableColumn id="6165" name="Column6144" dataDxfId="10268" dataCellStyle="Normal"/>
    <tableColumn id="6166" name="Column6145" dataDxfId="10267" dataCellStyle="Normal"/>
    <tableColumn id="6167" name="Column6146" dataDxfId="10266" dataCellStyle="Normal"/>
    <tableColumn id="6168" name="Column6147" dataDxfId="10265" dataCellStyle="Normal"/>
    <tableColumn id="6169" name="Column6148" dataDxfId="10264" dataCellStyle="Normal"/>
    <tableColumn id="6170" name="Column6149" dataDxfId="10263" dataCellStyle="Normal"/>
    <tableColumn id="6171" name="Column6150" dataDxfId="10262" dataCellStyle="Normal"/>
    <tableColumn id="6172" name="Column6151" dataDxfId="10261" dataCellStyle="Normal"/>
    <tableColumn id="6173" name="Column6152" dataDxfId="10260" dataCellStyle="Normal"/>
    <tableColumn id="6174" name="Column6153" dataDxfId="10259" dataCellStyle="Normal"/>
    <tableColumn id="6175" name="Column6154" dataDxfId="10258" dataCellStyle="Normal"/>
    <tableColumn id="6176" name="Column6155" dataDxfId="10257" dataCellStyle="Normal"/>
    <tableColumn id="6177" name="Column6156" dataDxfId="10256" dataCellStyle="Normal"/>
    <tableColumn id="6178" name="Column6157" dataDxfId="10255" dataCellStyle="Normal"/>
    <tableColumn id="6179" name="Column6158" dataDxfId="10254" dataCellStyle="Normal"/>
    <tableColumn id="6180" name="Column6159" dataDxfId="10253" dataCellStyle="Normal"/>
    <tableColumn id="6181" name="Column6160" dataDxfId="10252" dataCellStyle="Normal"/>
    <tableColumn id="6182" name="Column6161" dataDxfId="10251" dataCellStyle="Normal"/>
    <tableColumn id="6183" name="Column6162" dataDxfId="10250" dataCellStyle="Normal"/>
    <tableColumn id="6184" name="Column6163" dataDxfId="10249" dataCellStyle="Normal"/>
    <tableColumn id="6185" name="Column6164" dataDxfId="10248" dataCellStyle="Normal"/>
    <tableColumn id="6186" name="Column6165" dataDxfId="10247" dataCellStyle="Normal"/>
    <tableColumn id="6187" name="Column6166" dataDxfId="10246" dataCellStyle="Normal"/>
    <tableColumn id="6188" name="Column6167" dataDxfId="10245" dataCellStyle="Normal"/>
    <tableColumn id="6189" name="Column6168" dataDxfId="10244" dataCellStyle="Normal"/>
    <tableColumn id="6190" name="Column6169" dataDxfId="10243" dataCellStyle="Normal"/>
    <tableColumn id="6191" name="Column6170" dataDxfId="10242" dataCellStyle="Normal"/>
    <tableColumn id="6192" name="Column6171" dataDxfId="10241" dataCellStyle="Normal"/>
    <tableColumn id="6193" name="Column6172" dataDxfId="10240" dataCellStyle="Normal"/>
    <tableColumn id="6194" name="Column6173" dataDxfId="10239" dataCellStyle="Normal"/>
    <tableColumn id="6195" name="Column6174" dataDxfId="10238" dataCellStyle="Normal"/>
    <tableColumn id="6196" name="Column6175" dataDxfId="10237" dataCellStyle="Normal"/>
    <tableColumn id="6197" name="Column6176" dataDxfId="10236" dataCellStyle="Normal"/>
    <tableColumn id="6198" name="Column6177" dataDxfId="10235" dataCellStyle="Normal"/>
    <tableColumn id="6199" name="Column6178" dataDxfId="10234" dataCellStyle="Normal"/>
    <tableColumn id="6200" name="Column6179" dataDxfId="10233" dataCellStyle="Normal"/>
    <tableColumn id="6201" name="Column6180" dataDxfId="10232" dataCellStyle="Normal"/>
    <tableColumn id="6202" name="Column6181" dataDxfId="10231" dataCellStyle="Normal"/>
    <tableColumn id="6203" name="Column6182" dataDxfId="10230" dataCellStyle="Normal"/>
    <tableColumn id="6204" name="Column6183" dataDxfId="10229" dataCellStyle="Normal"/>
    <tableColumn id="6205" name="Column6184" dataDxfId="10228" dataCellStyle="Normal"/>
    <tableColumn id="6206" name="Column6185" dataDxfId="10227" dataCellStyle="Normal"/>
    <tableColumn id="6207" name="Column6186" dataDxfId="10226" dataCellStyle="Normal"/>
    <tableColumn id="6208" name="Column6187" dataDxfId="10225" dataCellStyle="Normal"/>
    <tableColumn id="6209" name="Column6188" dataDxfId="10224" dataCellStyle="Normal"/>
    <tableColumn id="6210" name="Column6189" dataDxfId="10223" dataCellStyle="Normal"/>
    <tableColumn id="6211" name="Column6190" dataDxfId="10222" dataCellStyle="Normal"/>
    <tableColumn id="6212" name="Column6191" dataDxfId="10221" dataCellStyle="Normal"/>
    <tableColumn id="6213" name="Column6192" dataDxfId="10220" dataCellStyle="Normal"/>
    <tableColumn id="6214" name="Column6193" dataDxfId="10219" dataCellStyle="Normal"/>
    <tableColumn id="6215" name="Column6194" dataDxfId="10218" dataCellStyle="Normal"/>
    <tableColumn id="6216" name="Column6195" dataDxfId="10217" dataCellStyle="Normal"/>
    <tableColumn id="6217" name="Column6196" dataDxfId="10216" dataCellStyle="Normal"/>
    <tableColumn id="6218" name="Column6197" dataDxfId="10215" dataCellStyle="Normal"/>
    <tableColumn id="6219" name="Column6198" dataDxfId="10214" dataCellStyle="Normal"/>
    <tableColumn id="6220" name="Column6199" dataDxfId="10213" dataCellStyle="Normal"/>
    <tableColumn id="6221" name="Column6200" dataDxfId="10212" dataCellStyle="Normal"/>
    <tableColumn id="6222" name="Column6201" dataDxfId="10211" dataCellStyle="Normal"/>
    <tableColumn id="6223" name="Column6202" dataDxfId="10210" dataCellStyle="Normal"/>
    <tableColumn id="6224" name="Column6203" dataDxfId="10209" dataCellStyle="Normal"/>
    <tableColumn id="6225" name="Column6204" dataDxfId="10208" dataCellStyle="Normal"/>
    <tableColumn id="6226" name="Column6205" dataDxfId="10207" dataCellStyle="Normal"/>
    <tableColumn id="6227" name="Column6206" dataDxfId="10206" dataCellStyle="Normal"/>
    <tableColumn id="6228" name="Column6207" dataDxfId="10205" dataCellStyle="Normal"/>
    <tableColumn id="6229" name="Column6208" dataDxfId="10204" dataCellStyle="Normal"/>
    <tableColumn id="6230" name="Column6209" dataDxfId="10203" dataCellStyle="Normal"/>
    <tableColumn id="6231" name="Column6210" dataDxfId="10202" dataCellStyle="Normal"/>
    <tableColumn id="6232" name="Column6211" dataDxfId="10201" dataCellStyle="Normal"/>
    <tableColumn id="6233" name="Column6212" dataDxfId="10200" dataCellStyle="Normal"/>
    <tableColumn id="6234" name="Column6213" dataDxfId="10199" dataCellStyle="Normal"/>
    <tableColumn id="6235" name="Column6214" dataDxfId="10198" dataCellStyle="Normal"/>
    <tableColumn id="6236" name="Column6215" dataDxfId="10197" dataCellStyle="Normal"/>
    <tableColumn id="6237" name="Column6216" dataDxfId="10196" dataCellStyle="Normal"/>
    <tableColumn id="6238" name="Column6217" dataDxfId="10195" dataCellStyle="Normal"/>
    <tableColumn id="6239" name="Column6218" dataDxfId="10194" dataCellStyle="Normal"/>
    <tableColumn id="6240" name="Column6219" dataDxfId="10193" dataCellStyle="Normal"/>
    <tableColumn id="6241" name="Column6220" dataDxfId="10192" dataCellStyle="Normal"/>
    <tableColumn id="6242" name="Column6221" dataDxfId="10191" dataCellStyle="Normal"/>
    <tableColumn id="6243" name="Column6222" dataDxfId="10190" dataCellStyle="Normal"/>
    <tableColumn id="6244" name="Column6223" dataDxfId="10189" dataCellStyle="Normal"/>
    <tableColumn id="6245" name="Column6224" dataDxfId="10188" dataCellStyle="Normal"/>
    <tableColumn id="6246" name="Column6225" dataDxfId="10187" dataCellStyle="Normal"/>
    <tableColumn id="6247" name="Column6226" dataDxfId="10186" dataCellStyle="Normal"/>
    <tableColumn id="6248" name="Column6227" dataDxfId="10185" dataCellStyle="Normal"/>
    <tableColumn id="6249" name="Column6228" dataDxfId="10184" dataCellStyle="Normal"/>
    <tableColumn id="6250" name="Column6229" dataDxfId="10183" dataCellStyle="Normal"/>
    <tableColumn id="6251" name="Column6230" dataDxfId="10182" dataCellStyle="Normal"/>
    <tableColumn id="6252" name="Column6231" dataDxfId="10181" dataCellStyle="Normal"/>
    <tableColumn id="6253" name="Column6232" dataDxfId="10180" dataCellStyle="Normal"/>
    <tableColumn id="6254" name="Column6233" dataDxfId="10179" dataCellStyle="Normal"/>
    <tableColumn id="6255" name="Column6234" dataDxfId="10178" dataCellStyle="Normal"/>
    <tableColumn id="6256" name="Column6235" dataDxfId="10177" dataCellStyle="Normal"/>
    <tableColumn id="6257" name="Column6236" dataDxfId="10176" dataCellStyle="Normal"/>
    <tableColumn id="6258" name="Column6237" dataDxfId="10175" dataCellStyle="Normal"/>
    <tableColumn id="6259" name="Column6238" dataDxfId="10174" dataCellStyle="Normal"/>
    <tableColumn id="6260" name="Column6239" dataDxfId="10173" dataCellStyle="Normal"/>
    <tableColumn id="6261" name="Column6240" dataDxfId="10172" dataCellStyle="Normal"/>
    <tableColumn id="6262" name="Column6241" dataDxfId="10171" dataCellStyle="Normal"/>
    <tableColumn id="6263" name="Column6242" dataDxfId="10170" dataCellStyle="Normal"/>
    <tableColumn id="6264" name="Column6243" dataDxfId="10169" dataCellStyle="Normal"/>
    <tableColumn id="6265" name="Column6244" dataDxfId="10168" dataCellStyle="Normal"/>
    <tableColumn id="6266" name="Column6245" dataDxfId="10167" dataCellStyle="Normal"/>
    <tableColumn id="6267" name="Column6246" dataDxfId="10166" dataCellStyle="Normal"/>
    <tableColumn id="6268" name="Column6247" dataDxfId="10165" dataCellStyle="Normal"/>
    <tableColumn id="6269" name="Column6248" dataDxfId="10164" dataCellStyle="Normal"/>
    <tableColumn id="6270" name="Column6249" dataDxfId="10163" dataCellStyle="Normal"/>
    <tableColumn id="6271" name="Column6250" dataDxfId="10162" dataCellStyle="Normal"/>
    <tableColumn id="6272" name="Column6251" dataDxfId="10161" dataCellStyle="Normal"/>
    <tableColumn id="6273" name="Column6252" dataDxfId="10160" dataCellStyle="Normal"/>
    <tableColumn id="6274" name="Column6253" dataDxfId="10159" dataCellStyle="Normal"/>
    <tableColumn id="6275" name="Column6254" dataDxfId="10158" dataCellStyle="Normal"/>
    <tableColumn id="6276" name="Column6255" dataDxfId="10157" dataCellStyle="Normal"/>
    <tableColumn id="6277" name="Column6256" dataDxfId="10156" dataCellStyle="Normal"/>
    <tableColumn id="6278" name="Column6257" dataDxfId="10155" dataCellStyle="Normal"/>
    <tableColumn id="6279" name="Column6258" dataDxfId="10154" dataCellStyle="Normal"/>
    <tableColumn id="6280" name="Column6259" dataDxfId="10153" dataCellStyle="Normal"/>
    <tableColumn id="6281" name="Column6260" dataDxfId="10152" dataCellStyle="Normal"/>
    <tableColumn id="6282" name="Column6261" dataDxfId="10151" dataCellStyle="Normal"/>
    <tableColumn id="6283" name="Column6262" dataDxfId="10150" dataCellStyle="Normal"/>
    <tableColumn id="6284" name="Column6263" dataDxfId="10149" dataCellStyle="Normal"/>
    <tableColumn id="6285" name="Column6264" dataDxfId="10148" dataCellStyle="Normal"/>
    <tableColumn id="6286" name="Column6265" dataDxfId="10147" dataCellStyle="Normal"/>
    <tableColumn id="6287" name="Column6266" dataDxfId="10146" dataCellStyle="Normal"/>
    <tableColumn id="6288" name="Column6267" dataDxfId="10145" dataCellStyle="Normal"/>
    <tableColumn id="6289" name="Column6268" dataDxfId="10144" dataCellStyle="Normal"/>
    <tableColumn id="6290" name="Column6269" dataDxfId="10143" dataCellStyle="Normal"/>
    <tableColumn id="6291" name="Column6270" dataDxfId="10142" dataCellStyle="Normal"/>
    <tableColumn id="6292" name="Column6271" dataDxfId="10141" dataCellStyle="Normal"/>
    <tableColumn id="6293" name="Column6272" dataDxfId="10140" dataCellStyle="Normal"/>
    <tableColumn id="6294" name="Column6273" dataDxfId="10139" dataCellStyle="Normal"/>
    <tableColumn id="6295" name="Column6274" dataDxfId="10138" dataCellStyle="Normal"/>
    <tableColumn id="6296" name="Column6275" dataDxfId="10137" dataCellStyle="Normal"/>
    <tableColumn id="6297" name="Column6276" dataDxfId="10136" dataCellStyle="Normal"/>
    <tableColumn id="6298" name="Column6277" dataDxfId="10135" dataCellStyle="Normal"/>
    <tableColumn id="6299" name="Column6278" dataDxfId="10134" dataCellStyle="Normal"/>
    <tableColumn id="6300" name="Column6279" dataDxfId="10133" dataCellStyle="Normal"/>
    <tableColumn id="6301" name="Column6280" dataDxfId="10132" dataCellStyle="Normal"/>
    <tableColumn id="6302" name="Column6281" dataDxfId="10131" dataCellStyle="Normal"/>
    <tableColumn id="6303" name="Column6282" dataDxfId="10130" dataCellStyle="Normal"/>
    <tableColumn id="6304" name="Column6283" dataDxfId="10129" dataCellStyle="Normal"/>
    <tableColumn id="6305" name="Column6284" dataDxfId="10128" dataCellStyle="Normal"/>
    <tableColumn id="6306" name="Column6285" dataDxfId="10127" dataCellStyle="Normal"/>
    <tableColumn id="6307" name="Column6286" dataDxfId="10126" dataCellStyle="Normal"/>
    <tableColumn id="6308" name="Column6287" dataDxfId="10125" dataCellStyle="Normal"/>
    <tableColumn id="6309" name="Column6288" dataDxfId="10124" dataCellStyle="Normal"/>
    <tableColumn id="6310" name="Column6289" dataDxfId="10123" dataCellStyle="Normal"/>
    <tableColumn id="6311" name="Column6290" dataDxfId="10122" dataCellStyle="Normal"/>
    <tableColumn id="6312" name="Column6291" dataDxfId="10121" dataCellStyle="Normal"/>
    <tableColumn id="6313" name="Column6292" dataDxfId="10120" dataCellStyle="Normal"/>
    <tableColumn id="6314" name="Column6293" dataDxfId="10119" dataCellStyle="Normal"/>
    <tableColumn id="6315" name="Column6294" dataDxfId="10118" dataCellStyle="Normal"/>
    <tableColumn id="6316" name="Column6295" dataDxfId="10117" dataCellStyle="Normal"/>
    <tableColumn id="6317" name="Column6296" dataDxfId="10116" dataCellStyle="Normal"/>
    <tableColumn id="6318" name="Column6297" dataDxfId="10115" dataCellStyle="Normal"/>
    <tableColumn id="6319" name="Column6298" dataDxfId="10114" dataCellStyle="Normal"/>
    <tableColumn id="6320" name="Column6299" dataDxfId="10113" dataCellStyle="Normal"/>
    <tableColumn id="6321" name="Column6300" dataDxfId="10112" dataCellStyle="Normal"/>
    <tableColumn id="6322" name="Column6301" dataDxfId="10111" dataCellStyle="Normal"/>
    <tableColumn id="6323" name="Column6302" dataDxfId="10110" dataCellStyle="Normal"/>
    <tableColumn id="6324" name="Column6303" dataDxfId="10109" dataCellStyle="Normal"/>
    <tableColumn id="6325" name="Column6304" dataDxfId="10108" dataCellStyle="Normal"/>
    <tableColumn id="6326" name="Column6305" dataDxfId="10107" dataCellStyle="Normal"/>
    <tableColumn id="6327" name="Column6306" dataDxfId="10106" dataCellStyle="Normal"/>
    <tableColumn id="6328" name="Column6307" dataDxfId="10105" dataCellStyle="Normal"/>
    <tableColumn id="6329" name="Column6308" dataDxfId="10104" dataCellStyle="Normal"/>
    <tableColumn id="6330" name="Column6309" dataDxfId="10103" dataCellStyle="Normal"/>
    <tableColumn id="6331" name="Column6310" dataDxfId="10102" dataCellStyle="Normal"/>
    <tableColumn id="6332" name="Column6311" dataDxfId="10101" dataCellStyle="Normal"/>
    <tableColumn id="6333" name="Column6312" dataDxfId="10100" dataCellStyle="Normal"/>
    <tableColumn id="6334" name="Column6313" dataDxfId="10099" dataCellStyle="Normal"/>
    <tableColumn id="6335" name="Column6314" dataDxfId="10098" dataCellStyle="Normal"/>
    <tableColumn id="6336" name="Column6315" dataDxfId="10097" dataCellStyle="Normal"/>
    <tableColumn id="6337" name="Column6316" dataDxfId="10096" dataCellStyle="Normal"/>
    <tableColumn id="6338" name="Column6317" dataDxfId="10095" dataCellStyle="Normal"/>
    <tableColumn id="6339" name="Column6318" dataDxfId="10094" dataCellStyle="Normal"/>
    <tableColumn id="6340" name="Column6319" dataDxfId="10093" dataCellStyle="Normal"/>
    <tableColumn id="6341" name="Column6320" dataDxfId="10092" dataCellStyle="Normal"/>
    <tableColumn id="6342" name="Column6321" dataDxfId="10091" dataCellStyle="Normal"/>
    <tableColumn id="6343" name="Column6322" dataDxfId="10090" dataCellStyle="Normal"/>
    <tableColumn id="6344" name="Column6323" dataDxfId="10089" dataCellStyle="Normal"/>
    <tableColumn id="6345" name="Column6324" dataDxfId="10088" dataCellStyle="Normal"/>
    <tableColumn id="6346" name="Column6325" dataDxfId="10087" dataCellStyle="Normal"/>
    <tableColumn id="6347" name="Column6326" dataDxfId="10086" dataCellStyle="Normal"/>
    <tableColumn id="6348" name="Column6327" dataDxfId="10085" dataCellStyle="Normal"/>
    <tableColumn id="6349" name="Column6328" dataDxfId="10084" dataCellStyle="Normal"/>
    <tableColumn id="6350" name="Column6329" dataDxfId="10083" dataCellStyle="Normal"/>
    <tableColumn id="6351" name="Column6330" dataDxfId="10082" dataCellStyle="Normal"/>
    <tableColumn id="6352" name="Column6331" dataDxfId="10081" dataCellStyle="Normal"/>
    <tableColumn id="6353" name="Column6332" dataDxfId="10080" dataCellStyle="Normal"/>
    <tableColumn id="6354" name="Column6333" dataDxfId="10079" dataCellStyle="Normal"/>
    <tableColumn id="6355" name="Column6334" dataDxfId="10078" dataCellStyle="Normal"/>
    <tableColumn id="6356" name="Column6335" dataDxfId="10077" dataCellStyle="Normal"/>
    <tableColumn id="6357" name="Column6336" dataDxfId="10076" dataCellStyle="Normal"/>
    <tableColumn id="6358" name="Column6337" dataDxfId="10075" dataCellStyle="Normal"/>
    <tableColumn id="6359" name="Column6338" dataDxfId="10074" dataCellStyle="Normal"/>
    <tableColumn id="6360" name="Column6339" dataDxfId="10073" dataCellStyle="Normal"/>
    <tableColumn id="6361" name="Column6340" dataDxfId="10072" dataCellStyle="Normal"/>
    <tableColumn id="6362" name="Column6341" dataDxfId="10071" dataCellStyle="Normal"/>
    <tableColumn id="6363" name="Column6342" dataDxfId="10070" dataCellStyle="Normal"/>
    <tableColumn id="6364" name="Column6343" dataDxfId="10069" dataCellStyle="Normal"/>
    <tableColumn id="6365" name="Column6344" dataDxfId="10068" dataCellStyle="Normal"/>
    <tableColumn id="6366" name="Column6345" dataDxfId="10067" dataCellStyle="Normal"/>
    <tableColumn id="6367" name="Column6346" dataDxfId="10066" dataCellStyle="Normal"/>
    <tableColumn id="6368" name="Column6347" dataDxfId="10065" dataCellStyle="Normal"/>
    <tableColumn id="6369" name="Column6348" dataDxfId="10064" dataCellStyle="Normal"/>
    <tableColumn id="6370" name="Column6349" dataDxfId="10063" dataCellStyle="Normal"/>
    <tableColumn id="6371" name="Column6350" dataDxfId="10062" dataCellStyle="Normal"/>
    <tableColumn id="6372" name="Column6351" dataDxfId="10061" dataCellStyle="Normal"/>
    <tableColumn id="6373" name="Column6352" dataDxfId="10060" dataCellStyle="Normal"/>
    <tableColumn id="6374" name="Column6353" dataDxfId="10059" dataCellStyle="Normal"/>
    <tableColumn id="6375" name="Column6354" dataDxfId="10058" dataCellStyle="Normal"/>
    <tableColumn id="6376" name="Column6355" dataDxfId="10057" dataCellStyle="Normal"/>
    <tableColumn id="6377" name="Column6356" dataDxfId="10056" dataCellStyle="Normal"/>
    <tableColumn id="6378" name="Column6357" dataDxfId="10055" dataCellStyle="Normal"/>
    <tableColumn id="6379" name="Column6358" dataDxfId="10054" dataCellStyle="Normal"/>
    <tableColumn id="6380" name="Column6359" dataDxfId="10053" dataCellStyle="Normal"/>
    <tableColumn id="6381" name="Column6360" dataDxfId="10052" dataCellStyle="Normal"/>
    <tableColumn id="6382" name="Column6361" dataDxfId="10051" dataCellStyle="Normal"/>
    <tableColumn id="6383" name="Column6362" dataDxfId="10050" dataCellStyle="Normal"/>
    <tableColumn id="6384" name="Column6363" dataDxfId="10049" dataCellStyle="Normal"/>
    <tableColumn id="6385" name="Column6364" dataDxfId="10048" dataCellStyle="Normal"/>
    <tableColumn id="6386" name="Column6365" dataDxfId="10047" dataCellStyle="Normal"/>
    <tableColumn id="6387" name="Column6366" dataDxfId="10046" dataCellStyle="Normal"/>
    <tableColumn id="6388" name="Column6367" dataDxfId="10045" dataCellStyle="Normal"/>
    <tableColumn id="6389" name="Column6368" dataDxfId="10044" dataCellStyle="Normal"/>
    <tableColumn id="6390" name="Column6369" dataDxfId="10043" dataCellStyle="Normal"/>
    <tableColumn id="6391" name="Column6370" dataDxfId="10042" dataCellStyle="Normal"/>
    <tableColumn id="6392" name="Column6371" dataDxfId="10041" dataCellStyle="Normal"/>
    <tableColumn id="6393" name="Column6372" dataDxfId="10040" dataCellStyle="Normal"/>
    <tableColumn id="6394" name="Column6373" dataDxfId="10039" dataCellStyle="Normal"/>
    <tableColumn id="6395" name="Column6374" dataDxfId="10038" dataCellStyle="Normal"/>
    <tableColumn id="6396" name="Column6375" dataDxfId="10037" dataCellStyle="Normal"/>
    <tableColumn id="6397" name="Column6376" dataDxfId="10036" dataCellStyle="Normal"/>
    <tableColumn id="6398" name="Column6377" dataDxfId="10035" dataCellStyle="Normal"/>
    <tableColumn id="6399" name="Column6378" dataDxfId="10034" dataCellStyle="Normal"/>
    <tableColumn id="6400" name="Column6379" dataDxfId="10033" dataCellStyle="Normal"/>
    <tableColumn id="6401" name="Column6380" dataDxfId="10032" dataCellStyle="Normal"/>
    <tableColumn id="6402" name="Column6381" dataDxfId="10031" dataCellStyle="Normal"/>
    <tableColumn id="6403" name="Column6382" dataDxfId="10030" dataCellStyle="Normal"/>
    <tableColumn id="6404" name="Column6383" dataDxfId="10029" dataCellStyle="Normal"/>
    <tableColumn id="6405" name="Column6384" dataDxfId="10028" dataCellStyle="Normal"/>
    <tableColumn id="6406" name="Column6385" dataDxfId="10027" dataCellStyle="Normal"/>
    <tableColumn id="6407" name="Column6386" dataDxfId="10026" dataCellStyle="Normal"/>
    <tableColumn id="6408" name="Column6387" dataDxfId="10025" dataCellStyle="Normal"/>
    <tableColumn id="6409" name="Column6388" dataDxfId="10024" dataCellStyle="Normal"/>
    <tableColumn id="6410" name="Column6389" dataDxfId="10023" dataCellStyle="Normal"/>
    <tableColumn id="6411" name="Column6390" dataDxfId="10022" dataCellStyle="Normal"/>
    <tableColumn id="6412" name="Column6391" dataDxfId="10021" dataCellStyle="Normal"/>
    <tableColumn id="6413" name="Column6392" dataDxfId="10020" dataCellStyle="Normal"/>
    <tableColumn id="6414" name="Column6393" dataDxfId="10019" dataCellStyle="Normal"/>
    <tableColumn id="6415" name="Column6394" dataDxfId="10018" dataCellStyle="Normal"/>
    <tableColumn id="6416" name="Column6395" dataDxfId="10017" dataCellStyle="Normal"/>
    <tableColumn id="6417" name="Column6396" dataDxfId="10016" dataCellStyle="Normal"/>
    <tableColumn id="6418" name="Column6397" dataDxfId="10015" dataCellStyle="Normal"/>
    <tableColumn id="6419" name="Column6398" dataDxfId="10014" dataCellStyle="Normal"/>
    <tableColumn id="6420" name="Column6399" dataDxfId="10013" dataCellStyle="Normal"/>
    <tableColumn id="6421" name="Column6400" dataDxfId="10012" dataCellStyle="Normal"/>
    <tableColumn id="6422" name="Column6401" dataDxfId="10011" dataCellStyle="Normal"/>
    <tableColumn id="6423" name="Column6402" dataDxfId="10010" dataCellStyle="Normal"/>
    <tableColumn id="6424" name="Column6403" dataDxfId="10009" dataCellStyle="Normal"/>
    <tableColumn id="6425" name="Column6404" dataDxfId="10008" dataCellStyle="Normal"/>
    <tableColumn id="6426" name="Column6405" dataDxfId="10007" dataCellStyle="Normal"/>
    <tableColumn id="6427" name="Column6406" dataDxfId="10006" dataCellStyle="Normal"/>
    <tableColumn id="6428" name="Column6407" dataDxfId="10005" dataCellStyle="Normal"/>
    <tableColumn id="6429" name="Column6408" dataDxfId="10004" dataCellStyle="Normal"/>
    <tableColumn id="6430" name="Column6409" dataDxfId="10003" dataCellStyle="Normal"/>
    <tableColumn id="6431" name="Column6410" dataDxfId="10002" dataCellStyle="Normal"/>
    <tableColumn id="6432" name="Column6411" dataDxfId="10001" dataCellStyle="Normal"/>
    <tableColumn id="6433" name="Column6412" dataDxfId="10000" dataCellStyle="Normal"/>
    <tableColumn id="6434" name="Column6413" dataDxfId="9999" dataCellStyle="Normal"/>
    <tableColumn id="6435" name="Column6414" dataDxfId="9998" dataCellStyle="Normal"/>
    <tableColumn id="6436" name="Column6415" dataDxfId="9997" dataCellStyle="Normal"/>
    <tableColumn id="6437" name="Column6416" dataDxfId="9996" dataCellStyle="Normal"/>
    <tableColumn id="6438" name="Column6417" dataDxfId="9995" dataCellStyle="Normal"/>
    <tableColumn id="6439" name="Column6418" dataDxfId="9994" dataCellStyle="Normal"/>
    <tableColumn id="6440" name="Column6419" dataDxfId="9993" dataCellStyle="Normal"/>
    <tableColumn id="6441" name="Column6420" dataDxfId="9992" dataCellStyle="Normal"/>
    <tableColumn id="6442" name="Column6421" dataDxfId="9991" dataCellStyle="Normal"/>
    <tableColumn id="6443" name="Column6422" dataDxfId="9990" dataCellStyle="Normal"/>
    <tableColumn id="6444" name="Column6423" dataDxfId="9989" dataCellStyle="Normal"/>
    <tableColumn id="6445" name="Column6424" dataDxfId="9988" dataCellStyle="Normal"/>
    <tableColumn id="6446" name="Column6425" dataDxfId="9987" dataCellStyle="Normal"/>
    <tableColumn id="6447" name="Column6426" dataDxfId="9986" dataCellStyle="Normal"/>
    <tableColumn id="6448" name="Column6427" dataDxfId="9985" dataCellStyle="Normal"/>
    <tableColumn id="6449" name="Column6428" dataDxfId="9984" dataCellStyle="Normal"/>
    <tableColumn id="6450" name="Column6429" dataDxfId="9983" dataCellStyle="Normal"/>
    <tableColumn id="6451" name="Column6430" dataDxfId="9982" dataCellStyle="Normal"/>
    <tableColumn id="6452" name="Column6431" dataDxfId="9981" dataCellStyle="Normal"/>
    <tableColumn id="6453" name="Column6432" dataDxfId="9980" dataCellStyle="Normal"/>
    <tableColumn id="6454" name="Column6433" dataDxfId="9979" dataCellStyle="Normal"/>
    <tableColumn id="6455" name="Column6434" dataDxfId="9978" dataCellStyle="Normal"/>
    <tableColumn id="6456" name="Column6435" dataDxfId="9977" dataCellStyle="Normal"/>
    <tableColumn id="6457" name="Column6436" dataDxfId="9976" dataCellStyle="Normal"/>
    <tableColumn id="6458" name="Column6437" dataDxfId="9975" dataCellStyle="Normal"/>
    <tableColumn id="6459" name="Column6438" dataDxfId="9974" dataCellStyle="Normal"/>
    <tableColumn id="6460" name="Column6439" dataDxfId="9973" dataCellStyle="Normal"/>
    <tableColumn id="6461" name="Column6440" dataDxfId="9972" dataCellStyle="Normal"/>
    <tableColumn id="6462" name="Column6441" dataDxfId="9971" dataCellStyle="Normal"/>
    <tableColumn id="6463" name="Column6442" dataDxfId="9970" dataCellStyle="Normal"/>
    <tableColumn id="6464" name="Column6443" dataDxfId="9969" dataCellStyle="Normal"/>
    <tableColumn id="6465" name="Column6444" dataDxfId="9968" dataCellStyle="Normal"/>
    <tableColumn id="6466" name="Column6445" dataDxfId="9967" dataCellStyle="Normal"/>
    <tableColumn id="6467" name="Column6446" dataDxfId="9966" dataCellStyle="Normal"/>
    <tableColumn id="6468" name="Column6447" dataDxfId="9965" dataCellStyle="Normal"/>
    <tableColumn id="6469" name="Column6448" dataDxfId="9964" dataCellStyle="Normal"/>
    <tableColumn id="6470" name="Column6449" dataDxfId="9963" dataCellStyle="Normal"/>
    <tableColumn id="6471" name="Column6450" dataDxfId="9962" dataCellStyle="Normal"/>
    <tableColumn id="6472" name="Column6451" dataDxfId="9961" dataCellStyle="Normal"/>
    <tableColumn id="6473" name="Column6452" dataDxfId="9960" dataCellStyle="Normal"/>
    <tableColumn id="6474" name="Column6453" dataDxfId="9959" dataCellStyle="Normal"/>
    <tableColumn id="6475" name="Column6454" dataDxfId="9958" dataCellStyle="Normal"/>
    <tableColumn id="6476" name="Column6455" dataDxfId="9957" dataCellStyle="Normal"/>
    <tableColumn id="6477" name="Column6456" dataDxfId="9956" dataCellStyle="Normal"/>
    <tableColumn id="6478" name="Column6457" dataDxfId="9955" dataCellStyle="Normal"/>
    <tableColumn id="6479" name="Column6458" dataDxfId="9954" dataCellStyle="Normal"/>
    <tableColumn id="6480" name="Column6459" dataDxfId="9953" dataCellStyle="Normal"/>
    <tableColumn id="6481" name="Column6460" dataDxfId="9952" dataCellStyle="Normal"/>
    <tableColumn id="6482" name="Column6461" dataDxfId="9951" dataCellStyle="Normal"/>
    <tableColumn id="6483" name="Column6462" dataDxfId="9950" dataCellStyle="Normal"/>
    <tableColumn id="6484" name="Column6463" dataDxfId="9949" dataCellStyle="Normal"/>
    <tableColumn id="6485" name="Column6464" dataDxfId="9948" dataCellStyle="Normal"/>
    <tableColumn id="6486" name="Column6465" dataDxfId="9947" dataCellStyle="Normal"/>
    <tableColumn id="6487" name="Column6466" dataDxfId="9946" dataCellStyle="Normal"/>
    <tableColumn id="6488" name="Column6467" dataDxfId="9945" dataCellStyle="Normal"/>
    <tableColumn id="6489" name="Column6468" dataDxfId="9944" dataCellStyle="Normal"/>
    <tableColumn id="6490" name="Column6469" dataDxfId="9943" dataCellStyle="Normal"/>
    <tableColumn id="6491" name="Column6470" dataDxfId="9942" dataCellStyle="Normal"/>
    <tableColumn id="6492" name="Column6471" dataDxfId="9941" dataCellStyle="Normal"/>
    <tableColumn id="6493" name="Column6472" dataDxfId="9940" dataCellStyle="Normal"/>
    <tableColumn id="6494" name="Column6473" dataDxfId="9939" dataCellStyle="Normal"/>
    <tableColumn id="6495" name="Column6474" dataDxfId="9938" dataCellStyle="Normal"/>
    <tableColumn id="6496" name="Column6475" dataDxfId="9937" dataCellStyle="Normal"/>
    <tableColumn id="6497" name="Column6476" dataDxfId="9936" dataCellStyle="Normal"/>
    <tableColumn id="6498" name="Column6477" dataDxfId="9935" dataCellStyle="Normal"/>
    <tableColumn id="6499" name="Column6478" dataDxfId="9934" dataCellStyle="Normal"/>
    <tableColumn id="6500" name="Column6479" dataDxfId="9933" dataCellStyle="Normal"/>
    <tableColumn id="6501" name="Column6480" dataDxfId="9932" dataCellStyle="Normal"/>
    <tableColumn id="6502" name="Column6481" dataDxfId="9931" dataCellStyle="Normal"/>
    <tableColumn id="6503" name="Column6482" dataDxfId="9930" dataCellStyle="Normal"/>
    <tableColumn id="6504" name="Column6483" dataDxfId="9929" dataCellStyle="Normal"/>
    <tableColumn id="6505" name="Column6484" dataDxfId="9928" dataCellStyle="Normal"/>
    <tableColumn id="6506" name="Column6485" dataDxfId="9927" dataCellStyle="Normal"/>
    <tableColumn id="6507" name="Column6486" dataDxfId="9926" dataCellStyle="Normal"/>
    <tableColumn id="6508" name="Column6487" dataDxfId="9925" dataCellStyle="Normal"/>
    <tableColumn id="6509" name="Column6488" dataDxfId="9924" dataCellStyle="Normal"/>
    <tableColumn id="6510" name="Column6489" dataDxfId="9923" dataCellStyle="Normal"/>
    <tableColumn id="6511" name="Column6490" dataDxfId="9922" dataCellStyle="Normal"/>
    <tableColumn id="6512" name="Column6491" dataDxfId="9921" dataCellStyle="Normal"/>
    <tableColumn id="6513" name="Column6492" dataDxfId="9920" dataCellStyle="Normal"/>
    <tableColumn id="6514" name="Column6493" dataDxfId="9919" dataCellStyle="Normal"/>
    <tableColumn id="6515" name="Column6494" dataDxfId="9918" dataCellStyle="Normal"/>
    <tableColumn id="6516" name="Column6495" dataDxfId="9917" dataCellStyle="Normal"/>
    <tableColumn id="6517" name="Column6496" dataDxfId="9916" dataCellStyle="Normal"/>
    <tableColumn id="6518" name="Column6497" dataDxfId="9915" dataCellStyle="Normal"/>
    <tableColumn id="6519" name="Column6498" dataDxfId="9914" dataCellStyle="Normal"/>
    <tableColumn id="6520" name="Column6499" dataDxfId="9913" dataCellStyle="Normal"/>
    <tableColumn id="6521" name="Column6500" dataDxfId="9912" dataCellStyle="Normal"/>
    <tableColumn id="6522" name="Column6501" dataDxfId="9911" dataCellStyle="Normal"/>
    <tableColumn id="6523" name="Column6502" dataDxfId="9910" dataCellStyle="Normal"/>
    <tableColumn id="6524" name="Column6503" dataDxfId="9909" dataCellStyle="Normal"/>
    <tableColumn id="6525" name="Column6504" dataDxfId="9908" dataCellStyle="Normal"/>
    <tableColumn id="6526" name="Column6505" dataDxfId="9907" dataCellStyle="Normal"/>
    <tableColumn id="6527" name="Column6506" dataDxfId="9906" dataCellStyle="Normal"/>
    <tableColumn id="6528" name="Column6507" dataDxfId="9905" dataCellStyle="Normal"/>
    <tableColumn id="6529" name="Column6508" dataDxfId="9904" dataCellStyle="Normal"/>
    <tableColumn id="6530" name="Column6509" dataDxfId="9903" dataCellStyle="Normal"/>
    <tableColumn id="6531" name="Column6510" dataDxfId="9902" dataCellStyle="Normal"/>
    <tableColumn id="6532" name="Column6511" dataDxfId="9901" dataCellStyle="Normal"/>
    <tableColumn id="6533" name="Column6512" dataDxfId="9900" dataCellStyle="Normal"/>
    <tableColumn id="6534" name="Column6513" dataDxfId="9899" dataCellStyle="Normal"/>
    <tableColumn id="6535" name="Column6514" dataDxfId="9898" dataCellStyle="Normal"/>
    <tableColumn id="6536" name="Column6515" dataDxfId="9897" dataCellStyle="Normal"/>
    <tableColumn id="6537" name="Column6516" dataDxfId="9896" dataCellStyle="Normal"/>
    <tableColumn id="6538" name="Column6517" dataDxfId="9895" dataCellStyle="Normal"/>
    <tableColumn id="6539" name="Column6518" dataDxfId="9894" dataCellStyle="Normal"/>
    <tableColumn id="6540" name="Column6519" dataDxfId="9893" dataCellStyle="Normal"/>
    <tableColumn id="6541" name="Column6520" dataDxfId="9892" dataCellStyle="Normal"/>
    <tableColumn id="6542" name="Column6521" dataDxfId="9891" dataCellStyle="Normal"/>
    <tableColumn id="6543" name="Column6522" dataDxfId="9890" dataCellStyle="Normal"/>
    <tableColumn id="6544" name="Column6523" dataDxfId="9889" dataCellStyle="Normal"/>
    <tableColumn id="6545" name="Column6524" dataDxfId="9888" dataCellStyle="Normal"/>
    <tableColumn id="6546" name="Column6525" dataDxfId="9887" dataCellStyle="Normal"/>
    <tableColumn id="6547" name="Column6526" dataDxfId="9886" dataCellStyle="Normal"/>
    <tableColumn id="6548" name="Column6527" dataDxfId="9885" dataCellStyle="Normal"/>
    <tableColumn id="6549" name="Column6528" dataDxfId="9884" dataCellStyle="Normal"/>
    <tableColumn id="6550" name="Column6529" dataDxfId="9883" dataCellStyle="Normal"/>
    <tableColumn id="6551" name="Column6530" dataDxfId="9882" dataCellStyle="Normal"/>
    <tableColumn id="6552" name="Column6531" dataDxfId="9881" dataCellStyle="Normal"/>
    <tableColumn id="6553" name="Column6532" dataDxfId="9880" dataCellStyle="Normal"/>
    <tableColumn id="6554" name="Column6533" dataDxfId="9879" dataCellStyle="Normal"/>
    <tableColumn id="6555" name="Column6534" dataDxfId="9878" dataCellStyle="Normal"/>
    <tableColumn id="6556" name="Column6535" dataDxfId="9877" dataCellStyle="Normal"/>
    <tableColumn id="6557" name="Column6536" dataDxfId="9876" dataCellStyle="Normal"/>
    <tableColumn id="6558" name="Column6537" dataDxfId="9875" dataCellStyle="Normal"/>
    <tableColumn id="6559" name="Column6538" dataDxfId="9874" dataCellStyle="Normal"/>
    <tableColumn id="6560" name="Column6539" dataDxfId="9873" dataCellStyle="Normal"/>
    <tableColumn id="6561" name="Column6540" dataDxfId="9872" dataCellStyle="Normal"/>
    <tableColumn id="6562" name="Column6541" dataDxfId="9871" dataCellStyle="Normal"/>
    <tableColumn id="6563" name="Column6542" dataDxfId="9870" dataCellStyle="Normal"/>
    <tableColumn id="6564" name="Column6543" dataDxfId="9869" dataCellStyle="Normal"/>
    <tableColumn id="6565" name="Column6544" dataDxfId="9868" dataCellStyle="Normal"/>
    <tableColumn id="6566" name="Column6545" dataDxfId="9867" dataCellStyle="Normal"/>
    <tableColumn id="6567" name="Column6546" dataDxfId="9866" dataCellStyle="Normal"/>
    <tableColumn id="6568" name="Column6547" dataDxfId="9865" dataCellStyle="Normal"/>
    <tableColumn id="6569" name="Column6548" dataDxfId="9864" dataCellStyle="Normal"/>
    <tableColumn id="6570" name="Column6549" dataDxfId="9863" dataCellStyle="Normal"/>
    <tableColumn id="6571" name="Column6550" dataDxfId="9862" dataCellStyle="Normal"/>
    <tableColumn id="6572" name="Column6551" dataDxfId="9861" dataCellStyle="Normal"/>
    <tableColumn id="6573" name="Column6552" dataDxfId="9860" dataCellStyle="Normal"/>
    <tableColumn id="6574" name="Column6553" dataDxfId="9859" dataCellStyle="Normal"/>
    <tableColumn id="6575" name="Column6554" dataDxfId="9858" dataCellStyle="Normal"/>
    <tableColumn id="6576" name="Column6555" dataDxfId="9857" dataCellStyle="Normal"/>
    <tableColumn id="6577" name="Column6556" dataDxfId="9856" dataCellStyle="Normal"/>
    <tableColumn id="6578" name="Column6557" dataDxfId="9855" dataCellStyle="Normal"/>
    <tableColumn id="6579" name="Column6558" dataDxfId="9854" dataCellStyle="Normal"/>
    <tableColumn id="6580" name="Column6559" dataDxfId="9853" dataCellStyle="Normal"/>
    <tableColumn id="6581" name="Column6560" dataDxfId="9852" dataCellStyle="Normal"/>
    <tableColumn id="6582" name="Column6561" dataDxfId="9851" dataCellStyle="Normal"/>
    <tableColumn id="6583" name="Column6562" dataDxfId="9850" dataCellStyle="Normal"/>
    <tableColumn id="6584" name="Column6563" dataDxfId="9849" dataCellStyle="Normal"/>
    <tableColumn id="6585" name="Column6564" dataDxfId="9848" dataCellStyle="Normal"/>
    <tableColumn id="6586" name="Column6565" dataDxfId="9847" dataCellStyle="Normal"/>
    <tableColumn id="6587" name="Column6566" dataDxfId="9846" dataCellStyle="Normal"/>
    <tableColumn id="6588" name="Column6567" dataDxfId="9845" dataCellStyle="Normal"/>
    <tableColumn id="6589" name="Column6568" dataDxfId="9844" dataCellStyle="Normal"/>
    <tableColumn id="6590" name="Column6569" dataDxfId="9843" dataCellStyle="Normal"/>
    <tableColumn id="6591" name="Column6570" dataDxfId="9842" dataCellStyle="Normal"/>
    <tableColumn id="6592" name="Column6571" dataDxfId="9841" dataCellStyle="Normal"/>
    <tableColumn id="6593" name="Column6572" dataDxfId="9840" dataCellStyle="Normal"/>
    <tableColumn id="6594" name="Column6573" dataDxfId="9839" dataCellStyle="Normal"/>
    <tableColumn id="6595" name="Column6574" dataDxfId="9838" dataCellStyle="Normal"/>
    <tableColumn id="6596" name="Column6575" dataDxfId="9837" dataCellStyle="Normal"/>
    <tableColumn id="6597" name="Column6576" dataDxfId="9836" dataCellStyle="Normal"/>
    <tableColumn id="6598" name="Column6577" dataDxfId="9835" dataCellStyle="Normal"/>
    <tableColumn id="6599" name="Column6578" dataDxfId="9834" dataCellStyle="Normal"/>
    <tableColumn id="6600" name="Column6579" dataDxfId="9833" dataCellStyle="Normal"/>
    <tableColumn id="6601" name="Column6580" dataDxfId="9832" dataCellStyle="Normal"/>
    <tableColumn id="6602" name="Column6581" dataDxfId="9831" dataCellStyle="Normal"/>
    <tableColumn id="6603" name="Column6582" dataDxfId="9830" dataCellStyle="Normal"/>
    <tableColumn id="6604" name="Column6583" dataDxfId="9829" dataCellStyle="Normal"/>
    <tableColumn id="6605" name="Column6584" dataDxfId="9828" dataCellStyle="Normal"/>
    <tableColumn id="6606" name="Column6585" dataDxfId="9827" dataCellStyle="Normal"/>
    <tableColumn id="6607" name="Column6586" dataDxfId="9826" dataCellStyle="Normal"/>
    <tableColumn id="6608" name="Column6587" dataDxfId="9825" dataCellStyle="Normal"/>
    <tableColumn id="6609" name="Column6588" dataDxfId="9824" dataCellStyle="Normal"/>
    <tableColumn id="6610" name="Column6589" dataDxfId="9823" dataCellStyle="Normal"/>
    <tableColumn id="6611" name="Column6590" dataDxfId="9822" dataCellStyle="Normal"/>
    <tableColumn id="6612" name="Column6591" dataDxfId="9821" dataCellStyle="Normal"/>
    <tableColumn id="6613" name="Column6592" dataDxfId="9820" dataCellStyle="Normal"/>
    <tableColumn id="6614" name="Column6593" dataDxfId="9819" dataCellStyle="Normal"/>
    <tableColumn id="6615" name="Column6594" dataDxfId="9818" dataCellStyle="Normal"/>
    <tableColumn id="6616" name="Column6595" dataDxfId="9817" dataCellStyle="Normal"/>
    <tableColumn id="6617" name="Column6596" dataDxfId="9816" dataCellStyle="Normal"/>
    <tableColumn id="6618" name="Column6597" dataDxfId="9815" dataCellStyle="Normal"/>
    <tableColumn id="6619" name="Column6598" dataDxfId="9814" dataCellStyle="Normal"/>
    <tableColumn id="6620" name="Column6599" dataDxfId="9813" dataCellStyle="Normal"/>
    <tableColumn id="6621" name="Column6600" dataDxfId="9812" dataCellStyle="Normal"/>
    <tableColumn id="6622" name="Column6601" dataDxfId="9811" dataCellStyle="Normal"/>
    <tableColumn id="6623" name="Column6602" dataDxfId="9810" dataCellStyle="Normal"/>
    <tableColumn id="6624" name="Column6603" dataDxfId="9809" dataCellStyle="Normal"/>
    <tableColumn id="6625" name="Column6604" dataDxfId="9808" dataCellStyle="Normal"/>
    <tableColumn id="6626" name="Column6605" dataDxfId="9807" dataCellStyle="Normal"/>
    <tableColumn id="6627" name="Column6606" dataDxfId="9806" dataCellStyle="Normal"/>
    <tableColumn id="6628" name="Column6607" dataDxfId="9805" dataCellStyle="Normal"/>
    <tableColumn id="6629" name="Column6608" dataDxfId="9804" dataCellStyle="Normal"/>
    <tableColumn id="6630" name="Column6609" dataDxfId="9803" dataCellStyle="Normal"/>
    <tableColumn id="6631" name="Column6610" dataDxfId="9802" dataCellStyle="Normal"/>
    <tableColumn id="6632" name="Column6611" dataDxfId="9801" dataCellStyle="Normal"/>
    <tableColumn id="6633" name="Column6612" dataDxfId="9800" dataCellStyle="Normal"/>
    <tableColumn id="6634" name="Column6613" dataDxfId="9799" dataCellStyle="Normal"/>
    <tableColumn id="6635" name="Column6614" dataDxfId="9798" dataCellStyle="Normal"/>
    <tableColumn id="6636" name="Column6615" dataDxfId="9797" dataCellStyle="Normal"/>
    <tableColumn id="6637" name="Column6616" dataDxfId="9796" dataCellStyle="Normal"/>
    <tableColumn id="6638" name="Column6617" dataDxfId="9795" dataCellStyle="Normal"/>
    <tableColumn id="6639" name="Column6618" dataDxfId="9794" dataCellStyle="Normal"/>
    <tableColumn id="6640" name="Column6619" dataDxfId="9793" dataCellStyle="Normal"/>
    <tableColumn id="6641" name="Column6620" dataDxfId="9792" dataCellStyle="Normal"/>
    <tableColumn id="6642" name="Column6621" dataDxfId="9791" dataCellStyle="Normal"/>
    <tableColumn id="6643" name="Column6622" dataDxfId="9790" dataCellStyle="Normal"/>
    <tableColumn id="6644" name="Column6623" dataDxfId="9789" dataCellStyle="Normal"/>
    <tableColumn id="6645" name="Column6624" dataDxfId="9788" dataCellStyle="Normal"/>
    <tableColumn id="6646" name="Column6625" dataDxfId="9787" dataCellStyle="Normal"/>
    <tableColumn id="6647" name="Column6626" dataDxfId="9786" dataCellStyle="Normal"/>
    <tableColumn id="6648" name="Column6627" dataDxfId="9785" dataCellStyle="Normal"/>
    <tableColumn id="6649" name="Column6628" dataDxfId="9784" dataCellStyle="Normal"/>
    <tableColumn id="6650" name="Column6629" dataDxfId="9783" dataCellStyle="Normal"/>
    <tableColumn id="6651" name="Column6630" dataDxfId="9782" dataCellStyle="Normal"/>
    <tableColumn id="6652" name="Column6631" dataDxfId="9781" dataCellStyle="Normal"/>
    <tableColumn id="6653" name="Column6632" dataDxfId="9780" dataCellStyle="Normal"/>
    <tableColumn id="6654" name="Column6633" dataDxfId="9779" dataCellStyle="Normal"/>
    <tableColumn id="6655" name="Column6634" dataDxfId="9778" dataCellStyle="Normal"/>
    <tableColumn id="6656" name="Column6635" dataDxfId="9777" dataCellStyle="Normal"/>
    <tableColumn id="6657" name="Column6636" dataDxfId="9776" dataCellStyle="Normal"/>
    <tableColumn id="6658" name="Column6637" dataDxfId="9775" dataCellStyle="Normal"/>
    <tableColumn id="6659" name="Column6638" dataDxfId="9774" dataCellStyle="Normal"/>
    <tableColumn id="6660" name="Column6639" dataDxfId="9773" dataCellStyle="Normal"/>
    <tableColumn id="6661" name="Column6640" dataDxfId="9772" dataCellStyle="Normal"/>
    <tableColumn id="6662" name="Column6641" dataDxfId="9771" dataCellStyle="Normal"/>
    <tableColumn id="6663" name="Column6642" dataDxfId="9770" dataCellStyle="Normal"/>
    <tableColumn id="6664" name="Column6643" dataDxfId="9769" dataCellStyle="Normal"/>
    <tableColumn id="6665" name="Column6644" dataDxfId="9768" dataCellStyle="Normal"/>
    <tableColumn id="6666" name="Column6645" dataDxfId="9767" dataCellStyle="Normal"/>
    <tableColumn id="6667" name="Column6646" dataDxfId="9766" dataCellStyle="Normal"/>
    <tableColumn id="6668" name="Column6647" dataDxfId="9765" dataCellStyle="Normal"/>
    <tableColumn id="6669" name="Column6648" dataDxfId="9764" dataCellStyle="Normal"/>
    <tableColumn id="6670" name="Column6649" dataDxfId="9763" dataCellStyle="Normal"/>
    <tableColumn id="6671" name="Column6650" dataDxfId="9762" dataCellStyle="Normal"/>
    <tableColumn id="6672" name="Column6651" dataDxfId="9761" dataCellStyle="Normal"/>
    <tableColumn id="6673" name="Column6652" dataDxfId="9760" dataCellStyle="Normal"/>
    <tableColumn id="6674" name="Column6653" dataDxfId="9759" dataCellStyle="Normal"/>
    <tableColumn id="6675" name="Column6654" dataDxfId="9758" dataCellStyle="Normal"/>
    <tableColumn id="6676" name="Column6655" dataDxfId="9757" dataCellStyle="Normal"/>
    <tableColumn id="6677" name="Column6656" dataDxfId="9756" dataCellStyle="Normal"/>
    <tableColumn id="6678" name="Column6657" dataDxfId="9755" dataCellStyle="Normal"/>
    <tableColumn id="6679" name="Column6658" dataDxfId="9754" dataCellStyle="Normal"/>
    <tableColumn id="6680" name="Column6659" dataDxfId="9753" dataCellStyle="Normal"/>
    <tableColumn id="6681" name="Column6660" dataDxfId="9752" dataCellStyle="Normal"/>
    <tableColumn id="6682" name="Column6661" dataDxfId="9751" dataCellStyle="Normal"/>
    <tableColumn id="6683" name="Column6662" dataDxfId="9750" dataCellStyle="Normal"/>
    <tableColumn id="6684" name="Column6663" dataDxfId="9749" dataCellStyle="Normal"/>
    <tableColumn id="6685" name="Column6664" dataDxfId="9748" dataCellStyle="Normal"/>
    <tableColumn id="6686" name="Column6665" dataDxfId="9747" dataCellStyle="Normal"/>
    <tableColumn id="6687" name="Column6666" dataDxfId="9746" dataCellStyle="Normal"/>
    <tableColumn id="6688" name="Column6667" dataDxfId="9745" dataCellStyle="Normal"/>
    <tableColumn id="6689" name="Column6668" dataDxfId="9744" dataCellStyle="Normal"/>
    <tableColumn id="6690" name="Column6669" dataDxfId="9743" dataCellStyle="Normal"/>
    <tableColumn id="6691" name="Column6670" dataDxfId="9742" dataCellStyle="Normal"/>
    <tableColumn id="6692" name="Column6671" dataDxfId="9741" dataCellStyle="Normal"/>
    <tableColumn id="6693" name="Column6672" dataDxfId="9740" dataCellStyle="Normal"/>
    <tableColumn id="6694" name="Column6673" dataDxfId="9739" dataCellStyle="Normal"/>
    <tableColumn id="6695" name="Column6674" dataDxfId="9738" dataCellStyle="Normal"/>
    <tableColumn id="6696" name="Column6675" dataDxfId="9737" dataCellStyle="Normal"/>
    <tableColumn id="6697" name="Column6676" dataDxfId="9736" dataCellStyle="Normal"/>
    <tableColumn id="6698" name="Column6677" dataDxfId="9735" dataCellStyle="Normal"/>
    <tableColumn id="6699" name="Column6678" dataDxfId="9734" dataCellStyle="Normal"/>
    <tableColumn id="6700" name="Column6679" dataDxfId="9733" dataCellStyle="Normal"/>
    <tableColumn id="6701" name="Column6680" dataDxfId="9732" dataCellStyle="Normal"/>
    <tableColumn id="6702" name="Column6681" dataDxfId="9731" dataCellStyle="Normal"/>
    <tableColumn id="6703" name="Column6682" dataDxfId="9730" dataCellStyle="Normal"/>
    <tableColumn id="6704" name="Column6683" dataDxfId="9729" dataCellStyle="Normal"/>
    <tableColumn id="6705" name="Column6684" dataDxfId="9728" dataCellStyle="Normal"/>
    <tableColumn id="6706" name="Column6685" dataDxfId="9727" dataCellStyle="Normal"/>
    <tableColumn id="6707" name="Column6686" dataDxfId="9726" dataCellStyle="Normal"/>
    <tableColumn id="6708" name="Column6687" dataDxfId="9725" dataCellStyle="Normal"/>
    <tableColumn id="6709" name="Column6688" dataDxfId="9724" dataCellStyle="Normal"/>
    <tableColumn id="6710" name="Column6689" dataDxfId="9723" dataCellStyle="Normal"/>
    <tableColumn id="6711" name="Column6690" dataDxfId="9722" dataCellStyle="Normal"/>
    <tableColumn id="6712" name="Column6691" dataDxfId="9721" dataCellStyle="Normal"/>
    <tableColumn id="6713" name="Column6692" dataDxfId="9720" dataCellStyle="Normal"/>
    <tableColumn id="6714" name="Column6693" dataDxfId="9719" dataCellStyle="Normal"/>
    <tableColumn id="6715" name="Column6694" dataDxfId="9718" dataCellStyle="Normal"/>
    <tableColumn id="6716" name="Column6695" dataDxfId="9717" dataCellStyle="Normal"/>
    <tableColumn id="6717" name="Column6696" dataDxfId="9716" dataCellStyle="Normal"/>
    <tableColumn id="6718" name="Column6697" dataDxfId="9715" dataCellStyle="Normal"/>
    <tableColumn id="6719" name="Column6698" dataDxfId="9714" dataCellStyle="Normal"/>
    <tableColumn id="6720" name="Column6699" dataDxfId="9713" dataCellStyle="Normal"/>
    <tableColumn id="6721" name="Column6700" dataDxfId="9712" dataCellStyle="Normal"/>
    <tableColumn id="6722" name="Column6701" dataDxfId="9711" dataCellStyle="Normal"/>
    <tableColumn id="6723" name="Column6702" dataDxfId="9710" dataCellStyle="Normal"/>
    <tableColumn id="6724" name="Column6703" dataDxfId="9709" dataCellStyle="Normal"/>
    <tableColumn id="6725" name="Column6704" dataDxfId="9708" dataCellStyle="Normal"/>
    <tableColumn id="6726" name="Column6705" dataDxfId="9707" dataCellStyle="Normal"/>
    <tableColumn id="6727" name="Column6706" dataDxfId="9706" dataCellStyle="Normal"/>
    <tableColumn id="6728" name="Column6707" dataDxfId="9705" dataCellStyle="Normal"/>
    <tableColumn id="6729" name="Column6708" dataDxfId="9704" dataCellStyle="Normal"/>
    <tableColumn id="6730" name="Column6709" dataDxfId="9703" dataCellStyle="Normal"/>
    <tableColumn id="6731" name="Column6710" dataDxfId="9702" dataCellStyle="Normal"/>
    <tableColumn id="6732" name="Column6711" dataDxfId="9701" dataCellStyle="Normal"/>
    <tableColumn id="6733" name="Column6712" dataDxfId="9700" dataCellStyle="Normal"/>
    <tableColumn id="6734" name="Column6713" dataDxfId="9699" dataCellStyle="Normal"/>
    <tableColumn id="6735" name="Column6714" dataDxfId="9698" dataCellStyle="Normal"/>
    <tableColumn id="6736" name="Column6715" dataDxfId="9697" dataCellStyle="Normal"/>
    <tableColumn id="6737" name="Column6716" dataDxfId="9696" dataCellStyle="Normal"/>
    <tableColumn id="6738" name="Column6717" dataDxfId="9695" dataCellStyle="Normal"/>
    <tableColumn id="6739" name="Column6718" dataDxfId="9694" dataCellStyle="Normal"/>
    <tableColumn id="6740" name="Column6719" dataDxfId="9693" dataCellStyle="Normal"/>
    <tableColumn id="6741" name="Column6720" dataDxfId="9692" dataCellStyle="Normal"/>
    <tableColumn id="6742" name="Column6721" dataDxfId="9691" dataCellStyle="Normal"/>
    <tableColumn id="6743" name="Column6722" dataDxfId="9690" dataCellStyle="Normal"/>
    <tableColumn id="6744" name="Column6723" dataDxfId="9689" dataCellStyle="Normal"/>
    <tableColumn id="6745" name="Column6724" dataDxfId="9688" dataCellStyle="Normal"/>
    <tableColumn id="6746" name="Column6725" dataDxfId="9687" dataCellStyle="Normal"/>
    <tableColumn id="6747" name="Column6726" dataDxfId="9686" dataCellStyle="Normal"/>
    <tableColumn id="6748" name="Column6727" dataDxfId="9685" dataCellStyle="Normal"/>
    <tableColumn id="6749" name="Column6728" dataDxfId="9684" dataCellStyle="Normal"/>
    <tableColumn id="6750" name="Column6729" dataDxfId="9683" dataCellStyle="Normal"/>
    <tableColumn id="6751" name="Column6730" dataDxfId="9682" dataCellStyle="Normal"/>
    <tableColumn id="6752" name="Column6731" dataDxfId="9681" dataCellStyle="Normal"/>
    <tableColumn id="6753" name="Column6732" dataDxfId="9680" dataCellStyle="Normal"/>
    <tableColumn id="6754" name="Column6733" dataDxfId="9679" dataCellStyle="Normal"/>
    <tableColumn id="6755" name="Column6734" dataDxfId="9678" dataCellStyle="Normal"/>
    <tableColumn id="6756" name="Column6735" dataDxfId="9677" dataCellStyle="Normal"/>
    <tableColumn id="6757" name="Column6736" dataDxfId="9676" dataCellStyle="Normal"/>
    <tableColumn id="6758" name="Column6737" dataDxfId="9675" dataCellStyle="Normal"/>
    <tableColumn id="6759" name="Column6738" dataDxfId="9674" dataCellStyle="Normal"/>
    <tableColumn id="6760" name="Column6739" dataDxfId="9673" dataCellStyle="Normal"/>
    <tableColumn id="6761" name="Column6740" dataDxfId="9672" dataCellStyle="Normal"/>
    <tableColumn id="6762" name="Column6741" dataDxfId="9671" dataCellStyle="Normal"/>
    <tableColumn id="6763" name="Column6742" dataDxfId="9670" dataCellStyle="Normal"/>
    <tableColumn id="6764" name="Column6743" dataDxfId="9669" dataCellStyle="Normal"/>
    <tableColumn id="6765" name="Column6744" dataDxfId="9668" dataCellStyle="Normal"/>
    <tableColumn id="6766" name="Column6745" dataDxfId="9667" dataCellStyle="Normal"/>
    <tableColumn id="6767" name="Column6746" dataDxfId="9666" dataCellStyle="Normal"/>
    <tableColumn id="6768" name="Column6747" dataDxfId="9665" dataCellStyle="Normal"/>
    <tableColumn id="6769" name="Column6748" dataDxfId="9664" dataCellStyle="Normal"/>
    <tableColumn id="6770" name="Column6749" dataDxfId="9663" dataCellStyle="Normal"/>
    <tableColumn id="6771" name="Column6750" dataDxfId="9662" dataCellStyle="Normal"/>
    <tableColumn id="6772" name="Column6751" dataDxfId="9661" dataCellStyle="Normal"/>
    <tableColumn id="6773" name="Column6752" dataDxfId="9660" dataCellStyle="Normal"/>
    <tableColumn id="6774" name="Column6753" dataDxfId="9659" dataCellStyle="Normal"/>
    <tableColumn id="6775" name="Column6754" dataDxfId="9658" dataCellStyle="Normal"/>
    <tableColumn id="6776" name="Column6755" dataDxfId="9657" dataCellStyle="Normal"/>
    <tableColumn id="6777" name="Column6756" dataDxfId="9656" dataCellStyle="Normal"/>
    <tableColumn id="6778" name="Column6757" dataDxfId="9655" dataCellStyle="Normal"/>
    <tableColumn id="6779" name="Column6758" dataDxfId="9654" dataCellStyle="Normal"/>
    <tableColumn id="6780" name="Column6759" dataDxfId="9653" dataCellStyle="Normal"/>
    <tableColumn id="6781" name="Column6760" dataDxfId="9652" dataCellStyle="Normal"/>
    <tableColumn id="6782" name="Column6761" dataDxfId="9651" dataCellStyle="Normal"/>
    <tableColumn id="6783" name="Column6762" dataDxfId="9650" dataCellStyle="Normal"/>
    <tableColumn id="6784" name="Column6763" dataDxfId="9649" dataCellStyle="Normal"/>
    <tableColumn id="6785" name="Column6764" dataDxfId="9648" dataCellStyle="Normal"/>
    <tableColumn id="6786" name="Column6765" dataDxfId="9647" dataCellStyle="Normal"/>
    <tableColumn id="6787" name="Column6766" dataDxfId="9646" dataCellStyle="Normal"/>
    <tableColumn id="6788" name="Column6767" dataDxfId="9645" dataCellStyle="Normal"/>
    <tableColumn id="6789" name="Column6768" dataDxfId="9644" dataCellStyle="Normal"/>
    <tableColumn id="6790" name="Column6769" dataDxfId="9643" dataCellStyle="Normal"/>
    <tableColumn id="6791" name="Column6770" dataDxfId="9642" dataCellStyle="Normal"/>
    <tableColumn id="6792" name="Column6771" dataDxfId="9641" dataCellStyle="Normal"/>
    <tableColumn id="6793" name="Column6772" dataDxfId="9640" dataCellStyle="Normal"/>
    <tableColumn id="6794" name="Column6773" dataDxfId="9639" dataCellStyle="Normal"/>
    <tableColumn id="6795" name="Column6774" dataDxfId="9638" dataCellStyle="Normal"/>
    <tableColumn id="6796" name="Column6775" dataDxfId="9637" dataCellStyle="Normal"/>
    <tableColumn id="6797" name="Column6776" dataDxfId="9636" dataCellStyle="Normal"/>
    <tableColumn id="6798" name="Column6777" dataDxfId="9635" dataCellStyle="Normal"/>
    <tableColumn id="6799" name="Column6778" dataDxfId="9634" dataCellStyle="Normal"/>
    <tableColumn id="6800" name="Column6779" dataDxfId="9633" dataCellStyle="Normal"/>
    <tableColumn id="6801" name="Column6780" dataDxfId="9632" dataCellStyle="Normal"/>
    <tableColumn id="6802" name="Column6781" dataDxfId="9631" dataCellStyle="Normal"/>
    <tableColumn id="6803" name="Column6782" dataDxfId="9630" dataCellStyle="Normal"/>
    <tableColumn id="6804" name="Column6783" dataDxfId="9629" dataCellStyle="Normal"/>
    <tableColumn id="6805" name="Column6784" dataDxfId="9628" dataCellStyle="Normal"/>
    <tableColumn id="6806" name="Column6785" dataDxfId="9627" dataCellStyle="Normal"/>
    <tableColumn id="6807" name="Column6786" dataDxfId="9626" dataCellStyle="Normal"/>
    <tableColumn id="6808" name="Column6787" dataDxfId="9625" dataCellStyle="Normal"/>
    <tableColumn id="6809" name="Column6788" dataDxfId="9624" dataCellStyle="Normal"/>
    <tableColumn id="6810" name="Column6789" dataDxfId="9623" dataCellStyle="Normal"/>
    <tableColumn id="6811" name="Column6790" dataDxfId="9622" dataCellStyle="Normal"/>
    <tableColumn id="6812" name="Column6791" dataDxfId="9621" dataCellStyle="Normal"/>
    <tableColumn id="6813" name="Column6792" dataDxfId="9620" dataCellStyle="Normal"/>
    <tableColumn id="6814" name="Column6793" dataDxfId="9619" dataCellStyle="Normal"/>
    <tableColumn id="6815" name="Column6794" dataDxfId="9618" dataCellStyle="Normal"/>
    <tableColumn id="6816" name="Column6795" dataDxfId="9617" dataCellStyle="Normal"/>
    <tableColumn id="6817" name="Column6796" dataDxfId="9616" dataCellStyle="Normal"/>
    <tableColumn id="6818" name="Column6797" dataDxfId="9615" dataCellStyle="Normal"/>
    <tableColumn id="6819" name="Column6798" dataDxfId="9614" dataCellStyle="Normal"/>
    <tableColumn id="6820" name="Column6799" dataDxfId="9613" dataCellStyle="Normal"/>
    <tableColumn id="6821" name="Column6800" dataDxfId="9612" dataCellStyle="Normal"/>
    <tableColumn id="6822" name="Column6801" dataDxfId="9611" dataCellStyle="Normal"/>
    <tableColumn id="6823" name="Column6802" dataDxfId="9610" dataCellStyle="Normal"/>
    <tableColumn id="6824" name="Column6803" dataDxfId="9609" dataCellStyle="Normal"/>
    <tableColumn id="6825" name="Column6804" dataDxfId="9608" dataCellStyle="Normal"/>
    <tableColumn id="6826" name="Column6805" dataDxfId="9607" dataCellStyle="Normal"/>
    <tableColumn id="6827" name="Column6806" dataDxfId="9606" dataCellStyle="Normal"/>
    <tableColumn id="6828" name="Column6807" dataDxfId="9605" dataCellStyle="Normal"/>
    <tableColumn id="6829" name="Column6808" dataDxfId="9604" dataCellStyle="Normal"/>
    <tableColumn id="6830" name="Column6809" dataDxfId="9603" dataCellStyle="Normal"/>
    <tableColumn id="6831" name="Column6810" dataDxfId="9602" dataCellStyle="Normal"/>
    <tableColumn id="6832" name="Column6811" dataDxfId="9601" dataCellStyle="Normal"/>
    <tableColumn id="6833" name="Column6812" dataDxfId="9600" dataCellStyle="Normal"/>
    <tableColumn id="6834" name="Column6813" dataDxfId="9599" dataCellStyle="Normal"/>
    <tableColumn id="6835" name="Column6814" dataDxfId="9598" dataCellStyle="Normal"/>
    <tableColumn id="6836" name="Column6815" dataDxfId="9597" dataCellStyle="Normal"/>
    <tableColumn id="6837" name="Column6816" dataDxfId="9596" dataCellStyle="Normal"/>
    <tableColumn id="6838" name="Column6817" dataDxfId="9595" dataCellStyle="Normal"/>
    <tableColumn id="6839" name="Column6818" dataDxfId="9594" dataCellStyle="Normal"/>
    <tableColumn id="6840" name="Column6819" dataDxfId="9593" dataCellStyle="Normal"/>
    <tableColumn id="6841" name="Column6820" dataDxfId="9592" dataCellStyle="Normal"/>
    <tableColumn id="6842" name="Column6821" dataDxfId="9591" dataCellStyle="Normal"/>
    <tableColumn id="6843" name="Column6822" dataDxfId="9590" dataCellStyle="Normal"/>
    <tableColumn id="6844" name="Column6823" dataDxfId="9589" dataCellStyle="Normal"/>
    <tableColumn id="6845" name="Column6824" dataDxfId="9588" dataCellStyle="Normal"/>
    <tableColumn id="6846" name="Column6825" dataDxfId="9587" dataCellStyle="Normal"/>
    <tableColumn id="6847" name="Column6826" dataDxfId="9586" dataCellStyle="Normal"/>
    <tableColumn id="6848" name="Column6827" dataDxfId="9585" dataCellStyle="Normal"/>
    <tableColumn id="6849" name="Column6828" dataDxfId="9584" dataCellStyle="Normal"/>
    <tableColumn id="6850" name="Column6829" dataDxfId="9583" dataCellStyle="Normal"/>
    <tableColumn id="6851" name="Column6830" dataDxfId="9582" dataCellStyle="Normal"/>
    <tableColumn id="6852" name="Column6831" dataDxfId="9581" dataCellStyle="Normal"/>
    <tableColumn id="6853" name="Column6832" dataDxfId="9580" dataCellStyle="Normal"/>
    <tableColumn id="6854" name="Column6833" dataDxfId="9579" dataCellStyle="Normal"/>
    <tableColumn id="6855" name="Column6834" dataDxfId="9578" dataCellStyle="Normal"/>
    <tableColumn id="6856" name="Column6835" dataDxfId="9577" dataCellStyle="Normal"/>
    <tableColumn id="6857" name="Column6836" dataDxfId="9576" dataCellStyle="Normal"/>
    <tableColumn id="6858" name="Column6837" dataDxfId="9575" dataCellStyle="Normal"/>
    <tableColumn id="6859" name="Column6838" dataDxfId="9574" dataCellStyle="Normal"/>
    <tableColumn id="6860" name="Column6839" dataDxfId="9573" dataCellStyle="Normal"/>
    <tableColumn id="6861" name="Column6840" dataDxfId="9572" dataCellStyle="Normal"/>
    <tableColumn id="6862" name="Column6841" dataDxfId="9571" dataCellStyle="Normal"/>
    <tableColumn id="6863" name="Column6842" dataDxfId="9570" dataCellStyle="Normal"/>
    <tableColumn id="6864" name="Column6843" dataDxfId="9569" dataCellStyle="Normal"/>
    <tableColumn id="6865" name="Column6844" dataDxfId="9568" dataCellStyle="Normal"/>
    <tableColumn id="6866" name="Column6845" dataDxfId="9567" dataCellStyle="Normal"/>
    <tableColumn id="6867" name="Column6846" dataDxfId="9566" dataCellStyle="Normal"/>
    <tableColumn id="6868" name="Column6847" dataDxfId="9565" dataCellStyle="Normal"/>
    <tableColumn id="6869" name="Column6848" dataDxfId="9564" dataCellStyle="Normal"/>
    <tableColumn id="6870" name="Column6849" dataDxfId="9563" dataCellStyle="Normal"/>
    <tableColumn id="6871" name="Column6850" dataDxfId="9562" dataCellStyle="Normal"/>
    <tableColumn id="6872" name="Column6851" dataDxfId="9561" dataCellStyle="Normal"/>
    <tableColumn id="6873" name="Column6852" dataDxfId="9560" dataCellStyle="Normal"/>
    <tableColumn id="6874" name="Column6853" dataDxfId="9559" dataCellStyle="Normal"/>
    <tableColumn id="6875" name="Column6854" dataDxfId="9558" dataCellStyle="Normal"/>
    <tableColumn id="6876" name="Column6855" dataDxfId="9557" dataCellStyle="Normal"/>
    <tableColumn id="6877" name="Column6856" dataDxfId="9556" dataCellStyle="Normal"/>
    <tableColumn id="6878" name="Column6857" dataDxfId="9555" dataCellStyle="Normal"/>
    <tableColumn id="6879" name="Column6858" dataDxfId="9554" dataCellStyle="Normal"/>
    <tableColumn id="6880" name="Column6859" dataDxfId="9553" dataCellStyle="Normal"/>
    <tableColumn id="6881" name="Column6860" dataDxfId="9552" dataCellStyle="Normal"/>
    <tableColumn id="6882" name="Column6861" dataDxfId="9551" dataCellStyle="Normal"/>
    <tableColumn id="6883" name="Column6862" dataDxfId="9550" dataCellStyle="Normal"/>
    <tableColumn id="6884" name="Column6863" dataDxfId="9549" dataCellStyle="Normal"/>
    <tableColumn id="6885" name="Column6864" dataDxfId="9548" dataCellStyle="Normal"/>
    <tableColumn id="6886" name="Column6865" dataDxfId="9547" dataCellStyle="Normal"/>
    <tableColumn id="6887" name="Column6866" dataDxfId="9546" dataCellStyle="Normal"/>
    <tableColumn id="6888" name="Column6867" dataDxfId="9545" dataCellStyle="Normal"/>
    <tableColumn id="6889" name="Column6868" dataDxfId="9544" dataCellStyle="Normal"/>
    <tableColumn id="6890" name="Column6869" dataDxfId="9543" dataCellStyle="Normal"/>
    <tableColumn id="6891" name="Column6870" dataDxfId="9542" dataCellStyle="Normal"/>
    <tableColumn id="6892" name="Column6871" dataDxfId="9541" dataCellStyle="Normal"/>
    <tableColumn id="6893" name="Column6872" dataDxfId="9540" dataCellStyle="Normal"/>
    <tableColumn id="6894" name="Column6873" dataDxfId="9539" dataCellStyle="Normal"/>
    <tableColumn id="6895" name="Column6874" dataDxfId="9538" dataCellStyle="Normal"/>
    <tableColumn id="6896" name="Column6875" dataDxfId="9537" dataCellStyle="Normal"/>
    <tableColumn id="6897" name="Column6876" dataDxfId="9536" dataCellStyle="Normal"/>
    <tableColumn id="6898" name="Column6877" dataDxfId="9535" dataCellStyle="Normal"/>
    <tableColumn id="6899" name="Column6878" dataDxfId="9534" dataCellStyle="Normal"/>
    <tableColumn id="6900" name="Column6879" dataDxfId="9533" dataCellStyle="Normal"/>
    <tableColumn id="6901" name="Column6880" dataDxfId="9532" dataCellStyle="Normal"/>
    <tableColumn id="6902" name="Column6881" dataDxfId="9531" dataCellStyle="Normal"/>
    <tableColumn id="6903" name="Column6882" dataDxfId="9530" dataCellStyle="Normal"/>
    <tableColumn id="6904" name="Column6883" dataDxfId="9529" dataCellStyle="Normal"/>
    <tableColumn id="6905" name="Column6884" dataDxfId="9528" dataCellStyle="Normal"/>
    <tableColumn id="6906" name="Column6885" dataDxfId="9527" dataCellStyle="Normal"/>
    <tableColumn id="6907" name="Column6886" dataDxfId="9526" dataCellStyle="Normal"/>
    <tableColumn id="6908" name="Column6887" dataDxfId="9525" dataCellStyle="Normal"/>
    <tableColumn id="6909" name="Column6888" dataDxfId="9524" dataCellStyle="Normal"/>
    <tableColumn id="6910" name="Column6889" dataDxfId="9523" dataCellStyle="Normal"/>
    <tableColumn id="6911" name="Column6890" dataDxfId="9522" dataCellStyle="Normal"/>
    <tableColumn id="6912" name="Column6891" dataDxfId="9521" dataCellStyle="Normal"/>
    <tableColumn id="6913" name="Column6892" dataDxfId="9520" dataCellStyle="Normal"/>
    <tableColumn id="6914" name="Column6893" dataDxfId="9519" dataCellStyle="Normal"/>
    <tableColumn id="6915" name="Column6894" dataDxfId="9518" dataCellStyle="Normal"/>
    <tableColumn id="6916" name="Column6895" dataDxfId="9517" dataCellStyle="Normal"/>
    <tableColumn id="6917" name="Column6896" dataDxfId="9516" dataCellStyle="Normal"/>
    <tableColumn id="6918" name="Column6897" dataDxfId="9515" dataCellStyle="Normal"/>
    <tableColumn id="6919" name="Column6898" dataDxfId="9514" dataCellStyle="Normal"/>
    <tableColumn id="6920" name="Column6899" dataDxfId="9513" dataCellStyle="Normal"/>
    <tableColumn id="6921" name="Column6900" dataDxfId="9512" dataCellStyle="Normal"/>
    <tableColumn id="6922" name="Column6901" dataDxfId="9511" dataCellStyle="Normal"/>
    <tableColumn id="6923" name="Column6902" dataDxfId="9510" dataCellStyle="Normal"/>
    <tableColumn id="6924" name="Column6903" dataDxfId="9509" dataCellStyle="Normal"/>
    <tableColumn id="6925" name="Column6904" dataDxfId="9508" dataCellStyle="Normal"/>
    <tableColumn id="6926" name="Column6905" dataDxfId="9507" dataCellStyle="Normal"/>
    <tableColumn id="6927" name="Column6906" dataDxfId="9506" dataCellStyle="Normal"/>
    <tableColumn id="6928" name="Column6907" dataDxfId="9505" dataCellStyle="Normal"/>
    <tableColumn id="6929" name="Column6908" dataDxfId="9504" dataCellStyle="Normal"/>
    <tableColumn id="6930" name="Column6909" dataDxfId="9503" dataCellStyle="Normal"/>
    <tableColumn id="6931" name="Column6910" dataDxfId="9502" dataCellStyle="Normal"/>
    <tableColumn id="6932" name="Column6911" dataDxfId="9501" dataCellStyle="Normal"/>
    <tableColumn id="6933" name="Column6912" dataDxfId="9500" dataCellStyle="Normal"/>
    <tableColumn id="6934" name="Column6913" dataDxfId="9499" dataCellStyle="Normal"/>
    <tableColumn id="6935" name="Column6914" dataDxfId="9498" dataCellStyle="Normal"/>
    <tableColumn id="6936" name="Column6915" dataDxfId="9497" dataCellStyle="Normal"/>
    <tableColumn id="6937" name="Column6916" dataDxfId="9496" dataCellStyle="Normal"/>
    <tableColumn id="6938" name="Column6917" dataDxfId="9495" dataCellStyle="Normal"/>
    <tableColumn id="6939" name="Column6918" dataDxfId="9494" dataCellStyle="Normal"/>
    <tableColumn id="6940" name="Column6919" dataDxfId="9493" dataCellStyle="Normal"/>
    <tableColumn id="6941" name="Column6920" dataDxfId="9492" dataCellStyle="Normal"/>
    <tableColumn id="6942" name="Column6921" dataDxfId="9491" dataCellStyle="Normal"/>
    <tableColumn id="6943" name="Column6922" dataDxfId="9490" dataCellStyle="Normal"/>
    <tableColumn id="6944" name="Column6923" dataDxfId="9489" dataCellStyle="Normal"/>
    <tableColumn id="6945" name="Column6924" dataDxfId="9488" dataCellStyle="Normal"/>
    <tableColumn id="6946" name="Column6925" dataDxfId="9487" dataCellStyle="Normal"/>
    <tableColumn id="6947" name="Column6926" dataDxfId="9486" dataCellStyle="Normal"/>
    <tableColumn id="6948" name="Column6927" dataDxfId="9485" dataCellStyle="Normal"/>
    <tableColumn id="6949" name="Column6928" dataDxfId="9484" dataCellStyle="Normal"/>
    <tableColumn id="6950" name="Column6929" dataDxfId="9483" dataCellStyle="Normal"/>
    <tableColumn id="6951" name="Column6930" dataDxfId="9482" dataCellStyle="Normal"/>
    <tableColumn id="6952" name="Column6931" dataDxfId="9481" dataCellStyle="Normal"/>
    <tableColumn id="6953" name="Column6932" dataDxfId="9480" dataCellStyle="Normal"/>
    <tableColumn id="6954" name="Column6933" dataDxfId="9479" dataCellStyle="Normal"/>
    <tableColumn id="6955" name="Column6934" dataDxfId="9478" dataCellStyle="Normal"/>
    <tableColumn id="6956" name="Column6935" dataDxfId="9477" dataCellStyle="Normal"/>
    <tableColumn id="6957" name="Column6936" dataDxfId="9476" dataCellStyle="Normal"/>
    <tableColumn id="6958" name="Column6937" dataDxfId="9475" dataCellStyle="Normal"/>
    <tableColumn id="6959" name="Column6938" dataDxfId="9474" dataCellStyle="Normal"/>
    <tableColumn id="6960" name="Column6939" dataDxfId="9473" dataCellStyle="Normal"/>
    <tableColumn id="6961" name="Column6940" dataDxfId="9472" dataCellStyle="Normal"/>
    <tableColumn id="6962" name="Column6941" dataDxfId="9471" dataCellStyle="Normal"/>
    <tableColumn id="6963" name="Column6942" dataDxfId="9470" dataCellStyle="Normal"/>
    <tableColumn id="6964" name="Column6943" dataDxfId="9469" dataCellStyle="Normal"/>
    <tableColumn id="6965" name="Column6944" dataDxfId="9468" dataCellStyle="Normal"/>
    <tableColumn id="6966" name="Column6945" dataDxfId="9467" dataCellStyle="Normal"/>
    <tableColumn id="6967" name="Column6946" dataDxfId="9466" dataCellStyle="Normal"/>
    <tableColumn id="6968" name="Column6947" dataDxfId="9465" dataCellStyle="Normal"/>
    <tableColumn id="6969" name="Column6948" dataDxfId="9464" dataCellStyle="Normal"/>
    <tableColumn id="6970" name="Column6949" dataDxfId="9463" dataCellStyle="Normal"/>
    <tableColumn id="6971" name="Column6950" dataDxfId="9462" dataCellStyle="Normal"/>
    <tableColumn id="6972" name="Column6951" dataDxfId="9461" dataCellStyle="Normal"/>
    <tableColumn id="6973" name="Column6952" dataDxfId="9460" dataCellStyle="Normal"/>
    <tableColumn id="6974" name="Column6953" dataDxfId="9459" dataCellStyle="Normal"/>
    <tableColumn id="6975" name="Column6954" dataDxfId="9458" dataCellStyle="Normal"/>
    <tableColumn id="6976" name="Column6955" dataDxfId="9457" dataCellStyle="Normal"/>
    <tableColumn id="6977" name="Column6956" dataDxfId="9456" dataCellStyle="Normal"/>
    <tableColumn id="6978" name="Column6957" dataDxfId="9455" dataCellStyle="Normal"/>
    <tableColumn id="6979" name="Column6958" dataDxfId="9454" dataCellStyle="Normal"/>
    <tableColumn id="6980" name="Column6959" dataDxfId="9453" dataCellStyle="Normal"/>
    <tableColumn id="6981" name="Column6960" dataDxfId="9452" dataCellStyle="Normal"/>
    <tableColumn id="6982" name="Column6961" dataDxfId="9451" dataCellStyle="Normal"/>
    <tableColumn id="6983" name="Column6962" dataDxfId="9450" dataCellStyle="Normal"/>
    <tableColumn id="6984" name="Column6963" dataDxfId="9449" dataCellStyle="Normal"/>
    <tableColumn id="6985" name="Column6964" dataDxfId="9448" dataCellStyle="Normal"/>
    <tableColumn id="6986" name="Column6965" dataDxfId="9447" dataCellStyle="Normal"/>
    <tableColumn id="6987" name="Column6966" dataDxfId="9446" dataCellStyle="Normal"/>
    <tableColumn id="6988" name="Column6967" dataDxfId="9445" dataCellStyle="Normal"/>
    <tableColumn id="6989" name="Column6968" dataDxfId="9444" dataCellStyle="Normal"/>
    <tableColumn id="6990" name="Column6969" dataDxfId="9443" dataCellStyle="Normal"/>
    <tableColumn id="6991" name="Column6970" dataDxfId="9442" dataCellStyle="Normal"/>
    <tableColumn id="6992" name="Column6971" dataDxfId="9441" dataCellStyle="Normal"/>
    <tableColumn id="6993" name="Column6972" dataDxfId="9440" dataCellStyle="Normal"/>
    <tableColumn id="6994" name="Column6973" dataDxfId="9439" dataCellStyle="Normal"/>
    <tableColumn id="6995" name="Column6974" dataDxfId="9438" dataCellStyle="Normal"/>
    <tableColumn id="6996" name="Column6975" dataDxfId="9437" dataCellStyle="Normal"/>
    <tableColumn id="6997" name="Column6976" dataDxfId="9436" dataCellStyle="Normal"/>
    <tableColumn id="6998" name="Column6977" dataDxfId="9435" dataCellStyle="Normal"/>
    <tableColumn id="6999" name="Column6978" dataDxfId="9434" dataCellStyle="Normal"/>
    <tableColumn id="7000" name="Column6979" dataDxfId="9433" dataCellStyle="Normal"/>
    <tableColumn id="7001" name="Column6980" dataDxfId="9432" dataCellStyle="Normal"/>
    <tableColumn id="7002" name="Column6981" dataDxfId="9431" dataCellStyle="Normal"/>
    <tableColumn id="7003" name="Column6982" dataDxfId="9430" dataCellStyle="Normal"/>
    <tableColumn id="7004" name="Column6983" dataDxfId="9429" dataCellStyle="Normal"/>
    <tableColumn id="7005" name="Column6984" dataDxfId="9428" dataCellStyle="Normal"/>
    <tableColumn id="7006" name="Column6985" dataDxfId="9427" dataCellStyle="Normal"/>
    <tableColumn id="7007" name="Column6986" dataDxfId="9426" dataCellStyle="Normal"/>
    <tableColumn id="7008" name="Column6987" dataDxfId="9425" dataCellStyle="Normal"/>
    <tableColumn id="7009" name="Column6988" dataDxfId="9424" dataCellStyle="Normal"/>
    <tableColumn id="7010" name="Column6989" dataDxfId="9423" dataCellStyle="Normal"/>
    <tableColumn id="7011" name="Column6990" dataDxfId="9422" dataCellStyle="Normal"/>
    <tableColumn id="7012" name="Column6991" dataDxfId="9421" dataCellStyle="Normal"/>
    <tableColumn id="7013" name="Column6992" dataDxfId="9420" dataCellStyle="Normal"/>
    <tableColumn id="7014" name="Column6993" dataDxfId="9419" dataCellStyle="Normal"/>
    <tableColumn id="7015" name="Column6994" dataDxfId="9418" dataCellStyle="Normal"/>
    <tableColumn id="7016" name="Column6995" dataDxfId="9417" dataCellStyle="Normal"/>
    <tableColumn id="7017" name="Column6996" dataDxfId="9416" dataCellStyle="Normal"/>
    <tableColumn id="7018" name="Column6997" dataDxfId="9415" dataCellStyle="Normal"/>
    <tableColumn id="7019" name="Column6998" dataDxfId="9414" dataCellStyle="Normal"/>
    <tableColumn id="7020" name="Column6999" dataDxfId="9413" dataCellStyle="Normal"/>
    <tableColumn id="7021" name="Column7000" dataDxfId="9412" dataCellStyle="Normal"/>
    <tableColumn id="7022" name="Column7001" dataDxfId="9411" dataCellStyle="Normal"/>
    <tableColumn id="7023" name="Column7002" dataDxfId="9410" dataCellStyle="Normal"/>
    <tableColumn id="7024" name="Column7003" dataDxfId="9409" dataCellStyle="Normal"/>
    <tableColumn id="7025" name="Column7004" dataDxfId="9408" dataCellStyle="Normal"/>
    <tableColumn id="7026" name="Column7005" dataDxfId="9407" dataCellStyle="Normal"/>
    <tableColumn id="7027" name="Column7006" dataDxfId="9406" dataCellStyle="Normal"/>
    <tableColumn id="7028" name="Column7007" dataDxfId="9405" dataCellStyle="Normal"/>
    <tableColumn id="7029" name="Column7008" dataDxfId="9404" dataCellStyle="Normal"/>
    <tableColumn id="7030" name="Column7009" dataDxfId="9403" dataCellStyle="Normal"/>
    <tableColumn id="7031" name="Column7010" dataDxfId="9402" dataCellStyle="Normal"/>
    <tableColumn id="7032" name="Column7011" dataDxfId="9401" dataCellStyle="Normal"/>
    <tableColumn id="7033" name="Column7012" dataDxfId="9400" dataCellStyle="Normal"/>
    <tableColumn id="7034" name="Column7013" dataDxfId="9399" dataCellStyle="Normal"/>
    <tableColumn id="7035" name="Column7014" dataDxfId="9398" dataCellStyle="Normal"/>
    <tableColumn id="7036" name="Column7015" dataDxfId="9397" dataCellStyle="Normal"/>
    <tableColumn id="7037" name="Column7016" dataDxfId="9396" dataCellStyle="Normal"/>
    <tableColumn id="7038" name="Column7017" dataDxfId="9395" dataCellStyle="Normal"/>
    <tableColumn id="7039" name="Column7018" dataDxfId="9394" dataCellStyle="Normal"/>
    <tableColumn id="7040" name="Column7019" dataDxfId="9393" dataCellStyle="Normal"/>
    <tableColumn id="7041" name="Column7020" dataDxfId="9392" dataCellStyle="Normal"/>
    <tableColumn id="7042" name="Column7021" dataDxfId="9391" dataCellStyle="Normal"/>
    <tableColumn id="7043" name="Column7022" dataDxfId="9390" dataCellStyle="Normal"/>
    <tableColumn id="7044" name="Column7023" dataDxfId="9389" dataCellStyle="Normal"/>
    <tableColumn id="7045" name="Column7024" dataDxfId="9388" dataCellStyle="Normal"/>
    <tableColumn id="7046" name="Column7025" dataDxfId="9387" dataCellStyle="Normal"/>
    <tableColumn id="7047" name="Column7026" dataDxfId="9386" dataCellStyle="Normal"/>
    <tableColumn id="7048" name="Column7027" dataDxfId="9385" dataCellStyle="Normal"/>
    <tableColumn id="7049" name="Column7028" dataDxfId="9384" dataCellStyle="Normal"/>
    <tableColumn id="7050" name="Column7029" dataDxfId="9383" dataCellStyle="Normal"/>
    <tableColumn id="7051" name="Column7030" dataDxfId="9382" dataCellStyle="Normal"/>
    <tableColumn id="7052" name="Column7031" dataDxfId="9381" dataCellStyle="Normal"/>
    <tableColumn id="7053" name="Column7032" dataDxfId="9380" dataCellStyle="Normal"/>
    <tableColumn id="7054" name="Column7033" dataDxfId="9379" dataCellStyle="Normal"/>
    <tableColumn id="7055" name="Column7034" dataDxfId="9378" dataCellStyle="Normal"/>
    <tableColumn id="7056" name="Column7035" dataDxfId="9377" dataCellStyle="Normal"/>
    <tableColumn id="7057" name="Column7036" dataDxfId="9376" dataCellStyle="Normal"/>
    <tableColumn id="7058" name="Column7037" dataDxfId="9375" dataCellStyle="Normal"/>
    <tableColumn id="7059" name="Column7038" dataDxfId="9374" dataCellStyle="Normal"/>
    <tableColumn id="7060" name="Column7039" dataDxfId="9373" dataCellStyle="Normal"/>
    <tableColumn id="7061" name="Column7040" dataDxfId="9372" dataCellStyle="Normal"/>
    <tableColumn id="7062" name="Column7041" dataDxfId="9371" dataCellStyle="Normal"/>
    <tableColumn id="7063" name="Column7042" dataDxfId="9370" dataCellStyle="Normal"/>
    <tableColumn id="7064" name="Column7043" dataDxfId="9369" dataCellStyle="Normal"/>
    <tableColumn id="7065" name="Column7044" dataDxfId="9368" dataCellStyle="Normal"/>
    <tableColumn id="7066" name="Column7045" dataDxfId="9367" dataCellStyle="Normal"/>
    <tableColumn id="7067" name="Column7046" dataDxfId="9366" dataCellStyle="Normal"/>
    <tableColumn id="7068" name="Column7047" dataDxfId="9365" dataCellStyle="Normal"/>
    <tableColumn id="7069" name="Column7048" dataDxfId="9364" dataCellStyle="Normal"/>
    <tableColumn id="7070" name="Column7049" dataDxfId="9363" dataCellStyle="Normal"/>
    <tableColumn id="7071" name="Column7050" dataDxfId="9362" dataCellStyle="Normal"/>
    <tableColumn id="7072" name="Column7051" dataDxfId="9361" dataCellStyle="Normal"/>
    <tableColumn id="7073" name="Column7052" dataDxfId="9360" dataCellStyle="Normal"/>
    <tableColumn id="7074" name="Column7053" dataDxfId="9359" dataCellStyle="Normal"/>
    <tableColumn id="7075" name="Column7054" dataDxfId="9358" dataCellStyle="Normal"/>
    <tableColumn id="7076" name="Column7055" dataDxfId="9357" dataCellStyle="Normal"/>
    <tableColumn id="7077" name="Column7056" dataDxfId="9356" dataCellStyle="Normal"/>
    <tableColumn id="7078" name="Column7057" dataDxfId="9355" dataCellStyle="Normal"/>
    <tableColumn id="7079" name="Column7058" dataDxfId="9354" dataCellStyle="Normal"/>
    <tableColumn id="7080" name="Column7059" dataDxfId="9353" dataCellStyle="Normal"/>
    <tableColumn id="7081" name="Column7060" dataDxfId="9352" dataCellStyle="Normal"/>
    <tableColumn id="7082" name="Column7061" dataDxfId="9351" dataCellStyle="Normal"/>
    <tableColumn id="7083" name="Column7062" dataDxfId="9350" dataCellStyle="Normal"/>
    <tableColumn id="7084" name="Column7063" dataDxfId="9349" dataCellStyle="Normal"/>
    <tableColumn id="7085" name="Column7064" dataDxfId="9348" dataCellStyle="Normal"/>
    <tableColumn id="7086" name="Column7065" dataDxfId="9347" dataCellStyle="Normal"/>
    <tableColumn id="7087" name="Column7066" dataDxfId="9346" dataCellStyle="Normal"/>
    <tableColumn id="7088" name="Column7067" dataDxfId="9345" dataCellStyle="Normal"/>
    <tableColumn id="7089" name="Column7068" dataDxfId="9344" dataCellStyle="Normal"/>
    <tableColumn id="7090" name="Column7069" dataDxfId="9343" dataCellStyle="Normal"/>
    <tableColumn id="7091" name="Column7070" dataDxfId="9342" dataCellStyle="Normal"/>
    <tableColumn id="7092" name="Column7071" dataDxfId="9341" dataCellStyle="Normal"/>
    <tableColumn id="7093" name="Column7072" dataDxfId="9340" dataCellStyle="Normal"/>
    <tableColumn id="7094" name="Column7073" dataDxfId="9339" dataCellStyle="Normal"/>
    <tableColumn id="7095" name="Column7074" dataDxfId="9338" dataCellStyle="Normal"/>
    <tableColumn id="7096" name="Column7075" dataDxfId="9337" dataCellStyle="Normal"/>
    <tableColumn id="7097" name="Column7076" dataDxfId="9336" dataCellStyle="Normal"/>
    <tableColumn id="7098" name="Column7077" dataDxfId="9335" dataCellStyle="Normal"/>
    <tableColumn id="7099" name="Column7078" dataDxfId="9334" dataCellStyle="Normal"/>
    <tableColumn id="7100" name="Column7079" dataDxfId="9333" dataCellStyle="Normal"/>
    <tableColumn id="7101" name="Column7080" dataDxfId="9332" dataCellStyle="Normal"/>
    <tableColumn id="7102" name="Column7081" dataDxfId="9331" dataCellStyle="Normal"/>
    <tableColumn id="7103" name="Column7082" dataDxfId="9330" dataCellStyle="Normal"/>
    <tableColumn id="7104" name="Column7083" dataDxfId="9329" dataCellStyle="Normal"/>
    <tableColumn id="7105" name="Column7084" dataDxfId="9328" dataCellStyle="Normal"/>
    <tableColumn id="7106" name="Column7085" dataDxfId="9327" dataCellStyle="Normal"/>
    <tableColumn id="7107" name="Column7086" dataDxfId="9326" dataCellStyle="Normal"/>
    <tableColumn id="7108" name="Column7087" dataDxfId="9325" dataCellStyle="Normal"/>
    <tableColumn id="7109" name="Column7088" dataDxfId="9324" dataCellStyle="Normal"/>
    <tableColumn id="7110" name="Column7089" dataDxfId="9323" dataCellStyle="Normal"/>
    <tableColumn id="7111" name="Column7090" dataDxfId="9322" dataCellStyle="Normal"/>
    <tableColumn id="7112" name="Column7091" dataDxfId="9321" dataCellStyle="Normal"/>
    <tableColumn id="7113" name="Column7092" dataDxfId="9320" dataCellStyle="Normal"/>
    <tableColumn id="7114" name="Column7093" dataDxfId="9319" dataCellStyle="Normal"/>
    <tableColumn id="7115" name="Column7094" dataDxfId="9318" dataCellStyle="Normal"/>
    <tableColumn id="7116" name="Column7095" dataDxfId="9317" dataCellStyle="Normal"/>
    <tableColumn id="7117" name="Column7096" dataDxfId="9316" dataCellStyle="Normal"/>
    <tableColumn id="7118" name="Column7097" dataDxfId="9315" dataCellStyle="Normal"/>
    <tableColumn id="7119" name="Column7098" dataDxfId="9314" dataCellStyle="Normal"/>
    <tableColumn id="7120" name="Column7099" dataDxfId="9313" dataCellStyle="Normal"/>
    <tableColumn id="7121" name="Column7100" dataDxfId="9312" dataCellStyle="Normal"/>
    <tableColumn id="7122" name="Column7101" dataDxfId="9311" dataCellStyle="Normal"/>
    <tableColumn id="7123" name="Column7102" dataDxfId="9310" dataCellStyle="Normal"/>
    <tableColumn id="7124" name="Column7103" dataDxfId="9309" dataCellStyle="Normal"/>
    <tableColumn id="7125" name="Column7104" dataDxfId="9308" dataCellStyle="Normal"/>
    <tableColumn id="7126" name="Column7105" dataDxfId="9307" dataCellStyle="Normal"/>
    <tableColumn id="7127" name="Column7106" dataDxfId="9306" dataCellStyle="Normal"/>
    <tableColumn id="7128" name="Column7107" dataDxfId="9305" dataCellStyle="Normal"/>
    <tableColumn id="7129" name="Column7108" dataDxfId="9304" dataCellStyle="Normal"/>
    <tableColumn id="7130" name="Column7109" dataDxfId="9303" dataCellStyle="Normal"/>
    <tableColumn id="7131" name="Column7110" dataDxfId="9302" dataCellStyle="Normal"/>
    <tableColumn id="7132" name="Column7111" dataDxfId="9301" dataCellStyle="Normal"/>
    <tableColumn id="7133" name="Column7112" dataDxfId="9300" dataCellStyle="Normal"/>
    <tableColumn id="7134" name="Column7113" dataDxfId="9299" dataCellStyle="Normal"/>
    <tableColumn id="7135" name="Column7114" dataDxfId="9298" dataCellStyle="Normal"/>
    <tableColumn id="7136" name="Column7115" dataDxfId="9297" dataCellStyle="Normal"/>
    <tableColumn id="7137" name="Column7116" dataDxfId="9296" dataCellStyle="Normal"/>
    <tableColumn id="7138" name="Column7117" dataDxfId="9295" dataCellStyle="Normal"/>
    <tableColumn id="7139" name="Column7118" dataDxfId="9294" dataCellStyle="Normal"/>
    <tableColumn id="7140" name="Column7119" dataDxfId="9293" dataCellStyle="Normal"/>
    <tableColumn id="7141" name="Column7120" dataDxfId="9292" dataCellStyle="Normal"/>
    <tableColumn id="7142" name="Column7121" dataDxfId="9291" dataCellStyle="Normal"/>
    <tableColumn id="7143" name="Column7122" dataDxfId="9290" dataCellStyle="Normal"/>
    <tableColumn id="7144" name="Column7123" dataDxfId="9289" dataCellStyle="Normal"/>
    <tableColumn id="7145" name="Column7124" dataDxfId="9288" dataCellStyle="Normal"/>
    <tableColumn id="7146" name="Column7125" dataDxfId="9287" dataCellStyle="Normal"/>
    <tableColumn id="7147" name="Column7126" dataDxfId="9286" dataCellStyle="Normal"/>
    <tableColumn id="7148" name="Column7127" dataDxfId="9285" dataCellStyle="Normal"/>
    <tableColumn id="7149" name="Column7128" dataDxfId="9284" dataCellStyle="Normal"/>
    <tableColumn id="7150" name="Column7129" dataDxfId="9283" dataCellStyle="Normal"/>
    <tableColumn id="7151" name="Column7130" dataDxfId="9282" dataCellStyle="Normal"/>
    <tableColumn id="7152" name="Column7131" dataDxfId="9281" dataCellStyle="Normal"/>
    <tableColumn id="7153" name="Column7132" dataDxfId="9280" dataCellStyle="Normal"/>
    <tableColumn id="7154" name="Column7133" dataDxfId="9279" dataCellStyle="Normal"/>
    <tableColumn id="7155" name="Column7134" dataDxfId="9278" dataCellStyle="Normal"/>
    <tableColumn id="7156" name="Column7135" dataDxfId="9277" dataCellStyle="Normal"/>
    <tableColumn id="7157" name="Column7136" dataDxfId="9276" dataCellStyle="Normal"/>
    <tableColumn id="7158" name="Column7137" dataDxfId="9275" dataCellStyle="Normal"/>
    <tableColumn id="7159" name="Column7138" dataDxfId="9274" dataCellStyle="Normal"/>
    <tableColumn id="7160" name="Column7139" dataDxfId="9273" dataCellStyle="Normal"/>
    <tableColumn id="7161" name="Column7140" dataDxfId="9272" dataCellStyle="Normal"/>
    <tableColumn id="7162" name="Column7141" dataDxfId="9271" dataCellStyle="Normal"/>
    <tableColumn id="7163" name="Column7142" dataDxfId="9270" dataCellStyle="Normal"/>
    <tableColumn id="7164" name="Column7143" dataDxfId="9269" dataCellStyle="Normal"/>
    <tableColumn id="7165" name="Column7144" dataDxfId="9268" dataCellStyle="Normal"/>
    <tableColumn id="7166" name="Column7145" dataDxfId="9267" dataCellStyle="Normal"/>
    <tableColumn id="7167" name="Column7146" dataDxfId="9266" dataCellStyle="Normal"/>
    <tableColumn id="7168" name="Column7147" dataDxfId="9265" dataCellStyle="Normal"/>
    <tableColumn id="7169" name="Column7148" dataDxfId="9264" dataCellStyle="Normal"/>
    <tableColumn id="7170" name="Column7149" dataDxfId="9263" dataCellStyle="Normal"/>
    <tableColumn id="7171" name="Column7150" dataDxfId="9262" dataCellStyle="Normal"/>
    <tableColumn id="7172" name="Column7151" dataDxfId="9261" dataCellStyle="Normal"/>
    <tableColumn id="7173" name="Column7152" dataDxfId="9260" dataCellStyle="Normal"/>
    <tableColumn id="7174" name="Column7153" dataDxfId="9259" dataCellStyle="Normal"/>
    <tableColumn id="7175" name="Column7154" dataDxfId="9258" dataCellStyle="Normal"/>
    <tableColumn id="7176" name="Column7155" dataDxfId="9257" dataCellStyle="Normal"/>
    <tableColumn id="7177" name="Column7156" dataDxfId="9256" dataCellStyle="Normal"/>
    <tableColumn id="7178" name="Column7157" dataDxfId="9255" dataCellStyle="Normal"/>
    <tableColumn id="7179" name="Column7158" dataDxfId="9254" dataCellStyle="Normal"/>
    <tableColumn id="7180" name="Column7159" dataDxfId="9253" dataCellStyle="Normal"/>
    <tableColumn id="7181" name="Column7160" dataDxfId="9252" dataCellStyle="Normal"/>
    <tableColumn id="7182" name="Column7161" dataDxfId="9251" dataCellStyle="Normal"/>
    <tableColumn id="7183" name="Column7162" dataDxfId="9250" dataCellStyle="Normal"/>
    <tableColumn id="7184" name="Column7163" dataDxfId="9249" dataCellStyle="Normal"/>
    <tableColumn id="7185" name="Column7164" dataDxfId="9248" dataCellStyle="Normal"/>
    <tableColumn id="7186" name="Column7165" dataDxfId="9247" dataCellStyle="Normal"/>
    <tableColumn id="7187" name="Column7166" dataDxfId="9246" dataCellStyle="Normal"/>
    <tableColumn id="7188" name="Column7167" dataDxfId="9245" dataCellStyle="Normal"/>
    <tableColumn id="7189" name="Column7168" dataDxfId="9244" dataCellStyle="Normal"/>
    <tableColumn id="7190" name="Column7169" dataDxfId="9243" dataCellStyle="Normal"/>
    <tableColumn id="7191" name="Column7170" dataDxfId="9242" dataCellStyle="Normal"/>
    <tableColumn id="7192" name="Column7171" dataDxfId="9241" dataCellStyle="Normal"/>
    <tableColumn id="7193" name="Column7172" dataDxfId="9240" dataCellStyle="Normal"/>
    <tableColumn id="7194" name="Column7173" dataDxfId="9239" dataCellStyle="Normal"/>
    <tableColumn id="7195" name="Column7174" dataDxfId="9238" dataCellStyle="Normal"/>
    <tableColumn id="7196" name="Column7175" dataDxfId="9237" dataCellStyle="Normal"/>
    <tableColumn id="7197" name="Column7176" dataDxfId="9236" dataCellStyle="Normal"/>
    <tableColumn id="7198" name="Column7177" dataDxfId="9235" dataCellStyle="Normal"/>
    <tableColumn id="7199" name="Column7178" dataDxfId="9234" dataCellStyle="Normal"/>
    <tableColumn id="7200" name="Column7179" dataDxfId="9233" dataCellStyle="Normal"/>
    <tableColumn id="7201" name="Column7180" dataDxfId="9232" dataCellStyle="Normal"/>
    <tableColumn id="7202" name="Column7181" dataDxfId="9231" dataCellStyle="Normal"/>
    <tableColumn id="7203" name="Column7182" dataDxfId="9230" dataCellStyle="Normal"/>
    <tableColumn id="7204" name="Column7183" dataDxfId="9229" dataCellStyle="Normal"/>
    <tableColumn id="7205" name="Column7184" dataDxfId="9228" dataCellStyle="Normal"/>
    <tableColumn id="7206" name="Column7185" dataDxfId="9227" dataCellStyle="Normal"/>
    <tableColumn id="7207" name="Column7186" dataDxfId="9226" dataCellStyle="Normal"/>
    <tableColumn id="7208" name="Column7187" dataDxfId="9225" dataCellStyle="Normal"/>
    <tableColumn id="7209" name="Column7188" dataDxfId="9224" dataCellStyle="Normal"/>
    <tableColumn id="7210" name="Column7189" dataDxfId="9223" dataCellStyle="Normal"/>
    <tableColumn id="7211" name="Column7190" dataDxfId="9222" dataCellStyle="Normal"/>
    <tableColumn id="7212" name="Column7191" dataDxfId="9221" dataCellStyle="Normal"/>
    <tableColumn id="7213" name="Column7192" dataDxfId="9220" dataCellStyle="Normal"/>
    <tableColumn id="7214" name="Column7193" dataDxfId="9219" dataCellStyle="Normal"/>
    <tableColumn id="7215" name="Column7194" dataDxfId="9218" dataCellStyle="Normal"/>
    <tableColumn id="7216" name="Column7195" dataDxfId="9217" dataCellStyle="Normal"/>
    <tableColumn id="7217" name="Column7196" dataDxfId="9216" dataCellStyle="Normal"/>
    <tableColumn id="7218" name="Column7197" dataDxfId="9215" dataCellStyle="Normal"/>
    <tableColumn id="7219" name="Column7198" dataDxfId="9214" dataCellStyle="Normal"/>
    <tableColumn id="7220" name="Column7199" dataDxfId="9213" dataCellStyle="Normal"/>
    <tableColumn id="7221" name="Column7200" dataDxfId="9212" dataCellStyle="Normal"/>
    <tableColumn id="7222" name="Column7201" dataDxfId="9211" dataCellStyle="Normal"/>
    <tableColumn id="7223" name="Column7202" dataDxfId="9210" dataCellStyle="Normal"/>
    <tableColumn id="7224" name="Column7203" dataDxfId="9209" dataCellStyle="Normal"/>
    <tableColumn id="7225" name="Column7204" dataDxfId="9208" dataCellStyle="Normal"/>
    <tableColumn id="7226" name="Column7205" dataDxfId="9207" dataCellStyle="Normal"/>
    <tableColumn id="7227" name="Column7206" dataDxfId="9206" dataCellStyle="Normal"/>
    <tableColumn id="7228" name="Column7207" dataDxfId="9205" dataCellStyle="Normal"/>
    <tableColumn id="7229" name="Column7208" dataDxfId="9204" dataCellStyle="Normal"/>
    <tableColumn id="7230" name="Column7209" dataDxfId="9203" dataCellStyle="Normal"/>
    <tableColumn id="7231" name="Column7210" dataDxfId="9202" dataCellStyle="Normal"/>
    <tableColumn id="7232" name="Column7211" dataDxfId="9201" dataCellStyle="Normal"/>
    <tableColumn id="7233" name="Column7212" dataDxfId="9200" dataCellStyle="Normal"/>
    <tableColumn id="7234" name="Column7213" dataDxfId="9199" dataCellStyle="Normal"/>
    <tableColumn id="7235" name="Column7214" dataDxfId="9198" dataCellStyle="Normal"/>
    <tableColumn id="7236" name="Column7215" dataDxfId="9197" dataCellStyle="Normal"/>
    <tableColumn id="7237" name="Column7216" dataDxfId="9196" dataCellStyle="Normal"/>
    <tableColumn id="7238" name="Column7217" dataDxfId="9195" dataCellStyle="Normal"/>
    <tableColumn id="7239" name="Column7218" dataDxfId="9194" dataCellStyle="Normal"/>
    <tableColumn id="7240" name="Column7219" dataDxfId="9193" dataCellStyle="Normal"/>
    <tableColumn id="7241" name="Column7220" dataDxfId="9192" dataCellStyle="Normal"/>
    <tableColumn id="7242" name="Column7221" dataDxfId="9191" dataCellStyle="Normal"/>
    <tableColumn id="7243" name="Column7222" dataDxfId="9190" dataCellStyle="Normal"/>
    <tableColumn id="7244" name="Column7223" dataDxfId="9189" dataCellStyle="Normal"/>
    <tableColumn id="7245" name="Column7224" dataDxfId="9188" dataCellStyle="Normal"/>
    <tableColumn id="7246" name="Column7225" dataDxfId="9187" dataCellStyle="Normal"/>
    <tableColumn id="7247" name="Column7226" dataDxfId="9186" dataCellStyle="Normal"/>
    <tableColumn id="7248" name="Column7227" dataDxfId="9185" dataCellStyle="Normal"/>
    <tableColumn id="7249" name="Column7228" dataDxfId="9184" dataCellStyle="Normal"/>
    <tableColumn id="7250" name="Column7229" dataDxfId="9183" dataCellStyle="Normal"/>
    <tableColumn id="7251" name="Column7230" dataDxfId="9182" dataCellStyle="Normal"/>
    <tableColumn id="7252" name="Column7231" dataDxfId="9181" dataCellStyle="Normal"/>
    <tableColumn id="7253" name="Column7232" dataDxfId="9180" dataCellStyle="Normal"/>
    <tableColumn id="7254" name="Column7233" dataDxfId="9179" dataCellStyle="Normal"/>
    <tableColumn id="7255" name="Column7234" dataDxfId="9178" dataCellStyle="Normal"/>
    <tableColumn id="7256" name="Column7235" dataDxfId="9177" dataCellStyle="Normal"/>
    <tableColumn id="7257" name="Column7236" dataDxfId="9176" dataCellStyle="Normal"/>
    <tableColumn id="7258" name="Column7237" dataDxfId="9175" dataCellStyle="Normal"/>
    <tableColumn id="7259" name="Column7238" dataDxfId="9174" dataCellStyle="Normal"/>
    <tableColumn id="7260" name="Column7239" dataDxfId="9173" dataCellStyle="Normal"/>
    <tableColumn id="7261" name="Column7240" dataDxfId="9172" dataCellStyle="Normal"/>
    <tableColumn id="7262" name="Column7241" dataDxfId="9171" dataCellStyle="Normal"/>
    <tableColumn id="7263" name="Column7242" dataDxfId="9170" dataCellStyle="Normal"/>
    <tableColumn id="7264" name="Column7243" dataDxfId="9169" dataCellStyle="Normal"/>
    <tableColumn id="7265" name="Column7244" dataDxfId="9168" dataCellStyle="Normal"/>
    <tableColumn id="7266" name="Column7245" dataDxfId="9167" dataCellStyle="Normal"/>
    <tableColumn id="7267" name="Column7246" dataDxfId="9166" dataCellStyle="Normal"/>
    <tableColumn id="7268" name="Column7247" dataDxfId="9165" dataCellStyle="Normal"/>
    <tableColumn id="7269" name="Column7248" dataDxfId="9164" dataCellStyle="Normal"/>
    <tableColumn id="7270" name="Column7249" dataDxfId="9163" dataCellStyle="Normal"/>
    <tableColumn id="7271" name="Column7250" dataDxfId="9162" dataCellStyle="Normal"/>
    <tableColumn id="7272" name="Column7251" dataDxfId="9161" dataCellStyle="Normal"/>
    <tableColumn id="7273" name="Column7252" dataDxfId="9160" dataCellStyle="Normal"/>
    <tableColumn id="7274" name="Column7253" dataDxfId="9159" dataCellStyle="Normal"/>
    <tableColumn id="7275" name="Column7254" dataDxfId="9158" dataCellStyle="Normal"/>
    <tableColumn id="7276" name="Column7255" dataDxfId="9157" dataCellStyle="Normal"/>
    <tableColumn id="7277" name="Column7256" dataDxfId="9156" dataCellStyle="Normal"/>
    <tableColumn id="7278" name="Column7257" dataDxfId="9155" dataCellStyle="Normal"/>
    <tableColumn id="7279" name="Column7258" dataDxfId="9154" dataCellStyle="Normal"/>
    <tableColumn id="7280" name="Column7259" dataDxfId="9153" dataCellStyle="Normal"/>
    <tableColumn id="7281" name="Column7260" dataDxfId="9152" dataCellStyle="Normal"/>
    <tableColumn id="7282" name="Column7261" dataDxfId="9151" dataCellStyle="Normal"/>
    <tableColumn id="7283" name="Column7262" dataDxfId="9150" dataCellStyle="Normal"/>
    <tableColumn id="7284" name="Column7263" dataDxfId="9149" dataCellStyle="Normal"/>
    <tableColumn id="7285" name="Column7264" dataDxfId="9148" dataCellStyle="Normal"/>
    <tableColumn id="7286" name="Column7265" dataDxfId="9147" dataCellStyle="Normal"/>
    <tableColumn id="7287" name="Column7266" dataDxfId="9146" dataCellStyle="Normal"/>
    <tableColumn id="7288" name="Column7267" dataDxfId="9145" dataCellStyle="Normal"/>
    <tableColumn id="7289" name="Column7268" dataDxfId="9144" dataCellStyle="Normal"/>
    <tableColumn id="7290" name="Column7269" dataDxfId="9143" dataCellStyle="Normal"/>
    <tableColumn id="7291" name="Column7270" dataDxfId="9142" dataCellStyle="Normal"/>
    <tableColumn id="7292" name="Column7271" dataDxfId="9141" dataCellStyle="Normal"/>
    <tableColumn id="7293" name="Column7272" dataDxfId="9140" dataCellStyle="Normal"/>
    <tableColumn id="7294" name="Column7273" dataDxfId="9139" dataCellStyle="Normal"/>
    <tableColumn id="7295" name="Column7274" dataDxfId="9138" dataCellStyle="Normal"/>
    <tableColumn id="7296" name="Column7275" dataDxfId="9137" dataCellStyle="Normal"/>
    <tableColumn id="7297" name="Column7276" dataDxfId="9136" dataCellStyle="Normal"/>
    <tableColumn id="7298" name="Column7277" dataDxfId="9135" dataCellStyle="Normal"/>
    <tableColumn id="7299" name="Column7278" dataDxfId="9134" dataCellStyle="Normal"/>
    <tableColumn id="7300" name="Column7279" dataDxfId="9133" dataCellStyle="Normal"/>
    <tableColumn id="7301" name="Column7280" dataDxfId="9132" dataCellStyle="Normal"/>
    <tableColumn id="7302" name="Column7281" dataDxfId="9131" dataCellStyle="Normal"/>
    <tableColumn id="7303" name="Column7282" dataDxfId="9130" dataCellStyle="Normal"/>
    <tableColumn id="7304" name="Column7283" dataDxfId="9129" dataCellStyle="Normal"/>
    <tableColumn id="7305" name="Column7284" dataDxfId="9128" dataCellStyle="Normal"/>
    <tableColumn id="7306" name="Column7285" dataDxfId="9127" dataCellStyle="Normal"/>
    <tableColumn id="7307" name="Column7286" dataDxfId="9126" dataCellStyle="Normal"/>
    <tableColumn id="7308" name="Column7287" dataDxfId="9125" dataCellStyle="Normal"/>
    <tableColumn id="7309" name="Column7288" dataDxfId="9124" dataCellStyle="Normal"/>
    <tableColumn id="7310" name="Column7289" dataDxfId="9123" dataCellStyle="Normal"/>
    <tableColumn id="7311" name="Column7290" dataDxfId="9122" dataCellStyle="Normal"/>
    <tableColumn id="7312" name="Column7291" dataDxfId="9121" dataCellStyle="Normal"/>
    <tableColumn id="7313" name="Column7292" dataDxfId="9120" dataCellStyle="Normal"/>
    <tableColumn id="7314" name="Column7293" dataDxfId="9119" dataCellStyle="Normal"/>
    <tableColumn id="7315" name="Column7294" dataDxfId="9118" dataCellStyle="Normal"/>
    <tableColumn id="7316" name="Column7295" dataDxfId="9117" dataCellStyle="Normal"/>
    <tableColumn id="7317" name="Column7296" dataDxfId="9116" dataCellStyle="Normal"/>
    <tableColumn id="7318" name="Column7297" dataDxfId="9115" dataCellStyle="Normal"/>
    <tableColumn id="7319" name="Column7298" dataDxfId="9114" dataCellStyle="Normal"/>
    <tableColumn id="7320" name="Column7299" dataDxfId="9113" dataCellStyle="Normal"/>
    <tableColumn id="7321" name="Column7300" dataDxfId="9112" dataCellStyle="Normal"/>
    <tableColumn id="7322" name="Column7301" dataDxfId="9111" dataCellStyle="Normal"/>
    <tableColumn id="7323" name="Column7302" dataDxfId="9110" dataCellStyle="Normal"/>
    <tableColumn id="7324" name="Column7303" dataDxfId="9109" dataCellStyle="Normal"/>
    <tableColumn id="7325" name="Column7304" dataDxfId="9108" dataCellStyle="Normal"/>
    <tableColumn id="7326" name="Column7305" dataDxfId="9107" dataCellStyle="Normal"/>
    <tableColumn id="7327" name="Column7306" dataDxfId="9106" dataCellStyle="Normal"/>
    <tableColumn id="7328" name="Column7307" dataDxfId="9105" dataCellStyle="Normal"/>
    <tableColumn id="7329" name="Column7308" dataDxfId="9104" dataCellStyle="Normal"/>
    <tableColumn id="7330" name="Column7309" dataDxfId="9103" dataCellStyle="Normal"/>
    <tableColumn id="7331" name="Column7310" dataDxfId="9102" dataCellStyle="Normal"/>
    <tableColumn id="7332" name="Column7311" dataDxfId="9101" dataCellStyle="Normal"/>
    <tableColumn id="7333" name="Column7312" dataDxfId="9100" dataCellStyle="Normal"/>
    <tableColumn id="7334" name="Column7313" dataDxfId="9099" dataCellStyle="Normal"/>
    <tableColumn id="7335" name="Column7314" dataDxfId="9098" dataCellStyle="Normal"/>
    <tableColumn id="7336" name="Column7315" dataDxfId="9097" dataCellStyle="Normal"/>
    <tableColumn id="7337" name="Column7316" dataDxfId="9096" dataCellStyle="Normal"/>
    <tableColumn id="7338" name="Column7317" dataDxfId="9095" dataCellStyle="Normal"/>
    <tableColumn id="7339" name="Column7318" dataDxfId="9094" dataCellStyle="Normal"/>
    <tableColumn id="7340" name="Column7319" dataDxfId="9093" dataCellStyle="Normal"/>
    <tableColumn id="7341" name="Column7320" dataDxfId="9092" dataCellStyle="Normal"/>
    <tableColumn id="7342" name="Column7321" dataDxfId="9091" dataCellStyle="Normal"/>
    <tableColumn id="7343" name="Column7322" dataDxfId="9090" dataCellStyle="Normal"/>
    <tableColumn id="7344" name="Column7323" dataDxfId="9089" dataCellStyle="Normal"/>
    <tableColumn id="7345" name="Column7324" dataDxfId="9088" dataCellStyle="Normal"/>
    <tableColumn id="7346" name="Column7325" dataDxfId="9087" dataCellStyle="Normal"/>
    <tableColumn id="7347" name="Column7326" dataDxfId="9086" dataCellStyle="Normal"/>
    <tableColumn id="7348" name="Column7327" dataDxfId="9085" dataCellStyle="Normal"/>
    <tableColumn id="7349" name="Column7328" dataDxfId="9084" dataCellStyle="Normal"/>
    <tableColumn id="7350" name="Column7329" dataDxfId="9083" dataCellStyle="Normal"/>
    <tableColumn id="7351" name="Column7330" dataDxfId="9082" dataCellStyle="Normal"/>
    <tableColumn id="7352" name="Column7331" dataDxfId="9081" dataCellStyle="Normal"/>
    <tableColumn id="7353" name="Column7332" dataDxfId="9080" dataCellStyle="Normal"/>
    <tableColumn id="7354" name="Column7333" dataDxfId="9079" dataCellStyle="Normal"/>
    <tableColumn id="7355" name="Column7334" dataDxfId="9078" dataCellStyle="Normal"/>
    <tableColumn id="7356" name="Column7335" dataDxfId="9077" dataCellStyle="Normal"/>
    <tableColumn id="7357" name="Column7336" dataDxfId="9076" dataCellStyle="Normal"/>
    <tableColumn id="7358" name="Column7337" dataDxfId="9075" dataCellStyle="Normal"/>
    <tableColumn id="7359" name="Column7338" dataDxfId="9074" dataCellStyle="Normal"/>
    <tableColumn id="7360" name="Column7339" dataDxfId="9073" dataCellStyle="Normal"/>
    <tableColumn id="7361" name="Column7340" dataDxfId="9072" dataCellStyle="Normal"/>
    <tableColumn id="7362" name="Column7341" dataDxfId="9071" dataCellStyle="Normal"/>
    <tableColumn id="7363" name="Column7342" dataDxfId="9070" dataCellStyle="Normal"/>
    <tableColumn id="7364" name="Column7343" dataDxfId="9069" dataCellStyle="Normal"/>
    <tableColumn id="7365" name="Column7344" dataDxfId="9068" dataCellStyle="Normal"/>
    <tableColumn id="7366" name="Column7345" dataDxfId="9067" dataCellStyle="Normal"/>
    <tableColumn id="7367" name="Column7346" dataDxfId="9066" dataCellStyle="Normal"/>
    <tableColumn id="7368" name="Column7347" dataDxfId="9065" dataCellStyle="Normal"/>
    <tableColumn id="7369" name="Column7348" dataDxfId="9064" dataCellStyle="Normal"/>
    <tableColumn id="7370" name="Column7349" dataDxfId="9063" dataCellStyle="Normal"/>
    <tableColumn id="7371" name="Column7350" dataDxfId="9062" dataCellStyle="Normal"/>
    <tableColumn id="7372" name="Column7351" dataDxfId="9061" dataCellStyle="Normal"/>
    <tableColumn id="7373" name="Column7352" dataDxfId="9060" dataCellStyle="Normal"/>
    <tableColumn id="7374" name="Column7353" dataDxfId="9059" dataCellStyle="Normal"/>
    <tableColumn id="7375" name="Column7354" dataDxfId="9058" dataCellStyle="Normal"/>
    <tableColumn id="7376" name="Column7355" dataDxfId="9057" dataCellStyle="Normal"/>
    <tableColumn id="7377" name="Column7356" dataDxfId="9056" dataCellStyle="Normal"/>
    <tableColumn id="7378" name="Column7357" dataDxfId="9055" dataCellStyle="Normal"/>
    <tableColumn id="7379" name="Column7358" dataDxfId="9054" dataCellStyle="Normal"/>
    <tableColumn id="7380" name="Column7359" dataDxfId="9053" dataCellStyle="Normal"/>
    <tableColumn id="7381" name="Column7360" dataDxfId="9052" dataCellStyle="Normal"/>
    <tableColumn id="7382" name="Column7361" dataDxfId="9051" dataCellStyle="Normal"/>
    <tableColumn id="7383" name="Column7362" dataDxfId="9050" dataCellStyle="Normal"/>
    <tableColumn id="7384" name="Column7363" dataDxfId="9049" dataCellStyle="Normal"/>
    <tableColumn id="7385" name="Column7364" dataDxfId="9048" dataCellStyle="Normal"/>
    <tableColumn id="7386" name="Column7365" dataDxfId="9047" dataCellStyle="Normal"/>
    <tableColumn id="7387" name="Column7366" dataDxfId="9046" dataCellStyle="Normal"/>
    <tableColumn id="7388" name="Column7367" dataDxfId="9045" dataCellStyle="Normal"/>
    <tableColumn id="7389" name="Column7368" dataDxfId="9044" dataCellStyle="Normal"/>
    <tableColumn id="7390" name="Column7369" dataDxfId="9043" dataCellStyle="Normal"/>
    <tableColumn id="7391" name="Column7370" dataDxfId="9042" dataCellStyle="Normal"/>
    <tableColumn id="7392" name="Column7371" dataDxfId="9041" dataCellStyle="Normal"/>
    <tableColumn id="7393" name="Column7372" dataDxfId="9040" dataCellStyle="Normal"/>
    <tableColumn id="7394" name="Column7373" dataDxfId="9039" dataCellStyle="Normal"/>
    <tableColumn id="7395" name="Column7374" dataDxfId="9038" dataCellStyle="Normal"/>
    <tableColumn id="7396" name="Column7375" dataDxfId="9037" dataCellStyle="Normal"/>
    <tableColumn id="7397" name="Column7376" dataDxfId="9036" dataCellStyle="Normal"/>
    <tableColumn id="7398" name="Column7377" dataDxfId="9035" dataCellStyle="Normal"/>
    <tableColumn id="7399" name="Column7378" dataDxfId="9034" dataCellStyle="Normal"/>
    <tableColumn id="7400" name="Column7379" dataDxfId="9033" dataCellStyle="Normal"/>
    <tableColumn id="7401" name="Column7380" dataDxfId="9032" dataCellStyle="Normal"/>
    <tableColumn id="7402" name="Column7381" dataDxfId="9031" dataCellStyle="Normal"/>
    <tableColumn id="7403" name="Column7382" dataDxfId="9030" dataCellStyle="Normal"/>
    <tableColumn id="7404" name="Column7383" dataDxfId="9029" dataCellStyle="Normal"/>
    <tableColumn id="7405" name="Column7384" dataDxfId="9028" dataCellStyle="Normal"/>
    <tableColumn id="7406" name="Column7385" dataDxfId="9027" dataCellStyle="Normal"/>
    <tableColumn id="7407" name="Column7386" dataDxfId="9026" dataCellStyle="Normal"/>
    <tableColumn id="7408" name="Column7387" dataDxfId="9025" dataCellStyle="Normal"/>
    <tableColumn id="7409" name="Column7388" dataDxfId="9024" dataCellStyle="Normal"/>
    <tableColumn id="7410" name="Column7389" dataDxfId="9023" dataCellStyle="Normal"/>
    <tableColumn id="7411" name="Column7390" dataDxfId="9022" dataCellStyle="Normal"/>
    <tableColumn id="7412" name="Column7391" dataDxfId="9021" dataCellStyle="Normal"/>
    <tableColumn id="7413" name="Column7392" dataDxfId="9020" dataCellStyle="Normal"/>
    <tableColumn id="7414" name="Column7393" dataDxfId="9019" dataCellStyle="Normal"/>
    <tableColumn id="7415" name="Column7394" dataDxfId="9018" dataCellStyle="Normal"/>
    <tableColumn id="7416" name="Column7395" dataDxfId="9017" dataCellStyle="Normal"/>
    <tableColumn id="7417" name="Column7396" dataDxfId="9016" dataCellStyle="Normal"/>
    <tableColumn id="7418" name="Column7397" dataDxfId="9015" dataCellStyle="Normal"/>
    <tableColumn id="7419" name="Column7398" dataDxfId="9014" dataCellStyle="Normal"/>
    <tableColumn id="7420" name="Column7399" dataDxfId="9013" dataCellStyle="Normal"/>
    <tableColumn id="7421" name="Column7400" dataDxfId="9012" dataCellStyle="Normal"/>
    <tableColumn id="7422" name="Column7401" dataDxfId="9011" dataCellStyle="Normal"/>
    <tableColumn id="7423" name="Column7402" dataDxfId="9010" dataCellStyle="Normal"/>
    <tableColumn id="7424" name="Column7403" dataDxfId="9009" dataCellStyle="Normal"/>
    <tableColumn id="7425" name="Column7404" dataDxfId="9008" dataCellStyle="Normal"/>
    <tableColumn id="7426" name="Column7405" dataDxfId="9007" dataCellStyle="Normal"/>
    <tableColumn id="7427" name="Column7406" dataDxfId="9006" dataCellStyle="Normal"/>
    <tableColumn id="7428" name="Column7407" dataDxfId="9005" dataCellStyle="Normal"/>
    <tableColumn id="7429" name="Column7408" dataDxfId="9004" dataCellStyle="Normal"/>
    <tableColumn id="7430" name="Column7409" dataDxfId="9003" dataCellStyle="Normal"/>
    <tableColumn id="7431" name="Column7410" dataDxfId="9002" dataCellStyle="Normal"/>
    <tableColumn id="7432" name="Column7411" dataDxfId="9001" dataCellStyle="Normal"/>
    <tableColumn id="7433" name="Column7412" dataDxfId="9000" dataCellStyle="Normal"/>
    <tableColumn id="7434" name="Column7413" dataDxfId="8999" dataCellStyle="Normal"/>
    <tableColumn id="7435" name="Column7414" dataDxfId="8998" dataCellStyle="Normal"/>
    <tableColumn id="7436" name="Column7415" dataDxfId="8997" dataCellStyle="Normal"/>
    <tableColumn id="7437" name="Column7416" dataDxfId="8996" dataCellStyle="Normal"/>
    <tableColumn id="7438" name="Column7417" dataDxfId="8995" dataCellStyle="Normal"/>
    <tableColumn id="7439" name="Column7418" dataDxfId="8994" dataCellStyle="Normal"/>
    <tableColumn id="7440" name="Column7419" dataDxfId="8993" dataCellStyle="Normal"/>
    <tableColumn id="7441" name="Column7420" dataDxfId="8992" dataCellStyle="Normal"/>
    <tableColumn id="7442" name="Column7421" dataDxfId="8991" dataCellStyle="Normal"/>
    <tableColumn id="7443" name="Column7422" dataDxfId="8990" dataCellStyle="Normal"/>
    <tableColumn id="7444" name="Column7423" dataDxfId="8989" dataCellStyle="Normal"/>
    <tableColumn id="7445" name="Column7424" dataDxfId="8988" dataCellStyle="Normal"/>
    <tableColumn id="7446" name="Column7425" dataDxfId="8987" dataCellStyle="Normal"/>
    <tableColumn id="7447" name="Column7426" dataDxfId="8986" dataCellStyle="Normal"/>
    <tableColumn id="7448" name="Column7427" dataDxfId="8985" dataCellStyle="Normal"/>
    <tableColumn id="7449" name="Column7428" dataDxfId="8984" dataCellStyle="Normal"/>
    <tableColumn id="7450" name="Column7429" dataDxfId="8983" dataCellStyle="Normal"/>
    <tableColumn id="7451" name="Column7430" dataDxfId="8982" dataCellStyle="Normal"/>
    <tableColumn id="7452" name="Column7431" dataDxfId="8981" dataCellStyle="Normal"/>
    <tableColumn id="7453" name="Column7432" dataDxfId="8980" dataCellStyle="Normal"/>
    <tableColumn id="7454" name="Column7433" dataDxfId="8979" dataCellStyle="Normal"/>
    <tableColumn id="7455" name="Column7434" dataDxfId="8978" dataCellStyle="Normal"/>
    <tableColumn id="7456" name="Column7435" dataDxfId="8977" dataCellStyle="Normal"/>
    <tableColumn id="7457" name="Column7436" dataDxfId="8976" dataCellStyle="Normal"/>
    <tableColumn id="7458" name="Column7437" dataDxfId="8975" dataCellStyle="Normal"/>
    <tableColumn id="7459" name="Column7438" dataDxfId="8974" dataCellStyle="Normal"/>
    <tableColumn id="7460" name="Column7439" dataDxfId="8973" dataCellStyle="Normal"/>
    <tableColumn id="7461" name="Column7440" dataDxfId="8972" dataCellStyle="Normal"/>
    <tableColumn id="7462" name="Column7441" dataDxfId="8971" dataCellStyle="Normal"/>
    <tableColumn id="7463" name="Column7442" dataDxfId="8970" dataCellStyle="Normal"/>
    <tableColumn id="7464" name="Column7443" dataDxfId="8969" dataCellStyle="Normal"/>
    <tableColumn id="7465" name="Column7444" dataDxfId="8968" dataCellStyle="Normal"/>
    <tableColumn id="7466" name="Column7445" dataDxfId="8967" dataCellStyle="Normal"/>
    <tableColumn id="7467" name="Column7446" dataDxfId="8966" dataCellStyle="Normal"/>
    <tableColumn id="7468" name="Column7447" dataDxfId="8965" dataCellStyle="Normal"/>
    <tableColumn id="7469" name="Column7448" dataDxfId="8964" dataCellStyle="Normal"/>
    <tableColumn id="7470" name="Column7449" dataDxfId="8963" dataCellStyle="Normal"/>
    <tableColumn id="7471" name="Column7450" dataDxfId="8962" dataCellStyle="Normal"/>
    <tableColumn id="7472" name="Column7451" dataDxfId="8961" dataCellStyle="Normal"/>
    <tableColumn id="7473" name="Column7452" dataDxfId="8960" dataCellStyle="Normal"/>
    <tableColumn id="7474" name="Column7453" dataDxfId="8959" dataCellStyle="Normal"/>
    <tableColumn id="7475" name="Column7454" dataDxfId="8958" dataCellStyle="Normal"/>
    <tableColumn id="7476" name="Column7455" dataDxfId="8957" dataCellStyle="Normal"/>
    <tableColumn id="7477" name="Column7456" dataDxfId="8956" dataCellStyle="Normal"/>
    <tableColumn id="7478" name="Column7457" dataDxfId="8955" dataCellStyle="Normal"/>
    <tableColumn id="7479" name="Column7458" dataDxfId="8954" dataCellStyle="Normal"/>
    <tableColumn id="7480" name="Column7459" dataDxfId="8953" dataCellStyle="Normal"/>
    <tableColumn id="7481" name="Column7460" dataDxfId="8952" dataCellStyle="Normal"/>
    <tableColumn id="7482" name="Column7461" dataDxfId="8951" dataCellStyle="Normal"/>
    <tableColumn id="7483" name="Column7462" dataDxfId="8950" dataCellStyle="Normal"/>
    <tableColumn id="7484" name="Column7463" dataDxfId="8949" dataCellStyle="Normal"/>
    <tableColumn id="7485" name="Column7464" dataDxfId="8948" dataCellStyle="Normal"/>
    <tableColumn id="7486" name="Column7465" dataDxfId="8947" dataCellStyle="Normal"/>
    <tableColumn id="7487" name="Column7466" dataDxfId="8946" dataCellStyle="Normal"/>
    <tableColumn id="7488" name="Column7467" dataDxfId="8945" dataCellStyle="Normal"/>
    <tableColumn id="7489" name="Column7468" dataDxfId="8944" dataCellStyle="Normal"/>
    <tableColumn id="7490" name="Column7469" dataDxfId="8943" dataCellStyle="Normal"/>
    <tableColumn id="7491" name="Column7470" dataDxfId="8942" dataCellStyle="Normal"/>
    <tableColumn id="7492" name="Column7471" dataDxfId="8941" dataCellStyle="Normal"/>
    <tableColumn id="7493" name="Column7472" dataDxfId="8940" dataCellStyle="Normal"/>
    <tableColumn id="7494" name="Column7473" dataDxfId="8939" dataCellStyle="Normal"/>
    <tableColumn id="7495" name="Column7474" dataDxfId="8938" dataCellStyle="Normal"/>
    <tableColumn id="7496" name="Column7475" dataDxfId="8937" dataCellStyle="Normal"/>
    <tableColumn id="7497" name="Column7476" dataDxfId="8936" dataCellStyle="Normal"/>
    <tableColumn id="7498" name="Column7477" dataDxfId="8935" dataCellStyle="Normal"/>
    <tableColumn id="7499" name="Column7478" dataDxfId="8934" dataCellStyle="Normal"/>
    <tableColumn id="7500" name="Column7479" dataDxfId="8933" dataCellStyle="Normal"/>
    <tableColumn id="7501" name="Column7480" dataDxfId="8932" dataCellStyle="Normal"/>
    <tableColumn id="7502" name="Column7481" dataDxfId="8931" dataCellStyle="Normal"/>
    <tableColumn id="7503" name="Column7482" dataDxfId="8930" dataCellStyle="Normal"/>
    <tableColumn id="7504" name="Column7483" dataDxfId="8929" dataCellStyle="Normal"/>
    <tableColumn id="7505" name="Column7484" dataDxfId="8928" dataCellStyle="Normal"/>
    <tableColumn id="7506" name="Column7485" dataDxfId="8927" dataCellStyle="Normal"/>
    <tableColumn id="7507" name="Column7486" dataDxfId="8926" dataCellStyle="Normal"/>
    <tableColumn id="7508" name="Column7487" dataDxfId="8925" dataCellStyle="Normal"/>
    <tableColumn id="7509" name="Column7488" dataDxfId="8924" dataCellStyle="Normal"/>
    <tableColumn id="7510" name="Column7489" dataDxfId="8923" dataCellStyle="Normal"/>
    <tableColumn id="7511" name="Column7490" dataDxfId="8922" dataCellStyle="Normal"/>
    <tableColumn id="7512" name="Column7491" dataDxfId="8921" dataCellStyle="Normal"/>
    <tableColumn id="7513" name="Column7492" dataDxfId="8920" dataCellStyle="Normal"/>
    <tableColumn id="7514" name="Column7493" dataDxfId="8919" dataCellStyle="Normal"/>
    <tableColumn id="7515" name="Column7494" dataDxfId="8918" dataCellStyle="Normal"/>
    <tableColumn id="7516" name="Column7495" dataDxfId="8917" dataCellStyle="Normal"/>
    <tableColumn id="7517" name="Column7496" dataDxfId="8916" dataCellStyle="Normal"/>
    <tableColumn id="7518" name="Column7497" dataDxfId="8915" dataCellStyle="Normal"/>
    <tableColumn id="7519" name="Column7498" dataDxfId="8914" dataCellStyle="Normal"/>
    <tableColumn id="7520" name="Column7499" dataDxfId="8913" dataCellStyle="Normal"/>
    <tableColumn id="7521" name="Column7500" dataDxfId="8912" dataCellStyle="Normal"/>
    <tableColumn id="7522" name="Column7501" dataDxfId="8911" dataCellStyle="Normal"/>
    <tableColumn id="7523" name="Column7502" dataDxfId="8910" dataCellStyle="Normal"/>
    <tableColumn id="7524" name="Column7503" dataDxfId="8909" dataCellStyle="Normal"/>
    <tableColumn id="7525" name="Column7504" dataDxfId="8908" dataCellStyle="Normal"/>
    <tableColumn id="7526" name="Column7505" dataDxfId="8907" dataCellStyle="Normal"/>
    <tableColumn id="7527" name="Column7506" dataDxfId="8906" dataCellStyle="Normal"/>
    <tableColumn id="7528" name="Column7507" dataDxfId="8905" dataCellStyle="Normal"/>
    <tableColumn id="7529" name="Column7508" dataDxfId="8904" dataCellStyle="Normal"/>
    <tableColumn id="7530" name="Column7509" dataDxfId="8903" dataCellStyle="Normal"/>
    <tableColumn id="7531" name="Column7510" dataDxfId="8902" dataCellStyle="Normal"/>
    <tableColumn id="7532" name="Column7511" dataDxfId="8901" dataCellStyle="Normal"/>
    <tableColumn id="7533" name="Column7512" dataDxfId="8900" dataCellStyle="Normal"/>
    <tableColumn id="7534" name="Column7513" dataDxfId="8899" dataCellStyle="Normal"/>
    <tableColumn id="7535" name="Column7514" dataDxfId="8898" dataCellStyle="Normal"/>
    <tableColumn id="7536" name="Column7515" dataDxfId="8897" dataCellStyle="Normal"/>
    <tableColumn id="7537" name="Column7516" dataDxfId="8896" dataCellStyle="Normal"/>
    <tableColumn id="7538" name="Column7517" dataDxfId="8895" dataCellStyle="Normal"/>
    <tableColumn id="7539" name="Column7518" dataDxfId="8894" dataCellStyle="Normal"/>
    <tableColumn id="7540" name="Column7519" dataDxfId="8893" dataCellStyle="Normal"/>
    <tableColumn id="7541" name="Column7520" dataDxfId="8892" dataCellStyle="Normal"/>
    <tableColumn id="7542" name="Column7521" dataDxfId="8891" dataCellStyle="Normal"/>
    <tableColumn id="7543" name="Column7522" dataDxfId="8890" dataCellStyle="Normal"/>
    <tableColumn id="7544" name="Column7523" dataDxfId="8889" dataCellStyle="Normal"/>
    <tableColumn id="7545" name="Column7524" dataDxfId="8888" dataCellStyle="Normal"/>
    <tableColumn id="7546" name="Column7525" dataDxfId="8887" dataCellStyle="Normal"/>
    <tableColumn id="7547" name="Column7526" dataDxfId="8886" dataCellStyle="Normal"/>
    <tableColumn id="7548" name="Column7527" dataDxfId="8885" dataCellStyle="Normal"/>
    <tableColumn id="7549" name="Column7528" dataDxfId="8884" dataCellStyle="Normal"/>
    <tableColumn id="7550" name="Column7529" dataDxfId="8883" dataCellStyle="Normal"/>
    <tableColumn id="7551" name="Column7530" dataDxfId="8882" dataCellStyle="Normal"/>
    <tableColumn id="7552" name="Column7531" dataDxfId="8881" dataCellStyle="Normal"/>
    <tableColumn id="7553" name="Column7532" dataDxfId="8880" dataCellStyle="Normal"/>
    <tableColumn id="7554" name="Column7533" dataDxfId="8879" dataCellStyle="Normal"/>
    <tableColumn id="7555" name="Column7534" dataDxfId="8878" dataCellStyle="Normal"/>
    <tableColumn id="7556" name="Column7535" dataDxfId="8877" dataCellStyle="Normal"/>
    <tableColumn id="7557" name="Column7536" dataDxfId="8876" dataCellStyle="Normal"/>
    <tableColumn id="7558" name="Column7537" dataDxfId="8875" dataCellStyle="Normal"/>
    <tableColumn id="7559" name="Column7538" dataDxfId="8874" dataCellStyle="Normal"/>
    <tableColumn id="7560" name="Column7539" dataDxfId="8873" dataCellStyle="Normal"/>
    <tableColumn id="7561" name="Column7540" dataDxfId="8872" dataCellStyle="Normal"/>
    <tableColumn id="7562" name="Column7541" dataDxfId="8871" dataCellStyle="Normal"/>
    <tableColumn id="7563" name="Column7542" dataDxfId="8870" dataCellStyle="Normal"/>
    <tableColumn id="7564" name="Column7543" dataDxfId="8869" dataCellStyle="Normal"/>
    <tableColumn id="7565" name="Column7544" dataDxfId="8868" dataCellStyle="Normal"/>
    <tableColumn id="7566" name="Column7545" dataDxfId="8867" dataCellStyle="Normal"/>
    <tableColumn id="7567" name="Column7546" dataDxfId="8866" dataCellStyle="Normal"/>
    <tableColumn id="7568" name="Column7547" dataDxfId="8865" dataCellStyle="Normal"/>
    <tableColumn id="7569" name="Column7548" dataDxfId="8864" dataCellStyle="Normal"/>
    <tableColumn id="7570" name="Column7549" dataDxfId="8863" dataCellStyle="Normal"/>
    <tableColumn id="7571" name="Column7550" dataDxfId="8862" dataCellStyle="Normal"/>
    <tableColumn id="7572" name="Column7551" dataDxfId="8861" dataCellStyle="Normal"/>
    <tableColumn id="7573" name="Column7552" dataDxfId="8860" dataCellStyle="Normal"/>
    <tableColumn id="7574" name="Column7553" dataDxfId="8859" dataCellStyle="Normal"/>
    <tableColumn id="7575" name="Column7554" dataDxfId="8858" dataCellStyle="Normal"/>
    <tableColumn id="7576" name="Column7555" dataDxfId="8857" dataCellStyle="Normal"/>
    <tableColumn id="7577" name="Column7556" dataDxfId="8856" dataCellStyle="Normal"/>
    <tableColumn id="7578" name="Column7557" dataDxfId="8855" dataCellStyle="Normal"/>
    <tableColumn id="7579" name="Column7558" dataDxfId="8854" dataCellStyle="Normal"/>
    <tableColumn id="7580" name="Column7559" dataDxfId="8853" dataCellStyle="Normal"/>
    <tableColumn id="7581" name="Column7560" dataDxfId="8852" dataCellStyle="Normal"/>
    <tableColumn id="7582" name="Column7561" dataDxfId="8851" dataCellStyle="Normal"/>
    <tableColumn id="7583" name="Column7562" dataDxfId="8850" dataCellStyle="Normal"/>
    <tableColumn id="7584" name="Column7563" dataDxfId="8849" dataCellStyle="Normal"/>
    <tableColumn id="7585" name="Column7564" dataDxfId="8848" dataCellStyle="Normal"/>
    <tableColumn id="7586" name="Column7565" dataDxfId="8847" dataCellStyle="Normal"/>
    <tableColumn id="7587" name="Column7566" dataDxfId="8846" dataCellStyle="Normal"/>
    <tableColumn id="7588" name="Column7567" dataDxfId="8845" dataCellStyle="Normal"/>
    <tableColumn id="7589" name="Column7568" dataDxfId="8844" dataCellStyle="Normal"/>
    <tableColumn id="7590" name="Column7569" dataDxfId="8843" dataCellStyle="Normal"/>
    <tableColumn id="7591" name="Column7570" dataDxfId="8842" dataCellStyle="Normal"/>
    <tableColumn id="7592" name="Column7571" dataDxfId="8841" dataCellStyle="Normal"/>
    <tableColumn id="7593" name="Column7572" dataDxfId="8840" dataCellStyle="Normal"/>
    <tableColumn id="7594" name="Column7573" dataDxfId="8839" dataCellStyle="Normal"/>
    <tableColumn id="7595" name="Column7574" dataDxfId="8838" dataCellStyle="Normal"/>
    <tableColumn id="7596" name="Column7575" dataDxfId="8837" dataCellStyle="Normal"/>
    <tableColumn id="7597" name="Column7576" dataDxfId="8836" dataCellStyle="Normal"/>
    <tableColumn id="7598" name="Column7577" dataDxfId="8835" dataCellStyle="Normal"/>
    <tableColumn id="7599" name="Column7578" dataDxfId="8834" dataCellStyle="Normal"/>
    <tableColumn id="7600" name="Column7579" dataDxfId="8833" dataCellStyle="Normal"/>
    <tableColumn id="7601" name="Column7580" dataDxfId="8832" dataCellStyle="Normal"/>
    <tableColumn id="7602" name="Column7581" dataDxfId="8831" dataCellStyle="Normal"/>
    <tableColumn id="7603" name="Column7582" dataDxfId="8830" dataCellStyle="Normal"/>
    <tableColumn id="7604" name="Column7583" dataDxfId="8829" dataCellStyle="Normal"/>
    <tableColumn id="7605" name="Column7584" dataDxfId="8828" dataCellStyle="Normal"/>
    <tableColumn id="7606" name="Column7585" dataDxfId="8827" dataCellStyle="Normal"/>
    <tableColumn id="7607" name="Column7586" dataDxfId="8826" dataCellStyle="Normal"/>
    <tableColumn id="7608" name="Column7587" dataDxfId="8825" dataCellStyle="Normal"/>
    <tableColumn id="7609" name="Column7588" dataDxfId="8824" dataCellStyle="Normal"/>
    <tableColumn id="7610" name="Column7589" dataDxfId="8823" dataCellStyle="Normal"/>
    <tableColumn id="7611" name="Column7590" dataDxfId="8822" dataCellStyle="Normal"/>
    <tableColumn id="7612" name="Column7591" dataDxfId="8821" dataCellStyle="Normal"/>
    <tableColumn id="7613" name="Column7592" dataDxfId="8820" dataCellStyle="Normal"/>
    <tableColumn id="7614" name="Column7593" dataDxfId="8819" dataCellStyle="Normal"/>
    <tableColumn id="7615" name="Column7594" dataDxfId="8818" dataCellStyle="Normal"/>
    <tableColumn id="7616" name="Column7595" dataDxfId="8817" dataCellStyle="Normal"/>
    <tableColumn id="7617" name="Column7596" dataDxfId="8816" dataCellStyle="Normal"/>
    <tableColumn id="7618" name="Column7597" dataDxfId="8815" dataCellStyle="Normal"/>
    <tableColumn id="7619" name="Column7598" dataDxfId="8814" dataCellStyle="Normal"/>
    <tableColumn id="7620" name="Column7599" dataDxfId="8813" dataCellStyle="Normal"/>
    <tableColumn id="7621" name="Column7600" dataDxfId="8812" dataCellStyle="Normal"/>
    <tableColumn id="7622" name="Column7601" dataDxfId="8811" dataCellStyle="Normal"/>
    <tableColumn id="7623" name="Column7602" dataDxfId="8810" dataCellStyle="Normal"/>
    <tableColumn id="7624" name="Column7603" dataDxfId="8809" dataCellStyle="Normal"/>
    <tableColumn id="7625" name="Column7604" dataDxfId="8808" dataCellStyle="Normal"/>
    <tableColumn id="7626" name="Column7605" dataDxfId="8807" dataCellStyle="Normal"/>
    <tableColumn id="7627" name="Column7606" dataDxfId="8806" dataCellStyle="Normal"/>
    <tableColumn id="7628" name="Column7607" dataDxfId="8805" dataCellStyle="Normal"/>
    <tableColumn id="7629" name="Column7608" dataDxfId="8804" dataCellStyle="Normal"/>
    <tableColumn id="7630" name="Column7609" dataDxfId="8803" dataCellStyle="Normal"/>
    <tableColumn id="7631" name="Column7610" dataDxfId="8802" dataCellStyle="Normal"/>
    <tableColumn id="7632" name="Column7611" dataDxfId="8801" dataCellStyle="Normal"/>
    <tableColumn id="7633" name="Column7612" dataDxfId="8800" dataCellStyle="Normal"/>
    <tableColumn id="7634" name="Column7613" dataDxfId="8799" dataCellStyle="Normal"/>
    <tableColumn id="7635" name="Column7614" dataDxfId="8798" dataCellStyle="Normal"/>
    <tableColumn id="7636" name="Column7615" dataDxfId="8797" dataCellStyle="Normal"/>
    <tableColumn id="7637" name="Column7616" dataDxfId="8796" dataCellStyle="Normal"/>
    <tableColumn id="7638" name="Column7617" dataDxfId="8795" dataCellStyle="Normal"/>
    <tableColumn id="7639" name="Column7618" dataDxfId="8794" dataCellStyle="Normal"/>
    <tableColumn id="7640" name="Column7619" dataDxfId="8793" dataCellStyle="Normal"/>
    <tableColumn id="7641" name="Column7620" dataDxfId="8792" dataCellStyle="Normal"/>
    <tableColumn id="7642" name="Column7621" dataDxfId="8791" dataCellStyle="Normal"/>
    <tableColumn id="7643" name="Column7622" dataDxfId="8790" dataCellStyle="Normal"/>
    <tableColumn id="7644" name="Column7623" dataDxfId="8789" dataCellStyle="Normal"/>
    <tableColumn id="7645" name="Column7624" dataDxfId="8788" dataCellStyle="Normal"/>
    <tableColumn id="7646" name="Column7625" dataDxfId="8787" dataCellStyle="Normal"/>
    <tableColumn id="7647" name="Column7626" dataDxfId="8786" dataCellStyle="Normal"/>
    <tableColumn id="7648" name="Column7627" dataDxfId="8785" dataCellStyle="Normal"/>
    <tableColumn id="7649" name="Column7628" dataDxfId="8784" dataCellStyle="Normal"/>
    <tableColumn id="7650" name="Column7629" dataDxfId="8783" dataCellStyle="Normal"/>
    <tableColumn id="7651" name="Column7630" dataDxfId="8782" dataCellStyle="Normal"/>
    <tableColumn id="7652" name="Column7631" dataDxfId="8781" dataCellStyle="Normal"/>
    <tableColumn id="7653" name="Column7632" dataDxfId="8780" dataCellStyle="Normal"/>
    <tableColumn id="7654" name="Column7633" dataDxfId="8779" dataCellStyle="Normal"/>
    <tableColumn id="7655" name="Column7634" dataDxfId="8778" dataCellStyle="Normal"/>
    <tableColumn id="7656" name="Column7635" dataDxfId="8777" dataCellStyle="Normal"/>
    <tableColumn id="7657" name="Column7636" dataDxfId="8776" dataCellStyle="Normal"/>
    <tableColumn id="7658" name="Column7637" dataDxfId="8775" dataCellStyle="Normal"/>
    <tableColumn id="7659" name="Column7638" dataDxfId="8774" dataCellStyle="Normal"/>
    <tableColumn id="7660" name="Column7639" dataDxfId="8773" dataCellStyle="Normal"/>
    <tableColumn id="7661" name="Column7640" dataDxfId="8772" dataCellStyle="Normal"/>
    <tableColumn id="7662" name="Column7641" dataDxfId="8771" dataCellStyle="Normal"/>
    <tableColumn id="7663" name="Column7642" dataDxfId="8770" dataCellStyle="Normal"/>
    <tableColumn id="7664" name="Column7643" dataDxfId="8769" dataCellStyle="Normal"/>
    <tableColumn id="7665" name="Column7644" dataDxfId="8768" dataCellStyle="Normal"/>
    <tableColumn id="7666" name="Column7645" dataDxfId="8767" dataCellStyle="Normal"/>
    <tableColumn id="7667" name="Column7646" dataDxfId="8766" dataCellStyle="Normal"/>
    <tableColumn id="7668" name="Column7647" dataDxfId="8765" dataCellStyle="Normal"/>
    <tableColumn id="7669" name="Column7648" dataDxfId="8764" dataCellStyle="Normal"/>
    <tableColumn id="7670" name="Column7649" dataDxfId="8763" dataCellStyle="Normal"/>
    <tableColumn id="7671" name="Column7650" dataDxfId="8762" dataCellStyle="Normal"/>
    <tableColumn id="7672" name="Column7651" dataDxfId="8761" dataCellStyle="Normal"/>
    <tableColumn id="7673" name="Column7652" dataDxfId="8760" dataCellStyle="Normal"/>
    <tableColumn id="7674" name="Column7653" dataDxfId="8759" dataCellStyle="Normal"/>
    <tableColumn id="7675" name="Column7654" dataDxfId="8758" dataCellStyle="Normal"/>
    <tableColumn id="7676" name="Column7655" dataDxfId="8757" dataCellStyle="Normal"/>
    <tableColumn id="7677" name="Column7656" dataDxfId="8756" dataCellStyle="Normal"/>
    <tableColumn id="7678" name="Column7657" dataDxfId="8755" dataCellStyle="Normal"/>
    <tableColumn id="7679" name="Column7658" dataDxfId="8754" dataCellStyle="Normal"/>
    <tableColumn id="7680" name="Column7659" dataDxfId="8753" dataCellStyle="Normal"/>
    <tableColumn id="7681" name="Column7660" dataDxfId="8752" dataCellStyle="Normal"/>
    <tableColumn id="7682" name="Column7661" dataDxfId="8751" dataCellStyle="Normal"/>
    <tableColumn id="7683" name="Column7662" dataDxfId="8750" dataCellStyle="Normal"/>
    <tableColumn id="7684" name="Column7663" dataDxfId="8749" dataCellStyle="Normal"/>
    <tableColumn id="7685" name="Column7664" dataDxfId="8748" dataCellStyle="Normal"/>
    <tableColumn id="7686" name="Column7665" dataDxfId="8747" dataCellStyle="Normal"/>
    <tableColumn id="7687" name="Column7666" dataDxfId="8746" dataCellStyle="Normal"/>
    <tableColumn id="7688" name="Column7667" dataDxfId="8745" dataCellStyle="Normal"/>
    <tableColumn id="7689" name="Column7668" dataDxfId="8744" dataCellStyle="Normal"/>
    <tableColumn id="7690" name="Column7669" dataDxfId="8743" dataCellStyle="Normal"/>
    <tableColumn id="7691" name="Column7670" dataDxfId="8742" dataCellStyle="Normal"/>
    <tableColumn id="7692" name="Column7671" dataDxfId="8741" dataCellStyle="Normal"/>
    <tableColumn id="7693" name="Column7672" dataDxfId="8740" dataCellStyle="Normal"/>
    <tableColumn id="7694" name="Column7673" dataDxfId="8739" dataCellStyle="Normal"/>
    <tableColumn id="7695" name="Column7674" dataDxfId="8738" dataCellStyle="Normal"/>
    <tableColumn id="7696" name="Column7675" dataDxfId="8737" dataCellStyle="Normal"/>
    <tableColumn id="7697" name="Column7676" dataDxfId="8736" dataCellStyle="Normal"/>
    <tableColumn id="7698" name="Column7677" dataDxfId="8735" dataCellStyle="Normal"/>
    <tableColumn id="7699" name="Column7678" dataDxfId="8734" dataCellStyle="Normal"/>
    <tableColumn id="7700" name="Column7679" dataDxfId="8733" dataCellStyle="Normal"/>
    <tableColumn id="7701" name="Column7680" dataDxfId="8732" dataCellStyle="Normal"/>
    <tableColumn id="7702" name="Column7681" dataDxfId="8731" dataCellStyle="Normal"/>
    <tableColumn id="7703" name="Column7682" dataDxfId="8730" dataCellStyle="Normal"/>
    <tableColumn id="7704" name="Column7683" dataDxfId="8729" dataCellStyle="Normal"/>
    <tableColumn id="7705" name="Column7684" dataDxfId="8728" dataCellStyle="Normal"/>
    <tableColumn id="7706" name="Column7685" dataDxfId="8727" dataCellStyle="Normal"/>
    <tableColumn id="7707" name="Column7686" dataDxfId="8726" dataCellStyle="Normal"/>
    <tableColumn id="7708" name="Column7687" dataDxfId="8725" dataCellStyle="Normal"/>
    <tableColumn id="7709" name="Column7688" dataDxfId="8724" dataCellStyle="Normal"/>
    <tableColumn id="7710" name="Column7689" dataDxfId="8723" dataCellStyle="Normal"/>
    <tableColumn id="7711" name="Column7690" dataDxfId="8722" dataCellStyle="Normal"/>
    <tableColumn id="7712" name="Column7691" dataDxfId="8721" dataCellStyle="Normal"/>
    <tableColumn id="7713" name="Column7692" dataDxfId="8720" dataCellStyle="Normal"/>
    <tableColumn id="7714" name="Column7693" dataDxfId="8719" dataCellStyle="Normal"/>
    <tableColumn id="7715" name="Column7694" dataDxfId="8718" dataCellStyle="Normal"/>
    <tableColumn id="7716" name="Column7695" dataDxfId="8717" dataCellStyle="Normal"/>
    <tableColumn id="7717" name="Column7696" dataDxfId="8716" dataCellStyle="Normal"/>
    <tableColumn id="7718" name="Column7697" dataDxfId="8715" dataCellStyle="Normal"/>
    <tableColumn id="7719" name="Column7698" dataDxfId="8714" dataCellStyle="Normal"/>
    <tableColumn id="7720" name="Column7699" dataDxfId="8713" dataCellStyle="Normal"/>
    <tableColumn id="7721" name="Column7700" dataDxfId="8712" dataCellStyle="Normal"/>
    <tableColumn id="7722" name="Column7701" dataDxfId="8711" dataCellStyle="Normal"/>
    <tableColumn id="7723" name="Column7702" dataDxfId="8710" dataCellStyle="Normal"/>
    <tableColumn id="7724" name="Column7703" dataDxfId="8709" dataCellStyle="Normal"/>
    <tableColumn id="7725" name="Column7704" dataDxfId="8708" dataCellStyle="Normal"/>
    <tableColumn id="7726" name="Column7705" dataDxfId="8707" dataCellStyle="Normal"/>
    <tableColumn id="7727" name="Column7706" dataDxfId="8706" dataCellStyle="Normal"/>
    <tableColumn id="7728" name="Column7707" dataDxfId="8705" dataCellStyle="Normal"/>
    <tableColumn id="7729" name="Column7708" dataDxfId="8704" dataCellStyle="Normal"/>
    <tableColumn id="7730" name="Column7709" dataDxfId="8703" dataCellStyle="Normal"/>
    <tableColumn id="7731" name="Column7710" dataDxfId="8702" dataCellStyle="Normal"/>
    <tableColumn id="7732" name="Column7711" dataDxfId="8701" dataCellStyle="Normal"/>
    <tableColumn id="7733" name="Column7712" dataDxfId="8700" dataCellStyle="Normal"/>
    <tableColumn id="7734" name="Column7713" dataDxfId="8699" dataCellStyle="Normal"/>
    <tableColumn id="7735" name="Column7714" dataDxfId="8698" dataCellStyle="Normal"/>
    <tableColumn id="7736" name="Column7715" dataDxfId="8697" dataCellStyle="Normal"/>
    <tableColumn id="7737" name="Column7716" dataDxfId="8696" dataCellStyle="Normal"/>
    <tableColumn id="7738" name="Column7717" dataDxfId="8695" dataCellStyle="Normal"/>
    <tableColumn id="7739" name="Column7718" dataDxfId="8694" dataCellStyle="Normal"/>
    <tableColumn id="7740" name="Column7719" dataDxfId="8693" dataCellStyle="Normal"/>
    <tableColumn id="7741" name="Column7720" dataDxfId="8692" dataCellStyle="Normal"/>
    <tableColumn id="7742" name="Column7721" dataDxfId="8691" dataCellStyle="Normal"/>
    <tableColumn id="7743" name="Column7722" dataDxfId="8690" dataCellStyle="Normal"/>
    <tableColumn id="7744" name="Column7723" dataDxfId="8689" dataCellStyle="Normal"/>
    <tableColumn id="7745" name="Column7724" dataDxfId="8688" dataCellStyle="Normal"/>
    <tableColumn id="7746" name="Column7725" dataDxfId="8687" dataCellStyle="Normal"/>
    <tableColumn id="7747" name="Column7726" dataDxfId="8686" dataCellStyle="Normal"/>
    <tableColumn id="7748" name="Column7727" dataDxfId="8685" dataCellStyle="Normal"/>
    <tableColumn id="7749" name="Column7728" dataDxfId="8684" dataCellStyle="Normal"/>
    <tableColumn id="7750" name="Column7729" dataDxfId="8683" dataCellStyle="Normal"/>
    <tableColumn id="7751" name="Column7730" dataDxfId="8682" dataCellStyle="Normal"/>
    <tableColumn id="7752" name="Column7731" dataDxfId="8681" dataCellStyle="Normal"/>
    <tableColumn id="7753" name="Column7732" dataDxfId="8680" dataCellStyle="Normal"/>
    <tableColumn id="7754" name="Column7733" dataDxfId="8679" dataCellStyle="Normal"/>
    <tableColumn id="7755" name="Column7734" dataDxfId="8678" dataCellStyle="Normal"/>
    <tableColumn id="7756" name="Column7735" dataDxfId="8677" dataCellStyle="Normal"/>
    <tableColumn id="7757" name="Column7736" dataDxfId="8676" dataCellStyle="Normal"/>
    <tableColumn id="7758" name="Column7737" dataDxfId="8675" dataCellStyle="Normal"/>
    <tableColumn id="7759" name="Column7738" dataDxfId="8674" dataCellStyle="Normal"/>
    <tableColumn id="7760" name="Column7739" dataDxfId="8673" dataCellStyle="Normal"/>
    <tableColumn id="7761" name="Column7740" dataDxfId="8672" dataCellStyle="Normal"/>
    <tableColumn id="7762" name="Column7741" dataDxfId="8671" dataCellStyle="Normal"/>
    <tableColumn id="7763" name="Column7742" dataDxfId="8670" dataCellStyle="Normal"/>
    <tableColumn id="7764" name="Column7743" dataDxfId="8669" dataCellStyle="Normal"/>
    <tableColumn id="7765" name="Column7744" dataDxfId="8668" dataCellStyle="Normal"/>
    <tableColumn id="7766" name="Column7745" dataDxfId="8667" dataCellStyle="Normal"/>
    <tableColumn id="7767" name="Column7746" dataDxfId="8666" dataCellStyle="Normal"/>
    <tableColumn id="7768" name="Column7747" dataDxfId="8665" dataCellStyle="Normal"/>
    <tableColumn id="7769" name="Column7748" dataDxfId="8664" dataCellStyle="Normal"/>
    <tableColumn id="7770" name="Column7749" dataDxfId="8663" dataCellStyle="Normal"/>
    <tableColumn id="7771" name="Column7750" dataDxfId="8662" dataCellStyle="Normal"/>
    <tableColumn id="7772" name="Column7751" dataDxfId="8661" dataCellStyle="Normal"/>
    <tableColumn id="7773" name="Column7752" dataDxfId="8660" dataCellStyle="Normal"/>
    <tableColumn id="7774" name="Column7753" dataDxfId="8659" dataCellStyle="Normal"/>
    <tableColumn id="7775" name="Column7754" dataDxfId="8658" dataCellStyle="Normal"/>
    <tableColumn id="7776" name="Column7755" dataDxfId="8657" dataCellStyle="Normal"/>
    <tableColumn id="7777" name="Column7756" dataDxfId="8656" dataCellStyle="Normal"/>
    <tableColumn id="7778" name="Column7757" dataDxfId="8655" dataCellStyle="Normal"/>
    <tableColumn id="7779" name="Column7758" dataDxfId="8654" dataCellStyle="Normal"/>
    <tableColumn id="7780" name="Column7759" dataDxfId="8653" dataCellStyle="Normal"/>
    <tableColumn id="7781" name="Column7760" dataDxfId="8652" dataCellStyle="Normal"/>
    <tableColumn id="7782" name="Column7761" dataDxfId="8651" dataCellStyle="Normal"/>
    <tableColumn id="7783" name="Column7762" dataDxfId="8650" dataCellStyle="Normal"/>
    <tableColumn id="7784" name="Column7763" dataDxfId="8649" dataCellStyle="Normal"/>
    <tableColumn id="7785" name="Column7764" dataDxfId="8648" dataCellStyle="Normal"/>
    <tableColumn id="7786" name="Column7765" dataDxfId="8647" dataCellStyle="Normal"/>
    <tableColumn id="7787" name="Column7766" dataDxfId="8646" dataCellStyle="Normal"/>
    <tableColumn id="7788" name="Column7767" dataDxfId="8645" dataCellStyle="Normal"/>
    <tableColumn id="7789" name="Column7768" dataDxfId="8644" dataCellStyle="Normal"/>
    <tableColumn id="7790" name="Column7769" dataDxfId="8643" dataCellStyle="Normal"/>
    <tableColumn id="7791" name="Column7770" dataDxfId="8642" dataCellStyle="Normal"/>
    <tableColumn id="7792" name="Column7771" dataDxfId="8641" dataCellStyle="Normal"/>
    <tableColumn id="7793" name="Column7772" dataDxfId="8640" dataCellStyle="Normal"/>
    <tableColumn id="7794" name="Column7773" dataDxfId="8639" dataCellStyle="Normal"/>
    <tableColumn id="7795" name="Column7774" dataDxfId="8638" dataCellStyle="Normal"/>
    <tableColumn id="7796" name="Column7775" dataDxfId="8637" dataCellStyle="Normal"/>
    <tableColumn id="7797" name="Column7776" dataDxfId="8636" dataCellStyle="Normal"/>
    <tableColumn id="7798" name="Column7777" dataDxfId="8635" dataCellStyle="Normal"/>
    <tableColumn id="7799" name="Column7778" dataDxfId="8634" dataCellStyle="Normal"/>
    <tableColumn id="7800" name="Column7779" dataDxfId="8633" dataCellStyle="Normal"/>
    <tableColumn id="7801" name="Column7780" dataDxfId="8632" dataCellStyle="Normal"/>
    <tableColumn id="7802" name="Column7781" dataDxfId="8631" dataCellStyle="Normal"/>
    <tableColumn id="7803" name="Column7782" dataDxfId="8630" dataCellStyle="Normal"/>
    <tableColumn id="7804" name="Column7783" dataDxfId="8629" dataCellStyle="Normal"/>
    <tableColumn id="7805" name="Column7784" dataDxfId="8628" dataCellStyle="Normal"/>
    <tableColumn id="7806" name="Column7785" dataDxfId="8627" dataCellStyle="Normal"/>
    <tableColumn id="7807" name="Column7786" dataDxfId="8626" dataCellStyle="Normal"/>
    <tableColumn id="7808" name="Column7787" dataDxfId="8625" dataCellStyle="Normal"/>
    <tableColumn id="7809" name="Column7788" dataDxfId="8624" dataCellStyle="Normal"/>
    <tableColumn id="7810" name="Column7789" dataDxfId="8623" dataCellStyle="Normal"/>
    <tableColumn id="7811" name="Column7790" dataDxfId="8622" dataCellStyle="Normal"/>
    <tableColumn id="7812" name="Column7791" dataDxfId="8621" dataCellStyle="Normal"/>
    <tableColumn id="7813" name="Column7792" dataDxfId="8620" dataCellStyle="Normal"/>
    <tableColumn id="7814" name="Column7793" dataDxfId="8619" dataCellStyle="Normal"/>
    <tableColumn id="7815" name="Column7794" dataDxfId="8618" dataCellStyle="Normal"/>
    <tableColumn id="7816" name="Column7795" dataDxfId="8617" dataCellStyle="Normal"/>
    <tableColumn id="7817" name="Column7796" dataDxfId="8616" dataCellStyle="Normal"/>
    <tableColumn id="7818" name="Column7797" dataDxfId="8615" dataCellStyle="Normal"/>
    <tableColumn id="7819" name="Column7798" dataDxfId="8614" dataCellStyle="Normal"/>
    <tableColumn id="7820" name="Column7799" dataDxfId="8613" dataCellStyle="Normal"/>
    <tableColumn id="7821" name="Column7800" dataDxfId="8612" dataCellStyle="Normal"/>
    <tableColumn id="7822" name="Column7801" dataDxfId="8611" dataCellStyle="Normal"/>
    <tableColumn id="7823" name="Column7802" dataDxfId="8610" dataCellStyle="Normal"/>
    <tableColumn id="7824" name="Column7803" dataDxfId="8609" dataCellStyle="Normal"/>
    <tableColumn id="7825" name="Column7804" dataDxfId="8608" dataCellStyle="Normal"/>
    <tableColumn id="7826" name="Column7805" dataDxfId="8607" dataCellStyle="Normal"/>
    <tableColumn id="7827" name="Column7806" dataDxfId="8606" dataCellStyle="Normal"/>
    <tableColumn id="7828" name="Column7807" dataDxfId="8605" dataCellStyle="Normal"/>
    <tableColumn id="7829" name="Column7808" dataDxfId="8604" dataCellStyle="Normal"/>
    <tableColumn id="7830" name="Column7809" dataDxfId="8603" dataCellStyle="Normal"/>
    <tableColumn id="7831" name="Column7810" dataDxfId="8602" dataCellStyle="Normal"/>
    <tableColumn id="7832" name="Column7811" dataDxfId="8601" dataCellStyle="Normal"/>
    <tableColumn id="7833" name="Column7812" dataDxfId="8600" dataCellStyle="Normal"/>
    <tableColumn id="7834" name="Column7813" dataDxfId="8599" dataCellStyle="Normal"/>
    <tableColumn id="7835" name="Column7814" dataDxfId="8598" dataCellStyle="Normal"/>
    <tableColumn id="7836" name="Column7815" dataDxfId="8597" dataCellStyle="Normal"/>
    <tableColumn id="7837" name="Column7816" dataDxfId="8596" dataCellStyle="Normal"/>
    <tableColumn id="7838" name="Column7817" dataDxfId="8595" dataCellStyle="Normal"/>
    <tableColumn id="7839" name="Column7818" dataDxfId="8594" dataCellStyle="Normal"/>
    <tableColumn id="7840" name="Column7819" dataDxfId="8593" dataCellStyle="Normal"/>
    <tableColumn id="7841" name="Column7820" dataDxfId="8592" dataCellStyle="Normal"/>
    <tableColumn id="7842" name="Column7821" dataDxfId="8591" dataCellStyle="Normal"/>
    <tableColumn id="7843" name="Column7822" dataDxfId="8590" dataCellStyle="Normal"/>
    <tableColumn id="7844" name="Column7823" dataDxfId="8589" dataCellStyle="Normal"/>
    <tableColumn id="7845" name="Column7824" dataDxfId="8588" dataCellStyle="Normal"/>
    <tableColumn id="7846" name="Column7825" dataDxfId="8587" dataCellStyle="Normal"/>
    <tableColumn id="7847" name="Column7826" dataDxfId="8586" dataCellStyle="Normal"/>
    <tableColumn id="7848" name="Column7827" dataDxfId="8585" dataCellStyle="Normal"/>
    <tableColumn id="7849" name="Column7828" dataDxfId="8584" dataCellStyle="Normal"/>
    <tableColumn id="7850" name="Column7829" dataDxfId="8583" dataCellStyle="Normal"/>
    <tableColumn id="7851" name="Column7830" dataDxfId="8582" dataCellStyle="Normal"/>
    <tableColumn id="7852" name="Column7831" dataDxfId="8581" dataCellStyle="Normal"/>
    <tableColumn id="7853" name="Column7832" dataDxfId="8580" dataCellStyle="Normal"/>
    <tableColumn id="7854" name="Column7833" dataDxfId="8579" dataCellStyle="Normal"/>
    <tableColumn id="7855" name="Column7834" dataDxfId="8578" dataCellStyle="Normal"/>
    <tableColumn id="7856" name="Column7835" dataDxfId="8577" dataCellStyle="Normal"/>
    <tableColumn id="7857" name="Column7836" dataDxfId="8576" dataCellStyle="Normal"/>
    <tableColumn id="7858" name="Column7837" dataDxfId="8575" dataCellStyle="Normal"/>
    <tableColumn id="7859" name="Column7838" dataDxfId="8574" dataCellStyle="Normal"/>
    <tableColumn id="7860" name="Column7839" dataDxfId="8573" dataCellStyle="Normal"/>
    <tableColumn id="7861" name="Column7840" dataDxfId="8572" dataCellStyle="Normal"/>
    <tableColumn id="7862" name="Column7841" dataDxfId="8571" dataCellStyle="Normal"/>
    <tableColumn id="7863" name="Column7842" dataDxfId="8570" dataCellStyle="Normal"/>
    <tableColumn id="7864" name="Column7843" dataDxfId="8569" dataCellStyle="Normal"/>
    <tableColumn id="7865" name="Column7844" dataDxfId="8568" dataCellStyle="Normal"/>
    <tableColumn id="7866" name="Column7845" dataDxfId="8567" dataCellStyle="Normal"/>
    <tableColumn id="7867" name="Column7846" dataDxfId="8566" dataCellStyle="Normal"/>
    <tableColumn id="7868" name="Column7847" dataDxfId="8565" dataCellStyle="Normal"/>
    <tableColumn id="7869" name="Column7848" dataDxfId="8564" dataCellStyle="Normal"/>
    <tableColumn id="7870" name="Column7849" dataDxfId="8563" dataCellStyle="Normal"/>
    <tableColumn id="7871" name="Column7850" dataDxfId="8562" dataCellStyle="Normal"/>
    <tableColumn id="7872" name="Column7851" dataDxfId="8561" dataCellStyle="Normal"/>
    <tableColumn id="7873" name="Column7852" dataDxfId="8560" dataCellStyle="Normal"/>
    <tableColumn id="7874" name="Column7853" dataDxfId="8559" dataCellStyle="Normal"/>
    <tableColumn id="7875" name="Column7854" dataDxfId="8558" dataCellStyle="Normal"/>
    <tableColumn id="7876" name="Column7855" dataDxfId="8557" dataCellStyle="Normal"/>
    <tableColumn id="7877" name="Column7856" dataDxfId="8556" dataCellStyle="Normal"/>
    <tableColumn id="7878" name="Column7857" dataDxfId="8555" dataCellStyle="Normal"/>
    <tableColumn id="7879" name="Column7858" dataDxfId="8554" dataCellStyle="Normal"/>
    <tableColumn id="7880" name="Column7859" dataDxfId="8553" dataCellStyle="Normal"/>
    <tableColumn id="7881" name="Column7860" dataDxfId="8552" dataCellStyle="Normal"/>
    <tableColumn id="7882" name="Column7861" dataDxfId="8551" dataCellStyle="Normal"/>
    <tableColumn id="7883" name="Column7862" dataDxfId="8550" dataCellStyle="Normal"/>
    <tableColumn id="7884" name="Column7863" dataDxfId="8549" dataCellStyle="Normal"/>
    <tableColumn id="7885" name="Column7864" dataDxfId="8548" dataCellStyle="Normal"/>
    <tableColumn id="7886" name="Column7865" dataDxfId="8547" dataCellStyle="Normal"/>
    <tableColumn id="7887" name="Column7866" dataDxfId="8546" dataCellStyle="Normal"/>
    <tableColumn id="7888" name="Column7867" dataDxfId="8545" dataCellStyle="Normal"/>
    <tableColumn id="7889" name="Column7868" dataDxfId="8544" dataCellStyle="Normal"/>
    <tableColumn id="7890" name="Column7869" dataDxfId="8543" dataCellStyle="Normal"/>
    <tableColumn id="7891" name="Column7870" dataDxfId="8542" dataCellStyle="Normal"/>
    <tableColumn id="7892" name="Column7871" dataDxfId="8541" dataCellStyle="Normal"/>
    <tableColumn id="7893" name="Column7872" dataDxfId="8540" dataCellStyle="Normal"/>
    <tableColumn id="7894" name="Column7873" dataDxfId="8539" dataCellStyle="Normal"/>
    <tableColumn id="7895" name="Column7874" dataDxfId="8538" dataCellStyle="Normal"/>
    <tableColumn id="7896" name="Column7875" dataDxfId="8537" dataCellStyle="Normal"/>
    <tableColumn id="7897" name="Column7876" dataDxfId="8536" dataCellStyle="Normal"/>
    <tableColumn id="7898" name="Column7877" dataDxfId="8535" dataCellStyle="Normal"/>
    <tableColumn id="7899" name="Column7878" dataDxfId="8534" dataCellStyle="Normal"/>
    <tableColumn id="7900" name="Column7879" dataDxfId="8533" dataCellStyle="Normal"/>
    <tableColumn id="7901" name="Column7880" dataDxfId="8532" dataCellStyle="Normal"/>
    <tableColumn id="7902" name="Column7881" dataDxfId="8531" dataCellStyle="Normal"/>
    <tableColumn id="7903" name="Column7882" dataDxfId="8530" dataCellStyle="Normal"/>
    <tableColumn id="7904" name="Column7883" dataDxfId="8529" dataCellStyle="Normal"/>
    <tableColumn id="7905" name="Column7884" dataDxfId="8528" dataCellStyle="Normal"/>
    <tableColumn id="7906" name="Column7885" dataDxfId="8527" dataCellStyle="Normal"/>
    <tableColumn id="7907" name="Column7886" dataDxfId="8526" dataCellStyle="Normal"/>
    <tableColumn id="7908" name="Column7887" dataDxfId="8525" dataCellStyle="Normal"/>
    <tableColumn id="7909" name="Column7888" dataDxfId="8524" dataCellStyle="Normal"/>
    <tableColumn id="7910" name="Column7889" dataDxfId="8523" dataCellStyle="Normal"/>
    <tableColumn id="7911" name="Column7890" dataDxfId="8522" dataCellStyle="Normal"/>
    <tableColumn id="7912" name="Column7891" dataDxfId="8521" dataCellStyle="Normal"/>
    <tableColumn id="7913" name="Column7892" dataDxfId="8520" dataCellStyle="Normal"/>
    <tableColumn id="7914" name="Column7893" dataDxfId="8519" dataCellStyle="Normal"/>
    <tableColumn id="7915" name="Column7894" dataDxfId="8518" dataCellStyle="Normal"/>
    <tableColumn id="7916" name="Column7895" dataDxfId="8517" dataCellStyle="Normal"/>
    <tableColumn id="7917" name="Column7896" dataDxfId="8516" dataCellStyle="Normal"/>
    <tableColumn id="7918" name="Column7897" dataDxfId="8515" dataCellStyle="Normal"/>
    <tableColumn id="7919" name="Column7898" dataDxfId="8514" dataCellStyle="Normal"/>
    <tableColumn id="7920" name="Column7899" dataDxfId="8513" dataCellStyle="Normal"/>
    <tableColumn id="7921" name="Column7900" dataDxfId="8512" dataCellStyle="Normal"/>
    <tableColumn id="7922" name="Column7901" dataDxfId="8511" dataCellStyle="Normal"/>
    <tableColumn id="7923" name="Column7902" dataDxfId="8510" dataCellStyle="Normal"/>
    <tableColumn id="7924" name="Column7903" dataDxfId="8509" dataCellStyle="Normal"/>
    <tableColumn id="7925" name="Column7904" dataDxfId="8508" dataCellStyle="Normal"/>
    <tableColumn id="7926" name="Column7905" dataDxfId="8507" dataCellStyle="Normal"/>
    <tableColumn id="7927" name="Column7906" dataDxfId="8506" dataCellStyle="Normal"/>
    <tableColumn id="7928" name="Column7907" dataDxfId="8505" dataCellStyle="Normal"/>
    <tableColumn id="7929" name="Column7908" dataDxfId="8504" dataCellStyle="Normal"/>
    <tableColumn id="7930" name="Column7909" dataDxfId="8503" dataCellStyle="Normal"/>
    <tableColumn id="7931" name="Column7910" dataDxfId="8502" dataCellStyle="Normal"/>
    <tableColumn id="7932" name="Column7911" dataDxfId="8501" dataCellStyle="Normal"/>
    <tableColumn id="7933" name="Column7912" dataDxfId="8500" dataCellStyle="Normal"/>
    <tableColumn id="7934" name="Column7913" dataDxfId="8499" dataCellStyle="Normal"/>
    <tableColumn id="7935" name="Column7914" dataDxfId="8498" dataCellStyle="Normal"/>
    <tableColumn id="7936" name="Column7915" dataDxfId="8497" dataCellStyle="Normal"/>
    <tableColumn id="7937" name="Column7916" dataDxfId="8496" dataCellStyle="Normal"/>
    <tableColumn id="7938" name="Column7917" dataDxfId="8495" dataCellStyle="Normal"/>
    <tableColumn id="7939" name="Column7918" dataDxfId="8494" dataCellStyle="Normal"/>
    <tableColumn id="7940" name="Column7919" dataDxfId="8493" dataCellStyle="Normal"/>
    <tableColumn id="7941" name="Column7920" dataDxfId="8492" dataCellStyle="Normal"/>
    <tableColumn id="7942" name="Column7921" dataDxfId="8491" dataCellStyle="Normal"/>
    <tableColumn id="7943" name="Column7922" dataDxfId="8490" dataCellStyle="Normal"/>
    <tableColumn id="7944" name="Column7923" dataDxfId="8489" dataCellStyle="Normal"/>
    <tableColumn id="7945" name="Column7924" dataDxfId="8488" dataCellStyle="Normal"/>
    <tableColumn id="7946" name="Column7925" dataDxfId="8487" dataCellStyle="Normal"/>
    <tableColumn id="7947" name="Column7926" dataDxfId="8486" dataCellStyle="Normal"/>
    <tableColumn id="7948" name="Column7927" dataDxfId="8485" dataCellStyle="Normal"/>
    <tableColumn id="7949" name="Column7928" dataDxfId="8484" dataCellStyle="Normal"/>
    <tableColumn id="7950" name="Column7929" dataDxfId="8483" dataCellStyle="Normal"/>
    <tableColumn id="7951" name="Column7930" dataDxfId="8482" dataCellStyle="Normal"/>
    <tableColumn id="7952" name="Column7931" dataDxfId="8481" dataCellStyle="Normal"/>
    <tableColumn id="7953" name="Column7932" dataDxfId="8480" dataCellStyle="Normal"/>
    <tableColumn id="7954" name="Column7933" dataDxfId="8479" dataCellStyle="Normal"/>
    <tableColumn id="7955" name="Column7934" dataDxfId="8478" dataCellStyle="Normal"/>
    <tableColumn id="7956" name="Column7935" dataDxfId="8477" dataCellStyle="Normal"/>
    <tableColumn id="7957" name="Column7936" dataDxfId="8476" dataCellStyle="Normal"/>
    <tableColumn id="7958" name="Column7937" dataDxfId="8475" dataCellStyle="Normal"/>
    <tableColumn id="7959" name="Column7938" dataDxfId="8474" dataCellStyle="Normal"/>
    <tableColumn id="7960" name="Column7939" dataDxfId="8473" dataCellStyle="Normal"/>
    <tableColumn id="7961" name="Column7940" dataDxfId="8472" dataCellStyle="Normal"/>
    <tableColumn id="7962" name="Column7941" dataDxfId="8471" dataCellStyle="Normal"/>
    <tableColumn id="7963" name="Column7942" dataDxfId="8470" dataCellStyle="Normal"/>
    <tableColumn id="7964" name="Column7943" dataDxfId="8469" dataCellStyle="Normal"/>
    <tableColumn id="7965" name="Column7944" dataDxfId="8468" dataCellStyle="Normal"/>
    <tableColumn id="7966" name="Column7945" dataDxfId="8467" dataCellStyle="Normal"/>
    <tableColumn id="7967" name="Column7946" dataDxfId="8466" dataCellStyle="Normal"/>
    <tableColumn id="7968" name="Column7947" dataDxfId="8465" dataCellStyle="Normal"/>
    <tableColumn id="7969" name="Column7948" dataDxfId="8464" dataCellStyle="Normal"/>
    <tableColumn id="7970" name="Column7949" dataDxfId="8463" dataCellStyle="Normal"/>
    <tableColumn id="7971" name="Column7950" dataDxfId="8462" dataCellStyle="Normal"/>
    <tableColumn id="7972" name="Column7951" dataDxfId="8461" dataCellStyle="Normal"/>
    <tableColumn id="7973" name="Column7952" dataDxfId="8460" dataCellStyle="Normal"/>
    <tableColumn id="7974" name="Column7953" dataDxfId="8459" dataCellStyle="Normal"/>
    <tableColumn id="7975" name="Column7954" dataDxfId="8458" dataCellStyle="Normal"/>
    <tableColumn id="7976" name="Column7955" dataDxfId="8457" dataCellStyle="Normal"/>
    <tableColumn id="7977" name="Column7956" dataDxfId="8456" dataCellStyle="Normal"/>
    <tableColumn id="7978" name="Column7957" dataDxfId="8455" dataCellStyle="Normal"/>
    <tableColumn id="7979" name="Column7958" dataDxfId="8454" dataCellStyle="Normal"/>
    <tableColumn id="7980" name="Column7959" dataDxfId="8453" dataCellStyle="Normal"/>
    <tableColumn id="7981" name="Column7960" dataDxfId="8452" dataCellStyle="Normal"/>
    <tableColumn id="7982" name="Column7961" dataDxfId="8451" dataCellStyle="Normal"/>
    <tableColumn id="7983" name="Column7962" dataDxfId="8450" dataCellStyle="Normal"/>
    <tableColumn id="7984" name="Column7963" dataDxfId="8449" dataCellStyle="Normal"/>
    <tableColumn id="7985" name="Column7964" dataDxfId="8448" dataCellStyle="Normal"/>
    <tableColumn id="7986" name="Column7965" dataDxfId="8447" dataCellStyle="Normal"/>
    <tableColumn id="7987" name="Column7966" dataDxfId="8446" dataCellStyle="Normal"/>
    <tableColumn id="7988" name="Column7967" dataDxfId="8445" dataCellStyle="Normal"/>
    <tableColumn id="7989" name="Column7968" dataDxfId="8444" dataCellStyle="Normal"/>
    <tableColumn id="7990" name="Column7969" dataDxfId="8443" dataCellStyle="Normal"/>
    <tableColumn id="7991" name="Column7970" dataDxfId="8442" dataCellStyle="Normal"/>
    <tableColumn id="7992" name="Column7971" dataDxfId="8441" dataCellStyle="Normal"/>
    <tableColumn id="7993" name="Column7972" dataDxfId="8440" dataCellStyle="Normal"/>
    <tableColumn id="7994" name="Column7973" dataDxfId="8439" dataCellStyle="Normal"/>
    <tableColumn id="7995" name="Column7974" dataDxfId="8438" dataCellStyle="Normal"/>
    <tableColumn id="7996" name="Column7975" dataDxfId="8437" dataCellStyle="Normal"/>
    <tableColumn id="7997" name="Column7976" dataDxfId="8436" dataCellStyle="Normal"/>
    <tableColumn id="7998" name="Column7977" dataDxfId="8435" dataCellStyle="Normal"/>
    <tableColumn id="7999" name="Column7978" dataDxfId="8434" dataCellStyle="Normal"/>
    <tableColumn id="8000" name="Column7979" dataDxfId="8433" dataCellStyle="Normal"/>
    <tableColumn id="8001" name="Column7980" dataDxfId="8432" dataCellStyle="Normal"/>
    <tableColumn id="8002" name="Column7981" dataDxfId="8431" dataCellStyle="Normal"/>
    <tableColumn id="8003" name="Column7982" dataDxfId="8430" dataCellStyle="Normal"/>
    <tableColumn id="8004" name="Column7983" dataDxfId="8429" dataCellStyle="Normal"/>
    <tableColumn id="8005" name="Column7984" dataDxfId="8428" dataCellStyle="Normal"/>
    <tableColumn id="8006" name="Column7985" dataDxfId="8427" dataCellStyle="Normal"/>
    <tableColumn id="8007" name="Column7986" dataDxfId="8426" dataCellStyle="Normal"/>
    <tableColumn id="8008" name="Column7987" dataDxfId="8425" dataCellStyle="Normal"/>
    <tableColumn id="8009" name="Column7988" dataDxfId="8424" dataCellStyle="Normal"/>
    <tableColumn id="8010" name="Column7989" dataDxfId="8423" dataCellStyle="Normal"/>
    <tableColumn id="8011" name="Column7990" dataDxfId="8422" dataCellStyle="Normal"/>
    <tableColumn id="8012" name="Column7991" dataDxfId="8421" dataCellStyle="Normal"/>
    <tableColumn id="8013" name="Column7992" dataDxfId="8420" dataCellStyle="Normal"/>
    <tableColumn id="8014" name="Column7993" dataDxfId="8419" dataCellStyle="Normal"/>
    <tableColumn id="8015" name="Column7994" dataDxfId="8418" dataCellStyle="Normal"/>
    <tableColumn id="8016" name="Column7995" dataDxfId="8417" dataCellStyle="Normal"/>
    <tableColumn id="8017" name="Column7996" dataDxfId="8416" dataCellStyle="Normal"/>
    <tableColumn id="8018" name="Column7997" dataDxfId="8415" dataCellStyle="Normal"/>
    <tableColumn id="8019" name="Column7998" dataDxfId="8414" dataCellStyle="Normal"/>
    <tableColumn id="8020" name="Column7999" dataDxfId="8413" dataCellStyle="Normal"/>
    <tableColumn id="8021" name="Column8000" dataDxfId="8412" dataCellStyle="Normal"/>
    <tableColumn id="8022" name="Column8001" dataDxfId="8411" dataCellStyle="Normal"/>
    <tableColumn id="8023" name="Column8002" dataDxfId="8410" dataCellStyle="Normal"/>
    <tableColumn id="8024" name="Column8003" dataDxfId="8409" dataCellStyle="Normal"/>
    <tableColumn id="8025" name="Column8004" dataDxfId="8408" dataCellStyle="Normal"/>
    <tableColumn id="8026" name="Column8005" dataDxfId="8407" dataCellStyle="Normal"/>
    <tableColumn id="8027" name="Column8006" dataDxfId="8406" dataCellStyle="Normal"/>
    <tableColumn id="8028" name="Column8007" dataDxfId="8405" dataCellStyle="Normal"/>
    <tableColumn id="8029" name="Column8008" dataDxfId="8404" dataCellStyle="Normal"/>
    <tableColumn id="8030" name="Column8009" dataDxfId="8403" dataCellStyle="Normal"/>
    <tableColumn id="8031" name="Column8010" dataDxfId="8402" dataCellStyle="Normal"/>
    <tableColumn id="8032" name="Column8011" dataDxfId="8401" dataCellStyle="Normal"/>
    <tableColumn id="8033" name="Column8012" dataDxfId="8400" dataCellStyle="Normal"/>
    <tableColumn id="8034" name="Column8013" dataDxfId="8399" dataCellStyle="Normal"/>
    <tableColumn id="8035" name="Column8014" dataDxfId="8398" dataCellStyle="Normal"/>
    <tableColumn id="8036" name="Column8015" dataDxfId="8397" dataCellStyle="Normal"/>
    <tableColumn id="8037" name="Column8016" dataDxfId="8396" dataCellStyle="Normal"/>
    <tableColumn id="8038" name="Column8017" dataDxfId="8395" dataCellStyle="Normal"/>
    <tableColumn id="8039" name="Column8018" dataDxfId="8394" dataCellStyle="Normal"/>
    <tableColumn id="8040" name="Column8019" dataDxfId="8393" dataCellStyle="Normal"/>
    <tableColumn id="8041" name="Column8020" dataDxfId="8392" dataCellStyle="Normal"/>
    <tableColumn id="8042" name="Column8021" dataDxfId="8391" dataCellStyle="Normal"/>
    <tableColumn id="8043" name="Column8022" dataDxfId="8390" dataCellStyle="Normal"/>
    <tableColumn id="8044" name="Column8023" dataDxfId="8389" dataCellStyle="Normal"/>
    <tableColumn id="8045" name="Column8024" dataDxfId="8388" dataCellStyle="Normal"/>
    <tableColumn id="8046" name="Column8025" dataDxfId="8387" dataCellStyle="Normal"/>
    <tableColumn id="8047" name="Column8026" dataDxfId="8386" dataCellStyle="Normal"/>
    <tableColumn id="8048" name="Column8027" dataDxfId="8385" dataCellStyle="Normal"/>
    <tableColumn id="8049" name="Column8028" dataDxfId="8384" dataCellStyle="Normal"/>
    <tableColumn id="8050" name="Column8029" dataDxfId="8383" dataCellStyle="Normal"/>
    <tableColumn id="8051" name="Column8030" dataDxfId="8382" dataCellStyle="Normal"/>
    <tableColumn id="8052" name="Column8031" dataDxfId="8381" dataCellStyle="Normal"/>
    <tableColumn id="8053" name="Column8032" dataDxfId="8380" dataCellStyle="Normal"/>
    <tableColumn id="8054" name="Column8033" dataDxfId="8379" dataCellStyle="Normal"/>
    <tableColumn id="8055" name="Column8034" dataDxfId="8378" dataCellStyle="Normal"/>
    <tableColumn id="8056" name="Column8035" dataDxfId="8377" dataCellStyle="Normal"/>
    <tableColumn id="8057" name="Column8036" dataDxfId="8376" dataCellStyle="Normal"/>
    <tableColumn id="8058" name="Column8037" dataDxfId="8375" dataCellStyle="Normal"/>
    <tableColumn id="8059" name="Column8038" dataDxfId="8374" dataCellStyle="Normal"/>
    <tableColumn id="8060" name="Column8039" dataDxfId="8373" dataCellStyle="Normal"/>
    <tableColumn id="8061" name="Column8040" dataDxfId="8372" dataCellStyle="Normal"/>
    <tableColumn id="8062" name="Column8041" dataDxfId="8371" dataCellStyle="Normal"/>
    <tableColumn id="8063" name="Column8042" dataDxfId="8370" dataCellStyle="Normal"/>
    <tableColumn id="8064" name="Column8043" dataDxfId="8369" dataCellStyle="Normal"/>
    <tableColumn id="8065" name="Column8044" dataDxfId="8368" dataCellStyle="Normal"/>
    <tableColumn id="8066" name="Column8045" dataDxfId="8367" dataCellStyle="Normal"/>
    <tableColumn id="8067" name="Column8046" dataDxfId="8366" dataCellStyle="Normal"/>
    <tableColumn id="8068" name="Column8047" dataDxfId="8365" dataCellStyle="Normal"/>
    <tableColumn id="8069" name="Column8048" dataDxfId="8364" dataCellStyle="Normal"/>
    <tableColumn id="8070" name="Column8049" dataDxfId="8363" dataCellStyle="Normal"/>
    <tableColumn id="8071" name="Column8050" dataDxfId="8362" dataCellStyle="Normal"/>
    <tableColumn id="8072" name="Column8051" dataDxfId="8361" dataCellStyle="Normal"/>
    <tableColumn id="8073" name="Column8052" dataDxfId="8360" dataCellStyle="Normal"/>
    <tableColumn id="8074" name="Column8053" dataDxfId="8359" dataCellStyle="Normal"/>
    <tableColumn id="8075" name="Column8054" dataDxfId="8358" dataCellStyle="Normal"/>
    <tableColumn id="8076" name="Column8055" dataDxfId="8357" dataCellStyle="Normal"/>
    <tableColumn id="8077" name="Column8056" dataDxfId="8356" dataCellStyle="Normal"/>
    <tableColumn id="8078" name="Column8057" dataDxfId="8355" dataCellStyle="Normal"/>
    <tableColumn id="8079" name="Column8058" dataDxfId="8354" dataCellStyle="Normal"/>
    <tableColumn id="8080" name="Column8059" dataDxfId="8353" dataCellStyle="Normal"/>
    <tableColumn id="8081" name="Column8060" dataDxfId="8352" dataCellStyle="Normal"/>
    <tableColumn id="8082" name="Column8061" dataDxfId="8351" dataCellStyle="Normal"/>
    <tableColumn id="8083" name="Column8062" dataDxfId="8350" dataCellStyle="Normal"/>
    <tableColumn id="8084" name="Column8063" dataDxfId="8349" dataCellStyle="Normal"/>
    <tableColumn id="8085" name="Column8064" dataDxfId="8348" dataCellStyle="Normal"/>
    <tableColumn id="8086" name="Column8065" dataDxfId="8347" dataCellStyle="Normal"/>
    <tableColumn id="8087" name="Column8066" dataDxfId="8346" dataCellStyle="Normal"/>
    <tableColumn id="8088" name="Column8067" dataDxfId="8345" dataCellStyle="Normal"/>
    <tableColumn id="8089" name="Column8068" dataDxfId="8344" dataCellStyle="Normal"/>
    <tableColumn id="8090" name="Column8069" dataDxfId="8343" dataCellStyle="Normal"/>
    <tableColumn id="8091" name="Column8070" dataDxfId="8342" dataCellStyle="Normal"/>
    <tableColumn id="8092" name="Column8071" dataDxfId="8341" dataCellStyle="Normal"/>
    <tableColumn id="8093" name="Column8072" dataDxfId="8340" dataCellStyle="Normal"/>
    <tableColumn id="8094" name="Column8073" dataDxfId="8339" dataCellStyle="Normal"/>
    <tableColumn id="8095" name="Column8074" dataDxfId="8338" dataCellStyle="Normal"/>
    <tableColumn id="8096" name="Column8075" dataDxfId="8337" dataCellStyle="Normal"/>
    <tableColumn id="8097" name="Column8076" dataDxfId="8336" dataCellStyle="Normal"/>
    <tableColumn id="8098" name="Column8077" dataDxfId="8335" dataCellStyle="Normal"/>
    <tableColumn id="8099" name="Column8078" dataDxfId="8334" dataCellStyle="Normal"/>
    <tableColumn id="8100" name="Column8079" dataDxfId="8333" dataCellStyle="Normal"/>
    <tableColumn id="8101" name="Column8080" dataDxfId="8332" dataCellStyle="Normal"/>
    <tableColumn id="8102" name="Column8081" dataDxfId="8331" dataCellStyle="Normal"/>
    <tableColumn id="8103" name="Column8082" dataDxfId="8330" dataCellStyle="Normal"/>
    <tableColumn id="8104" name="Column8083" dataDxfId="8329" dataCellStyle="Normal"/>
    <tableColumn id="8105" name="Column8084" dataDxfId="8328" dataCellStyle="Normal"/>
    <tableColumn id="8106" name="Column8085" dataDxfId="8327" dataCellStyle="Normal"/>
    <tableColumn id="8107" name="Column8086" dataDxfId="8326" dataCellStyle="Normal"/>
    <tableColumn id="8108" name="Column8087" dataDxfId="8325" dataCellStyle="Normal"/>
    <tableColumn id="8109" name="Column8088" dataDxfId="8324" dataCellStyle="Normal"/>
    <tableColumn id="8110" name="Column8089" dataDxfId="8323" dataCellStyle="Normal"/>
    <tableColumn id="8111" name="Column8090" dataDxfId="8322" dataCellStyle="Normal"/>
    <tableColumn id="8112" name="Column8091" dataDxfId="8321" dataCellStyle="Normal"/>
    <tableColumn id="8113" name="Column8092" dataDxfId="8320" dataCellStyle="Normal"/>
    <tableColumn id="8114" name="Column8093" dataDxfId="8319" dataCellStyle="Normal"/>
    <tableColumn id="8115" name="Column8094" dataDxfId="8318" dataCellStyle="Normal"/>
    <tableColumn id="8116" name="Column8095" dataDxfId="8317" dataCellStyle="Normal"/>
    <tableColumn id="8117" name="Column8096" dataDxfId="8316" dataCellStyle="Normal"/>
    <tableColumn id="8118" name="Column8097" dataDxfId="8315" dataCellStyle="Normal"/>
    <tableColumn id="8119" name="Column8098" dataDxfId="8314" dataCellStyle="Normal"/>
    <tableColumn id="8120" name="Column8099" dataDxfId="8313" dataCellStyle="Normal"/>
    <tableColumn id="8121" name="Column8100" dataDxfId="8312" dataCellStyle="Normal"/>
    <tableColumn id="8122" name="Column8101" dataDxfId="8311" dataCellStyle="Normal"/>
    <tableColumn id="8123" name="Column8102" dataDxfId="8310" dataCellStyle="Normal"/>
    <tableColumn id="8124" name="Column8103" dataDxfId="8309" dataCellStyle="Normal"/>
    <tableColumn id="8125" name="Column8104" dataDxfId="8308" dataCellStyle="Normal"/>
    <tableColumn id="8126" name="Column8105" dataDxfId="8307" dataCellStyle="Normal"/>
    <tableColumn id="8127" name="Column8106" dataDxfId="8306" dataCellStyle="Normal"/>
    <tableColumn id="8128" name="Column8107" dataDxfId="8305" dataCellStyle="Normal"/>
    <tableColumn id="8129" name="Column8108" dataDxfId="8304" dataCellStyle="Normal"/>
    <tableColumn id="8130" name="Column8109" dataDxfId="8303" dataCellStyle="Normal"/>
    <tableColumn id="8131" name="Column8110" dataDxfId="8302" dataCellStyle="Normal"/>
    <tableColumn id="8132" name="Column8111" dataDxfId="8301" dataCellStyle="Normal"/>
    <tableColumn id="8133" name="Column8112" dataDxfId="8300" dataCellStyle="Normal"/>
    <tableColumn id="8134" name="Column8113" dataDxfId="8299" dataCellStyle="Normal"/>
    <tableColumn id="8135" name="Column8114" dataDxfId="8298" dataCellStyle="Normal"/>
    <tableColumn id="8136" name="Column8115" dataDxfId="8297" dataCellStyle="Normal"/>
    <tableColumn id="8137" name="Column8116" dataDxfId="8296" dataCellStyle="Normal"/>
    <tableColumn id="8138" name="Column8117" dataDxfId="8295" dataCellStyle="Normal"/>
    <tableColumn id="8139" name="Column8118" dataDxfId="8294" dataCellStyle="Normal"/>
    <tableColumn id="8140" name="Column8119" dataDxfId="8293" dataCellStyle="Normal"/>
    <tableColumn id="8141" name="Column8120" dataDxfId="8292" dataCellStyle="Normal"/>
    <tableColumn id="8142" name="Column8121" dataDxfId="8291" dataCellStyle="Normal"/>
    <tableColumn id="8143" name="Column8122" dataDxfId="8290" dataCellStyle="Normal"/>
    <tableColumn id="8144" name="Column8123" dataDxfId="8289" dataCellStyle="Normal"/>
    <tableColumn id="8145" name="Column8124" dataDxfId="8288" dataCellStyle="Normal"/>
    <tableColumn id="8146" name="Column8125" dataDxfId="8287" dataCellStyle="Normal"/>
    <tableColumn id="8147" name="Column8126" dataDxfId="8286" dataCellStyle="Normal"/>
    <tableColumn id="8148" name="Column8127" dataDxfId="8285" dataCellStyle="Normal"/>
    <tableColumn id="8149" name="Column8128" dataDxfId="8284" dataCellStyle="Normal"/>
    <tableColumn id="8150" name="Column8129" dataDxfId="8283" dataCellStyle="Normal"/>
    <tableColumn id="8151" name="Column8130" dataDxfId="8282" dataCellStyle="Normal"/>
    <tableColumn id="8152" name="Column8131" dataDxfId="8281" dataCellStyle="Normal"/>
    <tableColumn id="8153" name="Column8132" dataDxfId="8280" dataCellStyle="Normal"/>
    <tableColumn id="8154" name="Column8133" dataDxfId="8279" dataCellStyle="Normal"/>
    <tableColumn id="8155" name="Column8134" dataDxfId="8278" dataCellStyle="Normal"/>
    <tableColumn id="8156" name="Column8135" dataDxfId="8277" dataCellStyle="Normal"/>
    <tableColumn id="8157" name="Column8136" dataDxfId="8276" dataCellStyle="Normal"/>
    <tableColumn id="8158" name="Column8137" dataDxfId="8275" dataCellStyle="Normal"/>
    <tableColumn id="8159" name="Column8138" dataDxfId="8274" dataCellStyle="Normal"/>
    <tableColumn id="8160" name="Column8139" dataDxfId="8273" dataCellStyle="Normal"/>
    <tableColumn id="8161" name="Column8140" dataDxfId="8272" dataCellStyle="Normal"/>
    <tableColumn id="8162" name="Column8141" dataDxfId="8271" dataCellStyle="Normal"/>
    <tableColumn id="8163" name="Column8142" dataDxfId="8270" dataCellStyle="Normal"/>
    <tableColumn id="8164" name="Column8143" dataDxfId="8269" dataCellStyle="Normal"/>
    <tableColumn id="8165" name="Column8144" dataDxfId="8268" dataCellStyle="Normal"/>
    <tableColumn id="8166" name="Column8145" dataDxfId="8267" dataCellStyle="Normal"/>
    <tableColumn id="8167" name="Column8146" dataDxfId="8266" dataCellStyle="Normal"/>
    <tableColumn id="8168" name="Column8147" dataDxfId="8265" dataCellStyle="Normal"/>
    <tableColumn id="8169" name="Column8148" dataDxfId="8264" dataCellStyle="Normal"/>
    <tableColumn id="8170" name="Column8149" dataDxfId="8263" dataCellStyle="Normal"/>
    <tableColumn id="8171" name="Column8150" dataDxfId="8262" dataCellStyle="Normal"/>
    <tableColumn id="8172" name="Column8151" dataDxfId="8261" dataCellStyle="Normal"/>
    <tableColumn id="8173" name="Column8152" dataDxfId="8260" dataCellStyle="Normal"/>
    <tableColumn id="8174" name="Column8153" dataDxfId="8259" dataCellStyle="Normal"/>
    <tableColumn id="8175" name="Column8154" dataDxfId="8258" dataCellStyle="Normal"/>
    <tableColumn id="8176" name="Column8155" dataDxfId="8257" dataCellStyle="Normal"/>
    <tableColumn id="8177" name="Column8156" dataDxfId="8256" dataCellStyle="Normal"/>
    <tableColumn id="8178" name="Column8157" dataDxfId="8255" dataCellStyle="Normal"/>
    <tableColumn id="8179" name="Column8158" dataDxfId="8254" dataCellStyle="Normal"/>
    <tableColumn id="8180" name="Column8159" dataDxfId="8253" dataCellStyle="Normal"/>
    <tableColumn id="8181" name="Column8160" dataDxfId="8252" dataCellStyle="Normal"/>
    <tableColumn id="8182" name="Column8161" dataDxfId="8251" dataCellStyle="Normal"/>
    <tableColumn id="8183" name="Column8162" dataDxfId="8250" dataCellStyle="Normal"/>
    <tableColumn id="8184" name="Column8163" dataDxfId="8249" dataCellStyle="Normal"/>
    <tableColumn id="8185" name="Column8164" dataDxfId="8248" dataCellStyle="Normal"/>
    <tableColumn id="8186" name="Column8165" dataDxfId="8247" dataCellStyle="Normal"/>
    <tableColumn id="8187" name="Column8166" dataDxfId="8246" dataCellStyle="Normal"/>
    <tableColumn id="8188" name="Column8167" dataDxfId="8245" dataCellStyle="Normal"/>
    <tableColumn id="8189" name="Column8168" dataDxfId="8244" dataCellStyle="Normal"/>
    <tableColumn id="8190" name="Column8169" dataDxfId="8243" dataCellStyle="Normal"/>
    <tableColumn id="8191" name="Column8170" dataDxfId="8242" dataCellStyle="Normal"/>
    <tableColumn id="8192" name="Column8171" dataDxfId="8241" dataCellStyle="Normal"/>
    <tableColumn id="8193" name="Column8172" dataDxfId="8240" dataCellStyle="Normal"/>
    <tableColumn id="8194" name="Column8173" dataDxfId="8239" dataCellStyle="Normal"/>
    <tableColumn id="8195" name="Column8174" dataDxfId="8238" dataCellStyle="Normal"/>
    <tableColumn id="8196" name="Column8175" dataDxfId="8237" dataCellStyle="Normal"/>
    <tableColumn id="8197" name="Column8176" dataDxfId="8236" dataCellStyle="Normal"/>
    <tableColumn id="8198" name="Column8177" dataDxfId="8235" dataCellStyle="Normal"/>
    <tableColumn id="8199" name="Column8178" dataDxfId="8234" dataCellStyle="Normal"/>
    <tableColumn id="8200" name="Column8179" dataDxfId="8233" dataCellStyle="Normal"/>
    <tableColumn id="8201" name="Column8180" dataDxfId="8232" dataCellStyle="Normal"/>
    <tableColumn id="8202" name="Column8181" dataDxfId="8231" dataCellStyle="Normal"/>
    <tableColumn id="8203" name="Column8182" dataDxfId="8230" dataCellStyle="Normal"/>
    <tableColumn id="8204" name="Column8183" dataDxfId="8229" dataCellStyle="Normal"/>
    <tableColumn id="8205" name="Column8184" dataDxfId="8228" dataCellStyle="Normal"/>
    <tableColumn id="8206" name="Column8185" dataDxfId="8227" dataCellStyle="Normal"/>
    <tableColumn id="8207" name="Column8186" dataDxfId="8226" dataCellStyle="Normal"/>
    <tableColumn id="8208" name="Column8187" dataDxfId="8225" dataCellStyle="Normal"/>
    <tableColumn id="8209" name="Column8188" dataDxfId="8224" dataCellStyle="Normal"/>
    <tableColumn id="8210" name="Column8189" dataDxfId="8223" dataCellStyle="Normal"/>
    <tableColumn id="8211" name="Column8190" dataDxfId="8222" dataCellStyle="Normal"/>
    <tableColumn id="8212" name="Column8191" dataDxfId="8221" dataCellStyle="Normal"/>
    <tableColumn id="8213" name="Column8192" dataDxfId="8220" dataCellStyle="Normal"/>
    <tableColumn id="8214" name="Column8193" dataDxfId="8219" dataCellStyle="Normal"/>
    <tableColumn id="8215" name="Column8194" dataDxfId="8218" dataCellStyle="Normal"/>
    <tableColumn id="8216" name="Column8195" dataDxfId="8217" dataCellStyle="Normal"/>
    <tableColumn id="8217" name="Column8196" dataDxfId="8216" dataCellStyle="Normal"/>
    <tableColumn id="8218" name="Column8197" dataDxfId="8215" dataCellStyle="Normal"/>
    <tableColumn id="8219" name="Column8198" dataDxfId="8214" dataCellStyle="Normal"/>
    <tableColumn id="8220" name="Column8199" dataDxfId="8213" dataCellStyle="Normal"/>
    <tableColumn id="8221" name="Column8200" dataDxfId="8212" dataCellStyle="Normal"/>
    <tableColumn id="8222" name="Column8201" dataDxfId="8211" dataCellStyle="Normal"/>
    <tableColumn id="8223" name="Column8202" dataDxfId="8210" dataCellStyle="Normal"/>
    <tableColumn id="8224" name="Column8203" dataDxfId="8209" dataCellStyle="Normal"/>
    <tableColumn id="8225" name="Column8204" dataDxfId="8208" dataCellStyle="Normal"/>
    <tableColumn id="8226" name="Column8205" dataDxfId="8207" dataCellStyle="Normal"/>
    <tableColumn id="8227" name="Column8206" dataDxfId="8206" dataCellStyle="Normal"/>
    <tableColumn id="8228" name="Column8207" dataDxfId="8205" dataCellStyle="Normal"/>
    <tableColumn id="8229" name="Column8208" dataDxfId="8204" dataCellStyle="Normal"/>
    <tableColumn id="8230" name="Column8209" dataDxfId="8203" dataCellStyle="Normal"/>
    <tableColumn id="8231" name="Column8210" dataDxfId="8202" dataCellStyle="Normal"/>
    <tableColumn id="8232" name="Column8211" dataDxfId="8201" dataCellStyle="Normal"/>
    <tableColumn id="8233" name="Column8212" dataDxfId="8200" dataCellStyle="Normal"/>
    <tableColumn id="8234" name="Column8213" dataDxfId="8199" dataCellStyle="Normal"/>
    <tableColumn id="8235" name="Column8214" dataDxfId="8198" dataCellStyle="Normal"/>
    <tableColumn id="8236" name="Column8215" dataDxfId="8197" dataCellStyle="Normal"/>
    <tableColumn id="8237" name="Column8216" dataDxfId="8196" dataCellStyle="Normal"/>
    <tableColumn id="8238" name="Column8217" dataDxfId="8195" dataCellStyle="Normal"/>
    <tableColumn id="8239" name="Column8218" dataDxfId="8194" dataCellStyle="Normal"/>
    <tableColumn id="8240" name="Column8219" dataDxfId="8193" dataCellStyle="Normal"/>
    <tableColumn id="8241" name="Column8220" dataDxfId="8192" dataCellStyle="Normal"/>
    <tableColumn id="8242" name="Column8221" dataDxfId="8191" dataCellStyle="Normal"/>
    <tableColumn id="8243" name="Column8222" dataDxfId="8190" dataCellStyle="Normal"/>
    <tableColumn id="8244" name="Column8223" dataDxfId="8189" dataCellStyle="Normal"/>
    <tableColumn id="8245" name="Column8224" dataDxfId="8188" dataCellStyle="Normal"/>
    <tableColumn id="8246" name="Column8225" dataDxfId="8187" dataCellStyle="Normal"/>
    <tableColumn id="8247" name="Column8226" dataDxfId="8186" dataCellStyle="Normal"/>
    <tableColumn id="8248" name="Column8227" dataDxfId="8185" dataCellStyle="Normal"/>
    <tableColumn id="8249" name="Column8228" dataDxfId="8184" dataCellStyle="Normal"/>
    <tableColumn id="8250" name="Column8229" dataDxfId="8183" dataCellStyle="Normal"/>
    <tableColumn id="8251" name="Column8230" dataDxfId="8182" dataCellStyle="Normal"/>
    <tableColumn id="8252" name="Column8231" dataDxfId="8181" dataCellStyle="Normal"/>
    <tableColumn id="8253" name="Column8232" dataDxfId="8180" dataCellStyle="Normal"/>
    <tableColumn id="8254" name="Column8233" dataDxfId="8179" dataCellStyle="Normal"/>
    <tableColumn id="8255" name="Column8234" dataDxfId="8178" dataCellStyle="Normal"/>
    <tableColumn id="8256" name="Column8235" dataDxfId="8177" dataCellStyle="Normal"/>
    <tableColumn id="8257" name="Column8236" dataDxfId="8176" dataCellStyle="Normal"/>
    <tableColumn id="8258" name="Column8237" dataDxfId="8175" dataCellStyle="Normal"/>
    <tableColumn id="8259" name="Column8238" dataDxfId="8174" dataCellStyle="Normal"/>
    <tableColumn id="8260" name="Column8239" dataDxfId="8173" dataCellStyle="Normal"/>
    <tableColumn id="8261" name="Column8240" dataDxfId="8172" dataCellStyle="Normal"/>
    <tableColumn id="8262" name="Column8241" dataDxfId="8171" dataCellStyle="Normal"/>
    <tableColumn id="8263" name="Column8242" dataDxfId="8170" dataCellStyle="Normal"/>
    <tableColumn id="8264" name="Column8243" dataDxfId="8169" dataCellStyle="Normal"/>
    <tableColumn id="8265" name="Column8244" dataDxfId="8168" dataCellStyle="Normal"/>
    <tableColumn id="8266" name="Column8245" dataDxfId="8167" dataCellStyle="Normal"/>
    <tableColumn id="8267" name="Column8246" dataDxfId="8166" dataCellStyle="Normal"/>
    <tableColumn id="8268" name="Column8247" dataDxfId="8165" dataCellStyle="Normal"/>
    <tableColumn id="8269" name="Column8248" dataDxfId="8164" dataCellStyle="Normal"/>
    <tableColumn id="8270" name="Column8249" dataDxfId="8163" dataCellStyle="Normal"/>
    <tableColumn id="8271" name="Column8250" dataDxfId="8162" dataCellStyle="Normal"/>
    <tableColumn id="8272" name="Column8251" dataDxfId="8161" dataCellStyle="Normal"/>
    <tableColumn id="8273" name="Column8252" dataDxfId="8160" dataCellStyle="Normal"/>
    <tableColumn id="8274" name="Column8253" dataDxfId="8159" dataCellStyle="Normal"/>
    <tableColumn id="8275" name="Column8254" dataDxfId="8158" dataCellStyle="Normal"/>
    <tableColumn id="8276" name="Column8255" dataDxfId="8157" dataCellStyle="Normal"/>
    <tableColumn id="8277" name="Column8256" dataDxfId="8156" dataCellStyle="Normal"/>
    <tableColumn id="8278" name="Column8257" dataDxfId="8155" dataCellStyle="Normal"/>
    <tableColumn id="8279" name="Column8258" dataDxfId="8154" dataCellStyle="Normal"/>
    <tableColumn id="8280" name="Column8259" dataDxfId="8153" dataCellStyle="Normal"/>
    <tableColumn id="8281" name="Column8260" dataDxfId="8152" dataCellStyle="Normal"/>
    <tableColumn id="8282" name="Column8261" dataDxfId="8151" dataCellStyle="Normal"/>
    <tableColumn id="8283" name="Column8262" dataDxfId="8150" dataCellStyle="Normal"/>
    <tableColumn id="8284" name="Column8263" dataDxfId="8149" dataCellStyle="Normal"/>
    <tableColumn id="8285" name="Column8264" dataDxfId="8148" dataCellStyle="Normal"/>
    <tableColumn id="8286" name="Column8265" dataDxfId="8147" dataCellStyle="Normal"/>
    <tableColumn id="8287" name="Column8266" dataDxfId="8146" dataCellStyle="Normal"/>
    <tableColumn id="8288" name="Column8267" dataDxfId="8145" dataCellStyle="Normal"/>
    <tableColumn id="8289" name="Column8268" dataDxfId="8144" dataCellStyle="Normal"/>
    <tableColumn id="8290" name="Column8269" dataDxfId="8143" dataCellStyle="Normal"/>
    <tableColumn id="8291" name="Column8270" dataDxfId="8142" dataCellStyle="Normal"/>
    <tableColumn id="8292" name="Column8271" dataDxfId="8141" dataCellStyle="Normal"/>
    <tableColumn id="8293" name="Column8272" dataDxfId="8140" dataCellStyle="Normal"/>
    <tableColumn id="8294" name="Column8273" dataDxfId="8139" dataCellStyle="Normal"/>
    <tableColumn id="8295" name="Column8274" dataDxfId="8138" dataCellStyle="Normal"/>
    <tableColumn id="8296" name="Column8275" dataDxfId="8137" dataCellStyle="Normal"/>
    <tableColumn id="8297" name="Column8276" dataDxfId="8136" dataCellStyle="Normal"/>
    <tableColumn id="8298" name="Column8277" dataDxfId="8135" dataCellStyle="Normal"/>
    <tableColumn id="8299" name="Column8278" dataDxfId="8134" dataCellStyle="Normal"/>
    <tableColumn id="8300" name="Column8279" dataDxfId="8133" dataCellStyle="Normal"/>
    <tableColumn id="8301" name="Column8280" dataDxfId="8132" dataCellStyle="Normal"/>
    <tableColumn id="8302" name="Column8281" dataDxfId="8131" dataCellStyle="Normal"/>
    <tableColumn id="8303" name="Column8282" dataDxfId="8130" dataCellStyle="Normal"/>
    <tableColumn id="8304" name="Column8283" dataDxfId="8129" dataCellStyle="Normal"/>
    <tableColumn id="8305" name="Column8284" dataDxfId="8128" dataCellStyle="Normal"/>
    <tableColumn id="8306" name="Column8285" dataDxfId="8127" dataCellStyle="Normal"/>
    <tableColumn id="8307" name="Column8286" dataDxfId="8126" dataCellStyle="Normal"/>
    <tableColumn id="8308" name="Column8287" dataDxfId="8125" dataCellStyle="Normal"/>
    <tableColumn id="8309" name="Column8288" dataDxfId="8124" dataCellStyle="Normal"/>
    <tableColumn id="8310" name="Column8289" dataDxfId="8123" dataCellStyle="Normal"/>
    <tableColumn id="8311" name="Column8290" dataDxfId="8122" dataCellStyle="Normal"/>
    <tableColumn id="8312" name="Column8291" dataDxfId="8121" dataCellStyle="Normal"/>
    <tableColumn id="8313" name="Column8292" dataDxfId="8120" dataCellStyle="Normal"/>
    <tableColumn id="8314" name="Column8293" dataDxfId="8119" dataCellStyle="Normal"/>
    <tableColumn id="8315" name="Column8294" dataDxfId="8118" dataCellStyle="Normal"/>
    <tableColumn id="8316" name="Column8295" dataDxfId="8117" dataCellStyle="Normal"/>
    <tableColumn id="8317" name="Column8296" dataDxfId="8116" dataCellStyle="Normal"/>
    <tableColumn id="8318" name="Column8297" dataDxfId="8115" dataCellStyle="Normal"/>
    <tableColumn id="8319" name="Column8298" dataDxfId="8114" dataCellStyle="Normal"/>
    <tableColumn id="8320" name="Column8299" dataDxfId="8113" dataCellStyle="Normal"/>
    <tableColumn id="8321" name="Column8300" dataDxfId="8112" dataCellStyle="Normal"/>
    <tableColumn id="8322" name="Column8301" dataDxfId="8111" dataCellStyle="Normal"/>
    <tableColumn id="8323" name="Column8302" dataDxfId="8110" dataCellStyle="Normal"/>
    <tableColumn id="8324" name="Column8303" dataDxfId="8109" dataCellStyle="Normal"/>
    <tableColumn id="8325" name="Column8304" dataDxfId="8108" dataCellStyle="Normal"/>
    <tableColumn id="8326" name="Column8305" dataDxfId="8107" dataCellStyle="Normal"/>
    <tableColumn id="8327" name="Column8306" dataDxfId="8106" dataCellStyle="Normal"/>
    <tableColumn id="8328" name="Column8307" dataDxfId="8105" dataCellStyle="Normal"/>
    <tableColumn id="8329" name="Column8308" dataDxfId="8104" dataCellStyle="Normal"/>
    <tableColumn id="8330" name="Column8309" dataDxfId="8103" dataCellStyle="Normal"/>
    <tableColumn id="8331" name="Column8310" dataDxfId="8102" dataCellStyle="Normal"/>
    <tableColumn id="8332" name="Column8311" dataDxfId="8101" dataCellStyle="Normal"/>
    <tableColumn id="8333" name="Column8312" dataDxfId="8100" dataCellStyle="Normal"/>
    <tableColumn id="8334" name="Column8313" dataDxfId="8099" dataCellStyle="Normal"/>
    <tableColumn id="8335" name="Column8314" dataDxfId="8098" dataCellStyle="Normal"/>
    <tableColumn id="8336" name="Column8315" dataDxfId="8097" dataCellStyle="Normal"/>
    <tableColumn id="8337" name="Column8316" dataDxfId="8096" dataCellStyle="Normal"/>
    <tableColumn id="8338" name="Column8317" dataDxfId="8095" dataCellStyle="Normal"/>
    <tableColumn id="8339" name="Column8318" dataDxfId="8094" dataCellStyle="Normal"/>
    <tableColumn id="8340" name="Column8319" dataDxfId="8093" dataCellStyle="Normal"/>
    <tableColumn id="8341" name="Column8320" dataDxfId="8092" dataCellStyle="Normal"/>
    <tableColumn id="8342" name="Column8321" dataDxfId="8091" dataCellStyle="Normal"/>
    <tableColumn id="8343" name="Column8322" dataDxfId="8090" dataCellStyle="Normal"/>
    <tableColumn id="8344" name="Column8323" dataDxfId="8089" dataCellStyle="Normal"/>
    <tableColumn id="8345" name="Column8324" dataDxfId="8088" dataCellStyle="Normal"/>
    <tableColumn id="8346" name="Column8325" dataDxfId="8087" dataCellStyle="Normal"/>
    <tableColumn id="8347" name="Column8326" dataDxfId="8086" dataCellStyle="Normal"/>
    <tableColumn id="8348" name="Column8327" dataDxfId="8085" dataCellStyle="Normal"/>
    <tableColumn id="8349" name="Column8328" dataDxfId="8084" dataCellStyle="Normal"/>
    <tableColumn id="8350" name="Column8329" dataDxfId="8083" dataCellStyle="Normal"/>
    <tableColumn id="8351" name="Column8330" dataDxfId="8082" dataCellStyle="Normal"/>
    <tableColumn id="8352" name="Column8331" dataDxfId="8081" dataCellStyle="Normal"/>
    <tableColumn id="8353" name="Column8332" dataDxfId="8080" dataCellStyle="Normal"/>
    <tableColumn id="8354" name="Column8333" dataDxfId="8079" dataCellStyle="Normal"/>
    <tableColumn id="8355" name="Column8334" dataDxfId="8078" dataCellStyle="Normal"/>
    <tableColumn id="8356" name="Column8335" dataDxfId="8077" dataCellStyle="Normal"/>
    <tableColumn id="8357" name="Column8336" dataDxfId="8076" dataCellStyle="Normal"/>
    <tableColumn id="8358" name="Column8337" dataDxfId="8075" dataCellStyle="Normal"/>
    <tableColumn id="8359" name="Column8338" dataDxfId="8074" dataCellStyle="Normal"/>
    <tableColumn id="8360" name="Column8339" dataDxfId="8073" dataCellStyle="Normal"/>
    <tableColumn id="8361" name="Column8340" dataDxfId="8072" dataCellStyle="Normal"/>
    <tableColumn id="8362" name="Column8341" dataDxfId="8071" dataCellStyle="Normal"/>
    <tableColumn id="8363" name="Column8342" dataDxfId="8070" dataCellStyle="Normal"/>
    <tableColumn id="8364" name="Column8343" dataDxfId="8069" dataCellStyle="Normal"/>
    <tableColumn id="8365" name="Column8344" dataDxfId="8068" dataCellStyle="Normal"/>
    <tableColumn id="8366" name="Column8345" dataDxfId="8067" dataCellStyle="Normal"/>
    <tableColumn id="8367" name="Column8346" dataDxfId="8066" dataCellStyle="Normal"/>
    <tableColumn id="8368" name="Column8347" dataDxfId="8065" dataCellStyle="Normal"/>
    <tableColumn id="8369" name="Column8348" dataDxfId="8064" dataCellStyle="Normal"/>
    <tableColumn id="8370" name="Column8349" dataDxfId="8063" dataCellStyle="Normal"/>
    <tableColumn id="8371" name="Column8350" dataDxfId="8062" dataCellStyle="Normal"/>
    <tableColumn id="8372" name="Column8351" dataDxfId="8061" dataCellStyle="Normal"/>
    <tableColumn id="8373" name="Column8352" dataDxfId="8060" dataCellStyle="Normal"/>
    <tableColumn id="8374" name="Column8353" dataDxfId="8059" dataCellStyle="Normal"/>
    <tableColumn id="8375" name="Column8354" dataDxfId="8058" dataCellStyle="Normal"/>
    <tableColumn id="8376" name="Column8355" dataDxfId="8057" dataCellStyle="Normal"/>
    <tableColumn id="8377" name="Column8356" dataDxfId="8056" dataCellStyle="Normal"/>
    <tableColumn id="8378" name="Column8357" dataDxfId="8055" dataCellStyle="Normal"/>
    <tableColumn id="8379" name="Column8358" dataDxfId="8054" dataCellStyle="Normal"/>
    <tableColumn id="8380" name="Column8359" dataDxfId="8053" dataCellStyle="Normal"/>
    <tableColumn id="8381" name="Column8360" dataDxfId="8052" dataCellStyle="Normal"/>
    <tableColumn id="8382" name="Column8361" dataDxfId="8051" dataCellStyle="Normal"/>
    <tableColumn id="8383" name="Column8362" dataDxfId="8050" dataCellStyle="Normal"/>
    <tableColumn id="8384" name="Column8363" dataDxfId="8049" dataCellStyle="Normal"/>
    <tableColumn id="8385" name="Column8364" dataDxfId="8048" dataCellStyle="Normal"/>
    <tableColumn id="8386" name="Column8365" dataDxfId="8047" dataCellStyle="Normal"/>
    <tableColumn id="8387" name="Column8366" dataDxfId="8046" dataCellStyle="Normal"/>
    <tableColumn id="8388" name="Column8367" dataDxfId="8045" dataCellStyle="Normal"/>
    <tableColumn id="8389" name="Column8368" dataDxfId="8044" dataCellStyle="Normal"/>
    <tableColumn id="8390" name="Column8369" dataDxfId="8043" dataCellStyle="Normal"/>
    <tableColumn id="8391" name="Column8370" dataDxfId="8042" dataCellStyle="Normal"/>
    <tableColumn id="8392" name="Column8371" dataDxfId="8041" dataCellStyle="Normal"/>
    <tableColumn id="8393" name="Column8372" dataDxfId="8040" dataCellStyle="Normal"/>
    <tableColumn id="8394" name="Column8373" dataDxfId="8039" dataCellStyle="Normal"/>
    <tableColumn id="8395" name="Column8374" dataDxfId="8038" dataCellStyle="Normal"/>
    <tableColumn id="8396" name="Column8375" dataDxfId="8037" dataCellStyle="Normal"/>
    <tableColumn id="8397" name="Column8376" dataDxfId="8036" dataCellStyle="Normal"/>
    <tableColumn id="8398" name="Column8377" dataDxfId="8035" dataCellStyle="Normal"/>
    <tableColumn id="8399" name="Column8378" dataDxfId="8034" dataCellStyle="Normal"/>
    <tableColumn id="8400" name="Column8379" dataDxfId="8033" dataCellStyle="Normal"/>
    <tableColumn id="8401" name="Column8380" dataDxfId="8032" dataCellStyle="Normal"/>
    <tableColumn id="8402" name="Column8381" dataDxfId="8031" dataCellStyle="Normal"/>
    <tableColumn id="8403" name="Column8382" dataDxfId="8030" dataCellStyle="Normal"/>
    <tableColumn id="8404" name="Column8383" dataDxfId="8029" dataCellStyle="Normal"/>
    <tableColumn id="8405" name="Column8384" dataDxfId="8028" dataCellStyle="Normal"/>
    <tableColumn id="8406" name="Column8385" dataDxfId="8027" dataCellStyle="Normal"/>
    <tableColumn id="8407" name="Column8386" dataDxfId="8026" dataCellStyle="Normal"/>
    <tableColumn id="8408" name="Column8387" dataDxfId="8025" dataCellStyle="Normal"/>
    <tableColumn id="8409" name="Column8388" dataDxfId="8024" dataCellStyle="Normal"/>
    <tableColumn id="8410" name="Column8389" dataDxfId="8023" dataCellStyle="Normal"/>
    <tableColumn id="8411" name="Column8390" dataDxfId="8022" dataCellStyle="Normal"/>
    <tableColumn id="8412" name="Column8391" dataDxfId="8021" dataCellStyle="Normal"/>
    <tableColumn id="8413" name="Column8392" dataDxfId="8020" dataCellStyle="Normal"/>
    <tableColumn id="8414" name="Column8393" dataDxfId="8019" dataCellStyle="Normal"/>
    <tableColumn id="8415" name="Column8394" dataDxfId="8018" dataCellStyle="Normal"/>
    <tableColumn id="8416" name="Column8395" dataDxfId="8017" dataCellStyle="Normal"/>
    <tableColumn id="8417" name="Column8396" dataDxfId="8016" dataCellStyle="Normal"/>
    <tableColumn id="8418" name="Column8397" dataDxfId="8015" dataCellStyle="Normal"/>
    <tableColumn id="8419" name="Column8398" dataDxfId="8014" dataCellStyle="Normal"/>
    <tableColumn id="8420" name="Column8399" dataDxfId="8013" dataCellStyle="Normal"/>
    <tableColumn id="8421" name="Column8400" dataDxfId="8012" dataCellStyle="Normal"/>
    <tableColumn id="8422" name="Column8401" dataDxfId="8011" dataCellStyle="Normal"/>
    <tableColumn id="8423" name="Column8402" dataDxfId="8010" dataCellStyle="Normal"/>
    <tableColumn id="8424" name="Column8403" dataDxfId="8009" dataCellStyle="Normal"/>
    <tableColumn id="8425" name="Column8404" dataDxfId="8008" dataCellStyle="Normal"/>
    <tableColumn id="8426" name="Column8405" dataDxfId="8007" dataCellStyle="Normal"/>
    <tableColumn id="8427" name="Column8406" dataDxfId="8006" dataCellStyle="Normal"/>
    <tableColumn id="8428" name="Column8407" dataDxfId="8005" dataCellStyle="Normal"/>
    <tableColumn id="8429" name="Column8408" dataDxfId="8004" dataCellStyle="Normal"/>
    <tableColumn id="8430" name="Column8409" dataDxfId="8003" dataCellStyle="Normal"/>
    <tableColumn id="8431" name="Column8410" dataDxfId="8002" dataCellStyle="Normal"/>
    <tableColumn id="8432" name="Column8411" dataDxfId="8001" dataCellStyle="Normal"/>
    <tableColumn id="8433" name="Column8412" dataDxfId="8000" dataCellStyle="Normal"/>
    <tableColumn id="8434" name="Column8413" dataDxfId="7999" dataCellStyle="Normal"/>
    <tableColumn id="8435" name="Column8414" dataDxfId="7998" dataCellStyle="Normal"/>
    <tableColumn id="8436" name="Column8415" dataDxfId="7997" dataCellStyle="Normal"/>
    <tableColumn id="8437" name="Column8416" dataDxfId="7996" dataCellStyle="Normal"/>
    <tableColumn id="8438" name="Column8417" dataDxfId="7995" dataCellStyle="Normal"/>
    <tableColumn id="8439" name="Column8418" dataDxfId="7994" dataCellStyle="Normal"/>
    <tableColumn id="8440" name="Column8419" dataDxfId="7993" dataCellStyle="Normal"/>
    <tableColumn id="8441" name="Column8420" dataDxfId="7992" dataCellStyle="Normal"/>
    <tableColumn id="8442" name="Column8421" dataDxfId="7991" dataCellStyle="Normal"/>
    <tableColumn id="8443" name="Column8422" dataDxfId="7990" dataCellStyle="Normal"/>
    <tableColumn id="8444" name="Column8423" dataDxfId="7989" dataCellStyle="Normal"/>
    <tableColumn id="8445" name="Column8424" dataDxfId="7988" dataCellStyle="Normal"/>
    <tableColumn id="8446" name="Column8425" dataDxfId="7987" dataCellStyle="Normal"/>
    <tableColumn id="8447" name="Column8426" dataDxfId="7986" dataCellStyle="Normal"/>
    <tableColumn id="8448" name="Column8427" dataDxfId="7985" dataCellStyle="Normal"/>
    <tableColumn id="8449" name="Column8428" dataDxfId="7984" dataCellStyle="Normal"/>
    <tableColumn id="8450" name="Column8429" dataDxfId="7983" dataCellStyle="Normal"/>
    <tableColumn id="8451" name="Column8430" dataDxfId="7982" dataCellStyle="Normal"/>
    <tableColumn id="8452" name="Column8431" dataDxfId="7981" dataCellStyle="Normal"/>
    <tableColumn id="8453" name="Column8432" dataDxfId="7980" dataCellStyle="Normal"/>
    <tableColumn id="8454" name="Column8433" dataDxfId="7979" dataCellStyle="Normal"/>
    <tableColumn id="8455" name="Column8434" dataDxfId="7978" dataCellStyle="Normal"/>
    <tableColumn id="8456" name="Column8435" dataDxfId="7977" dataCellStyle="Normal"/>
    <tableColumn id="8457" name="Column8436" dataDxfId="7976" dataCellStyle="Normal"/>
    <tableColumn id="8458" name="Column8437" dataDxfId="7975" dataCellStyle="Normal"/>
    <tableColumn id="8459" name="Column8438" dataDxfId="7974" dataCellStyle="Normal"/>
    <tableColumn id="8460" name="Column8439" dataDxfId="7973" dataCellStyle="Normal"/>
    <tableColumn id="8461" name="Column8440" dataDxfId="7972" dataCellStyle="Normal"/>
    <tableColumn id="8462" name="Column8441" dataDxfId="7971" dataCellStyle="Normal"/>
    <tableColumn id="8463" name="Column8442" dataDxfId="7970" dataCellStyle="Normal"/>
    <tableColumn id="8464" name="Column8443" dataDxfId="7969" dataCellStyle="Normal"/>
    <tableColumn id="8465" name="Column8444" dataDxfId="7968" dataCellStyle="Normal"/>
    <tableColumn id="8466" name="Column8445" dataDxfId="7967" dataCellStyle="Normal"/>
    <tableColumn id="8467" name="Column8446" dataDxfId="7966" dataCellStyle="Normal"/>
    <tableColumn id="8468" name="Column8447" dataDxfId="7965" dataCellStyle="Normal"/>
    <tableColumn id="8469" name="Column8448" dataDxfId="7964" dataCellStyle="Normal"/>
    <tableColumn id="8470" name="Column8449" dataDxfId="7963" dataCellStyle="Normal"/>
    <tableColumn id="8471" name="Column8450" dataDxfId="7962" dataCellStyle="Normal"/>
    <tableColumn id="8472" name="Column8451" dataDxfId="7961" dataCellStyle="Normal"/>
    <tableColumn id="8473" name="Column8452" dataDxfId="7960" dataCellStyle="Normal"/>
    <tableColumn id="8474" name="Column8453" dataDxfId="7959" dataCellStyle="Normal"/>
    <tableColumn id="8475" name="Column8454" dataDxfId="7958" dataCellStyle="Normal"/>
    <tableColumn id="8476" name="Column8455" dataDxfId="7957" dataCellStyle="Normal"/>
    <tableColumn id="8477" name="Column8456" dataDxfId="7956" dataCellStyle="Normal"/>
    <tableColumn id="8478" name="Column8457" dataDxfId="7955" dataCellStyle="Normal"/>
    <tableColumn id="8479" name="Column8458" dataDxfId="7954" dataCellStyle="Normal"/>
    <tableColumn id="8480" name="Column8459" dataDxfId="7953" dataCellStyle="Normal"/>
    <tableColumn id="8481" name="Column8460" dataDxfId="7952" dataCellStyle="Normal"/>
    <tableColumn id="8482" name="Column8461" dataDxfId="7951" dataCellStyle="Normal"/>
    <tableColumn id="8483" name="Column8462" dataDxfId="7950" dataCellStyle="Normal"/>
    <tableColumn id="8484" name="Column8463" dataDxfId="7949" dataCellStyle="Normal"/>
    <tableColumn id="8485" name="Column8464" dataDxfId="7948" dataCellStyle="Normal"/>
    <tableColumn id="8486" name="Column8465" dataDxfId="7947" dataCellStyle="Normal"/>
    <tableColumn id="8487" name="Column8466" dataDxfId="7946" dataCellStyle="Normal"/>
    <tableColumn id="8488" name="Column8467" dataDxfId="7945" dataCellStyle="Normal"/>
    <tableColumn id="8489" name="Column8468" dataDxfId="7944" dataCellStyle="Normal"/>
    <tableColumn id="8490" name="Column8469" dataDxfId="7943" dataCellStyle="Normal"/>
    <tableColumn id="8491" name="Column8470" dataDxfId="7942" dataCellStyle="Normal"/>
    <tableColumn id="8492" name="Column8471" dataDxfId="7941" dataCellStyle="Normal"/>
    <tableColumn id="8493" name="Column8472" dataDxfId="7940" dataCellStyle="Normal"/>
    <tableColumn id="8494" name="Column8473" dataDxfId="7939" dataCellStyle="Normal"/>
    <tableColumn id="8495" name="Column8474" dataDxfId="7938" dataCellStyle="Normal"/>
    <tableColumn id="8496" name="Column8475" dataDxfId="7937" dataCellStyle="Normal"/>
    <tableColumn id="8497" name="Column8476" dataDxfId="7936" dataCellStyle="Normal"/>
    <tableColumn id="8498" name="Column8477" dataDxfId="7935" dataCellStyle="Normal"/>
    <tableColumn id="8499" name="Column8478" dataDxfId="7934" dataCellStyle="Normal"/>
    <tableColumn id="8500" name="Column8479" dataDxfId="7933" dataCellStyle="Normal"/>
    <tableColumn id="8501" name="Column8480" dataDxfId="7932" dataCellStyle="Normal"/>
    <tableColumn id="8502" name="Column8481" dataDxfId="7931" dataCellStyle="Normal"/>
    <tableColumn id="8503" name="Column8482" dataDxfId="7930" dataCellStyle="Normal"/>
    <tableColumn id="8504" name="Column8483" dataDxfId="7929" dataCellStyle="Normal"/>
    <tableColumn id="8505" name="Column8484" dataDxfId="7928" dataCellStyle="Normal"/>
    <tableColumn id="8506" name="Column8485" dataDxfId="7927" dataCellStyle="Normal"/>
    <tableColumn id="8507" name="Column8486" dataDxfId="7926" dataCellStyle="Normal"/>
    <tableColumn id="8508" name="Column8487" dataDxfId="7925" dataCellStyle="Normal"/>
    <tableColumn id="8509" name="Column8488" dataDxfId="7924" dataCellStyle="Normal"/>
    <tableColumn id="8510" name="Column8489" dataDxfId="7923" dataCellStyle="Normal"/>
    <tableColumn id="8511" name="Column8490" dataDxfId="7922" dataCellStyle="Normal"/>
    <tableColumn id="8512" name="Column8491" dataDxfId="7921" dataCellStyle="Normal"/>
    <tableColumn id="8513" name="Column8492" dataDxfId="7920" dataCellStyle="Normal"/>
    <tableColumn id="8514" name="Column8493" dataDxfId="7919" dataCellStyle="Normal"/>
    <tableColumn id="8515" name="Column8494" dataDxfId="7918" dataCellStyle="Normal"/>
    <tableColumn id="8516" name="Column8495" dataDxfId="7917" dataCellStyle="Normal"/>
    <tableColumn id="8517" name="Column8496" dataDxfId="7916" dataCellStyle="Normal"/>
    <tableColumn id="8518" name="Column8497" dataDxfId="7915" dataCellStyle="Normal"/>
    <tableColumn id="8519" name="Column8498" dataDxfId="7914" dataCellStyle="Normal"/>
    <tableColumn id="8520" name="Column8499" dataDxfId="7913" dataCellStyle="Normal"/>
    <tableColumn id="8521" name="Column8500" dataDxfId="7912" dataCellStyle="Normal"/>
    <tableColumn id="8522" name="Column8501" dataDxfId="7911" dataCellStyle="Normal"/>
    <tableColumn id="8523" name="Column8502" dataDxfId="7910" dataCellStyle="Normal"/>
    <tableColumn id="8524" name="Column8503" dataDxfId="7909" dataCellStyle="Normal"/>
    <tableColumn id="8525" name="Column8504" dataDxfId="7908" dataCellStyle="Normal"/>
    <tableColumn id="8526" name="Column8505" dataDxfId="7907" dataCellStyle="Normal"/>
    <tableColumn id="8527" name="Column8506" dataDxfId="7906" dataCellStyle="Normal"/>
    <tableColumn id="8528" name="Column8507" dataDxfId="7905" dataCellStyle="Normal"/>
    <tableColumn id="8529" name="Column8508" dataDxfId="7904" dataCellStyle="Normal"/>
    <tableColumn id="8530" name="Column8509" dataDxfId="7903" dataCellStyle="Normal"/>
    <tableColumn id="8531" name="Column8510" dataDxfId="7902" dataCellStyle="Normal"/>
    <tableColumn id="8532" name="Column8511" dataDxfId="7901" dataCellStyle="Normal"/>
    <tableColumn id="8533" name="Column8512" dataDxfId="7900" dataCellStyle="Normal"/>
    <tableColumn id="8534" name="Column8513" dataDxfId="7899" dataCellStyle="Normal"/>
    <tableColumn id="8535" name="Column8514" dataDxfId="7898" dataCellStyle="Normal"/>
    <tableColumn id="8536" name="Column8515" dataDxfId="7897" dataCellStyle="Normal"/>
    <tableColumn id="8537" name="Column8516" dataDxfId="7896" dataCellStyle="Normal"/>
    <tableColumn id="8538" name="Column8517" dataDxfId="7895" dataCellStyle="Normal"/>
    <tableColumn id="8539" name="Column8518" dataDxfId="7894" dataCellStyle="Normal"/>
    <tableColumn id="8540" name="Column8519" dataDxfId="7893" dataCellStyle="Normal"/>
    <tableColumn id="8541" name="Column8520" dataDxfId="7892" dataCellStyle="Normal"/>
    <tableColumn id="8542" name="Column8521" dataDxfId="7891" dataCellStyle="Normal"/>
    <tableColumn id="8543" name="Column8522" dataDxfId="7890" dataCellStyle="Normal"/>
    <tableColumn id="8544" name="Column8523" dataDxfId="7889" dataCellStyle="Normal"/>
    <tableColumn id="8545" name="Column8524" dataDxfId="7888" dataCellStyle="Normal"/>
    <tableColumn id="8546" name="Column8525" dataDxfId="7887" dataCellStyle="Normal"/>
    <tableColumn id="8547" name="Column8526" dataDxfId="7886" dataCellStyle="Normal"/>
    <tableColumn id="8548" name="Column8527" dataDxfId="7885" dataCellStyle="Normal"/>
    <tableColumn id="8549" name="Column8528" dataDxfId="7884" dataCellStyle="Normal"/>
    <tableColumn id="8550" name="Column8529" dataDxfId="7883" dataCellStyle="Normal"/>
    <tableColumn id="8551" name="Column8530" dataDxfId="7882" dataCellStyle="Normal"/>
    <tableColumn id="8552" name="Column8531" dataDxfId="7881" dataCellStyle="Normal"/>
    <tableColumn id="8553" name="Column8532" dataDxfId="7880" dataCellStyle="Normal"/>
    <tableColumn id="8554" name="Column8533" dataDxfId="7879" dataCellStyle="Normal"/>
    <tableColumn id="8555" name="Column8534" dataDxfId="7878" dataCellStyle="Normal"/>
    <tableColumn id="8556" name="Column8535" dataDxfId="7877" dataCellStyle="Normal"/>
    <tableColumn id="8557" name="Column8536" dataDxfId="7876" dataCellStyle="Normal"/>
    <tableColumn id="8558" name="Column8537" dataDxfId="7875" dataCellStyle="Normal"/>
    <tableColumn id="8559" name="Column8538" dataDxfId="7874" dataCellStyle="Normal"/>
    <tableColumn id="8560" name="Column8539" dataDxfId="7873" dataCellStyle="Normal"/>
    <tableColumn id="8561" name="Column8540" dataDxfId="7872" dataCellStyle="Normal"/>
    <tableColumn id="8562" name="Column8541" dataDxfId="7871" dataCellStyle="Normal"/>
    <tableColumn id="8563" name="Column8542" dataDxfId="7870" dataCellStyle="Normal"/>
    <tableColumn id="8564" name="Column8543" dataDxfId="7869" dataCellStyle="Normal"/>
    <tableColumn id="8565" name="Column8544" dataDxfId="7868" dataCellStyle="Normal"/>
    <tableColumn id="8566" name="Column8545" dataDxfId="7867" dataCellStyle="Normal"/>
    <tableColumn id="8567" name="Column8546" dataDxfId="7866" dataCellStyle="Normal"/>
    <tableColumn id="8568" name="Column8547" dataDxfId="7865" dataCellStyle="Normal"/>
    <tableColumn id="8569" name="Column8548" dataDxfId="7864" dataCellStyle="Normal"/>
    <tableColumn id="8570" name="Column8549" dataDxfId="7863" dataCellStyle="Normal"/>
    <tableColumn id="8571" name="Column8550" dataDxfId="7862" dataCellStyle="Normal"/>
    <tableColumn id="8572" name="Column8551" dataDxfId="7861" dataCellStyle="Normal"/>
    <tableColumn id="8573" name="Column8552" dataDxfId="7860" dataCellStyle="Normal"/>
    <tableColumn id="8574" name="Column8553" dataDxfId="7859" dataCellStyle="Normal"/>
    <tableColumn id="8575" name="Column8554" dataDxfId="7858" dataCellStyle="Normal"/>
    <tableColumn id="8576" name="Column8555" dataDxfId="7857" dataCellStyle="Normal"/>
    <tableColumn id="8577" name="Column8556" dataDxfId="7856" dataCellStyle="Normal"/>
    <tableColumn id="8578" name="Column8557" dataDxfId="7855" dataCellStyle="Normal"/>
    <tableColumn id="8579" name="Column8558" dataDxfId="7854" dataCellStyle="Normal"/>
    <tableColumn id="8580" name="Column8559" dataDxfId="7853" dataCellStyle="Normal"/>
    <tableColumn id="8581" name="Column8560" dataDxfId="7852" dataCellStyle="Normal"/>
    <tableColumn id="8582" name="Column8561" dataDxfId="7851" dataCellStyle="Normal"/>
    <tableColumn id="8583" name="Column8562" dataDxfId="7850" dataCellStyle="Normal"/>
    <tableColumn id="8584" name="Column8563" dataDxfId="7849" dataCellStyle="Normal"/>
    <tableColumn id="8585" name="Column8564" dataDxfId="7848" dataCellStyle="Normal"/>
    <tableColumn id="8586" name="Column8565" dataDxfId="7847" dataCellStyle="Normal"/>
    <tableColumn id="8587" name="Column8566" dataDxfId="7846" dataCellStyle="Normal"/>
    <tableColumn id="8588" name="Column8567" dataDxfId="7845" dataCellStyle="Normal"/>
    <tableColumn id="8589" name="Column8568" dataDxfId="7844" dataCellStyle="Normal"/>
    <tableColumn id="8590" name="Column8569" dataDxfId="7843" dataCellStyle="Normal"/>
    <tableColumn id="8591" name="Column8570" dataDxfId="7842" dataCellStyle="Normal"/>
    <tableColumn id="8592" name="Column8571" dataDxfId="7841" dataCellStyle="Normal"/>
    <tableColumn id="8593" name="Column8572" dataDxfId="7840" dataCellStyle="Normal"/>
    <tableColumn id="8594" name="Column8573" dataDxfId="7839" dataCellStyle="Normal"/>
    <tableColumn id="8595" name="Column8574" dataDxfId="7838" dataCellStyle="Normal"/>
    <tableColumn id="8596" name="Column8575" dataDxfId="7837" dataCellStyle="Normal"/>
    <tableColumn id="8597" name="Column8576" dataDxfId="7836" dataCellStyle="Normal"/>
    <tableColumn id="8598" name="Column8577" dataDxfId="7835" dataCellStyle="Normal"/>
    <tableColumn id="8599" name="Column8578" dataDxfId="7834" dataCellStyle="Normal"/>
    <tableColumn id="8600" name="Column8579" dataDxfId="7833" dataCellStyle="Normal"/>
    <tableColumn id="8601" name="Column8580" dataDxfId="7832" dataCellStyle="Normal"/>
    <tableColumn id="8602" name="Column8581" dataDxfId="7831" dataCellStyle="Normal"/>
    <tableColumn id="8603" name="Column8582" dataDxfId="7830" dataCellStyle="Normal"/>
    <tableColumn id="8604" name="Column8583" dataDxfId="7829" dataCellStyle="Normal"/>
    <tableColumn id="8605" name="Column8584" dataDxfId="7828" dataCellStyle="Normal"/>
    <tableColumn id="8606" name="Column8585" dataDxfId="7827" dataCellStyle="Normal"/>
    <tableColumn id="8607" name="Column8586" dataDxfId="7826" dataCellStyle="Normal"/>
    <tableColumn id="8608" name="Column8587" dataDxfId="7825" dataCellStyle="Normal"/>
    <tableColumn id="8609" name="Column8588" dataDxfId="7824" dataCellStyle="Normal"/>
    <tableColumn id="8610" name="Column8589" dataDxfId="7823" dataCellStyle="Normal"/>
    <tableColumn id="8611" name="Column8590" dataDxfId="7822" dataCellStyle="Normal"/>
    <tableColumn id="8612" name="Column8591" dataDxfId="7821" dataCellStyle="Normal"/>
    <tableColumn id="8613" name="Column8592" dataDxfId="7820" dataCellStyle="Normal"/>
    <tableColumn id="8614" name="Column8593" dataDxfId="7819" dataCellStyle="Normal"/>
    <tableColumn id="8615" name="Column8594" dataDxfId="7818" dataCellStyle="Normal"/>
    <tableColumn id="8616" name="Column8595" dataDxfId="7817" dataCellStyle="Normal"/>
    <tableColumn id="8617" name="Column8596" dataDxfId="7816" dataCellStyle="Normal"/>
    <tableColumn id="8618" name="Column8597" dataDxfId="7815" dataCellStyle="Normal"/>
    <tableColumn id="8619" name="Column8598" dataDxfId="7814" dataCellStyle="Normal"/>
    <tableColumn id="8620" name="Column8599" dataDxfId="7813" dataCellStyle="Normal"/>
    <tableColumn id="8621" name="Column8600" dataDxfId="7812" dataCellStyle="Normal"/>
    <tableColumn id="8622" name="Column8601" dataDxfId="7811" dataCellStyle="Normal"/>
    <tableColumn id="8623" name="Column8602" dataDxfId="7810" dataCellStyle="Normal"/>
    <tableColumn id="8624" name="Column8603" dataDxfId="7809" dataCellStyle="Normal"/>
    <tableColumn id="8625" name="Column8604" dataDxfId="7808" dataCellStyle="Normal"/>
    <tableColumn id="8626" name="Column8605" dataDxfId="7807" dataCellStyle="Normal"/>
    <tableColumn id="8627" name="Column8606" dataDxfId="7806" dataCellStyle="Normal"/>
    <tableColumn id="8628" name="Column8607" dataDxfId="7805" dataCellStyle="Normal"/>
    <tableColumn id="8629" name="Column8608" dataDxfId="7804" dataCellStyle="Normal"/>
    <tableColumn id="8630" name="Column8609" dataDxfId="7803" dataCellStyle="Normal"/>
    <tableColumn id="8631" name="Column8610" dataDxfId="7802" dataCellStyle="Normal"/>
    <tableColumn id="8632" name="Column8611" dataDxfId="7801" dataCellStyle="Normal"/>
    <tableColumn id="8633" name="Column8612" dataDxfId="7800" dataCellStyle="Normal"/>
    <tableColumn id="8634" name="Column8613" dataDxfId="7799" dataCellStyle="Normal"/>
    <tableColumn id="8635" name="Column8614" dataDxfId="7798" dataCellStyle="Normal"/>
    <tableColumn id="8636" name="Column8615" dataDxfId="7797" dataCellStyle="Normal"/>
    <tableColumn id="8637" name="Column8616" dataDxfId="7796" dataCellStyle="Normal"/>
    <tableColumn id="8638" name="Column8617" dataDxfId="7795" dataCellStyle="Normal"/>
    <tableColumn id="8639" name="Column8618" dataDxfId="7794" dataCellStyle="Normal"/>
    <tableColumn id="8640" name="Column8619" dataDxfId="7793" dataCellStyle="Normal"/>
    <tableColumn id="8641" name="Column8620" dataDxfId="7792" dataCellStyle="Normal"/>
    <tableColumn id="8642" name="Column8621" dataDxfId="7791" dataCellStyle="Normal"/>
    <tableColumn id="8643" name="Column8622" dataDxfId="7790" dataCellStyle="Normal"/>
    <tableColumn id="8644" name="Column8623" dataDxfId="7789" dataCellStyle="Normal"/>
    <tableColumn id="8645" name="Column8624" dataDxfId="7788" dataCellStyle="Normal"/>
    <tableColumn id="8646" name="Column8625" dataDxfId="7787" dataCellStyle="Normal"/>
    <tableColumn id="8647" name="Column8626" dataDxfId="7786" dataCellStyle="Normal"/>
    <tableColumn id="8648" name="Column8627" dataDxfId="7785" dataCellStyle="Normal"/>
    <tableColumn id="8649" name="Column8628" dataDxfId="7784" dataCellStyle="Normal"/>
    <tableColumn id="8650" name="Column8629" dataDxfId="7783" dataCellStyle="Normal"/>
    <tableColumn id="8651" name="Column8630" dataDxfId="7782" dataCellStyle="Normal"/>
    <tableColumn id="8652" name="Column8631" dataDxfId="7781" dataCellStyle="Normal"/>
    <tableColumn id="8653" name="Column8632" dataDxfId="7780" dataCellStyle="Normal"/>
    <tableColumn id="8654" name="Column8633" dataDxfId="7779" dataCellStyle="Normal"/>
    <tableColumn id="8655" name="Column8634" dataDxfId="7778" dataCellStyle="Normal"/>
    <tableColumn id="8656" name="Column8635" dataDxfId="7777" dataCellStyle="Normal"/>
    <tableColumn id="8657" name="Column8636" dataDxfId="7776" dataCellStyle="Normal"/>
    <tableColumn id="8658" name="Column8637" dataDxfId="7775" dataCellStyle="Normal"/>
    <tableColumn id="8659" name="Column8638" dataDxfId="7774" dataCellStyle="Normal"/>
    <tableColumn id="8660" name="Column8639" dataDxfId="7773" dataCellStyle="Normal"/>
    <tableColumn id="8661" name="Column8640" dataDxfId="7772" dataCellStyle="Normal"/>
    <tableColumn id="8662" name="Column8641" dataDxfId="7771" dataCellStyle="Normal"/>
    <tableColumn id="8663" name="Column8642" dataDxfId="7770" dataCellStyle="Normal"/>
    <tableColumn id="8664" name="Column8643" dataDxfId="7769" dataCellStyle="Normal"/>
    <tableColumn id="8665" name="Column8644" dataDxfId="7768" dataCellStyle="Normal"/>
    <tableColumn id="8666" name="Column8645" dataDxfId="7767" dataCellStyle="Normal"/>
    <tableColumn id="8667" name="Column8646" dataDxfId="7766" dataCellStyle="Normal"/>
    <tableColumn id="8668" name="Column8647" dataDxfId="7765" dataCellStyle="Normal"/>
    <tableColumn id="8669" name="Column8648" dataDxfId="7764" dataCellStyle="Normal"/>
    <tableColumn id="8670" name="Column8649" dataDxfId="7763" dataCellStyle="Normal"/>
    <tableColumn id="8671" name="Column8650" dataDxfId="7762" dataCellStyle="Normal"/>
    <tableColumn id="8672" name="Column8651" dataDxfId="7761" dataCellStyle="Normal"/>
    <tableColumn id="8673" name="Column8652" dataDxfId="7760" dataCellStyle="Normal"/>
    <tableColumn id="8674" name="Column8653" dataDxfId="7759" dataCellStyle="Normal"/>
    <tableColumn id="8675" name="Column8654" dataDxfId="7758" dataCellStyle="Normal"/>
    <tableColumn id="8676" name="Column8655" dataDxfId="7757" dataCellStyle="Normal"/>
    <tableColumn id="8677" name="Column8656" dataDxfId="7756" dataCellStyle="Normal"/>
    <tableColumn id="8678" name="Column8657" dataDxfId="7755" dataCellStyle="Normal"/>
    <tableColumn id="8679" name="Column8658" dataDxfId="7754" dataCellStyle="Normal"/>
    <tableColumn id="8680" name="Column8659" dataDxfId="7753" dataCellStyle="Normal"/>
    <tableColumn id="8681" name="Column8660" dataDxfId="7752" dataCellStyle="Normal"/>
    <tableColumn id="8682" name="Column8661" dataDxfId="7751" dataCellStyle="Normal"/>
    <tableColumn id="8683" name="Column8662" dataDxfId="7750" dataCellStyle="Normal"/>
    <tableColumn id="8684" name="Column8663" dataDxfId="7749" dataCellStyle="Normal"/>
    <tableColumn id="8685" name="Column8664" dataDxfId="7748" dataCellStyle="Normal"/>
    <tableColumn id="8686" name="Column8665" dataDxfId="7747" dataCellStyle="Normal"/>
    <tableColumn id="8687" name="Column8666" dataDxfId="7746" dataCellStyle="Normal"/>
    <tableColumn id="8688" name="Column8667" dataDxfId="7745" dataCellStyle="Normal"/>
    <tableColumn id="8689" name="Column8668" dataDxfId="7744" dataCellStyle="Normal"/>
    <tableColumn id="8690" name="Column8669" dataDxfId="7743" dataCellStyle="Normal"/>
    <tableColumn id="8691" name="Column8670" dataDxfId="7742" dataCellStyle="Normal"/>
    <tableColumn id="8692" name="Column8671" dataDxfId="7741" dataCellStyle="Normal"/>
    <tableColumn id="8693" name="Column8672" dataDxfId="7740" dataCellStyle="Normal"/>
    <tableColumn id="8694" name="Column8673" dataDxfId="7739" dataCellStyle="Normal"/>
    <tableColumn id="8695" name="Column8674" dataDxfId="7738" dataCellStyle="Normal"/>
    <tableColumn id="8696" name="Column8675" dataDxfId="7737" dataCellStyle="Normal"/>
    <tableColumn id="8697" name="Column8676" dataDxfId="7736" dataCellStyle="Normal"/>
    <tableColumn id="8698" name="Column8677" dataDxfId="7735" dataCellStyle="Normal"/>
    <tableColumn id="8699" name="Column8678" dataDxfId="7734" dataCellStyle="Normal"/>
    <tableColumn id="8700" name="Column8679" dataDxfId="7733" dataCellStyle="Normal"/>
    <tableColumn id="8701" name="Column8680" dataDxfId="7732" dataCellStyle="Normal"/>
    <tableColumn id="8702" name="Column8681" dataDxfId="7731" dataCellStyle="Normal"/>
    <tableColumn id="8703" name="Column8682" dataDxfId="7730" dataCellStyle="Normal"/>
    <tableColumn id="8704" name="Column8683" dataDxfId="7729" dataCellStyle="Normal"/>
    <tableColumn id="8705" name="Column8684" dataDxfId="7728" dataCellStyle="Normal"/>
    <tableColumn id="8706" name="Column8685" dataDxfId="7727" dataCellStyle="Normal"/>
    <tableColumn id="8707" name="Column8686" dataDxfId="7726" dataCellStyle="Normal"/>
    <tableColumn id="8708" name="Column8687" dataDxfId="7725" dataCellStyle="Normal"/>
    <tableColumn id="8709" name="Column8688" dataDxfId="7724" dataCellStyle="Normal"/>
    <tableColumn id="8710" name="Column8689" dataDxfId="7723" dataCellStyle="Normal"/>
    <tableColumn id="8711" name="Column8690" dataDxfId="7722" dataCellStyle="Normal"/>
    <tableColumn id="8712" name="Column8691" dataDxfId="7721" dataCellStyle="Normal"/>
    <tableColumn id="8713" name="Column8692" dataDxfId="7720" dataCellStyle="Normal"/>
    <tableColumn id="8714" name="Column8693" dataDxfId="7719" dataCellStyle="Normal"/>
    <tableColumn id="8715" name="Column8694" dataDxfId="7718" dataCellStyle="Normal"/>
    <tableColumn id="8716" name="Column8695" dataDxfId="7717" dataCellStyle="Normal"/>
    <tableColumn id="8717" name="Column8696" dataDxfId="7716" dataCellStyle="Normal"/>
    <tableColumn id="8718" name="Column8697" dataDxfId="7715" dataCellStyle="Normal"/>
    <tableColumn id="8719" name="Column8698" dataDxfId="7714" dataCellStyle="Normal"/>
    <tableColumn id="8720" name="Column8699" dataDxfId="7713" dataCellStyle="Normal"/>
    <tableColumn id="8721" name="Column8700" dataDxfId="7712" dataCellStyle="Normal"/>
    <tableColumn id="8722" name="Column8701" dataDxfId="7711" dataCellStyle="Normal"/>
    <tableColumn id="8723" name="Column8702" dataDxfId="7710" dataCellStyle="Normal"/>
    <tableColumn id="8724" name="Column8703" dataDxfId="7709" dataCellStyle="Normal"/>
    <tableColumn id="8725" name="Column8704" dataDxfId="7708" dataCellStyle="Normal"/>
    <tableColumn id="8726" name="Column8705" dataDxfId="7707" dataCellStyle="Normal"/>
    <tableColumn id="8727" name="Column8706" dataDxfId="7706" dataCellStyle="Normal"/>
    <tableColumn id="8728" name="Column8707" dataDxfId="7705" dataCellStyle="Normal"/>
    <tableColumn id="8729" name="Column8708" dataDxfId="7704" dataCellStyle="Normal"/>
    <tableColumn id="8730" name="Column8709" dataDxfId="7703" dataCellStyle="Normal"/>
    <tableColumn id="8731" name="Column8710" dataDxfId="7702" dataCellStyle="Normal"/>
    <tableColumn id="8732" name="Column8711" dataDxfId="7701" dataCellStyle="Normal"/>
    <tableColumn id="8733" name="Column8712" dataDxfId="7700" dataCellStyle="Normal"/>
    <tableColumn id="8734" name="Column8713" dataDxfId="7699" dataCellStyle="Normal"/>
    <tableColumn id="8735" name="Column8714" dataDxfId="7698" dataCellStyle="Normal"/>
    <tableColumn id="8736" name="Column8715" dataDxfId="7697" dataCellStyle="Normal"/>
    <tableColumn id="8737" name="Column8716" dataDxfId="7696" dataCellStyle="Normal"/>
    <tableColumn id="8738" name="Column8717" dataDxfId="7695" dataCellStyle="Normal"/>
    <tableColumn id="8739" name="Column8718" dataDxfId="7694" dataCellStyle="Normal"/>
    <tableColumn id="8740" name="Column8719" dataDxfId="7693" dataCellStyle="Normal"/>
    <tableColumn id="8741" name="Column8720" dataDxfId="7692" dataCellStyle="Normal"/>
    <tableColumn id="8742" name="Column8721" dataDxfId="7691" dataCellStyle="Normal"/>
    <tableColumn id="8743" name="Column8722" dataDxfId="7690" dataCellStyle="Normal"/>
    <tableColumn id="8744" name="Column8723" dataDxfId="7689" dataCellStyle="Normal"/>
    <tableColumn id="8745" name="Column8724" dataDxfId="7688" dataCellStyle="Normal"/>
    <tableColumn id="8746" name="Column8725" dataDxfId="7687" dataCellStyle="Normal"/>
    <tableColumn id="8747" name="Column8726" dataDxfId="7686" dataCellStyle="Normal"/>
    <tableColumn id="8748" name="Column8727" dataDxfId="7685" dataCellStyle="Normal"/>
    <tableColumn id="8749" name="Column8728" dataDxfId="7684" dataCellStyle="Normal"/>
    <tableColumn id="8750" name="Column8729" dataDxfId="7683" dataCellStyle="Normal"/>
    <tableColumn id="8751" name="Column8730" dataDxfId="7682" dataCellStyle="Normal"/>
    <tableColumn id="8752" name="Column8731" dataDxfId="7681" dataCellStyle="Normal"/>
    <tableColumn id="8753" name="Column8732" dataDxfId="7680" dataCellStyle="Normal"/>
    <tableColumn id="8754" name="Column8733" dataDxfId="7679" dataCellStyle="Normal"/>
    <tableColumn id="8755" name="Column8734" dataDxfId="7678" dataCellStyle="Normal"/>
    <tableColumn id="8756" name="Column8735" dataDxfId="7677" dataCellStyle="Normal"/>
    <tableColumn id="8757" name="Column8736" dataDxfId="7676" dataCellStyle="Normal"/>
    <tableColumn id="8758" name="Column8737" dataDxfId="7675" dataCellStyle="Normal"/>
    <tableColumn id="8759" name="Column8738" dataDxfId="7674" dataCellStyle="Normal"/>
    <tableColumn id="8760" name="Column8739" dataDxfId="7673" dataCellStyle="Normal"/>
    <tableColumn id="8761" name="Column8740" dataDxfId="7672" dataCellStyle="Normal"/>
    <tableColumn id="8762" name="Column8741" dataDxfId="7671" dataCellStyle="Normal"/>
    <tableColumn id="8763" name="Column8742" dataDxfId="7670" dataCellStyle="Normal"/>
    <tableColumn id="8764" name="Column8743" dataDxfId="7669" dataCellStyle="Normal"/>
    <tableColumn id="8765" name="Column8744" dataDxfId="7668" dataCellStyle="Normal"/>
    <tableColumn id="8766" name="Column8745" dataDxfId="7667" dataCellStyle="Normal"/>
    <tableColumn id="8767" name="Column8746" dataDxfId="7666" dataCellStyle="Normal"/>
    <tableColumn id="8768" name="Column8747" dataDxfId="7665" dataCellStyle="Normal"/>
    <tableColumn id="8769" name="Column8748" dataDxfId="7664" dataCellStyle="Normal"/>
    <tableColumn id="8770" name="Column8749" dataDxfId="7663" dataCellStyle="Normal"/>
    <tableColumn id="8771" name="Column8750" dataDxfId="7662" dataCellStyle="Normal"/>
    <tableColumn id="8772" name="Column8751" dataDxfId="7661" dataCellStyle="Normal"/>
    <tableColumn id="8773" name="Column8752" dataDxfId="7660" dataCellStyle="Normal"/>
    <tableColumn id="8774" name="Column8753" dataDxfId="7659" dataCellStyle="Normal"/>
    <tableColumn id="8775" name="Column8754" dataDxfId="7658" dataCellStyle="Normal"/>
    <tableColumn id="8776" name="Column8755" dataDxfId="7657" dataCellStyle="Normal"/>
    <tableColumn id="8777" name="Column8756" dataDxfId="7656" dataCellStyle="Normal"/>
    <tableColumn id="8778" name="Column8757" dataDxfId="7655" dataCellStyle="Normal"/>
    <tableColumn id="8779" name="Column8758" dataDxfId="7654" dataCellStyle="Normal"/>
    <tableColumn id="8780" name="Column8759" dataDxfId="7653" dataCellStyle="Normal"/>
    <tableColumn id="8781" name="Column8760" dataDxfId="7652" dataCellStyle="Normal"/>
    <tableColumn id="8782" name="Column8761" dataDxfId="7651" dataCellStyle="Normal"/>
    <tableColumn id="8783" name="Column8762" dataDxfId="7650" dataCellStyle="Normal"/>
    <tableColumn id="8784" name="Column8763" dataDxfId="7649" dataCellStyle="Normal"/>
    <tableColumn id="8785" name="Column8764" dataDxfId="7648" dataCellStyle="Normal"/>
    <tableColumn id="8786" name="Column8765" dataDxfId="7647" dataCellStyle="Normal"/>
    <tableColumn id="8787" name="Column8766" dataDxfId="7646" dataCellStyle="Normal"/>
    <tableColumn id="8788" name="Column8767" dataDxfId="7645" dataCellStyle="Normal"/>
    <tableColumn id="8789" name="Column8768" dataDxfId="7644" dataCellStyle="Normal"/>
    <tableColumn id="8790" name="Column8769" dataDxfId="7643" dataCellStyle="Normal"/>
    <tableColumn id="8791" name="Column8770" dataDxfId="7642" dataCellStyle="Normal"/>
    <tableColumn id="8792" name="Column8771" dataDxfId="7641" dataCellStyle="Normal"/>
    <tableColumn id="8793" name="Column8772" dataDxfId="7640" dataCellStyle="Normal"/>
    <tableColumn id="8794" name="Column8773" dataDxfId="7639" dataCellStyle="Normal"/>
    <tableColumn id="8795" name="Column8774" dataDxfId="7638" dataCellStyle="Normal"/>
    <tableColumn id="8796" name="Column8775" dataDxfId="7637" dataCellStyle="Normal"/>
    <tableColumn id="8797" name="Column8776" dataDxfId="7636" dataCellStyle="Normal"/>
    <tableColumn id="8798" name="Column8777" dataDxfId="7635" dataCellStyle="Normal"/>
    <tableColumn id="8799" name="Column8778" dataDxfId="7634" dataCellStyle="Normal"/>
    <tableColumn id="8800" name="Column8779" dataDxfId="7633" dataCellStyle="Normal"/>
    <tableColumn id="8801" name="Column8780" dataDxfId="7632" dataCellStyle="Normal"/>
    <tableColumn id="8802" name="Column8781" dataDxfId="7631" dataCellStyle="Normal"/>
    <tableColumn id="8803" name="Column8782" dataDxfId="7630" dataCellStyle="Normal"/>
    <tableColumn id="8804" name="Column8783" dataDxfId="7629" dataCellStyle="Normal"/>
    <tableColumn id="8805" name="Column8784" dataDxfId="7628" dataCellStyle="Normal"/>
    <tableColumn id="8806" name="Column8785" dataDxfId="7627" dataCellStyle="Normal"/>
    <tableColumn id="8807" name="Column8786" dataDxfId="7626" dataCellStyle="Normal"/>
    <tableColumn id="8808" name="Column8787" dataDxfId="7625" dataCellStyle="Normal"/>
    <tableColumn id="8809" name="Column8788" dataDxfId="7624" dataCellStyle="Normal"/>
    <tableColumn id="8810" name="Column8789" dataDxfId="7623" dataCellStyle="Normal"/>
    <tableColumn id="8811" name="Column8790" dataDxfId="7622" dataCellStyle="Normal"/>
    <tableColumn id="8812" name="Column8791" dataDxfId="7621" dataCellStyle="Normal"/>
    <tableColumn id="8813" name="Column8792" dataDxfId="7620" dataCellStyle="Normal"/>
    <tableColumn id="8814" name="Column8793" dataDxfId="7619" dataCellStyle="Normal"/>
    <tableColumn id="8815" name="Column8794" dataDxfId="7618" dataCellStyle="Normal"/>
    <tableColumn id="8816" name="Column8795" dataDxfId="7617" dataCellStyle="Normal"/>
    <tableColumn id="8817" name="Column8796" dataDxfId="7616" dataCellStyle="Normal"/>
    <tableColumn id="8818" name="Column8797" dataDxfId="7615" dataCellStyle="Normal"/>
    <tableColumn id="8819" name="Column8798" dataDxfId="7614" dataCellStyle="Normal"/>
    <tableColumn id="8820" name="Column8799" dataDxfId="7613" dataCellStyle="Normal"/>
    <tableColumn id="8821" name="Column8800" dataDxfId="7612" dataCellStyle="Normal"/>
    <tableColumn id="8822" name="Column8801" dataDxfId="7611" dataCellStyle="Normal"/>
    <tableColumn id="8823" name="Column8802" dataDxfId="7610" dataCellStyle="Normal"/>
    <tableColumn id="8824" name="Column8803" dataDxfId="7609" dataCellStyle="Normal"/>
    <tableColumn id="8825" name="Column8804" dataDxfId="7608" dataCellStyle="Normal"/>
    <tableColumn id="8826" name="Column8805" dataDxfId="7607" dataCellStyle="Normal"/>
    <tableColumn id="8827" name="Column8806" dataDxfId="7606" dataCellStyle="Normal"/>
    <tableColumn id="8828" name="Column8807" dataDxfId="7605" dataCellStyle="Normal"/>
    <tableColumn id="8829" name="Column8808" dataDxfId="7604" dataCellStyle="Normal"/>
    <tableColumn id="8830" name="Column8809" dataDxfId="7603" dataCellStyle="Normal"/>
    <tableColumn id="8831" name="Column8810" dataDxfId="7602" dataCellStyle="Normal"/>
    <tableColumn id="8832" name="Column8811" dataDxfId="7601" dataCellStyle="Normal"/>
    <tableColumn id="8833" name="Column8812" dataDxfId="7600" dataCellStyle="Normal"/>
    <tableColumn id="8834" name="Column8813" dataDxfId="7599" dataCellStyle="Normal"/>
    <tableColumn id="8835" name="Column8814" dataDxfId="7598" dataCellStyle="Normal"/>
    <tableColumn id="8836" name="Column8815" dataDxfId="7597" dataCellStyle="Normal"/>
    <tableColumn id="8837" name="Column8816" dataDxfId="7596" dataCellStyle="Normal"/>
    <tableColumn id="8838" name="Column8817" dataDxfId="7595" dataCellStyle="Normal"/>
    <tableColumn id="8839" name="Column8818" dataDxfId="7594" dataCellStyle="Normal"/>
    <tableColumn id="8840" name="Column8819" dataDxfId="7593" dataCellStyle="Normal"/>
    <tableColumn id="8841" name="Column8820" dataDxfId="7592" dataCellStyle="Normal"/>
    <tableColumn id="8842" name="Column8821" dataDxfId="7591" dataCellStyle="Normal"/>
    <tableColumn id="8843" name="Column8822" dataDxfId="7590" dataCellStyle="Normal"/>
    <tableColumn id="8844" name="Column8823" dataDxfId="7589" dataCellStyle="Normal"/>
    <tableColumn id="8845" name="Column8824" dataDxfId="7588" dataCellStyle="Normal"/>
    <tableColumn id="8846" name="Column8825" dataDxfId="7587" dataCellStyle="Normal"/>
    <tableColumn id="8847" name="Column8826" dataDxfId="7586" dataCellStyle="Normal"/>
    <tableColumn id="8848" name="Column8827" dataDxfId="7585" dataCellStyle="Normal"/>
    <tableColumn id="8849" name="Column8828" dataDxfId="7584" dataCellStyle="Normal"/>
    <tableColumn id="8850" name="Column8829" dataDxfId="7583" dataCellStyle="Normal"/>
    <tableColumn id="8851" name="Column8830" dataDxfId="7582" dataCellStyle="Normal"/>
    <tableColumn id="8852" name="Column8831" dataDxfId="7581" dataCellStyle="Normal"/>
    <tableColumn id="8853" name="Column8832" dataDxfId="7580" dataCellStyle="Normal"/>
    <tableColumn id="8854" name="Column8833" dataDxfId="7579" dataCellStyle="Normal"/>
    <tableColumn id="8855" name="Column8834" dataDxfId="7578" dataCellStyle="Normal"/>
    <tableColumn id="8856" name="Column8835" dataDxfId="7577" dataCellStyle="Normal"/>
    <tableColumn id="8857" name="Column8836" dataDxfId="7576" dataCellStyle="Normal"/>
    <tableColumn id="8858" name="Column8837" dataDxfId="7575" dataCellStyle="Normal"/>
    <tableColumn id="8859" name="Column8838" dataDxfId="7574" dataCellStyle="Normal"/>
    <tableColumn id="8860" name="Column8839" dataDxfId="7573" dataCellStyle="Normal"/>
    <tableColumn id="8861" name="Column8840" dataDxfId="7572" dataCellStyle="Normal"/>
    <tableColumn id="8862" name="Column8841" dataDxfId="7571" dataCellStyle="Normal"/>
    <tableColumn id="8863" name="Column8842" dataDxfId="7570" dataCellStyle="Normal"/>
    <tableColumn id="8864" name="Column8843" dataDxfId="7569" dataCellStyle="Normal"/>
    <tableColumn id="8865" name="Column8844" dataDxfId="7568" dataCellStyle="Normal"/>
    <tableColumn id="8866" name="Column8845" dataDxfId="7567" dataCellStyle="Normal"/>
    <tableColumn id="8867" name="Column8846" dataDxfId="7566" dataCellStyle="Normal"/>
    <tableColumn id="8868" name="Column8847" dataDxfId="7565" dataCellStyle="Normal"/>
    <tableColumn id="8869" name="Column8848" dataDxfId="7564" dataCellStyle="Normal"/>
    <tableColumn id="8870" name="Column8849" dataDxfId="7563" dataCellStyle="Normal"/>
    <tableColumn id="8871" name="Column8850" dataDxfId="7562" dataCellStyle="Normal"/>
    <tableColumn id="8872" name="Column8851" dataDxfId="7561" dataCellStyle="Normal"/>
    <tableColumn id="8873" name="Column8852" dataDxfId="7560" dataCellStyle="Normal"/>
    <tableColumn id="8874" name="Column8853" dataDxfId="7559" dataCellStyle="Normal"/>
    <tableColumn id="8875" name="Column8854" dataDxfId="7558" dataCellStyle="Normal"/>
    <tableColumn id="8876" name="Column8855" dataDxfId="7557" dataCellStyle="Normal"/>
    <tableColumn id="8877" name="Column8856" dataDxfId="7556" dataCellStyle="Normal"/>
    <tableColumn id="8878" name="Column8857" dataDxfId="7555" dataCellStyle="Normal"/>
    <tableColumn id="8879" name="Column8858" dataDxfId="7554" dataCellStyle="Normal"/>
    <tableColumn id="8880" name="Column8859" dataDxfId="7553" dataCellStyle="Normal"/>
    <tableColumn id="8881" name="Column8860" dataDxfId="7552" dataCellStyle="Normal"/>
    <tableColumn id="8882" name="Column8861" dataDxfId="7551" dataCellStyle="Normal"/>
    <tableColumn id="8883" name="Column8862" dataDxfId="7550" dataCellStyle="Normal"/>
    <tableColumn id="8884" name="Column8863" dataDxfId="7549" dataCellStyle="Normal"/>
    <tableColumn id="8885" name="Column8864" dataDxfId="7548" dataCellStyle="Normal"/>
    <tableColumn id="8886" name="Column8865" dataDxfId="7547" dataCellStyle="Normal"/>
    <tableColumn id="8887" name="Column8866" dataDxfId="7546" dataCellStyle="Normal"/>
    <tableColumn id="8888" name="Column8867" dataDxfId="7545" dataCellStyle="Normal"/>
    <tableColumn id="8889" name="Column8868" dataDxfId="7544" dataCellStyle="Normal"/>
    <tableColumn id="8890" name="Column8869" dataDxfId="7543" dataCellStyle="Normal"/>
    <tableColumn id="8891" name="Column8870" dataDxfId="7542" dataCellStyle="Normal"/>
    <tableColumn id="8892" name="Column8871" dataDxfId="7541" dataCellStyle="Normal"/>
    <tableColumn id="8893" name="Column8872" dataDxfId="7540" dataCellStyle="Normal"/>
    <tableColumn id="8894" name="Column8873" dataDxfId="7539" dataCellStyle="Normal"/>
    <tableColumn id="8895" name="Column8874" dataDxfId="7538" dataCellStyle="Normal"/>
    <tableColumn id="8896" name="Column8875" dataDxfId="7537" dataCellStyle="Normal"/>
    <tableColumn id="8897" name="Column8876" dataDxfId="7536" dataCellStyle="Normal"/>
    <tableColumn id="8898" name="Column8877" dataDxfId="7535" dataCellStyle="Normal"/>
    <tableColumn id="8899" name="Column8878" dataDxfId="7534" dataCellStyle="Normal"/>
    <tableColumn id="8900" name="Column8879" dataDxfId="7533" dataCellStyle="Normal"/>
    <tableColumn id="8901" name="Column8880" dataDxfId="7532" dataCellStyle="Normal"/>
    <tableColumn id="8902" name="Column8881" dataDxfId="7531" dataCellStyle="Normal"/>
    <tableColumn id="8903" name="Column8882" dataDxfId="7530" dataCellStyle="Normal"/>
    <tableColumn id="8904" name="Column8883" dataDxfId="7529" dataCellStyle="Normal"/>
    <tableColumn id="8905" name="Column8884" dataDxfId="7528" dataCellStyle="Normal"/>
    <tableColumn id="8906" name="Column8885" dataDxfId="7527" dataCellStyle="Normal"/>
    <tableColumn id="8907" name="Column8886" dataDxfId="7526" dataCellStyle="Normal"/>
    <tableColumn id="8908" name="Column8887" dataDxfId="7525" dataCellStyle="Normal"/>
    <tableColumn id="8909" name="Column8888" dataDxfId="7524" dataCellStyle="Normal"/>
    <tableColumn id="8910" name="Column8889" dataDxfId="7523" dataCellStyle="Normal"/>
    <tableColumn id="8911" name="Column8890" dataDxfId="7522" dataCellStyle="Normal"/>
    <tableColumn id="8912" name="Column8891" dataDxfId="7521" dataCellStyle="Normal"/>
    <tableColumn id="8913" name="Column8892" dataDxfId="7520" dataCellStyle="Normal"/>
    <tableColumn id="8914" name="Column8893" dataDxfId="7519" dataCellStyle="Normal"/>
    <tableColumn id="8915" name="Column8894" dataDxfId="7518" dataCellStyle="Normal"/>
    <tableColumn id="8916" name="Column8895" dataDxfId="7517" dataCellStyle="Normal"/>
    <tableColumn id="8917" name="Column8896" dataDxfId="7516" dataCellStyle="Normal"/>
    <tableColumn id="8918" name="Column8897" dataDxfId="7515" dataCellStyle="Normal"/>
    <tableColumn id="8919" name="Column8898" dataDxfId="7514" dataCellStyle="Normal"/>
    <tableColumn id="8920" name="Column8899" dataDxfId="7513" dataCellStyle="Normal"/>
    <tableColumn id="8921" name="Column8900" dataDxfId="7512" dataCellStyle="Normal"/>
    <tableColumn id="8922" name="Column8901" dataDxfId="7511" dataCellStyle="Normal"/>
    <tableColumn id="8923" name="Column8902" dataDxfId="7510" dataCellStyle="Normal"/>
    <tableColumn id="8924" name="Column8903" dataDxfId="7509" dataCellStyle="Normal"/>
    <tableColumn id="8925" name="Column8904" dataDxfId="7508" dataCellStyle="Normal"/>
    <tableColumn id="8926" name="Column8905" dataDxfId="7507" dataCellStyle="Normal"/>
    <tableColumn id="8927" name="Column8906" dataDxfId="7506" dataCellStyle="Normal"/>
    <tableColumn id="8928" name="Column8907" dataDxfId="7505" dataCellStyle="Normal"/>
    <tableColumn id="8929" name="Column8908" dataDxfId="7504" dataCellStyle="Normal"/>
    <tableColumn id="8930" name="Column8909" dataDxfId="7503" dataCellStyle="Normal"/>
    <tableColumn id="8931" name="Column8910" dataDxfId="7502" dataCellStyle="Normal"/>
    <tableColumn id="8932" name="Column8911" dataDxfId="7501" dataCellStyle="Normal"/>
    <tableColumn id="8933" name="Column8912" dataDxfId="7500" dataCellStyle="Normal"/>
    <tableColumn id="8934" name="Column8913" dataDxfId="7499" dataCellStyle="Normal"/>
    <tableColumn id="8935" name="Column8914" dataDxfId="7498" dataCellStyle="Normal"/>
    <tableColumn id="8936" name="Column8915" dataDxfId="7497" dataCellStyle="Normal"/>
    <tableColumn id="8937" name="Column8916" dataDxfId="7496" dataCellStyle="Normal"/>
    <tableColumn id="8938" name="Column8917" dataDxfId="7495" dataCellStyle="Normal"/>
    <tableColumn id="8939" name="Column8918" dataDxfId="7494" dataCellStyle="Normal"/>
    <tableColumn id="8940" name="Column8919" dataDxfId="7493" dataCellStyle="Normal"/>
    <tableColumn id="8941" name="Column8920" dataDxfId="7492" dataCellStyle="Normal"/>
    <tableColumn id="8942" name="Column8921" dataDxfId="7491" dataCellStyle="Normal"/>
    <tableColumn id="8943" name="Column8922" dataDxfId="7490" dataCellStyle="Normal"/>
    <tableColumn id="8944" name="Column8923" dataDxfId="7489" dataCellStyle="Normal"/>
    <tableColumn id="8945" name="Column8924" dataDxfId="7488" dataCellStyle="Normal"/>
    <tableColumn id="8946" name="Column8925" dataDxfId="7487" dataCellStyle="Normal"/>
    <tableColumn id="8947" name="Column8926" dataDxfId="7486" dataCellStyle="Normal"/>
    <tableColumn id="8948" name="Column8927" dataDxfId="7485" dataCellStyle="Normal"/>
    <tableColumn id="8949" name="Column8928" dataDxfId="7484" dataCellStyle="Normal"/>
    <tableColumn id="8950" name="Column8929" dataDxfId="7483" dataCellStyle="Normal"/>
    <tableColumn id="8951" name="Column8930" dataDxfId="7482" dataCellStyle="Normal"/>
    <tableColumn id="8952" name="Column8931" dataDxfId="7481" dataCellStyle="Normal"/>
    <tableColumn id="8953" name="Column8932" dataDxfId="7480" dataCellStyle="Normal"/>
    <tableColumn id="8954" name="Column8933" dataDxfId="7479" dataCellStyle="Normal"/>
    <tableColumn id="8955" name="Column8934" dataDxfId="7478" dataCellStyle="Normal"/>
    <tableColumn id="8956" name="Column8935" dataDxfId="7477" dataCellStyle="Normal"/>
    <tableColumn id="8957" name="Column8936" dataDxfId="7476" dataCellStyle="Normal"/>
    <tableColumn id="8958" name="Column8937" dataDxfId="7475" dataCellStyle="Normal"/>
    <tableColumn id="8959" name="Column8938" dataDxfId="7474" dataCellStyle="Normal"/>
    <tableColumn id="8960" name="Column8939" dataDxfId="7473" dataCellStyle="Normal"/>
    <tableColumn id="8961" name="Column8940" dataDxfId="7472" dataCellStyle="Normal"/>
    <tableColumn id="8962" name="Column8941" dataDxfId="7471" dataCellStyle="Normal"/>
    <tableColumn id="8963" name="Column8942" dataDxfId="7470" dataCellStyle="Normal"/>
    <tableColumn id="8964" name="Column8943" dataDxfId="7469" dataCellStyle="Normal"/>
    <tableColumn id="8965" name="Column8944" dataDxfId="7468" dataCellStyle="Normal"/>
    <tableColumn id="8966" name="Column8945" dataDxfId="7467" dataCellStyle="Normal"/>
    <tableColumn id="8967" name="Column8946" dataDxfId="7466" dataCellStyle="Normal"/>
    <tableColumn id="8968" name="Column8947" dataDxfId="7465" dataCellStyle="Normal"/>
    <tableColumn id="8969" name="Column8948" dataDxfId="7464" dataCellStyle="Normal"/>
    <tableColumn id="8970" name="Column8949" dataDxfId="7463" dataCellStyle="Normal"/>
    <tableColumn id="8971" name="Column8950" dataDxfId="7462" dataCellStyle="Normal"/>
    <tableColumn id="8972" name="Column8951" dataDxfId="7461" dataCellStyle="Normal"/>
    <tableColumn id="8973" name="Column8952" dataDxfId="7460" dataCellStyle="Normal"/>
    <tableColumn id="8974" name="Column8953" dataDxfId="7459" dataCellStyle="Normal"/>
    <tableColumn id="8975" name="Column8954" dataDxfId="7458" dataCellStyle="Normal"/>
    <tableColumn id="8976" name="Column8955" dataDxfId="7457" dataCellStyle="Normal"/>
    <tableColumn id="8977" name="Column8956" dataDxfId="7456" dataCellStyle="Normal"/>
    <tableColumn id="8978" name="Column8957" dataDxfId="7455" dataCellStyle="Normal"/>
    <tableColumn id="8979" name="Column8958" dataDxfId="7454" dataCellStyle="Normal"/>
    <tableColumn id="8980" name="Column8959" dataDxfId="7453" dataCellStyle="Normal"/>
    <tableColumn id="8981" name="Column8960" dataDxfId="7452" dataCellStyle="Normal"/>
    <tableColumn id="8982" name="Column8961" dataDxfId="7451" dataCellStyle="Normal"/>
    <tableColumn id="8983" name="Column8962" dataDxfId="7450" dataCellStyle="Normal"/>
    <tableColumn id="8984" name="Column8963" dataDxfId="7449" dataCellStyle="Normal"/>
    <tableColumn id="8985" name="Column8964" dataDxfId="7448" dataCellStyle="Normal"/>
    <tableColumn id="8986" name="Column8965" dataDxfId="7447" dataCellStyle="Normal"/>
    <tableColumn id="8987" name="Column8966" dataDxfId="7446" dataCellStyle="Normal"/>
    <tableColumn id="8988" name="Column8967" dataDxfId="7445" dataCellStyle="Normal"/>
    <tableColumn id="8989" name="Column8968" dataDxfId="7444" dataCellStyle="Normal"/>
    <tableColumn id="8990" name="Column8969" dataDxfId="7443" dataCellStyle="Normal"/>
    <tableColumn id="8991" name="Column8970" dataDxfId="7442" dataCellStyle="Normal"/>
    <tableColumn id="8992" name="Column8971" dataDxfId="7441" dataCellStyle="Normal"/>
    <tableColumn id="8993" name="Column8972" dataDxfId="7440" dataCellStyle="Normal"/>
    <tableColumn id="8994" name="Column8973" dataDxfId="7439" dataCellStyle="Normal"/>
    <tableColumn id="8995" name="Column8974" dataDxfId="7438" dataCellStyle="Normal"/>
    <tableColumn id="8996" name="Column8975" dataDxfId="7437" dataCellStyle="Normal"/>
    <tableColumn id="8997" name="Column8976" dataDxfId="7436" dataCellStyle="Normal"/>
    <tableColumn id="8998" name="Column8977" dataDxfId="7435" dataCellStyle="Normal"/>
    <tableColumn id="8999" name="Column8978" dataDxfId="7434" dataCellStyle="Normal"/>
    <tableColumn id="9000" name="Column8979" dataDxfId="7433" dataCellStyle="Normal"/>
    <tableColumn id="9001" name="Column8980" dataDxfId="7432" dataCellStyle="Normal"/>
    <tableColumn id="9002" name="Column8981" dataDxfId="7431" dataCellStyle="Normal"/>
    <tableColumn id="9003" name="Column8982" dataDxfId="7430" dataCellStyle="Normal"/>
    <tableColumn id="9004" name="Column8983" dataDxfId="7429" dataCellStyle="Normal"/>
    <tableColumn id="9005" name="Column8984" dataDxfId="7428" dataCellStyle="Normal"/>
    <tableColumn id="9006" name="Column8985" dataDxfId="7427" dataCellStyle="Normal"/>
    <tableColumn id="9007" name="Column8986" dataDxfId="7426" dataCellStyle="Normal"/>
    <tableColumn id="9008" name="Column8987" dataDxfId="7425" dataCellStyle="Normal"/>
    <tableColumn id="9009" name="Column8988" dataDxfId="7424" dataCellStyle="Normal"/>
    <tableColumn id="9010" name="Column8989" dataDxfId="7423" dataCellStyle="Normal"/>
    <tableColumn id="9011" name="Column8990" dataDxfId="7422" dataCellStyle="Normal"/>
    <tableColumn id="9012" name="Column8991" dataDxfId="7421" dataCellStyle="Normal"/>
    <tableColumn id="9013" name="Column8992" dataDxfId="7420" dataCellStyle="Normal"/>
    <tableColumn id="9014" name="Column8993" dataDxfId="7419" dataCellStyle="Normal"/>
    <tableColumn id="9015" name="Column8994" dataDxfId="7418" dataCellStyle="Normal"/>
    <tableColumn id="9016" name="Column8995" dataDxfId="7417" dataCellStyle="Normal"/>
    <tableColumn id="9017" name="Column8996" dataDxfId="7416" dataCellStyle="Normal"/>
    <tableColumn id="9018" name="Column8997" dataDxfId="7415" dataCellStyle="Normal"/>
    <tableColumn id="9019" name="Column8998" dataDxfId="7414" dataCellStyle="Normal"/>
    <tableColumn id="9020" name="Column8999" dataDxfId="7413" dataCellStyle="Normal"/>
    <tableColumn id="9021" name="Column9000" dataDxfId="7412" dataCellStyle="Normal"/>
    <tableColumn id="9022" name="Column9001" dataDxfId="7411" dataCellStyle="Normal"/>
    <tableColumn id="9023" name="Column9002" dataDxfId="7410" dataCellStyle="Normal"/>
    <tableColumn id="9024" name="Column9003" dataDxfId="7409" dataCellStyle="Normal"/>
    <tableColumn id="9025" name="Column9004" dataDxfId="7408" dataCellStyle="Normal"/>
    <tableColumn id="9026" name="Column9005" dataDxfId="7407" dataCellStyle="Normal"/>
    <tableColumn id="9027" name="Column9006" dataDxfId="7406" dataCellStyle="Normal"/>
    <tableColumn id="9028" name="Column9007" dataDxfId="7405" dataCellStyle="Normal"/>
    <tableColumn id="9029" name="Column9008" dataDxfId="7404" dataCellStyle="Normal"/>
    <tableColumn id="9030" name="Column9009" dataDxfId="7403" dataCellStyle="Normal"/>
    <tableColumn id="9031" name="Column9010" dataDxfId="7402" dataCellStyle="Normal"/>
    <tableColumn id="9032" name="Column9011" dataDxfId="7401" dataCellStyle="Normal"/>
    <tableColumn id="9033" name="Column9012" dataDxfId="7400" dataCellStyle="Normal"/>
    <tableColumn id="9034" name="Column9013" dataDxfId="7399" dataCellStyle="Normal"/>
    <tableColumn id="9035" name="Column9014" dataDxfId="7398" dataCellStyle="Normal"/>
    <tableColumn id="9036" name="Column9015" dataDxfId="7397" dataCellStyle="Normal"/>
    <tableColumn id="9037" name="Column9016" dataDxfId="7396" dataCellStyle="Normal"/>
    <tableColumn id="9038" name="Column9017" dataDxfId="7395" dataCellStyle="Normal"/>
    <tableColumn id="9039" name="Column9018" dataDxfId="7394" dataCellStyle="Normal"/>
    <tableColumn id="9040" name="Column9019" dataDxfId="7393" dataCellStyle="Normal"/>
    <tableColumn id="9041" name="Column9020" dataDxfId="7392" dataCellStyle="Normal"/>
    <tableColumn id="9042" name="Column9021" dataDxfId="7391" dataCellStyle="Normal"/>
    <tableColumn id="9043" name="Column9022" dataDxfId="7390" dataCellStyle="Normal"/>
    <tableColumn id="9044" name="Column9023" dataDxfId="7389" dataCellStyle="Normal"/>
    <tableColumn id="9045" name="Column9024" dataDxfId="7388" dataCellStyle="Normal"/>
    <tableColumn id="9046" name="Column9025" dataDxfId="7387" dataCellStyle="Normal"/>
    <tableColumn id="9047" name="Column9026" dataDxfId="7386" dataCellStyle="Normal"/>
    <tableColumn id="9048" name="Column9027" dataDxfId="7385" dataCellStyle="Normal"/>
    <tableColumn id="9049" name="Column9028" dataDxfId="7384" dataCellStyle="Normal"/>
    <tableColumn id="9050" name="Column9029" dataDxfId="7383" dataCellStyle="Normal"/>
    <tableColumn id="9051" name="Column9030" dataDxfId="7382" dataCellStyle="Normal"/>
    <tableColumn id="9052" name="Column9031" dataDxfId="7381" dataCellStyle="Normal"/>
    <tableColumn id="9053" name="Column9032" dataDxfId="7380" dataCellStyle="Normal"/>
    <tableColumn id="9054" name="Column9033" dataDxfId="7379" dataCellStyle="Normal"/>
    <tableColumn id="9055" name="Column9034" dataDxfId="7378" dataCellStyle="Normal"/>
    <tableColumn id="9056" name="Column9035" dataDxfId="7377" dataCellStyle="Normal"/>
    <tableColumn id="9057" name="Column9036" dataDxfId="7376" dataCellStyle="Normal"/>
    <tableColumn id="9058" name="Column9037" dataDxfId="7375" dataCellStyle="Normal"/>
    <tableColumn id="9059" name="Column9038" dataDxfId="7374" dataCellStyle="Normal"/>
    <tableColumn id="9060" name="Column9039" dataDxfId="7373" dataCellStyle="Normal"/>
    <tableColumn id="9061" name="Column9040" dataDxfId="7372" dataCellStyle="Normal"/>
    <tableColumn id="9062" name="Column9041" dataDxfId="7371" dataCellStyle="Normal"/>
    <tableColumn id="9063" name="Column9042" dataDxfId="7370" dataCellStyle="Normal"/>
    <tableColumn id="9064" name="Column9043" dataDxfId="7369" dataCellStyle="Normal"/>
    <tableColumn id="9065" name="Column9044" dataDxfId="7368" dataCellStyle="Normal"/>
    <tableColumn id="9066" name="Column9045" dataDxfId="7367" dataCellStyle="Normal"/>
    <tableColumn id="9067" name="Column9046" dataDxfId="7366" dataCellStyle="Normal"/>
    <tableColumn id="9068" name="Column9047" dataDxfId="7365" dataCellStyle="Normal"/>
    <tableColumn id="9069" name="Column9048" dataDxfId="7364" dataCellStyle="Normal"/>
    <tableColumn id="9070" name="Column9049" dataDxfId="7363" dataCellStyle="Normal"/>
    <tableColumn id="9071" name="Column9050" dataDxfId="7362" dataCellStyle="Normal"/>
    <tableColumn id="9072" name="Column9051" dataDxfId="7361" dataCellStyle="Normal"/>
    <tableColumn id="9073" name="Column9052" dataDxfId="7360" dataCellStyle="Normal"/>
    <tableColumn id="9074" name="Column9053" dataDxfId="7359" dataCellStyle="Normal"/>
    <tableColumn id="9075" name="Column9054" dataDxfId="7358" dataCellStyle="Normal"/>
    <tableColumn id="9076" name="Column9055" dataDxfId="7357" dataCellStyle="Normal"/>
    <tableColumn id="9077" name="Column9056" dataDxfId="7356" dataCellStyle="Normal"/>
    <tableColumn id="9078" name="Column9057" dataDxfId="7355" dataCellStyle="Normal"/>
    <tableColumn id="9079" name="Column9058" dataDxfId="7354" dataCellStyle="Normal"/>
    <tableColumn id="9080" name="Column9059" dataDxfId="7353" dataCellStyle="Normal"/>
    <tableColumn id="9081" name="Column9060" dataDxfId="7352" dataCellStyle="Normal"/>
    <tableColumn id="9082" name="Column9061" dataDxfId="7351" dataCellStyle="Normal"/>
    <tableColumn id="9083" name="Column9062" dataDxfId="7350" dataCellStyle="Normal"/>
    <tableColumn id="9084" name="Column9063" dataDxfId="7349" dataCellStyle="Normal"/>
    <tableColumn id="9085" name="Column9064" dataDxfId="7348" dataCellStyle="Normal"/>
    <tableColumn id="9086" name="Column9065" dataDxfId="7347" dataCellStyle="Normal"/>
    <tableColumn id="9087" name="Column9066" dataDxfId="7346" dataCellStyle="Normal"/>
    <tableColumn id="9088" name="Column9067" dataDxfId="7345" dataCellStyle="Normal"/>
    <tableColumn id="9089" name="Column9068" dataDxfId="7344" dataCellStyle="Normal"/>
    <tableColumn id="9090" name="Column9069" dataDxfId="7343" dataCellStyle="Normal"/>
    <tableColumn id="9091" name="Column9070" dataDxfId="7342" dataCellStyle="Normal"/>
    <tableColumn id="9092" name="Column9071" dataDxfId="7341" dataCellStyle="Normal"/>
    <tableColumn id="9093" name="Column9072" dataDxfId="7340" dataCellStyle="Normal"/>
    <tableColumn id="9094" name="Column9073" dataDxfId="7339" dataCellStyle="Normal"/>
    <tableColumn id="9095" name="Column9074" dataDxfId="7338" dataCellStyle="Normal"/>
    <tableColumn id="9096" name="Column9075" dataDxfId="7337" dataCellStyle="Normal"/>
    <tableColumn id="9097" name="Column9076" dataDxfId="7336" dataCellStyle="Normal"/>
    <tableColumn id="9098" name="Column9077" dataDxfId="7335" dataCellStyle="Normal"/>
    <tableColumn id="9099" name="Column9078" dataDxfId="7334" dataCellStyle="Normal"/>
    <tableColumn id="9100" name="Column9079" dataDxfId="7333" dataCellStyle="Normal"/>
    <tableColumn id="9101" name="Column9080" dataDxfId="7332" dataCellStyle="Normal"/>
    <tableColumn id="9102" name="Column9081" dataDxfId="7331" dataCellStyle="Normal"/>
    <tableColumn id="9103" name="Column9082" dataDxfId="7330" dataCellStyle="Normal"/>
    <tableColumn id="9104" name="Column9083" dataDxfId="7329" dataCellStyle="Normal"/>
    <tableColumn id="9105" name="Column9084" dataDxfId="7328" dataCellStyle="Normal"/>
    <tableColumn id="9106" name="Column9085" dataDxfId="7327" dataCellStyle="Normal"/>
    <tableColumn id="9107" name="Column9086" dataDxfId="7326" dataCellStyle="Normal"/>
    <tableColumn id="9108" name="Column9087" dataDxfId="7325" dataCellStyle="Normal"/>
    <tableColumn id="9109" name="Column9088" dataDxfId="7324" dataCellStyle="Normal"/>
    <tableColumn id="9110" name="Column9089" dataDxfId="7323" dataCellStyle="Normal"/>
    <tableColumn id="9111" name="Column9090" dataDxfId="7322" dataCellStyle="Normal"/>
    <tableColumn id="9112" name="Column9091" dataDxfId="7321" dataCellStyle="Normal"/>
    <tableColumn id="9113" name="Column9092" dataDxfId="7320" dataCellStyle="Normal"/>
    <tableColumn id="9114" name="Column9093" dataDxfId="7319" dataCellStyle="Normal"/>
    <tableColumn id="9115" name="Column9094" dataDxfId="7318" dataCellStyle="Normal"/>
    <tableColumn id="9116" name="Column9095" dataDxfId="7317" dataCellStyle="Normal"/>
    <tableColumn id="9117" name="Column9096" dataDxfId="7316" dataCellStyle="Normal"/>
    <tableColumn id="9118" name="Column9097" dataDxfId="7315" dataCellStyle="Normal"/>
    <tableColumn id="9119" name="Column9098" dataDxfId="7314" dataCellStyle="Normal"/>
    <tableColumn id="9120" name="Column9099" dataDxfId="7313" dataCellStyle="Normal"/>
    <tableColumn id="9121" name="Column9100" dataDxfId="7312" dataCellStyle="Normal"/>
    <tableColumn id="9122" name="Column9101" dataDxfId="7311" dataCellStyle="Normal"/>
    <tableColumn id="9123" name="Column9102" dataDxfId="7310" dataCellStyle="Normal"/>
    <tableColumn id="9124" name="Column9103" dataDxfId="7309" dataCellStyle="Normal"/>
    <tableColumn id="9125" name="Column9104" dataDxfId="7308" dataCellStyle="Normal"/>
    <tableColumn id="9126" name="Column9105" dataDxfId="7307" dataCellStyle="Normal"/>
    <tableColumn id="9127" name="Column9106" dataDxfId="7306" dataCellStyle="Normal"/>
    <tableColumn id="9128" name="Column9107" dataDxfId="7305" dataCellStyle="Normal"/>
    <tableColumn id="9129" name="Column9108" dataDxfId="7304" dataCellStyle="Normal"/>
    <tableColumn id="9130" name="Column9109" dataDxfId="7303" dataCellStyle="Normal"/>
    <tableColumn id="9131" name="Column9110" dataDxfId="7302" dataCellStyle="Normal"/>
    <tableColumn id="9132" name="Column9111" dataDxfId="7301" dataCellStyle="Normal"/>
    <tableColumn id="9133" name="Column9112" dataDxfId="7300" dataCellStyle="Normal"/>
    <tableColumn id="9134" name="Column9113" dataDxfId="7299" dataCellStyle="Normal"/>
    <tableColumn id="9135" name="Column9114" dataDxfId="7298" dataCellStyle="Normal"/>
    <tableColumn id="9136" name="Column9115" dataDxfId="7297" dataCellStyle="Normal"/>
    <tableColumn id="9137" name="Column9116" dataDxfId="7296" dataCellStyle="Normal"/>
    <tableColumn id="9138" name="Column9117" dataDxfId="7295" dataCellStyle="Normal"/>
    <tableColumn id="9139" name="Column9118" dataDxfId="7294" dataCellStyle="Normal"/>
    <tableColumn id="9140" name="Column9119" dataDxfId="7293" dataCellStyle="Normal"/>
    <tableColumn id="9141" name="Column9120" dataDxfId="7292" dataCellStyle="Normal"/>
    <tableColumn id="9142" name="Column9121" dataDxfId="7291" dataCellStyle="Normal"/>
    <tableColumn id="9143" name="Column9122" dataDxfId="7290" dataCellStyle="Normal"/>
    <tableColumn id="9144" name="Column9123" dataDxfId="7289" dataCellStyle="Normal"/>
    <tableColumn id="9145" name="Column9124" dataDxfId="7288" dataCellStyle="Normal"/>
    <tableColumn id="9146" name="Column9125" dataDxfId="7287" dataCellStyle="Normal"/>
    <tableColumn id="9147" name="Column9126" dataDxfId="7286" dataCellStyle="Normal"/>
    <tableColumn id="9148" name="Column9127" dataDxfId="7285" dataCellStyle="Normal"/>
    <tableColumn id="9149" name="Column9128" dataDxfId="7284" dataCellStyle="Normal"/>
    <tableColumn id="9150" name="Column9129" dataDxfId="7283" dataCellStyle="Normal"/>
    <tableColumn id="9151" name="Column9130" dataDxfId="7282" dataCellStyle="Normal"/>
    <tableColumn id="9152" name="Column9131" dataDxfId="7281" dataCellStyle="Normal"/>
    <tableColumn id="9153" name="Column9132" dataDxfId="7280" dataCellStyle="Normal"/>
    <tableColumn id="9154" name="Column9133" dataDxfId="7279" dataCellStyle="Normal"/>
    <tableColumn id="9155" name="Column9134" dataDxfId="7278" dataCellStyle="Normal"/>
    <tableColumn id="9156" name="Column9135" dataDxfId="7277" dataCellStyle="Normal"/>
    <tableColumn id="9157" name="Column9136" dataDxfId="7276" dataCellStyle="Normal"/>
    <tableColumn id="9158" name="Column9137" dataDxfId="7275" dataCellStyle="Normal"/>
    <tableColumn id="9159" name="Column9138" dataDxfId="7274" dataCellStyle="Normal"/>
    <tableColumn id="9160" name="Column9139" dataDxfId="7273" dataCellStyle="Normal"/>
    <tableColumn id="9161" name="Column9140" dataDxfId="7272" dataCellStyle="Normal"/>
    <tableColumn id="9162" name="Column9141" dataDxfId="7271" dataCellStyle="Normal"/>
    <tableColumn id="9163" name="Column9142" dataDxfId="7270" dataCellStyle="Normal"/>
    <tableColumn id="9164" name="Column9143" dataDxfId="7269" dataCellStyle="Normal"/>
    <tableColumn id="9165" name="Column9144" dataDxfId="7268" dataCellStyle="Normal"/>
    <tableColumn id="9166" name="Column9145" dataDxfId="7267" dataCellStyle="Normal"/>
    <tableColumn id="9167" name="Column9146" dataDxfId="7266" dataCellStyle="Normal"/>
    <tableColumn id="9168" name="Column9147" dataDxfId="7265" dataCellStyle="Normal"/>
    <tableColumn id="9169" name="Column9148" dataDxfId="7264" dataCellStyle="Normal"/>
    <tableColumn id="9170" name="Column9149" dataDxfId="7263" dataCellStyle="Normal"/>
    <tableColumn id="9171" name="Column9150" dataDxfId="7262" dataCellStyle="Normal"/>
    <tableColumn id="9172" name="Column9151" dataDxfId="7261" dataCellStyle="Normal"/>
    <tableColumn id="9173" name="Column9152" dataDxfId="7260" dataCellStyle="Normal"/>
    <tableColumn id="9174" name="Column9153" dataDxfId="7259" dataCellStyle="Normal"/>
    <tableColumn id="9175" name="Column9154" dataDxfId="7258" dataCellStyle="Normal"/>
    <tableColumn id="9176" name="Column9155" dataDxfId="7257" dataCellStyle="Normal"/>
    <tableColumn id="9177" name="Column9156" dataDxfId="7256" dataCellStyle="Normal"/>
    <tableColumn id="9178" name="Column9157" dataDxfId="7255" dataCellStyle="Normal"/>
    <tableColumn id="9179" name="Column9158" dataDxfId="7254" dataCellStyle="Normal"/>
    <tableColumn id="9180" name="Column9159" dataDxfId="7253" dataCellStyle="Normal"/>
    <tableColumn id="9181" name="Column9160" dataDxfId="7252" dataCellStyle="Normal"/>
    <tableColumn id="9182" name="Column9161" dataDxfId="7251" dataCellStyle="Normal"/>
    <tableColumn id="9183" name="Column9162" dataDxfId="7250" dataCellStyle="Normal"/>
    <tableColumn id="9184" name="Column9163" dataDxfId="7249" dataCellStyle="Normal"/>
    <tableColumn id="9185" name="Column9164" dataDxfId="7248" dataCellStyle="Normal"/>
    <tableColumn id="9186" name="Column9165" dataDxfId="7247" dataCellStyle="Normal"/>
    <tableColumn id="9187" name="Column9166" dataDxfId="7246" dataCellStyle="Normal"/>
    <tableColumn id="9188" name="Column9167" dataDxfId="7245" dataCellStyle="Normal"/>
    <tableColumn id="9189" name="Column9168" dataDxfId="7244" dataCellStyle="Normal"/>
    <tableColumn id="9190" name="Column9169" dataDxfId="7243" dataCellStyle="Normal"/>
    <tableColumn id="9191" name="Column9170" dataDxfId="7242" dataCellStyle="Normal"/>
    <tableColumn id="9192" name="Column9171" dataDxfId="7241" dataCellStyle="Normal"/>
    <tableColumn id="9193" name="Column9172" dataDxfId="7240" dataCellStyle="Normal"/>
    <tableColumn id="9194" name="Column9173" dataDxfId="7239" dataCellStyle="Normal"/>
    <tableColumn id="9195" name="Column9174" dataDxfId="7238" dataCellStyle="Normal"/>
    <tableColumn id="9196" name="Column9175" dataDxfId="7237" dataCellStyle="Normal"/>
    <tableColumn id="9197" name="Column9176" dataDxfId="7236" dataCellStyle="Normal"/>
    <tableColumn id="9198" name="Column9177" dataDxfId="7235" dataCellStyle="Normal"/>
    <tableColumn id="9199" name="Column9178" dataDxfId="7234" dataCellStyle="Normal"/>
    <tableColumn id="9200" name="Column9179" dataDxfId="7233" dataCellStyle="Normal"/>
    <tableColumn id="9201" name="Column9180" dataDxfId="7232" dataCellStyle="Normal"/>
    <tableColumn id="9202" name="Column9181" dataDxfId="7231" dataCellStyle="Normal"/>
    <tableColumn id="9203" name="Column9182" dataDxfId="7230" dataCellStyle="Normal"/>
    <tableColumn id="9204" name="Column9183" dataDxfId="7229" dataCellStyle="Normal"/>
    <tableColumn id="9205" name="Column9184" dataDxfId="7228" dataCellStyle="Normal"/>
    <tableColumn id="9206" name="Column9185" dataDxfId="7227" dataCellStyle="Normal"/>
    <tableColumn id="9207" name="Column9186" dataDxfId="7226" dataCellStyle="Normal"/>
    <tableColumn id="9208" name="Column9187" dataDxfId="7225" dataCellStyle="Normal"/>
    <tableColumn id="9209" name="Column9188" dataDxfId="7224" dataCellStyle="Normal"/>
    <tableColumn id="9210" name="Column9189" dataDxfId="7223" dataCellStyle="Normal"/>
    <tableColumn id="9211" name="Column9190" dataDxfId="7222" dataCellStyle="Normal"/>
    <tableColumn id="9212" name="Column9191" dataDxfId="7221" dataCellStyle="Normal"/>
    <tableColumn id="9213" name="Column9192" dataDxfId="7220" dataCellStyle="Normal"/>
    <tableColumn id="9214" name="Column9193" dataDxfId="7219" dataCellStyle="Normal"/>
    <tableColumn id="9215" name="Column9194" dataDxfId="7218" dataCellStyle="Normal"/>
    <tableColumn id="9216" name="Column9195" dataDxfId="7217" dataCellStyle="Normal"/>
    <tableColumn id="9217" name="Column9196" dataDxfId="7216" dataCellStyle="Normal"/>
    <tableColumn id="9218" name="Column9197" dataDxfId="7215" dataCellStyle="Normal"/>
    <tableColumn id="9219" name="Column9198" dataDxfId="7214" dataCellStyle="Normal"/>
    <tableColumn id="9220" name="Column9199" dataDxfId="7213" dataCellStyle="Normal"/>
    <tableColumn id="9221" name="Column9200" dataDxfId="7212" dataCellStyle="Normal"/>
    <tableColumn id="9222" name="Column9201" dataDxfId="7211" dataCellStyle="Normal"/>
    <tableColumn id="9223" name="Column9202" dataDxfId="7210" dataCellStyle="Normal"/>
    <tableColumn id="9224" name="Column9203" dataDxfId="7209" dataCellStyle="Normal"/>
    <tableColumn id="9225" name="Column9204" dataDxfId="7208" dataCellStyle="Normal"/>
    <tableColumn id="9226" name="Column9205" dataDxfId="7207" dataCellStyle="Normal"/>
    <tableColumn id="9227" name="Column9206" dataDxfId="7206" dataCellStyle="Normal"/>
    <tableColumn id="9228" name="Column9207" dataDxfId="7205" dataCellStyle="Normal"/>
    <tableColumn id="9229" name="Column9208" dataDxfId="7204" dataCellStyle="Normal"/>
    <tableColumn id="9230" name="Column9209" dataDxfId="7203" dataCellStyle="Normal"/>
    <tableColumn id="9231" name="Column9210" dataDxfId="7202" dataCellStyle="Normal"/>
    <tableColumn id="9232" name="Column9211" dataDxfId="7201" dataCellStyle="Normal"/>
    <tableColumn id="9233" name="Column9212" dataDxfId="7200" dataCellStyle="Normal"/>
    <tableColumn id="9234" name="Column9213" dataDxfId="7199" dataCellStyle="Normal"/>
    <tableColumn id="9235" name="Column9214" dataDxfId="7198" dataCellStyle="Normal"/>
    <tableColumn id="9236" name="Column9215" dataDxfId="7197" dataCellStyle="Normal"/>
    <tableColumn id="9237" name="Column9216" dataDxfId="7196" dataCellStyle="Normal"/>
    <tableColumn id="9238" name="Column9217" dataDxfId="7195" dataCellStyle="Normal"/>
    <tableColumn id="9239" name="Column9218" dataDxfId="7194" dataCellStyle="Normal"/>
    <tableColumn id="9240" name="Column9219" dataDxfId="7193" dataCellStyle="Normal"/>
    <tableColumn id="9241" name="Column9220" dataDxfId="7192" dataCellStyle="Normal"/>
    <tableColumn id="9242" name="Column9221" dataDxfId="7191" dataCellStyle="Normal"/>
    <tableColumn id="9243" name="Column9222" dataDxfId="7190" dataCellStyle="Normal"/>
    <tableColumn id="9244" name="Column9223" dataDxfId="7189" dataCellStyle="Normal"/>
    <tableColumn id="9245" name="Column9224" dataDxfId="7188" dataCellStyle="Normal"/>
    <tableColumn id="9246" name="Column9225" dataDxfId="7187" dataCellStyle="Normal"/>
    <tableColumn id="9247" name="Column9226" dataDxfId="7186" dataCellStyle="Normal"/>
    <tableColumn id="9248" name="Column9227" dataDxfId="7185" dataCellStyle="Normal"/>
    <tableColumn id="9249" name="Column9228" dataDxfId="7184" dataCellStyle="Normal"/>
    <tableColumn id="9250" name="Column9229" dataDxfId="7183" dataCellStyle="Normal"/>
    <tableColumn id="9251" name="Column9230" dataDxfId="7182" dataCellStyle="Normal"/>
    <tableColumn id="9252" name="Column9231" dataDxfId="7181" dataCellStyle="Normal"/>
    <tableColumn id="9253" name="Column9232" dataDxfId="7180" dataCellStyle="Normal"/>
    <tableColumn id="9254" name="Column9233" dataDxfId="7179" dataCellStyle="Normal"/>
    <tableColumn id="9255" name="Column9234" dataDxfId="7178" dataCellStyle="Normal"/>
    <tableColumn id="9256" name="Column9235" dataDxfId="7177" dataCellStyle="Normal"/>
    <tableColumn id="9257" name="Column9236" dataDxfId="7176" dataCellStyle="Normal"/>
    <tableColumn id="9258" name="Column9237" dataDxfId="7175" dataCellStyle="Normal"/>
    <tableColumn id="9259" name="Column9238" dataDxfId="7174" dataCellStyle="Normal"/>
    <tableColumn id="9260" name="Column9239" dataDxfId="7173" dataCellStyle="Normal"/>
    <tableColumn id="9261" name="Column9240" dataDxfId="7172" dataCellStyle="Normal"/>
    <tableColumn id="9262" name="Column9241" dataDxfId="7171" dataCellStyle="Normal"/>
    <tableColumn id="9263" name="Column9242" dataDxfId="7170" dataCellStyle="Normal"/>
    <tableColumn id="9264" name="Column9243" dataDxfId="7169" dataCellStyle="Normal"/>
    <tableColumn id="9265" name="Column9244" dataDxfId="7168" dataCellStyle="Normal"/>
    <tableColumn id="9266" name="Column9245" dataDxfId="7167" dataCellStyle="Normal"/>
    <tableColumn id="9267" name="Column9246" dataDxfId="7166" dataCellStyle="Normal"/>
    <tableColumn id="9268" name="Column9247" dataDxfId="7165" dataCellStyle="Normal"/>
    <tableColumn id="9269" name="Column9248" dataDxfId="7164" dataCellStyle="Normal"/>
    <tableColumn id="9270" name="Column9249" dataDxfId="7163" dataCellStyle="Normal"/>
    <tableColumn id="9271" name="Column9250" dataDxfId="7162" dataCellStyle="Normal"/>
    <tableColumn id="9272" name="Column9251" dataDxfId="7161" dataCellStyle="Normal"/>
    <tableColumn id="9273" name="Column9252" dataDxfId="7160" dataCellStyle="Normal"/>
    <tableColumn id="9274" name="Column9253" dataDxfId="7159" dataCellStyle="Normal"/>
    <tableColumn id="9275" name="Column9254" dataDxfId="7158" dataCellStyle="Normal"/>
    <tableColumn id="9276" name="Column9255" dataDxfId="7157" dataCellStyle="Normal"/>
    <tableColumn id="9277" name="Column9256" dataDxfId="7156" dataCellStyle="Normal"/>
    <tableColumn id="9278" name="Column9257" dataDxfId="7155" dataCellStyle="Normal"/>
    <tableColumn id="9279" name="Column9258" dataDxfId="7154" dataCellStyle="Normal"/>
    <tableColumn id="9280" name="Column9259" dataDxfId="7153" dataCellStyle="Normal"/>
    <tableColumn id="9281" name="Column9260" dataDxfId="7152" dataCellStyle="Normal"/>
    <tableColumn id="9282" name="Column9261" dataDxfId="7151" dataCellStyle="Normal"/>
    <tableColumn id="9283" name="Column9262" dataDxfId="7150" dataCellStyle="Normal"/>
    <tableColumn id="9284" name="Column9263" dataDxfId="7149" dataCellStyle="Normal"/>
    <tableColumn id="9285" name="Column9264" dataDxfId="7148" dataCellStyle="Normal"/>
    <tableColumn id="9286" name="Column9265" dataDxfId="7147" dataCellStyle="Normal"/>
    <tableColumn id="9287" name="Column9266" dataDxfId="7146" dataCellStyle="Normal"/>
    <tableColumn id="9288" name="Column9267" dataDxfId="7145" dataCellStyle="Normal"/>
    <tableColumn id="9289" name="Column9268" dataDxfId="7144" dataCellStyle="Normal"/>
    <tableColumn id="9290" name="Column9269" dataDxfId="7143" dataCellStyle="Normal"/>
    <tableColumn id="9291" name="Column9270" dataDxfId="7142" dataCellStyle="Normal"/>
    <tableColumn id="9292" name="Column9271" dataDxfId="7141" dataCellStyle="Normal"/>
    <tableColumn id="9293" name="Column9272" dataDxfId="7140" dataCellStyle="Normal"/>
    <tableColumn id="9294" name="Column9273" dataDxfId="7139" dataCellStyle="Normal"/>
    <tableColumn id="9295" name="Column9274" dataDxfId="7138" dataCellStyle="Normal"/>
    <tableColumn id="9296" name="Column9275" dataDxfId="7137" dataCellStyle="Normal"/>
    <tableColumn id="9297" name="Column9276" dataDxfId="7136" dataCellStyle="Normal"/>
    <tableColumn id="9298" name="Column9277" dataDxfId="7135" dataCellStyle="Normal"/>
    <tableColumn id="9299" name="Column9278" dataDxfId="7134" dataCellStyle="Normal"/>
    <tableColumn id="9300" name="Column9279" dataDxfId="7133" dataCellStyle="Normal"/>
    <tableColumn id="9301" name="Column9280" dataDxfId="7132" dataCellStyle="Normal"/>
    <tableColumn id="9302" name="Column9281" dataDxfId="7131" dataCellStyle="Normal"/>
    <tableColumn id="9303" name="Column9282" dataDxfId="7130" dataCellStyle="Normal"/>
    <tableColumn id="9304" name="Column9283" dataDxfId="7129" dataCellStyle="Normal"/>
    <tableColumn id="9305" name="Column9284" dataDxfId="7128" dataCellStyle="Normal"/>
    <tableColumn id="9306" name="Column9285" dataDxfId="7127" dataCellStyle="Normal"/>
    <tableColumn id="9307" name="Column9286" dataDxfId="7126" dataCellStyle="Normal"/>
    <tableColumn id="9308" name="Column9287" dataDxfId="7125" dataCellStyle="Normal"/>
    <tableColumn id="9309" name="Column9288" dataDxfId="7124" dataCellStyle="Normal"/>
    <tableColumn id="9310" name="Column9289" dataDxfId="7123" dataCellStyle="Normal"/>
    <tableColumn id="9311" name="Column9290" dataDxfId="7122" dataCellStyle="Normal"/>
    <tableColumn id="9312" name="Column9291" dataDxfId="7121" dataCellStyle="Normal"/>
    <tableColumn id="9313" name="Column9292" dataDxfId="7120" dataCellStyle="Normal"/>
    <tableColumn id="9314" name="Column9293" dataDxfId="7119" dataCellStyle="Normal"/>
    <tableColumn id="9315" name="Column9294" dataDxfId="7118" dataCellStyle="Normal"/>
    <tableColumn id="9316" name="Column9295" dataDxfId="7117" dataCellStyle="Normal"/>
    <tableColumn id="9317" name="Column9296" dataDxfId="7116" dataCellStyle="Normal"/>
    <tableColumn id="9318" name="Column9297" dataDxfId="7115" dataCellStyle="Normal"/>
    <tableColumn id="9319" name="Column9298" dataDxfId="7114" dataCellStyle="Normal"/>
    <tableColumn id="9320" name="Column9299" dataDxfId="7113" dataCellStyle="Normal"/>
    <tableColumn id="9321" name="Column9300" dataDxfId="7112" dataCellStyle="Normal"/>
    <tableColumn id="9322" name="Column9301" dataDxfId="7111" dataCellStyle="Normal"/>
    <tableColumn id="9323" name="Column9302" dataDxfId="7110" dataCellStyle="Normal"/>
    <tableColumn id="9324" name="Column9303" dataDxfId="7109" dataCellStyle="Normal"/>
    <tableColumn id="9325" name="Column9304" dataDxfId="7108" dataCellStyle="Normal"/>
    <tableColumn id="9326" name="Column9305" dataDxfId="7107" dataCellStyle="Normal"/>
    <tableColumn id="9327" name="Column9306" dataDxfId="7106" dataCellStyle="Normal"/>
    <tableColumn id="9328" name="Column9307" dataDxfId="7105" dataCellStyle="Normal"/>
    <tableColumn id="9329" name="Column9308" dataDxfId="7104" dataCellStyle="Normal"/>
    <tableColumn id="9330" name="Column9309" dataDxfId="7103" dataCellStyle="Normal"/>
    <tableColumn id="9331" name="Column9310" dataDxfId="7102" dataCellStyle="Normal"/>
    <tableColumn id="9332" name="Column9311" dataDxfId="7101" dataCellStyle="Normal"/>
    <tableColumn id="9333" name="Column9312" dataDxfId="7100" dataCellStyle="Normal"/>
    <tableColumn id="9334" name="Column9313" dataDxfId="7099" dataCellStyle="Normal"/>
    <tableColumn id="9335" name="Column9314" dataDxfId="7098" dataCellStyle="Normal"/>
    <tableColumn id="9336" name="Column9315" dataDxfId="7097" dataCellStyle="Normal"/>
    <tableColumn id="9337" name="Column9316" dataDxfId="7096" dataCellStyle="Normal"/>
    <tableColumn id="9338" name="Column9317" dataDxfId="7095" dataCellStyle="Normal"/>
    <tableColumn id="9339" name="Column9318" dataDxfId="7094" dataCellStyle="Normal"/>
    <tableColumn id="9340" name="Column9319" dataDxfId="7093" dataCellStyle="Normal"/>
    <tableColumn id="9341" name="Column9320" dataDxfId="7092" dataCellStyle="Normal"/>
    <tableColumn id="9342" name="Column9321" dataDxfId="7091" dataCellStyle="Normal"/>
    <tableColumn id="9343" name="Column9322" dataDxfId="7090" dataCellStyle="Normal"/>
    <tableColumn id="9344" name="Column9323" dataDxfId="7089" dataCellStyle="Normal"/>
    <tableColumn id="9345" name="Column9324" dataDxfId="7088" dataCellStyle="Normal"/>
    <tableColumn id="9346" name="Column9325" dataDxfId="7087" dataCellStyle="Normal"/>
    <tableColumn id="9347" name="Column9326" dataDxfId="7086" dataCellStyle="Normal"/>
    <tableColumn id="9348" name="Column9327" dataDxfId="7085" dataCellStyle="Normal"/>
    <tableColumn id="9349" name="Column9328" dataDxfId="7084" dataCellStyle="Normal"/>
    <tableColumn id="9350" name="Column9329" dataDxfId="7083" dataCellStyle="Normal"/>
    <tableColumn id="9351" name="Column9330" dataDxfId="7082" dataCellStyle="Normal"/>
    <tableColumn id="9352" name="Column9331" dataDxfId="7081" dataCellStyle="Normal"/>
    <tableColumn id="9353" name="Column9332" dataDxfId="7080" dataCellStyle="Normal"/>
    <tableColumn id="9354" name="Column9333" dataDxfId="7079" dataCellStyle="Normal"/>
    <tableColumn id="9355" name="Column9334" dataDxfId="7078" dataCellStyle="Normal"/>
    <tableColumn id="9356" name="Column9335" dataDxfId="7077" dataCellStyle="Normal"/>
    <tableColumn id="9357" name="Column9336" dataDxfId="7076" dataCellStyle="Normal"/>
    <tableColumn id="9358" name="Column9337" dataDxfId="7075" dataCellStyle="Normal"/>
    <tableColumn id="9359" name="Column9338" dataDxfId="7074" dataCellStyle="Normal"/>
    <tableColumn id="9360" name="Column9339" dataDxfId="7073" dataCellStyle="Normal"/>
    <tableColumn id="9361" name="Column9340" dataDxfId="7072" dataCellStyle="Normal"/>
    <tableColumn id="9362" name="Column9341" dataDxfId="7071" dataCellStyle="Normal"/>
    <tableColumn id="9363" name="Column9342" dataDxfId="7070" dataCellStyle="Normal"/>
    <tableColumn id="9364" name="Column9343" dataDxfId="7069" dataCellStyle="Normal"/>
    <tableColumn id="9365" name="Column9344" dataDxfId="7068" dataCellStyle="Normal"/>
    <tableColumn id="9366" name="Column9345" dataDxfId="7067" dataCellStyle="Normal"/>
    <tableColumn id="9367" name="Column9346" dataDxfId="7066" dataCellStyle="Normal"/>
    <tableColumn id="9368" name="Column9347" dataDxfId="7065" dataCellStyle="Normal"/>
    <tableColumn id="9369" name="Column9348" dataDxfId="7064" dataCellStyle="Normal"/>
    <tableColumn id="9370" name="Column9349" dataDxfId="7063" dataCellStyle="Normal"/>
    <tableColumn id="9371" name="Column9350" dataDxfId="7062" dataCellStyle="Normal"/>
    <tableColumn id="9372" name="Column9351" dataDxfId="7061" dataCellStyle="Normal"/>
    <tableColumn id="9373" name="Column9352" dataDxfId="7060" dataCellStyle="Normal"/>
    <tableColumn id="9374" name="Column9353" dataDxfId="7059" dataCellStyle="Normal"/>
    <tableColumn id="9375" name="Column9354" dataDxfId="7058" dataCellStyle="Normal"/>
    <tableColumn id="9376" name="Column9355" dataDxfId="7057" dataCellStyle="Normal"/>
    <tableColumn id="9377" name="Column9356" dataDxfId="7056" dataCellStyle="Normal"/>
    <tableColumn id="9378" name="Column9357" dataDxfId="7055" dataCellStyle="Normal"/>
    <tableColumn id="9379" name="Column9358" dataDxfId="7054" dataCellStyle="Normal"/>
    <tableColumn id="9380" name="Column9359" dataDxfId="7053" dataCellStyle="Normal"/>
    <tableColumn id="9381" name="Column9360" dataDxfId="7052" dataCellStyle="Normal"/>
    <tableColumn id="9382" name="Column9361" dataDxfId="7051" dataCellStyle="Normal"/>
    <tableColumn id="9383" name="Column9362" dataDxfId="7050" dataCellStyle="Normal"/>
    <tableColumn id="9384" name="Column9363" dataDxfId="7049" dataCellStyle="Normal"/>
    <tableColumn id="9385" name="Column9364" dataDxfId="7048" dataCellStyle="Normal"/>
    <tableColumn id="9386" name="Column9365" dataDxfId="7047" dataCellStyle="Normal"/>
    <tableColumn id="9387" name="Column9366" dataDxfId="7046" dataCellStyle="Normal"/>
    <tableColumn id="9388" name="Column9367" dataDxfId="7045" dataCellStyle="Normal"/>
    <tableColumn id="9389" name="Column9368" dataDxfId="7044" dataCellStyle="Normal"/>
    <tableColumn id="9390" name="Column9369" dataDxfId="7043" dataCellStyle="Normal"/>
    <tableColumn id="9391" name="Column9370" dataDxfId="7042" dataCellStyle="Normal"/>
    <tableColumn id="9392" name="Column9371" dataDxfId="7041" dataCellStyle="Normal"/>
    <tableColumn id="9393" name="Column9372" dataDxfId="7040" dataCellStyle="Normal"/>
    <tableColumn id="9394" name="Column9373" dataDxfId="7039" dataCellStyle="Normal"/>
    <tableColumn id="9395" name="Column9374" dataDxfId="7038" dataCellStyle="Normal"/>
    <tableColumn id="9396" name="Column9375" dataDxfId="7037" dataCellStyle="Normal"/>
    <tableColumn id="9397" name="Column9376" dataDxfId="7036" dataCellStyle="Normal"/>
    <tableColumn id="9398" name="Column9377" dataDxfId="7035" dataCellStyle="Normal"/>
    <tableColumn id="9399" name="Column9378" dataDxfId="7034" dataCellStyle="Normal"/>
    <tableColumn id="9400" name="Column9379" dataDxfId="7033" dataCellStyle="Normal"/>
    <tableColumn id="9401" name="Column9380" dataDxfId="7032" dataCellStyle="Normal"/>
    <tableColumn id="9402" name="Column9381" dataDxfId="7031" dataCellStyle="Normal"/>
    <tableColumn id="9403" name="Column9382" dataDxfId="7030" dataCellStyle="Normal"/>
    <tableColumn id="9404" name="Column9383" dataDxfId="7029" dataCellStyle="Normal"/>
    <tableColumn id="9405" name="Column9384" dataDxfId="7028" dataCellStyle="Normal"/>
    <tableColumn id="9406" name="Column9385" dataDxfId="7027" dataCellStyle="Normal"/>
    <tableColumn id="9407" name="Column9386" dataDxfId="7026" dataCellStyle="Normal"/>
    <tableColumn id="9408" name="Column9387" dataDxfId="7025" dataCellStyle="Normal"/>
    <tableColumn id="9409" name="Column9388" dataDxfId="7024" dataCellStyle="Normal"/>
    <tableColumn id="9410" name="Column9389" dataDxfId="7023" dataCellStyle="Normal"/>
    <tableColumn id="9411" name="Column9390" dataDxfId="7022" dataCellStyle="Normal"/>
    <tableColumn id="9412" name="Column9391" dataDxfId="7021" dataCellStyle="Normal"/>
    <tableColumn id="9413" name="Column9392" dataDxfId="7020" dataCellStyle="Normal"/>
    <tableColumn id="9414" name="Column9393" dataDxfId="7019" dataCellStyle="Normal"/>
    <tableColumn id="9415" name="Column9394" dataDxfId="7018" dataCellStyle="Normal"/>
    <tableColumn id="9416" name="Column9395" dataDxfId="7017" dataCellStyle="Normal"/>
    <tableColumn id="9417" name="Column9396" dataDxfId="7016" dataCellStyle="Normal"/>
    <tableColumn id="9418" name="Column9397" dataDxfId="7015" dataCellStyle="Normal"/>
    <tableColumn id="9419" name="Column9398" dataDxfId="7014" dataCellStyle="Normal"/>
    <tableColumn id="9420" name="Column9399" dataDxfId="7013" dataCellStyle="Normal"/>
    <tableColumn id="9421" name="Column9400" dataDxfId="7012" dataCellStyle="Normal"/>
    <tableColumn id="9422" name="Column9401" dataDxfId="7011" dataCellStyle="Normal"/>
    <tableColumn id="9423" name="Column9402" dataDxfId="7010" dataCellStyle="Normal"/>
    <tableColumn id="9424" name="Column9403" dataDxfId="7009" dataCellStyle="Normal"/>
    <tableColumn id="9425" name="Column9404" dataDxfId="7008" dataCellStyle="Normal"/>
    <tableColumn id="9426" name="Column9405" dataDxfId="7007" dataCellStyle="Normal"/>
    <tableColumn id="9427" name="Column9406" dataDxfId="7006" dataCellStyle="Normal"/>
    <tableColumn id="9428" name="Column9407" dataDxfId="7005" dataCellStyle="Normal"/>
    <tableColumn id="9429" name="Column9408" dataDxfId="7004" dataCellStyle="Normal"/>
    <tableColumn id="9430" name="Column9409" dataDxfId="7003" dataCellStyle="Normal"/>
    <tableColumn id="9431" name="Column9410" dataDxfId="7002" dataCellStyle="Normal"/>
    <tableColumn id="9432" name="Column9411" dataDxfId="7001" dataCellStyle="Normal"/>
    <tableColumn id="9433" name="Column9412" dataDxfId="7000" dataCellStyle="Normal"/>
    <tableColumn id="9434" name="Column9413" dataDxfId="6999" dataCellStyle="Normal"/>
    <tableColumn id="9435" name="Column9414" dataDxfId="6998" dataCellStyle="Normal"/>
    <tableColumn id="9436" name="Column9415" dataDxfId="6997" dataCellStyle="Normal"/>
    <tableColumn id="9437" name="Column9416" dataDxfId="6996" dataCellStyle="Normal"/>
    <tableColumn id="9438" name="Column9417" dataDxfId="6995" dataCellStyle="Normal"/>
    <tableColumn id="9439" name="Column9418" dataDxfId="6994" dataCellStyle="Normal"/>
    <tableColumn id="9440" name="Column9419" dataDxfId="6993" dataCellStyle="Normal"/>
    <tableColumn id="9441" name="Column9420" dataDxfId="6992" dataCellStyle="Normal"/>
    <tableColumn id="9442" name="Column9421" dataDxfId="6991" dataCellStyle="Normal"/>
    <tableColumn id="9443" name="Column9422" dataDxfId="6990" dataCellStyle="Normal"/>
    <tableColumn id="9444" name="Column9423" dataDxfId="6989" dataCellStyle="Normal"/>
    <tableColumn id="9445" name="Column9424" dataDxfId="6988" dataCellStyle="Normal"/>
    <tableColumn id="9446" name="Column9425" dataDxfId="6987" dataCellStyle="Normal"/>
    <tableColumn id="9447" name="Column9426" dataDxfId="6986" dataCellStyle="Normal"/>
    <tableColumn id="9448" name="Column9427" dataDxfId="6985" dataCellStyle="Normal"/>
    <tableColumn id="9449" name="Column9428" dataDxfId="6984" dataCellStyle="Normal"/>
    <tableColumn id="9450" name="Column9429" dataDxfId="6983" dataCellStyle="Normal"/>
    <tableColumn id="9451" name="Column9430" dataDxfId="6982" dataCellStyle="Normal"/>
    <tableColumn id="9452" name="Column9431" dataDxfId="6981" dataCellStyle="Normal"/>
    <tableColumn id="9453" name="Column9432" dataDxfId="6980" dataCellStyle="Normal"/>
    <tableColumn id="9454" name="Column9433" dataDxfId="6979" dataCellStyle="Normal"/>
    <tableColumn id="9455" name="Column9434" dataDxfId="6978" dataCellStyle="Normal"/>
    <tableColumn id="9456" name="Column9435" dataDxfId="6977" dataCellStyle="Normal"/>
    <tableColumn id="9457" name="Column9436" dataDxfId="6976" dataCellStyle="Normal"/>
    <tableColumn id="9458" name="Column9437" dataDxfId="6975" dataCellStyle="Normal"/>
    <tableColumn id="9459" name="Column9438" dataDxfId="6974" dataCellStyle="Normal"/>
    <tableColumn id="9460" name="Column9439" dataDxfId="6973" dataCellStyle="Normal"/>
    <tableColumn id="9461" name="Column9440" dataDxfId="6972" dataCellStyle="Normal"/>
    <tableColumn id="9462" name="Column9441" dataDxfId="6971" dataCellStyle="Normal"/>
    <tableColumn id="9463" name="Column9442" dataDxfId="6970" dataCellStyle="Normal"/>
    <tableColumn id="9464" name="Column9443" dataDxfId="6969" dataCellStyle="Normal"/>
    <tableColumn id="9465" name="Column9444" dataDxfId="6968" dataCellStyle="Normal"/>
    <tableColumn id="9466" name="Column9445" dataDxfId="6967" dataCellStyle="Normal"/>
    <tableColumn id="9467" name="Column9446" dataDxfId="6966" dataCellStyle="Normal"/>
    <tableColumn id="9468" name="Column9447" dataDxfId="6965" dataCellStyle="Normal"/>
    <tableColumn id="9469" name="Column9448" dataDxfId="6964" dataCellStyle="Normal"/>
    <tableColumn id="9470" name="Column9449" dataDxfId="6963" dataCellStyle="Normal"/>
    <tableColumn id="9471" name="Column9450" dataDxfId="6962" dataCellStyle="Normal"/>
    <tableColumn id="9472" name="Column9451" dataDxfId="6961" dataCellStyle="Normal"/>
    <tableColumn id="9473" name="Column9452" dataDxfId="6960" dataCellStyle="Normal"/>
    <tableColumn id="9474" name="Column9453" dataDxfId="6959" dataCellStyle="Normal"/>
    <tableColumn id="9475" name="Column9454" dataDxfId="6958" dataCellStyle="Normal"/>
    <tableColumn id="9476" name="Column9455" dataDxfId="6957" dataCellStyle="Normal"/>
    <tableColumn id="9477" name="Column9456" dataDxfId="6956" dataCellStyle="Normal"/>
    <tableColumn id="9478" name="Column9457" dataDxfId="6955" dataCellStyle="Normal"/>
    <tableColumn id="9479" name="Column9458" dataDxfId="6954" dataCellStyle="Normal"/>
    <tableColumn id="9480" name="Column9459" dataDxfId="6953" dataCellStyle="Normal"/>
    <tableColumn id="9481" name="Column9460" dataDxfId="6952" dataCellStyle="Normal"/>
    <tableColumn id="9482" name="Column9461" dataDxfId="6951" dataCellStyle="Normal"/>
    <tableColumn id="9483" name="Column9462" dataDxfId="6950" dataCellStyle="Normal"/>
    <tableColumn id="9484" name="Column9463" dataDxfId="6949" dataCellStyle="Normal"/>
    <tableColumn id="9485" name="Column9464" dataDxfId="6948" dataCellStyle="Normal"/>
    <tableColumn id="9486" name="Column9465" dataDxfId="6947" dataCellStyle="Normal"/>
    <tableColumn id="9487" name="Column9466" dataDxfId="6946" dataCellStyle="Normal"/>
    <tableColumn id="9488" name="Column9467" dataDxfId="6945" dataCellStyle="Normal"/>
    <tableColumn id="9489" name="Column9468" dataDxfId="6944" dataCellStyle="Normal"/>
    <tableColumn id="9490" name="Column9469" dataDxfId="6943" dataCellStyle="Normal"/>
    <tableColumn id="9491" name="Column9470" dataDxfId="6942" dataCellStyle="Normal"/>
    <tableColumn id="9492" name="Column9471" dataDxfId="6941" dataCellStyle="Normal"/>
    <tableColumn id="9493" name="Column9472" dataDxfId="6940" dataCellStyle="Normal"/>
    <tableColumn id="9494" name="Column9473" dataDxfId="6939" dataCellStyle="Normal"/>
    <tableColumn id="9495" name="Column9474" dataDxfId="6938" dataCellStyle="Normal"/>
    <tableColumn id="9496" name="Column9475" dataDxfId="6937" dataCellStyle="Normal"/>
    <tableColumn id="9497" name="Column9476" dataDxfId="6936" dataCellStyle="Normal"/>
    <tableColumn id="9498" name="Column9477" dataDxfId="6935" dataCellStyle="Normal"/>
    <tableColumn id="9499" name="Column9478" dataDxfId="6934" dataCellStyle="Normal"/>
    <tableColumn id="9500" name="Column9479" dataDxfId="6933" dataCellStyle="Normal"/>
    <tableColumn id="9501" name="Column9480" dataDxfId="6932" dataCellStyle="Normal"/>
    <tableColumn id="9502" name="Column9481" dataDxfId="6931" dataCellStyle="Normal"/>
    <tableColumn id="9503" name="Column9482" dataDxfId="6930" dataCellStyle="Normal"/>
    <tableColumn id="9504" name="Column9483" dataDxfId="6929" dataCellStyle="Normal"/>
    <tableColumn id="9505" name="Column9484" dataDxfId="6928" dataCellStyle="Normal"/>
    <tableColumn id="9506" name="Column9485" dataDxfId="6927" dataCellStyle="Normal"/>
    <tableColumn id="9507" name="Column9486" dataDxfId="6926" dataCellStyle="Normal"/>
    <tableColumn id="9508" name="Column9487" dataDxfId="6925" dataCellStyle="Normal"/>
    <tableColumn id="9509" name="Column9488" dataDxfId="6924" dataCellStyle="Normal"/>
    <tableColumn id="9510" name="Column9489" dataDxfId="6923" dataCellStyle="Normal"/>
    <tableColumn id="9511" name="Column9490" dataDxfId="6922" dataCellStyle="Normal"/>
    <tableColumn id="9512" name="Column9491" dataDxfId="6921" dataCellStyle="Normal"/>
    <tableColumn id="9513" name="Column9492" dataDxfId="6920" dataCellStyle="Normal"/>
    <tableColumn id="9514" name="Column9493" dataDxfId="6919" dataCellStyle="Normal"/>
    <tableColumn id="9515" name="Column9494" dataDxfId="6918" dataCellStyle="Normal"/>
    <tableColumn id="9516" name="Column9495" dataDxfId="6917" dataCellStyle="Normal"/>
    <tableColumn id="9517" name="Column9496" dataDxfId="6916" dataCellStyle="Normal"/>
    <tableColumn id="9518" name="Column9497" dataDxfId="6915" dataCellStyle="Normal"/>
    <tableColumn id="9519" name="Column9498" dataDxfId="6914" dataCellStyle="Normal"/>
    <tableColumn id="9520" name="Column9499" dataDxfId="6913" dataCellStyle="Normal"/>
    <tableColumn id="9521" name="Column9500" dataDxfId="6912" dataCellStyle="Normal"/>
    <tableColumn id="9522" name="Column9501" dataDxfId="6911" dataCellStyle="Normal"/>
    <tableColumn id="9523" name="Column9502" dataDxfId="6910" dataCellStyle="Normal"/>
    <tableColumn id="9524" name="Column9503" dataDxfId="6909" dataCellStyle="Normal"/>
    <tableColumn id="9525" name="Column9504" dataDxfId="6908" dataCellStyle="Normal"/>
    <tableColumn id="9526" name="Column9505" dataDxfId="6907" dataCellStyle="Normal"/>
    <tableColumn id="9527" name="Column9506" dataDxfId="6906" dataCellStyle="Normal"/>
    <tableColumn id="9528" name="Column9507" dataDxfId="6905" dataCellStyle="Normal"/>
    <tableColumn id="9529" name="Column9508" dataDxfId="6904" dataCellStyle="Normal"/>
    <tableColumn id="9530" name="Column9509" dataDxfId="6903" dataCellStyle="Normal"/>
    <tableColumn id="9531" name="Column9510" dataDxfId="6902" dataCellStyle="Normal"/>
    <tableColumn id="9532" name="Column9511" dataDxfId="6901" dataCellStyle="Normal"/>
    <tableColumn id="9533" name="Column9512" dataDxfId="6900" dataCellStyle="Normal"/>
    <tableColumn id="9534" name="Column9513" dataDxfId="6899" dataCellStyle="Normal"/>
    <tableColumn id="9535" name="Column9514" dataDxfId="6898" dataCellStyle="Normal"/>
    <tableColumn id="9536" name="Column9515" dataDxfId="6897" dataCellStyle="Normal"/>
    <tableColumn id="9537" name="Column9516" dataDxfId="6896" dataCellStyle="Normal"/>
    <tableColumn id="9538" name="Column9517" dataDxfId="6895" dataCellStyle="Normal"/>
    <tableColumn id="9539" name="Column9518" dataDxfId="6894" dataCellStyle="Normal"/>
    <tableColumn id="9540" name="Column9519" dataDxfId="6893" dataCellStyle="Normal"/>
    <tableColumn id="9541" name="Column9520" dataDxfId="6892" dataCellStyle="Normal"/>
    <tableColumn id="9542" name="Column9521" dataDxfId="6891" dataCellStyle="Normal"/>
    <tableColumn id="9543" name="Column9522" dataDxfId="6890" dataCellStyle="Normal"/>
    <tableColumn id="9544" name="Column9523" dataDxfId="6889" dataCellStyle="Normal"/>
    <tableColumn id="9545" name="Column9524" dataDxfId="6888" dataCellStyle="Normal"/>
    <tableColumn id="9546" name="Column9525" dataDxfId="6887" dataCellStyle="Normal"/>
    <tableColumn id="9547" name="Column9526" dataDxfId="6886" dataCellStyle="Normal"/>
    <tableColumn id="9548" name="Column9527" dataDxfId="6885" dataCellStyle="Normal"/>
    <tableColumn id="9549" name="Column9528" dataDxfId="6884" dataCellStyle="Normal"/>
    <tableColumn id="9550" name="Column9529" dataDxfId="6883" dataCellStyle="Normal"/>
    <tableColumn id="9551" name="Column9530" dataDxfId="6882" dataCellStyle="Normal"/>
    <tableColumn id="9552" name="Column9531" dataDxfId="6881" dataCellStyle="Normal"/>
    <tableColumn id="9553" name="Column9532" dataDxfId="6880" dataCellStyle="Normal"/>
    <tableColumn id="9554" name="Column9533" dataDxfId="6879" dataCellStyle="Normal"/>
    <tableColumn id="9555" name="Column9534" dataDxfId="6878" dataCellStyle="Normal"/>
    <tableColumn id="9556" name="Column9535" dataDxfId="6877" dataCellStyle="Normal"/>
    <tableColumn id="9557" name="Column9536" dataDxfId="6876" dataCellStyle="Normal"/>
    <tableColumn id="9558" name="Column9537" dataDxfId="6875" dataCellStyle="Normal"/>
    <tableColumn id="9559" name="Column9538" dataDxfId="6874" dataCellStyle="Normal"/>
    <tableColumn id="9560" name="Column9539" dataDxfId="6873" dataCellStyle="Normal"/>
    <tableColumn id="9561" name="Column9540" dataDxfId="6872" dataCellStyle="Normal"/>
    <tableColumn id="9562" name="Column9541" dataDxfId="6871" dataCellStyle="Normal"/>
    <tableColumn id="9563" name="Column9542" dataDxfId="6870" dataCellStyle="Normal"/>
    <tableColumn id="9564" name="Column9543" dataDxfId="6869" dataCellStyle="Normal"/>
    <tableColumn id="9565" name="Column9544" dataDxfId="6868" dataCellStyle="Normal"/>
    <tableColumn id="9566" name="Column9545" dataDxfId="6867" dataCellStyle="Normal"/>
    <tableColumn id="9567" name="Column9546" dataDxfId="6866" dataCellStyle="Normal"/>
    <tableColumn id="9568" name="Column9547" dataDxfId="6865" dataCellStyle="Normal"/>
    <tableColumn id="9569" name="Column9548" dataDxfId="6864" dataCellStyle="Normal"/>
    <tableColumn id="9570" name="Column9549" dataDxfId="6863" dataCellStyle="Normal"/>
    <tableColumn id="9571" name="Column9550" dataDxfId="6862" dataCellStyle="Normal"/>
    <tableColumn id="9572" name="Column9551" dataDxfId="6861" dataCellStyle="Normal"/>
    <tableColumn id="9573" name="Column9552" dataDxfId="6860" dataCellStyle="Normal"/>
    <tableColumn id="9574" name="Column9553" dataDxfId="6859" dataCellStyle="Normal"/>
    <tableColumn id="9575" name="Column9554" dataDxfId="6858" dataCellStyle="Normal"/>
    <tableColumn id="9576" name="Column9555" dataDxfId="6857" dataCellStyle="Normal"/>
    <tableColumn id="9577" name="Column9556" dataDxfId="6856" dataCellStyle="Normal"/>
    <tableColumn id="9578" name="Column9557" dataDxfId="6855" dataCellStyle="Normal"/>
    <tableColumn id="9579" name="Column9558" dataDxfId="6854" dataCellStyle="Normal"/>
    <tableColumn id="9580" name="Column9559" dataDxfId="6853" dataCellStyle="Normal"/>
    <tableColumn id="9581" name="Column9560" dataDxfId="6852" dataCellStyle="Normal"/>
    <tableColumn id="9582" name="Column9561" dataDxfId="6851" dataCellStyle="Normal"/>
    <tableColumn id="9583" name="Column9562" dataDxfId="6850" dataCellStyle="Normal"/>
    <tableColumn id="9584" name="Column9563" dataDxfId="6849" dataCellStyle="Normal"/>
    <tableColumn id="9585" name="Column9564" dataDxfId="6848" dataCellStyle="Normal"/>
    <tableColumn id="9586" name="Column9565" dataDxfId="6847" dataCellStyle="Normal"/>
    <tableColumn id="9587" name="Column9566" dataDxfId="6846" dataCellStyle="Normal"/>
    <tableColumn id="9588" name="Column9567" dataDxfId="6845" dataCellStyle="Normal"/>
    <tableColumn id="9589" name="Column9568" dataDxfId="6844" dataCellStyle="Normal"/>
    <tableColumn id="9590" name="Column9569" dataDxfId="6843" dataCellStyle="Normal"/>
    <tableColumn id="9591" name="Column9570" dataDxfId="6842" dataCellStyle="Normal"/>
    <tableColumn id="9592" name="Column9571" dataDxfId="6841" dataCellStyle="Normal"/>
    <tableColumn id="9593" name="Column9572" dataDxfId="6840" dataCellStyle="Normal"/>
    <tableColumn id="9594" name="Column9573" dataDxfId="6839" dataCellStyle="Normal"/>
    <tableColumn id="9595" name="Column9574" dataDxfId="6838" dataCellStyle="Normal"/>
    <tableColumn id="9596" name="Column9575" dataDxfId="6837" dataCellStyle="Normal"/>
    <tableColumn id="9597" name="Column9576" dataDxfId="6836" dataCellStyle="Normal"/>
    <tableColumn id="9598" name="Column9577" dataDxfId="6835" dataCellStyle="Normal"/>
    <tableColumn id="9599" name="Column9578" dataDxfId="6834" dataCellStyle="Normal"/>
    <tableColumn id="9600" name="Column9579" dataDxfId="6833" dataCellStyle="Normal"/>
    <tableColumn id="9601" name="Column9580" dataDxfId="6832" dataCellStyle="Normal"/>
    <tableColumn id="9602" name="Column9581" dataDxfId="6831" dataCellStyle="Normal"/>
    <tableColumn id="9603" name="Column9582" dataDxfId="6830" dataCellStyle="Normal"/>
    <tableColumn id="9604" name="Column9583" dataDxfId="6829" dataCellStyle="Normal"/>
    <tableColumn id="9605" name="Column9584" dataDxfId="6828" dataCellStyle="Normal"/>
    <tableColumn id="9606" name="Column9585" dataDxfId="6827" dataCellStyle="Normal"/>
    <tableColumn id="9607" name="Column9586" dataDxfId="6826" dataCellStyle="Normal"/>
    <tableColumn id="9608" name="Column9587" dataDxfId="6825" dataCellStyle="Normal"/>
    <tableColumn id="9609" name="Column9588" dataDxfId="6824" dataCellStyle="Normal"/>
    <tableColumn id="9610" name="Column9589" dataDxfId="6823" dataCellStyle="Normal"/>
    <tableColumn id="9611" name="Column9590" dataDxfId="6822" dataCellStyle="Normal"/>
    <tableColumn id="9612" name="Column9591" dataDxfId="6821" dataCellStyle="Normal"/>
    <tableColumn id="9613" name="Column9592" dataDxfId="6820" dataCellStyle="Normal"/>
    <tableColumn id="9614" name="Column9593" dataDxfId="6819" dataCellStyle="Normal"/>
    <tableColumn id="9615" name="Column9594" dataDxfId="6818" dataCellStyle="Normal"/>
    <tableColumn id="9616" name="Column9595" dataDxfId="6817" dataCellStyle="Normal"/>
    <tableColumn id="9617" name="Column9596" dataDxfId="6816" dataCellStyle="Normal"/>
    <tableColumn id="9618" name="Column9597" dataDxfId="6815" dataCellStyle="Normal"/>
    <tableColumn id="9619" name="Column9598" dataDxfId="6814" dataCellStyle="Normal"/>
    <tableColumn id="9620" name="Column9599" dataDxfId="6813" dataCellStyle="Normal"/>
    <tableColumn id="9621" name="Column9600" dataDxfId="6812" dataCellStyle="Normal"/>
    <tableColumn id="9622" name="Column9601" dataDxfId="6811" dataCellStyle="Normal"/>
    <tableColumn id="9623" name="Column9602" dataDxfId="6810" dataCellStyle="Normal"/>
    <tableColumn id="9624" name="Column9603" dataDxfId="6809" dataCellStyle="Normal"/>
    <tableColumn id="9625" name="Column9604" dataDxfId="6808" dataCellStyle="Normal"/>
    <tableColumn id="9626" name="Column9605" dataDxfId="6807" dataCellStyle="Normal"/>
    <tableColumn id="9627" name="Column9606" dataDxfId="6806" dataCellStyle="Normal"/>
    <tableColumn id="9628" name="Column9607" dataDxfId="6805" dataCellStyle="Normal"/>
    <tableColumn id="9629" name="Column9608" dataDxfId="6804" dataCellStyle="Normal"/>
    <tableColumn id="9630" name="Column9609" dataDxfId="6803" dataCellStyle="Normal"/>
    <tableColumn id="9631" name="Column9610" dataDxfId="6802" dataCellStyle="Normal"/>
    <tableColumn id="9632" name="Column9611" dataDxfId="6801" dataCellStyle="Normal"/>
    <tableColumn id="9633" name="Column9612" dataDxfId="6800" dataCellStyle="Normal"/>
    <tableColumn id="9634" name="Column9613" dataDxfId="6799" dataCellStyle="Normal"/>
    <tableColumn id="9635" name="Column9614" dataDxfId="6798" dataCellStyle="Normal"/>
    <tableColumn id="9636" name="Column9615" dataDxfId="6797" dataCellStyle="Normal"/>
    <tableColumn id="9637" name="Column9616" dataDxfId="6796" dataCellStyle="Normal"/>
    <tableColumn id="9638" name="Column9617" dataDxfId="6795" dataCellStyle="Normal"/>
    <tableColumn id="9639" name="Column9618" dataDxfId="6794" dataCellStyle="Normal"/>
    <tableColumn id="9640" name="Column9619" dataDxfId="6793" dataCellStyle="Normal"/>
    <tableColumn id="9641" name="Column9620" dataDxfId="6792" dataCellStyle="Normal"/>
    <tableColumn id="9642" name="Column9621" dataDxfId="6791" dataCellStyle="Normal"/>
    <tableColumn id="9643" name="Column9622" dataDxfId="6790" dataCellStyle="Normal"/>
    <tableColumn id="9644" name="Column9623" dataDxfId="6789" dataCellStyle="Normal"/>
    <tableColumn id="9645" name="Column9624" dataDxfId="6788" dataCellStyle="Normal"/>
    <tableColumn id="9646" name="Column9625" dataDxfId="6787" dataCellStyle="Normal"/>
    <tableColumn id="9647" name="Column9626" dataDxfId="6786" dataCellStyle="Normal"/>
    <tableColumn id="9648" name="Column9627" dataDxfId="6785" dataCellStyle="Normal"/>
    <tableColumn id="9649" name="Column9628" dataDxfId="6784" dataCellStyle="Normal"/>
    <tableColumn id="9650" name="Column9629" dataDxfId="6783" dataCellStyle="Normal"/>
    <tableColumn id="9651" name="Column9630" dataDxfId="6782" dataCellStyle="Normal"/>
    <tableColumn id="9652" name="Column9631" dataDxfId="6781" dataCellStyle="Normal"/>
    <tableColumn id="9653" name="Column9632" dataDxfId="6780" dataCellStyle="Normal"/>
    <tableColumn id="9654" name="Column9633" dataDxfId="6779" dataCellStyle="Normal"/>
    <tableColumn id="9655" name="Column9634" dataDxfId="6778" dataCellStyle="Normal"/>
    <tableColumn id="9656" name="Column9635" dataDxfId="6777" dataCellStyle="Normal"/>
    <tableColumn id="9657" name="Column9636" dataDxfId="6776" dataCellStyle="Normal"/>
    <tableColumn id="9658" name="Column9637" dataDxfId="6775" dataCellStyle="Normal"/>
    <tableColumn id="9659" name="Column9638" dataDxfId="6774" dataCellStyle="Normal"/>
    <tableColumn id="9660" name="Column9639" dataDxfId="6773" dataCellStyle="Normal"/>
    <tableColumn id="9661" name="Column9640" dataDxfId="6772" dataCellStyle="Normal"/>
    <tableColumn id="9662" name="Column9641" dataDxfId="6771" dataCellStyle="Normal"/>
    <tableColumn id="9663" name="Column9642" dataDxfId="6770" dataCellStyle="Normal"/>
    <tableColumn id="9664" name="Column9643" dataDxfId="6769" dataCellStyle="Normal"/>
    <tableColumn id="9665" name="Column9644" dataDxfId="6768" dataCellStyle="Normal"/>
    <tableColumn id="9666" name="Column9645" dataDxfId="6767" dataCellStyle="Normal"/>
    <tableColumn id="9667" name="Column9646" dataDxfId="6766" dataCellStyle="Normal"/>
    <tableColumn id="9668" name="Column9647" dataDxfId="6765" dataCellStyle="Normal"/>
    <tableColumn id="9669" name="Column9648" dataDxfId="6764" dataCellStyle="Normal"/>
    <tableColumn id="9670" name="Column9649" dataDxfId="6763" dataCellStyle="Normal"/>
    <tableColumn id="9671" name="Column9650" dataDxfId="6762" dataCellStyle="Normal"/>
    <tableColumn id="9672" name="Column9651" dataDxfId="6761" dataCellStyle="Normal"/>
    <tableColumn id="9673" name="Column9652" dataDxfId="6760" dataCellStyle="Normal"/>
    <tableColumn id="9674" name="Column9653" dataDxfId="6759" dataCellStyle="Normal"/>
    <tableColumn id="9675" name="Column9654" dataDxfId="6758" dataCellStyle="Normal"/>
    <tableColumn id="9676" name="Column9655" dataDxfId="6757" dataCellStyle="Normal"/>
    <tableColumn id="9677" name="Column9656" dataDxfId="6756" dataCellStyle="Normal"/>
    <tableColumn id="9678" name="Column9657" dataDxfId="6755" dataCellStyle="Normal"/>
    <tableColumn id="9679" name="Column9658" dataDxfId="6754" dataCellStyle="Normal"/>
    <tableColumn id="9680" name="Column9659" dataDxfId="6753" dataCellStyle="Normal"/>
    <tableColumn id="9681" name="Column9660" dataDxfId="6752" dataCellStyle="Normal"/>
    <tableColumn id="9682" name="Column9661" dataDxfId="6751" dataCellStyle="Normal"/>
    <tableColumn id="9683" name="Column9662" dataDxfId="6750" dataCellStyle="Normal"/>
    <tableColumn id="9684" name="Column9663" dataDxfId="6749" dataCellStyle="Normal"/>
    <tableColumn id="9685" name="Column9664" dataDxfId="6748" dataCellStyle="Normal"/>
    <tableColumn id="9686" name="Column9665" dataDxfId="6747" dataCellStyle="Normal"/>
    <tableColumn id="9687" name="Column9666" dataDxfId="6746" dataCellStyle="Normal"/>
    <tableColumn id="9688" name="Column9667" dataDxfId="6745" dataCellStyle="Normal"/>
    <tableColumn id="9689" name="Column9668" dataDxfId="6744" dataCellStyle="Normal"/>
    <tableColumn id="9690" name="Column9669" dataDxfId="6743" dataCellStyle="Normal"/>
    <tableColumn id="9691" name="Column9670" dataDxfId="6742" dataCellStyle="Normal"/>
    <tableColumn id="9692" name="Column9671" dataDxfId="6741" dataCellStyle="Normal"/>
    <tableColumn id="9693" name="Column9672" dataDxfId="6740" dataCellStyle="Normal"/>
    <tableColumn id="9694" name="Column9673" dataDxfId="6739" dataCellStyle="Normal"/>
    <tableColumn id="9695" name="Column9674" dataDxfId="6738" dataCellStyle="Normal"/>
    <tableColumn id="9696" name="Column9675" dataDxfId="6737" dataCellStyle="Normal"/>
    <tableColumn id="9697" name="Column9676" dataDxfId="6736" dataCellStyle="Normal"/>
    <tableColumn id="9698" name="Column9677" dataDxfId="6735" dataCellStyle="Normal"/>
    <tableColumn id="9699" name="Column9678" dataDxfId="6734" dataCellStyle="Normal"/>
    <tableColumn id="9700" name="Column9679" dataDxfId="6733" dataCellStyle="Normal"/>
    <tableColumn id="9701" name="Column9680" dataDxfId="6732" dataCellStyle="Normal"/>
    <tableColumn id="9702" name="Column9681" dataDxfId="6731" dataCellStyle="Normal"/>
    <tableColumn id="9703" name="Column9682" dataDxfId="6730" dataCellStyle="Normal"/>
    <tableColumn id="9704" name="Column9683" dataDxfId="6729" dataCellStyle="Normal"/>
    <tableColumn id="9705" name="Column9684" dataDxfId="6728" dataCellStyle="Normal"/>
    <tableColumn id="9706" name="Column9685" dataDxfId="6727" dataCellStyle="Normal"/>
    <tableColumn id="9707" name="Column9686" dataDxfId="6726" dataCellStyle="Normal"/>
    <tableColumn id="9708" name="Column9687" dataDxfId="6725" dataCellStyle="Normal"/>
    <tableColumn id="9709" name="Column9688" dataDxfId="6724" dataCellStyle="Normal"/>
    <tableColumn id="9710" name="Column9689" dataDxfId="6723" dataCellStyle="Normal"/>
    <tableColumn id="9711" name="Column9690" dataDxfId="6722" dataCellStyle="Normal"/>
    <tableColumn id="9712" name="Column9691" dataDxfId="6721" dataCellStyle="Normal"/>
    <tableColumn id="9713" name="Column9692" dataDxfId="6720" dataCellStyle="Normal"/>
    <tableColumn id="9714" name="Column9693" dataDxfId="6719" dataCellStyle="Normal"/>
    <tableColumn id="9715" name="Column9694" dataDxfId="6718" dataCellStyle="Normal"/>
    <tableColumn id="9716" name="Column9695" dataDxfId="6717" dataCellStyle="Normal"/>
    <tableColumn id="9717" name="Column9696" dataDxfId="6716" dataCellStyle="Normal"/>
    <tableColumn id="9718" name="Column9697" dataDxfId="6715" dataCellStyle="Normal"/>
    <tableColumn id="9719" name="Column9698" dataDxfId="6714" dataCellStyle="Normal"/>
    <tableColumn id="9720" name="Column9699" dataDxfId="6713" dataCellStyle="Normal"/>
    <tableColumn id="9721" name="Column9700" dataDxfId="6712" dataCellStyle="Normal"/>
    <tableColumn id="9722" name="Column9701" dataDxfId="6711" dataCellStyle="Normal"/>
    <tableColumn id="9723" name="Column9702" dataDxfId="6710" dataCellStyle="Normal"/>
    <tableColumn id="9724" name="Column9703" dataDxfId="6709" dataCellStyle="Normal"/>
    <tableColumn id="9725" name="Column9704" dataDxfId="6708" dataCellStyle="Normal"/>
    <tableColumn id="9726" name="Column9705" dataDxfId="6707" dataCellStyle="Normal"/>
    <tableColumn id="9727" name="Column9706" dataDxfId="6706" dataCellStyle="Normal"/>
    <tableColumn id="9728" name="Column9707" dataDxfId="6705" dataCellStyle="Normal"/>
    <tableColumn id="9729" name="Column9708" dataDxfId="6704" dataCellStyle="Normal"/>
    <tableColumn id="9730" name="Column9709" dataDxfId="6703" dataCellStyle="Normal"/>
    <tableColumn id="9731" name="Column9710" dataDxfId="6702" dataCellStyle="Normal"/>
    <tableColumn id="9732" name="Column9711" dataDxfId="6701" dataCellStyle="Normal"/>
    <tableColumn id="9733" name="Column9712" dataDxfId="6700" dataCellStyle="Normal"/>
    <tableColumn id="9734" name="Column9713" dataDxfId="6699" dataCellStyle="Normal"/>
    <tableColumn id="9735" name="Column9714" dataDxfId="6698" dataCellStyle="Normal"/>
    <tableColumn id="9736" name="Column9715" dataDxfId="6697" dataCellStyle="Normal"/>
    <tableColumn id="9737" name="Column9716" dataDxfId="6696" dataCellStyle="Normal"/>
    <tableColumn id="9738" name="Column9717" dataDxfId="6695" dataCellStyle="Normal"/>
    <tableColumn id="9739" name="Column9718" dataDxfId="6694" dataCellStyle="Normal"/>
    <tableColumn id="9740" name="Column9719" dataDxfId="6693" dataCellStyle="Normal"/>
    <tableColumn id="9741" name="Column9720" dataDxfId="6692" dataCellStyle="Normal"/>
    <tableColumn id="9742" name="Column9721" dataDxfId="6691" dataCellStyle="Normal"/>
    <tableColumn id="9743" name="Column9722" dataDxfId="6690" dataCellStyle="Normal"/>
    <tableColumn id="9744" name="Column9723" dataDxfId="6689" dataCellStyle="Normal"/>
    <tableColumn id="9745" name="Column9724" dataDxfId="6688" dataCellStyle="Normal"/>
    <tableColumn id="9746" name="Column9725" dataDxfId="6687" dataCellStyle="Normal"/>
    <tableColumn id="9747" name="Column9726" dataDxfId="6686" dataCellStyle="Normal"/>
    <tableColumn id="9748" name="Column9727" dataDxfId="6685" dataCellStyle="Normal"/>
    <tableColumn id="9749" name="Column9728" dataDxfId="6684" dataCellStyle="Normal"/>
    <tableColumn id="9750" name="Column9729" dataDxfId="6683" dataCellStyle="Normal"/>
    <tableColumn id="9751" name="Column9730" dataDxfId="6682" dataCellStyle="Normal"/>
    <tableColumn id="9752" name="Column9731" dataDxfId="6681" dataCellStyle="Normal"/>
    <tableColumn id="9753" name="Column9732" dataDxfId="6680" dataCellStyle="Normal"/>
    <tableColumn id="9754" name="Column9733" dataDxfId="6679" dataCellStyle="Normal"/>
    <tableColumn id="9755" name="Column9734" dataDxfId="6678" dataCellStyle="Normal"/>
    <tableColumn id="9756" name="Column9735" dataDxfId="6677" dataCellStyle="Normal"/>
    <tableColumn id="9757" name="Column9736" dataDxfId="6676" dataCellStyle="Normal"/>
    <tableColumn id="9758" name="Column9737" dataDxfId="6675" dataCellStyle="Normal"/>
    <tableColumn id="9759" name="Column9738" dataDxfId="6674" dataCellStyle="Normal"/>
    <tableColumn id="9760" name="Column9739" dataDxfId="6673" dataCellStyle="Normal"/>
    <tableColumn id="9761" name="Column9740" dataDxfId="6672" dataCellStyle="Normal"/>
    <tableColumn id="9762" name="Column9741" dataDxfId="6671" dataCellStyle="Normal"/>
    <tableColumn id="9763" name="Column9742" dataDxfId="6670" dataCellStyle="Normal"/>
    <tableColumn id="9764" name="Column9743" dataDxfId="6669" dataCellStyle="Normal"/>
    <tableColumn id="9765" name="Column9744" dataDxfId="6668" dataCellStyle="Normal"/>
    <tableColumn id="9766" name="Column9745" dataDxfId="6667" dataCellStyle="Normal"/>
    <tableColumn id="9767" name="Column9746" dataDxfId="6666" dataCellStyle="Normal"/>
    <tableColumn id="9768" name="Column9747" dataDxfId="6665" dataCellStyle="Normal"/>
    <tableColumn id="9769" name="Column9748" dataDxfId="6664" dataCellStyle="Normal"/>
    <tableColumn id="9770" name="Column9749" dataDxfId="6663" dataCellStyle="Normal"/>
    <tableColumn id="9771" name="Column9750" dataDxfId="6662" dataCellStyle="Normal"/>
    <tableColumn id="9772" name="Column9751" dataDxfId="6661" dataCellStyle="Normal"/>
    <tableColumn id="9773" name="Column9752" dataDxfId="6660" dataCellStyle="Normal"/>
    <tableColumn id="9774" name="Column9753" dataDxfId="6659" dataCellStyle="Normal"/>
    <tableColumn id="9775" name="Column9754" dataDxfId="6658" dataCellStyle="Normal"/>
    <tableColumn id="9776" name="Column9755" dataDxfId="6657" dataCellStyle="Normal"/>
    <tableColumn id="9777" name="Column9756" dataDxfId="6656" dataCellStyle="Normal"/>
    <tableColumn id="9778" name="Column9757" dataDxfId="6655" dataCellStyle="Normal"/>
    <tableColumn id="9779" name="Column9758" dataDxfId="6654" dataCellStyle="Normal"/>
    <tableColumn id="9780" name="Column9759" dataDxfId="6653" dataCellStyle="Normal"/>
    <tableColumn id="9781" name="Column9760" dataDxfId="6652" dataCellStyle="Normal"/>
    <tableColumn id="9782" name="Column9761" dataDxfId="6651" dataCellStyle="Normal"/>
    <tableColumn id="9783" name="Column9762" dataDxfId="6650" dataCellStyle="Normal"/>
    <tableColumn id="9784" name="Column9763" dataDxfId="6649" dataCellStyle="Normal"/>
    <tableColumn id="9785" name="Column9764" dataDxfId="6648" dataCellStyle="Normal"/>
    <tableColumn id="9786" name="Column9765" dataDxfId="6647" dataCellStyle="Normal"/>
    <tableColumn id="9787" name="Column9766" dataDxfId="6646" dataCellStyle="Normal"/>
    <tableColumn id="9788" name="Column9767" dataDxfId="6645" dataCellStyle="Normal"/>
    <tableColumn id="9789" name="Column9768" dataDxfId="6644" dataCellStyle="Normal"/>
    <tableColumn id="9790" name="Column9769" dataDxfId="6643" dataCellStyle="Normal"/>
    <tableColumn id="9791" name="Column9770" dataDxfId="6642" dataCellStyle="Normal"/>
    <tableColumn id="9792" name="Column9771" dataDxfId="6641" dataCellStyle="Normal"/>
    <tableColumn id="9793" name="Column9772" dataDxfId="6640" dataCellStyle="Normal"/>
    <tableColumn id="9794" name="Column9773" dataDxfId="6639" dataCellStyle="Normal"/>
    <tableColumn id="9795" name="Column9774" dataDxfId="6638" dataCellStyle="Normal"/>
    <tableColumn id="9796" name="Column9775" dataDxfId="6637" dataCellStyle="Normal"/>
    <tableColumn id="9797" name="Column9776" dataDxfId="6636" dataCellStyle="Normal"/>
    <tableColumn id="9798" name="Column9777" dataDxfId="6635" dataCellStyle="Normal"/>
    <tableColumn id="9799" name="Column9778" dataDxfId="6634" dataCellStyle="Normal"/>
    <tableColumn id="9800" name="Column9779" dataDxfId="6633" dataCellStyle="Normal"/>
    <tableColumn id="9801" name="Column9780" dataDxfId="6632" dataCellStyle="Normal"/>
    <tableColumn id="9802" name="Column9781" dataDxfId="6631" dataCellStyle="Normal"/>
    <tableColumn id="9803" name="Column9782" dataDxfId="6630" dataCellStyle="Normal"/>
    <tableColumn id="9804" name="Column9783" dataDxfId="6629" dataCellStyle="Normal"/>
    <tableColumn id="9805" name="Column9784" dataDxfId="6628" dataCellStyle="Normal"/>
    <tableColumn id="9806" name="Column9785" dataDxfId="6627" dataCellStyle="Normal"/>
    <tableColumn id="9807" name="Column9786" dataDxfId="6626" dataCellStyle="Normal"/>
    <tableColumn id="9808" name="Column9787" dataDxfId="6625" dataCellStyle="Normal"/>
    <tableColumn id="9809" name="Column9788" dataDxfId="6624" dataCellStyle="Normal"/>
    <tableColumn id="9810" name="Column9789" dataDxfId="6623" dataCellStyle="Normal"/>
    <tableColumn id="9811" name="Column9790" dataDxfId="6622" dataCellStyle="Normal"/>
    <tableColumn id="9812" name="Column9791" dataDxfId="6621" dataCellStyle="Normal"/>
    <tableColumn id="9813" name="Column9792" dataDxfId="6620" dataCellStyle="Normal"/>
    <tableColumn id="9814" name="Column9793" dataDxfId="6619" dataCellStyle="Normal"/>
    <tableColumn id="9815" name="Column9794" dataDxfId="6618" dataCellStyle="Normal"/>
    <tableColumn id="9816" name="Column9795" dataDxfId="6617" dataCellStyle="Normal"/>
    <tableColumn id="9817" name="Column9796" dataDxfId="6616" dataCellStyle="Normal"/>
    <tableColumn id="9818" name="Column9797" dataDxfId="6615" dataCellStyle="Normal"/>
    <tableColumn id="9819" name="Column9798" dataDxfId="6614" dataCellStyle="Normal"/>
    <tableColumn id="9820" name="Column9799" dataDxfId="6613" dataCellStyle="Normal"/>
    <tableColumn id="9821" name="Column9800" dataDxfId="6612" dataCellStyle="Normal"/>
    <tableColumn id="9822" name="Column9801" dataDxfId="6611" dataCellStyle="Normal"/>
    <tableColumn id="9823" name="Column9802" dataDxfId="6610" dataCellStyle="Normal"/>
    <tableColumn id="9824" name="Column9803" dataDxfId="6609" dataCellStyle="Normal"/>
    <tableColumn id="9825" name="Column9804" dataDxfId="6608" dataCellStyle="Normal"/>
    <tableColumn id="9826" name="Column9805" dataDxfId="6607" dataCellStyle="Normal"/>
    <tableColumn id="9827" name="Column9806" dataDxfId="6606" dataCellStyle="Normal"/>
    <tableColumn id="9828" name="Column9807" dataDxfId="6605" dataCellStyle="Normal"/>
    <tableColumn id="9829" name="Column9808" dataDxfId="6604" dataCellStyle="Normal"/>
    <tableColumn id="9830" name="Column9809" dataDxfId="6603" dataCellStyle="Normal"/>
    <tableColumn id="9831" name="Column9810" dataDxfId="6602" dataCellStyle="Normal"/>
    <tableColumn id="9832" name="Column9811" dataDxfId="6601" dataCellStyle="Normal"/>
    <tableColumn id="9833" name="Column9812" dataDxfId="6600" dataCellStyle="Normal"/>
    <tableColumn id="9834" name="Column9813" dataDxfId="6599" dataCellStyle="Normal"/>
    <tableColumn id="9835" name="Column9814" dataDxfId="6598" dataCellStyle="Normal"/>
    <tableColumn id="9836" name="Column9815" dataDxfId="6597" dataCellStyle="Normal"/>
    <tableColumn id="9837" name="Column9816" dataDxfId="6596" dataCellStyle="Normal"/>
    <tableColumn id="9838" name="Column9817" dataDxfId="6595" dataCellStyle="Normal"/>
    <tableColumn id="9839" name="Column9818" dataDxfId="6594" dataCellStyle="Normal"/>
    <tableColumn id="9840" name="Column9819" dataDxfId="6593" dataCellStyle="Normal"/>
    <tableColumn id="9841" name="Column9820" dataDxfId="6592" dataCellStyle="Normal"/>
    <tableColumn id="9842" name="Column9821" dataDxfId="6591" dataCellStyle="Normal"/>
    <tableColumn id="9843" name="Column9822" dataDxfId="6590" dataCellStyle="Normal"/>
    <tableColumn id="9844" name="Column9823" dataDxfId="6589" dataCellStyle="Normal"/>
    <tableColumn id="9845" name="Column9824" dataDxfId="6588" dataCellStyle="Normal"/>
    <tableColumn id="9846" name="Column9825" dataDxfId="6587" dataCellStyle="Normal"/>
    <tableColumn id="9847" name="Column9826" dataDxfId="6586" dataCellStyle="Normal"/>
    <tableColumn id="9848" name="Column9827" dataDxfId="6585" dataCellStyle="Normal"/>
    <tableColumn id="9849" name="Column9828" dataDxfId="6584" dataCellStyle="Normal"/>
    <tableColumn id="9850" name="Column9829" dataDxfId="6583" dataCellStyle="Normal"/>
    <tableColumn id="9851" name="Column9830" dataDxfId="6582" dataCellStyle="Normal"/>
    <tableColumn id="9852" name="Column9831" dataDxfId="6581" dataCellStyle="Normal"/>
    <tableColumn id="9853" name="Column9832" dataDxfId="6580" dataCellStyle="Normal"/>
    <tableColumn id="9854" name="Column9833" dataDxfId="6579" dataCellStyle="Normal"/>
    <tableColumn id="9855" name="Column9834" dataDxfId="6578" dataCellStyle="Normal"/>
    <tableColumn id="9856" name="Column9835" dataDxfId="6577" dataCellStyle="Normal"/>
    <tableColumn id="9857" name="Column9836" dataDxfId="6576" dataCellStyle="Normal"/>
    <tableColumn id="9858" name="Column9837" dataDxfId="6575" dataCellStyle="Normal"/>
    <tableColumn id="9859" name="Column9838" dataDxfId="6574" dataCellStyle="Normal"/>
    <tableColumn id="9860" name="Column9839" dataDxfId="6573" dataCellStyle="Normal"/>
    <tableColumn id="9861" name="Column9840" dataDxfId="6572" dataCellStyle="Normal"/>
    <tableColumn id="9862" name="Column9841" dataDxfId="6571" dataCellStyle="Normal"/>
    <tableColumn id="9863" name="Column9842" dataDxfId="6570" dataCellStyle="Normal"/>
    <tableColumn id="9864" name="Column9843" dataDxfId="6569" dataCellStyle="Normal"/>
    <tableColumn id="9865" name="Column9844" dataDxfId="6568" dataCellStyle="Normal"/>
    <tableColumn id="9866" name="Column9845" dataDxfId="6567" dataCellStyle="Normal"/>
    <tableColumn id="9867" name="Column9846" dataDxfId="6566" dataCellStyle="Normal"/>
    <tableColumn id="9868" name="Column9847" dataDxfId="6565" dataCellStyle="Normal"/>
    <tableColumn id="9869" name="Column9848" dataDxfId="6564" dataCellStyle="Normal"/>
    <tableColumn id="9870" name="Column9849" dataDxfId="6563" dataCellStyle="Normal"/>
    <tableColumn id="9871" name="Column9850" dataDxfId="6562" dataCellStyle="Normal"/>
    <tableColumn id="9872" name="Column9851" dataDxfId="6561" dataCellStyle="Normal"/>
    <tableColumn id="9873" name="Column9852" dataDxfId="6560" dataCellStyle="Normal"/>
    <tableColumn id="9874" name="Column9853" dataDxfId="6559" dataCellStyle="Normal"/>
    <tableColumn id="9875" name="Column9854" dataDxfId="6558" dataCellStyle="Normal"/>
    <tableColumn id="9876" name="Column9855" dataDxfId="6557" dataCellStyle="Normal"/>
    <tableColumn id="9877" name="Column9856" dataDxfId="6556" dataCellStyle="Normal"/>
    <tableColumn id="9878" name="Column9857" dataDxfId="6555" dataCellStyle="Normal"/>
    <tableColumn id="9879" name="Column9858" dataDxfId="6554" dataCellStyle="Normal"/>
    <tableColumn id="9880" name="Column9859" dataDxfId="6553" dataCellStyle="Normal"/>
    <tableColumn id="9881" name="Column9860" dataDxfId="6552" dataCellStyle="Normal"/>
    <tableColumn id="9882" name="Column9861" dataDxfId="6551" dataCellStyle="Normal"/>
    <tableColumn id="9883" name="Column9862" dataDxfId="6550" dataCellStyle="Normal"/>
    <tableColumn id="9884" name="Column9863" dataDxfId="6549" dataCellStyle="Normal"/>
    <tableColumn id="9885" name="Column9864" dataDxfId="6548" dataCellStyle="Normal"/>
    <tableColumn id="9886" name="Column9865" dataDxfId="6547" dataCellStyle="Normal"/>
    <tableColumn id="9887" name="Column9866" dataDxfId="6546" dataCellStyle="Normal"/>
    <tableColumn id="9888" name="Column9867" dataDxfId="6545" dataCellStyle="Normal"/>
    <tableColumn id="9889" name="Column9868" dataDxfId="6544" dataCellStyle="Normal"/>
    <tableColumn id="9890" name="Column9869" dataDxfId="6543" dataCellStyle="Normal"/>
    <tableColumn id="9891" name="Column9870" dataDxfId="6542" dataCellStyle="Normal"/>
    <tableColumn id="9892" name="Column9871" dataDxfId="6541" dataCellStyle="Normal"/>
    <tableColumn id="9893" name="Column9872" dataDxfId="6540" dataCellStyle="Normal"/>
    <tableColumn id="9894" name="Column9873" dataDxfId="6539" dataCellStyle="Normal"/>
    <tableColumn id="9895" name="Column9874" dataDxfId="6538" dataCellStyle="Normal"/>
    <tableColumn id="9896" name="Column9875" dataDxfId="6537" dataCellStyle="Normal"/>
    <tableColumn id="9897" name="Column9876" dataDxfId="6536" dataCellStyle="Normal"/>
    <tableColumn id="9898" name="Column9877" dataDxfId="6535" dataCellStyle="Normal"/>
    <tableColumn id="9899" name="Column9878" dataDxfId="6534" dataCellStyle="Normal"/>
    <tableColumn id="9900" name="Column9879" dataDxfId="6533" dataCellStyle="Normal"/>
    <tableColumn id="9901" name="Column9880" dataDxfId="6532" dataCellStyle="Normal"/>
    <tableColumn id="9902" name="Column9881" dataDxfId="6531" dataCellStyle="Normal"/>
    <tableColumn id="9903" name="Column9882" dataDxfId="6530" dataCellStyle="Normal"/>
    <tableColumn id="9904" name="Column9883" dataDxfId="6529" dataCellStyle="Normal"/>
    <tableColumn id="9905" name="Column9884" dataDxfId="6528" dataCellStyle="Normal"/>
    <tableColumn id="9906" name="Column9885" dataDxfId="6527" dataCellStyle="Normal"/>
    <tableColumn id="9907" name="Column9886" dataDxfId="6526" dataCellStyle="Normal"/>
    <tableColumn id="9908" name="Column9887" dataDxfId="6525" dataCellStyle="Normal"/>
    <tableColumn id="9909" name="Column9888" dataDxfId="6524" dataCellStyle="Normal"/>
    <tableColumn id="9910" name="Column9889" dataDxfId="6523" dataCellStyle="Normal"/>
    <tableColumn id="9911" name="Column9890" dataDxfId="6522" dataCellStyle="Normal"/>
    <tableColumn id="9912" name="Column9891" dataDxfId="6521" dataCellStyle="Normal"/>
    <tableColumn id="9913" name="Column9892" dataDxfId="6520" dataCellStyle="Normal"/>
    <tableColumn id="9914" name="Column9893" dataDxfId="6519" dataCellStyle="Normal"/>
    <tableColumn id="9915" name="Column9894" dataDxfId="6518" dataCellStyle="Normal"/>
    <tableColumn id="9916" name="Column9895" dataDxfId="6517" dataCellStyle="Normal"/>
    <tableColumn id="9917" name="Column9896" dataDxfId="6516" dataCellStyle="Normal"/>
    <tableColumn id="9918" name="Column9897" dataDxfId="6515" dataCellStyle="Normal"/>
    <tableColumn id="9919" name="Column9898" dataDxfId="6514" dataCellStyle="Normal"/>
    <tableColumn id="9920" name="Column9899" dataDxfId="6513" dataCellStyle="Normal"/>
    <tableColumn id="9921" name="Column9900" dataDxfId="6512" dataCellStyle="Normal"/>
    <tableColumn id="9922" name="Column9901" dataDxfId="6511" dataCellStyle="Normal"/>
    <tableColumn id="9923" name="Column9902" dataDxfId="6510" dataCellStyle="Normal"/>
    <tableColumn id="9924" name="Column9903" dataDxfId="6509" dataCellStyle="Normal"/>
    <tableColumn id="9925" name="Column9904" dataDxfId="6508" dataCellStyle="Normal"/>
    <tableColumn id="9926" name="Column9905" dataDxfId="6507" dataCellStyle="Normal"/>
    <tableColumn id="9927" name="Column9906" dataDxfId="6506" dataCellStyle="Normal"/>
    <tableColumn id="9928" name="Column9907" dataDxfId="6505" dataCellStyle="Normal"/>
    <tableColumn id="9929" name="Column9908" dataDxfId="6504" dataCellStyle="Normal"/>
    <tableColumn id="9930" name="Column9909" dataDxfId="6503" dataCellStyle="Normal"/>
    <tableColumn id="9931" name="Column9910" dataDxfId="6502" dataCellStyle="Normal"/>
    <tableColumn id="9932" name="Column9911" dataDxfId="6501" dataCellStyle="Normal"/>
    <tableColumn id="9933" name="Column9912" dataDxfId="6500" dataCellStyle="Normal"/>
    <tableColumn id="9934" name="Column9913" dataDxfId="6499" dataCellStyle="Normal"/>
    <tableColumn id="9935" name="Column9914" dataDxfId="6498" dataCellStyle="Normal"/>
    <tableColumn id="9936" name="Column9915" dataDxfId="6497" dataCellStyle="Normal"/>
    <tableColumn id="9937" name="Column9916" dataDxfId="6496" dataCellStyle="Normal"/>
    <tableColumn id="9938" name="Column9917" dataDxfId="6495" dataCellStyle="Normal"/>
    <tableColumn id="9939" name="Column9918" dataDxfId="6494" dataCellStyle="Normal"/>
    <tableColumn id="9940" name="Column9919" dataDxfId="6493" dataCellStyle="Normal"/>
    <tableColumn id="9941" name="Column9920" dataDxfId="6492" dataCellStyle="Normal"/>
    <tableColumn id="9942" name="Column9921" dataDxfId="6491" dataCellStyle="Normal"/>
    <tableColumn id="9943" name="Column9922" dataDxfId="6490" dataCellStyle="Normal"/>
    <tableColumn id="9944" name="Column9923" dataDxfId="6489" dataCellStyle="Normal"/>
    <tableColumn id="9945" name="Column9924" dataDxfId="6488" dataCellStyle="Normal"/>
    <tableColumn id="9946" name="Column9925" dataDxfId="6487" dataCellStyle="Normal"/>
    <tableColumn id="9947" name="Column9926" dataDxfId="6486" dataCellStyle="Normal"/>
    <tableColumn id="9948" name="Column9927" dataDxfId="6485" dataCellStyle="Normal"/>
    <tableColumn id="9949" name="Column9928" dataDxfId="6484" dataCellStyle="Normal"/>
    <tableColumn id="9950" name="Column9929" dataDxfId="6483" dataCellStyle="Normal"/>
    <tableColumn id="9951" name="Column9930" dataDxfId="6482" dataCellStyle="Normal"/>
    <tableColumn id="9952" name="Column9931" dataDxfId="6481" dataCellStyle="Normal"/>
    <tableColumn id="9953" name="Column9932" dataDxfId="6480" dataCellStyle="Normal"/>
    <tableColumn id="9954" name="Column9933" dataDxfId="6479" dataCellStyle="Normal"/>
    <tableColumn id="9955" name="Column9934" dataDxfId="6478" dataCellStyle="Normal"/>
    <tableColumn id="9956" name="Column9935" dataDxfId="6477" dataCellStyle="Normal"/>
    <tableColumn id="9957" name="Column9936" dataDxfId="6476" dataCellStyle="Normal"/>
    <tableColumn id="9958" name="Column9937" dataDxfId="6475" dataCellStyle="Normal"/>
    <tableColumn id="9959" name="Column9938" dataDxfId="6474" dataCellStyle="Normal"/>
    <tableColumn id="9960" name="Column9939" dataDxfId="6473" dataCellStyle="Normal"/>
    <tableColumn id="9961" name="Column9940" dataDxfId="6472" dataCellStyle="Normal"/>
    <tableColumn id="9962" name="Column9941" dataDxfId="6471" dataCellStyle="Normal"/>
    <tableColumn id="9963" name="Column9942" dataDxfId="6470" dataCellStyle="Normal"/>
    <tableColumn id="9964" name="Column9943" dataDxfId="6469" dataCellStyle="Normal"/>
    <tableColumn id="9965" name="Column9944" dataDxfId="6468" dataCellStyle="Normal"/>
    <tableColumn id="9966" name="Column9945" dataDxfId="6467" dataCellStyle="Normal"/>
    <tableColumn id="9967" name="Column9946" dataDxfId="6466" dataCellStyle="Normal"/>
    <tableColumn id="9968" name="Column9947" dataDxfId="6465" dataCellStyle="Normal"/>
    <tableColumn id="9969" name="Column9948" dataDxfId="6464" dataCellStyle="Normal"/>
    <tableColumn id="9970" name="Column9949" dataDxfId="6463" dataCellStyle="Normal"/>
    <tableColumn id="9971" name="Column9950" dataDxfId="6462" dataCellStyle="Normal"/>
    <tableColumn id="9972" name="Column9951" dataDxfId="6461" dataCellStyle="Normal"/>
    <tableColumn id="9973" name="Column9952" dataDxfId="6460" dataCellStyle="Normal"/>
    <tableColumn id="9974" name="Column9953" dataDxfId="6459" dataCellStyle="Normal"/>
    <tableColumn id="9975" name="Column9954" dataDxfId="6458" dataCellStyle="Normal"/>
    <tableColumn id="9976" name="Column9955" dataDxfId="6457" dataCellStyle="Normal"/>
    <tableColumn id="9977" name="Column9956" dataDxfId="6456" dataCellStyle="Normal"/>
    <tableColumn id="9978" name="Column9957" dataDxfId="6455" dataCellStyle="Normal"/>
    <tableColumn id="9979" name="Column9958" dataDxfId="6454" dataCellStyle="Normal"/>
    <tableColumn id="9980" name="Column9959" dataDxfId="6453" dataCellStyle="Normal"/>
    <tableColumn id="9981" name="Column9960" dataDxfId="6452" dataCellStyle="Normal"/>
    <tableColumn id="9982" name="Column9961" dataDxfId="6451" dataCellStyle="Normal"/>
    <tableColumn id="9983" name="Column9962" dataDxfId="6450" dataCellStyle="Normal"/>
    <tableColumn id="9984" name="Column9963" dataDxfId="6449" dataCellStyle="Normal"/>
    <tableColumn id="9985" name="Column9964" dataDxfId="6448" dataCellStyle="Normal"/>
    <tableColumn id="9986" name="Column9965" dataDxfId="6447" dataCellStyle="Normal"/>
    <tableColumn id="9987" name="Column9966" dataDxfId="6446" dataCellStyle="Normal"/>
    <tableColumn id="9988" name="Column9967" dataDxfId="6445" dataCellStyle="Normal"/>
    <tableColumn id="9989" name="Column9968" dataDxfId="6444" dataCellStyle="Normal"/>
    <tableColumn id="9990" name="Column9969" dataDxfId="6443" dataCellStyle="Normal"/>
    <tableColumn id="9991" name="Column9970" dataDxfId="6442" dataCellStyle="Normal"/>
    <tableColumn id="9992" name="Column9971" dataDxfId="6441" dataCellStyle="Normal"/>
    <tableColumn id="9993" name="Column9972" dataDxfId="6440" dataCellStyle="Normal"/>
    <tableColumn id="9994" name="Column9973" dataDxfId="6439" dataCellStyle="Normal"/>
    <tableColumn id="9995" name="Column9974" dataDxfId="6438" dataCellStyle="Normal"/>
    <tableColumn id="9996" name="Column9975" dataDxfId="6437" dataCellStyle="Normal"/>
    <tableColumn id="9997" name="Column9976" dataDxfId="6436" dataCellStyle="Normal"/>
    <tableColumn id="9998" name="Column9977" dataDxfId="6435" dataCellStyle="Normal"/>
    <tableColumn id="9999" name="Column9978" dataDxfId="6434" dataCellStyle="Normal"/>
    <tableColumn id="10000" name="Column9979" dataDxfId="6433" dataCellStyle="Normal"/>
    <tableColumn id="10001" name="Column9980" dataDxfId="6432" dataCellStyle="Normal"/>
    <tableColumn id="10002" name="Column9981" dataDxfId="6431" dataCellStyle="Normal"/>
    <tableColumn id="10003" name="Column9982" dataDxfId="6430" dataCellStyle="Normal"/>
    <tableColumn id="10004" name="Column9983" dataDxfId="6429" dataCellStyle="Normal"/>
    <tableColumn id="10005" name="Column9984" dataDxfId="6428" dataCellStyle="Normal"/>
    <tableColumn id="10006" name="Column9985" dataDxfId="6427" dataCellStyle="Normal"/>
    <tableColumn id="10007" name="Column9986" dataDxfId="6426" dataCellStyle="Normal"/>
    <tableColumn id="10008" name="Column9987" dataDxfId="6425" dataCellStyle="Normal"/>
    <tableColumn id="10009" name="Column9988" dataDxfId="6424" dataCellStyle="Normal"/>
    <tableColumn id="10010" name="Column9989" dataDxfId="6423" dataCellStyle="Normal"/>
    <tableColumn id="10011" name="Column9990" dataDxfId="6422" dataCellStyle="Normal"/>
    <tableColumn id="10012" name="Column9991" dataDxfId="6421" dataCellStyle="Normal"/>
    <tableColumn id="10013" name="Column9992" dataDxfId="6420" dataCellStyle="Normal"/>
    <tableColumn id="10014" name="Column9993" dataDxfId="6419" dataCellStyle="Normal"/>
    <tableColumn id="10015" name="Column9994" dataDxfId="6418" dataCellStyle="Normal"/>
    <tableColumn id="10016" name="Column9995" dataDxfId="6417" dataCellStyle="Normal"/>
    <tableColumn id="10017" name="Column9996" dataDxfId="6416" dataCellStyle="Normal"/>
    <tableColumn id="10018" name="Column9997" dataDxfId="6415" dataCellStyle="Normal"/>
    <tableColumn id="10019" name="Column9998" dataDxfId="6414" dataCellStyle="Normal"/>
    <tableColumn id="10020" name="Column9999" dataDxfId="6413" dataCellStyle="Normal"/>
    <tableColumn id="10021" name="Column10000" dataDxfId="6412" dataCellStyle="Normal"/>
    <tableColumn id="10022" name="Column10001" dataDxfId="6411" dataCellStyle="Normal"/>
    <tableColumn id="10023" name="Column10002" dataDxfId="6410" dataCellStyle="Normal"/>
    <tableColumn id="10024" name="Column10003" dataDxfId="6409" dataCellStyle="Normal"/>
    <tableColumn id="10025" name="Column10004" dataDxfId="6408" dataCellStyle="Normal"/>
    <tableColumn id="10026" name="Column10005" dataDxfId="6407" dataCellStyle="Normal"/>
    <tableColumn id="10027" name="Column10006" dataDxfId="6406" dataCellStyle="Normal"/>
    <tableColumn id="10028" name="Column10007" dataDxfId="6405" dataCellStyle="Normal"/>
    <tableColumn id="10029" name="Column10008" dataDxfId="6404" dataCellStyle="Normal"/>
    <tableColumn id="10030" name="Column10009" dataDxfId="6403" dataCellStyle="Normal"/>
    <tableColumn id="10031" name="Column10010" dataDxfId="6402" dataCellStyle="Normal"/>
    <tableColumn id="10032" name="Column10011" dataDxfId="6401" dataCellStyle="Normal"/>
    <tableColumn id="10033" name="Column10012" dataDxfId="6400" dataCellStyle="Normal"/>
    <tableColumn id="10034" name="Column10013" dataDxfId="6399" dataCellStyle="Normal"/>
    <tableColumn id="10035" name="Column10014" dataDxfId="6398" dataCellStyle="Normal"/>
    <tableColumn id="10036" name="Column10015" dataDxfId="6397" dataCellStyle="Normal"/>
    <tableColumn id="10037" name="Column10016" dataDxfId="6396" dataCellStyle="Normal"/>
    <tableColumn id="10038" name="Column10017" dataDxfId="6395" dataCellStyle="Normal"/>
    <tableColumn id="10039" name="Column10018" dataDxfId="6394" dataCellStyle="Normal"/>
    <tableColumn id="10040" name="Column10019" dataDxfId="6393" dataCellStyle="Normal"/>
    <tableColumn id="10041" name="Column10020" dataDxfId="6392" dataCellStyle="Normal"/>
    <tableColumn id="10042" name="Column10021" dataDxfId="6391" dataCellStyle="Normal"/>
    <tableColumn id="10043" name="Column10022" dataDxfId="6390" dataCellStyle="Normal"/>
    <tableColumn id="10044" name="Column10023" dataDxfId="6389" dataCellStyle="Normal"/>
    <tableColumn id="10045" name="Column10024" dataDxfId="6388" dataCellStyle="Normal"/>
    <tableColumn id="10046" name="Column10025" dataDxfId="6387" dataCellStyle="Normal"/>
    <tableColumn id="10047" name="Column10026" dataDxfId="6386" dataCellStyle="Normal"/>
    <tableColumn id="10048" name="Column10027" dataDxfId="6385" dataCellStyle="Normal"/>
    <tableColumn id="10049" name="Column10028" dataDxfId="6384" dataCellStyle="Normal"/>
    <tableColumn id="10050" name="Column10029" dataDxfId="6383" dataCellStyle="Normal"/>
    <tableColumn id="10051" name="Column10030" dataDxfId="6382" dataCellStyle="Normal"/>
    <tableColumn id="10052" name="Column10031" dataDxfId="6381" dataCellStyle="Normal"/>
    <tableColumn id="10053" name="Column10032" dataDxfId="6380" dataCellStyle="Normal"/>
    <tableColumn id="10054" name="Column10033" dataDxfId="6379" dataCellStyle="Normal"/>
    <tableColumn id="10055" name="Column10034" dataDxfId="6378" dataCellStyle="Normal"/>
    <tableColumn id="10056" name="Column10035" dataDxfId="6377" dataCellStyle="Normal"/>
    <tableColumn id="10057" name="Column10036" dataDxfId="6376" dataCellStyle="Normal"/>
    <tableColumn id="10058" name="Column10037" dataDxfId="6375" dataCellStyle="Normal"/>
    <tableColumn id="10059" name="Column10038" dataDxfId="6374" dataCellStyle="Normal"/>
    <tableColumn id="10060" name="Column10039" dataDxfId="6373" dataCellStyle="Normal"/>
    <tableColumn id="10061" name="Column10040" dataDxfId="6372" dataCellStyle="Normal"/>
    <tableColumn id="10062" name="Column10041" dataDxfId="6371" dataCellStyle="Normal"/>
    <tableColumn id="10063" name="Column10042" dataDxfId="6370" dataCellStyle="Normal"/>
    <tableColumn id="10064" name="Column10043" dataDxfId="6369" dataCellStyle="Normal"/>
    <tableColumn id="10065" name="Column10044" dataDxfId="6368" dataCellStyle="Normal"/>
    <tableColumn id="10066" name="Column10045" dataDxfId="6367" dataCellStyle="Normal"/>
    <tableColumn id="10067" name="Column10046" dataDxfId="6366" dataCellStyle="Normal"/>
    <tableColumn id="10068" name="Column10047" dataDxfId="6365" dataCellStyle="Normal"/>
    <tableColumn id="10069" name="Column10048" dataDxfId="6364" dataCellStyle="Normal"/>
    <tableColumn id="10070" name="Column10049" dataDxfId="6363" dataCellStyle="Normal"/>
    <tableColumn id="10071" name="Column10050" dataDxfId="6362" dataCellStyle="Normal"/>
    <tableColumn id="10072" name="Column10051" dataDxfId="6361" dataCellStyle="Normal"/>
    <tableColumn id="10073" name="Column10052" dataDxfId="6360" dataCellStyle="Normal"/>
    <tableColumn id="10074" name="Column10053" dataDxfId="6359" dataCellStyle="Normal"/>
    <tableColumn id="10075" name="Column10054" dataDxfId="6358" dataCellStyle="Normal"/>
    <tableColumn id="10076" name="Column10055" dataDxfId="6357" dataCellStyle="Normal"/>
    <tableColumn id="10077" name="Column10056" dataDxfId="6356" dataCellStyle="Normal"/>
    <tableColumn id="10078" name="Column10057" dataDxfId="6355" dataCellStyle="Normal"/>
    <tableColumn id="10079" name="Column10058" dataDxfId="6354" dataCellStyle="Normal"/>
    <tableColumn id="10080" name="Column10059" dataDxfId="6353" dataCellStyle="Normal"/>
    <tableColumn id="10081" name="Column10060" dataDxfId="6352" dataCellStyle="Normal"/>
    <tableColumn id="10082" name="Column10061" dataDxfId="6351" dataCellStyle="Normal"/>
    <tableColumn id="10083" name="Column10062" dataDxfId="6350" dataCellStyle="Normal"/>
    <tableColumn id="10084" name="Column10063" dataDxfId="6349" dataCellStyle="Normal"/>
    <tableColumn id="10085" name="Column10064" dataDxfId="6348" dataCellStyle="Normal"/>
    <tableColumn id="10086" name="Column10065" dataDxfId="6347" dataCellStyle="Normal"/>
    <tableColumn id="10087" name="Column10066" dataDxfId="6346" dataCellStyle="Normal"/>
    <tableColumn id="10088" name="Column10067" dataDxfId="6345" dataCellStyle="Normal"/>
    <tableColumn id="10089" name="Column10068" dataDxfId="6344" dataCellStyle="Normal"/>
    <tableColumn id="10090" name="Column10069" dataDxfId="6343" dataCellStyle="Normal"/>
    <tableColumn id="10091" name="Column10070" dataDxfId="6342" dataCellStyle="Normal"/>
    <tableColumn id="10092" name="Column10071" dataDxfId="6341" dataCellStyle="Normal"/>
    <tableColumn id="10093" name="Column10072" dataDxfId="6340" dataCellStyle="Normal"/>
    <tableColumn id="10094" name="Column10073" dataDxfId="6339" dataCellStyle="Normal"/>
    <tableColumn id="10095" name="Column10074" dataDxfId="6338" dataCellStyle="Normal"/>
    <tableColumn id="10096" name="Column10075" dataDxfId="6337" dataCellStyle="Normal"/>
    <tableColumn id="10097" name="Column10076" dataDxfId="6336" dataCellStyle="Normal"/>
    <tableColumn id="10098" name="Column10077" dataDxfId="6335" dataCellStyle="Normal"/>
    <tableColumn id="10099" name="Column10078" dataDxfId="6334" dataCellStyle="Normal"/>
    <tableColumn id="10100" name="Column10079" dataDxfId="6333" dataCellStyle="Normal"/>
    <tableColumn id="10101" name="Column10080" dataDxfId="6332" dataCellStyle="Normal"/>
    <tableColumn id="10102" name="Column10081" dataDxfId="6331" dataCellStyle="Normal"/>
    <tableColumn id="10103" name="Column10082" dataDxfId="6330" dataCellStyle="Normal"/>
    <tableColumn id="10104" name="Column10083" dataDxfId="6329" dataCellStyle="Normal"/>
    <tableColumn id="10105" name="Column10084" dataDxfId="6328" dataCellStyle="Normal"/>
    <tableColumn id="10106" name="Column10085" dataDxfId="6327" dataCellStyle="Normal"/>
    <tableColumn id="10107" name="Column10086" dataDxfId="6326" dataCellStyle="Normal"/>
    <tableColumn id="10108" name="Column10087" dataDxfId="6325" dataCellStyle="Normal"/>
    <tableColumn id="10109" name="Column10088" dataDxfId="6324" dataCellStyle="Normal"/>
    <tableColumn id="10110" name="Column10089" dataDxfId="6323" dataCellStyle="Normal"/>
    <tableColumn id="10111" name="Column10090" dataDxfId="6322" dataCellStyle="Normal"/>
    <tableColumn id="10112" name="Column10091" dataDxfId="6321" dataCellStyle="Normal"/>
    <tableColumn id="10113" name="Column10092" dataDxfId="6320" dataCellStyle="Normal"/>
    <tableColumn id="10114" name="Column10093" dataDxfId="6319" dataCellStyle="Normal"/>
    <tableColumn id="10115" name="Column10094" dataDxfId="6318" dataCellStyle="Normal"/>
    <tableColumn id="10116" name="Column10095" dataDxfId="6317" dataCellStyle="Normal"/>
    <tableColumn id="10117" name="Column10096" dataDxfId="6316" dataCellStyle="Normal"/>
    <tableColumn id="10118" name="Column10097" dataDxfId="6315" dataCellStyle="Normal"/>
    <tableColumn id="10119" name="Column10098" dataDxfId="6314" dataCellStyle="Normal"/>
    <tableColumn id="10120" name="Column10099" dataDxfId="6313" dataCellStyle="Normal"/>
    <tableColumn id="10121" name="Column10100" dataDxfId="6312" dataCellStyle="Normal"/>
    <tableColumn id="10122" name="Column10101" dataDxfId="6311" dataCellStyle="Normal"/>
    <tableColumn id="10123" name="Column10102" dataDxfId="6310" dataCellStyle="Normal"/>
    <tableColumn id="10124" name="Column10103" dataDxfId="6309" dataCellStyle="Normal"/>
    <tableColumn id="10125" name="Column10104" dataDxfId="6308" dataCellStyle="Normal"/>
    <tableColumn id="10126" name="Column10105" dataDxfId="6307" dataCellStyle="Normal"/>
    <tableColumn id="10127" name="Column10106" dataDxfId="6306" dataCellStyle="Normal"/>
    <tableColumn id="10128" name="Column10107" dataDxfId="6305" dataCellStyle="Normal"/>
    <tableColumn id="10129" name="Column10108" dataDxfId="6304" dataCellStyle="Normal"/>
    <tableColumn id="10130" name="Column10109" dataDxfId="6303" dataCellStyle="Normal"/>
    <tableColumn id="10131" name="Column10110" dataDxfId="6302" dataCellStyle="Normal"/>
    <tableColumn id="10132" name="Column10111" dataDxfId="6301" dataCellStyle="Normal"/>
    <tableColumn id="10133" name="Column10112" dataDxfId="6300" dataCellStyle="Normal"/>
    <tableColumn id="10134" name="Column10113" dataDxfId="6299" dataCellStyle="Normal"/>
    <tableColumn id="10135" name="Column10114" dataDxfId="6298" dataCellStyle="Normal"/>
    <tableColumn id="10136" name="Column10115" dataDxfId="6297" dataCellStyle="Normal"/>
    <tableColumn id="10137" name="Column10116" dataDxfId="6296" dataCellStyle="Normal"/>
    <tableColumn id="10138" name="Column10117" dataDxfId="6295" dataCellStyle="Normal"/>
    <tableColumn id="10139" name="Column10118" dataDxfId="6294" dataCellStyle="Normal"/>
    <tableColumn id="10140" name="Column10119" dataDxfId="6293" dataCellStyle="Normal"/>
    <tableColumn id="10141" name="Column10120" dataDxfId="6292" dataCellStyle="Normal"/>
    <tableColumn id="10142" name="Column10121" dataDxfId="6291" dataCellStyle="Normal"/>
    <tableColumn id="10143" name="Column10122" dataDxfId="6290" dataCellStyle="Normal"/>
    <tableColumn id="10144" name="Column10123" dataDxfId="6289" dataCellStyle="Normal"/>
    <tableColumn id="10145" name="Column10124" dataDxfId="6288" dataCellStyle="Normal"/>
    <tableColumn id="10146" name="Column10125" dataDxfId="6287" dataCellStyle="Normal"/>
    <tableColumn id="10147" name="Column10126" dataDxfId="6286" dataCellStyle="Normal"/>
    <tableColumn id="10148" name="Column10127" dataDxfId="6285" dataCellStyle="Normal"/>
    <tableColumn id="10149" name="Column10128" dataDxfId="6284" dataCellStyle="Normal"/>
    <tableColumn id="10150" name="Column10129" dataDxfId="6283" dataCellStyle="Normal"/>
    <tableColumn id="10151" name="Column10130" dataDxfId="6282" dataCellStyle="Normal"/>
    <tableColumn id="10152" name="Column10131" dataDxfId="6281" dataCellStyle="Normal"/>
    <tableColumn id="10153" name="Column10132" dataDxfId="6280" dataCellStyle="Normal"/>
    <tableColumn id="10154" name="Column10133" dataDxfId="6279" dataCellStyle="Normal"/>
    <tableColumn id="10155" name="Column10134" dataDxfId="6278" dataCellStyle="Normal"/>
    <tableColumn id="10156" name="Column10135" dataDxfId="6277" dataCellStyle="Normal"/>
    <tableColumn id="10157" name="Column10136" dataDxfId="6276" dataCellStyle="Normal"/>
    <tableColumn id="10158" name="Column10137" dataDxfId="6275" dataCellStyle="Normal"/>
    <tableColumn id="10159" name="Column10138" dataDxfId="6274" dataCellStyle="Normal"/>
    <tableColumn id="10160" name="Column10139" dataDxfId="6273" dataCellStyle="Normal"/>
    <tableColumn id="10161" name="Column10140" dataDxfId="6272" dataCellStyle="Normal"/>
    <tableColumn id="10162" name="Column10141" dataDxfId="6271" dataCellStyle="Normal"/>
    <tableColumn id="10163" name="Column10142" dataDxfId="6270" dataCellStyle="Normal"/>
    <tableColumn id="10164" name="Column10143" dataDxfId="6269" dataCellStyle="Normal"/>
    <tableColumn id="10165" name="Column10144" dataDxfId="6268" dataCellStyle="Normal"/>
    <tableColumn id="10166" name="Column10145" dataDxfId="6267" dataCellStyle="Normal"/>
    <tableColumn id="10167" name="Column10146" dataDxfId="6266" dataCellStyle="Normal"/>
    <tableColumn id="10168" name="Column10147" dataDxfId="6265" dataCellStyle="Normal"/>
    <tableColumn id="10169" name="Column10148" dataDxfId="6264" dataCellStyle="Normal"/>
    <tableColumn id="10170" name="Column10149" dataDxfId="6263" dataCellStyle="Normal"/>
    <tableColumn id="10171" name="Column10150" dataDxfId="6262" dataCellStyle="Normal"/>
    <tableColumn id="10172" name="Column10151" dataDxfId="6261" dataCellStyle="Normal"/>
    <tableColumn id="10173" name="Column10152" dataDxfId="6260" dataCellStyle="Normal"/>
    <tableColumn id="10174" name="Column10153" dataDxfId="6259" dataCellStyle="Normal"/>
    <tableColumn id="10175" name="Column10154" dataDxfId="6258" dataCellStyle="Normal"/>
    <tableColumn id="10176" name="Column10155" dataDxfId="6257" dataCellStyle="Normal"/>
    <tableColumn id="10177" name="Column10156" dataDxfId="6256" dataCellStyle="Normal"/>
    <tableColumn id="10178" name="Column10157" dataDxfId="6255" dataCellStyle="Normal"/>
    <tableColumn id="10179" name="Column10158" dataDxfId="6254" dataCellStyle="Normal"/>
    <tableColumn id="10180" name="Column10159" dataDxfId="6253" dataCellStyle="Normal"/>
    <tableColumn id="10181" name="Column10160" dataDxfId="6252" dataCellStyle="Normal"/>
    <tableColumn id="10182" name="Column10161" dataDxfId="6251" dataCellStyle="Normal"/>
    <tableColumn id="10183" name="Column10162" dataDxfId="6250" dataCellStyle="Normal"/>
    <tableColumn id="10184" name="Column10163" dataDxfId="6249" dataCellStyle="Normal"/>
    <tableColumn id="10185" name="Column10164" dataDxfId="6248" dataCellStyle="Normal"/>
    <tableColumn id="10186" name="Column10165" dataDxfId="6247" dataCellStyle="Normal"/>
    <tableColumn id="10187" name="Column10166" dataDxfId="6246" dataCellStyle="Normal"/>
    <tableColumn id="10188" name="Column10167" dataDxfId="6245" dataCellStyle="Normal"/>
    <tableColumn id="10189" name="Column10168" dataDxfId="6244" dataCellStyle="Normal"/>
    <tableColumn id="10190" name="Column10169" dataDxfId="6243" dataCellStyle="Normal"/>
    <tableColumn id="10191" name="Column10170" dataDxfId="6242" dataCellStyle="Normal"/>
    <tableColumn id="10192" name="Column10171" dataDxfId="6241" dataCellStyle="Normal"/>
    <tableColumn id="10193" name="Column10172" dataDxfId="6240" dataCellStyle="Normal"/>
    <tableColumn id="10194" name="Column10173" dataDxfId="6239" dataCellStyle="Normal"/>
    <tableColumn id="10195" name="Column10174" dataDxfId="6238" dataCellStyle="Normal"/>
    <tableColumn id="10196" name="Column10175" dataDxfId="6237" dataCellStyle="Normal"/>
    <tableColumn id="10197" name="Column10176" dataDxfId="6236" dataCellStyle="Normal"/>
    <tableColumn id="10198" name="Column10177" dataDxfId="6235" dataCellStyle="Normal"/>
    <tableColumn id="10199" name="Column10178" dataDxfId="6234" dataCellStyle="Normal"/>
    <tableColumn id="10200" name="Column10179" dataDxfId="6233" dataCellStyle="Normal"/>
    <tableColumn id="10201" name="Column10180" dataDxfId="6232" dataCellStyle="Normal"/>
    <tableColumn id="10202" name="Column10181" dataDxfId="6231" dataCellStyle="Normal"/>
    <tableColumn id="10203" name="Column10182" dataDxfId="6230" dataCellStyle="Normal"/>
    <tableColumn id="10204" name="Column10183" dataDxfId="6229" dataCellStyle="Normal"/>
    <tableColumn id="10205" name="Column10184" dataDxfId="6228" dataCellStyle="Normal"/>
    <tableColumn id="10206" name="Column10185" dataDxfId="6227" dataCellStyle="Normal"/>
    <tableColumn id="10207" name="Column10186" dataDxfId="6226" dataCellStyle="Normal"/>
    <tableColumn id="10208" name="Column10187" dataDxfId="6225" dataCellStyle="Normal"/>
    <tableColumn id="10209" name="Column10188" dataDxfId="6224" dataCellStyle="Normal"/>
    <tableColumn id="10210" name="Column10189" dataDxfId="6223" dataCellStyle="Normal"/>
    <tableColumn id="10211" name="Column10190" dataDxfId="6222" dataCellStyle="Normal"/>
    <tableColumn id="10212" name="Column10191" dataDxfId="6221" dataCellStyle="Normal"/>
    <tableColumn id="10213" name="Column10192" dataDxfId="6220" dataCellStyle="Normal"/>
    <tableColumn id="10214" name="Column10193" dataDxfId="6219" dataCellStyle="Normal"/>
    <tableColumn id="10215" name="Column10194" dataDxfId="6218" dataCellStyle="Normal"/>
    <tableColumn id="10216" name="Column10195" dataDxfId="6217" dataCellStyle="Normal"/>
    <tableColumn id="10217" name="Column10196" dataDxfId="6216" dataCellStyle="Normal"/>
    <tableColumn id="10218" name="Column10197" dataDxfId="6215" dataCellStyle="Normal"/>
    <tableColumn id="10219" name="Column10198" dataDxfId="6214" dataCellStyle="Normal"/>
    <tableColumn id="10220" name="Column10199" dataDxfId="6213" dataCellStyle="Normal"/>
    <tableColumn id="10221" name="Column10200" dataDxfId="6212" dataCellStyle="Normal"/>
    <tableColumn id="10222" name="Column10201" dataDxfId="6211" dataCellStyle="Normal"/>
    <tableColumn id="10223" name="Column10202" dataDxfId="6210" dataCellStyle="Normal"/>
    <tableColumn id="10224" name="Column10203" dataDxfId="6209" dataCellStyle="Normal"/>
    <tableColumn id="10225" name="Column10204" dataDxfId="6208" dataCellStyle="Normal"/>
    <tableColumn id="10226" name="Column10205" dataDxfId="6207" dataCellStyle="Normal"/>
    <tableColumn id="10227" name="Column10206" dataDxfId="6206" dataCellStyle="Normal"/>
    <tableColumn id="10228" name="Column10207" dataDxfId="6205" dataCellStyle="Normal"/>
    <tableColumn id="10229" name="Column10208" dataDxfId="6204" dataCellStyle="Normal"/>
    <tableColumn id="10230" name="Column10209" dataDxfId="6203" dataCellStyle="Normal"/>
    <tableColumn id="10231" name="Column10210" dataDxfId="6202" dataCellStyle="Normal"/>
    <tableColumn id="10232" name="Column10211" dataDxfId="6201" dataCellStyle="Normal"/>
    <tableColumn id="10233" name="Column10212" dataDxfId="6200" dataCellStyle="Normal"/>
    <tableColumn id="10234" name="Column10213" dataDxfId="6199" dataCellStyle="Normal"/>
    <tableColumn id="10235" name="Column10214" dataDxfId="6198" dataCellStyle="Normal"/>
    <tableColumn id="10236" name="Column10215" dataDxfId="6197" dataCellStyle="Normal"/>
    <tableColumn id="10237" name="Column10216" dataDxfId="6196" dataCellStyle="Normal"/>
    <tableColumn id="10238" name="Column10217" dataDxfId="6195" dataCellStyle="Normal"/>
    <tableColumn id="10239" name="Column10218" dataDxfId="6194" dataCellStyle="Normal"/>
    <tableColumn id="10240" name="Column10219" dataDxfId="6193" dataCellStyle="Normal"/>
    <tableColumn id="10241" name="Column10220" dataDxfId="6192" dataCellStyle="Normal"/>
    <tableColumn id="10242" name="Column10221" dataDxfId="6191" dataCellStyle="Normal"/>
    <tableColumn id="10243" name="Column10222" dataDxfId="6190" dataCellStyle="Normal"/>
    <tableColumn id="10244" name="Column10223" dataDxfId="6189" dataCellStyle="Normal"/>
    <tableColumn id="10245" name="Column10224" dataDxfId="6188" dataCellStyle="Normal"/>
    <tableColumn id="10246" name="Column10225" dataDxfId="6187" dataCellStyle="Normal"/>
    <tableColumn id="10247" name="Column10226" dataDxfId="6186" dataCellStyle="Normal"/>
    <tableColumn id="10248" name="Column10227" dataDxfId="6185" dataCellStyle="Normal"/>
    <tableColumn id="10249" name="Column10228" dataDxfId="6184" dataCellStyle="Normal"/>
    <tableColumn id="10250" name="Column10229" dataDxfId="6183" dataCellStyle="Normal"/>
    <tableColumn id="10251" name="Column10230" dataDxfId="6182" dataCellStyle="Normal"/>
    <tableColumn id="10252" name="Column10231" dataDxfId="6181" dataCellStyle="Normal"/>
    <tableColumn id="10253" name="Column10232" dataDxfId="6180" dataCellStyle="Normal"/>
    <tableColumn id="10254" name="Column10233" dataDxfId="6179" dataCellStyle="Normal"/>
    <tableColumn id="10255" name="Column10234" dataDxfId="6178" dataCellStyle="Normal"/>
    <tableColumn id="10256" name="Column10235" dataDxfId="6177" dataCellStyle="Normal"/>
    <tableColumn id="10257" name="Column10236" dataDxfId="6176" dataCellStyle="Normal"/>
    <tableColumn id="10258" name="Column10237" dataDxfId="6175" dataCellStyle="Normal"/>
    <tableColumn id="10259" name="Column10238" dataDxfId="6174" dataCellStyle="Normal"/>
    <tableColumn id="10260" name="Column10239" dataDxfId="6173" dataCellStyle="Normal"/>
    <tableColumn id="10261" name="Column10240" dataDxfId="6172" dataCellStyle="Normal"/>
    <tableColumn id="10262" name="Column10241" dataDxfId="6171" dataCellStyle="Normal"/>
    <tableColumn id="10263" name="Column10242" dataDxfId="6170" dataCellStyle="Normal"/>
    <tableColumn id="10264" name="Column10243" dataDxfId="6169" dataCellStyle="Normal"/>
    <tableColumn id="10265" name="Column10244" dataDxfId="6168" dataCellStyle="Normal"/>
    <tableColumn id="10266" name="Column10245" dataDxfId="6167" dataCellStyle="Normal"/>
    <tableColumn id="10267" name="Column10246" dataDxfId="6166" dataCellStyle="Normal"/>
    <tableColumn id="10268" name="Column10247" dataDxfId="6165" dataCellStyle="Normal"/>
    <tableColumn id="10269" name="Column10248" dataDxfId="6164" dataCellStyle="Normal"/>
    <tableColumn id="10270" name="Column10249" dataDxfId="6163" dataCellStyle="Normal"/>
    <tableColumn id="10271" name="Column10250" dataDxfId="6162" dataCellStyle="Normal"/>
    <tableColumn id="10272" name="Column10251" dataDxfId="6161" dataCellStyle="Normal"/>
    <tableColumn id="10273" name="Column10252" dataDxfId="6160" dataCellStyle="Normal"/>
    <tableColumn id="10274" name="Column10253" dataDxfId="6159" dataCellStyle="Normal"/>
    <tableColumn id="10275" name="Column10254" dataDxfId="6158" dataCellStyle="Normal"/>
    <tableColumn id="10276" name="Column10255" dataDxfId="6157" dataCellStyle="Normal"/>
    <tableColumn id="10277" name="Column10256" dataDxfId="6156" dataCellStyle="Normal"/>
    <tableColumn id="10278" name="Column10257" dataDxfId="6155" dataCellStyle="Normal"/>
    <tableColumn id="10279" name="Column10258" dataDxfId="6154" dataCellStyle="Normal"/>
    <tableColumn id="10280" name="Column10259" dataDxfId="6153" dataCellStyle="Normal"/>
    <tableColumn id="10281" name="Column10260" dataDxfId="6152" dataCellStyle="Normal"/>
    <tableColumn id="10282" name="Column10261" dataDxfId="6151" dataCellStyle="Normal"/>
    <tableColumn id="10283" name="Column10262" dataDxfId="6150" dataCellStyle="Normal"/>
    <tableColumn id="10284" name="Column10263" dataDxfId="6149" dataCellStyle="Normal"/>
    <tableColumn id="10285" name="Column10264" dataDxfId="6148" dataCellStyle="Normal"/>
    <tableColumn id="10286" name="Column10265" dataDxfId="6147" dataCellStyle="Normal"/>
    <tableColumn id="10287" name="Column10266" dataDxfId="6146" dataCellStyle="Normal"/>
    <tableColumn id="10288" name="Column10267" dataDxfId="6145" dataCellStyle="Normal"/>
    <tableColumn id="10289" name="Column10268" dataDxfId="6144" dataCellStyle="Normal"/>
    <tableColumn id="10290" name="Column10269" dataDxfId="6143" dataCellStyle="Normal"/>
    <tableColumn id="10291" name="Column10270" dataDxfId="6142" dataCellStyle="Normal"/>
    <tableColumn id="10292" name="Column10271" dataDxfId="6141" dataCellStyle="Normal"/>
    <tableColumn id="10293" name="Column10272" dataDxfId="6140" dataCellStyle="Normal"/>
    <tableColumn id="10294" name="Column10273" dataDxfId="6139" dataCellStyle="Normal"/>
    <tableColumn id="10295" name="Column10274" dataDxfId="6138" dataCellStyle="Normal"/>
    <tableColumn id="10296" name="Column10275" dataDxfId="6137" dataCellStyle="Normal"/>
    <tableColumn id="10297" name="Column10276" dataDxfId="6136" dataCellStyle="Normal"/>
    <tableColumn id="10298" name="Column10277" dataDxfId="6135" dataCellStyle="Normal"/>
    <tableColumn id="10299" name="Column10278" dataDxfId="6134" dataCellStyle="Normal"/>
    <tableColumn id="10300" name="Column10279" dataDxfId="6133" dataCellStyle="Normal"/>
    <tableColumn id="10301" name="Column10280" dataDxfId="6132" dataCellStyle="Normal"/>
    <tableColumn id="10302" name="Column10281" dataDxfId="6131" dataCellStyle="Normal"/>
    <tableColumn id="10303" name="Column10282" dataDxfId="6130" dataCellStyle="Normal"/>
    <tableColumn id="10304" name="Column10283" dataDxfId="6129" dataCellStyle="Normal"/>
    <tableColumn id="10305" name="Column10284" dataDxfId="6128" dataCellStyle="Normal"/>
    <tableColumn id="10306" name="Column10285" dataDxfId="6127" dataCellStyle="Normal"/>
    <tableColumn id="10307" name="Column10286" dataDxfId="6126" dataCellStyle="Normal"/>
    <tableColumn id="10308" name="Column10287" dataDxfId="6125" dataCellStyle="Normal"/>
    <tableColumn id="10309" name="Column10288" dataDxfId="6124" dataCellStyle="Normal"/>
    <tableColumn id="10310" name="Column10289" dataDxfId="6123" dataCellStyle="Normal"/>
    <tableColumn id="10311" name="Column10290" dataDxfId="6122" dataCellStyle="Normal"/>
    <tableColumn id="10312" name="Column10291" dataDxfId="6121" dataCellStyle="Normal"/>
    <tableColumn id="10313" name="Column10292" dataDxfId="6120" dataCellStyle="Normal"/>
    <tableColumn id="10314" name="Column10293" dataDxfId="6119" dataCellStyle="Normal"/>
    <tableColumn id="10315" name="Column10294" dataDxfId="6118" dataCellStyle="Normal"/>
    <tableColumn id="10316" name="Column10295" dataDxfId="6117" dataCellStyle="Normal"/>
    <tableColumn id="10317" name="Column10296" dataDxfId="6116" dataCellStyle="Normal"/>
    <tableColumn id="10318" name="Column10297" dataDxfId="6115" dataCellStyle="Normal"/>
    <tableColumn id="10319" name="Column10298" dataDxfId="6114" dataCellStyle="Normal"/>
    <tableColumn id="10320" name="Column10299" dataDxfId="6113" dataCellStyle="Normal"/>
    <tableColumn id="10321" name="Column10300" dataDxfId="6112" dataCellStyle="Normal"/>
    <tableColumn id="10322" name="Column10301" dataDxfId="6111" dataCellStyle="Normal"/>
    <tableColumn id="10323" name="Column10302" dataDxfId="6110" dataCellStyle="Normal"/>
    <tableColumn id="10324" name="Column10303" dataDxfId="6109" dataCellStyle="Normal"/>
    <tableColumn id="10325" name="Column10304" dataDxfId="6108" dataCellStyle="Normal"/>
    <tableColumn id="10326" name="Column10305" dataDxfId="6107" dataCellStyle="Normal"/>
    <tableColumn id="10327" name="Column10306" dataDxfId="6106" dataCellStyle="Normal"/>
    <tableColumn id="10328" name="Column10307" dataDxfId="6105" dataCellStyle="Normal"/>
    <tableColumn id="10329" name="Column10308" dataDxfId="6104" dataCellStyle="Normal"/>
    <tableColumn id="10330" name="Column10309" dataDxfId="6103" dataCellStyle="Normal"/>
    <tableColumn id="10331" name="Column10310" dataDxfId="6102" dataCellStyle="Normal"/>
    <tableColumn id="10332" name="Column10311" dataDxfId="6101" dataCellStyle="Normal"/>
    <tableColumn id="10333" name="Column10312" dataDxfId="6100" dataCellStyle="Normal"/>
    <tableColumn id="10334" name="Column10313" dataDxfId="6099" dataCellStyle="Normal"/>
    <tableColumn id="10335" name="Column10314" dataDxfId="6098" dataCellStyle="Normal"/>
    <tableColumn id="10336" name="Column10315" dataDxfId="6097" dataCellStyle="Normal"/>
    <tableColumn id="10337" name="Column10316" dataDxfId="6096" dataCellStyle="Normal"/>
    <tableColumn id="10338" name="Column10317" dataDxfId="6095" dataCellStyle="Normal"/>
    <tableColumn id="10339" name="Column10318" dataDxfId="6094" dataCellStyle="Normal"/>
    <tableColumn id="10340" name="Column10319" dataDxfId="6093" dataCellStyle="Normal"/>
    <tableColumn id="10341" name="Column10320" dataDxfId="6092" dataCellStyle="Normal"/>
    <tableColumn id="10342" name="Column10321" dataDxfId="6091" dataCellStyle="Normal"/>
    <tableColumn id="10343" name="Column10322" dataDxfId="6090" dataCellStyle="Normal"/>
    <tableColumn id="10344" name="Column10323" dataDxfId="6089" dataCellStyle="Normal"/>
    <tableColumn id="10345" name="Column10324" dataDxfId="6088" dataCellStyle="Normal"/>
    <tableColumn id="10346" name="Column10325" dataDxfId="6087" dataCellStyle="Normal"/>
    <tableColumn id="10347" name="Column10326" dataDxfId="6086" dataCellStyle="Normal"/>
    <tableColumn id="10348" name="Column10327" dataDxfId="6085" dataCellStyle="Normal"/>
    <tableColumn id="10349" name="Column10328" dataDxfId="6084" dataCellStyle="Normal"/>
    <tableColumn id="10350" name="Column10329" dataDxfId="6083" dataCellStyle="Normal"/>
    <tableColumn id="10351" name="Column10330" dataDxfId="6082" dataCellStyle="Normal"/>
    <tableColumn id="10352" name="Column10331" dataDxfId="6081" dataCellStyle="Normal"/>
    <tableColumn id="10353" name="Column10332" dataDxfId="6080" dataCellStyle="Normal"/>
    <tableColumn id="10354" name="Column10333" dataDxfId="6079" dataCellStyle="Normal"/>
    <tableColumn id="10355" name="Column10334" dataDxfId="6078" dataCellStyle="Normal"/>
    <tableColumn id="10356" name="Column10335" dataDxfId="6077" dataCellStyle="Normal"/>
    <tableColumn id="10357" name="Column10336" dataDxfId="6076" dataCellStyle="Normal"/>
    <tableColumn id="10358" name="Column10337" dataDxfId="6075" dataCellStyle="Normal"/>
    <tableColumn id="10359" name="Column10338" dataDxfId="6074" dataCellStyle="Normal"/>
    <tableColumn id="10360" name="Column10339" dataDxfId="6073" dataCellStyle="Normal"/>
    <tableColumn id="10361" name="Column10340" dataDxfId="6072" dataCellStyle="Normal"/>
    <tableColumn id="10362" name="Column10341" dataDxfId="6071" dataCellStyle="Normal"/>
    <tableColumn id="10363" name="Column10342" dataDxfId="6070" dataCellStyle="Normal"/>
    <tableColumn id="10364" name="Column10343" dataDxfId="6069" dataCellStyle="Normal"/>
    <tableColumn id="10365" name="Column10344" dataDxfId="6068" dataCellStyle="Normal"/>
    <tableColumn id="10366" name="Column10345" dataDxfId="6067" dataCellStyle="Normal"/>
    <tableColumn id="10367" name="Column10346" dataDxfId="6066" dataCellStyle="Normal"/>
    <tableColumn id="10368" name="Column10347" dataDxfId="6065" dataCellStyle="Normal"/>
    <tableColumn id="10369" name="Column10348" dataDxfId="6064" dataCellStyle="Normal"/>
    <tableColumn id="10370" name="Column10349" dataDxfId="6063" dataCellStyle="Normal"/>
    <tableColumn id="10371" name="Column10350" dataDxfId="6062" dataCellStyle="Normal"/>
    <tableColumn id="10372" name="Column10351" dataDxfId="6061" dataCellStyle="Normal"/>
    <tableColumn id="10373" name="Column10352" dataDxfId="6060" dataCellStyle="Normal"/>
    <tableColumn id="10374" name="Column10353" dataDxfId="6059" dataCellStyle="Normal"/>
    <tableColumn id="10375" name="Column10354" dataDxfId="6058" dataCellStyle="Normal"/>
    <tableColumn id="10376" name="Column10355" dataDxfId="6057" dataCellStyle="Normal"/>
    <tableColumn id="10377" name="Column10356" dataDxfId="6056" dataCellStyle="Normal"/>
    <tableColumn id="10378" name="Column10357" dataDxfId="6055" dataCellStyle="Normal"/>
    <tableColumn id="10379" name="Column10358" dataDxfId="6054" dataCellStyle="Normal"/>
    <tableColumn id="10380" name="Column10359" dataDxfId="6053" dataCellStyle="Normal"/>
    <tableColumn id="10381" name="Column10360" dataDxfId="6052" dataCellStyle="Normal"/>
    <tableColumn id="10382" name="Column10361" dataDxfId="6051" dataCellStyle="Normal"/>
    <tableColumn id="10383" name="Column10362" dataDxfId="6050" dataCellStyle="Normal"/>
    <tableColumn id="10384" name="Column10363" dataDxfId="6049" dataCellStyle="Normal"/>
    <tableColumn id="10385" name="Column10364" dataDxfId="6048" dataCellStyle="Normal"/>
    <tableColumn id="10386" name="Column10365" dataDxfId="6047" dataCellStyle="Normal"/>
    <tableColumn id="10387" name="Column10366" dataDxfId="6046" dataCellStyle="Normal"/>
    <tableColumn id="10388" name="Column10367" dataDxfId="6045" dataCellStyle="Normal"/>
    <tableColumn id="10389" name="Column10368" dataDxfId="6044" dataCellStyle="Normal"/>
    <tableColumn id="10390" name="Column10369" dataDxfId="6043" dataCellStyle="Normal"/>
    <tableColumn id="10391" name="Column10370" dataDxfId="6042" dataCellStyle="Normal"/>
    <tableColumn id="10392" name="Column10371" dataDxfId="6041" dataCellStyle="Normal"/>
    <tableColumn id="10393" name="Column10372" dataDxfId="6040" dataCellStyle="Normal"/>
    <tableColumn id="10394" name="Column10373" dataDxfId="6039" dataCellStyle="Normal"/>
    <tableColumn id="10395" name="Column10374" dataDxfId="6038" dataCellStyle="Normal"/>
    <tableColumn id="10396" name="Column10375" dataDxfId="6037" dataCellStyle="Normal"/>
    <tableColumn id="10397" name="Column10376" dataDxfId="6036" dataCellStyle="Normal"/>
    <tableColumn id="10398" name="Column10377" dataDxfId="6035" dataCellStyle="Normal"/>
    <tableColumn id="10399" name="Column10378" dataDxfId="6034" dataCellStyle="Normal"/>
    <tableColumn id="10400" name="Column10379" dataDxfId="6033" dataCellStyle="Normal"/>
    <tableColumn id="10401" name="Column10380" dataDxfId="6032" dataCellStyle="Normal"/>
    <tableColumn id="10402" name="Column10381" dataDxfId="6031" dataCellStyle="Normal"/>
    <tableColumn id="10403" name="Column10382" dataDxfId="6030" dataCellStyle="Normal"/>
    <tableColumn id="10404" name="Column10383" dataDxfId="6029" dataCellStyle="Normal"/>
    <tableColumn id="10405" name="Column10384" dataDxfId="6028" dataCellStyle="Normal"/>
    <tableColumn id="10406" name="Column10385" dataDxfId="6027" dataCellStyle="Normal"/>
    <tableColumn id="10407" name="Column10386" dataDxfId="6026" dataCellStyle="Normal"/>
    <tableColumn id="10408" name="Column10387" dataDxfId="6025" dataCellStyle="Normal"/>
    <tableColumn id="10409" name="Column10388" dataDxfId="6024" dataCellStyle="Normal"/>
    <tableColumn id="10410" name="Column10389" dataDxfId="6023" dataCellStyle="Normal"/>
    <tableColumn id="10411" name="Column10390" dataDxfId="6022" dataCellStyle="Normal"/>
    <tableColumn id="10412" name="Column10391" dataDxfId="6021" dataCellStyle="Normal"/>
    <tableColumn id="10413" name="Column10392" dataDxfId="6020" dataCellStyle="Normal"/>
    <tableColumn id="10414" name="Column10393" dataDxfId="6019" dataCellStyle="Normal"/>
    <tableColumn id="10415" name="Column10394" dataDxfId="6018" dataCellStyle="Normal"/>
    <tableColumn id="10416" name="Column10395" dataDxfId="6017" dataCellStyle="Normal"/>
    <tableColumn id="10417" name="Column10396" dataDxfId="6016" dataCellStyle="Normal"/>
    <tableColumn id="10418" name="Column10397" dataDxfId="6015" dataCellStyle="Normal"/>
    <tableColumn id="10419" name="Column10398" dataDxfId="6014" dataCellStyle="Normal"/>
    <tableColumn id="10420" name="Column10399" dataDxfId="6013" dataCellStyle="Normal"/>
    <tableColumn id="10421" name="Column10400" dataDxfId="6012" dataCellStyle="Normal"/>
    <tableColumn id="10422" name="Column10401" dataDxfId="6011" dataCellStyle="Normal"/>
    <tableColumn id="10423" name="Column10402" dataDxfId="6010" dataCellStyle="Normal"/>
    <tableColumn id="10424" name="Column10403" dataDxfId="6009" dataCellStyle="Normal"/>
    <tableColumn id="10425" name="Column10404" dataDxfId="6008" dataCellStyle="Normal"/>
    <tableColumn id="10426" name="Column10405" dataDxfId="6007" dataCellStyle="Normal"/>
    <tableColumn id="10427" name="Column10406" dataDxfId="6006" dataCellStyle="Normal"/>
    <tableColumn id="10428" name="Column10407" dataDxfId="6005" dataCellStyle="Normal"/>
    <tableColumn id="10429" name="Column10408" dataDxfId="6004" dataCellStyle="Normal"/>
    <tableColumn id="10430" name="Column10409" dataDxfId="6003" dataCellStyle="Normal"/>
    <tableColumn id="10431" name="Column10410" dataDxfId="6002" dataCellStyle="Normal"/>
    <tableColumn id="10432" name="Column10411" dataDxfId="6001" dataCellStyle="Normal"/>
    <tableColumn id="10433" name="Column10412" dataDxfId="6000" dataCellStyle="Normal"/>
    <tableColumn id="10434" name="Column10413" dataDxfId="5999" dataCellStyle="Normal"/>
    <tableColumn id="10435" name="Column10414" dataDxfId="5998" dataCellStyle="Normal"/>
    <tableColumn id="10436" name="Column10415" dataDxfId="5997" dataCellStyle="Normal"/>
    <tableColumn id="10437" name="Column10416" dataDxfId="5996" dataCellStyle="Normal"/>
    <tableColumn id="10438" name="Column10417" dataDxfId="5995" dataCellStyle="Normal"/>
    <tableColumn id="10439" name="Column10418" dataDxfId="5994" dataCellStyle="Normal"/>
    <tableColumn id="10440" name="Column10419" dataDxfId="5993" dataCellStyle="Normal"/>
    <tableColumn id="10441" name="Column10420" dataDxfId="5992" dataCellStyle="Normal"/>
    <tableColumn id="10442" name="Column10421" dataDxfId="5991" dataCellStyle="Normal"/>
    <tableColumn id="10443" name="Column10422" dataDxfId="5990" dataCellStyle="Normal"/>
    <tableColumn id="10444" name="Column10423" dataDxfId="5989" dataCellStyle="Normal"/>
    <tableColumn id="10445" name="Column10424" dataDxfId="5988" dataCellStyle="Normal"/>
    <tableColumn id="10446" name="Column10425" dataDxfId="5987" dataCellStyle="Normal"/>
    <tableColumn id="10447" name="Column10426" dataDxfId="5986" dataCellStyle="Normal"/>
    <tableColumn id="10448" name="Column10427" dataDxfId="5985" dataCellStyle="Normal"/>
    <tableColumn id="10449" name="Column10428" dataDxfId="5984" dataCellStyle="Normal"/>
    <tableColumn id="10450" name="Column10429" dataDxfId="5983" dataCellStyle="Normal"/>
    <tableColumn id="10451" name="Column10430" dataDxfId="5982" dataCellStyle="Normal"/>
    <tableColumn id="10452" name="Column10431" dataDxfId="5981" dataCellStyle="Normal"/>
    <tableColumn id="10453" name="Column10432" dataDxfId="5980" dataCellStyle="Normal"/>
    <tableColumn id="10454" name="Column10433" dataDxfId="5979" dataCellStyle="Normal"/>
    <tableColumn id="10455" name="Column10434" dataDxfId="5978" dataCellStyle="Normal"/>
    <tableColumn id="10456" name="Column10435" dataDxfId="5977" dataCellStyle="Normal"/>
    <tableColumn id="10457" name="Column10436" dataDxfId="5976" dataCellStyle="Normal"/>
    <tableColumn id="10458" name="Column10437" dataDxfId="5975" dataCellStyle="Normal"/>
    <tableColumn id="10459" name="Column10438" dataDxfId="5974" dataCellStyle="Normal"/>
    <tableColumn id="10460" name="Column10439" dataDxfId="5973" dataCellStyle="Normal"/>
    <tableColumn id="10461" name="Column10440" dataDxfId="5972" dataCellStyle="Normal"/>
    <tableColumn id="10462" name="Column10441" dataDxfId="5971" dataCellStyle="Normal"/>
    <tableColumn id="10463" name="Column10442" dataDxfId="5970" dataCellStyle="Normal"/>
    <tableColumn id="10464" name="Column10443" dataDxfId="5969" dataCellStyle="Normal"/>
    <tableColumn id="10465" name="Column10444" dataDxfId="5968" dataCellStyle="Normal"/>
    <tableColumn id="10466" name="Column10445" dataDxfId="5967" dataCellStyle="Normal"/>
    <tableColumn id="10467" name="Column10446" dataDxfId="5966" dataCellStyle="Normal"/>
    <tableColumn id="10468" name="Column10447" dataDxfId="5965" dataCellStyle="Normal"/>
    <tableColumn id="10469" name="Column10448" dataDxfId="5964" dataCellStyle="Normal"/>
    <tableColumn id="10470" name="Column10449" dataDxfId="5963" dataCellStyle="Normal"/>
    <tableColumn id="10471" name="Column10450" dataDxfId="5962" dataCellStyle="Normal"/>
    <tableColumn id="10472" name="Column10451" dataDxfId="5961" dataCellStyle="Normal"/>
    <tableColumn id="10473" name="Column10452" dataDxfId="5960" dataCellStyle="Normal"/>
    <tableColumn id="10474" name="Column10453" dataDxfId="5959" dataCellStyle="Normal"/>
    <tableColumn id="10475" name="Column10454" dataDxfId="5958" dataCellStyle="Normal"/>
    <tableColumn id="10476" name="Column10455" dataDxfId="5957" dataCellStyle="Normal"/>
    <tableColumn id="10477" name="Column10456" dataDxfId="5956" dataCellStyle="Normal"/>
    <tableColumn id="10478" name="Column10457" dataDxfId="5955" dataCellStyle="Normal"/>
    <tableColumn id="10479" name="Column10458" dataDxfId="5954" dataCellStyle="Normal"/>
    <tableColumn id="10480" name="Column10459" dataDxfId="5953" dataCellStyle="Normal"/>
    <tableColumn id="10481" name="Column10460" dataDxfId="5952" dataCellStyle="Normal"/>
    <tableColumn id="10482" name="Column10461" dataDxfId="5951" dataCellStyle="Normal"/>
    <tableColumn id="10483" name="Column10462" dataDxfId="5950" dataCellStyle="Normal"/>
    <tableColumn id="10484" name="Column10463" dataDxfId="5949" dataCellStyle="Normal"/>
    <tableColumn id="10485" name="Column10464" dataDxfId="5948" dataCellStyle="Normal"/>
    <tableColumn id="10486" name="Column10465" dataDxfId="5947" dataCellStyle="Normal"/>
    <tableColumn id="10487" name="Column10466" dataDxfId="5946" dataCellStyle="Normal"/>
    <tableColumn id="10488" name="Column10467" dataDxfId="5945" dataCellStyle="Normal"/>
    <tableColumn id="10489" name="Column10468" dataDxfId="5944" dataCellStyle="Normal"/>
    <tableColumn id="10490" name="Column10469" dataDxfId="5943" dataCellStyle="Normal"/>
    <tableColumn id="10491" name="Column10470" dataDxfId="5942" dataCellStyle="Normal"/>
    <tableColumn id="10492" name="Column10471" dataDxfId="5941" dataCellStyle="Normal"/>
    <tableColumn id="10493" name="Column10472" dataDxfId="5940" dataCellStyle="Normal"/>
    <tableColumn id="10494" name="Column10473" dataDxfId="5939" dataCellStyle="Normal"/>
    <tableColumn id="10495" name="Column10474" dataDxfId="5938" dataCellStyle="Normal"/>
    <tableColumn id="10496" name="Column10475" dataDxfId="5937" dataCellStyle="Normal"/>
    <tableColumn id="10497" name="Column10476" dataDxfId="5936" dataCellStyle="Normal"/>
    <tableColumn id="10498" name="Column10477" dataDxfId="5935" dataCellStyle="Normal"/>
    <tableColumn id="10499" name="Column10478" dataDxfId="5934" dataCellStyle="Normal"/>
    <tableColumn id="10500" name="Column10479" dataDxfId="5933" dataCellStyle="Normal"/>
    <tableColumn id="10501" name="Column10480" dataDxfId="5932" dataCellStyle="Normal"/>
    <tableColumn id="10502" name="Column10481" dataDxfId="5931" dataCellStyle="Normal"/>
    <tableColumn id="10503" name="Column10482" dataDxfId="5930" dataCellStyle="Normal"/>
    <tableColumn id="10504" name="Column10483" dataDxfId="5929" dataCellStyle="Normal"/>
    <tableColumn id="10505" name="Column10484" dataDxfId="5928" dataCellStyle="Normal"/>
    <tableColumn id="10506" name="Column10485" dataDxfId="5927" dataCellStyle="Normal"/>
    <tableColumn id="10507" name="Column10486" dataDxfId="5926" dataCellStyle="Normal"/>
    <tableColumn id="10508" name="Column10487" dataDxfId="5925" dataCellStyle="Normal"/>
    <tableColumn id="10509" name="Column10488" dataDxfId="5924" dataCellStyle="Normal"/>
    <tableColumn id="10510" name="Column10489" dataDxfId="5923" dataCellStyle="Normal"/>
    <tableColumn id="10511" name="Column10490" dataDxfId="5922" dataCellStyle="Normal"/>
    <tableColumn id="10512" name="Column10491" dataDxfId="5921" dataCellStyle="Normal"/>
    <tableColumn id="10513" name="Column10492" dataDxfId="5920" dataCellStyle="Normal"/>
    <tableColumn id="10514" name="Column10493" dataDxfId="5919" dataCellStyle="Normal"/>
    <tableColumn id="10515" name="Column10494" dataDxfId="5918" dataCellStyle="Normal"/>
    <tableColumn id="10516" name="Column10495" dataDxfId="5917" dataCellStyle="Normal"/>
    <tableColumn id="10517" name="Column10496" dataDxfId="5916" dataCellStyle="Normal"/>
    <tableColumn id="10518" name="Column10497" dataDxfId="5915" dataCellStyle="Normal"/>
    <tableColumn id="10519" name="Column10498" dataDxfId="5914" dataCellStyle="Normal"/>
    <tableColumn id="10520" name="Column10499" dataDxfId="5913" dataCellStyle="Normal"/>
    <tableColumn id="10521" name="Column10500" dataDxfId="5912" dataCellStyle="Normal"/>
    <tableColumn id="10522" name="Column10501" dataDxfId="5911" dataCellStyle="Normal"/>
    <tableColumn id="10523" name="Column10502" dataDxfId="5910" dataCellStyle="Normal"/>
    <tableColumn id="10524" name="Column10503" dataDxfId="5909" dataCellStyle="Normal"/>
    <tableColumn id="10525" name="Column10504" dataDxfId="5908" dataCellStyle="Normal"/>
    <tableColumn id="10526" name="Column10505" dataDxfId="5907" dataCellStyle="Normal"/>
    <tableColumn id="10527" name="Column10506" dataDxfId="5906" dataCellStyle="Normal"/>
    <tableColumn id="10528" name="Column10507" dataDxfId="5905" dataCellStyle="Normal"/>
    <tableColumn id="10529" name="Column10508" dataDxfId="5904" dataCellStyle="Normal"/>
    <tableColumn id="10530" name="Column10509" dataDxfId="5903" dataCellStyle="Normal"/>
    <tableColumn id="10531" name="Column10510" dataDxfId="5902" dataCellStyle="Normal"/>
    <tableColumn id="10532" name="Column10511" dataDxfId="5901" dataCellStyle="Normal"/>
    <tableColumn id="10533" name="Column10512" dataDxfId="5900" dataCellStyle="Normal"/>
    <tableColumn id="10534" name="Column10513" dataDxfId="5899" dataCellStyle="Normal"/>
    <tableColumn id="10535" name="Column10514" dataDxfId="5898" dataCellStyle="Normal"/>
    <tableColumn id="10536" name="Column10515" dataDxfId="5897" dataCellStyle="Normal"/>
    <tableColumn id="10537" name="Column10516" dataDxfId="5896" dataCellStyle="Normal"/>
    <tableColumn id="10538" name="Column10517" dataDxfId="5895" dataCellStyle="Normal"/>
    <tableColumn id="10539" name="Column10518" dataDxfId="5894" dataCellStyle="Normal"/>
    <tableColumn id="10540" name="Column10519" dataDxfId="5893" dataCellStyle="Normal"/>
    <tableColumn id="10541" name="Column10520" dataDxfId="5892" dataCellStyle="Normal"/>
    <tableColumn id="10542" name="Column10521" dataDxfId="5891" dataCellStyle="Normal"/>
    <tableColumn id="10543" name="Column10522" dataDxfId="5890" dataCellStyle="Normal"/>
    <tableColumn id="10544" name="Column10523" dataDxfId="5889" dataCellStyle="Normal"/>
    <tableColumn id="10545" name="Column10524" dataDxfId="5888" dataCellStyle="Normal"/>
    <tableColumn id="10546" name="Column10525" dataDxfId="5887" dataCellStyle="Normal"/>
    <tableColumn id="10547" name="Column10526" dataDxfId="5886" dataCellStyle="Normal"/>
    <tableColumn id="10548" name="Column10527" dataDxfId="5885" dataCellStyle="Normal"/>
    <tableColumn id="10549" name="Column10528" dataDxfId="5884" dataCellStyle="Normal"/>
    <tableColumn id="10550" name="Column10529" dataDxfId="5883" dataCellStyle="Normal"/>
    <tableColumn id="10551" name="Column10530" dataDxfId="5882" dataCellStyle="Normal"/>
    <tableColumn id="10552" name="Column10531" dataDxfId="5881" dataCellStyle="Normal"/>
    <tableColumn id="10553" name="Column10532" dataDxfId="5880" dataCellStyle="Normal"/>
    <tableColumn id="10554" name="Column10533" dataDxfId="5879" dataCellStyle="Normal"/>
    <tableColumn id="10555" name="Column10534" dataDxfId="5878" dataCellStyle="Normal"/>
    <tableColumn id="10556" name="Column10535" dataDxfId="5877" dataCellStyle="Normal"/>
    <tableColumn id="10557" name="Column10536" dataDxfId="5876" dataCellStyle="Normal"/>
    <tableColumn id="10558" name="Column10537" dataDxfId="5875" dataCellStyle="Normal"/>
    <tableColumn id="10559" name="Column10538" dataDxfId="5874" dataCellStyle="Normal"/>
    <tableColumn id="10560" name="Column10539" dataDxfId="5873" dataCellStyle="Normal"/>
    <tableColumn id="10561" name="Column10540" dataDxfId="5872" dataCellStyle="Normal"/>
    <tableColumn id="10562" name="Column10541" dataDxfId="5871" dataCellStyle="Normal"/>
    <tableColumn id="10563" name="Column10542" dataDxfId="5870" dataCellStyle="Normal"/>
    <tableColumn id="10564" name="Column10543" dataDxfId="5869" dataCellStyle="Normal"/>
    <tableColumn id="10565" name="Column10544" dataDxfId="5868" dataCellStyle="Normal"/>
    <tableColumn id="10566" name="Column10545" dataDxfId="5867" dataCellStyle="Normal"/>
    <tableColumn id="10567" name="Column10546" dataDxfId="5866" dataCellStyle="Normal"/>
    <tableColumn id="10568" name="Column10547" dataDxfId="5865" dataCellStyle="Normal"/>
    <tableColumn id="10569" name="Column10548" dataDxfId="5864" dataCellStyle="Normal"/>
    <tableColumn id="10570" name="Column10549" dataDxfId="5863" dataCellStyle="Normal"/>
    <tableColumn id="10571" name="Column10550" dataDxfId="5862" dataCellStyle="Normal"/>
    <tableColumn id="10572" name="Column10551" dataDxfId="5861" dataCellStyle="Normal"/>
    <tableColumn id="10573" name="Column10552" dataDxfId="5860" dataCellStyle="Normal"/>
    <tableColumn id="10574" name="Column10553" dataDxfId="5859" dataCellStyle="Normal"/>
    <tableColumn id="10575" name="Column10554" dataDxfId="5858" dataCellStyle="Normal"/>
    <tableColumn id="10576" name="Column10555" dataDxfId="5857" dataCellStyle="Normal"/>
    <tableColumn id="10577" name="Column10556" dataDxfId="5856" dataCellStyle="Normal"/>
    <tableColumn id="10578" name="Column10557" dataDxfId="5855" dataCellStyle="Normal"/>
    <tableColumn id="10579" name="Column10558" dataDxfId="5854" dataCellStyle="Normal"/>
    <tableColumn id="10580" name="Column10559" dataDxfId="5853" dataCellStyle="Normal"/>
    <tableColumn id="10581" name="Column10560" dataDxfId="5852" dataCellStyle="Normal"/>
    <tableColumn id="10582" name="Column10561" dataDxfId="5851" dataCellStyle="Normal"/>
    <tableColumn id="10583" name="Column10562" dataDxfId="5850" dataCellStyle="Normal"/>
    <tableColumn id="10584" name="Column10563" dataDxfId="5849" dataCellStyle="Normal"/>
    <tableColumn id="10585" name="Column10564" dataDxfId="5848" dataCellStyle="Normal"/>
    <tableColumn id="10586" name="Column10565" dataDxfId="5847" dataCellStyle="Normal"/>
    <tableColumn id="10587" name="Column10566" dataDxfId="5846" dataCellStyle="Normal"/>
    <tableColumn id="10588" name="Column10567" dataDxfId="5845" dataCellStyle="Normal"/>
    <tableColumn id="10589" name="Column10568" dataDxfId="5844" dataCellStyle="Normal"/>
    <tableColumn id="10590" name="Column10569" dataDxfId="5843" dataCellStyle="Normal"/>
    <tableColumn id="10591" name="Column10570" dataDxfId="5842" dataCellStyle="Normal"/>
    <tableColumn id="10592" name="Column10571" dataDxfId="5841" dataCellStyle="Normal"/>
    <tableColumn id="10593" name="Column10572" dataDxfId="5840" dataCellStyle="Normal"/>
    <tableColumn id="10594" name="Column10573" dataDxfId="5839" dataCellStyle="Normal"/>
    <tableColumn id="10595" name="Column10574" dataDxfId="5838" dataCellStyle="Normal"/>
    <tableColumn id="10596" name="Column10575" dataDxfId="5837" dataCellStyle="Normal"/>
    <tableColumn id="10597" name="Column10576" dataDxfId="5836" dataCellStyle="Normal"/>
    <tableColumn id="10598" name="Column10577" dataDxfId="5835" dataCellStyle="Normal"/>
    <tableColumn id="10599" name="Column10578" dataDxfId="5834" dataCellStyle="Normal"/>
    <tableColumn id="10600" name="Column10579" dataDxfId="5833" dataCellStyle="Normal"/>
    <tableColumn id="10601" name="Column10580" dataDxfId="5832" dataCellStyle="Normal"/>
    <tableColumn id="10602" name="Column10581" dataDxfId="5831" dataCellStyle="Normal"/>
    <tableColumn id="10603" name="Column10582" dataDxfId="5830" dataCellStyle="Normal"/>
    <tableColumn id="10604" name="Column10583" dataDxfId="5829" dataCellStyle="Normal"/>
    <tableColumn id="10605" name="Column10584" dataDxfId="5828" dataCellStyle="Normal"/>
    <tableColumn id="10606" name="Column10585" dataDxfId="5827" dataCellStyle="Normal"/>
    <tableColumn id="10607" name="Column10586" dataDxfId="5826" dataCellStyle="Normal"/>
    <tableColumn id="10608" name="Column10587" dataDxfId="5825" dataCellStyle="Normal"/>
    <tableColumn id="10609" name="Column10588" dataDxfId="5824" dataCellStyle="Normal"/>
    <tableColumn id="10610" name="Column10589" dataDxfId="5823" dataCellStyle="Normal"/>
    <tableColumn id="10611" name="Column10590" dataDxfId="5822" dataCellStyle="Normal"/>
    <tableColumn id="10612" name="Column10591" dataDxfId="5821" dataCellStyle="Normal"/>
    <tableColumn id="10613" name="Column10592" dataDxfId="5820" dataCellStyle="Normal"/>
    <tableColumn id="10614" name="Column10593" dataDxfId="5819" dataCellStyle="Normal"/>
    <tableColumn id="10615" name="Column10594" dataDxfId="5818" dataCellStyle="Normal"/>
    <tableColumn id="10616" name="Column10595" dataDxfId="5817" dataCellStyle="Normal"/>
    <tableColumn id="10617" name="Column10596" dataDxfId="5816" dataCellStyle="Normal"/>
    <tableColumn id="10618" name="Column10597" dataDxfId="5815" dataCellStyle="Normal"/>
    <tableColumn id="10619" name="Column10598" dataDxfId="5814" dataCellStyle="Normal"/>
    <tableColumn id="10620" name="Column10599" dataDxfId="5813" dataCellStyle="Normal"/>
    <tableColumn id="10621" name="Column10600" dataDxfId="5812" dataCellStyle="Normal"/>
    <tableColumn id="10622" name="Column10601" dataDxfId="5811" dataCellStyle="Normal"/>
    <tableColumn id="10623" name="Column10602" dataDxfId="5810" dataCellStyle="Normal"/>
    <tableColumn id="10624" name="Column10603" dataDxfId="5809" dataCellStyle="Normal"/>
    <tableColumn id="10625" name="Column10604" dataDxfId="5808" dataCellStyle="Normal"/>
    <tableColumn id="10626" name="Column10605" dataDxfId="5807" dataCellStyle="Normal"/>
    <tableColumn id="10627" name="Column10606" dataDxfId="5806" dataCellStyle="Normal"/>
    <tableColumn id="10628" name="Column10607" dataDxfId="5805" dataCellStyle="Normal"/>
    <tableColumn id="10629" name="Column10608" dataDxfId="5804" dataCellStyle="Normal"/>
    <tableColumn id="10630" name="Column10609" dataDxfId="5803" dataCellStyle="Normal"/>
    <tableColumn id="10631" name="Column10610" dataDxfId="5802" dataCellStyle="Normal"/>
    <tableColumn id="10632" name="Column10611" dataDxfId="5801" dataCellStyle="Normal"/>
    <tableColumn id="10633" name="Column10612" dataDxfId="5800" dataCellStyle="Normal"/>
    <tableColumn id="10634" name="Column10613" dataDxfId="5799" dataCellStyle="Normal"/>
    <tableColumn id="10635" name="Column10614" dataDxfId="5798" dataCellStyle="Normal"/>
    <tableColumn id="10636" name="Column10615" dataDxfId="5797" dataCellStyle="Normal"/>
    <tableColumn id="10637" name="Column10616" dataDxfId="5796" dataCellStyle="Normal"/>
    <tableColumn id="10638" name="Column10617" dataDxfId="5795" dataCellStyle="Normal"/>
    <tableColumn id="10639" name="Column10618" dataDxfId="5794" dataCellStyle="Normal"/>
    <tableColumn id="10640" name="Column10619" dataDxfId="5793" dataCellStyle="Normal"/>
    <tableColumn id="10641" name="Column10620" dataDxfId="5792" dataCellStyle="Normal"/>
    <tableColumn id="10642" name="Column10621" dataDxfId="5791" dataCellStyle="Normal"/>
    <tableColumn id="10643" name="Column10622" dataDxfId="5790" dataCellStyle="Normal"/>
    <tableColumn id="10644" name="Column10623" dataDxfId="5789" dataCellStyle="Normal"/>
    <tableColumn id="10645" name="Column10624" dataDxfId="5788" dataCellStyle="Normal"/>
    <tableColumn id="10646" name="Column10625" dataDxfId="5787" dataCellStyle="Normal"/>
    <tableColumn id="10647" name="Column10626" dataDxfId="5786" dataCellStyle="Normal"/>
    <tableColumn id="10648" name="Column10627" dataDxfId="5785" dataCellStyle="Normal"/>
    <tableColumn id="10649" name="Column10628" dataDxfId="5784" dataCellStyle="Normal"/>
    <tableColumn id="10650" name="Column10629" dataDxfId="5783" dataCellStyle="Normal"/>
    <tableColumn id="10651" name="Column10630" dataDxfId="5782" dataCellStyle="Normal"/>
    <tableColumn id="10652" name="Column10631" dataDxfId="5781" dataCellStyle="Normal"/>
    <tableColumn id="10653" name="Column10632" dataDxfId="5780" dataCellStyle="Normal"/>
    <tableColumn id="10654" name="Column10633" dataDxfId="5779" dataCellStyle="Normal"/>
    <tableColumn id="10655" name="Column10634" dataDxfId="5778" dataCellStyle="Normal"/>
    <tableColumn id="10656" name="Column10635" dataDxfId="5777" dataCellStyle="Normal"/>
    <tableColumn id="10657" name="Column10636" dataDxfId="5776" dataCellStyle="Normal"/>
    <tableColumn id="10658" name="Column10637" dataDxfId="5775" dataCellStyle="Normal"/>
    <tableColumn id="10659" name="Column10638" dataDxfId="5774" dataCellStyle="Normal"/>
    <tableColumn id="10660" name="Column10639" dataDxfId="5773" dataCellStyle="Normal"/>
    <tableColumn id="10661" name="Column10640" dataDxfId="5772" dataCellStyle="Normal"/>
    <tableColumn id="10662" name="Column10641" dataDxfId="5771" dataCellStyle="Normal"/>
    <tableColumn id="10663" name="Column10642" dataDxfId="5770" dataCellStyle="Normal"/>
    <tableColumn id="10664" name="Column10643" dataDxfId="5769" dataCellStyle="Normal"/>
    <tableColumn id="10665" name="Column10644" dataDxfId="5768" dataCellStyle="Normal"/>
    <tableColumn id="10666" name="Column10645" dataDxfId="5767" dataCellStyle="Normal"/>
    <tableColumn id="10667" name="Column10646" dataDxfId="5766" dataCellStyle="Normal"/>
    <tableColumn id="10668" name="Column10647" dataDxfId="5765" dataCellStyle="Normal"/>
    <tableColumn id="10669" name="Column10648" dataDxfId="5764" dataCellStyle="Normal"/>
    <tableColumn id="10670" name="Column10649" dataDxfId="5763" dataCellStyle="Normal"/>
    <tableColumn id="10671" name="Column10650" dataDxfId="5762" dataCellStyle="Normal"/>
    <tableColumn id="10672" name="Column10651" dataDxfId="5761" dataCellStyle="Normal"/>
    <tableColumn id="10673" name="Column10652" dataDxfId="5760" dataCellStyle="Normal"/>
    <tableColumn id="10674" name="Column10653" dataDxfId="5759" dataCellStyle="Normal"/>
    <tableColumn id="10675" name="Column10654" dataDxfId="5758" dataCellStyle="Normal"/>
    <tableColumn id="10676" name="Column10655" dataDxfId="5757" dataCellStyle="Normal"/>
    <tableColumn id="10677" name="Column10656" dataDxfId="5756" dataCellStyle="Normal"/>
    <tableColumn id="10678" name="Column10657" dataDxfId="5755" dataCellStyle="Normal"/>
    <tableColumn id="10679" name="Column10658" dataDxfId="5754" dataCellStyle="Normal"/>
    <tableColumn id="10680" name="Column10659" dataDxfId="5753" dataCellStyle="Normal"/>
    <tableColumn id="10681" name="Column10660" dataDxfId="5752" dataCellStyle="Normal"/>
    <tableColumn id="10682" name="Column10661" dataDxfId="5751" dataCellStyle="Normal"/>
    <tableColumn id="10683" name="Column10662" dataDxfId="5750" dataCellStyle="Normal"/>
    <tableColumn id="10684" name="Column10663" dataDxfId="5749" dataCellStyle="Normal"/>
    <tableColumn id="10685" name="Column10664" dataDxfId="5748" dataCellStyle="Normal"/>
    <tableColumn id="10686" name="Column10665" dataDxfId="5747" dataCellStyle="Normal"/>
    <tableColumn id="10687" name="Column10666" dataDxfId="5746" dataCellStyle="Normal"/>
    <tableColumn id="10688" name="Column10667" dataDxfId="5745" dataCellStyle="Normal"/>
    <tableColumn id="10689" name="Column10668" dataDxfId="5744" dataCellStyle="Normal"/>
    <tableColumn id="10690" name="Column10669" dataDxfId="5743" dataCellStyle="Normal"/>
    <tableColumn id="10691" name="Column10670" dataDxfId="5742" dataCellStyle="Normal"/>
    <tableColumn id="10692" name="Column10671" dataDxfId="5741" dataCellStyle="Normal"/>
    <tableColumn id="10693" name="Column10672" dataDxfId="5740" dataCellStyle="Normal"/>
    <tableColumn id="10694" name="Column10673" dataDxfId="5739" dataCellStyle="Normal"/>
    <tableColumn id="10695" name="Column10674" dataDxfId="5738" dataCellStyle="Normal"/>
    <tableColumn id="10696" name="Column10675" dataDxfId="5737" dataCellStyle="Normal"/>
    <tableColumn id="10697" name="Column10676" dataDxfId="5736" dataCellStyle="Normal"/>
    <tableColumn id="10698" name="Column10677" dataDxfId="5735" dataCellStyle="Normal"/>
    <tableColumn id="10699" name="Column10678" dataDxfId="5734" dataCellStyle="Normal"/>
    <tableColumn id="10700" name="Column10679" dataDxfId="5733" dataCellStyle="Normal"/>
    <tableColumn id="10701" name="Column10680" dataDxfId="5732" dataCellStyle="Normal"/>
    <tableColumn id="10702" name="Column10681" dataDxfId="5731" dataCellStyle="Normal"/>
    <tableColumn id="10703" name="Column10682" dataDxfId="5730" dataCellStyle="Normal"/>
    <tableColumn id="10704" name="Column10683" dataDxfId="5729" dataCellStyle="Normal"/>
    <tableColumn id="10705" name="Column10684" dataDxfId="5728" dataCellStyle="Normal"/>
    <tableColumn id="10706" name="Column10685" dataDxfId="5727" dataCellStyle="Normal"/>
    <tableColumn id="10707" name="Column10686" dataDxfId="5726" dataCellStyle="Normal"/>
    <tableColumn id="10708" name="Column10687" dataDxfId="5725" dataCellStyle="Normal"/>
    <tableColumn id="10709" name="Column10688" dataDxfId="5724" dataCellStyle="Normal"/>
    <tableColumn id="10710" name="Column10689" dataDxfId="5723" dataCellStyle="Normal"/>
    <tableColumn id="10711" name="Column10690" dataDxfId="5722" dataCellStyle="Normal"/>
    <tableColumn id="10712" name="Column10691" dataDxfId="5721" dataCellStyle="Normal"/>
    <tableColumn id="10713" name="Column10692" dataDxfId="5720" dataCellStyle="Normal"/>
    <tableColumn id="10714" name="Column10693" dataDxfId="5719" dataCellStyle="Normal"/>
    <tableColumn id="10715" name="Column10694" dataDxfId="5718" dataCellStyle="Normal"/>
    <tableColumn id="10716" name="Column10695" dataDxfId="5717" dataCellStyle="Normal"/>
    <tableColumn id="10717" name="Column10696" dataDxfId="5716" dataCellStyle="Normal"/>
    <tableColumn id="10718" name="Column10697" dataDxfId="5715" dataCellStyle="Normal"/>
    <tableColumn id="10719" name="Column10698" dataDxfId="5714" dataCellStyle="Normal"/>
    <tableColumn id="10720" name="Column10699" dataDxfId="5713" dataCellStyle="Normal"/>
    <tableColumn id="10721" name="Column10700" dataDxfId="5712" dataCellStyle="Normal"/>
    <tableColumn id="10722" name="Column10701" dataDxfId="5711" dataCellStyle="Normal"/>
    <tableColumn id="10723" name="Column10702" dataDxfId="5710" dataCellStyle="Normal"/>
    <tableColumn id="10724" name="Column10703" dataDxfId="5709" dataCellStyle="Normal"/>
    <tableColumn id="10725" name="Column10704" dataDxfId="5708" dataCellStyle="Normal"/>
    <tableColumn id="10726" name="Column10705" dataDxfId="5707" dataCellStyle="Normal"/>
    <tableColumn id="10727" name="Column10706" dataDxfId="5706" dataCellStyle="Normal"/>
    <tableColumn id="10728" name="Column10707" dataDxfId="5705" dataCellStyle="Normal"/>
    <tableColumn id="10729" name="Column10708" dataDxfId="5704" dataCellStyle="Normal"/>
    <tableColumn id="10730" name="Column10709" dataDxfId="5703" dataCellStyle="Normal"/>
    <tableColumn id="10731" name="Column10710" dataDxfId="5702" dataCellStyle="Normal"/>
    <tableColumn id="10732" name="Column10711" dataDxfId="5701" dataCellStyle="Normal"/>
    <tableColumn id="10733" name="Column10712" dataDxfId="5700" dataCellStyle="Normal"/>
    <tableColumn id="10734" name="Column10713" dataDxfId="5699" dataCellStyle="Normal"/>
    <tableColumn id="10735" name="Column10714" dataDxfId="5698" dataCellStyle="Normal"/>
    <tableColumn id="10736" name="Column10715" dataDxfId="5697" dataCellStyle="Normal"/>
    <tableColumn id="10737" name="Column10716" dataDxfId="5696" dataCellStyle="Normal"/>
    <tableColumn id="10738" name="Column10717" dataDxfId="5695" dataCellStyle="Normal"/>
    <tableColumn id="10739" name="Column10718" dataDxfId="5694" dataCellStyle="Normal"/>
    <tableColumn id="10740" name="Column10719" dataDxfId="5693" dataCellStyle="Normal"/>
    <tableColumn id="10741" name="Column10720" dataDxfId="5692" dataCellStyle="Normal"/>
    <tableColumn id="10742" name="Column10721" dataDxfId="5691" dataCellStyle="Normal"/>
    <tableColumn id="10743" name="Column10722" dataDxfId="5690" dataCellStyle="Normal"/>
    <tableColumn id="10744" name="Column10723" dataDxfId="5689" dataCellStyle="Normal"/>
    <tableColumn id="10745" name="Column10724" dataDxfId="5688" dataCellStyle="Normal"/>
    <tableColumn id="10746" name="Column10725" dataDxfId="5687" dataCellStyle="Normal"/>
    <tableColumn id="10747" name="Column10726" dataDxfId="5686" dataCellStyle="Normal"/>
    <tableColumn id="10748" name="Column10727" dataDxfId="5685" dataCellStyle="Normal"/>
    <tableColumn id="10749" name="Column10728" dataDxfId="5684" dataCellStyle="Normal"/>
    <tableColumn id="10750" name="Column10729" dataDxfId="5683" dataCellStyle="Normal"/>
    <tableColumn id="10751" name="Column10730" dataDxfId="5682" dataCellStyle="Normal"/>
    <tableColumn id="10752" name="Column10731" dataDxfId="5681" dataCellStyle="Normal"/>
    <tableColumn id="10753" name="Column10732" dataDxfId="5680" dataCellStyle="Normal"/>
    <tableColumn id="10754" name="Column10733" dataDxfId="5679" dataCellStyle="Normal"/>
    <tableColumn id="10755" name="Column10734" dataDxfId="5678" dataCellStyle="Normal"/>
    <tableColumn id="10756" name="Column10735" dataDxfId="5677" dataCellStyle="Normal"/>
    <tableColumn id="10757" name="Column10736" dataDxfId="5676" dataCellStyle="Normal"/>
    <tableColumn id="10758" name="Column10737" dataDxfId="5675" dataCellStyle="Normal"/>
    <tableColumn id="10759" name="Column10738" dataDxfId="5674" dataCellStyle="Normal"/>
    <tableColumn id="10760" name="Column10739" dataDxfId="5673" dataCellStyle="Normal"/>
    <tableColumn id="10761" name="Column10740" dataDxfId="5672" dataCellStyle="Normal"/>
    <tableColumn id="10762" name="Column10741" dataDxfId="5671" dataCellStyle="Normal"/>
    <tableColumn id="10763" name="Column10742" dataDxfId="5670" dataCellStyle="Normal"/>
    <tableColumn id="10764" name="Column10743" dataDxfId="5669" dataCellStyle="Normal"/>
    <tableColumn id="10765" name="Column10744" dataDxfId="5668" dataCellStyle="Normal"/>
    <tableColumn id="10766" name="Column10745" dataDxfId="5667" dataCellStyle="Normal"/>
    <tableColumn id="10767" name="Column10746" dataDxfId="5666" dataCellStyle="Normal"/>
    <tableColumn id="10768" name="Column10747" dataDxfId="5665" dataCellStyle="Normal"/>
    <tableColumn id="10769" name="Column10748" dataDxfId="5664" dataCellStyle="Normal"/>
    <tableColumn id="10770" name="Column10749" dataDxfId="5663" dataCellStyle="Normal"/>
    <tableColumn id="10771" name="Column10750" dataDxfId="5662" dataCellStyle="Normal"/>
    <tableColumn id="10772" name="Column10751" dataDxfId="5661" dataCellStyle="Normal"/>
    <tableColumn id="10773" name="Column10752" dataDxfId="5660" dataCellStyle="Normal"/>
    <tableColumn id="10774" name="Column10753" dataDxfId="5659" dataCellStyle="Normal"/>
    <tableColumn id="10775" name="Column10754" dataDxfId="5658" dataCellStyle="Normal"/>
    <tableColumn id="10776" name="Column10755" dataDxfId="5657" dataCellStyle="Normal"/>
    <tableColumn id="10777" name="Column10756" dataDxfId="5656" dataCellStyle="Normal"/>
    <tableColumn id="10778" name="Column10757" dataDxfId="5655" dataCellStyle="Normal"/>
    <tableColumn id="10779" name="Column10758" dataDxfId="5654" dataCellStyle="Normal"/>
    <tableColumn id="10780" name="Column10759" dataDxfId="5653" dataCellStyle="Normal"/>
    <tableColumn id="10781" name="Column10760" dataDxfId="5652" dataCellStyle="Normal"/>
    <tableColumn id="10782" name="Column10761" dataDxfId="5651" dataCellStyle="Normal"/>
    <tableColumn id="10783" name="Column10762" dataDxfId="5650" dataCellStyle="Normal"/>
    <tableColumn id="10784" name="Column10763" dataDxfId="5649" dataCellStyle="Normal"/>
    <tableColumn id="10785" name="Column10764" dataDxfId="5648" dataCellStyle="Normal"/>
    <tableColumn id="10786" name="Column10765" dataDxfId="5647" dataCellStyle="Normal"/>
    <tableColumn id="10787" name="Column10766" dataDxfId="5646" dataCellStyle="Normal"/>
    <tableColumn id="10788" name="Column10767" dataDxfId="5645" dataCellStyle="Normal"/>
    <tableColumn id="10789" name="Column10768" dataDxfId="5644" dataCellStyle="Normal"/>
    <tableColumn id="10790" name="Column10769" dataDxfId="5643" dataCellStyle="Normal"/>
    <tableColumn id="10791" name="Column10770" dataDxfId="5642" dataCellStyle="Normal"/>
    <tableColumn id="10792" name="Column10771" dataDxfId="5641" dataCellStyle="Normal"/>
    <tableColumn id="10793" name="Column10772" dataDxfId="5640" dataCellStyle="Normal"/>
    <tableColumn id="10794" name="Column10773" dataDxfId="5639" dataCellStyle="Normal"/>
    <tableColumn id="10795" name="Column10774" dataDxfId="5638" dataCellStyle="Normal"/>
    <tableColumn id="10796" name="Column10775" dataDxfId="5637" dataCellStyle="Normal"/>
    <tableColumn id="10797" name="Column10776" dataDxfId="5636" dataCellStyle="Normal"/>
    <tableColumn id="10798" name="Column10777" dataDxfId="5635" dataCellStyle="Normal"/>
    <tableColumn id="10799" name="Column10778" dataDxfId="5634" dataCellStyle="Normal"/>
    <tableColumn id="10800" name="Column10779" dataDxfId="5633" dataCellStyle="Normal"/>
    <tableColumn id="10801" name="Column10780" dataDxfId="5632" dataCellStyle="Normal"/>
    <tableColumn id="10802" name="Column10781" dataDxfId="5631" dataCellStyle="Normal"/>
    <tableColumn id="10803" name="Column10782" dataDxfId="5630" dataCellStyle="Normal"/>
    <tableColumn id="10804" name="Column10783" dataDxfId="5629" dataCellStyle="Normal"/>
    <tableColumn id="10805" name="Column10784" dataDxfId="5628" dataCellStyle="Normal"/>
    <tableColumn id="10806" name="Column10785" dataDxfId="5627" dataCellStyle="Normal"/>
    <tableColumn id="10807" name="Column10786" dataDxfId="5626" dataCellStyle="Normal"/>
    <tableColumn id="10808" name="Column10787" dataDxfId="5625" dataCellStyle="Normal"/>
    <tableColumn id="10809" name="Column10788" dataDxfId="5624" dataCellStyle="Normal"/>
    <tableColumn id="10810" name="Column10789" dataDxfId="5623" dataCellStyle="Normal"/>
    <tableColumn id="10811" name="Column10790" dataDxfId="5622" dataCellStyle="Normal"/>
    <tableColumn id="10812" name="Column10791" dataDxfId="5621" dataCellStyle="Normal"/>
    <tableColumn id="10813" name="Column10792" dataDxfId="5620" dataCellStyle="Normal"/>
    <tableColumn id="10814" name="Column10793" dataDxfId="5619" dataCellStyle="Normal"/>
    <tableColumn id="10815" name="Column10794" dataDxfId="5618" dataCellStyle="Normal"/>
    <tableColumn id="10816" name="Column10795" dataDxfId="5617" dataCellStyle="Normal"/>
    <tableColumn id="10817" name="Column10796" dataDxfId="5616" dataCellStyle="Normal"/>
    <tableColumn id="10818" name="Column10797" dataDxfId="5615" dataCellStyle="Normal"/>
    <tableColumn id="10819" name="Column10798" dataDxfId="5614" dataCellStyle="Normal"/>
    <tableColumn id="10820" name="Column10799" dataDxfId="5613" dataCellStyle="Normal"/>
    <tableColumn id="10821" name="Column10800" dataDxfId="5612" dataCellStyle="Normal"/>
    <tableColumn id="10822" name="Column10801" dataDxfId="5611" dataCellStyle="Normal"/>
    <tableColumn id="10823" name="Column10802" dataDxfId="5610" dataCellStyle="Normal"/>
    <tableColumn id="10824" name="Column10803" dataDxfId="5609" dataCellStyle="Normal"/>
    <tableColumn id="10825" name="Column10804" dataDxfId="5608" dataCellStyle="Normal"/>
    <tableColumn id="10826" name="Column10805" dataDxfId="5607" dataCellStyle="Normal"/>
    <tableColumn id="10827" name="Column10806" dataDxfId="5606" dataCellStyle="Normal"/>
    <tableColumn id="10828" name="Column10807" dataDxfId="5605" dataCellStyle="Normal"/>
    <tableColumn id="10829" name="Column10808" dataDxfId="5604" dataCellStyle="Normal"/>
    <tableColumn id="10830" name="Column10809" dataDxfId="5603" dataCellStyle="Normal"/>
    <tableColumn id="10831" name="Column10810" dataDxfId="5602" dataCellStyle="Normal"/>
    <tableColumn id="10832" name="Column10811" dataDxfId="5601" dataCellStyle="Normal"/>
    <tableColumn id="10833" name="Column10812" dataDxfId="5600" dataCellStyle="Normal"/>
    <tableColumn id="10834" name="Column10813" dataDxfId="5599" dataCellStyle="Normal"/>
    <tableColumn id="10835" name="Column10814" dataDxfId="5598" dataCellStyle="Normal"/>
    <tableColumn id="10836" name="Column10815" dataDxfId="5597" dataCellStyle="Normal"/>
    <tableColumn id="10837" name="Column10816" dataDxfId="5596" dataCellStyle="Normal"/>
    <tableColumn id="10838" name="Column10817" dataDxfId="5595" dataCellStyle="Normal"/>
    <tableColumn id="10839" name="Column10818" dataDxfId="5594" dataCellStyle="Normal"/>
    <tableColumn id="10840" name="Column10819" dataDxfId="5593" dataCellStyle="Normal"/>
    <tableColumn id="10841" name="Column10820" dataDxfId="5592" dataCellStyle="Normal"/>
    <tableColumn id="10842" name="Column10821" dataDxfId="5591" dataCellStyle="Normal"/>
    <tableColumn id="10843" name="Column10822" dataDxfId="5590" dataCellStyle="Normal"/>
    <tableColumn id="10844" name="Column10823" dataDxfId="5589" dataCellStyle="Normal"/>
    <tableColumn id="10845" name="Column10824" dataDxfId="5588" dataCellStyle="Normal"/>
    <tableColumn id="10846" name="Column10825" dataDxfId="5587" dataCellStyle="Normal"/>
    <tableColumn id="10847" name="Column10826" dataDxfId="5586" dataCellStyle="Normal"/>
    <tableColumn id="10848" name="Column10827" dataDxfId="5585" dataCellStyle="Normal"/>
    <tableColumn id="10849" name="Column10828" dataDxfId="5584" dataCellStyle="Normal"/>
    <tableColumn id="10850" name="Column10829" dataDxfId="5583" dataCellStyle="Normal"/>
    <tableColumn id="10851" name="Column10830" dataDxfId="5582" dataCellStyle="Normal"/>
    <tableColumn id="10852" name="Column10831" dataDxfId="5581" dataCellStyle="Normal"/>
    <tableColumn id="10853" name="Column10832" dataDxfId="5580" dataCellStyle="Normal"/>
    <tableColumn id="10854" name="Column10833" dataDxfId="5579" dataCellStyle="Normal"/>
    <tableColumn id="10855" name="Column10834" dataDxfId="5578" dataCellStyle="Normal"/>
    <tableColumn id="10856" name="Column10835" dataDxfId="5577" dataCellStyle="Normal"/>
    <tableColumn id="10857" name="Column10836" dataDxfId="5576" dataCellStyle="Normal"/>
    <tableColumn id="10858" name="Column10837" dataDxfId="5575" dataCellStyle="Normal"/>
    <tableColumn id="10859" name="Column10838" dataDxfId="5574" dataCellStyle="Normal"/>
    <tableColumn id="10860" name="Column10839" dataDxfId="5573" dataCellStyle="Normal"/>
    <tableColumn id="10861" name="Column10840" dataDxfId="5572" dataCellStyle="Normal"/>
    <tableColumn id="10862" name="Column10841" dataDxfId="5571" dataCellStyle="Normal"/>
    <tableColumn id="10863" name="Column10842" dataDxfId="5570" dataCellStyle="Normal"/>
    <tableColumn id="10864" name="Column10843" dataDxfId="5569" dataCellStyle="Normal"/>
    <tableColumn id="10865" name="Column10844" dataDxfId="5568" dataCellStyle="Normal"/>
    <tableColumn id="10866" name="Column10845" dataDxfId="5567" dataCellStyle="Normal"/>
    <tableColumn id="10867" name="Column10846" dataDxfId="5566" dataCellStyle="Normal"/>
    <tableColumn id="10868" name="Column10847" dataDxfId="5565" dataCellStyle="Normal"/>
    <tableColumn id="10869" name="Column10848" dataDxfId="5564" dataCellStyle="Normal"/>
    <tableColumn id="10870" name="Column10849" dataDxfId="5563" dataCellStyle="Normal"/>
    <tableColumn id="10871" name="Column10850" dataDxfId="5562" dataCellStyle="Normal"/>
    <tableColumn id="10872" name="Column10851" dataDxfId="5561" dataCellStyle="Normal"/>
    <tableColumn id="10873" name="Column10852" dataDxfId="5560" dataCellStyle="Normal"/>
    <tableColumn id="10874" name="Column10853" dataDxfId="5559" dataCellStyle="Normal"/>
    <tableColumn id="10875" name="Column10854" dataDxfId="5558" dataCellStyle="Normal"/>
    <tableColumn id="10876" name="Column10855" dataDxfId="5557" dataCellStyle="Normal"/>
    <tableColumn id="10877" name="Column10856" dataDxfId="5556" dataCellStyle="Normal"/>
    <tableColumn id="10878" name="Column10857" dataDxfId="5555" dataCellStyle="Normal"/>
    <tableColumn id="10879" name="Column10858" dataDxfId="5554" dataCellStyle="Normal"/>
    <tableColumn id="10880" name="Column10859" dataDxfId="5553" dataCellStyle="Normal"/>
    <tableColumn id="10881" name="Column10860" dataDxfId="5552" dataCellStyle="Normal"/>
    <tableColumn id="10882" name="Column10861" dataDxfId="5551" dataCellStyle="Normal"/>
    <tableColumn id="10883" name="Column10862" dataDxfId="5550" dataCellStyle="Normal"/>
    <tableColumn id="10884" name="Column10863" dataDxfId="5549" dataCellStyle="Normal"/>
    <tableColumn id="10885" name="Column10864" dataDxfId="5548" dataCellStyle="Normal"/>
    <tableColumn id="10886" name="Column10865" dataDxfId="5547" dataCellStyle="Normal"/>
    <tableColumn id="10887" name="Column10866" dataDxfId="5546" dataCellStyle="Normal"/>
    <tableColumn id="10888" name="Column10867" dataDxfId="5545" dataCellStyle="Normal"/>
    <tableColumn id="10889" name="Column10868" dataDxfId="5544" dataCellStyle="Normal"/>
    <tableColumn id="10890" name="Column10869" dataDxfId="5543" dataCellStyle="Normal"/>
    <tableColumn id="10891" name="Column10870" dataDxfId="5542" dataCellStyle="Normal"/>
    <tableColumn id="10892" name="Column10871" dataDxfId="5541" dataCellStyle="Normal"/>
    <tableColumn id="10893" name="Column10872" dataDxfId="5540" dataCellStyle="Normal"/>
    <tableColumn id="10894" name="Column10873" dataDxfId="5539" dataCellStyle="Normal"/>
    <tableColumn id="10895" name="Column10874" dataDxfId="5538" dataCellStyle="Normal"/>
    <tableColumn id="10896" name="Column10875" dataDxfId="5537" dataCellStyle="Normal"/>
    <tableColumn id="10897" name="Column10876" dataDxfId="5536" dataCellStyle="Normal"/>
    <tableColumn id="10898" name="Column10877" dataDxfId="5535" dataCellStyle="Normal"/>
    <tableColumn id="10899" name="Column10878" dataDxfId="5534" dataCellStyle="Normal"/>
    <tableColumn id="10900" name="Column10879" dataDxfId="5533" dataCellStyle="Normal"/>
    <tableColumn id="10901" name="Column10880" dataDxfId="5532" dataCellStyle="Normal"/>
    <tableColumn id="10902" name="Column10881" dataDxfId="5531" dataCellStyle="Normal"/>
    <tableColumn id="10903" name="Column10882" dataDxfId="5530" dataCellStyle="Normal"/>
    <tableColumn id="10904" name="Column10883" dataDxfId="5529" dataCellStyle="Normal"/>
    <tableColumn id="10905" name="Column10884" dataDxfId="5528" dataCellStyle="Normal"/>
    <tableColumn id="10906" name="Column10885" dataDxfId="5527" dataCellStyle="Normal"/>
    <tableColumn id="10907" name="Column10886" dataDxfId="5526" dataCellStyle="Normal"/>
    <tableColumn id="10908" name="Column10887" dataDxfId="5525" dataCellStyle="Normal"/>
    <tableColumn id="10909" name="Column10888" dataDxfId="5524" dataCellStyle="Normal"/>
    <tableColumn id="10910" name="Column10889" dataDxfId="5523" dataCellStyle="Normal"/>
    <tableColumn id="10911" name="Column10890" dataDxfId="5522" dataCellStyle="Normal"/>
    <tableColumn id="10912" name="Column10891" dataDxfId="5521" dataCellStyle="Normal"/>
    <tableColumn id="10913" name="Column10892" dataDxfId="5520" dataCellStyle="Normal"/>
    <tableColumn id="10914" name="Column10893" dataDxfId="5519" dataCellStyle="Normal"/>
    <tableColumn id="10915" name="Column10894" dataDxfId="5518" dataCellStyle="Normal"/>
    <tableColumn id="10916" name="Column10895" dataDxfId="5517" dataCellStyle="Normal"/>
    <tableColumn id="10917" name="Column10896" dataDxfId="5516" dataCellStyle="Normal"/>
    <tableColumn id="10918" name="Column10897" dataDxfId="5515" dataCellStyle="Normal"/>
    <tableColumn id="10919" name="Column10898" dataDxfId="5514" dataCellStyle="Normal"/>
    <tableColumn id="10920" name="Column10899" dataDxfId="5513" dataCellStyle="Normal"/>
    <tableColumn id="10921" name="Column10900" dataDxfId="5512" dataCellStyle="Normal"/>
    <tableColumn id="10922" name="Column10901" dataDxfId="5511" dataCellStyle="Normal"/>
    <tableColumn id="10923" name="Column10902" dataDxfId="5510" dataCellStyle="Normal"/>
    <tableColumn id="10924" name="Column10903" dataDxfId="5509" dataCellStyle="Normal"/>
    <tableColumn id="10925" name="Column10904" dataDxfId="5508" dataCellStyle="Normal"/>
    <tableColumn id="10926" name="Column10905" dataDxfId="5507" dataCellStyle="Normal"/>
    <tableColumn id="10927" name="Column10906" dataDxfId="5506" dataCellStyle="Normal"/>
    <tableColumn id="10928" name="Column10907" dataDxfId="5505" dataCellStyle="Normal"/>
    <tableColumn id="10929" name="Column10908" dataDxfId="5504" dataCellStyle="Normal"/>
    <tableColumn id="10930" name="Column10909" dataDxfId="5503" dataCellStyle="Normal"/>
    <tableColumn id="10931" name="Column10910" dataDxfId="5502" dataCellStyle="Normal"/>
    <tableColumn id="10932" name="Column10911" dataDxfId="5501" dataCellStyle="Normal"/>
    <tableColumn id="10933" name="Column10912" dataDxfId="5500" dataCellStyle="Normal"/>
    <tableColumn id="10934" name="Column10913" dataDxfId="5499" dataCellStyle="Normal"/>
    <tableColumn id="10935" name="Column10914" dataDxfId="5498" dataCellStyle="Normal"/>
    <tableColumn id="10936" name="Column10915" dataDxfId="5497" dataCellStyle="Normal"/>
    <tableColumn id="10937" name="Column10916" dataDxfId="5496" dataCellStyle="Normal"/>
    <tableColumn id="10938" name="Column10917" dataDxfId="5495" dataCellStyle="Normal"/>
    <tableColumn id="10939" name="Column10918" dataDxfId="5494" dataCellStyle="Normal"/>
    <tableColumn id="10940" name="Column10919" dataDxfId="5493" dataCellStyle="Normal"/>
    <tableColumn id="10941" name="Column10920" dataDxfId="5492" dataCellStyle="Normal"/>
    <tableColumn id="10942" name="Column10921" dataDxfId="5491" dataCellStyle="Normal"/>
    <tableColumn id="10943" name="Column10922" dataDxfId="5490" dataCellStyle="Normal"/>
    <tableColumn id="10944" name="Column10923" dataDxfId="5489" dataCellStyle="Normal"/>
    <tableColumn id="10945" name="Column10924" dataDxfId="5488" dataCellStyle="Normal"/>
    <tableColumn id="10946" name="Column10925" dataDxfId="5487" dataCellStyle="Normal"/>
    <tableColumn id="10947" name="Column10926" dataDxfId="5486" dataCellStyle="Normal"/>
    <tableColumn id="10948" name="Column10927" dataDxfId="5485" dataCellStyle="Normal"/>
    <tableColumn id="10949" name="Column10928" dataDxfId="5484" dataCellStyle="Normal"/>
    <tableColumn id="10950" name="Column10929" dataDxfId="5483" dataCellStyle="Normal"/>
    <tableColumn id="10951" name="Column10930" dataDxfId="5482" dataCellStyle="Normal"/>
    <tableColumn id="10952" name="Column10931" dataDxfId="5481" dataCellStyle="Normal"/>
    <tableColumn id="10953" name="Column10932" dataDxfId="5480" dataCellStyle="Normal"/>
    <tableColumn id="10954" name="Column10933" dataDxfId="5479" dataCellStyle="Normal"/>
    <tableColumn id="10955" name="Column10934" dataDxfId="5478" dataCellStyle="Normal"/>
    <tableColumn id="10956" name="Column10935" dataDxfId="5477" dataCellStyle="Normal"/>
    <tableColumn id="10957" name="Column10936" dataDxfId="5476" dataCellStyle="Normal"/>
    <tableColumn id="10958" name="Column10937" dataDxfId="5475" dataCellStyle="Normal"/>
    <tableColumn id="10959" name="Column10938" dataDxfId="5474" dataCellStyle="Normal"/>
    <tableColumn id="10960" name="Column10939" dataDxfId="5473" dataCellStyle="Normal"/>
    <tableColumn id="10961" name="Column10940" dataDxfId="5472" dataCellStyle="Normal"/>
    <tableColumn id="10962" name="Column10941" dataDxfId="5471" dataCellStyle="Normal"/>
    <tableColumn id="10963" name="Column10942" dataDxfId="5470" dataCellStyle="Normal"/>
    <tableColumn id="10964" name="Column10943" dataDxfId="5469" dataCellStyle="Normal"/>
    <tableColumn id="10965" name="Column10944" dataDxfId="5468" dataCellStyle="Normal"/>
    <tableColumn id="10966" name="Column10945" dataDxfId="5467" dataCellStyle="Normal"/>
    <tableColumn id="10967" name="Column10946" dataDxfId="5466" dataCellStyle="Normal"/>
    <tableColumn id="10968" name="Column10947" dataDxfId="5465" dataCellStyle="Normal"/>
    <tableColumn id="10969" name="Column10948" dataDxfId="5464" dataCellStyle="Normal"/>
    <tableColumn id="10970" name="Column10949" dataDxfId="5463" dataCellStyle="Normal"/>
    <tableColumn id="10971" name="Column10950" dataDxfId="5462" dataCellStyle="Normal"/>
    <tableColumn id="10972" name="Column10951" dataDxfId="5461" dataCellStyle="Normal"/>
    <tableColumn id="10973" name="Column10952" dataDxfId="5460" dataCellStyle="Normal"/>
    <tableColumn id="10974" name="Column10953" dataDxfId="5459" dataCellStyle="Normal"/>
    <tableColumn id="10975" name="Column10954" dataDxfId="5458" dataCellStyle="Normal"/>
    <tableColumn id="10976" name="Column10955" dataDxfId="5457" dataCellStyle="Normal"/>
    <tableColumn id="10977" name="Column10956" dataDxfId="5456" dataCellStyle="Normal"/>
    <tableColumn id="10978" name="Column10957" dataDxfId="5455" dataCellStyle="Normal"/>
    <tableColumn id="10979" name="Column10958" dataDxfId="5454" dataCellStyle="Normal"/>
    <tableColumn id="10980" name="Column10959" dataDxfId="5453" dataCellStyle="Normal"/>
    <tableColumn id="10981" name="Column10960" dataDxfId="5452" dataCellStyle="Normal"/>
    <tableColumn id="10982" name="Column10961" dataDxfId="5451" dataCellStyle="Normal"/>
    <tableColumn id="10983" name="Column10962" dataDxfId="5450" dataCellStyle="Normal"/>
    <tableColumn id="10984" name="Column10963" dataDxfId="5449" dataCellStyle="Normal"/>
    <tableColumn id="10985" name="Column10964" dataDxfId="5448" dataCellStyle="Normal"/>
    <tableColumn id="10986" name="Column10965" dataDxfId="5447" dataCellStyle="Normal"/>
    <tableColumn id="10987" name="Column10966" dataDxfId="5446" dataCellStyle="Normal"/>
    <tableColumn id="10988" name="Column10967" dataDxfId="5445" dataCellStyle="Normal"/>
    <tableColumn id="10989" name="Column10968" dataDxfId="5444" dataCellStyle="Normal"/>
    <tableColumn id="10990" name="Column10969" dataDxfId="5443" dataCellStyle="Normal"/>
    <tableColumn id="10991" name="Column10970" dataDxfId="5442" dataCellStyle="Normal"/>
    <tableColumn id="10992" name="Column10971" dataDxfId="5441" dataCellStyle="Normal"/>
    <tableColumn id="10993" name="Column10972" dataDxfId="5440" dataCellStyle="Normal"/>
    <tableColumn id="10994" name="Column10973" dataDxfId="5439" dataCellStyle="Normal"/>
    <tableColumn id="10995" name="Column10974" dataDxfId="5438" dataCellStyle="Normal"/>
    <tableColumn id="10996" name="Column10975" dataDxfId="5437" dataCellStyle="Normal"/>
    <tableColumn id="10997" name="Column10976" dataDxfId="5436" dataCellStyle="Normal"/>
    <tableColumn id="10998" name="Column10977" dataDxfId="5435" dataCellStyle="Normal"/>
    <tableColumn id="10999" name="Column10978" dataDxfId="5434" dataCellStyle="Normal"/>
    <tableColumn id="11000" name="Column10979" dataDxfId="5433" dataCellStyle="Normal"/>
    <tableColumn id="11001" name="Column10980" dataDxfId="5432" dataCellStyle="Normal"/>
    <tableColumn id="11002" name="Column10981" dataDxfId="5431" dataCellStyle="Normal"/>
    <tableColumn id="11003" name="Column10982" dataDxfId="5430" dataCellStyle="Normal"/>
    <tableColumn id="11004" name="Column10983" dataDxfId="5429" dataCellStyle="Normal"/>
    <tableColumn id="11005" name="Column10984" dataDxfId="5428" dataCellStyle="Normal"/>
    <tableColumn id="11006" name="Column10985" dataDxfId="5427" dataCellStyle="Normal"/>
    <tableColumn id="11007" name="Column10986" dataDxfId="5426" dataCellStyle="Normal"/>
    <tableColumn id="11008" name="Column10987" dataDxfId="5425" dataCellStyle="Normal"/>
    <tableColumn id="11009" name="Column10988" dataDxfId="5424" dataCellStyle="Normal"/>
    <tableColumn id="11010" name="Column10989" dataDxfId="5423" dataCellStyle="Normal"/>
    <tableColumn id="11011" name="Column10990" dataDxfId="5422" dataCellStyle="Normal"/>
    <tableColumn id="11012" name="Column10991" dataDxfId="5421" dataCellStyle="Normal"/>
    <tableColumn id="11013" name="Column10992" dataDxfId="5420" dataCellStyle="Normal"/>
    <tableColumn id="11014" name="Column10993" dataDxfId="5419" dataCellStyle="Normal"/>
    <tableColumn id="11015" name="Column10994" dataDxfId="5418" dataCellStyle="Normal"/>
    <tableColumn id="11016" name="Column10995" dataDxfId="5417" dataCellStyle="Normal"/>
    <tableColumn id="11017" name="Column10996" dataDxfId="5416" dataCellStyle="Normal"/>
    <tableColumn id="11018" name="Column10997" dataDxfId="5415" dataCellStyle="Normal"/>
    <tableColumn id="11019" name="Column10998" dataDxfId="5414" dataCellStyle="Normal"/>
    <tableColumn id="11020" name="Column10999" dataDxfId="5413" dataCellStyle="Normal"/>
    <tableColumn id="11021" name="Column11000" dataDxfId="5412" dataCellStyle="Normal"/>
    <tableColumn id="11022" name="Column11001" dataDxfId="5411" dataCellStyle="Normal"/>
    <tableColumn id="11023" name="Column11002" dataDxfId="5410" dataCellStyle="Normal"/>
    <tableColumn id="11024" name="Column11003" dataDxfId="5409" dataCellStyle="Normal"/>
    <tableColumn id="11025" name="Column11004" dataDxfId="5408" dataCellStyle="Normal"/>
    <tableColumn id="11026" name="Column11005" dataDxfId="5407" dataCellStyle="Normal"/>
    <tableColumn id="11027" name="Column11006" dataDxfId="5406" dataCellStyle="Normal"/>
    <tableColumn id="11028" name="Column11007" dataDxfId="5405" dataCellStyle="Normal"/>
    <tableColumn id="11029" name="Column11008" dataDxfId="5404" dataCellStyle="Normal"/>
    <tableColumn id="11030" name="Column11009" dataDxfId="5403" dataCellStyle="Normal"/>
    <tableColumn id="11031" name="Column11010" dataDxfId="5402" dataCellStyle="Normal"/>
    <tableColumn id="11032" name="Column11011" dataDxfId="5401" dataCellStyle="Normal"/>
    <tableColumn id="11033" name="Column11012" dataDxfId="5400" dataCellStyle="Normal"/>
    <tableColumn id="11034" name="Column11013" dataDxfId="5399" dataCellStyle="Normal"/>
    <tableColumn id="11035" name="Column11014" dataDxfId="5398" dataCellStyle="Normal"/>
    <tableColumn id="11036" name="Column11015" dataDxfId="5397" dataCellStyle="Normal"/>
    <tableColumn id="11037" name="Column11016" dataDxfId="5396" dataCellStyle="Normal"/>
    <tableColumn id="11038" name="Column11017" dataDxfId="5395" dataCellStyle="Normal"/>
    <tableColumn id="11039" name="Column11018" dataDxfId="5394" dataCellStyle="Normal"/>
    <tableColumn id="11040" name="Column11019" dataDxfId="5393" dataCellStyle="Normal"/>
    <tableColumn id="11041" name="Column11020" dataDxfId="5392" dataCellStyle="Normal"/>
    <tableColumn id="11042" name="Column11021" dataDxfId="5391" dataCellStyle="Normal"/>
    <tableColumn id="11043" name="Column11022" dataDxfId="5390" dataCellStyle="Normal"/>
    <tableColumn id="11044" name="Column11023" dataDxfId="5389" dataCellStyle="Normal"/>
    <tableColumn id="11045" name="Column11024" dataDxfId="5388" dataCellStyle="Normal"/>
    <tableColumn id="11046" name="Column11025" dataDxfId="5387" dataCellStyle="Normal"/>
    <tableColumn id="11047" name="Column11026" dataDxfId="5386" dataCellStyle="Normal"/>
    <tableColumn id="11048" name="Column11027" dataDxfId="5385" dataCellStyle="Normal"/>
    <tableColumn id="11049" name="Column11028" dataDxfId="5384" dataCellStyle="Normal"/>
    <tableColumn id="11050" name="Column11029" dataDxfId="5383" dataCellStyle="Normal"/>
    <tableColumn id="11051" name="Column11030" dataDxfId="5382" dataCellStyle="Normal"/>
    <tableColumn id="11052" name="Column11031" dataDxfId="5381" dataCellStyle="Normal"/>
    <tableColumn id="11053" name="Column11032" dataDxfId="5380" dataCellStyle="Normal"/>
    <tableColumn id="11054" name="Column11033" dataDxfId="5379" dataCellStyle="Normal"/>
    <tableColumn id="11055" name="Column11034" dataDxfId="5378" dataCellStyle="Normal"/>
    <tableColumn id="11056" name="Column11035" dataDxfId="5377" dataCellStyle="Normal"/>
    <tableColumn id="11057" name="Column11036" dataDxfId="5376" dataCellStyle="Normal"/>
    <tableColumn id="11058" name="Column11037" dataDxfId="5375" dataCellStyle="Normal"/>
    <tableColumn id="11059" name="Column11038" dataDxfId="5374" dataCellStyle="Normal"/>
    <tableColumn id="11060" name="Column11039" dataDxfId="5373" dataCellStyle="Normal"/>
    <tableColumn id="11061" name="Column11040" dataDxfId="5372" dataCellStyle="Normal"/>
    <tableColumn id="11062" name="Column11041" dataDxfId="5371" dataCellStyle="Normal"/>
    <tableColumn id="11063" name="Column11042" dataDxfId="5370" dataCellStyle="Normal"/>
    <tableColumn id="11064" name="Column11043" dataDxfId="5369" dataCellStyle="Normal"/>
    <tableColumn id="11065" name="Column11044" dataDxfId="5368" dataCellStyle="Normal"/>
    <tableColumn id="11066" name="Column11045" dataDxfId="5367" dataCellStyle="Normal"/>
    <tableColumn id="11067" name="Column11046" dataDxfId="5366" dataCellStyle="Normal"/>
    <tableColumn id="11068" name="Column11047" dataDxfId="5365" dataCellStyle="Normal"/>
    <tableColumn id="11069" name="Column11048" dataDxfId="5364" dataCellStyle="Normal"/>
    <tableColumn id="11070" name="Column11049" dataDxfId="5363" dataCellStyle="Normal"/>
    <tableColumn id="11071" name="Column11050" dataDxfId="5362" dataCellStyle="Normal"/>
    <tableColumn id="11072" name="Column11051" dataDxfId="5361" dataCellStyle="Normal"/>
    <tableColumn id="11073" name="Column11052" dataDxfId="5360" dataCellStyle="Normal"/>
    <tableColumn id="11074" name="Column11053" dataDxfId="5359" dataCellStyle="Normal"/>
    <tableColumn id="11075" name="Column11054" dataDxfId="5358" dataCellStyle="Normal"/>
    <tableColumn id="11076" name="Column11055" dataDxfId="5357" dataCellStyle="Normal"/>
    <tableColumn id="11077" name="Column11056" dataDxfId="5356" dataCellStyle="Normal"/>
    <tableColumn id="11078" name="Column11057" dataDxfId="5355" dataCellStyle="Normal"/>
    <tableColumn id="11079" name="Column11058" dataDxfId="5354" dataCellStyle="Normal"/>
    <tableColumn id="11080" name="Column11059" dataDxfId="5353" dataCellStyle="Normal"/>
    <tableColumn id="11081" name="Column11060" dataDxfId="5352" dataCellStyle="Normal"/>
    <tableColumn id="11082" name="Column11061" dataDxfId="5351" dataCellStyle="Normal"/>
    <tableColumn id="11083" name="Column11062" dataDxfId="5350" dataCellStyle="Normal"/>
    <tableColumn id="11084" name="Column11063" dataDxfId="5349" dataCellStyle="Normal"/>
    <tableColumn id="11085" name="Column11064" dataDxfId="5348" dataCellStyle="Normal"/>
    <tableColumn id="11086" name="Column11065" dataDxfId="5347" dataCellStyle="Normal"/>
    <tableColumn id="11087" name="Column11066" dataDxfId="5346" dataCellStyle="Normal"/>
    <tableColumn id="11088" name="Column11067" dataDxfId="5345" dataCellStyle="Normal"/>
    <tableColumn id="11089" name="Column11068" dataDxfId="5344" dataCellStyle="Normal"/>
    <tableColumn id="11090" name="Column11069" dataDxfId="5343" dataCellStyle="Normal"/>
    <tableColumn id="11091" name="Column11070" dataDxfId="5342" dataCellStyle="Normal"/>
    <tableColumn id="11092" name="Column11071" dataDxfId="5341" dataCellStyle="Normal"/>
    <tableColumn id="11093" name="Column11072" dataDxfId="5340" dataCellStyle="Normal"/>
    <tableColumn id="11094" name="Column11073" dataDxfId="5339" dataCellStyle="Normal"/>
    <tableColumn id="11095" name="Column11074" dataDxfId="5338" dataCellStyle="Normal"/>
    <tableColumn id="11096" name="Column11075" dataDxfId="5337" dataCellStyle="Normal"/>
    <tableColumn id="11097" name="Column11076" dataDxfId="5336" dataCellStyle="Normal"/>
    <tableColumn id="11098" name="Column11077" dataDxfId="5335" dataCellStyle="Normal"/>
    <tableColumn id="11099" name="Column11078" dataDxfId="5334" dataCellStyle="Normal"/>
    <tableColumn id="11100" name="Column11079" dataDxfId="5333" dataCellStyle="Normal"/>
    <tableColumn id="11101" name="Column11080" dataDxfId="5332" dataCellStyle="Normal"/>
    <tableColumn id="11102" name="Column11081" dataDxfId="5331" dataCellStyle="Normal"/>
    <tableColumn id="11103" name="Column11082" dataDxfId="5330" dataCellStyle="Normal"/>
    <tableColumn id="11104" name="Column11083" dataDxfId="5329" dataCellStyle="Normal"/>
    <tableColumn id="11105" name="Column11084" dataDxfId="5328" dataCellStyle="Normal"/>
    <tableColumn id="11106" name="Column11085" dataDxfId="5327" dataCellStyle="Normal"/>
    <tableColumn id="11107" name="Column11086" dataDxfId="5326" dataCellStyle="Normal"/>
    <tableColumn id="11108" name="Column11087" dataDxfId="5325" dataCellStyle="Normal"/>
    <tableColumn id="11109" name="Column11088" dataDxfId="5324" dataCellStyle="Normal"/>
    <tableColumn id="11110" name="Column11089" dataDxfId="5323" dataCellStyle="Normal"/>
    <tableColumn id="11111" name="Column11090" dataDxfId="5322" dataCellStyle="Normal"/>
    <tableColumn id="11112" name="Column11091" dataDxfId="5321" dataCellStyle="Normal"/>
    <tableColumn id="11113" name="Column11092" dataDxfId="5320" dataCellStyle="Normal"/>
    <tableColumn id="11114" name="Column11093" dataDxfId="5319" dataCellStyle="Normal"/>
    <tableColumn id="11115" name="Column11094" dataDxfId="5318" dataCellStyle="Normal"/>
    <tableColumn id="11116" name="Column11095" dataDxfId="5317" dataCellStyle="Normal"/>
    <tableColumn id="11117" name="Column11096" dataDxfId="5316" dataCellStyle="Normal"/>
    <tableColumn id="11118" name="Column11097" dataDxfId="5315" dataCellStyle="Normal"/>
    <tableColumn id="11119" name="Column11098" dataDxfId="5314" dataCellStyle="Normal"/>
    <tableColumn id="11120" name="Column11099" dataDxfId="5313" dataCellStyle="Normal"/>
    <tableColumn id="11121" name="Column11100" dataDxfId="5312" dataCellStyle="Normal"/>
    <tableColumn id="11122" name="Column11101" dataDxfId="5311" dataCellStyle="Normal"/>
    <tableColumn id="11123" name="Column11102" dataDxfId="5310" dataCellStyle="Normal"/>
    <tableColumn id="11124" name="Column11103" dataDxfId="5309" dataCellStyle="Normal"/>
    <tableColumn id="11125" name="Column11104" dataDxfId="5308" dataCellStyle="Normal"/>
    <tableColumn id="11126" name="Column11105" dataDxfId="5307" dataCellStyle="Normal"/>
    <tableColumn id="11127" name="Column11106" dataDxfId="5306" dataCellStyle="Normal"/>
    <tableColumn id="11128" name="Column11107" dataDxfId="5305" dataCellStyle="Normal"/>
    <tableColumn id="11129" name="Column11108" dataDxfId="5304" dataCellStyle="Normal"/>
    <tableColumn id="11130" name="Column11109" dataDxfId="5303" dataCellStyle="Normal"/>
    <tableColumn id="11131" name="Column11110" dataDxfId="5302" dataCellStyle="Normal"/>
    <tableColumn id="11132" name="Column11111" dataDxfId="5301" dataCellStyle="Normal"/>
    <tableColumn id="11133" name="Column11112" dataDxfId="5300" dataCellStyle="Normal"/>
    <tableColumn id="11134" name="Column11113" dataDxfId="5299" dataCellStyle="Normal"/>
    <tableColumn id="11135" name="Column11114" dataDxfId="5298" dataCellStyle="Normal"/>
    <tableColumn id="11136" name="Column11115" dataDxfId="5297" dataCellStyle="Normal"/>
    <tableColumn id="11137" name="Column11116" dataDxfId="5296" dataCellStyle="Normal"/>
    <tableColumn id="11138" name="Column11117" dataDxfId="5295" dataCellStyle="Normal"/>
    <tableColumn id="11139" name="Column11118" dataDxfId="5294" dataCellStyle="Normal"/>
    <tableColumn id="11140" name="Column11119" dataDxfId="5293" dataCellStyle="Normal"/>
    <tableColumn id="11141" name="Column11120" dataDxfId="5292" dataCellStyle="Normal"/>
    <tableColumn id="11142" name="Column11121" dataDxfId="5291" dataCellStyle="Normal"/>
    <tableColumn id="11143" name="Column11122" dataDxfId="5290" dataCellStyle="Normal"/>
    <tableColumn id="11144" name="Column11123" dataDxfId="5289" dataCellStyle="Normal"/>
    <tableColumn id="11145" name="Column11124" dataDxfId="5288" dataCellStyle="Normal"/>
    <tableColumn id="11146" name="Column11125" dataDxfId="5287" dataCellStyle="Normal"/>
    <tableColumn id="11147" name="Column11126" dataDxfId="5286" dataCellStyle="Normal"/>
    <tableColumn id="11148" name="Column11127" dataDxfId="5285" dataCellStyle="Normal"/>
    <tableColumn id="11149" name="Column11128" dataDxfId="5284" dataCellStyle="Normal"/>
    <tableColumn id="11150" name="Column11129" dataDxfId="5283" dataCellStyle="Normal"/>
    <tableColumn id="11151" name="Column11130" dataDxfId="5282" dataCellStyle="Normal"/>
    <tableColumn id="11152" name="Column11131" dataDxfId="5281" dataCellStyle="Normal"/>
    <tableColumn id="11153" name="Column11132" dataDxfId="5280" dataCellStyle="Normal"/>
    <tableColumn id="11154" name="Column11133" dataDxfId="5279" dataCellStyle="Normal"/>
    <tableColumn id="11155" name="Column11134" dataDxfId="5278" dataCellStyle="Normal"/>
    <tableColumn id="11156" name="Column11135" dataDxfId="5277" dataCellStyle="Normal"/>
    <tableColumn id="11157" name="Column11136" dataDxfId="5276" dataCellStyle="Normal"/>
    <tableColumn id="11158" name="Column11137" dataDxfId="5275" dataCellStyle="Normal"/>
    <tableColumn id="11159" name="Column11138" dataDxfId="5274" dataCellStyle="Normal"/>
    <tableColumn id="11160" name="Column11139" dataDxfId="5273" dataCellStyle="Normal"/>
    <tableColumn id="11161" name="Column11140" dataDxfId="5272" dataCellStyle="Normal"/>
    <tableColumn id="11162" name="Column11141" dataDxfId="5271" dataCellStyle="Normal"/>
    <tableColumn id="11163" name="Column11142" dataDxfId="5270" dataCellStyle="Normal"/>
    <tableColumn id="11164" name="Column11143" dataDxfId="5269" dataCellStyle="Normal"/>
    <tableColumn id="11165" name="Column11144" dataDxfId="5268" dataCellStyle="Normal"/>
    <tableColumn id="11166" name="Column11145" dataDxfId="5267" dataCellStyle="Normal"/>
    <tableColumn id="11167" name="Column11146" dataDxfId="5266" dataCellStyle="Normal"/>
    <tableColumn id="11168" name="Column11147" dataDxfId="5265" dataCellStyle="Normal"/>
    <tableColumn id="11169" name="Column11148" dataDxfId="5264" dataCellStyle="Normal"/>
    <tableColumn id="11170" name="Column11149" dataDxfId="5263" dataCellStyle="Normal"/>
    <tableColumn id="11171" name="Column11150" dataDxfId="5262" dataCellStyle="Normal"/>
    <tableColumn id="11172" name="Column11151" dataDxfId="5261" dataCellStyle="Normal"/>
    <tableColumn id="11173" name="Column11152" dataDxfId="5260" dataCellStyle="Normal"/>
    <tableColumn id="11174" name="Column11153" dataDxfId="5259" dataCellStyle="Normal"/>
    <tableColumn id="11175" name="Column11154" dataDxfId="5258" dataCellStyle="Normal"/>
    <tableColumn id="11176" name="Column11155" dataDxfId="5257" dataCellStyle="Normal"/>
    <tableColumn id="11177" name="Column11156" dataDxfId="5256" dataCellStyle="Normal"/>
    <tableColumn id="11178" name="Column11157" dataDxfId="5255" dataCellStyle="Normal"/>
    <tableColumn id="11179" name="Column11158" dataDxfId="5254" dataCellStyle="Normal"/>
    <tableColumn id="11180" name="Column11159" dataDxfId="5253" dataCellStyle="Normal"/>
    <tableColumn id="11181" name="Column11160" dataDxfId="5252" dataCellStyle="Normal"/>
    <tableColumn id="11182" name="Column11161" dataDxfId="5251" dataCellStyle="Normal"/>
    <tableColumn id="11183" name="Column11162" dataDxfId="5250" dataCellStyle="Normal"/>
    <tableColumn id="11184" name="Column11163" dataDxfId="5249" dataCellStyle="Normal"/>
    <tableColumn id="11185" name="Column11164" dataDxfId="5248" dataCellStyle="Normal"/>
    <tableColumn id="11186" name="Column11165" dataDxfId="5247" dataCellStyle="Normal"/>
    <tableColumn id="11187" name="Column11166" dataDxfId="5246" dataCellStyle="Normal"/>
    <tableColumn id="11188" name="Column11167" dataDxfId="5245" dataCellStyle="Normal"/>
    <tableColumn id="11189" name="Column11168" dataDxfId="5244" dataCellStyle="Normal"/>
    <tableColumn id="11190" name="Column11169" dataDxfId="5243" dataCellStyle="Normal"/>
    <tableColumn id="11191" name="Column11170" dataDxfId="5242" dataCellStyle="Normal"/>
    <tableColumn id="11192" name="Column11171" dataDxfId="5241" dataCellStyle="Normal"/>
    <tableColumn id="11193" name="Column11172" dataDxfId="5240" dataCellStyle="Normal"/>
    <tableColumn id="11194" name="Column11173" dataDxfId="5239" dataCellStyle="Normal"/>
    <tableColumn id="11195" name="Column11174" dataDxfId="5238" dataCellStyle="Normal"/>
    <tableColumn id="11196" name="Column11175" dataDxfId="5237" dataCellStyle="Normal"/>
    <tableColumn id="11197" name="Column11176" dataDxfId="5236" dataCellStyle="Normal"/>
    <tableColumn id="11198" name="Column11177" dataDxfId="5235" dataCellStyle="Normal"/>
    <tableColumn id="11199" name="Column11178" dataDxfId="5234" dataCellStyle="Normal"/>
    <tableColumn id="11200" name="Column11179" dataDxfId="5233" dataCellStyle="Normal"/>
    <tableColumn id="11201" name="Column11180" dataDxfId="5232" dataCellStyle="Normal"/>
    <tableColumn id="11202" name="Column11181" dataDxfId="5231" dataCellStyle="Normal"/>
    <tableColumn id="11203" name="Column11182" dataDxfId="5230" dataCellStyle="Normal"/>
    <tableColumn id="11204" name="Column11183" dataDxfId="5229" dataCellStyle="Normal"/>
    <tableColumn id="11205" name="Column11184" dataDxfId="5228" dataCellStyle="Normal"/>
    <tableColumn id="11206" name="Column11185" dataDxfId="5227" dataCellStyle="Normal"/>
    <tableColumn id="11207" name="Column11186" dataDxfId="5226" dataCellStyle="Normal"/>
    <tableColumn id="11208" name="Column11187" dataDxfId="5225" dataCellStyle="Normal"/>
    <tableColumn id="11209" name="Column11188" dataDxfId="5224" dataCellStyle="Normal"/>
    <tableColumn id="11210" name="Column11189" dataDxfId="5223" dataCellStyle="Normal"/>
    <tableColumn id="11211" name="Column11190" dataDxfId="5222" dataCellStyle="Normal"/>
    <tableColumn id="11212" name="Column11191" dataDxfId="5221" dataCellStyle="Normal"/>
    <tableColumn id="11213" name="Column11192" dataDxfId="5220" dataCellStyle="Normal"/>
    <tableColumn id="11214" name="Column11193" dataDxfId="5219" dataCellStyle="Normal"/>
    <tableColumn id="11215" name="Column11194" dataDxfId="5218" dataCellStyle="Normal"/>
    <tableColumn id="11216" name="Column11195" dataDxfId="5217" dataCellStyle="Normal"/>
    <tableColumn id="11217" name="Column11196" dataDxfId="5216" dataCellStyle="Normal"/>
    <tableColumn id="11218" name="Column11197" dataDxfId="5215" dataCellStyle="Normal"/>
    <tableColumn id="11219" name="Column11198" dataDxfId="5214" dataCellStyle="Normal"/>
    <tableColumn id="11220" name="Column11199" dataDxfId="5213" dataCellStyle="Normal"/>
    <tableColumn id="11221" name="Column11200" dataDxfId="5212" dataCellStyle="Normal"/>
    <tableColumn id="11222" name="Column11201" dataDxfId="5211" dataCellStyle="Normal"/>
    <tableColumn id="11223" name="Column11202" dataDxfId="5210" dataCellStyle="Normal"/>
    <tableColumn id="11224" name="Column11203" dataDxfId="5209" dataCellStyle="Normal"/>
    <tableColumn id="11225" name="Column11204" dataDxfId="5208" dataCellStyle="Normal"/>
    <tableColumn id="11226" name="Column11205" dataDxfId="5207" dataCellStyle="Normal"/>
    <tableColumn id="11227" name="Column11206" dataDxfId="5206" dataCellStyle="Normal"/>
    <tableColumn id="11228" name="Column11207" dataDxfId="5205" dataCellStyle="Normal"/>
    <tableColumn id="11229" name="Column11208" dataDxfId="5204" dataCellStyle="Normal"/>
    <tableColumn id="11230" name="Column11209" dataDxfId="5203" dataCellStyle="Normal"/>
    <tableColumn id="11231" name="Column11210" dataDxfId="5202" dataCellStyle="Normal"/>
    <tableColumn id="11232" name="Column11211" dataDxfId="5201" dataCellStyle="Normal"/>
    <tableColumn id="11233" name="Column11212" dataDxfId="5200" dataCellStyle="Normal"/>
    <tableColumn id="11234" name="Column11213" dataDxfId="5199" dataCellStyle="Normal"/>
    <tableColumn id="11235" name="Column11214" dataDxfId="5198" dataCellStyle="Normal"/>
    <tableColumn id="11236" name="Column11215" dataDxfId="5197" dataCellStyle="Normal"/>
    <tableColumn id="11237" name="Column11216" dataDxfId="5196" dataCellStyle="Normal"/>
    <tableColumn id="11238" name="Column11217" dataDxfId="5195" dataCellStyle="Normal"/>
    <tableColumn id="11239" name="Column11218" dataDxfId="5194" dataCellStyle="Normal"/>
    <tableColumn id="11240" name="Column11219" dataDxfId="5193" dataCellStyle="Normal"/>
    <tableColumn id="11241" name="Column11220" dataDxfId="5192" dataCellStyle="Normal"/>
    <tableColumn id="11242" name="Column11221" dataDxfId="5191" dataCellStyle="Normal"/>
    <tableColumn id="11243" name="Column11222" dataDxfId="5190" dataCellStyle="Normal"/>
    <tableColumn id="11244" name="Column11223" dataDxfId="5189" dataCellStyle="Normal"/>
    <tableColumn id="11245" name="Column11224" dataDxfId="5188" dataCellStyle="Normal"/>
    <tableColumn id="11246" name="Column11225" dataDxfId="5187" dataCellStyle="Normal"/>
    <tableColumn id="11247" name="Column11226" dataDxfId="5186" dataCellStyle="Normal"/>
    <tableColumn id="11248" name="Column11227" dataDxfId="5185" dataCellStyle="Normal"/>
    <tableColumn id="11249" name="Column11228" dataDxfId="5184" dataCellStyle="Normal"/>
    <tableColumn id="11250" name="Column11229" dataDxfId="5183" dataCellStyle="Normal"/>
    <tableColumn id="11251" name="Column11230" dataDxfId="5182" dataCellStyle="Normal"/>
    <tableColumn id="11252" name="Column11231" dataDxfId="5181" dataCellStyle="Normal"/>
    <tableColumn id="11253" name="Column11232" dataDxfId="5180" dataCellStyle="Normal"/>
    <tableColumn id="11254" name="Column11233" dataDxfId="5179" dataCellStyle="Normal"/>
    <tableColumn id="11255" name="Column11234" dataDxfId="5178" dataCellStyle="Normal"/>
    <tableColumn id="11256" name="Column11235" dataDxfId="5177" dataCellStyle="Normal"/>
    <tableColumn id="11257" name="Column11236" dataDxfId="5176" dataCellStyle="Normal"/>
    <tableColumn id="11258" name="Column11237" dataDxfId="5175" dataCellStyle="Normal"/>
    <tableColumn id="11259" name="Column11238" dataDxfId="5174" dataCellStyle="Normal"/>
    <tableColumn id="11260" name="Column11239" dataDxfId="5173" dataCellStyle="Normal"/>
    <tableColumn id="11261" name="Column11240" dataDxfId="5172" dataCellStyle="Normal"/>
    <tableColumn id="11262" name="Column11241" dataDxfId="5171" dataCellStyle="Normal"/>
    <tableColumn id="11263" name="Column11242" dataDxfId="5170" dataCellStyle="Normal"/>
    <tableColumn id="11264" name="Column11243" dataDxfId="5169" dataCellStyle="Normal"/>
    <tableColumn id="11265" name="Column11244" dataDxfId="5168" dataCellStyle="Normal"/>
    <tableColumn id="11266" name="Column11245" dataDxfId="5167" dataCellStyle="Normal"/>
    <tableColumn id="11267" name="Column11246" dataDxfId="5166" dataCellStyle="Normal"/>
    <tableColumn id="11268" name="Column11247" dataDxfId="5165" dataCellStyle="Normal"/>
    <tableColumn id="11269" name="Column11248" dataDxfId="5164" dataCellStyle="Normal"/>
    <tableColumn id="11270" name="Column11249" dataDxfId="5163" dataCellStyle="Normal"/>
    <tableColumn id="11271" name="Column11250" dataDxfId="5162" dataCellStyle="Normal"/>
    <tableColumn id="11272" name="Column11251" dataDxfId="5161" dataCellStyle="Normal"/>
    <tableColumn id="11273" name="Column11252" dataDxfId="5160" dataCellStyle="Normal"/>
    <tableColumn id="11274" name="Column11253" dataDxfId="5159" dataCellStyle="Normal"/>
    <tableColumn id="11275" name="Column11254" dataDxfId="5158" dataCellStyle="Normal"/>
    <tableColumn id="11276" name="Column11255" dataDxfId="5157" dataCellStyle="Normal"/>
    <tableColumn id="11277" name="Column11256" dataDxfId="5156" dataCellStyle="Normal"/>
    <tableColumn id="11278" name="Column11257" dataDxfId="5155" dataCellStyle="Normal"/>
    <tableColumn id="11279" name="Column11258" dataDxfId="5154" dataCellStyle="Normal"/>
    <tableColumn id="11280" name="Column11259" dataDxfId="5153" dataCellStyle="Normal"/>
    <tableColumn id="11281" name="Column11260" dataDxfId="5152" dataCellStyle="Normal"/>
    <tableColumn id="11282" name="Column11261" dataDxfId="5151" dataCellStyle="Normal"/>
    <tableColumn id="11283" name="Column11262" dataDxfId="5150" dataCellStyle="Normal"/>
    <tableColumn id="11284" name="Column11263" dataDxfId="5149" dataCellStyle="Normal"/>
    <tableColumn id="11285" name="Column11264" dataDxfId="5148" dataCellStyle="Normal"/>
    <tableColumn id="11286" name="Column11265" dataDxfId="5147" dataCellStyle="Normal"/>
    <tableColumn id="11287" name="Column11266" dataDxfId="5146" dataCellStyle="Normal"/>
    <tableColumn id="11288" name="Column11267" dataDxfId="5145" dataCellStyle="Normal"/>
    <tableColumn id="11289" name="Column11268" dataDxfId="5144" dataCellStyle="Normal"/>
    <tableColumn id="11290" name="Column11269" dataDxfId="5143" dataCellStyle="Normal"/>
    <tableColumn id="11291" name="Column11270" dataDxfId="5142" dataCellStyle="Normal"/>
    <tableColumn id="11292" name="Column11271" dataDxfId="5141" dataCellStyle="Normal"/>
    <tableColumn id="11293" name="Column11272" dataDxfId="5140" dataCellStyle="Normal"/>
    <tableColumn id="11294" name="Column11273" dataDxfId="5139" dataCellStyle="Normal"/>
    <tableColumn id="11295" name="Column11274" dataDxfId="5138" dataCellStyle="Normal"/>
    <tableColumn id="11296" name="Column11275" dataDxfId="5137" dataCellStyle="Normal"/>
    <tableColumn id="11297" name="Column11276" dataDxfId="5136" dataCellStyle="Normal"/>
    <tableColumn id="11298" name="Column11277" dataDxfId="5135" dataCellStyle="Normal"/>
    <tableColumn id="11299" name="Column11278" dataDxfId="5134" dataCellStyle="Normal"/>
    <tableColumn id="11300" name="Column11279" dataDxfId="5133" dataCellStyle="Normal"/>
    <tableColumn id="11301" name="Column11280" dataDxfId="5132" dataCellStyle="Normal"/>
    <tableColumn id="11302" name="Column11281" dataDxfId="5131" dataCellStyle="Normal"/>
    <tableColumn id="11303" name="Column11282" dataDxfId="5130" dataCellStyle="Normal"/>
    <tableColumn id="11304" name="Column11283" dataDxfId="5129" dataCellStyle="Normal"/>
    <tableColumn id="11305" name="Column11284" dataDxfId="5128" dataCellStyle="Normal"/>
    <tableColumn id="11306" name="Column11285" dataDxfId="5127" dataCellStyle="Normal"/>
    <tableColumn id="11307" name="Column11286" dataDxfId="5126" dataCellStyle="Normal"/>
    <tableColumn id="11308" name="Column11287" dataDxfId="5125" dataCellStyle="Normal"/>
    <tableColumn id="11309" name="Column11288" dataDxfId="5124" dataCellStyle="Normal"/>
    <tableColumn id="11310" name="Column11289" dataDxfId="5123" dataCellStyle="Normal"/>
    <tableColumn id="11311" name="Column11290" dataDxfId="5122" dataCellStyle="Normal"/>
    <tableColumn id="11312" name="Column11291" dataDxfId="5121" dataCellStyle="Normal"/>
    <tableColumn id="11313" name="Column11292" dataDxfId="5120" dataCellStyle="Normal"/>
    <tableColumn id="11314" name="Column11293" dataDxfId="5119" dataCellStyle="Normal"/>
    <tableColumn id="11315" name="Column11294" dataDxfId="5118" dataCellStyle="Normal"/>
    <tableColumn id="11316" name="Column11295" dataDxfId="5117" dataCellStyle="Normal"/>
    <tableColumn id="11317" name="Column11296" dataDxfId="5116" dataCellStyle="Normal"/>
    <tableColumn id="11318" name="Column11297" dataDxfId="5115" dataCellStyle="Normal"/>
    <tableColumn id="11319" name="Column11298" dataDxfId="5114" dataCellStyle="Normal"/>
    <tableColumn id="11320" name="Column11299" dataDxfId="5113" dataCellStyle="Normal"/>
    <tableColumn id="11321" name="Column11300" dataDxfId="5112" dataCellStyle="Normal"/>
    <tableColumn id="11322" name="Column11301" dataDxfId="5111" dataCellStyle="Normal"/>
    <tableColumn id="11323" name="Column11302" dataDxfId="5110" dataCellStyle="Normal"/>
    <tableColumn id="11324" name="Column11303" dataDxfId="5109" dataCellStyle="Normal"/>
    <tableColumn id="11325" name="Column11304" dataDxfId="5108" dataCellStyle="Normal"/>
    <tableColumn id="11326" name="Column11305" dataDxfId="5107" dataCellStyle="Normal"/>
    <tableColumn id="11327" name="Column11306" dataDxfId="5106" dataCellStyle="Normal"/>
    <tableColumn id="11328" name="Column11307" dataDxfId="5105" dataCellStyle="Normal"/>
    <tableColumn id="11329" name="Column11308" dataDxfId="5104" dataCellStyle="Normal"/>
    <tableColumn id="11330" name="Column11309" dataDxfId="5103" dataCellStyle="Normal"/>
    <tableColumn id="11331" name="Column11310" dataDxfId="5102" dataCellStyle="Normal"/>
    <tableColumn id="11332" name="Column11311" dataDxfId="5101" dataCellStyle="Normal"/>
    <tableColumn id="11333" name="Column11312" dataDxfId="5100" dataCellStyle="Normal"/>
    <tableColumn id="11334" name="Column11313" dataDxfId="5099" dataCellStyle="Normal"/>
    <tableColumn id="11335" name="Column11314" dataDxfId="5098" dataCellStyle="Normal"/>
    <tableColumn id="11336" name="Column11315" dataDxfId="5097" dataCellStyle="Normal"/>
    <tableColumn id="11337" name="Column11316" dataDxfId="5096" dataCellStyle="Normal"/>
    <tableColumn id="11338" name="Column11317" dataDxfId="5095" dataCellStyle="Normal"/>
    <tableColumn id="11339" name="Column11318" dataDxfId="5094" dataCellStyle="Normal"/>
    <tableColumn id="11340" name="Column11319" dataDxfId="5093" dataCellStyle="Normal"/>
    <tableColumn id="11341" name="Column11320" dataDxfId="5092" dataCellStyle="Normal"/>
    <tableColumn id="11342" name="Column11321" dataDxfId="5091" dataCellStyle="Normal"/>
    <tableColumn id="11343" name="Column11322" dataDxfId="5090" dataCellStyle="Normal"/>
    <tableColumn id="11344" name="Column11323" dataDxfId="5089" dataCellStyle="Normal"/>
    <tableColumn id="11345" name="Column11324" dataDxfId="5088" dataCellStyle="Normal"/>
    <tableColumn id="11346" name="Column11325" dataDxfId="5087" dataCellStyle="Normal"/>
    <tableColumn id="11347" name="Column11326" dataDxfId="5086" dataCellStyle="Normal"/>
    <tableColumn id="11348" name="Column11327" dataDxfId="5085" dataCellStyle="Normal"/>
    <tableColumn id="11349" name="Column11328" dataDxfId="5084" dataCellStyle="Normal"/>
    <tableColumn id="11350" name="Column11329" dataDxfId="5083" dataCellStyle="Normal"/>
    <tableColumn id="11351" name="Column11330" dataDxfId="5082" dataCellStyle="Normal"/>
    <tableColumn id="11352" name="Column11331" dataDxfId="5081" dataCellStyle="Normal"/>
    <tableColumn id="11353" name="Column11332" dataDxfId="5080" dataCellStyle="Normal"/>
    <tableColumn id="11354" name="Column11333" dataDxfId="5079" dataCellStyle="Normal"/>
    <tableColumn id="11355" name="Column11334" dataDxfId="5078" dataCellStyle="Normal"/>
    <tableColumn id="11356" name="Column11335" dataDxfId="5077" dataCellStyle="Normal"/>
    <tableColumn id="11357" name="Column11336" dataDxfId="5076" dataCellStyle="Normal"/>
    <tableColumn id="11358" name="Column11337" dataDxfId="5075" dataCellStyle="Normal"/>
    <tableColumn id="11359" name="Column11338" dataDxfId="5074" dataCellStyle="Normal"/>
    <tableColumn id="11360" name="Column11339" dataDxfId="5073" dataCellStyle="Normal"/>
    <tableColumn id="11361" name="Column11340" dataDxfId="5072" dataCellStyle="Normal"/>
    <tableColumn id="11362" name="Column11341" dataDxfId="5071" dataCellStyle="Normal"/>
    <tableColumn id="11363" name="Column11342" dataDxfId="5070" dataCellStyle="Normal"/>
    <tableColumn id="11364" name="Column11343" dataDxfId="5069" dataCellStyle="Normal"/>
    <tableColumn id="11365" name="Column11344" dataDxfId="5068" dataCellStyle="Normal"/>
    <tableColumn id="11366" name="Column11345" dataDxfId="5067" dataCellStyle="Normal"/>
    <tableColumn id="11367" name="Column11346" dataDxfId="5066" dataCellStyle="Normal"/>
    <tableColumn id="11368" name="Column11347" dataDxfId="5065" dataCellStyle="Normal"/>
    <tableColumn id="11369" name="Column11348" dataDxfId="5064" dataCellStyle="Normal"/>
    <tableColumn id="11370" name="Column11349" dataDxfId="5063" dataCellStyle="Normal"/>
    <tableColumn id="11371" name="Column11350" dataDxfId="5062" dataCellStyle="Normal"/>
    <tableColumn id="11372" name="Column11351" dataDxfId="5061" dataCellStyle="Normal"/>
    <tableColumn id="11373" name="Column11352" dataDxfId="5060" dataCellStyle="Normal"/>
    <tableColumn id="11374" name="Column11353" dataDxfId="5059" dataCellStyle="Normal"/>
    <tableColumn id="11375" name="Column11354" dataDxfId="5058" dataCellStyle="Normal"/>
    <tableColumn id="11376" name="Column11355" dataDxfId="5057" dataCellStyle="Normal"/>
    <tableColumn id="11377" name="Column11356" dataDxfId="5056" dataCellStyle="Normal"/>
    <tableColumn id="11378" name="Column11357" dataDxfId="5055" dataCellStyle="Normal"/>
    <tableColumn id="11379" name="Column11358" dataDxfId="5054" dataCellStyle="Normal"/>
    <tableColumn id="11380" name="Column11359" dataDxfId="5053" dataCellStyle="Normal"/>
    <tableColumn id="11381" name="Column11360" dataDxfId="5052" dataCellStyle="Normal"/>
    <tableColumn id="11382" name="Column11361" dataDxfId="5051" dataCellStyle="Normal"/>
    <tableColumn id="11383" name="Column11362" dataDxfId="5050" dataCellStyle="Normal"/>
    <tableColumn id="11384" name="Column11363" dataDxfId="5049" dataCellStyle="Normal"/>
    <tableColumn id="11385" name="Column11364" dataDxfId="5048" dataCellStyle="Normal"/>
    <tableColumn id="11386" name="Column11365" dataDxfId="5047" dataCellStyle="Normal"/>
    <tableColumn id="11387" name="Column11366" dataDxfId="5046" dataCellStyle="Normal"/>
    <tableColumn id="11388" name="Column11367" dataDxfId="5045" dataCellStyle="Normal"/>
    <tableColumn id="11389" name="Column11368" dataDxfId="5044" dataCellStyle="Normal"/>
    <tableColumn id="11390" name="Column11369" dataDxfId="5043" dataCellStyle="Normal"/>
    <tableColumn id="11391" name="Column11370" dataDxfId="5042" dataCellStyle="Normal"/>
    <tableColumn id="11392" name="Column11371" dataDxfId="5041" dataCellStyle="Normal"/>
    <tableColumn id="11393" name="Column11372" dataDxfId="5040" dataCellStyle="Normal"/>
    <tableColumn id="11394" name="Column11373" dataDxfId="5039" dataCellStyle="Normal"/>
    <tableColumn id="11395" name="Column11374" dataDxfId="5038" dataCellStyle="Normal"/>
    <tableColumn id="11396" name="Column11375" dataDxfId="5037" dataCellStyle="Normal"/>
    <tableColumn id="11397" name="Column11376" dataDxfId="5036" dataCellStyle="Normal"/>
    <tableColumn id="11398" name="Column11377" dataDxfId="5035" dataCellStyle="Normal"/>
    <tableColumn id="11399" name="Column11378" dataDxfId="5034" dataCellStyle="Normal"/>
    <tableColumn id="11400" name="Column11379" dataDxfId="5033" dataCellStyle="Normal"/>
    <tableColumn id="11401" name="Column11380" dataDxfId="5032" dataCellStyle="Normal"/>
    <tableColumn id="11402" name="Column11381" dataDxfId="5031" dataCellStyle="Normal"/>
    <tableColumn id="11403" name="Column11382" dataDxfId="5030" dataCellStyle="Normal"/>
    <tableColumn id="11404" name="Column11383" dataDxfId="5029" dataCellStyle="Normal"/>
    <tableColumn id="11405" name="Column11384" dataDxfId="5028" dataCellStyle="Normal"/>
    <tableColumn id="11406" name="Column11385" dataDxfId="5027" dataCellStyle="Normal"/>
    <tableColumn id="11407" name="Column11386" dataDxfId="5026" dataCellStyle="Normal"/>
    <tableColumn id="11408" name="Column11387" dataDxfId="5025" dataCellStyle="Normal"/>
    <tableColumn id="11409" name="Column11388" dataDxfId="5024" dataCellStyle="Normal"/>
    <tableColumn id="11410" name="Column11389" dataDxfId="5023" dataCellStyle="Normal"/>
    <tableColumn id="11411" name="Column11390" dataDxfId="5022" dataCellStyle="Normal"/>
    <tableColumn id="11412" name="Column11391" dataDxfId="5021" dataCellStyle="Normal"/>
    <tableColumn id="11413" name="Column11392" dataDxfId="5020" dataCellStyle="Normal"/>
    <tableColumn id="11414" name="Column11393" dataDxfId="5019" dataCellStyle="Normal"/>
    <tableColumn id="11415" name="Column11394" dataDxfId="5018" dataCellStyle="Normal"/>
    <tableColumn id="11416" name="Column11395" dataDxfId="5017" dataCellStyle="Normal"/>
    <tableColumn id="11417" name="Column11396" dataDxfId="5016" dataCellStyle="Normal"/>
    <tableColumn id="11418" name="Column11397" dataDxfId="5015" dataCellStyle="Normal"/>
    <tableColumn id="11419" name="Column11398" dataDxfId="5014" dataCellStyle="Normal"/>
    <tableColumn id="11420" name="Column11399" dataDxfId="5013" dataCellStyle="Normal"/>
    <tableColumn id="11421" name="Column11400" dataDxfId="5012" dataCellStyle="Normal"/>
    <tableColumn id="11422" name="Column11401" dataDxfId="5011" dataCellStyle="Normal"/>
    <tableColumn id="11423" name="Column11402" dataDxfId="5010" dataCellStyle="Normal"/>
    <tableColumn id="11424" name="Column11403" dataDxfId="5009" dataCellStyle="Normal"/>
    <tableColumn id="11425" name="Column11404" dataDxfId="5008" dataCellStyle="Normal"/>
    <tableColumn id="11426" name="Column11405" dataDxfId="5007" dataCellStyle="Normal"/>
    <tableColumn id="11427" name="Column11406" dataDxfId="5006" dataCellStyle="Normal"/>
    <tableColumn id="11428" name="Column11407" dataDxfId="5005" dataCellStyle="Normal"/>
    <tableColumn id="11429" name="Column11408" dataDxfId="5004" dataCellStyle="Normal"/>
    <tableColumn id="11430" name="Column11409" dataDxfId="5003" dataCellStyle="Normal"/>
    <tableColumn id="11431" name="Column11410" dataDxfId="5002" dataCellStyle="Normal"/>
    <tableColumn id="11432" name="Column11411" dataDxfId="5001" dataCellStyle="Normal"/>
    <tableColumn id="11433" name="Column11412" dataDxfId="5000" dataCellStyle="Normal"/>
    <tableColumn id="11434" name="Column11413" dataDxfId="4999" dataCellStyle="Normal"/>
    <tableColumn id="11435" name="Column11414" dataDxfId="4998" dataCellStyle="Normal"/>
    <tableColumn id="11436" name="Column11415" dataDxfId="4997" dataCellStyle="Normal"/>
    <tableColumn id="11437" name="Column11416" dataDxfId="4996" dataCellStyle="Normal"/>
    <tableColumn id="11438" name="Column11417" dataDxfId="4995" dataCellStyle="Normal"/>
    <tableColumn id="11439" name="Column11418" dataDxfId="4994" dataCellStyle="Normal"/>
    <tableColumn id="11440" name="Column11419" dataDxfId="4993" dataCellStyle="Normal"/>
    <tableColumn id="11441" name="Column11420" dataDxfId="4992" dataCellStyle="Normal"/>
    <tableColumn id="11442" name="Column11421" dataDxfId="4991" dataCellStyle="Normal"/>
    <tableColumn id="11443" name="Column11422" dataDxfId="4990" dataCellStyle="Normal"/>
    <tableColumn id="11444" name="Column11423" dataDxfId="4989" dataCellStyle="Normal"/>
    <tableColumn id="11445" name="Column11424" dataDxfId="4988" dataCellStyle="Normal"/>
    <tableColumn id="11446" name="Column11425" dataDxfId="4987" dataCellStyle="Normal"/>
    <tableColumn id="11447" name="Column11426" dataDxfId="4986" dataCellStyle="Normal"/>
    <tableColumn id="11448" name="Column11427" dataDxfId="4985" dataCellStyle="Normal"/>
    <tableColumn id="11449" name="Column11428" dataDxfId="4984" dataCellStyle="Normal"/>
    <tableColumn id="11450" name="Column11429" dataDxfId="4983" dataCellStyle="Normal"/>
    <tableColumn id="11451" name="Column11430" dataDxfId="4982" dataCellStyle="Normal"/>
    <tableColumn id="11452" name="Column11431" dataDxfId="4981" dataCellStyle="Normal"/>
    <tableColumn id="11453" name="Column11432" dataDxfId="4980" dataCellStyle="Normal"/>
    <tableColumn id="11454" name="Column11433" dataDxfId="4979" dataCellStyle="Normal"/>
    <tableColumn id="11455" name="Column11434" dataDxfId="4978" dataCellStyle="Normal"/>
    <tableColumn id="11456" name="Column11435" dataDxfId="4977" dataCellStyle="Normal"/>
    <tableColumn id="11457" name="Column11436" dataDxfId="4976" dataCellStyle="Normal"/>
    <tableColumn id="11458" name="Column11437" dataDxfId="4975" dataCellStyle="Normal"/>
    <tableColumn id="11459" name="Column11438" dataDxfId="4974" dataCellStyle="Normal"/>
    <tableColumn id="11460" name="Column11439" dataDxfId="4973" dataCellStyle="Normal"/>
    <tableColumn id="11461" name="Column11440" dataDxfId="4972" dataCellStyle="Normal"/>
    <tableColumn id="11462" name="Column11441" dataDxfId="4971" dataCellStyle="Normal"/>
    <tableColumn id="11463" name="Column11442" dataDxfId="4970" dataCellStyle="Normal"/>
    <tableColumn id="11464" name="Column11443" dataDxfId="4969" dataCellStyle="Normal"/>
    <tableColumn id="11465" name="Column11444" dataDxfId="4968" dataCellStyle="Normal"/>
    <tableColumn id="11466" name="Column11445" dataDxfId="4967" dataCellStyle="Normal"/>
    <tableColumn id="11467" name="Column11446" dataDxfId="4966" dataCellStyle="Normal"/>
    <tableColumn id="11468" name="Column11447" dataDxfId="4965" dataCellStyle="Normal"/>
    <tableColumn id="11469" name="Column11448" dataDxfId="4964" dataCellStyle="Normal"/>
    <tableColumn id="11470" name="Column11449" dataDxfId="4963" dataCellStyle="Normal"/>
    <tableColumn id="11471" name="Column11450" dataDxfId="4962" dataCellStyle="Normal"/>
    <tableColumn id="11472" name="Column11451" dataDxfId="4961" dataCellStyle="Normal"/>
    <tableColumn id="11473" name="Column11452" dataDxfId="4960" dataCellStyle="Normal"/>
    <tableColumn id="11474" name="Column11453" dataDxfId="4959" dataCellStyle="Normal"/>
    <tableColumn id="11475" name="Column11454" dataDxfId="4958" dataCellStyle="Normal"/>
    <tableColumn id="11476" name="Column11455" dataDxfId="4957" dataCellStyle="Normal"/>
    <tableColumn id="11477" name="Column11456" dataDxfId="4956" dataCellStyle="Normal"/>
    <tableColumn id="11478" name="Column11457" dataDxfId="4955" dataCellStyle="Normal"/>
    <tableColumn id="11479" name="Column11458" dataDxfId="4954" dataCellStyle="Normal"/>
    <tableColumn id="11480" name="Column11459" dataDxfId="4953" dataCellStyle="Normal"/>
    <tableColumn id="11481" name="Column11460" dataDxfId="4952" dataCellStyle="Normal"/>
    <tableColumn id="11482" name="Column11461" dataDxfId="4951" dataCellStyle="Normal"/>
    <tableColumn id="11483" name="Column11462" dataDxfId="4950" dataCellStyle="Normal"/>
    <tableColumn id="11484" name="Column11463" dataDxfId="4949" dataCellStyle="Normal"/>
    <tableColumn id="11485" name="Column11464" dataDxfId="4948" dataCellStyle="Normal"/>
    <tableColumn id="11486" name="Column11465" dataDxfId="4947" dataCellStyle="Normal"/>
    <tableColumn id="11487" name="Column11466" dataDxfId="4946" dataCellStyle="Normal"/>
    <tableColumn id="11488" name="Column11467" dataDxfId="4945" dataCellStyle="Normal"/>
    <tableColumn id="11489" name="Column11468" dataDxfId="4944" dataCellStyle="Normal"/>
    <tableColumn id="11490" name="Column11469" dataDxfId="4943" dataCellStyle="Normal"/>
    <tableColumn id="11491" name="Column11470" dataDxfId="4942" dataCellStyle="Normal"/>
    <tableColumn id="11492" name="Column11471" dataDxfId="4941" dataCellStyle="Normal"/>
    <tableColumn id="11493" name="Column11472" dataDxfId="4940" dataCellStyle="Normal"/>
    <tableColumn id="11494" name="Column11473" dataDxfId="4939" dataCellStyle="Normal"/>
    <tableColumn id="11495" name="Column11474" dataDxfId="4938" dataCellStyle="Normal"/>
    <tableColumn id="11496" name="Column11475" dataDxfId="4937" dataCellStyle="Normal"/>
    <tableColumn id="11497" name="Column11476" dataDxfId="4936" dataCellStyle="Normal"/>
    <tableColumn id="11498" name="Column11477" dataDxfId="4935" dataCellStyle="Normal"/>
    <tableColumn id="11499" name="Column11478" dataDxfId="4934" dataCellStyle="Normal"/>
    <tableColumn id="11500" name="Column11479" dataDxfId="4933" dataCellStyle="Normal"/>
    <tableColumn id="11501" name="Column11480" dataDxfId="4932" dataCellStyle="Normal"/>
    <tableColumn id="11502" name="Column11481" dataDxfId="4931" dataCellStyle="Normal"/>
    <tableColumn id="11503" name="Column11482" dataDxfId="4930" dataCellStyle="Normal"/>
    <tableColumn id="11504" name="Column11483" dataDxfId="4929" dataCellStyle="Normal"/>
    <tableColumn id="11505" name="Column11484" dataDxfId="4928" dataCellStyle="Normal"/>
    <tableColumn id="11506" name="Column11485" dataDxfId="4927" dataCellStyle="Normal"/>
    <tableColumn id="11507" name="Column11486" dataDxfId="4926" dataCellStyle="Normal"/>
    <tableColumn id="11508" name="Column11487" dataDxfId="4925" dataCellStyle="Normal"/>
    <tableColumn id="11509" name="Column11488" dataDxfId="4924" dataCellStyle="Normal"/>
    <tableColumn id="11510" name="Column11489" dataDxfId="4923" dataCellStyle="Normal"/>
    <tableColumn id="11511" name="Column11490" dataDxfId="4922" dataCellStyle="Normal"/>
    <tableColumn id="11512" name="Column11491" dataDxfId="4921" dataCellStyle="Normal"/>
    <tableColumn id="11513" name="Column11492" dataDxfId="4920" dataCellStyle="Normal"/>
    <tableColumn id="11514" name="Column11493" dataDxfId="4919" dataCellStyle="Normal"/>
    <tableColumn id="11515" name="Column11494" dataDxfId="4918" dataCellStyle="Normal"/>
    <tableColumn id="11516" name="Column11495" dataDxfId="4917" dataCellStyle="Normal"/>
    <tableColumn id="11517" name="Column11496" dataDxfId="4916" dataCellStyle="Normal"/>
    <tableColumn id="11518" name="Column11497" dataDxfId="4915" dataCellStyle="Normal"/>
    <tableColumn id="11519" name="Column11498" dataDxfId="4914" dataCellStyle="Normal"/>
    <tableColumn id="11520" name="Column11499" dataDxfId="4913" dataCellStyle="Normal"/>
    <tableColumn id="11521" name="Column11500" dataDxfId="4912" dataCellStyle="Normal"/>
    <tableColumn id="11522" name="Column11501" dataDxfId="4911" dataCellStyle="Normal"/>
    <tableColumn id="11523" name="Column11502" dataDxfId="4910" dataCellStyle="Normal"/>
    <tableColumn id="11524" name="Column11503" dataDxfId="4909" dataCellStyle="Normal"/>
    <tableColumn id="11525" name="Column11504" dataDxfId="4908" dataCellStyle="Normal"/>
    <tableColumn id="11526" name="Column11505" dataDxfId="4907" dataCellStyle="Normal"/>
    <tableColumn id="11527" name="Column11506" dataDxfId="4906" dataCellStyle="Normal"/>
    <tableColumn id="11528" name="Column11507" dataDxfId="4905" dataCellStyle="Normal"/>
    <tableColumn id="11529" name="Column11508" dataDxfId="4904" dataCellStyle="Normal"/>
    <tableColumn id="11530" name="Column11509" dataDxfId="4903" dataCellStyle="Normal"/>
    <tableColumn id="11531" name="Column11510" dataDxfId="4902" dataCellStyle="Normal"/>
    <tableColumn id="11532" name="Column11511" dataDxfId="4901" dataCellStyle="Normal"/>
    <tableColumn id="11533" name="Column11512" dataDxfId="4900" dataCellStyle="Normal"/>
    <tableColumn id="11534" name="Column11513" dataDxfId="4899" dataCellStyle="Normal"/>
    <tableColumn id="11535" name="Column11514" dataDxfId="4898" dataCellStyle="Normal"/>
    <tableColumn id="11536" name="Column11515" dataDxfId="4897" dataCellStyle="Normal"/>
    <tableColumn id="11537" name="Column11516" dataDxfId="4896" dataCellStyle="Normal"/>
    <tableColumn id="11538" name="Column11517" dataDxfId="4895" dataCellStyle="Normal"/>
    <tableColumn id="11539" name="Column11518" dataDxfId="4894" dataCellStyle="Normal"/>
    <tableColumn id="11540" name="Column11519" dataDxfId="4893" dataCellStyle="Normal"/>
    <tableColumn id="11541" name="Column11520" dataDxfId="4892" dataCellStyle="Normal"/>
    <tableColumn id="11542" name="Column11521" dataDxfId="4891" dataCellStyle="Normal"/>
    <tableColumn id="11543" name="Column11522" dataDxfId="4890" dataCellStyle="Normal"/>
    <tableColumn id="11544" name="Column11523" dataDxfId="4889" dataCellStyle="Normal"/>
    <tableColumn id="11545" name="Column11524" dataDxfId="4888" dataCellStyle="Normal"/>
    <tableColumn id="11546" name="Column11525" dataDxfId="4887" dataCellStyle="Normal"/>
    <tableColumn id="11547" name="Column11526" dataDxfId="4886" dataCellStyle="Normal"/>
    <tableColumn id="11548" name="Column11527" dataDxfId="4885" dataCellStyle="Normal"/>
    <tableColumn id="11549" name="Column11528" dataDxfId="4884" dataCellStyle="Normal"/>
    <tableColumn id="11550" name="Column11529" dataDxfId="4883" dataCellStyle="Normal"/>
    <tableColumn id="11551" name="Column11530" dataDxfId="4882" dataCellStyle="Normal"/>
    <tableColumn id="11552" name="Column11531" dataDxfId="4881" dataCellStyle="Normal"/>
    <tableColumn id="11553" name="Column11532" dataDxfId="4880" dataCellStyle="Normal"/>
    <tableColumn id="11554" name="Column11533" dataDxfId="4879" dataCellStyle="Normal"/>
    <tableColumn id="11555" name="Column11534" dataDxfId="4878" dataCellStyle="Normal"/>
    <tableColumn id="11556" name="Column11535" dataDxfId="4877" dataCellStyle="Normal"/>
    <tableColumn id="11557" name="Column11536" dataDxfId="4876" dataCellStyle="Normal"/>
    <tableColumn id="11558" name="Column11537" dataDxfId="4875" dataCellStyle="Normal"/>
    <tableColumn id="11559" name="Column11538" dataDxfId="4874" dataCellStyle="Normal"/>
    <tableColumn id="11560" name="Column11539" dataDxfId="4873" dataCellStyle="Normal"/>
    <tableColumn id="11561" name="Column11540" dataDxfId="4872" dataCellStyle="Normal"/>
    <tableColumn id="11562" name="Column11541" dataDxfId="4871" dataCellStyle="Normal"/>
    <tableColumn id="11563" name="Column11542" dataDxfId="4870" dataCellStyle="Normal"/>
    <tableColumn id="11564" name="Column11543" dataDxfId="4869" dataCellStyle="Normal"/>
    <tableColumn id="11565" name="Column11544" dataDxfId="4868" dataCellStyle="Normal"/>
    <tableColumn id="11566" name="Column11545" dataDxfId="4867" dataCellStyle="Normal"/>
    <tableColumn id="11567" name="Column11546" dataDxfId="4866" dataCellStyle="Normal"/>
    <tableColumn id="11568" name="Column11547" dataDxfId="4865" dataCellStyle="Normal"/>
    <tableColumn id="11569" name="Column11548" dataDxfId="4864" dataCellStyle="Normal"/>
    <tableColumn id="11570" name="Column11549" dataDxfId="4863" dataCellStyle="Normal"/>
    <tableColumn id="11571" name="Column11550" dataDxfId="4862" dataCellStyle="Normal"/>
    <tableColumn id="11572" name="Column11551" dataDxfId="4861" dataCellStyle="Normal"/>
    <tableColumn id="11573" name="Column11552" dataDxfId="4860" dataCellStyle="Normal"/>
    <tableColumn id="11574" name="Column11553" dataDxfId="4859" dataCellStyle="Normal"/>
    <tableColumn id="11575" name="Column11554" dataDxfId="4858" dataCellStyle="Normal"/>
    <tableColumn id="11576" name="Column11555" dataDxfId="4857" dataCellStyle="Normal"/>
    <tableColumn id="11577" name="Column11556" dataDxfId="4856" dataCellStyle="Normal"/>
    <tableColumn id="11578" name="Column11557" dataDxfId="4855" dataCellStyle="Normal"/>
    <tableColumn id="11579" name="Column11558" dataDxfId="4854" dataCellStyle="Normal"/>
    <tableColumn id="11580" name="Column11559" dataDxfId="4853" dataCellStyle="Normal"/>
    <tableColumn id="11581" name="Column11560" dataDxfId="4852" dataCellStyle="Normal"/>
    <tableColumn id="11582" name="Column11561" dataDxfId="4851" dataCellStyle="Normal"/>
    <tableColumn id="11583" name="Column11562" dataDxfId="4850" dataCellStyle="Normal"/>
    <tableColumn id="11584" name="Column11563" dataDxfId="4849" dataCellStyle="Normal"/>
    <tableColumn id="11585" name="Column11564" dataDxfId="4848" dataCellStyle="Normal"/>
    <tableColumn id="11586" name="Column11565" dataDxfId="4847" dataCellStyle="Normal"/>
    <tableColumn id="11587" name="Column11566" dataDxfId="4846" dataCellStyle="Normal"/>
    <tableColumn id="11588" name="Column11567" dataDxfId="4845" dataCellStyle="Normal"/>
    <tableColumn id="11589" name="Column11568" dataDxfId="4844" dataCellStyle="Normal"/>
    <tableColumn id="11590" name="Column11569" dataDxfId="4843" dataCellStyle="Normal"/>
    <tableColumn id="11591" name="Column11570" dataDxfId="4842" dataCellStyle="Normal"/>
    <tableColumn id="11592" name="Column11571" dataDxfId="4841" dataCellStyle="Normal"/>
    <tableColumn id="11593" name="Column11572" dataDxfId="4840" dataCellStyle="Normal"/>
    <tableColumn id="11594" name="Column11573" dataDxfId="4839" dataCellStyle="Normal"/>
    <tableColumn id="11595" name="Column11574" dataDxfId="4838" dataCellStyle="Normal"/>
    <tableColumn id="11596" name="Column11575" dataDxfId="4837" dataCellStyle="Normal"/>
    <tableColumn id="11597" name="Column11576" dataDxfId="4836" dataCellStyle="Normal"/>
    <tableColumn id="11598" name="Column11577" dataDxfId="4835" dataCellStyle="Normal"/>
    <tableColumn id="11599" name="Column11578" dataDxfId="4834" dataCellStyle="Normal"/>
    <tableColumn id="11600" name="Column11579" dataDxfId="4833" dataCellStyle="Normal"/>
    <tableColumn id="11601" name="Column11580" dataDxfId="4832" dataCellStyle="Normal"/>
    <tableColumn id="11602" name="Column11581" dataDxfId="4831" dataCellStyle="Normal"/>
    <tableColumn id="11603" name="Column11582" dataDxfId="4830" dataCellStyle="Normal"/>
    <tableColumn id="11604" name="Column11583" dataDxfId="4829" dataCellStyle="Normal"/>
    <tableColumn id="11605" name="Column11584" dataDxfId="4828" dataCellStyle="Normal"/>
    <tableColumn id="11606" name="Column11585" dataDxfId="4827" dataCellStyle="Normal"/>
    <tableColumn id="11607" name="Column11586" dataDxfId="4826" dataCellStyle="Normal"/>
    <tableColumn id="11608" name="Column11587" dataDxfId="4825" dataCellStyle="Normal"/>
    <tableColumn id="11609" name="Column11588" dataDxfId="4824" dataCellStyle="Normal"/>
    <tableColumn id="11610" name="Column11589" dataDxfId="4823" dataCellStyle="Normal"/>
    <tableColumn id="11611" name="Column11590" dataDxfId="4822" dataCellStyle="Normal"/>
    <tableColumn id="11612" name="Column11591" dataDxfId="4821" dataCellStyle="Normal"/>
    <tableColumn id="11613" name="Column11592" dataDxfId="4820" dataCellStyle="Normal"/>
    <tableColumn id="11614" name="Column11593" dataDxfId="4819" dataCellStyle="Normal"/>
    <tableColumn id="11615" name="Column11594" dataDxfId="4818" dataCellStyle="Normal"/>
    <tableColumn id="11616" name="Column11595" dataDxfId="4817" dataCellStyle="Normal"/>
    <tableColumn id="11617" name="Column11596" dataDxfId="4816" dataCellStyle="Normal"/>
    <tableColumn id="11618" name="Column11597" dataDxfId="4815" dataCellStyle="Normal"/>
    <tableColumn id="11619" name="Column11598" dataDxfId="4814" dataCellStyle="Normal"/>
    <tableColumn id="11620" name="Column11599" dataDxfId="4813" dataCellStyle="Normal"/>
    <tableColumn id="11621" name="Column11600" dataDxfId="4812" dataCellStyle="Normal"/>
    <tableColumn id="11622" name="Column11601" dataDxfId="4811" dataCellStyle="Normal"/>
    <tableColumn id="11623" name="Column11602" dataDxfId="4810" dataCellStyle="Normal"/>
    <tableColumn id="11624" name="Column11603" dataDxfId="4809" dataCellStyle="Normal"/>
    <tableColumn id="11625" name="Column11604" dataDxfId="4808" dataCellStyle="Normal"/>
    <tableColumn id="11626" name="Column11605" dataDxfId="4807" dataCellStyle="Normal"/>
    <tableColumn id="11627" name="Column11606" dataDxfId="4806" dataCellStyle="Normal"/>
    <tableColumn id="11628" name="Column11607" dataDxfId="4805" dataCellStyle="Normal"/>
    <tableColumn id="11629" name="Column11608" dataDxfId="4804" dataCellStyle="Normal"/>
    <tableColumn id="11630" name="Column11609" dataDxfId="4803" dataCellStyle="Normal"/>
    <tableColumn id="11631" name="Column11610" dataDxfId="4802" dataCellStyle="Normal"/>
    <tableColumn id="11632" name="Column11611" dataDxfId="4801" dataCellStyle="Normal"/>
    <tableColumn id="11633" name="Column11612" dataDxfId="4800" dataCellStyle="Normal"/>
    <tableColumn id="11634" name="Column11613" dataDxfId="4799" dataCellStyle="Normal"/>
    <tableColumn id="11635" name="Column11614" dataDxfId="4798" dataCellStyle="Normal"/>
    <tableColumn id="11636" name="Column11615" dataDxfId="4797" dataCellStyle="Normal"/>
    <tableColumn id="11637" name="Column11616" dataDxfId="4796" dataCellStyle="Normal"/>
    <tableColumn id="11638" name="Column11617" dataDxfId="4795" dataCellStyle="Normal"/>
    <tableColumn id="11639" name="Column11618" dataDxfId="4794" dataCellStyle="Normal"/>
    <tableColumn id="11640" name="Column11619" dataDxfId="4793" dataCellStyle="Normal"/>
    <tableColumn id="11641" name="Column11620" dataDxfId="4792" dataCellStyle="Normal"/>
    <tableColumn id="11642" name="Column11621" dataDxfId="4791" dataCellStyle="Normal"/>
    <tableColumn id="11643" name="Column11622" dataDxfId="4790" dataCellStyle="Normal"/>
    <tableColumn id="11644" name="Column11623" dataDxfId="4789" dataCellStyle="Normal"/>
    <tableColumn id="11645" name="Column11624" dataDxfId="4788" dataCellStyle="Normal"/>
    <tableColumn id="11646" name="Column11625" dataDxfId="4787" dataCellStyle="Normal"/>
    <tableColumn id="11647" name="Column11626" dataDxfId="4786" dataCellStyle="Normal"/>
    <tableColumn id="11648" name="Column11627" dataDxfId="4785" dataCellStyle="Normal"/>
    <tableColumn id="11649" name="Column11628" dataDxfId="4784" dataCellStyle="Normal"/>
    <tableColumn id="11650" name="Column11629" dataDxfId="4783" dataCellStyle="Normal"/>
    <tableColumn id="11651" name="Column11630" dataDxfId="4782" dataCellStyle="Normal"/>
    <tableColumn id="11652" name="Column11631" dataDxfId="4781" dataCellStyle="Normal"/>
    <tableColumn id="11653" name="Column11632" dataDxfId="4780" dataCellStyle="Normal"/>
    <tableColumn id="11654" name="Column11633" dataDxfId="4779" dataCellStyle="Normal"/>
    <tableColumn id="11655" name="Column11634" dataDxfId="4778" dataCellStyle="Normal"/>
    <tableColumn id="11656" name="Column11635" dataDxfId="4777" dataCellStyle="Normal"/>
    <tableColumn id="11657" name="Column11636" dataDxfId="4776" dataCellStyle="Normal"/>
    <tableColumn id="11658" name="Column11637" dataDxfId="4775" dataCellStyle="Normal"/>
    <tableColumn id="11659" name="Column11638" dataDxfId="4774" dataCellStyle="Normal"/>
    <tableColumn id="11660" name="Column11639" dataDxfId="4773" dataCellStyle="Normal"/>
    <tableColumn id="11661" name="Column11640" dataDxfId="4772" dataCellStyle="Normal"/>
    <tableColumn id="11662" name="Column11641" dataDxfId="4771" dataCellStyle="Normal"/>
    <tableColumn id="11663" name="Column11642" dataDxfId="4770" dataCellStyle="Normal"/>
    <tableColumn id="11664" name="Column11643" dataDxfId="4769" dataCellStyle="Normal"/>
    <tableColumn id="11665" name="Column11644" dataDxfId="4768" dataCellStyle="Normal"/>
    <tableColumn id="11666" name="Column11645" dataDxfId="4767" dataCellStyle="Normal"/>
    <tableColumn id="11667" name="Column11646" dataDxfId="4766" dataCellStyle="Normal"/>
    <tableColumn id="11668" name="Column11647" dataDxfId="4765" dataCellStyle="Normal"/>
    <tableColumn id="11669" name="Column11648" dataDxfId="4764" dataCellStyle="Normal"/>
    <tableColumn id="11670" name="Column11649" dataDxfId="4763" dataCellStyle="Normal"/>
    <tableColumn id="11671" name="Column11650" dataDxfId="4762" dataCellStyle="Normal"/>
    <tableColumn id="11672" name="Column11651" dataDxfId="4761" dataCellStyle="Normal"/>
    <tableColumn id="11673" name="Column11652" dataDxfId="4760" dataCellStyle="Normal"/>
    <tableColumn id="11674" name="Column11653" dataDxfId="4759" dataCellStyle="Normal"/>
    <tableColumn id="11675" name="Column11654" dataDxfId="4758" dataCellStyle="Normal"/>
    <tableColumn id="11676" name="Column11655" dataDxfId="4757" dataCellStyle="Normal"/>
    <tableColumn id="11677" name="Column11656" dataDxfId="4756" dataCellStyle="Normal"/>
    <tableColumn id="11678" name="Column11657" dataDxfId="4755" dataCellStyle="Normal"/>
    <tableColumn id="11679" name="Column11658" dataDxfId="4754" dataCellStyle="Normal"/>
    <tableColumn id="11680" name="Column11659" dataDxfId="4753" dataCellStyle="Normal"/>
    <tableColumn id="11681" name="Column11660" dataDxfId="4752" dataCellStyle="Normal"/>
    <tableColumn id="11682" name="Column11661" dataDxfId="4751" dataCellStyle="Normal"/>
    <tableColumn id="11683" name="Column11662" dataDxfId="4750" dataCellStyle="Normal"/>
    <tableColumn id="11684" name="Column11663" dataDxfId="4749" dataCellStyle="Normal"/>
    <tableColumn id="11685" name="Column11664" dataDxfId="4748" dataCellStyle="Normal"/>
    <tableColumn id="11686" name="Column11665" dataDxfId="4747" dataCellStyle="Normal"/>
    <tableColumn id="11687" name="Column11666" dataDxfId="4746" dataCellStyle="Normal"/>
    <tableColumn id="11688" name="Column11667" dataDxfId="4745" dataCellStyle="Normal"/>
    <tableColumn id="11689" name="Column11668" dataDxfId="4744" dataCellStyle="Normal"/>
    <tableColumn id="11690" name="Column11669" dataDxfId="4743" dataCellStyle="Normal"/>
    <tableColumn id="11691" name="Column11670" dataDxfId="4742" dataCellStyle="Normal"/>
    <tableColumn id="11692" name="Column11671" dataDxfId="4741" dataCellStyle="Normal"/>
    <tableColumn id="11693" name="Column11672" dataDxfId="4740" dataCellStyle="Normal"/>
    <tableColumn id="11694" name="Column11673" dataDxfId="4739" dataCellStyle="Normal"/>
    <tableColumn id="11695" name="Column11674" dataDxfId="4738" dataCellStyle="Normal"/>
    <tableColumn id="11696" name="Column11675" dataDxfId="4737" dataCellStyle="Normal"/>
    <tableColumn id="11697" name="Column11676" dataDxfId="4736" dataCellStyle="Normal"/>
    <tableColumn id="11698" name="Column11677" dataDxfId="4735" dataCellStyle="Normal"/>
    <tableColumn id="11699" name="Column11678" dataDxfId="4734" dataCellStyle="Normal"/>
    <tableColumn id="11700" name="Column11679" dataDxfId="4733" dataCellStyle="Normal"/>
    <tableColumn id="11701" name="Column11680" dataDxfId="4732" dataCellStyle="Normal"/>
    <tableColumn id="11702" name="Column11681" dataDxfId="4731" dataCellStyle="Normal"/>
    <tableColumn id="11703" name="Column11682" dataDxfId="4730" dataCellStyle="Normal"/>
    <tableColumn id="11704" name="Column11683" dataDxfId="4729" dataCellStyle="Normal"/>
    <tableColumn id="11705" name="Column11684" dataDxfId="4728" dataCellStyle="Normal"/>
    <tableColumn id="11706" name="Column11685" dataDxfId="4727" dataCellStyle="Normal"/>
    <tableColumn id="11707" name="Column11686" dataDxfId="4726" dataCellStyle="Normal"/>
    <tableColumn id="11708" name="Column11687" dataDxfId="4725" dataCellStyle="Normal"/>
    <tableColumn id="11709" name="Column11688" dataDxfId="4724" dataCellStyle="Normal"/>
    <tableColumn id="11710" name="Column11689" dataDxfId="4723" dataCellStyle="Normal"/>
    <tableColumn id="11711" name="Column11690" dataDxfId="4722" dataCellStyle="Normal"/>
    <tableColumn id="11712" name="Column11691" dataDxfId="4721" dataCellStyle="Normal"/>
    <tableColumn id="11713" name="Column11692" dataDxfId="4720" dataCellStyle="Normal"/>
    <tableColumn id="11714" name="Column11693" dataDxfId="4719" dataCellStyle="Normal"/>
    <tableColumn id="11715" name="Column11694" dataDxfId="4718" dataCellStyle="Normal"/>
    <tableColumn id="11716" name="Column11695" dataDxfId="4717" dataCellStyle="Normal"/>
    <tableColumn id="11717" name="Column11696" dataDxfId="4716" dataCellStyle="Normal"/>
    <tableColumn id="11718" name="Column11697" dataDxfId="4715" dataCellStyle="Normal"/>
    <tableColumn id="11719" name="Column11698" dataDxfId="4714" dataCellStyle="Normal"/>
    <tableColumn id="11720" name="Column11699" dataDxfId="4713" dataCellStyle="Normal"/>
    <tableColumn id="11721" name="Column11700" dataDxfId="4712" dataCellStyle="Normal"/>
    <tableColumn id="11722" name="Column11701" dataDxfId="4711" dataCellStyle="Normal"/>
    <tableColumn id="11723" name="Column11702" dataDxfId="4710" dataCellStyle="Normal"/>
    <tableColumn id="11724" name="Column11703" dataDxfId="4709" dataCellStyle="Normal"/>
    <tableColumn id="11725" name="Column11704" dataDxfId="4708" dataCellStyle="Normal"/>
    <tableColumn id="11726" name="Column11705" dataDxfId="4707" dataCellStyle="Normal"/>
    <tableColumn id="11727" name="Column11706" dataDxfId="4706" dataCellStyle="Normal"/>
    <tableColumn id="11728" name="Column11707" dataDxfId="4705" dataCellStyle="Normal"/>
    <tableColumn id="11729" name="Column11708" dataDxfId="4704" dataCellStyle="Normal"/>
    <tableColumn id="11730" name="Column11709" dataDxfId="4703" dataCellStyle="Normal"/>
    <tableColumn id="11731" name="Column11710" dataDxfId="4702" dataCellStyle="Normal"/>
    <tableColumn id="11732" name="Column11711" dataDxfId="4701" dataCellStyle="Normal"/>
    <tableColumn id="11733" name="Column11712" dataDxfId="4700" dataCellStyle="Normal"/>
    <tableColumn id="11734" name="Column11713" dataDxfId="4699" dataCellStyle="Normal"/>
    <tableColumn id="11735" name="Column11714" dataDxfId="4698" dataCellStyle="Normal"/>
    <tableColumn id="11736" name="Column11715" dataDxfId="4697" dataCellStyle="Normal"/>
    <tableColumn id="11737" name="Column11716" dataDxfId="4696" dataCellStyle="Normal"/>
    <tableColumn id="11738" name="Column11717" dataDxfId="4695" dataCellStyle="Normal"/>
    <tableColumn id="11739" name="Column11718" dataDxfId="4694" dataCellStyle="Normal"/>
    <tableColumn id="11740" name="Column11719" dataDxfId="4693" dataCellStyle="Normal"/>
    <tableColumn id="11741" name="Column11720" dataDxfId="4692" dataCellStyle="Normal"/>
    <tableColumn id="11742" name="Column11721" dataDxfId="4691" dataCellStyle="Normal"/>
    <tableColumn id="11743" name="Column11722" dataDxfId="4690" dataCellStyle="Normal"/>
    <tableColumn id="11744" name="Column11723" dataDxfId="4689" dataCellStyle="Normal"/>
    <tableColumn id="11745" name="Column11724" dataDxfId="4688" dataCellStyle="Normal"/>
    <tableColumn id="11746" name="Column11725" dataDxfId="4687" dataCellStyle="Normal"/>
    <tableColumn id="11747" name="Column11726" dataDxfId="4686" dataCellStyle="Normal"/>
    <tableColumn id="11748" name="Column11727" dataDxfId="4685" dataCellStyle="Normal"/>
    <tableColumn id="11749" name="Column11728" dataDxfId="4684" dataCellStyle="Normal"/>
    <tableColumn id="11750" name="Column11729" dataDxfId="4683" dataCellStyle="Normal"/>
    <tableColumn id="11751" name="Column11730" dataDxfId="4682" dataCellStyle="Normal"/>
    <tableColumn id="11752" name="Column11731" dataDxfId="4681" dataCellStyle="Normal"/>
    <tableColumn id="11753" name="Column11732" dataDxfId="4680" dataCellStyle="Normal"/>
    <tableColumn id="11754" name="Column11733" dataDxfId="4679" dataCellStyle="Normal"/>
    <tableColumn id="11755" name="Column11734" dataDxfId="4678" dataCellStyle="Normal"/>
    <tableColumn id="11756" name="Column11735" dataDxfId="4677" dataCellStyle="Normal"/>
    <tableColumn id="11757" name="Column11736" dataDxfId="4676" dataCellStyle="Normal"/>
    <tableColumn id="11758" name="Column11737" dataDxfId="4675" dataCellStyle="Normal"/>
    <tableColumn id="11759" name="Column11738" dataDxfId="4674" dataCellStyle="Normal"/>
    <tableColumn id="11760" name="Column11739" dataDxfId="4673" dataCellStyle="Normal"/>
    <tableColumn id="11761" name="Column11740" dataDxfId="4672" dataCellStyle="Normal"/>
    <tableColumn id="11762" name="Column11741" dataDxfId="4671" dataCellStyle="Normal"/>
    <tableColumn id="11763" name="Column11742" dataDxfId="4670" dataCellStyle="Normal"/>
    <tableColumn id="11764" name="Column11743" dataDxfId="4669" dataCellStyle="Normal"/>
    <tableColumn id="11765" name="Column11744" dataDxfId="4668" dataCellStyle="Normal"/>
    <tableColumn id="11766" name="Column11745" dataDxfId="4667" dataCellStyle="Normal"/>
    <tableColumn id="11767" name="Column11746" dataDxfId="4666" dataCellStyle="Normal"/>
    <tableColumn id="11768" name="Column11747" dataDxfId="4665" dataCellStyle="Normal"/>
    <tableColumn id="11769" name="Column11748" dataDxfId="4664" dataCellStyle="Normal"/>
    <tableColumn id="11770" name="Column11749" dataDxfId="4663" dataCellStyle="Normal"/>
    <tableColumn id="11771" name="Column11750" dataDxfId="4662" dataCellStyle="Normal"/>
    <tableColumn id="11772" name="Column11751" dataDxfId="4661" dataCellStyle="Normal"/>
    <tableColumn id="11773" name="Column11752" dataDxfId="4660" dataCellStyle="Normal"/>
    <tableColumn id="11774" name="Column11753" dataDxfId="4659" dataCellStyle="Normal"/>
    <tableColumn id="11775" name="Column11754" dataDxfId="4658" dataCellStyle="Normal"/>
    <tableColumn id="11776" name="Column11755" dataDxfId="4657" dataCellStyle="Normal"/>
    <tableColumn id="11777" name="Column11756" dataDxfId="4656" dataCellStyle="Normal"/>
    <tableColumn id="11778" name="Column11757" dataDxfId="4655" dataCellStyle="Normal"/>
    <tableColumn id="11779" name="Column11758" dataDxfId="4654" dataCellStyle="Normal"/>
    <tableColumn id="11780" name="Column11759" dataDxfId="4653" dataCellStyle="Normal"/>
    <tableColumn id="11781" name="Column11760" dataDxfId="4652" dataCellStyle="Normal"/>
    <tableColumn id="11782" name="Column11761" dataDxfId="4651" dataCellStyle="Normal"/>
    <tableColumn id="11783" name="Column11762" dataDxfId="4650" dataCellStyle="Normal"/>
    <tableColumn id="11784" name="Column11763" dataDxfId="4649" dataCellStyle="Normal"/>
    <tableColumn id="11785" name="Column11764" dataDxfId="4648" dataCellStyle="Normal"/>
    <tableColumn id="11786" name="Column11765" dataDxfId="4647" dataCellStyle="Normal"/>
    <tableColumn id="11787" name="Column11766" dataDxfId="4646" dataCellStyle="Normal"/>
    <tableColumn id="11788" name="Column11767" dataDxfId="4645" dataCellStyle="Normal"/>
    <tableColumn id="11789" name="Column11768" dataDxfId="4644" dataCellStyle="Normal"/>
    <tableColumn id="11790" name="Column11769" dataDxfId="4643" dataCellStyle="Normal"/>
    <tableColumn id="11791" name="Column11770" dataDxfId="4642" dataCellStyle="Normal"/>
    <tableColumn id="11792" name="Column11771" dataDxfId="4641" dataCellStyle="Normal"/>
    <tableColumn id="11793" name="Column11772" dataDxfId="4640" dataCellStyle="Normal"/>
    <tableColumn id="11794" name="Column11773" dataDxfId="4639" dataCellStyle="Normal"/>
    <tableColumn id="11795" name="Column11774" dataDxfId="4638" dataCellStyle="Normal"/>
    <tableColumn id="11796" name="Column11775" dataDxfId="4637" dataCellStyle="Normal"/>
    <tableColumn id="11797" name="Column11776" dataDxfId="4636" dataCellStyle="Normal"/>
    <tableColumn id="11798" name="Column11777" dataDxfId="4635" dataCellStyle="Normal"/>
    <tableColumn id="11799" name="Column11778" dataDxfId="4634" dataCellStyle="Normal"/>
    <tableColumn id="11800" name="Column11779" dataDxfId="4633" dataCellStyle="Normal"/>
    <tableColumn id="11801" name="Column11780" dataDxfId="4632" dataCellStyle="Normal"/>
    <tableColumn id="11802" name="Column11781" dataDxfId="4631" dataCellStyle="Normal"/>
    <tableColumn id="11803" name="Column11782" dataDxfId="4630" dataCellStyle="Normal"/>
    <tableColumn id="11804" name="Column11783" dataDxfId="4629" dataCellStyle="Normal"/>
    <tableColumn id="11805" name="Column11784" dataDxfId="4628" dataCellStyle="Normal"/>
    <tableColumn id="11806" name="Column11785" dataDxfId="4627" dataCellStyle="Normal"/>
    <tableColumn id="11807" name="Column11786" dataDxfId="4626" dataCellStyle="Normal"/>
    <tableColumn id="11808" name="Column11787" dataDxfId="4625" dataCellStyle="Normal"/>
    <tableColumn id="11809" name="Column11788" dataDxfId="4624" dataCellStyle="Normal"/>
    <tableColumn id="11810" name="Column11789" dataDxfId="4623" dataCellStyle="Normal"/>
    <tableColumn id="11811" name="Column11790" dataDxfId="4622" dataCellStyle="Normal"/>
    <tableColumn id="11812" name="Column11791" dataDxfId="4621" dataCellStyle="Normal"/>
    <tableColumn id="11813" name="Column11792" dataDxfId="4620" dataCellStyle="Normal"/>
    <tableColumn id="11814" name="Column11793" dataDxfId="4619" dataCellStyle="Normal"/>
    <tableColumn id="11815" name="Column11794" dataDxfId="4618" dataCellStyle="Normal"/>
    <tableColumn id="11816" name="Column11795" dataDxfId="4617" dataCellStyle="Normal"/>
    <tableColumn id="11817" name="Column11796" dataDxfId="4616" dataCellStyle="Normal"/>
    <tableColumn id="11818" name="Column11797" dataDxfId="4615" dataCellStyle="Normal"/>
    <tableColumn id="11819" name="Column11798" dataDxfId="4614" dataCellStyle="Normal"/>
    <tableColumn id="11820" name="Column11799" dataDxfId="4613" dataCellStyle="Normal"/>
    <tableColumn id="11821" name="Column11800" dataDxfId="4612" dataCellStyle="Normal"/>
    <tableColumn id="11822" name="Column11801" dataDxfId="4611" dataCellStyle="Normal"/>
    <tableColumn id="11823" name="Column11802" dataDxfId="4610" dataCellStyle="Normal"/>
    <tableColumn id="11824" name="Column11803" dataDxfId="4609" dataCellStyle="Normal"/>
    <tableColumn id="11825" name="Column11804" dataDxfId="4608" dataCellStyle="Normal"/>
    <tableColumn id="11826" name="Column11805" dataDxfId="4607" dataCellStyle="Normal"/>
    <tableColumn id="11827" name="Column11806" dataDxfId="4606" dataCellStyle="Normal"/>
    <tableColumn id="11828" name="Column11807" dataDxfId="4605" dataCellStyle="Normal"/>
    <tableColumn id="11829" name="Column11808" dataDxfId="4604" dataCellStyle="Normal"/>
    <tableColumn id="11830" name="Column11809" dataDxfId="4603" dataCellStyle="Normal"/>
    <tableColumn id="11831" name="Column11810" dataDxfId="4602" dataCellStyle="Normal"/>
    <tableColumn id="11832" name="Column11811" dataDxfId="4601" dataCellStyle="Normal"/>
    <tableColumn id="11833" name="Column11812" dataDxfId="4600" dataCellStyle="Normal"/>
    <tableColumn id="11834" name="Column11813" dataDxfId="4599" dataCellStyle="Normal"/>
    <tableColumn id="11835" name="Column11814" dataDxfId="4598" dataCellStyle="Normal"/>
    <tableColumn id="11836" name="Column11815" dataDxfId="4597" dataCellStyle="Normal"/>
    <tableColumn id="11837" name="Column11816" dataDxfId="4596" dataCellStyle="Normal"/>
    <tableColumn id="11838" name="Column11817" dataDxfId="4595" dataCellStyle="Normal"/>
    <tableColumn id="11839" name="Column11818" dataDxfId="4594" dataCellStyle="Normal"/>
    <tableColumn id="11840" name="Column11819" dataDxfId="4593" dataCellStyle="Normal"/>
    <tableColumn id="11841" name="Column11820" dataDxfId="4592" dataCellStyle="Normal"/>
    <tableColumn id="11842" name="Column11821" dataDxfId="4591" dataCellStyle="Normal"/>
    <tableColumn id="11843" name="Column11822" dataDxfId="4590" dataCellStyle="Normal"/>
    <tableColumn id="11844" name="Column11823" dataDxfId="4589" dataCellStyle="Normal"/>
    <tableColumn id="11845" name="Column11824" dataDxfId="4588" dataCellStyle="Normal"/>
    <tableColumn id="11846" name="Column11825" dataDxfId="4587" dataCellStyle="Normal"/>
    <tableColumn id="11847" name="Column11826" dataDxfId="4586" dataCellStyle="Normal"/>
    <tableColumn id="11848" name="Column11827" dataDxfId="4585" dataCellStyle="Normal"/>
    <tableColumn id="11849" name="Column11828" dataDxfId="4584" dataCellStyle="Normal"/>
    <tableColumn id="11850" name="Column11829" dataDxfId="4583" dataCellStyle="Normal"/>
    <tableColumn id="11851" name="Column11830" dataDxfId="4582" dataCellStyle="Normal"/>
    <tableColumn id="11852" name="Column11831" dataDxfId="4581" dataCellStyle="Normal"/>
    <tableColumn id="11853" name="Column11832" dataDxfId="4580" dataCellStyle="Normal"/>
    <tableColumn id="11854" name="Column11833" dataDxfId="4579" dataCellStyle="Normal"/>
    <tableColumn id="11855" name="Column11834" dataDxfId="4578" dataCellStyle="Normal"/>
    <tableColumn id="11856" name="Column11835" dataDxfId="4577" dataCellStyle="Normal"/>
    <tableColumn id="11857" name="Column11836" dataDxfId="4576" dataCellStyle="Normal"/>
    <tableColumn id="11858" name="Column11837" dataDxfId="4575" dataCellStyle="Normal"/>
    <tableColumn id="11859" name="Column11838" dataDxfId="4574" dataCellStyle="Normal"/>
    <tableColumn id="11860" name="Column11839" dataDxfId="4573" dataCellStyle="Normal"/>
    <tableColumn id="11861" name="Column11840" dataDxfId="4572" dataCellStyle="Normal"/>
    <tableColumn id="11862" name="Column11841" dataDxfId="4571" dataCellStyle="Normal"/>
    <tableColumn id="11863" name="Column11842" dataDxfId="4570" dataCellStyle="Normal"/>
    <tableColumn id="11864" name="Column11843" dataDxfId="4569" dataCellStyle="Normal"/>
    <tableColumn id="11865" name="Column11844" dataDxfId="4568" dataCellStyle="Normal"/>
    <tableColumn id="11866" name="Column11845" dataDxfId="4567" dataCellStyle="Normal"/>
    <tableColumn id="11867" name="Column11846" dataDxfId="4566" dataCellStyle="Normal"/>
    <tableColumn id="11868" name="Column11847" dataDxfId="4565" dataCellStyle="Normal"/>
    <tableColumn id="11869" name="Column11848" dataDxfId="4564" dataCellStyle="Normal"/>
    <tableColumn id="11870" name="Column11849" dataDxfId="4563" dataCellStyle="Normal"/>
    <tableColumn id="11871" name="Column11850" dataDxfId="4562" dataCellStyle="Normal"/>
    <tableColumn id="11872" name="Column11851" dataDxfId="4561" dataCellStyle="Normal"/>
    <tableColumn id="11873" name="Column11852" dataDxfId="4560" dataCellStyle="Normal"/>
    <tableColumn id="11874" name="Column11853" dataDxfId="4559" dataCellStyle="Normal"/>
    <tableColumn id="11875" name="Column11854" dataDxfId="4558" dataCellStyle="Normal"/>
    <tableColumn id="11876" name="Column11855" dataDxfId="4557" dataCellStyle="Normal"/>
    <tableColumn id="11877" name="Column11856" dataDxfId="4556" dataCellStyle="Normal"/>
    <tableColumn id="11878" name="Column11857" dataDxfId="4555" dataCellStyle="Normal"/>
    <tableColumn id="11879" name="Column11858" dataDxfId="4554" dataCellStyle="Normal"/>
    <tableColumn id="11880" name="Column11859" dataDxfId="4553" dataCellStyle="Normal"/>
    <tableColumn id="11881" name="Column11860" dataDxfId="4552" dataCellStyle="Normal"/>
    <tableColumn id="11882" name="Column11861" dataDxfId="4551" dataCellStyle="Normal"/>
    <tableColumn id="11883" name="Column11862" dataDxfId="4550" dataCellStyle="Normal"/>
    <tableColumn id="11884" name="Column11863" dataDxfId="4549" dataCellStyle="Normal"/>
    <tableColumn id="11885" name="Column11864" dataDxfId="4548" dataCellStyle="Normal"/>
    <tableColumn id="11886" name="Column11865" dataDxfId="4547" dataCellStyle="Normal"/>
    <tableColumn id="11887" name="Column11866" dataDxfId="4546" dataCellStyle="Normal"/>
    <tableColumn id="11888" name="Column11867" dataDxfId="4545" dataCellStyle="Normal"/>
    <tableColumn id="11889" name="Column11868" dataDxfId="4544" dataCellStyle="Normal"/>
    <tableColumn id="11890" name="Column11869" dataDxfId="4543" dataCellStyle="Normal"/>
    <tableColumn id="11891" name="Column11870" dataDxfId="4542" dataCellStyle="Normal"/>
    <tableColumn id="11892" name="Column11871" dataDxfId="4541" dataCellStyle="Normal"/>
    <tableColumn id="11893" name="Column11872" dataDxfId="4540" dataCellStyle="Normal"/>
    <tableColumn id="11894" name="Column11873" dataDxfId="4539" dataCellStyle="Normal"/>
    <tableColumn id="11895" name="Column11874" dataDxfId="4538" dataCellStyle="Normal"/>
    <tableColumn id="11896" name="Column11875" dataDxfId="4537" dataCellStyle="Normal"/>
    <tableColumn id="11897" name="Column11876" dataDxfId="4536" dataCellStyle="Normal"/>
    <tableColumn id="11898" name="Column11877" dataDxfId="4535" dataCellStyle="Normal"/>
    <tableColumn id="11899" name="Column11878" dataDxfId="4534" dataCellStyle="Normal"/>
    <tableColumn id="11900" name="Column11879" dataDxfId="4533" dataCellStyle="Normal"/>
    <tableColumn id="11901" name="Column11880" dataDxfId="4532" dataCellStyle="Normal"/>
    <tableColumn id="11902" name="Column11881" dataDxfId="4531" dataCellStyle="Normal"/>
    <tableColumn id="11903" name="Column11882" dataDxfId="4530" dataCellStyle="Normal"/>
    <tableColumn id="11904" name="Column11883" dataDxfId="4529" dataCellStyle="Normal"/>
    <tableColumn id="11905" name="Column11884" dataDxfId="4528" dataCellStyle="Normal"/>
    <tableColumn id="11906" name="Column11885" dataDxfId="4527" dataCellStyle="Normal"/>
    <tableColumn id="11907" name="Column11886" dataDxfId="4526" dataCellStyle="Normal"/>
    <tableColumn id="11908" name="Column11887" dataDxfId="4525" dataCellStyle="Normal"/>
    <tableColumn id="11909" name="Column11888" dataDxfId="4524" dataCellStyle="Normal"/>
    <tableColumn id="11910" name="Column11889" dataDxfId="4523" dataCellStyle="Normal"/>
    <tableColumn id="11911" name="Column11890" dataDxfId="4522" dataCellStyle="Normal"/>
    <tableColumn id="11912" name="Column11891" dataDxfId="4521" dataCellStyle="Normal"/>
    <tableColumn id="11913" name="Column11892" dataDxfId="4520" dataCellStyle="Normal"/>
    <tableColumn id="11914" name="Column11893" dataDxfId="4519" dataCellStyle="Normal"/>
    <tableColumn id="11915" name="Column11894" dataDxfId="4518" dataCellStyle="Normal"/>
    <tableColumn id="11916" name="Column11895" dataDxfId="4517" dataCellStyle="Normal"/>
    <tableColumn id="11917" name="Column11896" dataDxfId="4516" dataCellStyle="Normal"/>
    <tableColumn id="11918" name="Column11897" dataDxfId="4515" dataCellStyle="Normal"/>
    <tableColumn id="11919" name="Column11898" dataDxfId="4514" dataCellStyle="Normal"/>
    <tableColumn id="11920" name="Column11899" dataDxfId="4513" dataCellStyle="Normal"/>
    <tableColumn id="11921" name="Column11900" dataDxfId="4512" dataCellStyle="Normal"/>
    <tableColumn id="11922" name="Column11901" dataDxfId="4511" dataCellStyle="Normal"/>
    <tableColumn id="11923" name="Column11902" dataDxfId="4510" dataCellStyle="Normal"/>
    <tableColumn id="11924" name="Column11903" dataDxfId="4509" dataCellStyle="Normal"/>
    <tableColumn id="11925" name="Column11904" dataDxfId="4508" dataCellStyle="Normal"/>
    <tableColumn id="11926" name="Column11905" dataDxfId="4507" dataCellStyle="Normal"/>
    <tableColumn id="11927" name="Column11906" dataDxfId="4506" dataCellStyle="Normal"/>
    <tableColumn id="11928" name="Column11907" dataDxfId="4505" dataCellStyle="Normal"/>
    <tableColumn id="11929" name="Column11908" dataDxfId="4504" dataCellStyle="Normal"/>
    <tableColumn id="11930" name="Column11909" dataDxfId="4503" dataCellStyle="Normal"/>
    <tableColumn id="11931" name="Column11910" dataDxfId="4502" dataCellStyle="Normal"/>
    <tableColumn id="11932" name="Column11911" dataDxfId="4501" dataCellStyle="Normal"/>
    <tableColumn id="11933" name="Column11912" dataDxfId="4500" dataCellStyle="Normal"/>
    <tableColumn id="11934" name="Column11913" dataDxfId="4499" dataCellStyle="Normal"/>
    <tableColumn id="11935" name="Column11914" dataDxfId="4498" dataCellStyle="Normal"/>
    <tableColumn id="11936" name="Column11915" dataDxfId="4497" dataCellStyle="Normal"/>
    <tableColumn id="11937" name="Column11916" dataDxfId="4496" dataCellStyle="Normal"/>
    <tableColumn id="11938" name="Column11917" dataDxfId="4495" dataCellStyle="Normal"/>
    <tableColumn id="11939" name="Column11918" dataDxfId="4494" dataCellStyle="Normal"/>
    <tableColumn id="11940" name="Column11919" dataDxfId="4493" dataCellStyle="Normal"/>
    <tableColumn id="11941" name="Column11920" dataDxfId="4492" dataCellStyle="Normal"/>
    <tableColumn id="11942" name="Column11921" dataDxfId="4491" dataCellStyle="Normal"/>
    <tableColumn id="11943" name="Column11922" dataDxfId="4490" dataCellStyle="Normal"/>
    <tableColumn id="11944" name="Column11923" dataDxfId="4489" dataCellStyle="Normal"/>
    <tableColumn id="11945" name="Column11924" dataDxfId="4488" dataCellStyle="Normal"/>
    <tableColumn id="11946" name="Column11925" dataDxfId="4487" dataCellStyle="Normal"/>
    <tableColumn id="11947" name="Column11926" dataDxfId="4486" dataCellStyle="Normal"/>
    <tableColumn id="11948" name="Column11927" dataDxfId="4485" dataCellStyle="Normal"/>
    <tableColumn id="11949" name="Column11928" dataDxfId="4484" dataCellStyle="Normal"/>
    <tableColumn id="11950" name="Column11929" dataDxfId="4483" dataCellStyle="Normal"/>
    <tableColumn id="11951" name="Column11930" dataDxfId="4482" dataCellStyle="Normal"/>
    <tableColumn id="11952" name="Column11931" dataDxfId="4481" dataCellStyle="Normal"/>
    <tableColumn id="11953" name="Column11932" dataDxfId="4480" dataCellStyle="Normal"/>
    <tableColumn id="11954" name="Column11933" dataDxfId="4479" dataCellStyle="Normal"/>
    <tableColumn id="11955" name="Column11934" dataDxfId="4478" dataCellStyle="Normal"/>
    <tableColumn id="11956" name="Column11935" dataDxfId="4477" dataCellStyle="Normal"/>
    <tableColumn id="11957" name="Column11936" dataDxfId="4476" dataCellStyle="Normal"/>
    <tableColumn id="11958" name="Column11937" dataDxfId="4475" dataCellStyle="Normal"/>
    <tableColumn id="11959" name="Column11938" dataDxfId="4474" dataCellStyle="Normal"/>
    <tableColumn id="11960" name="Column11939" dataDxfId="4473" dataCellStyle="Normal"/>
    <tableColumn id="11961" name="Column11940" dataDxfId="4472" dataCellStyle="Normal"/>
    <tableColumn id="11962" name="Column11941" dataDxfId="4471" dataCellStyle="Normal"/>
    <tableColumn id="11963" name="Column11942" dataDxfId="4470" dataCellStyle="Normal"/>
    <tableColumn id="11964" name="Column11943" dataDxfId="4469" dataCellStyle="Normal"/>
    <tableColumn id="11965" name="Column11944" dataDxfId="4468" dataCellStyle="Normal"/>
    <tableColumn id="11966" name="Column11945" dataDxfId="4467" dataCellStyle="Normal"/>
    <tableColumn id="11967" name="Column11946" dataDxfId="4466" dataCellStyle="Normal"/>
    <tableColumn id="11968" name="Column11947" dataDxfId="4465" dataCellStyle="Normal"/>
    <tableColumn id="11969" name="Column11948" dataDxfId="4464" dataCellStyle="Normal"/>
    <tableColumn id="11970" name="Column11949" dataDxfId="4463" dataCellStyle="Normal"/>
    <tableColumn id="11971" name="Column11950" dataDxfId="4462" dataCellStyle="Normal"/>
    <tableColumn id="11972" name="Column11951" dataDxfId="4461" dataCellStyle="Normal"/>
    <tableColumn id="11973" name="Column11952" dataDxfId="4460" dataCellStyle="Normal"/>
    <tableColumn id="11974" name="Column11953" dataDxfId="4459" dataCellStyle="Normal"/>
    <tableColumn id="11975" name="Column11954" dataDxfId="4458" dataCellStyle="Normal"/>
    <tableColumn id="11976" name="Column11955" dataDxfId="4457" dataCellStyle="Normal"/>
    <tableColumn id="11977" name="Column11956" dataDxfId="4456" dataCellStyle="Normal"/>
    <tableColumn id="11978" name="Column11957" dataDxfId="4455" dataCellStyle="Normal"/>
    <tableColumn id="11979" name="Column11958" dataDxfId="4454" dataCellStyle="Normal"/>
    <tableColumn id="11980" name="Column11959" dataDxfId="4453" dataCellStyle="Normal"/>
    <tableColumn id="11981" name="Column11960" dataDxfId="4452" dataCellStyle="Normal"/>
    <tableColumn id="11982" name="Column11961" dataDxfId="4451" dataCellStyle="Normal"/>
    <tableColumn id="11983" name="Column11962" dataDxfId="4450" dataCellStyle="Normal"/>
    <tableColumn id="11984" name="Column11963" dataDxfId="4449" dataCellStyle="Normal"/>
    <tableColumn id="11985" name="Column11964" dataDxfId="4448" dataCellStyle="Normal"/>
    <tableColumn id="11986" name="Column11965" dataDxfId="4447" dataCellStyle="Normal"/>
    <tableColumn id="11987" name="Column11966" dataDxfId="4446" dataCellStyle="Normal"/>
    <tableColumn id="11988" name="Column11967" dataDxfId="4445" dataCellStyle="Normal"/>
    <tableColumn id="11989" name="Column11968" dataDxfId="4444" dataCellStyle="Normal"/>
    <tableColumn id="11990" name="Column11969" dataDxfId="4443" dataCellStyle="Normal"/>
    <tableColumn id="11991" name="Column11970" dataDxfId="4442" dataCellStyle="Normal"/>
    <tableColumn id="11992" name="Column11971" dataDxfId="4441" dataCellStyle="Normal"/>
    <tableColumn id="11993" name="Column11972" dataDxfId="4440" dataCellStyle="Normal"/>
    <tableColumn id="11994" name="Column11973" dataDxfId="4439" dataCellStyle="Normal"/>
    <tableColumn id="11995" name="Column11974" dataDxfId="4438" dataCellStyle="Normal"/>
    <tableColumn id="11996" name="Column11975" dataDxfId="4437" dataCellStyle="Normal"/>
    <tableColumn id="11997" name="Column11976" dataDxfId="4436" dataCellStyle="Normal"/>
    <tableColumn id="11998" name="Column11977" dataDxfId="4435" dataCellStyle="Normal"/>
    <tableColumn id="11999" name="Column11978" dataDxfId="4434" dataCellStyle="Normal"/>
    <tableColumn id="12000" name="Column11979" dataDxfId="4433" dataCellStyle="Normal"/>
    <tableColumn id="12001" name="Column11980" dataDxfId="4432" dataCellStyle="Normal"/>
    <tableColumn id="12002" name="Column11981" dataDxfId="4431" dataCellStyle="Normal"/>
    <tableColumn id="12003" name="Column11982" dataDxfId="4430" dataCellStyle="Normal"/>
    <tableColumn id="12004" name="Column11983" dataDxfId="4429" dataCellStyle="Normal"/>
    <tableColumn id="12005" name="Column11984" dataDxfId="4428" dataCellStyle="Normal"/>
    <tableColumn id="12006" name="Column11985" dataDxfId="4427" dataCellStyle="Normal"/>
    <tableColumn id="12007" name="Column11986" dataDxfId="4426" dataCellStyle="Normal"/>
    <tableColumn id="12008" name="Column11987" dataDxfId="4425" dataCellStyle="Normal"/>
    <tableColumn id="12009" name="Column11988" dataDxfId="4424" dataCellStyle="Normal"/>
    <tableColumn id="12010" name="Column11989" dataDxfId="4423" dataCellStyle="Normal"/>
    <tableColumn id="12011" name="Column11990" dataDxfId="4422" dataCellStyle="Normal"/>
    <tableColumn id="12012" name="Column11991" dataDxfId="4421" dataCellStyle="Normal"/>
    <tableColumn id="12013" name="Column11992" dataDxfId="4420" dataCellStyle="Normal"/>
    <tableColumn id="12014" name="Column11993" dataDxfId="4419" dataCellStyle="Normal"/>
    <tableColumn id="12015" name="Column11994" dataDxfId="4418" dataCellStyle="Normal"/>
    <tableColumn id="12016" name="Column11995" dataDxfId="4417" dataCellStyle="Normal"/>
    <tableColumn id="12017" name="Column11996" dataDxfId="4416" dataCellStyle="Normal"/>
    <tableColumn id="12018" name="Column11997" dataDxfId="4415" dataCellStyle="Normal"/>
    <tableColumn id="12019" name="Column11998" dataDxfId="4414" dataCellStyle="Normal"/>
    <tableColumn id="12020" name="Column11999" dataDxfId="4413" dataCellStyle="Normal"/>
    <tableColumn id="12021" name="Column12000" dataDxfId="4412" dataCellStyle="Normal"/>
    <tableColumn id="12022" name="Column12001" dataDxfId="4411" dataCellStyle="Normal"/>
    <tableColumn id="12023" name="Column12002" dataDxfId="4410" dataCellStyle="Normal"/>
    <tableColumn id="12024" name="Column12003" dataDxfId="4409" dataCellStyle="Normal"/>
    <tableColumn id="12025" name="Column12004" dataDxfId="4408" dataCellStyle="Normal"/>
    <tableColumn id="12026" name="Column12005" dataDxfId="4407" dataCellStyle="Normal"/>
    <tableColumn id="12027" name="Column12006" dataDxfId="4406" dataCellStyle="Normal"/>
    <tableColumn id="12028" name="Column12007" dataDxfId="4405" dataCellStyle="Normal"/>
    <tableColumn id="12029" name="Column12008" dataDxfId="4404" dataCellStyle="Normal"/>
    <tableColumn id="12030" name="Column12009" dataDxfId="4403" dataCellStyle="Normal"/>
    <tableColumn id="12031" name="Column12010" dataDxfId="4402" dataCellStyle="Normal"/>
    <tableColumn id="12032" name="Column12011" dataDxfId="4401" dataCellStyle="Normal"/>
    <tableColumn id="12033" name="Column12012" dataDxfId="4400" dataCellStyle="Normal"/>
    <tableColumn id="12034" name="Column12013" dataDxfId="4399" dataCellStyle="Normal"/>
    <tableColumn id="12035" name="Column12014" dataDxfId="4398" dataCellStyle="Normal"/>
    <tableColumn id="12036" name="Column12015" dataDxfId="4397" dataCellStyle="Normal"/>
    <tableColumn id="12037" name="Column12016" dataDxfId="4396" dataCellStyle="Normal"/>
    <tableColumn id="12038" name="Column12017" dataDxfId="4395" dataCellStyle="Normal"/>
    <tableColumn id="12039" name="Column12018" dataDxfId="4394" dataCellStyle="Normal"/>
    <tableColumn id="12040" name="Column12019" dataDxfId="4393" dataCellStyle="Normal"/>
    <tableColumn id="12041" name="Column12020" dataDxfId="4392" dataCellStyle="Normal"/>
    <tableColumn id="12042" name="Column12021" dataDxfId="4391" dataCellStyle="Normal"/>
    <tableColumn id="12043" name="Column12022" dataDxfId="4390" dataCellStyle="Normal"/>
    <tableColumn id="12044" name="Column12023" dataDxfId="4389" dataCellStyle="Normal"/>
    <tableColumn id="12045" name="Column12024" dataDxfId="4388" dataCellStyle="Normal"/>
    <tableColumn id="12046" name="Column12025" dataDxfId="4387" dataCellStyle="Normal"/>
    <tableColumn id="12047" name="Column12026" dataDxfId="4386" dataCellStyle="Normal"/>
    <tableColumn id="12048" name="Column12027" dataDxfId="4385" dataCellStyle="Normal"/>
    <tableColumn id="12049" name="Column12028" dataDxfId="4384" dataCellStyle="Normal"/>
    <tableColumn id="12050" name="Column12029" dataDxfId="4383" dataCellStyle="Normal"/>
    <tableColumn id="12051" name="Column12030" dataDxfId="4382" dataCellStyle="Normal"/>
    <tableColumn id="12052" name="Column12031" dataDxfId="4381" dataCellStyle="Normal"/>
    <tableColumn id="12053" name="Column12032" dataDxfId="4380" dataCellStyle="Normal"/>
    <tableColumn id="12054" name="Column12033" dataDxfId="4379" dataCellStyle="Normal"/>
    <tableColumn id="12055" name="Column12034" dataDxfId="4378" dataCellStyle="Normal"/>
    <tableColumn id="12056" name="Column12035" dataDxfId="4377" dataCellStyle="Normal"/>
    <tableColumn id="12057" name="Column12036" dataDxfId="4376" dataCellStyle="Normal"/>
    <tableColumn id="12058" name="Column12037" dataDxfId="4375" dataCellStyle="Normal"/>
    <tableColumn id="12059" name="Column12038" dataDxfId="4374" dataCellStyle="Normal"/>
    <tableColumn id="12060" name="Column12039" dataDxfId="4373" dataCellStyle="Normal"/>
    <tableColumn id="12061" name="Column12040" dataDxfId="4372" dataCellStyle="Normal"/>
    <tableColumn id="12062" name="Column12041" dataDxfId="4371" dataCellStyle="Normal"/>
    <tableColumn id="12063" name="Column12042" dataDxfId="4370" dataCellStyle="Normal"/>
    <tableColumn id="12064" name="Column12043" dataDxfId="4369" dataCellStyle="Normal"/>
    <tableColumn id="12065" name="Column12044" dataDxfId="4368" dataCellStyle="Normal"/>
    <tableColumn id="12066" name="Column12045" dataDxfId="4367" dataCellStyle="Normal"/>
    <tableColumn id="12067" name="Column12046" dataDxfId="4366" dataCellStyle="Normal"/>
    <tableColumn id="12068" name="Column12047" dataDxfId="4365" dataCellStyle="Normal"/>
    <tableColumn id="12069" name="Column12048" dataDxfId="4364" dataCellStyle="Normal"/>
    <tableColumn id="12070" name="Column12049" dataDxfId="4363" dataCellStyle="Normal"/>
    <tableColumn id="12071" name="Column12050" dataDxfId="4362" dataCellStyle="Normal"/>
    <tableColumn id="12072" name="Column12051" dataDxfId="4361" dataCellStyle="Normal"/>
    <tableColumn id="12073" name="Column12052" dataDxfId="4360" dataCellStyle="Normal"/>
    <tableColumn id="12074" name="Column12053" dataDxfId="4359" dataCellStyle="Normal"/>
    <tableColumn id="12075" name="Column12054" dataDxfId="4358" dataCellStyle="Normal"/>
    <tableColumn id="12076" name="Column12055" dataDxfId="4357" dataCellStyle="Normal"/>
    <tableColumn id="12077" name="Column12056" dataDxfId="4356" dataCellStyle="Normal"/>
    <tableColumn id="12078" name="Column12057" dataDxfId="4355" dataCellStyle="Normal"/>
    <tableColumn id="12079" name="Column12058" dataDxfId="4354" dataCellStyle="Normal"/>
    <tableColumn id="12080" name="Column12059" dataDxfId="4353" dataCellStyle="Normal"/>
    <tableColumn id="12081" name="Column12060" dataDxfId="4352" dataCellStyle="Normal"/>
    <tableColumn id="12082" name="Column12061" dataDxfId="4351" dataCellStyle="Normal"/>
    <tableColumn id="12083" name="Column12062" dataDxfId="4350" dataCellStyle="Normal"/>
    <tableColumn id="12084" name="Column12063" dataDxfId="4349" dataCellStyle="Normal"/>
    <tableColumn id="12085" name="Column12064" dataDxfId="4348" dataCellStyle="Normal"/>
    <tableColumn id="12086" name="Column12065" dataDxfId="4347" dataCellStyle="Normal"/>
    <tableColumn id="12087" name="Column12066" dataDxfId="4346" dataCellStyle="Normal"/>
    <tableColumn id="12088" name="Column12067" dataDxfId="4345" dataCellStyle="Normal"/>
    <tableColumn id="12089" name="Column12068" dataDxfId="4344" dataCellStyle="Normal"/>
    <tableColumn id="12090" name="Column12069" dataDxfId="4343" dataCellStyle="Normal"/>
    <tableColumn id="12091" name="Column12070" dataDxfId="4342" dataCellStyle="Normal"/>
    <tableColumn id="12092" name="Column12071" dataDxfId="4341" dataCellStyle="Normal"/>
    <tableColumn id="12093" name="Column12072" dataDxfId="4340" dataCellStyle="Normal"/>
    <tableColumn id="12094" name="Column12073" dataDxfId="4339" dataCellStyle="Normal"/>
    <tableColumn id="12095" name="Column12074" dataDxfId="4338" dataCellStyle="Normal"/>
    <tableColumn id="12096" name="Column12075" dataDxfId="4337" dataCellStyle="Normal"/>
    <tableColumn id="12097" name="Column12076" dataDxfId="4336" dataCellStyle="Normal"/>
    <tableColumn id="12098" name="Column12077" dataDxfId="4335" dataCellStyle="Normal"/>
    <tableColumn id="12099" name="Column12078" dataDxfId="4334" dataCellStyle="Normal"/>
    <tableColumn id="12100" name="Column12079" dataDxfId="4333" dataCellStyle="Normal"/>
    <tableColumn id="12101" name="Column12080" dataDxfId="4332" dataCellStyle="Normal"/>
    <tableColumn id="12102" name="Column12081" dataDxfId="4331" dataCellStyle="Normal"/>
    <tableColumn id="12103" name="Column12082" dataDxfId="4330" dataCellStyle="Normal"/>
    <tableColumn id="12104" name="Column12083" dataDxfId="4329" dataCellStyle="Normal"/>
    <tableColumn id="12105" name="Column12084" dataDxfId="4328" dataCellStyle="Normal"/>
    <tableColumn id="12106" name="Column12085" dataDxfId="4327" dataCellStyle="Normal"/>
    <tableColumn id="12107" name="Column12086" dataDxfId="4326" dataCellStyle="Normal"/>
    <tableColumn id="12108" name="Column12087" dataDxfId="4325" dataCellStyle="Normal"/>
    <tableColumn id="12109" name="Column12088" dataDxfId="4324" dataCellStyle="Normal"/>
    <tableColumn id="12110" name="Column12089" dataDxfId="4323" dataCellStyle="Normal"/>
    <tableColumn id="12111" name="Column12090" dataDxfId="4322" dataCellStyle="Normal"/>
    <tableColumn id="12112" name="Column12091" dataDxfId="4321" dataCellStyle="Normal"/>
    <tableColumn id="12113" name="Column12092" dataDxfId="4320" dataCellStyle="Normal"/>
    <tableColumn id="12114" name="Column12093" dataDxfId="4319" dataCellStyle="Normal"/>
    <tableColumn id="12115" name="Column12094" dataDxfId="4318" dataCellStyle="Normal"/>
    <tableColumn id="12116" name="Column12095" dataDxfId="4317" dataCellStyle="Normal"/>
    <tableColumn id="12117" name="Column12096" dataDxfId="4316" dataCellStyle="Normal"/>
    <tableColumn id="12118" name="Column12097" dataDxfId="4315" dataCellStyle="Normal"/>
    <tableColumn id="12119" name="Column12098" dataDxfId="4314" dataCellStyle="Normal"/>
    <tableColumn id="12120" name="Column12099" dataDxfId="4313" dataCellStyle="Normal"/>
    <tableColumn id="12121" name="Column12100" dataDxfId="4312" dataCellStyle="Normal"/>
    <tableColumn id="12122" name="Column12101" dataDxfId="4311" dataCellStyle="Normal"/>
    <tableColumn id="12123" name="Column12102" dataDxfId="4310" dataCellStyle="Normal"/>
    <tableColumn id="12124" name="Column12103" dataDxfId="4309" dataCellStyle="Normal"/>
    <tableColumn id="12125" name="Column12104" dataDxfId="4308" dataCellStyle="Normal"/>
    <tableColumn id="12126" name="Column12105" dataDxfId="4307" dataCellStyle="Normal"/>
    <tableColumn id="12127" name="Column12106" dataDxfId="4306" dataCellStyle="Normal"/>
    <tableColumn id="12128" name="Column12107" dataDxfId="4305" dataCellStyle="Normal"/>
    <tableColumn id="12129" name="Column12108" dataDxfId="4304" dataCellStyle="Normal"/>
    <tableColumn id="12130" name="Column12109" dataDxfId="4303" dataCellStyle="Normal"/>
    <tableColumn id="12131" name="Column12110" dataDxfId="4302" dataCellStyle="Normal"/>
    <tableColumn id="12132" name="Column12111" dataDxfId="4301" dataCellStyle="Normal"/>
    <tableColumn id="12133" name="Column12112" dataDxfId="4300" dataCellStyle="Normal"/>
    <tableColumn id="12134" name="Column12113" dataDxfId="4299" dataCellStyle="Normal"/>
    <tableColumn id="12135" name="Column12114" dataDxfId="4298" dataCellStyle="Normal"/>
    <tableColumn id="12136" name="Column12115" dataDxfId="4297" dataCellStyle="Normal"/>
    <tableColumn id="12137" name="Column12116" dataDxfId="4296" dataCellStyle="Normal"/>
    <tableColumn id="12138" name="Column12117" dataDxfId="4295" dataCellStyle="Normal"/>
    <tableColumn id="12139" name="Column12118" dataDxfId="4294" dataCellStyle="Normal"/>
    <tableColumn id="12140" name="Column12119" dataDxfId="4293" dataCellStyle="Normal"/>
    <tableColumn id="12141" name="Column12120" dataDxfId="4292" dataCellStyle="Normal"/>
    <tableColumn id="12142" name="Column12121" dataDxfId="4291" dataCellStyle="Normal"/>
    <tableColumn id="12143" name="Column12122" dataDxfId="4290" dataCellStyle="Normal"/>
    <tableColumn id="12144" name="Column12123" dataDxfId="4289" dataCellStyle="Normal"/>
    <tableColumn id="12145" name="Column12124" dataDxfId="4288" dataCellStyle="Normal"/>
    <tableColumn id="12146" name="Column12125" dataDxfId="4287" dataCellStyle="Normal"/>
    <tableColumn id="12147" name="Column12126" dataDxfId="4286" dataCellStyle="Normal"/>
    <tableColumn id="12148" name="Column12127" dataDxfId="4285" dataCellStyle="Normal"/>
    <tableColumn id="12149" name="Column12128" dataDxfId="4284" dataCellStyle="Normal"/>
    <tableColumn id="12150" name="Column12129" dataDxfId="4283" dataCellStyle="Normal"/>
    <tableColumn id="12151" name="Column12130" dataDxfId="4282" dataCellStyle="Normal"/>
    <tableColumn id="12152" name="Column12131" dataDxfId="4281" dataCellStyle="Normal"/>
    <tableColumn id="12153" name="Column12132" dataDxfId="4280" dataCellStyle="Normal"/>
    <tableColumn id="12154" name="Column12133" dataDxfId="4279" dataCellStyle="Normal"/>
    <tableColumn id="12155" name="Column12134" dataDxfId="4278" dataCellStyle="Normal"/>
    <tableColumn id="12156" name="Column12135" dataDxfId="4277" dataCellStyle="Normal"/>
    <tableColumn id="12157" name="Column12136" dataDxfId="4276" dataCellStyle="Normal"/>
    <tableColumn id="12158" name="Column12137" dataDxfId="4275" dataCellStyle="Normal"/>
    <tableColumn id="12159" name="Column12138" dataDxfId="4274" dataCellStyle="Normal"/>
    <tableColumn id="12160" name="Column12139" dataDxfId="4273" dataCellStyle="Normal"/>
    <tableColumn id="12161" name="Column12140" dataDxfId="4272" dataCellStyle="Normal"/>
    <tableColumn id="12162" name="Column12141" dataDxfId="4271" dataCellStyle="Normal"/>
    <tableColumn id="12163" name="Column12142" dataDxfId="4270" dataCellStyle="Normal"/>
    <tableColumn id="12164" name="Column12143" dataDxfId="4269" dataCellStyle="Normal"/>
    <tableColumn id="12165" name="Column12144" dataDxfId="4268" dataCellStyle="Normal"/>
    <tableColumn id="12166" name="Column12145" dataDxfId="4267" dataCellStyle="Normal"/>
    <tableColumn id="12167" name="Column12146" dataDxfId="4266" dataCellStyle="Normal"/>
    <tableColumn id="12168" name="Column12147" dataDxfId="4265" dataCellStyle="Normal"/>
    <tableColumn id="12169" name="Column12148" dataDxfId="4264" dataCellStyle="Normal"/>
    <tableColumn id="12170" name="Column12149" dataDxfId="4263" dataCellStyle="Normal"/>
    <tableColumn id="12171" name="Column12150" dataDxfId="4262" dataCellStyle="Normal"/>
    <tableColumn id="12172" name="Column12151" dataDxfId="4261" dataCellStyle="Normal"/>
    <tableColumn id="12173" name="Column12152" dataDxfId="4260" dataCellStyle="Normal"/>
    <tableColumn id="12174" name="Column12153" dataDxfId="4259" dataCellStyle="Normal"/>
    <tableColumn id="12175" name="Column12154" dataDxfId="4258" dataCellStyle="Normal"/>
    <tableColumn id="12176" name="Column12155" dataDxfId="4257" dataCellStyle="Normal"/>
    <tableColumn id="12177" name="Column12156" dataDxfId="4256" dataCellStyle="Normal"/>
    <tableColumn id="12178" name="Column12157" dataDxfId="4255" dataCellStyle="Normal"/>
    <tableColumn id="12179" name="Column12158" dataDxfId="4254" dataCellStyle="Normal"/>
    <tableColumn id="12180" name="Column12159" dataDxfId="4253" dataCellStyle="Normal"/>
    <tableColumn id="12181" name="Column12160" dataDxfId="4252" dataCellStyle="Normal"/>
    <tableColumn id="12182" name="Column12161" dataDxfId="4251" dataCellStyle="Normal"/>
    <tableColumn id="12183" name="Column12162" dataDxfId="4250" dataCellStyle="Normal"/>
    <tableColumn id="12184" name="Column12163" dataDxfId="4249" dataCellStyle="Normal"/>
    <tableColumn id="12185" name="Column12164" dataDxfId="4248" dataCellStyle="Normal"/>
    <tableColumn id="12186" name="Column12165" dataDxfId="4247" dataCellStyle="Normal"/>
    <tableColumn id="12187" name="Column12166" dataDxfId="4246" dataCellStyle="Normal"/>
    <tableColumn id="12188" name="Column12167" dataDxfId="4245" dataCellStyle="Normal"/>
    <tableColumn id="12189" name="Column12168" dataDxfId="4244" dataCellStyle="Normal"/>
    <tableColumn id="12190" name="Column12169" dataDxfId="4243" dataCellStyle="Normal"/>
    <tableColumn id="12191" name="Column12170" dataDxfId="4242" dataCellStyle="Normal"/>
    <tableColumn id="12192" name="Column12171" dataDxfId="4241" dataCellStyle="Normal"/>
    <tableColumn id="12193" name="Column12172" dataDxfId="4240" dataCellStyle="Normal"/>
    <tableColumn id="12194" name="Column12173" dataDxfId="4239" dataCellStyle="Normal"/>
    <tableColumn id="12195" name="Column12174" dataDxfId="4238" dataCellStyle="Normal"/>
    <tableColumn id="12196" name="Column12175" dataDxfId="4237" dataCellStyle="Normal"/>
    <tableColumn id="12197" name="Column12176" dataDxfId="4236" dataCellStyle="Normal"/>
    <tableColumn id="12198" name="Column12177" dataDxfId="4235" dataCellStyle="Normal"/>
    <tableColumn id="12199" name="Column12178" dataDxfId="4234" dataCellStyle="Normal"/>
    <tableColumn id="12200" name="Column12179" dataDxfId="4233" dataCellStyle="Normal"/>
    <tableColumn id="12201" name="Column12180" dataDxfId="4232" dataCellStyle="Normal"/>
    <tableColumn id="12202" name="Column12181" dataDxfId="4231" dataCellStyle="Normal"/>
    <tableColumn id="12203" name="Column12182" dataDxfId="4230" dataCellStyle="Normal"/>
    <tableColumn id="12204" name="Column12183" dataDxfId="4229" dataCellStyle="Normal"/>
    <tableColumn id="12205" name="Column12184" dataDxfId="4228" dataCellStyle="Normal"/>
    <tableColumn id="12206" name="Column12185" dataDxfId="4227" dataCellStyle="Normal"/>
    <tableColumn id="12207" name="Column12186" dataDxfId="4226" dataCellStyle="Normal"/>
    <tableColumn id="12208" name="Column12187" dataDxfId="4225" dataCellStyle="Normal"/>
    <tableColumn id="12209" name="Column12188" dataDxfId="4224" dataCellStyle="Normal"/>
    <tableColumn id="12210" name="Column12189" dataDxfId="4223" dataCellStyle="Normal"/>
    <tableColumn id="12211" name="Column12190" dataDxfId="4222" dataCellStyle="Normal"/>
    <tableColumn id="12212" name="Column12191" dataDxfId="4221" dataCellStyle="Normal"/>
    <tableColumn id="12213" name="Column12192" dataDxfId="4220" dataCellStyle="Normal"/>
    <tableColumn id="12214" name="Column12193" dataDxfId="4219" dataCellStyle="Normal"/>
    <tableColumn id="12215" name="Column12194" dataDxfId="4218" dataCellStyle="Normal"/>
    <tableColumn id="12216" name="Column12195" dataDxfId="4217" dataCellStyle="Normal"/>
    <tableColumn id="12217" name="Column12196" dataDxfId="4216" dataCellStyle="Normal"/>
    <tableColumn id="12218" name="Column12197" dataDxfId="4215" dataCellStyle="Normal"/>
    <tableColumn id="12219" name="Column12198" dataDxfId="4214" dataCellStyle="Normal"/>
    <tableColumn id="12220" name="Column12199" dataDxfId="4213" dataCellStyle="Normal"/>
    <tableColumn id="12221" name="Column12200" dataDxfId="4212" dataCellStyle="Normal"/>
    <tableColumn id="12222" name="Column12201" dataDxfId="4211" dataCellStyle="Normal"/>
    <tableColumn id="12223" name="Column12202" dataDxfId="4210" dataCellStyle="Normal"/>
    <tableColumn id="12224" name="Column12203" dataDxfId="4209" dataCellStyle="Normal"/>
    <tableColumn id="12225" name="Column12204" dataDxfId="4208" dataCellStyle="Normal"/>
    <tableColumn id="12226" name="Column12205" dataDxfId="4207" dataCellStyle="Normal"/>
    <tableColumn id="12227" name="Column12206" dataDxfId="4206" dataCellStyle="Normal"/>
    <tableColumn id="12228" name="Column12207" dataDxfId="4205" dataCellStyle="Normal"/>
    <tableColumn id="12229" name="Column12208" dataDxfId="4204" dataCellStyle="Normal"/>
    <tableColumn id="12230" name="Column12209" dataDxfId="4203" dataCellStyle="Normal"/>
    <tableColumn id="12231" name="Column12210" dataDxfId="4202" dataCellStyle="Normal"/>
    <tableColumn id="12232" name="Column12211" dataDxfId="4201" dataCellStyle="Normal"/>
    <tableColumn id="12233" name="Column12212" dataDxfId="4200" dataCellStyle="Normal"/>
    <tableColumn id="12234" name="Column12213" dataDxfId="4199" dataCellStyle="Normal"/>
    <tableColumn id="12235" name="Column12214" dataDxfId="4198" dataCellStyle="Normal"/>
    <tableColumn id="12236" name="Column12215" dataDxfId="4197" dataCellStyle="Normal"/>
    <tableColumn id="12237" name="Column12216" dataDxfId="4196" dataCellStyle="Normal"/>
    <tableColumn id="12238" name="Column12217" dataDxfId="4195" dataCellStyle="Normal"/>
    <tableColumn id="12239" name="Column12218" dataDxfId="4194" dataCellStyle="Normal"/>
    <tableColumn id="12240" name="Column12219" dataDxfId="4193" dataCellStyle="Normal"/>
    <tableColumn id="12241" name="Column12220" dataDxfId="4192" dataCellStyle="Normal"/>
    <tableColumn id="12242" name="Column12221" dataDxfId="4191" dataCellStyle="Normal"/>
    <tableColumn id="12243" name="Column12222" dataDxfId="4190" dataCellStyle="Normal"/>
    <tableColumn id="12244" name="Column12223" dataDxfId="4189" dataCellStyle="Normal"/>
    <tableColumn id="12245" name="Column12224" dataDxfId="4188" dataCellStyle="Normal"/>
    <tableColumn id="12246" name="Column12225" dataDxfId="4187" dataCellStyle="Normal"/>
    <tableColumn id="12247" name="Column12226" dataDxfId="4186" dataCellStyle="Normal"/>
    <tableColumn id="12248" name="Column12227" dataDxfId="4185" dataCellStyle="Normal"/>
    <tableColumn id="12249" name="Column12228" dataDxfId="4184" dataCellStyle="Normal"/>
    <tableColumn id="12250" name="Column12229" dataDxfId="4183" dataCellStyle="Normal"/>
    <tableColumn id="12251" name="Column12230" dataDxfId="4182" dataCellStyle="Normal"/>
    <tableColumn id="12252" name="Column12231" dataDxfId="4181" dataCellStyle="Normal"/>
    <tableColumn id="12253" name="Column12232" dataDxfId="4180" dataCellStyle="Normal"/>
    <tableColumn id="12254" name="Column12233" dataDxfId="4179" dataCellStyle="Normal"/>
    <tableColumn id="12255" name="Column12234" dataDxfId="4178" dataCellStyle="Normal"/>
    <tableColumn id="12256" name="Column12235" dataDxfId="4177" dataCellStyle="Normal"/>
    <tableColumn id="12257" name="Column12236" dataDxfId="4176" dataCellStyle="Normal"/>
    <tableColumn id="12258" name="Column12237" dataDxfId="4175" dataCellStyle="Normal"/>
    <tableColumn id="12259" name="Column12238" dataDxfId="4174" dataCellStyle="Normal"/>
    <tableColumn id="12260" name="Column12239" dataDxfId="4173" dataCellStyle="Normal"/>
    <tableColumn id="12261" name="Column12240" dataDxfId="4172" dataCellStyle="Normal"/>
    <tableColumn id="12262" name="Column12241" dataDxfId="4171" dataCellStyle="Normal"/>
    <tableColumn id="12263" name="Column12242" dataDxfId="4170" dataCellStyle="Normal"/>
    <tableColumn id="12264" name="Column12243" dataDxfId="4169" dataCellStyle="Normal"/>
    <tableColumn id="12265" name="Column12244" dataDxfId="4168" dataCellStyle="Normal"/>
    <tableColumn id="12266" name="Column12245" dataDxfId="4167" dataCellStyle="Normal"/>
    <tableColumn id="12267" name="Column12246" dataDxfId="4166" dataCellStyle="Normal"/>
    <tableColumn id="12268" name="Column12247" dataDxfId="4165" dataCellStyle="Normal"/>
    <tableColumn id="12269" name="Column12248" dataDxfId="4164" dataCellStyle="Normal"/>
    <tableColumn id="12270" name="Column12249" dataDxfId="4163" dataCellStyle="Normal"/>
    <tableColumn id="12271" name="Column12250" dataDxfId="4162" dataCellStyle="Normal"/>
    <tableColumn id="12272" name="Column12251" dataDxfId="4161" dataCellStyle="Normal"/>
    <tableColumn id="12273" name="Column12252" dataDxfId="4160" dataCellStyle="Normal"/>
    <tableColumn id="12274" name="Column12253" dataDxfId="4159" dataCellStyle="Normal"/>
    <tableColumn id="12275" name="Column12254" dataDxfId="4158" dataCellStyle="Normal"/>
    <tableColumn id="12276" name="Column12255" dataDxfId="4157" dataCellStyle="Normal"/>
    <tableColumn id="12277" name="Column12256" dataDxfId="4156" dataCellStyle="Normal"/>
    <tableColumn id="12278" name="Column12257" dataDxfId="4155" dataCellStyle="Normal"/>
    <tableColumn id="12279" name="Column12258" dataDxfId="4154" dataCellStyle="Normal"/>
    <tableColumn id="12280" name="Column12259" dataDxfId="4153" dataCellStyle="Normal"/>
    <tableColumn id="12281" name="Column12260" dataDxfId="4152" dataCellStyle="Normal"/>
    <tableColumn id="12282" name="Column12261" dataDxfId="4151" dataCellStyle="Normal"/>
    <tableColumn id="12283" name="Column12262" dataDxfId="4150" dataCellStyle="Normal"/>
    <tableColumn id="12284" name="Column12263" dataDxfId="4149" dataCellStyle="Normal"/>
    <tableColumn id="12285" name="Column12264" dataDxfId="4148" dataCellStyle="Normal"/>
    <tableColumn id="12286" name="Column12265" dataDxfId="4147" dataCellStyle="Normal"/>
    <tableColumn id="12287" name="Column12266" dataDxfId="4146" dataCellStyle="Normal"/>
    <tableColumn id="12288" name="Column12267" dataDxfId="4145" dataCellStyle="Normal"/>
    <tableColumn id="12289" name="Column12268" dataDxfId="4144" dataCellStyle="Normal"/>
    <tableColumn id="12290" name="Column12269" dataDxfId="4143" dataCellStyle="Normal"/>
    <tableColumn id="12291" name="Column12270" dataDxfId="4142" dataCellStyle="Normal"/>
    <tableColumn id="12292" name="Column12271" dataDxfId="4141" dataCellStyle="Normal"/>
    <tableColumn id="12293" name="Column12272" dataDxfId="4140" dataCellStyle="Normal"/>
    <tableColumn id="12294" name="Column12273" dataDxfId="4139" dataCellStyle="Normal"/>
    <tableColumn id="12295" name="Column12274" dataDxfId="4138" dataCellStyle="Normal"/>
    <tableColumn id="12296" name="Column12275" dataDxfId="4137" dataCellStyle="Normal"/>
    <tableColumn id="12297" name="Column12276" dataDxfId="4136" dataCellStyle="Normal"/>
    <tableColumn id="12298" name="Column12277" dataDxfId="4135" dataCellStyle="Normal"/>
    <tableColumn id="12299" name="Column12278" dataDxfId="4134" dataCellStyle="Normal"/>
    <tableColumn id="12300" name="Column12279" dataDxfId="4133" dataCellStyle="Normal"/>
    <tableColumn id="12301" name="Column12280" dataDxfId="4132" dataCellStyle="Normal"/>
    <tableColumn id="12302" name="Column12281" dataDxfId="4131" dataCellStyle="Normal"/>
    <tableColumn id="12303" name="Column12282" dataDxfId="4130" dataCellStyle="Normal"/>
    <tableColumn id="12304" name="Column12283" dataDxfId="4129" dataCellStyle="Normal"/>
    <tableColumn id="12305" name="Column12284" dataDxfId="4128" dataCellStyle="Normal"/>
    <tableColumn id="12306" name="Column12285" dataDxfId="4127" dataCellStyle="Normal"/>
    <tableColumn id="12307" name="Column12286" dataDxfId="4126" dataCellStyle="Normal"/>
    <tableColumn id="12308" name="Column12287" dataDxfId="4125" dataCellStyle="Normal"/>
    <tableColumn id="12309" name="Column12288" dataDxfId="4124" dataCellStyle="Normal"/>
    <tableColumn id="12310" name="Column12289" dataDxfId="4123" dataCellStyle="Normal"/>
    <tableColumn id="12311" name="Column12290" dataDxfId="4122" dataCellStyle="Normal"/>
    <tableColumn id="12312" name="Column12291" dataDxfId="4121" dataCellStyle="Normal"/>
    <tableColumn id="12313" name="Column12292" dataDxfId="4120" dataCellStyle="Normal"/>
    <tableColumn id="12314" name="Column12293" dataDxfId="4119" dataCellStyle="Normal"/>
    <tableColumn id="12315" name="Column12294" dataDxfId="4118" dataCellStyle="Normal"/>
    <tableColumn id="12316" name="Column12295" dataDxfId="4117" dataCellStyle="Normal"/>
    <tableColumn id="12317" name="Column12296" dataDxfId="4116" dataCellStyle="Normal"/>
    <tableColumn id="12318" name="Column12297" dataDxfId="4115" dataCellStyle="Normal"/>
    <tableColumn id="12319" name="Column12298" dataDxfId="4114" dataCellStyle="Normal"/>
    <tableColumn id="12320" name="Column12299" dataDxfId="4113" dataCellStyle="Normal"/>
    <tableColumn id="12321" name="Column12300" dataDxfId="4112" dataCellStyle="Normal"/>
    <tableColumn id="12322" name="Column12301" dataDxfId="4111" dataCellStyle="Normal"/>
    <tableColumn id="12323" name="Column12302" dataDxfId="4110" dataCellStyle="Normal"/>
    <tableColumn id="12324" name="Column12303" dataDxfId="4109" dataCellStyle="Normal"/>
    <tableColumn id="12325" name="Column12304" dataDxfId="4108" dataCellStyle="Normal"/>
    <tableColumn id="12326" name="Column12305" dataDxfId="4107" dataCellStyle="Normal"/>
    <tableColumn id="12327" name="Column12306" dataDxfId="4106" dataCellStyle="Normal"/>
    <tableColumn id="12328" name="Column12307" dataDxfId="4105" dataCellStyle="Normal"/>
    <tableColumn id="12329" name="Column12308" dataDxfId="4104" dataCellStyle="Normal"/>
    <tableColumn id="12330" name="Column12309" dataDxfId="4103" dataCellStyle="Normal"/>
    <tableColumn id="12331" name="Column12310" dataDxfId="4102" dataCellStyle="Normal"/>
    <tableColumn id="12332" name="Column12311" dataDxfId="4101" dataCellStyle="Normal"/>
    <tableColumn id="12333" name="Column12312" dataDxfId="4100" dataCellStyle="Normal"/>
    <tableColumn id="12334" name="Column12313" dataDxfId="4099" dataCellStyle="Normal"/>
    <tableColumn id="12335" name="Column12314" dataDxfId="4098" dataCellStyle="Normal"/>
    <tableColumn id="12336" name="Column12315" dataDxfId="4097" dataCellStyle="Normal"/>
    <tableColumn id="12337" name="Column12316" dataDxfId="4096" dataCellStyle="Normal"/>
    <tableColumn id="12338" name="Column12317" dataDxfId="4095" dataCellStyle="Normal"/>
    <tableColumn id="12339" name="Column12318" dataDxfId="4094" dataCellStyle="Normal"/>
    <tableColumn id="12340" name="Column12319" dataDxfId="4093" dataCellStyle="Normal"/>
    <tableColumn id="12341" name="Column12320" dataDxfId="4092" dataCellStyle="Normal"/>
    <tableColumn id="12342" name="Column12321" dataDxfId="4091" dataCellStyle="Normal"/>
    <tableColumn id="12343" name="Column12322" dataDxfId="4090" dataCellStyle="Normal"/>
    <tableColumn id="12344" name="Column12323" dataDxfId="4089" dataCellStyle="Normal"/>
    <tableColumn id="12345" name="Column12324" dataDxfId="4088" dataCellStyle="Normal"/>
    <tableColumn id="12346" name="Column12325" dataDxfId="4087" dataCellStyle="Normal"/>
    <tableColumn id="12347" name="Column12326" dataDxfId="4086" dataCellStyle="Normal"/>
    <tableColumn id="12348" name="Column12327" dataDxfId="4085" dataCellStyle="Normal"/>
    <tableColumn id="12349" name="Column12328" dataDxfId="4084" dataCellStyle="Normal"/>
    <tableColumn id="12350" name="Column12329" dataDxfId="4083" dataCellStyle="Normal"/>
    <tableColumn id="12351" name="Column12330" dataDxfId="4082" dataCellStyle="Normal"/>
    <tableColumn id="12352" name="Column12331" dataDxfId="4081" dataCellStyle="Normal"/>
    <tableColumn id="12353" name="Column12332" dataDxfId="4080" dataCellStyle="Normal"/>
    <tableColumn id="12354" name="Column12333" dataDxfId="4079" dataCellStyle="Normal"/>
    <tableColumn id="12355" name="Column12334" dataDxfId="4078" dataCellStyle="Normal"/>
    <tableColumn id="12356" name="Column12335" dataDxfId="4077" dataCellStyle="Normal"/>
    <tableColumn id="12357" name="Column12336" dataDxfId="4076" dataCellStyle="Normal"/>
    <tableColumn id="12358" name="Column12337" dataDxfId="4075" dataCellStyle="Normal"/>
    <tableColumn id="12359" name="Column12338" dataDxfId="4074" dataCellStyle="Normal"/>
    <tableColumn id="12360" name="Column12339" dataDxfId="4073" dataCellStyle="Normal"/>
    <tableColumn id="12361" name="Column12340" dataDxfId="4072" dataCellStyle="Normal"/>
    <tableColumn id="12362" name="Column12341" dataDxfId="4071" dataCellStyle="Normal"/>
    <tableColumn id="12363" name="Column12342" dataDxfId="4070" dataCellStyle="Normal"/>
    <tableColumn id="12364" name="Column12343" dataDxfId="4069" dataCellStyle="Normal"/>
    <tableColumn id="12365" name="Column12344" dataDxfId="4068" dataCellStyle="Normal"/>
    <tableColumn id="12366" name="Column12345" dataDxfId="4067" dataCellStyle="Normal"/>
    <tableColumn id="12367" name="Column12346" dataDxfId="4066" dataCellStyle="Normal"/>
    <tableColumn id="12368" name="Column12347" dataDxfId="4065" dataCellStyle="Normal"/>
    <tableColumn id="12369" name="Column12348" dataDxfId="4064" dataCellStyle="Normal"/>
    <tableColumn id="12370" name="Column12349" dataDxfId="4063" dataCellStyle="Normal"/>
    <tableColumn id="12371" name="Column12350" dataDxfId="4062" dataCellStyle="Normal"/>
    <tableColumn id="12372" name="Column12351" dataDxfId="4061" dataCellStyle="Normal"/>
    <tableColumn id="12373" name="Column12352" dataDxfId="4060" dataCellStyle="Normal"/>
    <tableColumn id="12374" name="Column12353" dataDxfId="4059" dataCellStyle="Normal"/>
    <tableColumn id="12375" name="Column12354" dataDxfId="4058" dataCellStyle="Normal"/>
    <tableColumn id="12376" name="Column12355" dataDxfId="4057" dataCellStyle="Normal"/>
    <tableColumn id="12377" name="Column12356" dataDxfId="4056" dataCellStyle="Normal"/>
    <tableColumn id="12378" name="Column12357" dataDxfId="4055" dataCellStyle="Normal"/>
    <tableColumn id="12379" name="Column12358" dataDxfId="4054" dataCellStyle="Normal"/>
    <tableColumn id="12380" name="Column12359" dataDxfId="4053" dataCellStyle="Normal"/>
    <tableColumn id="12381" name="Column12360" dataDxfId="4052" dataCellStyle="Normal"/>
    <tableColumn id="12382" name="Column12361" dataDxfId="4051" dataCellStyle="Normal"/>
    <tableColumn id="12383" name="Column12362" dataDxfId="4050" dataCellStyle="Normal"/>
    <tableColumn id="12384" name="Column12363" dataDxfId="4049" dataCellStyle="Normal"/>
    <tableColumn id="12385" name="Column12364" dataDxfId="4048" dataCellStyle="Normal"/>
    <tableColumn id="12386" name="Column12365" dataDxfId="4047" dataCellStyle="Normal"/>
    <tableColumn id="12387" name="Column12366" dataDxfId="4046" dataCellStyle="Normal"/>
    <tableColumn id="12388" name="Column12367" dataDxfId="4045" dataCellStyle="Normal"/>
    <tableColumn id="12389" name="Column12368" dataDxfId="4044" dataCellStyle="Normal"/>
    <tableColumn id="12390" name="Column12369" dataDxfId="4043" dataCellStyle="Normal"/>
    <tableColumn id="12391" name="Column12370" dataDxfId="4042" dataCellStyle="Normal"/>
    <tableColumn id="12392" name="Column12371" dataDxfId="4041" dataCellStyle="Normal"/>
    <tableColumn id="12393" name="Column12372" dataDxfId="4040" dataCellStyle="Normal"/>
    <tableColumn id="12394" name="Column12373" dataDxfId="4039" dataCellStyle="Normal"/>
    <tableColumn id="12395" name="Column12374" dataDxfId="4038" dataCellStyle="Normal"/>
    <tableColumn id="12396" name="Column12375" dataDxfId="4037" dataCellStyle="Normal"/>
    <tableColumn id="12397" name="Column12376" dataDxfId="4036" dataCellStyle="Normal"/>
    <tableColumn id="12398" name="Column12377" dataDxfId="4035" dataCellStyle="Normal"/>
    <tableColumn id="12399" name="Column12378" dataDxfId="4034" dataCellStyle="Normal"/>
    <tableColumn id="12400" name="Column12379" dataDxfId="4033" dataCellStyle="Normal"/>
    <tableColumn id="12401" name="Column12380" dataDxfId="4032" dataCellStyle="Normal"/>
    <tableColumn id="12402" name="Column12381" dataDxfId="4031" dataCellStyle="Normal"/>
    <tableColumn id="12403" name="Column12382" dataDxfId="4030" dataCellStyle="Normal"/>
    <tableColumn id="12404" name="Column12383" dataDxfId="4029" dataCellStyle="Normal"/>
    <tableColumn id="12405" name="Column12384" dataDxfId="4028" dataCellStyle="Normal"/>
    <tableColumn id="12406" name="Column12385" dataDxfId="4027" dataCellStyle="Normal"/>
    <tableColumn id="12407" name="Column12386" dataDxfId="4026" dataCellStyle="Normal"/>
    <tableColumn id="12408" name="Column12387" dataDxfId="4025" dataCellStyle="Normal"/>
    <tableColumn id="12409" name="Column12388" dataDxfId="4024" dataCellStyle="Normal"/>
    <tableColumn id="12410" name="Column12389" dataDxfId="4023" dataCellStyle="Normal"/>
    <tableColumn id="12411" name="Column12390" dataDxfId="4022" dataCellStyle="Normal"/>
    <tableColumn id="12412" name="Column12391" dataDxfId="4021" dataCellStyle="Normal"/>
    <tableColumn id="12413" name="Column12392" dataDxfId="4020" dataCellStyle="Normal"/>
    <tableColumn id="12414" name="Column12393" dataDxfId="4019" dataCellStyle="Normal"/>
    <tableColumn id="12415" name="Column12394" dataDxfId="4018" dataCellStyle="Normal"/>
    <tableColumn id="12416" name="Column12395" dataDxfId="4017" dataCellStyle="Normal"/>
    <tableColumn id="12417" name="Column12396" dataDxfId="4016" dataCellStyle="Normal"/>
    <tableColumn id="12418" name="Column12397" dataDxfId="4015" dataCellStyle="Normal"/>
    <tableColumn id="12419" name="Column12398" dataDxfId="4014" dataCellStyle="Normal"/>
    <tableColumn id="12420" name="Column12399" dataDxfId="4013" dataCellStyle="Normal"/>
    <tableColumn id="12421" name="Column12400" dataDxfId="4012" dataCellStyle="Normal"/>
    <tableColumn id="12422" name="Column12401" dataDxfId="4011" dataCellStyle="Normal"/>
    <tableColumn id="12423" name="Column12402" dataDxfId="4010" dataCellStyle="Normal"/>
    <tableColumn id="12424" name="Column12403" dataDxfId="4009" dataCellStyle="Normal"/>
    <tableColumn id="12425" name="Column12404" dataDxfId="4008" dataCellStyle="Normal"/>
    <tableColumn id="12426" name="Column12405" dataDxfId="4007" dataCellStyle="Normal"/>
    <tableColumn id="12427" name="Column12406" dataDxfId="4006" dataCellStyle="Normal"/>
    <tableColumn id="12428" name="Column12407" dataDxfId="4005" dataCellStyle="Normal"/>
    <tableColumn id="12429" name="Column12408" dataDxfId="4004" dataCellStyle="Normal"/>
    <tableColumn id="12430" name="Column12409" dataDxfId="4003" dataCellStyle="Normal"/>
    <tableColumn id="12431" name="Column12410" dataDxfId="4002" dataCellStyle="Normal"/>
    <tableColumn id="12432" name="Column12411" dataDxfId="4001" dataCellStyle="Normal"/>
    <tableColumn id="12433" name="Column12412" dataDxfId="4000" dataCellStyle="Normal"/>
    <tableColumn id="12434" name="Column12413" dataDxfId="3999" dataCellStyle="Normal"/>
    <tableColumn id="12435" name="Column12414" dataDxfId="3998" dataCellStyle="Normal"/>
    <tableColumn id="12436" name="Column12415" dataDxfId="3997" dataCellStyle="Normal"/>
    <tableColumn id="12437" name="Column12416" dataDxfId="3996" dataCellStyle="Normal"/>
    <tableColumn id="12438" name="Column12417" dataDxfId="3995" dataCellStyle="Normal"/>
    <tableColumn id="12439" name="Column12418" dataDxfId="3994" dataCellStyle="Normal"/>
    <tableColumn id="12440" name="Column12419" dataDxfId="3993" dataCellStyle="Normal"/>
    <tableColumn id="12441" name="Column12420" dataDxfId="3992" dataCellStyle="Normal"/>
    <tableColumn id="12442" name="Column12421" dataDxfId="3991" dataCellStyle="Normal"/>
    <tableColumn id="12443" name="Column12422" dataDxfId="3990" dataCellStyle="Normal"/>
    <tableColumn id="12444" name="Column12423" dataDxfId="3989" dataCellStyle="Normal"/>
    <tableColumn id="12445" name="Column12424" dataDxfId="3988" dataCellStyle="Normal"/>
    <tableColumn id="12446" name="Column12425" dataDxfId="3987" dataCellStyle="Normal"/>
    <tableColumn id="12447" name="Column12426" dataDxfId="3986" dataCellStyle="Normal"/>
    <tableColumn id="12448" name="Column12427" dataDxfId="3985" dataCellStyle="Normal"/>
    <tableColumn id="12449" name="Column12428" dataDxfId="3984" dataCellStyle="Normal"/>
    <tableColumn id="12450" name="Column12429" dataDxfId="3983" dataCellStyle="Normal"/>
    <tableColumn id="12451" name="Column12430" dataDxfId="3982" dataCellStyle="Normal"/>
    <tableColumn id="12452" name="Column12431" dataDxfId="3981" dataCellStyle="Normal"/>
    <tableColumn id="12453" name="Column12432" dataDxfId="3980" dataCellStyle="Normal"/>
    <tableColumn id="12454" name="Column12433" dataDxfId="3979" dataCellStyle="Normal"/>
    <tableColumn id="12455" name="Column12434" dataDxfId="3978" dataCellStyle="Normal"/>
    <tableColumn id="12456" name="Column12435" dataDxfId="3977" dataCellStyle="Normal"/>
    <tableColumn id="12457" name="Column12436" dataDxfId="3976" dataCellStyle="Normal"/>
    <tableColumn id="12458" name="Column12437" dataDxfId="3975" dataCellStyle="Normal"/>
    <tableColumn id="12459" name="Column12438" dataDxfId="3974" dataCellStyle="Normal"/>
    <tableColumn id="12460" name="Column12439" dataDxfId="3973" dataCellStyle="Normal"/>
    <tableColumn id="12461" name="Column12440" dataDxfId="3972" dataCellStyle="Normal"/>
    <tableColumn id="12462" name="Column12441" dataDxfId="3971" dataCellStyle="Normal"/>
    <tableColumn id="12463" name="Column12442" dataDxfId="3970" dataCellStyle="Normal"/>
    <tableColumn id="12464" name="Column12443" dataDxfId="3969" dataCellStyle="Normal"/>
    <tableColumn id="12465" name="Column12444" dataDxfId="3968" dataCellStyle="Normal"/>
    <tableColumn id="12466" name="Column12445" dataDxfId="3967" dataCellStyle="Normal"/>
    <tableColumn id="12467" name="Column12446" dataDxfId="3966" dataCellStyle="Normal"/>
    <tableColumn id="12468" name="Column12447" dataDxfId="3965" dataCellStyle="Normal"/>
    <tableColumn id="12469" name="Column12448" dataDxfId="3964" dataCellStyle="Normal"/>
    <tableColumn id="12470" name="Column12449" dataDxfId="3963" dataCellStyle="Normal"/>
    <tableColumn id="12471" name="Column12450" dataDxfId="3962" dataCellStyle="Normal"/>
    <tableColumn id="12472" name="Column12451" dataDxfId="3961" dataCellStyle="Normal"/>
    <tableColumn id="12473" name="Column12452" dataDxfId="3960" dataCellStyle="Normal"/>
    <tableColumn id="12474" name="Column12453" dataDxfId="3959" dataCellStyle="Normal"/>
    <tableColumn id="12475" name="Column12454" dataDxfId="3958" dataCellStyle="Normal"/>
    <tableColumn id="12476" name="Column12455" dataDxfId="3957" dataCellStyle="Normal"/>
    <tableColumn id="12477" name="Column12456" dataDxfId="3956" dataCellStyle="Normal"/>
    <tableColumn id="12478" name="Column12457" dataDxfId="3955" dataCellStyle="Normal"/>
    <tableColumn id="12479" name="Column12458" dataDxfId="3954" dataCellStyle="Normal"/>
    <tableColumn id="12480" name="Column12459" dataDxfId="3953" dataCellStyle="Normal"/>
    <tableColumn id="12481" name="Column12460" dataDxfId="3952" dataCellStyle="Normal"/>
    <tableColumn id="12482" name="Column12461" dataDxfId="3951" dataCellStyle="Normal"/>
    <tableColumn id="12483" name="Column12462" dataDxfId="3950" dataCellStyle="Normal"/>
    <tableColumn id="12484" name="Column12463" dataDxfId="3949" dataCellStyle="Normal"/>
    <tableColumn id="12485" name="Column12464" dataDxfId="3948" dataCellStyle="Normal"/>
    <tableColumn id="12486" name="Column12465" dataDxfId="3947" dataCellStyle="Normal"/>
    <tableColumn id="12487" name="Column12466" dataDxfId="3946" dataCellStyle="Normal"/>
    <tableColumn id="12488" name="Column12467" dataDxfId="3945" dataCellStyle="Normal"/>
    <tableColumn id="12489" name="Column12468" dataDxfId="3944" dataCellStyle="Normal"/>
    <tableColumn id="12490" name="Column12469" dataDxfId="3943" dataCellStyle="Normal"/>
    <tableColumn id="12491" name="Column12470" dataDxfId="3942" dataCellStyle="Normal"/>
    <tableColumn id="12492" name="Column12471" dataDxfId="3941" dataCellStyle="Normal"/>
    <tableColumn id="12493" name="Column12472" dataDxfId="3940" dataCellStyle="Normal"/>
    <tableColumn id="12494" name="Column12473" dataDxfId="3939" dataCellStyle="Normal"/>
    <tableColumn id="12495" name="Column12474" dataDxfId="3938" dataCellStyle="Normal"/>
    <tableColumn id="12496" name="Column12475" dataDxfId="3937" dataCellStyle="Normal"/>
    <tableColumn id="12497" name="Column12476" dataDxfId="3936" dataCellStyle="Normal"/>
    <tableColumn id="12498" name="Column12477" dataDxfId="3935" dataCellStyle="Normal"/>
    <tableColumn id="12499" name="Column12478" dataDxfId="3934" dataCellStyle="Normal"/>
    <tableColumn id="12500" name="Column12479" dataDxfId="3933" dataCellStyle="Normal"/>
    <tableColumn id="12501" name="Column12480" dataDxfId="3932" dataCellStyle="Normal"/>
    <tableColumn id="12502" name="Column12481" dataDxfId="3931" dataCellStyle="Normal"/>
    <tableColumn id="12503" name="Column12482" dataDxfId="3930" dataCellStyle="Normal"/>
    <tableColumn id="12504" name="Column12483" dataDxfId="3929" dataCellStyle="Normal"/>
    <tableColumn id="12505" name="Column12484" dataDxfId="3928" dataCellStyle="Normal"/>
    <tableColumn id="12506" name="Column12485" dataDxfId="3927" dataCellStyle="Normal"/>
    <tableColumn id="12507" name="Column12486" dataDxfId="3926" dataCellStyle="Normal"/>
    <tableColumn id="12508" name="Column12487" dataDxfId="3925" dataCellStyle="Normal"/>
    <tableColumn id="12509" name="Column12488" dataDxfId="3924" dataCellStyle="Normal"/>
    <tableColumn id="12510" name="Column12489" dataDxfId="3923" dataCellStyle="Normal"/>
    <tableColumn id="12511" name="Column12490" dataDxfId="3922" dataCellStyle="Normal"/>
    <tableColumn id="12512" name="Column12491" dataDxfId="3921" dataCellStyle="Normal"/>
    <tableColumn id="12513" name="Column12492" dataDxfId="3920" dataCellStyle="Normal"/>
    <tableColumn id="12514" name="Column12493" dataDxfId="3919" dataCellStyle="Normal"/>
    <tableColumn id="12515" name="Column12494" dataDxfId="3918" dataCellStyle="Normal"/>
    <tableColumn id="12516" name="Column12495" dataDxfId="3917" dataCellStyle="Normal"/>
    <tableColumn id="12517" name="Column12496" dataDxfId="3916" dataCellStyle="Normal"/>
    <tableColumn id="12518" name="Column12497" dataDxfId="3915" dataCellStyle="Normal"/>
    <tableColumn id="12519" name="Column12498" dataDxfId="3914" dataCellStyle="Normal"/>
    <tableColumn id="12520" name="Column12499" dataDxfId="3913" dataCellStyle="Normal"/>
    <tableColumn id="12521" name="Column12500" dataDxfId="3912" dataCellStyle="Normal"/>
    <tableColumn id="12522" name="Column12501" dataDxfId="3911" dataCellStyle="Normal"/>
    <tableColumn id="12523" name="Column12502" dataDxfId="3910" dataCellStyle="Normal"/>
    <tableColumn id="12524" name="Column12503" dataDxfId="3909" dataCellStyle="Normal"/>
    <tableColumn id="12525" name="Column12504" dataDxfId="3908" dataCellStyle="Normal"/>
    <tableColumn id="12526" name="Column12505" dataDxfId="3907" dataCellStyle="Normal"/>
    <tableColumn id="12527" name="Column12506" dataDxfId="3906" dataCellStyle="Normal"/>
    <tableColumn id="12528" name="Column12507" dataDxfId="3905" dataCellStyle="Normal"/>
    <tableColumn id="12529" name="Column12508" dataDxfId="3904" dataCellStyle="Normal"/>
    <tableColumn id="12530" name="Column12509" dataDxfId="3903" dataCellStyle="Normal"/>
    <tableColumn id="12531" name="Column12510" dataDxfId="3902" dataCellStyle="Normal"/>
    <tableColumn id="12532" name="Column12511" dataDxfId="3901" dataCellStyle="Normal"/>
    <tableColumn id="12533" name="Column12512" dataDxfId="3900" dataCellStyle="Normal"/>
    <tableColumn id="12534" name="Column12513" dataDxfId="3899" dataCellStyle="Normal"/>
    <tableColumn id="12535" name="Column12514" dataDxfId="3898" dataCellStyle="Normal"/>
    <tableColumn id="12536" name="Column12515" dataDxfId="3897" dataCellStyle="Normal"/>
    <tableColumn id="12537" name="Column12516" dataDxfId="3896" dataCellStyle="Normal"/>
    <tableColumn id="12538" name="Column12517" dataDxfId="3895" dataCellStyle="Normal"/>
    <tableColumn id="12539" name="Column12518" dataDxfId="3894" dataCellStyle="Normal"/>
    <tableColumn id="12540" name="Column12519" dataDxfId="3893" dataCellStyle="Normal"/>
    <tableColumn id="12541" name="Column12520" dataDxfId="3892" dataCellStyle="Normal"/>
    <tableColumn id="12542" name="Column12521" dataDxfId="3891" dataCellStyle="Normal"/>
    <tableColumn id="12543" name="Column12522" dataDxfId="3890" dataCellStyle="Normal"/>
    <tableColumn id="12544" name="Column12523" dataDxfId="3889" dataCellStyle="Normal"/>
    <tableColumn id="12545" name="Column12524" dataDxfId="3888" dataCellStyle="Normal"/>
    <tableColumn id="12546" name="Column12525" dataDxfId="3887" dataCellStyle="Normal"/>
    <tableColumn id="12547" name="Column12526" dataDxfId="3886" dataCellStyle="Normal"/>
    <tableColumn id="12548" name="Column12527" dataDxfId="3885" dataCellStyle="Normal"/>
    <tableColumn id="12549" name="Column12528" dataDxfId="3884" dataCellStyle="Normal"/>
    <tableColumn id="12550" name="Column12529" dataDxfId="3883" dataCellStyle="Normal"/>
    <tableColumn id="12551" name="Column12530" dataDxfId="3882" dataCellStyle="Normal"/>
    <tableColumn id="12552" name="Column12531" dataDxfId="3881" dataCellStyle="Normal"/>
    <tableColumn id="12553" name="Column12532" dataDxfId="3880" dataCellStyle="Normal"/>
    <tableColumn id="12554" name="Column12533" dataDxfId="3879" dataCellStyle="Normal"/>
    <tableColumn id="12555" name="Column12534" dataDxfId="3878" dataCellStyle="Normal"/>
    <tableColumn id="12556" name="Column12535" dataDxfId="3877" dataCellStyle="Normal"/>
    <tableColumn id="12557" name="Column12536" dataDxfId="3876" dataCellStyle="Normal"/>
    <tableColumn id="12558" name="Column12537" dataDxfId="3875" dataCellStyle="Normal"/>
    <tableColumn id="12559" name="Column12538" dataDxfId="3874" dataCellStyle="Normal"/>
    <tableColumn id="12560" name="Column12539" dataDxfId="3873" dataCellStyle="Normal"/>
    <tableColumn id="12561" name="Column12540" dataDxfId="3872" dataCellStyle="Normal"/>
    <tableColumn id="12562" name="Column12541" dataDxfId="3871" dataCellStyle="Normal"/>
    <tableColumn id="12563" name="Column12542" dataDxfId="3870" dataCellStyle="Normal"/>
    <tableColumn id="12564" name="Column12543" dataDxfId="3869" dataCellStyle="Normal"/>
    <tableColumn id="12565" name="Column12544" dataDxfId="3868" dataCellStyle="Normal"/>
    <tableColumn id="12566" name="Column12545" dataDxfId="3867" dataCellStyle="Normal"/>
    <tableColumn id="12567" name="Column12546" dataDxfId="3866" dataCellStyle="Normal"/>
    <tableColumn id="12568" name="Column12547" dataDxfId="3865" dataCellStyle="Normal"/>
    <tableColumn id="12569" name="Column12548" dataDxfId="3864" dataCellStyle="Normal"/>
    <tableColumn id="12570" name="Column12549" dataDxfId="3863" dataCellStyle="Normal"/>
    <tableColumn id="12571" name="Column12550" dataDxfId="3862" dataCellStyle="Normal"/>
    <tableColumn id="12572" name="Column12551" dataDxfId="3861" dataCellStyle="Normal"/>
    <tableColumn id="12573" name="Column12552" dataDxfId="3860" dataCellStyle="Normal"/>
    <tableColumn id="12574" name="Column12553" dataDxfId="3859" dataCellStyle="Normal"/>
    <tableColumn id="12575" name="Column12554" dataDxfId="3858" dataCellStyle="Normal"/>
    <tableColumn id="12576" name="Column12555" dataDxfId="3857" dataCellStyle="Normal"/>
    <tableColumn id="12577" name="Column12556" dataDxfId="3856" dataCellStyle="Normal"/>
    <tableColumn id="12578" name="Column12557" dataDxfId="3855" dataCellStyle="Normal"/>
    <tableColumn id="12579" name="Column12558" dataDxfId="3854" dataCellStyle="Normal"/>
    <tableColumn id="12580" name="Column12559" dataDxfId="3853" dataCellStyle="Normal"/>
    <tableColumn id="12581" name="Column12560" dataDxfId="3852" dataCellStyle="Normal"/>
    <tableColumn id="12582" name="Column12561" dataDxfId="3851" dataCellStyle="Normal"/>
    <tableColumn id="12583" name="Column12562" dataDxfId="3850" dataCellStyle="Normal"/>
    <tableColumn id="12584" name="Column12563" dataDxfId="3849" dataCellStyle="Normal"/>
    <tableColumn id="12585" name="Column12564" dataDxfId="3848" dataCellStyle="Normal"/>
    <tableColumn id="12586" name="Column12565" dataDxfId="3847" dataCellStyle="Normal"/>
    <tableColumn id="12587" name="Column12566" dataDxfId="3846" dataCellStyle="Normal"/>
    <tableColumn id="12588" name="Column12567" dataDxfId="3845" dataCellStyle="Normal"/>
    <tableColumn id="12589" name="Column12568" dataDxfId="3844" dataCellStyle="Normal"/>
    <tableColumn id="12590" name="Column12569" dataDxfId="3843" dataCellStyle="Normal"/>
    <tableColumn id="12591" name="Column12570" dataDxfId="3842" dataCellStyle="Normal"/>
    <tableColumn id="12592" name="Column12571" dataDxfId="3841" dataCellStyle="Normal"/>
    <tableColumn id="12593" name="Column12572" dataDxfId="3840" dataCellStyle="Normal"/>
    <tableColumn id="12594" name="Column12573" dataDxfId="3839" dataCellStyle="Normal"/>
    <tableColumn id="12595" name="Column12574" dataDxfId="3838" dataCellStyle="Normal"/>
    <tableColumn id="12596" name="Column12575" dataDxfId="3837" dataCellStyle="Normal"/>
    <tableColumn id="12597" name="Column12576" dataDxfId="3836" dataCellStyle="Normal"/>
    <tableColumn id="12598" name="Column12577" dataDxfId="3835" dataCellStyle="Normal"/>
    <tableColumn id="12599" name="Column12578" dataDxfId="3834" dataCellStyle="Normal"/>
    <tableColumn id="12600" name="Column12579" dataDxfId="3833" dataCellStyle="Normal"/>
    <tableColumn id="12601" name="Column12580" dataDxfId="3832" dataCellStyle="Normal"/>
    <tableColumn id="12602" name="Column12581" dataDxfId="3831" dataCellStyle="Normal"/>
    <tableColumn id="12603" name="Column12582" dataDxfId="3830" dataCellStyle="Normal"/>
    <tableColumn id="12604" name="Column12583" dataDxfId="3829" dataCellStyle="Normal"/>
    <tableColumn id="12605" name="Column12584" dataDxfId="3828" dataCellStyle="Normal"/>
    <tableColumn id="12606" name="Column12585" dataDxfId="3827" dataCellStyle="Normal"/>
    <tableColumn id="12607" name="Column12586" dataDxfId="3826" dataCellStyle="Normal"/>
    <tableColumn id="12608" name="Column12587" dataDxfId="3825" dataCellStyle="Normal"/>
    <tableColumn id="12609" name="Column12588" dataDxfId="3824" dataCellStyle="Normal"/>
    <tableColumn id="12610" name="Column12589" dataDxfId="3823" dataCellStyle="Normal"/>
    <tableColumn id="12611" name="Column12590" dataDxfId="3822" dataCellStyle="Normal"/>
    <tableColumn id="12612" name="Column12591" dataDxfId="3821" dataCellStyle="Normal"/>
    <tableColumn id="12613" name="Column12592" dataDxfId="3820" dataCellStyle="Normal"/>
    <tableColumn id="12614" name="Column12593" dataDxfId="3819" dataCellStyle="Normal"/>
    <tableColumn id="12615" name="Column12594" dataDxfId="3818" dataCellStyle="Normal"/>
    <tableColumn id="12616" name="Column12595" dataDxfId="3817" dataCellStyle="Normal"/>
    <tableColumn id="12617" name="Column12596" dataDxfId="3816" dataCellStyle="Normal"/>
    <tableColumn id="12618" name="Column12597" dataDxfId="3815" dataCellStyle="Normal"/>
    <tableColumn id="12619" name="Column12598" dataDxfId="3814" dataCellStyle="Normal"/>
    <tableColumn id="12620" name="Column12599" dataDxfId="3813" dataCellStyle="Normal"/>
    <tableColumn id="12621" name="Column12600" dataDxfId="3812" dataCellStyle="Normal"/>
    <tableColumn id="12622" name="Column12601" dataDxfId="3811" dataCellStyle="Normal"/>
    <tableColumn id="12623" name="Column12602" dataDxfId="3810" dataCellStyle="Normal"/>
    <tableColumn id="12624" name="Column12603" dataDxfId="3809" dataCellStyle="Normal"/>
    <tableColumn id="12625" name="Column12604" dataDxfId="3808" dataCellStyle="Normal"/>
    <tableColumn id="12626" name="Column12605" dataDxfId="3807" dataCellStyle="Normal"/>
    <tableColumn id="12627" name="Column12606" dataDxfId="3806" dataCellStyle="Normal"/>
    <tableColumn id="12628" name="Column12607" dataDxfId="3805" dataCellStyle="Normal"/>
    <tableColumn id="12629" name="Column12608" dataDxfId="3804" dataCellStyle="Normal"/>
    <tableColumn id="12630" name="Column12609" dataDxfId="3803" dataCellStyle="Normal"/>
    <tableColumn id="12631" name="Column12610" dataDxfId="3802" dataCellStyle="Normal"/>
    <tableColumn id="12632" name="Column12611" dataDxfId="3801" dataCellStyle="Normal"/>
    <tableColumn id="12633" name="Column12612" dataDxfId="3800" dataCellStyle="Normal"/>
    <tableColumn id="12634" name="Column12613" dataDxfId="3799" dataCellStyle="Normal"/>
    <tableColumn id="12635" name="Column12614" dataDxfId="3798" dataCellStyle="Normal"/>
    <tableColumn id="12636" name="Column12615" dataDxfId="3797" dataCellStyle="Normal"/>
    <tableColumn id="12637" name="Column12616" dataDxfId="3796" dataCellStyle="Normal"/>
    <tableColumn id="12638" name="Column12617" dataDxfId="3795" dataCellStyle="Normal"/>
    <tableColumn id="12639" name="Column12618" dataDxfId="3794" dataCellStyle="Normal"/>
    <tableColumn id="12640" name="Column12619" dataDxfId="3793" dataCellStyle="Normal"/>
    <tableColumn id="12641" name="Column12620" dataDxfId="3792" dataCellStyle="Normal"/>
    <tableColumn id="12642" name="Column12621" dataDxfId="3791" dataCellStyle="Normal"/>
    <tableColumn id="12643" name="Column12622" dataDxfId="3790" dataCellStyle="Normal"/>
    <tableColumn id="12644" name="Column12623" dataDxfId="3789" dataCellStyle="Normal"/>
    <tableColumn id="12645" name="Column12624" dataDxfId="3788" dataCellStyle="Normal"/>
    <tableColumn id="12646" name="Column12625" dataDxfId="3787" dataCellStyle="Normal"/>
    <tableColumn id="12647" name="Column12626" dataDxfId="3786" dataCellStyle="Normal"/>
    <tableColumn id="12648" name="Column12627" dataDxfId="3785" dataCellStyle="Normal"/>
    <tableColumn id="12649" name="Column12628" dataDxfId="3784" dataCellStyle="Normal"/>
    <tableColumn id="12650" name="Column12629" dataDxfId="3783" dataCellStyle="Normal"/>
    <tableColumn id="12651" name="Column12630" dataDxfId="3782" dataCellStyle="Normal"/>
    <tableColumn id="12652" name="Column12631" dataDxfId="3781" dataCellStyle="Normal"/>
    <tableColumn id="12653" name="Column12632" dataDxfId="3780" dataCellStyle="Normal"/>
    <tableColumn id="12654" name="Column12633" dataDxfId="3779" dataCellStyle="Normal"/>
    <tableColumn id="12655" name="Column12634" dataDxfId="3778" dataCellStyle="Normal"/>
    <tableColumn id="12656" name="Column12635" dataDxfId="3777" dataCellStyle="Normal"/>
    <tableColumn id="12657" name="Column12636" dataDxfId="3776" dataCellStyle="Normal"/>
    <tableColumn id="12658" name="Column12637" dataDxfId="3775" dataCellStyle="Normal"/>
    <tableColumn id="12659" name="Column12638" dataDxfId="3774" dataCellStyle="Normal"/>
    <tableColumn id="12660" name="Column12639" dataDxfId="3773" dataCellStyle="Normal"/>
    <tableColumn id="12661" name="Column12640" dataDxfId="3772" dataCellStyle="Normal"/>
    <tableColumn id="12662" name="Column12641" dataDxfId="3771" dataCellStyle="Normal"/>
    <tableColumn id="12663" name="Column12642" dataDxfId="3770" dataCellStyle="Normal"/>
    <tableColumn id="12664" name="Column12643" dataDxfId="3769" dataCellStyle="Normal"/>
    <tableColumn id="12665" name="Column12644" dataDxfId="3768" dataCellStyle="Normal"/>
    <tableColumn id="12666" name="Column12645" dataDxfId="3767" dataCellStyle="Normal"/>
    <tableColumn id="12667" name="Column12646" dataDxfId="3766" dataCellStyle="Normal"/>
    <tableColumn id="12668" name="Column12647" dataDxfId="3765" dataCellStyle="Normal"/>
    <tableColumn id="12669" name="Column12648" dataDxfId="3764" dataCellStyle="Normal"/>
    <tableColumn id="12670" name="Column12649" dataDxfId="3763" dataCellStyle="Normal"/>
    <tableColumn id="12671" name="Column12650" dataDxfId="3762" dataCellStyle="Normal"/>
    <tableColumn id="12672" name="Column12651" dataDxfId="3761" dataCellStyle="Normal"/>
    <tableColumn id="12673" name="Column12652" dataDxfId="3760" dataCellStyle="Normal"/>
    <tableColumn id="12674" name="Column12653" dataDxfId="3759" dataCellStyle="Normal"/>
    <tableColumn id="12675" name="Column12654" dataDxfId="3758" dataCellStyle="Normal"/>
    <tableColumn id="12676" name="Column12655" dataDxfId="3757" dataCellStyle="Normal"/>
    <tableColumn id="12677" name="Column12656" dataDxfId="3756" dataCellStyle="Normal"/>
    <tableColumn id="12678" name="Column12657" dataDxfId="3755" dataCellStyle="Normal"/>
    <tableColumn id="12679" name="Column12658" dataDxfId="3754" dataCellStyle="Normal"/>
    <tableColumn id="12680" name="Column12659" dataDxfId="3753" dataCellStyle="Normal"/>
    <tableColumn id="12681" name="Column12660" dataDxfId="3752" dataCellStyle="Normal"/>
    <tableColumn id="12682" name="Column12661" dataDxfId="3751" dataCellStyle="Normal"/>
    <tableColumn id="12683" name="Column12662" dataDxfId="3750" dataCellStyle="Normal"/>
    <tableColumn id="12684" name="Column12663" dataDxfId="3749" dataCellStyle="Normal"/>
    <tableColumn id="12685" name="Column12664" dataDxfId="3748" dataCellStyle="Normal"/>
    <tableColumn id="12686" name="Column12665" dataDxfId="3747" dataCellStyle="Normal"/>
    <tableColumn id="12687" name="Column12666" dataDxfId="3746" dataCellStyle="Normal"/>
    <tableColumn id="12688" name="Column12667" dataDxfId="3745" dataCellStyle="Normal"/>
    <tableColumn id="12689" name="Column12668" dataDxfId="3744" dataCellStyle="Normal"/>
    <tableColumn id="12690" name="Column12669" dataDxfId="3743" dataCellStyle="Normal"/>
    <tableColumn id="12691" name="Column12670" dataDxfId="3742" dataCellStyle="Normal"/>
    <tableColumn id="12692" name="Column12671" dataDxfId="3741" dataCellStyle="Normal"/>
    <tableColumn id="12693" name="Column12672" dataDxfId="3740" dataCellStyle="Normal"/>
    <tableColumn id="12694" name="Column12673" dataDxfId="3739" dataCellStyle="Normal"/>
    <tableColumn id="12695" name="Column12674" dataDxfId="3738" dataCellStyle="Normal"/>
    <tableColumn id="12696" name="Column12675" dataDxfId="3737" dataCellStyle="Normal"/>
    <tableColumn id="12697" name="Column12676" dataDxfId="3736" dataCellStyle="Normal"/>
    <tableColumn id="12698" name="Column12677" dataDxfId="3735" dataCellStyle="Normal"/>
    <tableColumn id="12699" name="Column12678" dataDxfId="3734" dataCellStyle="Normal"/>
    <tableColumn id="12700" name="Column12679" dataDxfId="3733" dataCellStyle="Normal"/>
    <tableColumn id="12701" name="Column12680" dataDxfId="3732" dataCellStyle="Normal"/>
    <tableColumn id="12702" name="Column12681" dataDxfId="3731" dataCellStyle="Normal"/>
    <tableColumn id="12703" name="Column12682" dataDxfId="3730" dataCellStyle="Normal"/>
    <tableColumn id="12704" name="Column12683" dataDxfId="3729" dataCellStyle="Normal"/>
    <tableColumn id="12705" name="Column12684" dataDxfId="3728" dataCellStyle="Normal"/>
    <tableColumn id="12706" name="Column12685" dataDxfId="3727" dataCellStyle="Normal"/>
    <tableColumn id="12707" name="Column12686" dataDxfId="3726" dataCellStyle="Normal"/>
    <tableColumn id="12708" name="Column12687" dataDxfId="3725" dataCellStyle="Normal"/>
    <tableColumn id="12709" name="Column12688" dataDxfId="3724" dataCellStyle="Normal"/>
    <tableColumn id="12710" name="Column12689" dataDxfId="3723" dataCellStyle="Normal"/>
    <tableColumn id="12711" name="Column12690" dataDxfId="3722" dataCellStyle="Normal"/>
    <tableColumn id="12712" name="Column12691" dataDxfId="3721" dataCellStyle="Normal"/>
    <tableColumn id="12713" name="Column12692" dataDxfId="3720" dataCellStyle="Normal"/>
    <tableColumn id="12714" name="Column12693" dataDxfId="3719" dataCellStyle="Normal"/>
    <tableColumn id="12715" name="Column12694" dataDxfId="3718" dataCellStyle="Normal"/>
    <tableColumn id="12716" name="Column12695" dataDxfId="3717" dataCellStyle="Normal"/>
    <tableColumn id="12717" name="Column12696" dataDxfId="3716" dataCellStyle="Normal"/>
    <tableColumn id="12718" name="Column12697" dataDxfId="3715" dataCellStyle="Normal"/>
    <tableColumn id="12719" name="Column12698" dataDxfId="3714" dataCellStyle="Normal"/>
    <tableColumn id="12720" name="Column12699" dataDxfId="3713" dataCellStyle="Normal"/>
    <tableColumn id="12721" name="Column12700" dataDxfId="3712" dataCellStyle="Normal"/>
    <tableColumn id="12722" name="Column12701" dataDxfId="3711" dataCellStyle="Normal"/>
    <tableColumn id="12723" name="Column12702" dataDxfId="3710" dataCellStyle="Normal"/>
    <tableColumn id="12724" name="Column12703" dataDxfId="3709" dataCellStyle="Normal"/>
    <tableColumn id="12725" name="Column12704" dataDxfId="3708" dataCellStyle="Normal"/>
    <tableColumn id="12726" name="Column12705" dataDxfId="3707" dataCellStyle="Normal"/>
    <tableColumn id="12727" name="Column12706" dataDxfId="3706" dataCellStyle="Normal"/>
    <tableColumn id="12728" name="Column12707" dataDxfId="3705" dataCellStyle="Normal"/>
    <tableColumn id="12729" name="Column12708" dataDxfId="3704" dataCellStyle="Normal"/>
    <tableColumn id="12730" name="Column12709" dataDxfId="3703" dataCellStyle="Normal"/>
    <tableColumn id="12731" name="Column12710" dataDxfId="3702" dataCellStyle="Normal"/>
    <tableColumn id="12732" name="Column12711" dataDxfId="3701" dataCellStyle="Normal"/>
    <tableColumn id="12733" name="Column12712" dataDxfId="3700" dataCellStyle="Normal"/>
    <tableColumn id="12734" name="Column12713" dataDxfId="3699" dataCellStyle="Normal"/>
    <tableColumn id="12735" name="Column12714" dataDxfId="3698" dataCellStyle="Normal"/>
    <tableColumn id="12736" name="Column12715" dataDxfId="3697" dataCellStyle="Normal"/>
    <tableColumn id="12737" name="Column12716" dataDxfId="3696" dataCellStyle="Normal"/>
    <tableColumn id="12738" name="Column12717" dataDxfId="3695" dataCellStyle="Normal"/>
    <tableColumn id="12739" name="Column12718" dataDxfId="3694" dataCellStyle="Normal"/>
    <tableColumn id="12740" name="Column12719" dataDxfId="3693" dataCellStyle="Normal"/>
    <tableColumn id="12741" name="Column12720" dataDxfId="3692" dataCellStyle="Normal"/>
    <tableColumn id="12742" name="Column12721" dataDxfId="3691" dataCellStyle="Normal"/>
    <tableColumn id="12743" name="Column12722" dataDxfId="3690" dataCellStyle="Normal"/>
    <tableColumn id="12744" name="Column12723" dataDxfId="3689" dataCellStyle="Normal"/>
    <tableColumn id="12745" name="Column12724" dataDxfId="3688" dataCellStyle="Normal"/>
    <tableColumn id="12746" name="Column12725" dataDxfId="3687" dataCellStyle="Normal"/>
    <tableColumn id="12747" name="Column12726" dataDxfId="3686" dataCellStyle="Normal"/>
    <tableColumn id="12748" name="Column12727" dataDxfId="3685" dataCellStyle="Normal"/>
    <tableColumn id="12749" name="Column12728" dataDxfId="3684" dataCellStyle="Normal"/>
    <tableColumn id="12750" name="Column12729" dataDxfId="3683" dataCellStyle="Normal"/>
    <tableColumn id="12751" name="Column12730" dataDxfId="3682" dataCellStyle="Normal"/>
    <tableColumn id="12752" name="Column12731" dataDxfId="3681" dataCellStyle="Normal"/>
    <tableColumn id="12753" name="Column12732" dataDxfId="3680" dataCellStyle="Normal"/>
    <tableColumn id="12754" name="Column12733" dataDxfId="3679" dataCellStyle="Normal"/>
    <tableColumn id="12755" name="Column12734" dataDxfId="3678" dataCellStyle="Normal"/>
    <tableColumn id="12756" name="Column12735" dataDxfId="3677" dataCellStyle="Normal"/>
    <tableColumn id="12757" name="Column12736" dataDxfId="3676" dataCellStyle="Normal"/>
    <tableColumn id="12758" name="Column12737" dataDxfId="3675" dataCellStyle="Normal"/>
    <tableColumn id="12759" name="Column12738" dataDxfId="3674" dataCellStyle="Normal"/>
    <tableColumn id="12760" name="Column12739" dataDxfId="3673" dataCellStyle="Normal"/>
    <tableColumn id="12761" name="Column12740" dataDxfId="3672" dataCellStyle="Normal"/>
    <tableColumn id="12762" name="Column12741" dataDxfId="3671" dataCellStyle="Normal"/>
    <tableColumn id="12763" name="Column12742" dataDxfId="3670" dataCellStyle="Normal"/>
    <tableColumn id="12764" name="Column12743" dataDxfId="3669" dataCellStyle="Normal"/>
    <tableColumn id="12765" name="Column12744" dataDxfId="3668" dataCellStyle="Normal"/>
    <tableColumn id="12766" name="Column12745" dataDxfId="3667" dataCellStyle="Normal"/>
    <tableColumn id="12767" name="Column12746" dataDxfId="3666" dataCellStyle="Normal"/>
    <tableColumn id="12768" name="Column12747" dataDxfId="3665" dataCellStyle="Normal"/>
    <tableColumn id="12769" name="Column12748" dataDxfId="3664" dataCellStyle="Normal"/>
    <tableColumn id="12770" name="Column12749" dataDxfId="3663" dataCellStyle="Normal"/>
    <tableColumn id="12771" name="Column12750" dataDxfId="3662" dataCellStyle="Normal"/>
    <tableColumn id="12772" name="Column12751" dataDxfId="3661" dataCellStyle="Normal"/>
    <tableColumn id="12773" name="Column12752" dataDxfId="3660" dataCellStyle="Normal"/>
    <tableColumn id="12774" name="Column12753" dataDxfId="3659" dataCellStyle="Normal"/>
    <tableColumn id="12775" name="Column12754" dataDxfId="3658" dataCellStyle="Normal"/>
    <tableColumn id="12776" name="Column12755" dataDxfId="3657" dataCellStyle="Normal"/>
    <tableColumn id="12777" name="Column12756" dataDxfId="3656" dataCellStyle="Normal"/>
    <tableColumn id="12778" name="Column12757" dataDxfId="3655" dataCellStyle="Normal"/>
    <tableColumn id="12779" name="Column12758" dataDxfId="3654" dataCellStyle="Normal"/>
    <tableColumn id="12780" name="Column12759" dataDxfId="3653" dataCellStyle="Normal"/>
    <tableColumn id="12781" name="Column12760" dataDxfId="3652" dataCellStyle="Normal"/>
    <tableColumn id="12782" name="Column12761" dataDxfId="3651" dataCellStyle="Normal"/>
    <tableColumn id="12783" name="Column12762" dataDxfId="3650" dataCellStyle="Normal"/>
    <tableColumn id="12784" name="Column12763" dataDxfId="3649" dataCellStyle="Normal"/>
    <tableColumn id="12785" name="Column12764" dataDxfId="3648" dataCellStyle="Normal"/>
    <tableColumn id="12786" name="Column12765" dataDxfId="3647" dataCellStyle="Normal"/>
    <tableColumn id="12787" name="Column12766" dataDxfId="3646" dataCellStyle="Normal"/>
    <tableColumn id="12788" name="Column12767" dataDxfId="3645" dataCellStyle="Normal"/>
    <tableColumn id="12789" name="Column12768" dataDxfId="3644" dataCellStyle="Normal"/>
    <tableColumn id="12790" name="Column12769" dataDxfId="3643" dataCellStyle="Normal"/>
    <tableColumn id="12791" name="Column12770" dataDxfId="3642" dataCellStyle="Normal"/>
    <tableColumn id="12792" name="Column12771" dataDxfId="3641" dataCellStyle="Normal"/>
    <tableColumn id="12793" name="Column12772" dataDxfId="3640" dataCellStyle="Normal"/>
    <tableColumn id="12794" name="Column12773" dataDxfId="3639" dataCellStyle="Normal"/>
    <tableColumn id="12795" name="Column12774" dataDxfId="3638" dataCellStyle="Normal"/>
    <tableColumn id="12796" name="Column12775" dataDxfId="3637" dataCellStyle="Normal"/>
    <tableColumn id="12797" name="Column12776" dataDxfId="3636" dataCellStyle="Normal"/>
    <tableColumn id="12798" name="Column12777" dataDxfId="3635" dataCellStyle="Normal"/>
    <tableColumn id="12799" name="Column12778" dataDxfId="3634" dataCellStyle="Normal"/>
    <tableColumn id="12800" name="Column12779" dataDxfId="3633" dataCellStyle="Normal"/>
    <tableColumn id="12801" name="Column12780" dataDxfId="3632" dataCellStyle="Normal"/>
    <tableColumn id="12802" name="Column12781" dataDxfId="3631" dataCellStyle="Normal"/>
    <tableColumn id="12803" name="Column12782" dataDxfId="3630" dataCellStyle="Normal"/>
    <tableColumn id="12804" name="Column12783" dataDxfId="3629" dataCellStyle="Normal"/>
    <tableColumn id="12805" name="Column12784" dataDxfId="3628" dataCellStyle="Normal"/>
    <tableColumn id="12806" name="Column12785" dataDxfId="3627" dataCellStyle="Normal"/>
    <tableColumn id="12807" name="Column12786" dataDxfId="3626" dataCellStyle="Normal"/>
    <tableColumn id="12808" name="Column12787" dataDxfId="3625" dataCellStyle="Normal"/>
    <tableColumn id="12809" name="Column12788" dataDxfId="3624" dataCellStyle="Normal"/>
    <tableColumn id="12810" name="Column12789" dataDxfId="3623" dataCellStyle="Normal"/>
    <tableColumn id="12811" name="Column12790" dataDxfId="3622" dataCellStyle="Normal"/>
    <tableColumn id="12812" name="Column12791" dataDxfId="3621" dataCellStyle="Normal"/>
    <tableColumn id="12813" name="Column12792" dataDxfId="3620" dataCellStyle="Normal"/>
    <tableColumn id="12814" name="Column12793" dataDxfId="3619" dataCellStyle="Normal"/>
    <tableColumn id="12815" name="Column12794" dataDxfId="3618" dataCellStyle="Normal"/>
    <tableColumn id="12816" name="Column12795" dataDxfId="3617" dataCellStyle="Normal"/>
    <tableColumn id="12817" name="Column12796" dataDxfId="3616" dataCellStyle="Normal"/>
    <tableColumn id="12818" name="Column12797" dataDxfId="3615" dataCellStyle="Normal"/>
    <tableColumn id="12819" name="Column12798" dataDxfId="3614" dataCellStyle="Normal"/>
    <tableColumn id="12820" name="Column12799" dataDxfId="3613" dataCellStyle="Normal"/>
    <tableColumn id="12821" name="Column12800" dataDxfId="3612" dataCellStyle="Normal"/>
    <tableColumn id="12822" name="Column12801" dataDxfId="3611" dataCellStyle="Normal"/>
    <tableColumn id="12823" name="Column12802" dataDxfId="3610" dataCellStyle="Normal"/>
    <tableColumn id="12824" name="Column12803" dataDxfId="3609" dataCellStyle="Normal"/>
    <tableColumn id="12825" name="Column12804" dataDxfId="3608" dataCellStyle="Normal"/>
    <tableColumn id="12826" name="Column12805" dataDxfId="3607" dataCellStyle="Normal"/>
    <tableColumn id="12827" name="Column12806" dataDxfId="3606" dataCellStyle="Normal"/>
    <tableColumn id="12828" name="Column12807" dataDxfId="3605" dataCellStyle="Normal"/>
    <tableColumn id="12829" name="Column12808" dataDxfId="3604" dataCellStyle="Normal"/>
    <tableColumn id="12830" name="Column12809" dataDxfId="3603" dataCellStyle="Normal"/>
    <tableColumn id="12831" name="Column12810" dataDxfId="3602" dataCellStyle="Normal"/>
    <tableColumn id="12832" name="Column12811" dataDxfId="3601" dataCellStyle="Normal"/>
    <tableColumn id="12833" name="Column12812" dataDxfId="3600" dataCellStyle="Normal"/>
    <tableColumn id="12834" name="Column12813" dataDxfId="3599" dataCellStyle="Normal"/>
    <tableColumn id="12835" name="Column12814" dataDxfId="3598" dataCellStyle="Normal"/>
    <tableColumn id="12836" name="Column12815" dataDxfId="3597" dataCellStyle="Normal"/>
    <tableColumn id="12837" name="Column12816" dataDxfId="3596" dataCellStyle="Normal"/>
    <tableColumn id="12838" name="Column12817" dataDxfId="3595" dataCellStyle="Normal"/>
    <tableColumn id="12839" name="Column12818" dataDxfId="3594" dataCellStyle="Normal"/>
    <tableColumn id="12840" name="Column12819" dataDxfId="3593" dataCellStyle="Normal"/>
    <tableColumn id="12841" name="Column12820" dataDxfId="3592" dataCellStyle="Normal"/>
    <tableColumn id="12842" name="Column12821" dataDxfId="3591" dataCellStyle="Normal"/>
    <tableColumn id="12843" name="Column12822" dataDxfId="3590" dataCellStyle="Normal"/>
    <tableColumn id="12844" name="Column12823" dataDxfId="3589" dataCellStyle="Normal"/>
    <tableColumn id="12845" name="Column12824" dataDxfId="3588" dataCellStyle="Normal"/>
    <tableColumn id="12846" name="Column12825" dataDxfId="3587" dataCellStyle="Normal"/>
    <tableColumn id="12847" name="Column12826" dataDxfId="3586" dataCellStyle="Normal"/>
    <tableColumn id="12848" name="Column12827" dataDxfId="3585" dataCellStyle="Normal"/>
    <tableColumn id="12849" name="Column12828" dataDxfId="3584" dataCellStyle="Normal"/>
    <tableColumn id="12850" name="Column12829" dataDxfId="3583" dataCellStyle="Normal"/>
    <tableColumn id="12851" name="Column12830" dataDxfId="3582" dataCellStyle="Normal"/>
    <tableColumn id="12852" name="Column12831" dataDxfId="3581" dataCellStyle="Normal"/>
    <tableColumn id="12853" name="Column12832" dataDxfId="3580" dataCellStyle="Normal"/>
    <tableColumn id="12854" name="Column12833" dataDxfId="3579" dataCellStyle="Normal"/>
    <tableColumn id="12855" name="Column12834" dataDxfId="3578" dataCellStyle="Normal"/>
    <tableColumn id="12856" name="Column12835" dataDxfId="3577" dataCellStyle="Normal"/>
    <tableColumn id="12857" name="Column12836" dataDxfId="3576" dataCellStyle="Normal"/>
    <tableColumn id="12858" name="Column12837" dataDxfId="3575" dataCellStyle="Normal"/>
    <tableColumn id="12859" name="Column12838" dataDxfId="3574" dataCellStyle="Normal"/>
    <tableColumn id="12860" name="Column12839" dataDxfId="3573" dataCellStyle="Normal"/>
    <tableColumn id="12861" name="Column12840" dataDxfId="3572" dataCellStyle="Normal"/>
    <tableColumn id="12862" name="Column12841" dataDxfId="3571" dataCellStyle="Normal"/>
    <tableColumn id="12863" name="Column12842" dataDxfId="3570" dataCellStyle="Normal"/>
    <tableColumn id="12864" name="Column12843" dataDxfId="3569" dataCellStyle="Normal"/>
    <tableColumn id="12865" name="Column12844" dataDxfId="3568" dataCellStyle="Normal"/>
    <tableColumn id="12866" name="Column12845" dataDxfId="3567" dataCellStyle="Normal"/>
    <tableColumn id="12867" name="Column12846" dataDxfId="3566" dataCellStyle="Normal"/>
    <tableColumn id="12868" name="Column12847" dataDxfId="3565" dataCellStyle="Normal"/>
    <tableColumn id="12869" name="Column12848" dataDxfId="3564" dataCellStyle="Normal"/>
    <tableColumn id="12870" name="Column12849" dataDxfId="3563" dataCellStyle="Normal"/>
    <tableColumn id="12871" name="Column12850" dataDxfId="3562" dataCellStyle="Normal"/>
    <tableColumn id="12872" name="Column12851" dataDxfId="3561" dataCellStyle="Normal"/>
    <tableColumn id="12873" name="Column12852" dataDxfId="3560" dataCellStyle="Normal"/>
    <tableColumn id="12874" name="Column12853" dataDxfId="3559" dataCellStyle="Normal"/>
    <tableColumn id="12875" name="Column12854" dataDxfId="3558" dataCellStyle="Normal"/>
    <tableColumn id="12876" name="Column12855" dataDxfId="3557" dataCellStyle="Normal"/>
    <tableColumn id="12877" name="Column12856" dataDxfId="3556" dataCellStyle="Normal"/>
    <tableColumn id="12878" name="Column12857" dataDxfId="3555" dataCellStyle="Normal"/>
    <tableColumn id="12879" name="Column12858" dataDxfId="3554" dataCellStyle="Normal"/>
    <tableColumn id="12880" name="Column12859" dataDxfId="3553" dataCellStyle="Normal"/>
    <tableColumn id="12881" name="Column12860" dataDxfId="3552" dataCellStyle="Normal"/>
    <tableColumn id="12882" name="Column12861" dataDxfId="3551" dataCellStyle="Normal"/>
    <tableColumn id="12883" name="Column12862" dataDxfId="3550" dataCellStyle="Normal"/>
    <tableColumn id="12884" name="Column12863" dataDxfId="3549" dataCellStyle="Normal"/>
    <tableColumn id="12885" name="Column12864" dataDxfId="3548" dataCellStyle="Normal"/>
    <tableColumn id="12886" name="Column12865" dataDxfId="3547" dataCellStyle="Normal"/>
    <tableColumn id="12887" name="Column12866" dataDxfId="3546" dataCellStyle="Normal"/>
    <tableColumn id="12888" name="Column12867" dataDxfId="3545" dataCellStyle="Normal"/>
    <tableColumn id="12889" name="Column12868" dataDxfId="3544" dataCellStyle="Normal"/>
    <tableColumn id="12890" name="Column12869" dataDxfId="3543" dataCellStyle="Normal"/>
    <tableColumn id="12891" name="Column12870" dataDxfId="3542" dataCellStyle="Normal"/>
    <tableColumn id="12892" name="Column12871" dataDxfId="3541" dataCellStyle="Normal"/>
    <tableColumn id="12893" name="Column12872" dataDxfId="3540" dataCellStyle="Normal"/>
    <tableColumn id="12894" name="Column12873" dataDxfId="3539" dataCellStyle="Normal"/>
    <tableColumn id="12895" name="Column12874" dataDxfId="3538" dataCellStyle="Normal"/>
    <tableColumn id="12896" name="Column12875" dataDxfId="3537" dataCellStyle="Normal"/>
    <tableColumn id="12897" name="Column12876" dataDxfId="3536" dataCellStyle="Normal"/>
    <tableColumn id="12898" name="Column12877" dataDxfId="3535" dataCellStyle="Normal"/>
    <tableColumn id="12899" name="Column12878" dataDxfId="3534" dataCellStyle="Normal"/>
    <tableColumn id="12900" name="Column12879" dataDxfId="3533" dataCellStyle="Normal"/>
    <tableColumn id="12901" name="Column12880" dataDxfId="3532" dataCellStyle="Normal"/>
    <tableColumn id="12902" name="Column12881" dataDxfId="3531" dataCellStyle="Normal"/>
    <tableColumn id="12903" name="Column12882" dataDxfId="3530" dataCellStyle="Normal"/>
    <tableColumn id="12904" name="Column12883" dataDxfId="3529" dataCellStyle="Normal"/>
    <tableColumn id="12905" name="Column12884" dataDxfId="3528" dataCellStyle="Normal"/>
    <tableColumn id="12906" name="Column12885" dataDxfId="3527" dataCellStyle="Normal"/>
    <tableColumn id="12907" name="Column12886" dataDxfId="3526" dataCellStyle="Normal"/>
    <tableColumn id="12908" name="Column12887" dataDxfId="3525" dataCellStyle="Normal"/>
    <tableColumn id="12909" name="Column12888" dataDxfId="3524" dataCellStyle="Normal"/>
    <tableColumn id="12910" name="Column12889" dataDxfId="3523" dataCellStyle="Normal"/>
    <tableColumn id="12911" name="Column12890" dataDxfId="3522" dataCellStyle="Normal"/>
    <tableColumn id="12912" name="Column12891" dataDxfId="3521" dataCellStyle="Normal"/>
    <tableColumn id="12913" name="Column12892" dataDxfId="3520" dataCellStyle="Normal"/>
    <tableColumn id="12914" name="Column12893" dataDxfId="3519" dataCellStyle="Normal"/>
    <tableColumn id="12915" name="Column12894" dataDxfId="3518" dataCellStyle="Normal"/>
    <tableColumn id="12916" name="Column12895" dataDxfId="3517" dataCellStyle="Normal"/>
    <tableColumn id="12917" name="Column12896" dataDxfId="3516" dataCellStyle="Normal"/>
    <tableColumn id="12918" name="Column12897" dataDxfId="3515" dataCellStyle="Normal"/>
    <tableColumn id="12919" name="Column12898" dataDxfId="3514" dataCellStyle="Normal"/>
    <tableColumn id="12920" name="Column12899" dataDxfId="3513" dataCellStyle="Normal"/>
    <tableColumn id="12921" name="Column12900" dataDxfId="3512" dataCellStyle="Normal"/>
    <tableColumn id="12922" name="Column12901" dataDxfId="3511" dataCellStyle="Normal"/>
    <tableColumn id="12923" name="Column12902" dataDxfId="3510" dataCellStyle="Normal"/>
    <tableColumn id="12924" name="Column12903" dataDxfId="3509" dataCellStyle="Normal"/>
    <tableColumn id="12925" name="Column12904" dataDxfId="3508" dataCellStyle="Normal"/>
    <tableColumn id="12926" name="Column12905" dataDxfId="3507" dataCellStyle="Normal"/>
    <tableColumn id="12927" name="Column12906" dataDxfId="3506" dataCellStyle="Normal"/>
    <tableColumn id="12928" name="Column12907" dataDxfId="3505" dataCellStyle="Normal"/>
    <tableColumn id="12929" name="Column12908" dataDxfId="3504" dataCellStyle="Normal"/>
    <tableColumn id="12930" name="Column12909" dataDxfId="3503" dataCellStyle="Normal"/>
    <tableColumn id="12931" name="Column12910" dataDxfId="3502" dataCellStyle="Normal"/>
    <tableColumn id="12932" name="Column12911" dataDxfId="3501" dataCellStyle="Normal"/>
    <tableColumn id="12933" name="Column12912" dataDxfId="3500" dataCellStyle="Normal"/>
    <tableColumn id="12934" name="Column12913" dataDxfId="3499" dataCellStyle="Normal"/>
    <tableColumn id="12935" name="Column12914" dataDxfId="3498" dataCellStyle="Normal"/>
    <tableColumn id="12936" name="Column12915" dataDxfId="3497" dataCellStyle="Normal"/>
    <tableColumn id="12937" name="Column12916" dataDxfId="3496" dataCellStyle="Normal"/>
    <tableColumn id="12938" name="Column12917" dataDxfId="3495" dataCellStyle="Normal"/>
    <tableColumn id="12939" name="Column12918" dataDxfId="3494" dataCellStyle="Normal"/>
    <tableColumn id="12940" name="Column12919" dataDxfId="3493" dataCellStyle="Normal"/>
    <tableColumn id="12941" name="Column12920" dataDxfId="3492" dataCellStyle="Normal"/>
    <tableColumn id="12942" name="Column12921" dataDxfId="3491" dataCellStyle="Normal"/>
    <tableColumn id="12943" name="Column12922" dataDxfId="3490" dataCellStyle="Normal"/>
    <tableColumn id="12944" name="Column12923" dataDxfId="3489" dataCellStyle="Normal"/>
    <tableColumn id="12945" name="Column12924" dataDxfId="3488" dataCellStyle="Normal"/>
    <tableColumn id="12946" name="Column12925" dataDxfId="3487" dataCellStyle="Normal"/>
    <tableColumn id="12947" name="Column12926" dataDxfId="3486" dataCellStyle="Normal"/>
    <tableColumn id="12948" name="Column12927" dataDxfId="3485" dataCellStyle="Normal"/>
    <tableColumn id="12949" name="Column12928" dataDxfId="3484" dataCellStyle="Normal"/>
    <tableColumn id="12950" name="Column12929" dataDxfId="3483" dataCellStyle="Normal"/>
    <tableColumn id="12951" name="Column12930" dataDxfId="3482" dataCellStyle="Normal"/>
    <tableColumn id="12952" name="Column12931" dataDxfId="3481" dataCellStyle="Normal"/>
    <tableColumn id="12953" name="Column12932" dataDxfId="3480" dataCellStyle="Normal"/>
    <tableColumn id="12954" name="Column12933" dataDxfId="3479" dataCellStyle="Normal"/>
    <tableColumn id="12955" name="Column12934" dataDxfId="3478" dataCellStyle="Normal"/>
    <tableColumn id="12956" name="Column12935" dataDxfId="3477" dataCellStyle="Normal"/>
    <tableColumn id="12957" name="Column12936" dataDxfId="3476" dataCellStyle="Normal"/>
    <tableColumn id="12958" name="Column12937" dataDxfId="3475" dataCellStyle="Normal"/>
    <tableColumn id="12959" name="Column12938" dataDxfId="3474" dataCellStyle="Normal"/>
    <tableColumn id="12960" name="Column12939" dataDxfId="3473" dataCellStyle="Normal"/>
    <tableColumn id="12961" name="Column12940" dataDxfId="3472" dataCellStyle="Normal"/>
    <tableColumn id="12962" name="Column12941" dataDxfId="3471" dataCellStyle="Normal"/>
    <tableColumn id="12963" name="Column12942" dataDxfId="3470" dataCellStyle="Normal"/>
    <tableColumn id="12964" name="Column12943" dataDxfId="3469" dataCellStyle="Normal"/>
    <tableColumn id="12965" name="Column12944" dataDxfId="3468" dataCellStyle="Normal"/>
    <tableColumn id="12966" name="Column12945" dataDxfId="3467" dataCellStyle="Normal"/>
    <tableColumn id="12967" name="Column12946" dataDxfId="3466" dataCellStyle="Normal"/>
    <tableColumn id="12968" name="Column12947" dataDxfId="3465" dataCellStyle="Normal"/>
    <tableColumn id="12969" name="Column12948" dataDxfId="3464" dataCellStyle="Normal"/>
    <tableColumn id="12970" name="Column12949" dataDxfId="3463" dataCellStyle="Normal"/>
    <tableColumn id="12971" name="Column12950" dataDxfId="3462" dataCellStyle="Normal"/>
    <tableColumn id="12972" name="Column12951" dataDxfId="3461" dataCellStyle="Normal"/>
    <tableColumn id="12973" name="Column12952" dataDxfId="3460" dataCellStyle="Normal"/>
    <tableColumn id="12974" name="Column12953" dataDxfId="3459" dataCellStyle="Normal"/>
    <tableColumn id="12975" name="Column12954" dataDxfId="3458" dataCellStyle="Normal"/>
    <tableColumn id="12976" name="Column12955" dataDxfId="3457" dataCellStyle="Normal"/>
    <tableColumn id="12977" name="Column12956" dataDxfId="3456" dataCellStyle="Normal"/>
    <tableColumn id="12978" name="Column12957" dataDxfId="3455" dataCellStyle="Normal"/>
    <tableColumn id="12979" name="Column12958" dataDxfId="3454" dataCellStyle="Normal"/>
    <tableColumn id="12980" name="Column12959" dataDxfId="3453" dataCellStyle="Normal"/>
    <tableColumn id="12981" name="Column12960" dataDxfId="3452" dataCellStyle="Normal"/>
    <tableColumn id="12982" name="Column12961" dataDxfId="3451" dataCellStyle="Normal"/>
    <tableColumn id="12983" name="Column12962" dataDxfId="3450" dataCellStyle="Normal"/>
    <tableColumn id="12984" name="Column12963" dataDxfId="3449" dataCellStyle="Normal"/>
    <tableColumn id="12985" name="Column12964" dataDxfId="3448" dataCellStyle="Normal"/>
    <tableColumn id="12986" name="Column12965" dataDxfId="3447" dataCellStyle="Normal"/>
    <tableColumn id="12987" name="Column12966" dataDxfId="3446" dataCellStyle="Normal"/>
    <tableColumn id="12988" name="Column12967" dataDxfId="3445" dataCellStyle="Normal"/>
    <tableColumn id="12989" name="Column12968" dataDxfId="3444" dataCellStyle="Normal"/>
    <tableColumn id="12990" name="Column12969" dataDxfId="3443" dataCellStyle="Normal"/>
    <tableColumn id="12991" name="Column12970" dataDxfId="3442" dataCellStyle="Normal"/>
    <tableColumn id="12992" name="Column12971" dataDxfId="3441" dataCellStyle="Normal"/>
    <tableColumn id="12993" name="Column12972" dataDxfId="3440" dataCellStyle="Normal"/>
    <tableColumn id="12994" name="Column12973" dataDxfId="3439" dataCellStyle="Normal"/>
    <tableColumn id="12995" name="Column12974" dataDxfId="3438" dataCellStyle="Normal"/>
    <tableColumn id="12996" name="Column12975" dataDxfId="3437" dataCellStyle="Normal"/>
    <tableColumn id="12997" name="Column12976" dataDxfId="3436" dataCellStyle="Normal"/>
    <tableColumn id="12998" name="Column12977" dataDxfId="3435" dataCellStyle="Normal"/>
    <tableColumn id="12999" name="Column12978" dataDxfId="3434" dataCellStyle="Normal"/>
    <tableColumn id="13000" name="Column12979" dataDxfId="3433" dataCellStyle="Normal"/>
    <tableColumn id="13001" name="Column12980" dataDxfId="3432" dataCellStyle="Normal"/>
    <tableColumn id="13002" name="Column12981" dataDxfId="3431" dataCellStyle="Normal"/>
    <tableColumn id="13003" name="Column12982" dataDxfId="3430" dataCellStyle="Normal"/>
    <tableColumn id="13004" name="Column12983" dataDxfId="3429" dataCellStyle="Normal"/>
    <tableColumn id="13005" name="Column12984" dataDxfId="3428" dataCellStyle="Normal"/>
    <tableColumn id="13006" name="Column12985" dataDxfId="3427" dataCellStyle="Normal"/>
    <tableColumn id="13007" name="Column12986" dataDxfId="3426" dataCellStyle="Normal"/>
    <tableColumn id="13008" name="Column12987" dataDxfId="3425" dataCellStyle="Normal"/>
    <tableColumn id="13009" name="Column12988" dataDxfId="3424" dataCellStyle="Normal"/>
    <tableColumn id="13010" name="Column12989" dataDxfId="3423" dataCellStyle="Normal"/>
    <tableColumn id="13011" name="Column12990" dataDxfId="3422" dataCellStyle="Normal"/>
    <tableColumn id="13012" name="Column12991" dataDxfId="3421" dataCellStyle="Normal"/>
    <tableColumn id="13013" name="Column12992" dataDxfId="3420" dataCellStyle="Normal"/>
    <tableColumn id="13014" name="Column12993" dataDxfId="3419" dataCellStyle="Normal"/>
    <tableColumn id="13015" name="Column12994" dataDxfId="3418" dataCellStyle="Normal"/>
    <tableColumn id="13016" name="Column12995" dataDxfId="3417" dataCellStyle="Normal"/>
    <tableColumn id="13017" name="Column12996" dataDxfId="3416" dataCellStyle="Normal"/>
    <tableColumn id="13018" name="Column12997" dataDxfId="3415" dataCellStyle="Normal"/>
    <tableColumn id="13019" name="Column12998" dataDxfId="3414" dataCellStyle="Normal"/>
    <tableColumn id="13020" name="Column12999" dataDxfId="3413" dataCellStyle="Normal"/>
    <tableColumn id="13021" name="Column13000" dataDxfId="3412" dataCellStyle="Normal"/>
    <tableColumn id="13022" name="Column13001" dataDxfId="3411" dataCellStyle="Normal"/>
    <tableColumn id="13023" name="Column13002" dataDxfId="3410" dataCellStyle="Normal"/>
    <tableColumn id="13024" name="Column13003" dataDxfId="3409" dataCellStyle="Normal"/>
    <tableColumn id="13025" name="Column13004" dataDxfId="3408" dataCellStyle="Normal"/>
    <tableColumn id="13026" name="Column13005" dataDxfId="3407" dataCellStyle="Normal"/>
    <tableColumn id="13027" name="Column13006" dataDxfId="3406" dataCellStyle="Normal"/>
    <tableColumn id="13028" name="Column13007" dataDxfId="3405" dataCellStyle="Normal"/>
    <tableColumn id="13029" name="Column13008" dataDxfId="3404" dataCellStyle="Normal"/>
    <tableColumn id="13030" name="Column13009" dataDxfId="3403" dataCellStyle="Normal"/>
    <tableColumn id="13031" name="Column13010" dataDxfId="3402" dataCellStyle="Normal"/>
    <tableColumn id="13032" name="Column13011" dataDxfId="3401" dataCellStyle="Normal"/>
    <tableColumn id="13033" name="Column13012" dataDxfId="3400" dataCellStyle="Normal"/>
    <tableColumn id="13034" name="Column13013" dataDxfId="3399" dataCellStyle="Normal"/>
    <tableColumn id="13035" name="Column13014" dataDxfId="3398" dataCellStyle="Normal"/>
    <tableColumn id="13036" name="Column13015" dataDxfId="3397" dataCellStyle="Normal"/>
    <tableColumn id="13037" name="Column13016" dataDxfId="3396" dataCellStyle="Normal"/>
    <tableColumn id="13038" name="Column13017" dataDxfId="3395" dataCellStyle="Normal"/>
    <tableColumn id="13039" name="Column13018" dataDxfId="3394" dataCellStyle="Normal"/>
    <tableColumn id="13040" name="Column13019" dataDxfId="3393" dataCellStyle="Normal"/>
    <tableColumn id="13041" name="Column13020" dataDxfId="3392" dataCellStyle="Normal"/>
    <tableColumn id="13042" name="Column13021" dataDxfId="3391" dataCellStyle="Normal"/>
    <tableColumn id="13043" name="Column13022" dataDxfId="3390" dataCellStyle="Normal"/>
    <tableColumn id="13044" name="Column13023" dataDxfId="3389" dataCellStyle="Normal"/>
    <tableColumn id="13045" name="Column13024" dataDxfId="3388" dataCellStyle="Normal"/>
    <tableColumn id="13046" name="Column13025" dataDxfId="3387" dataCellStyle="Normal"/>
    <tableColumn id="13047" name="Column13026" dataDxfId="3386" dataCellStyle="Normal"/>
    <tableColumn id="13048" name="Column13027" dataDxfId="3385" dataCellStyle="Normal"/>
    <tableColumn id="13049" name="Column13028" dataDxfId="3384" dataCellStyle="Normal"/>
    <tableColumn id="13050" name="Column13029" dataDxfId="3383" dataCellStyle="Normal"/>
    <tableColumn id="13051" name="Column13030" dataDxfId="3382" dataCellStyle="Normal"/>
    <tableColumn id="13052" name="Column13031" dataDxfId="3381" dataCellStyle="Normal"/>
    <tableColumn id="13053" name="Column13032" dataDxfId="3380" dataCellStyle="Normal"/>
    <tableColumn id="13054" name="Column13033" dataDxfId="3379" dataCellStyle="Normal"/>
    <tableColumn id="13055" name="Column13034" dataDxfId="3378" dataCellStyle="Normal"/>
    <tableColumn id="13056" name="Column13035" dataDxfId="3377" dataCellStyle="Normal"/>
    <tableColumn id="13057" name="Column13036" dataDxfId="3376" dataCellStyle="Normal"/>
    <tableColumn id="13058" name="Column13037" dataDxfId="3375" dataCellStyle="Normal"/>
    <tableColumn id="13059" name="Column13038" dataDxfId="3374" dataCellStyle="Normal"/>
    <tableColumn id="13060" name="Column13039" dataDxfId="3373" dataCellStyle="Normal"/>
    <tableColumn id="13061" name="Column13040" dataDxfId="3372" dataCellStyle="Normal"/>
    <tableColumn id="13062" name="Column13041" dataDxfId="3371" dataCellStyle="Normal"/>
    <tableColumn id="13063" name="Column13042" dataDxfId="3370" dataCellStyle="Normal"/>
    <tableColumn id="13064" name="Column13043" dataDxfId="3369" dataCellStyle="Normal"/>
    <tableColumn id="13065" name="Column13044" dataDxfId="3368" dataCellStyle="Normal"/>
    <tableColumn id="13066" name="Column13045" dataDxfId="3367" dataCellStyle="Normal"/>
    <tableColumn id="13067" name="Column13046" dataDxfId="3366" dataCellStyle="Normal"/>
    <tableColumn id="13068" name="Column13047" dataDxfId="3365" dataCellStyle="Normal"/>
    <tableColumn id="13069" name="Column13048" dataDxfId="3364" dataCellStyle="Normal"/>
    <tableColumn id="13070" name="Column13049" dataDxfId="3363" dataCellStyle="Normal"/>
    <tableColumn id="13071" name="Column13050" dataDxfId="3362" dataCellStyle="Normal"/>
    <tableColumn id="13072" name="Column13051" dataDxfId="3361" dataCellStyle="Normal"/>
    <tableColumn id="13073" name="Column13052" dataDxfId="3360" dataCellStyle="Normal"/>
    <tableColumn id="13074" name="Column13053" dataDxfId="3359" dataCellStyle="Normal"/>
    <tableColumn id="13075" name="Column13054" dataDxfId="3358" dataCellStyle="Normal"/>
    <tableColumn id="13076" name="Column13055" dataDxfId="3357" dataCellStyle="Normal"/>
    <tableColumn id="13077" name="Column13056" dataDxfId="3356" dataCellStyle="Normal"/>
    <tableColumn id="13078" name="Column13057" dataDxfId="3355" dataCellStyle="Normal"/>
    <tableColumn id="13079" name="Column13058" dataDxfId="3354" dataCellStyle="Normal"/>
    <tableColumn id="13080" name="Column13059" dataDxfId="3353" dataCellStyle="Normal"/>
    <tableColumn id="13081" name="Column13060" dataDxfId="3352" dataCellStyle="Normal"/>
    <tableColumn id="13082" name="Column13061" dataDxfId="3351" dataCellStyle="Normal"/>
    <tableColumn id="13083" name="Column13062" dataDxfId="3350" dataCellStyle="Normal"/>
    <tableColumn id="13084" name="Column13063" dataDxfId="3349" dataCellStyle="Normal"/>
    <tableColumn id="13085" name="Column13064" dataDxfId="3348" dataCellStyle="Normal"/>
    <tableColumn id="13086" name="Column13065" dataDxfId="3347" dataCellStyle="Normal"/>
    <tableColumn id="13087" name="Column13066" dataDxfId="3346" dataCellStyle="Normal"/>
    <tableColumn id="13088" name="Column13067" dataDxfId="3345" dataCellStyle="Normal"/>
    <tableColumn id="13089" name="Column13068" dataDxfId="3344" dataCellStyle="Normal"/>
    <tableColumn id="13090" name="Column13069" dataDxfId="3343" dataCellStyle="Normal"/>
    <tableColumn id="13091" name="Column13070" dataDxfId="3342" dataCellStyle="Normal"/>
    <tableColumn id="13092" name="Column13071" dataDxfId="3341" dataCellStyle="Normal"/>
    <tableColumn id="13093" name="Column13072" dataDxfId="3340" dataCellStyle="Normal"/>
    <tableColumn id="13094" name="Column13073" dataDxfId="3339" dataCellStyle="Normal"/>
    <tableColumn id="13095" name="Column13074" dataDxfId="3338" dataCellStyle="Normal"/>
    <tableColumn id="13096" name="Column13075" dataDxfId="3337" dataCellStyle="Normal"/>
    <tableColumn id="13097" name="Column13076" dataDxfId="3336" dataCellStyle="Normal"/>
    <tableColumn id="13098" name="Column13077" dataDxfId="3335" dataCellStyle="Normal"/>
    <tableColumn id="13099" name="Column13078" dataDxfId="3334" dataCellStyle="Normal"/>
    <tableColumn id="13100" name="Column13079" dataDxfId="3333" dataCellStyle="Normal"/>
    <tableColumn id="13101" name="Column13080" dataDxfId="3332" dataCellStyle="Normal"/>
    <tableColumn id="13102" name="Column13081" dataDxfId="3331" dataCellStyle="Normal"/>
    <tableColumn id="13103" name="Column13082" dataDxfId="3330" dataCellStyle="Normal"/>
    <tableColumn id="13104" name="Column13083" dataDxfId="3329" dataCellStyle="Normal"/>
    <tableColumn id="13105" name="Column13084" dataDxfId="3328" dataCellStyle="Normal"/>
    <tableColumn id="13106" name="Column13085" dataDxfId="3327" dataCellStyle="Normal"/>
    <tableColumn id="13107" name="Column13086" dataDxfId="3326" dataCellStyle="Normal"/>
    <tableColumn id="13108" name="Column13087" dataDxfId="3325" dataCellStyle="Normal"/>
    <tableColumn id="13109" name="Column13088" dataDxfId="3324" dataCellStyle="Normal"/>
    <tableColumn id="13110" name="Column13089" dataDxfId="3323" dataCellStyle="Normal"/>
    <tableColumn id="13111" name="Column13090" dataDxfId="3322" dataCellStyle="Normal"/>
    <tableColumn id="13112" name="Column13091" dataDxfId="3321" dataCellStyle="Normal"/>
    <tableColumn id="13113" name="Column13092" dataDxfId="3320" dataCellStyle="Normal"/>
    <tableColumn id="13114" name="Column13093" dataDxfId="3319" dataCellStyle="Normal"/>
    <tableColumn id="13115" name="Column13094" dataDxfId="3318" dataCellStyle="Normal"/>
    <tableColumn id="13116" name="Column13095" dataDxfId="3317" dataCellStyle="Normal"/>
    <tableColumn id="13117" name="Column13096" dataDxfId="3316" dataCellStyle="Normal"/>
    <tableColumn id="13118" name="Column13097" dataDxfId="3315" dataCellStyle="Normal"/>
    <tableColumn id="13119" name="Column13098" dataDxfId="3314" dataCellStyle="Normal"/>
    <tableColumn id="13120" name="Column13099" dataDxfId="3313" dataCellStyle="Normal"/>
    <tableColumn id="13121" name="Column13100" dataDxfId="3312" dataCellStyle="Normal"/>
    <tableColumn id="13122" name="Column13101" dataDxfId="3311" dataCellStyle="Normal"/>
    <tableColumn id="13123" name="Column13102" dataDxfId="3310" dataCellStyle="Normal"/>
    <tableColumn id="13124" name="Column13103" dataDxfId="3309" dataCellStyle="Normal"/>
    <tableColumn id="13125" name="Column13104" dataDxfId="3308" dataCellStyle="Normal"/>
    <tableColumn id="13126" name="Column13105" dataDxfId="3307" dataCellStyle="Normal"/>
    <tableColumn id="13127" name="Column13106" dataDxfId="3306" dataCellStyle="Normal"/>
    <tableColumn id="13128" name="Column13107" dataDxfId="3305" dataCellStyle="Normal"/>
    <tableColumn id="13129" name="Column13108" dataDxfId="3304" dataCellStyle="Normal"/>
    <tableColumn id="13130" name="Column13109" dataDxfId="3303" dataCellStyle="Normal"/>
    <tableColumn id="13131" name="Column13110" dataDxfId="3302" dataCellStyle="Normal"/>
    <tableColumn id="13132" name="Column13111" dataDxfId="3301" dataCellStyle="Normal"/>
    <tableColumn id="13133" name="Column13112" dataDxfId="3300" dataCellStyle="Normal"/>
    <tableColumn id="13134" name="Column13113" dataDxfId="3299" dataCellStyle="Normal"/>
    <tableColumn id="13135" name="Column13114" dataDxfId="3298" dataCellStyle="Normal"/>
    <tableColumn id="13136" name="Column13115" dataDxfId="3297" dataCellStyle="Normal"/>
    <tableColumn id="13137" name="Column13116" dataDxfId="3296" dataCellStyle="Normal"/>
    <tableColumn id="13138" name="Column13117" dataDxfId="3295" dataCellStyle="Normal"/>
    <tableColumn id="13139" name="Column13118" dataDxfId="3294" dataCellStyle="Normal"/>
    <tableColumn id="13140" name="Column13119" dataDxfId="3293" dataCellStyle="Normal"/>
    <tableColumn id="13141" name="Column13120" dataDxfId="3292" dataCellStyle="Normal"/>
    <tableColumn id="13142" name="Column13121" dataDxfId="3291" dataCellStyle="Normal"/>
    <tableColumn id="13143" name="Column13122" dataDxfId="3290" dataCellStyle="Normal"/>
    <tableColumn id="13144" name="Column13123" dataDxfId="3289" dataCellStyle="Normal"/>
    <tableColumn id="13145" name="Column13124" dataDxfId="3288" dataCellStyle="Normal"/>
    <tableColumn id="13146" name="Column13125" dataDxfId="3287" dataCellStyle="Normal"/>
    <tableColumn id="13147" name="Column13126" dataDxfId="3286" dataCellStyle="Normal"/>
    <tableColumn id="13148" name="Column13127" dataDxfId="3285" dataCellStyle="Normal"/>
    <tableColumn id="13149" name="Column13128" dataDxfId="3284" dataCellStyle="Normal"/>
    <tableColumn id="13150" name="Column13129" dataDxfId="3283" dataCellStyle="Normal"/>
    <tableColumn id="13151" name="Column13130" dataDxfId="3282" dataCellStyle="Normal"/>
    <tableColumn id="13152" name="Column13131" dataDxfId="3281" dataCellStyle="Normal"/>
    <tableColumn id="13153" name="Column13132" dataDxfId="3280" dataCellStyle="Normal"/>
    <tableColumn id="13154" name="Column13133" dataDxfId="3279" dataCellStyle="Normal"/>
    <tableColumn id="13155" name="Column13134" dataDxfId="3278" dataCellStyle="Normal"/>
    <tableColumn id="13156" name="Column13135" dataDxfId="3277" dataCellStyle="Normal"/>
    <tableColumn id="13157" name="Column13136" dataDxfId="3276" dataCellStyle="Normal"/>
    <tableColumn id="13158" name="Column13137" dataDxfId="3275" dataCellStyle="Normal"/>
    <tableColumn id="13159" name="Column13138" dataDxfId="3274" dataCellStyle="Normal"/>
    <tableColumn id="13160" name="Column13139" dataDxfId="3273" dataCellStyle="Normal"/>
    <tableColumn id="13161" name="Column13140" dataDxfId="3272" dataCellStyle="Normal"/>
    <tableColumn id="13162" name="Column13141" dataDxfId="3271" dataCellStyle="Normal"/>
    <tableColumn id="13163" name="Column13142" dataDxfId="3270" dataCellStyle="Normal"/>
    <tableColumn id="13164" name="Column13143" dataDxfId="3269" dataCellStyle="Normal"/>
    <tableColumn id="13165" name="Column13144" dataDxfId="3268" dataCellStyle="Normal"/>
    <tableColumn id="13166" name="Column13145" dataDxfId="3267" dataCellStyle="Normal"/>
    <tableColumn id="13167" name="Column13146" dataDxfId="3266" dataCellStyle="Normal"/>
    <tableColumn id="13168" name="Column13147" dataDxfId="3265" dataCellStyle="Normal"/>
    <tableColumn id="13169" name="Column13148" dataDxfId="3264" dataCellStyle="Normal"/>
    <tableColumn id="13170" name="Column13149" dataDxfId="3263" dataCellStyle="Normal"/>
    <tableColumn id="13171" name="Column13150" dataDxfId="3262" dataCellStyle="Normal"/>
    <tableColumn id="13172" name="Column13151" dataDxfId="3261" dataCellStyle="Normal"/>
    <tableColumn id="13173" name="Column13152" dataDxfId="3260" dataCellStyle="Normal"/>
    <tableColumn id="13174" name="Column13153" dataDxfId="3259" dataCellStyle="Normal"/>
    <tableColumn id="13175" name="Column13154" dataDxfId="3258" dataCellStyle="Normal"/>
    <tableColumn id="13176" name="Column13155" dataDxfId="3257" dataCellStyle="Normal"/>
    <tableColumn id="13177" name="Column13156" dataDxfId="3256" dataCellStyle="Normal"/>
    <tableColumn id="13178" name="Column13157" dataDxfId="3255" dataCellStyle="Normal"/>
    <tableColumn id="13179" name="Column13158" dataDxfId="3254" dataCellStyle="Normal"/>
    <tableColumn id="13180" name="Column13159" dataDxfId="3253" dataCellStyle="Normal"/>
    <tableColumn id="13181" name="Column13160" dataDxfId="3252" dataCellStyle="Normal"/>
    <tableColumn id="13182" name="Column13161" dataDxfId="3251" dataCellStyle="Normal"/>
    <tableColumn id="13183" name="Column13162" dataDxfId="3250" dataCellStyle="Normal"/>
    <tableColumn id="13184" name="Column13163" dataDxfId="3249" dataCellStyle="Normal"/>
    <tableColumn id="13185" name="Column13164" dataDxfId="3248" dataCellStyle="Normal"/>
    <tableColumn id="13186" name="Column13165" dataDxfId="3247" dataCellStyle="Normal"/>
    <tableColumn id="13187" name="Column13166" dataDxfId="3246" dataCellStyle="Normal"/>
    <tableColumn id="13188" name="Column13167" dataDxfId="3245" dataCellStyle="Normal"/>
    <tableColumn id="13189" name="Column13168" dataDxfId="3244" dataCellStyle="Normal"/>
    <tableColumn id="13190" name="Column13169" dataDxfId="3243" dataCellStyle="Normal"/>
    <tableColumn id="13191" name="Column13170" dataDxfId="3242" dataCellStyle="Normal"/>
    <tableColumn id="13192" name="Column13171" dataDxfId="3241" dataCellStyle="Normal"/>
    <tableColumn id="13193" name="Column13172" dataDxfId="3240" dataCellStyle="Normal"/>
    <tableColumn id="13194" name="Column13173" dataDxfId="3239" dataCellStyle="Normal"/>
    <tableColumn id="13195" name="Column13174" dataDxfId="3238" dataCellStyle="Normal"/>
    <tableColumn id="13196" name="Column13175" dataDxfId="3237" dataCellStyle="Normal"/>
    <tableColumn id="13197" name="Column13176" dataDxfId="3236" dataCellStyle="Normal"/>
    <tableColumn id="13198" name="Column13177" dataDxfId="3235" dataCellStyle="Normal"/>
    <tableColumn id="13199" name="Column13178" dataDxfId="3234" dataCellStyle="Normal"/>
    <tableColumn id="13200" name="Column13179" dataDxfId="3233" dataCellStyle="Normal"/>
    <tableColumn id="13201" name="Column13180" dataDxfId="3232" dataCellStyle="Normal"/>
    <tableColumn id="13202" name="Column13181" dataDxfId="3231" dataCellStyle="Normal"/>
    <tableColumn id="13203" name="Column13182" dataDxfId="3230" dataCellStyle="Normal"/>
    <tableColumn id="13204" name="Column13183" dataDxfId="3229" dataCellStyle="Normal"/>
    <tableColumn id="13205" name="Column13184" dataDxfId="3228" dataCellStyle="Normal"/>
    <tableColumn id="13206" name="Column13185" dataDxfId="3227" dataCellStyle="Normal"/>
    <tableColumn id="13207" name="Column13186" dataDxfId="3226" dataCellStyle="Normal"/>
    <tableColumn id="13208" name="Column13187" dataDxfId="3225" dataCellStyle="Normal"/>
    <tableColumn id="13209" name="Column13188" dataDxfId="3224" dataCellStyle="Normal"/>
    <tableColumn id="13210" name="Column13189" dataDxfId="3223" dataCellStyle="Normal"/>
    <tableColumn id="13211" name="Column13190" dataDxfId="3222" dataCellStyle="Normal"/>
    <tableColumn id="13212" name="Column13191" dataDxfId="3221" dataCellStyle="Normal"/>
    <tableColumn id="13213" name="Column13192" dataDxfId="3220" dataCellStyle="Normal"/>
    <tableColumn id="13214" name="Column13193" dataDxfId="3219" dataCellStyle="Normal"/>
    <tableColumn id="13215" name="Column13194" dataDxfId="3218" dataCellStyle="Normal"/>
    <tableColumn id="13216" name="Column13195" dataDxfId="3217" dataCellStyle="Normal"/>
    <tableColumn id="13217" name="Column13196" dataDxfId="3216" dataCellStyle="Normal"/>
    <tableColumn id="13218" name="Column13197" dataDxfId="3215" dataCellStyle="Normal"/>
    <tableColumn id="13219" name="Column13198" dataDxfId="3214" dataCellStyle="Normal"/>
    <tableColumn id="13220" name="Column13199" dataDxfId="3213" dataCellStyle="Normal"/>
    <tableColumn id="13221" name="Column13200" dataDxfId="3212" dataCellStyle="Normal"/>
    <tableColumn id="13222" name="Column13201" dataDxfId="3211" dataCellStyle="Normal"/>
    <tableColumn id="13223" name="Column13202" dataDxfId="3210" dataCellStyle="Normal"/>
    <tableColumn id="13224" name="Column13203" dataDxfId="3209" dataCellStyle="Normal"/>
    <tableColumn id="13225" name="Column13204" dataDxfId="3208" dataCellStyle="Normal"/>
    <tableColumn id="13226" name="Column13205" dataDxfId="3207" dataCellStyle="Normal"/>
    <tableColumn id="13227" name="Column13206" dataDxfId="3206" dataCellStyle="Normal"/>
    <tableColumn id="13228" name="Column13207" dataDxfId="3205" dataCellStyle="Normal"/>
    <tableColumn id="13229" name="Column13208" dataDxfId="3204" dataCellStyle="Normal"/>
    <tableColumn id="13230" name="Column13209" dataDxfId="3203" dataCellStyle="Normal"/>
    <tableColumn id="13231" name="Column13210" dataDxfId="3202" dataCellStyle="Normal"/>
    <tableColumn id="13232" name="Column13211" dataDxfId="3201" dataCellStyle="Normal"/>
    <tableColumn id="13233" name="Column13212" dataDxfId="3200" dataCellStyle="Normal"/>
    <tableColumn id="13234" name="Column13213" dataDxfId="3199" dataCellStyle="Normal"/>
    <tableColumn id="13235" name="Column13214" dataDxfId="3198" dataCellStyle="Normal"/>
    <tableColumn id="13236" name="Column13215" dataDxfId="3197" dataCellStyle="Normal"/>
    <tableColumn id="13237" name="Column13216" dataDxfId="3196" dataCellStyle="Normal"/>
    <tableColumn id="13238" name="Column13217" dataDxfId="3195" dataCellStyle="Normal"/>
    <tableColumn id="13239" name="Column13218" dataDxfId="3194" dataCellStyle="Normal"/>
    <tableColumn id="13240" name="Column13219" dataDxfId="3193" dataCellStyle="Normal"/>
    <tableColumn id="13241" name="Column13220" dataDxfId="3192" dataCellStyle="Normal"/>
    <tableColumn id="13242" name="Column13221" dataDxfId="3191" dataCellStyle="Normal"/>
    <tableColumn id="13243" name="Column13222" dataDxfId="3190" dataCellStyle="Normal"/>
    <tableColumn id="13244" name="Column13223" dataDxfId="3189" dataCellStyle="Normal"/>
    <tableColumn id="13245" name="Column13224" dataDxfId="3188" dataCellStyle="Normal"/>
    <tableColumn id="13246" name="Column13225" dataDxfId="3187" dataCellStyle="Normal"/>
    <tableColumn id="13247" name="Column13226" dataDxfId="3186" dataCellStyle="Normal"/>
    <tableColumn id="13248" name="Column13227" dataDxfId="3185" dataCellStyle="Normal"/>
    <tableColumn id="13249" name="Column13228" dataDxfId="3184" dataCellStyle="Normal"/>
    <tableColumn id="13250" name="Column13229" dataDxfId="3183" dataCellStyle="Normal"/>
    <tableColumn id="13251" name="Column13230" dataDxfId="3182" dataCellStyle="Normal"/>
    <tableColumn id="13252" name="Column13231" dataDxfId="3181" dataCellStyle="Normal"/>
    <tableColumn id="13253" name="Column13232" dataDxfId="3180" dataCellStyle="Normal"/>
    <tableColumn id="13254" name="Column13233" dataDxfId="3179" dataCellStyle="Normal"/>
    <tableColumn id="13255" name="Column13234" dataDxfId="3178" dataCellStyle="Normal"/>
    <tableColumn id="13256" name="Column13235" dataDxfId="3177" dataCellStyle="Normal"/>
    <tableColumn id="13257" name="Column13236" dataDxfId="3176" dataCellStyle="Normal"/>
    <tableColumn id="13258" name="Column13237" dataDxfId="3175" dataCellStyle="Normal"/>
    <tableColumn id="13259" name="Column13238" dataDxfId="3174" dataCellStyle="Normal"/>
    <tableColumn id="13260" name="Column13239" dataDxfId="3173" dataCellStyle="Normal"/>
    <tableColumn id="13261" name="Column13240" dataDxfId="3172" dataCellStyle="Normal"/>
    <tableColumn id="13262" name="Column13241" dataDxfId="3171" dataCellStyle="Normal"/>
    <tableColumn id="13263" name="Column13242" dataDxfId="3170" dataCellStyle="Normal"/>
    <tableColumn id="13264" name="Column13243" dataDxfId="3169" dataCellStyle="Normal"/>
    <tableColumn id="13265" name="Column13244" dataDxfId="3168" dataCellStyle="Normal"/>
    <tableColumn id="13266" name="Column13245" dataDxfId="3167" dataCellStyle="Normal"/>
    <tableColumn id="13267" name="Column13246" dataDxfId="3166" dataCellStyle="Normal"/>
    <tableColumn id="13268" name="Column13247" dataDxfId="3165" dataCellStyle="Normal"/>
    <tableColumn id="13269" name="Column13248" dataDxfId="3164" dataCellStyle="Normal"/>
    <tableColumn id="13270" name="Column13249" dataDxfId="3163" dataCellStyle="Normal"/>
    <tableColumn id="13271" name="Column13250" dataDxfId="3162" dataCellStyle="Normal"/>
    <tableColumn id="13272" name="Column13251" dataDxfId="3161" dataCellStyle="Normal"/>
    <tableColumn id="13273" name="Column13252" dataDxfId="3160" dataCellStyle="Normal"/>
    <tableColumn id="13274" name="Column13253" dataDxfId="3159" dataCellStyle="Normal"/>
    <tableColumn id="13275" name="Column13254" dataDxfId="3158" dataCellStyle="Normal"/>
    <tableColumn id="13276" name="Column13255" dataDxfId="3157" dataCellStyle="Normal"/>
    <tableColumn id="13277" name="Column13256" dataDxfId="3156" dataCellStyle="Normal"/>
    <tableColumn id="13278" name="Column13257" dataDxfId="3155" dataCellStyle="Normal"/>
    <tableColumn id="13279" name="Column13258" dataDxfId="3154" dataCellStyle="Normal"/>
    <tableColumn id="13280" name="Column13259" dataDxfId="3153" dataCellStyle="Normal"/>
    <tableColumn id="13281" name="Column13260" dataDxfId="3152" dataCellStyle="Normal"/>
    <tableColumn id="13282" name="Column13261" dataDxfId="3151" dataCellStyle="Normal"/>
    <tableColumn id="13283" name="Column13262" dataDxfId="3150" dataCellStyle="Normal"/>
    <tableColumn id="13284" name="Column13263" dataDxfId="3149" dataCellStyle="Normal"/>
    <tableColumn id="13285" name="Column13264" dataDxfId="3148" dataCellStyle="Normal"/>
    <tableColumn id="13286" name="Column13265" dataDxfId="3147" dataCellStyle="Normal"/>
    <tableColumn id="13287" name="Column13266" dataDxfId="3146" dataCellStyle="Normal"/>
    <tableColumn id="13288" name="Column13267" dataDxfId="3145" dataCellStyle="Normal"/>
    <tableColumn id="13289" name="Column13268" dataDxfId="3144" dataCellStyle="Normal"/>
    <tableColumn id="13290" name="Column13269" dataDxfId="3143" dataCellStyle="Normal"/>
    <tableColumn id="13291" name="Column13270" dataDxfId="3142" dataCellStyle="Normal"/>
    <tableColumn id="13292" name="Column13271" dataDxfId="3141" dataCellStyle="Normal"/>
    <tableColumn id="13293" name="Column13272" dataDxfId="3140" dataCellStyle="Normal"/>
    <tableColumn id="13294" name="Column13273" dataDxfId="3139" dataCellStyle="Normal"/>
    <tableColumn id="13295" name="Column13274" dataDxfId="3138" dataCellStyle="Normal"/>
    <tableColumn id="13296" name="Column13275" dataDxfId="3137" dataCellStyle="Normal"/>
    <tableColumn id="13297" name="Column13276" dataDxfId="3136" dataCellStyle="Normal"/>
    <tableColumn id="13298" name="Column13277" dataDxfId="3135" dataCellStyle="Normal"/>
    <tableColumn id="13299" name="Column13278" dataDxfId="3134" dataCellStyle="Normal"/>
    <tableColumn id="13300" name="Column13279" dataDxfId="3133" dataCellStyle="Normal"/>
    <tableColumn id="13301" name="Column13280" dataDxfId="3132" dataCellStyle="Normal"/>
    <tableColumn id="13302" name="Column13281" dataDxfId="3131" dataCellStyle="Normal"/>
    <tableColumn id="13303" name="Column13282" dataDxfId="3130" dataCellStyle="Normal"/>
    <tableColumn id="13304" name="Column13283" dataDxfId="3129" dataCellStyle="Normal"/>
    <tableColumn id="13305" name="Column13284" dataDxfId="3128" dataCellStyle="Normal"/>
    <tableColumn id="13306" name="Column13285" dataDxfId="3127" dataCellStyle="Normal"/>
    <tableColumn id="13307" name="Column13286" dataDxfId="3126" dataCellStyle="Normal"/>
    <tableColumn id="13308" name="Column13287" dataDxfId="3125" dataCellStyle="Normal"/>
    <tableColumn id="13309" name="Column13288" dataDxfId="3124" dataCellStyle="Normal"/>
    <tableColumn id="13310" name="Column13289" dataDxfId="3123" dataCellStyle="Normal"/>
    <tableColumn id="13311" name="Column13290" dataDxfId="3122" dataCellStyle="Normal"/>
    <tableColumn id="13312" name="Column13291" dataDxfId="3121" dataCellStyle="Normal"/>
    <tableColumn id="13313" name="Column13292" dataDxfId="3120" dataCellStyle="Normal"/>
    <tableColumn id="13314" name="Column13293" dataDxfId="3119" dataCellStyle="Normal"/>
    <tableColumn id="13315" name="Column13294" dataDxfId="3118" dataCellStyle="Normal"/>
    <tableColumn id="13316" name="Column13295" dataDxfId="3117" dataCellStyle="Normal"/>
    <tableColumn id="13317" name="Column13296" dataDxfId="3116" dataCellStyle="Normal"/>
    <tableColumn id="13318" name="Column13297" dataDxfId="3115" dataCellStyle="Normal"/>
    <tableColumn id="13319" name="Column13298" dataDxfId="3114" dataCellStyle="Normal"/>
    <tableColumn id="13320" name="Column13299" dataDxfId="3113" dataCellStyle="Normal"/>
    <tableColumn id="13321" name="Column13300" dataDxfId="3112" dataCellStyle="Normal"/>
    <tableColumn id="13322" name="Column13301" dataDxfId="3111" dataCellStyle="Normal"/>
    <tableColumn id="13323" name="Column13302" dataDxfId="3110" dataCellStyle="Normal"/>
    <tableColumn id="13324" name="Column13303" dataDxfId="3109" dataCellStyle="Normal"/>
    <tableColumn id="13325" name="Column13304" dataDxfId="3108" dataCellStyle="Normal"/>
    <tableColumn id="13326" name="Column13305" dataDxfId="3107" dataCellStyle="Normal"/>
    <tableColumn id="13327" name="Column13306" dataDxfId="3106" dataCellStyle="Normal"/>
    <tableColumn id="13328" name="Column13307" dataDxfId="3105" dataCellStyle="Normal"/>
    <tableColumn id="13329" name="Column13308" dataDxfId="3104" dataCellStyle="Normal"/>
    <tableColumn id="13330" name="Column13309" dataDxfId="3103" dataCellStyle="Normal"/>
    <tableColumn id="13331" name="Column13310" dataDxfId="3102" dataCellStyle="Normal"/>
    <tableColumn id="13332" name="Column13311" dataDxfId="3101" dataCellStyle="Normal"/>
    <tableColumn id="13333" name="Column13312" dataDxfId="3100" dataCellStyle="Normal"/>
    <tableColumn id="13334" name="Column13313" dataDxfId="3099" dataCellStyle="Normal"/>
    <tableColumn id="13335" name="Column13314" dataDxfId="3098" dataCellStyle="Normal"/>
    <tableColumn id="13336" name="Column13315" dataDxfId="3097" dataCellStyle="Normal"/>
    <tableColumn id="13337" name="Column13316" dataDxfId="3096" dataCellStyle="Normal"/>
    <tableColumn id="13338" name="Column13317" dataDxfId="3095" dataCellStyle="Normal"/>
    <tableColumn id="13339" name="Column13318" dataDxfId="3094" dataCellStyle="Normal"/>
    <tableColumn id="13340" name="Column13319" dataDxfId="3093" dataCellStyle="Normal"/>
    <tableColumn id="13341" name="Column13320" dataDxfId="3092" dataCellStyle="Normal"/>
    <tableColumn id="13342" name="Column13321" dataDxfId="3091" dataCellStyle="Normal"/>
    <tableColumn id="13343" name="Column13322" dataDxfId="3090" dataCellStyle="Normal"/>
    <tableColumn id="13344" name="Column13323" dataDxfId="3089" dataCellStyle="Normal"/>
    <tableColumn id="13345" name="Column13324" dataDxfId="3088" dataCellStyle="Normal"/>
    <tableColumn id="13346" name="Column13325" dataDxfId="3087" dataCellStyle="Normal"/>
    <tableColumn id="13347" name="Column13326" dataDxfId="3086" dataCellStyle="Normal"/>
    <tableColumn id="13348" name="Column13327" dataDxfId="3085" dataCellStyle="Normal"/>
    <tableColumn id="13349" name="Column13328" dataDxfId="3084" dataCellStyle="Normal"/>
    <tableColumn id="13350" name="Column13329" dataDxfId="3083" dataCellStyle="Normal"/>
    <tableColumn id="13351" name="Column13330" dataDxfId="3082" dataCellStyle="Normal"/>
    <tableColumn id="13352" name="Column13331" dataDxfId="3081" dataCellStyle="Normal"/>
    <tableColumn id="13353" name="Column13332" dataDxfId="3080" dataCellStyle="Normal"/>
    <tableColumn id="13354" name="Column13333" dataDxfId="3079" dataCellStyle="Normal"/>
    <tableColumn id="13355" name="Column13334" dataDxfId="3078" dataCellStyle="Normal"/>
    <tableColumn id="13356" name="Column13335" dataDxfId="3077" dataCellStyle="Normal"/>
    <tableColumn id="13357" name="Column13336" dataDxfId="3076" dataCellStyle="Normal"/>
    <tableColumn id="13358" name="Column13337" dataDxfId="3075" dataCellStyle="Normal"/>
    <tableColumn id="13359" name="Column13338" dataDxfId="3074" dataCellStyle="Normal"/>
    <tableColumn id="13360" name="Column13339" dataDxfId="3073" dataCellStyle="Normal"/>
    <tableColumn id="13361" name="Column13340" dataDxfId="3072" dataCellStyle="Normal"/>
    <tableColumn id="13362" name="Column13341" dataDxfId="3071" dataCellStyle="Normal"/>
    <tableColumn id="13363" name="Column13342" dataDxfId="3070" dataCellStyle="Normal"/>
    <tableColumn id="13364" name="Column13343" dataDxfId="3069" dataCellStyle="Normal"/>
    <tableColumn id="13365" name="Column13344" dataDxfId="3068" dataCellStyle="Normal"/>
    <tableColumn id="13366" name="Column13345" dataDxfId="3067" dataCellStyle="Normal"/>
    <tableColumn id="13367" name="Column13346" dataDxfId="3066" dataCellStyle="Normal"/>
    <tableColumn id="13368" name="Column13347" dataDxfId="3065" dataCellStyle="Normal"/>
    <tableColumn id="13369" name="Column13348" dataDxfId="3064" dataCellStyle="Normal"/>
    <tableColumn id="13370" name="Column13349" dataDxfId="3063" dataCellStyle="Normal"/>
    <tableColumn id="13371" name="Column13350" dataDxfId="3062" dataCellStyle="Normal"/>
    <tableColumn id="13372" name="Column13351" dataDxfId="3061" dataCellStyle="Normal"/>
    <tableColumn id="13373" name="Column13352" dataDxfId="3060" dataCellStyle="Normal"/>
    <tableColumn id="13374" name="Column13353" dataDxfId="3059" dataCellStyle="Normal"/>
    <tableColumn id="13375" name="Column13354" dataDxfId="3058" dataCellStyle="Normal"/>
    <tableColumn id="13376" name="Column13355" dataDxfId="3057" dataCellStyle="Normal"/>
    <tableColumn id="13377" name="Column13356" dataDxfId="3056" dataCellStyle="Normal"/>
    <tableColumn id="13378" name="Column13357" dataDxfId="3055" dataCellStyle="Normal"/>
    <tableColumn id="13379" name="Column13358" dataDxfId="3054" dataCellStyle="Normal"/>
    <tableColumn id="13380" name="Column13359" dataDxfId="3053" dataCellStyle="Normal"/>
    <tableColumn id="13381" name="Column13360" dataDxfId="3052" dataCellStyle="Normal"/>
    <tableColumn id="13382" name="Column13361" dataDxfId="3051" dataCellStyle="Normal"/>
    <tableColumn id="13383" name="Column13362" dataDxfId="3050" dataCellStyle="Normal"/>
    <tableColumn id="13384" name="Column13363" dataDxfId="3049" dataCellStyle="Normal"/>
    <tableColumn id="13385" name="Column13364" dataDxfId="3048" dataCellStyle="Normal"/>
    <tableColumn id="13386" name="Column13365" dataDxfId="3047" dataCellStyle="Normal"/>
    <tableColumn id="13387" name="Column13366" dataDxfId="3046" dataCellStyle="Normal"/>
    <tableColumn id="13388" name="Column13367" dataDxfId="3045" dataCellStyle="Normal"/>
    <tableColumn id="13389" name="Column13368" dataDxfId="3044" dataCellStyle="Normal"/>
    <tableColumn id="13390" name="Column13369" dataDxfId="3043" dataCellStyle="Normal"/>
    <tableColumn id="13391" name="Column13370" dataDxfId="3042" dataCellStyle="Normal"/>
    <tableColumn id="13392" name="Column13371" dataDxfId="3041" dataCellStyle="Normal"/>
    <tableColumn id="13393" name="Column13372" dataDxfId="3040" dataCellStyle="Normal"/>
    <tableColumn id="13394" name="Column13373" dataDxfId="3039" dataCellStyle="Normal"/>
    <tableColumn id="13395" name="Column13374" dataDxfId="3038" dataCellStyle="Normal"/>
    <tableColumn id="13396" name="Column13375" dataDxfId="3037" dataCellStyle="Normal"/>
    <tableColumn id="13397" name="Column13376" dataDxfId="3036" dataCellStyle="Normal"/>
    <tableColumn id="13398" name="Column13377" dataDxfId="3035" dataCellStyle="Normal"/>
    <tableColumn id="13399" name="Column13378" dataDxfId="3034" dataCellStyle="Normal"/>
    <tableColumn id="13400" name="Column13379" dataDxfId="3033" dataCellStyle="Normal"/>
    <tableColumn id="13401" name="Column13380" dataDxfId="3032" dataCellStyle="Normal"/>
    <tableColumn id="13402" name="Column13381" dataDxfId="3031" dataCellStyle="Normal"/>
    <tableColumn id="13403" name="Column13382" dataDxfId="3030" dataCellStyle="Normal"/>
    <tableColumn id="13404" name="Column13383" dataDxfId="3029" dataCellStyle="Normal"/>
    <tableColumn id="13405" name="Column13384" dataDxfId="3028" dataCellStyle="Normal"/>
    <tableColumn id="13406" name="Column13385" dataDxfId="3027" dataCellStyle="Normal"/>
    <tableColumn id="13407" name="Column13386" dataDxfId="3026" dataCellStyle="Normal"/>
    <tableColumn id="13408" name="Column13387" dataDxfId="3025" dataCellStyle="Normal"/>
    <tableColumn id="13409" name="Column13388" dataDxfId="3024" dataCellStyle="Normal"/>
    <tableColumn id="13410" name="Column13389" dataDxfId="3023" dataCellStyle="Normal"/>
    <tableColumn id="13411" name="Column13390" dataDxfId="3022" dataCellStyle="Normal"/>
    <tableColumn id="13412" name="Column13391" dataDxfId="3021" dataCellStyle="Normal"/>
    <tableColumn id="13413" name="Column13392" dataDxfId="3020" dataCellStyle="Normal"/>
    <tableColumn id="13414" name="Column13393" dataDxfId="3019" dataCellStyle="Normal"/>
    <tableColumn id="13415" name="Column13394" dataDxfId="3018" dataCellStyle="Normal"/>
    <tableColumn id="13416" name="Column13395" dataDxfId="3017" dataCellStyle="Normal"/>
    <tableColumn id="13417" name="Column13396" dataDxfId="3016" dataCellStyle="Normal"/>
    <tableColumn id="13418" name="Column13397" dataDxfId="3015" dataCellStyle="Normal"/>
    <tableColumn id="13419" name="Column13398" dataDxfId="3014" dataCellStyle="Normal"/>
    <tableColumn id="13420" name="Column13399" dataDxfId="3013" dataCellStyle="Normal"/>
    <tableColumn id="13421" name="Column13400" dataDxfId="3012" dataCellStyle="Normal"/>
    <tableColumn id="13422" name="Column13401" dataDxfId="3011" dataCellStyle="Normal"/>
    <tableColumn id="13423" name="Column13402" dataDxfId="3010" dataCellStyle="Normal"/>
    <tableColumn id="13424" name="Column13403" dataDxfId="3009" dataCellStyle="Normal"/>
    <tableColumn id="13425" name="Column13404" dataDxfId="3008" dataCellStyle="Normal"/>
    <tableColumn id="13426" name="Column13405" dataDxfId="3007" dataCellStyle="Normal"/>
    <tableColumn id="13427" name="Column13406" dataDxfId="3006" dataCellStyle="Normal"/>
    <tableColumn id="13428" name="Column13407" dataDxfId="3005" dataCellStyle="Normal"/>
    <tableColumn id="13429" name="Column13408" dataDxfId="3004" dataCellStyle="Normal"/>
    <tableColumn id="13430" name="Column13409" dataDxfId="3003" dataCellStyle="Normal"/>
    <tableColumn id="13431" name="Column13410" dataDxfId="3002" dataCellStyle="Normal"/>
    <tableColumn id="13432" name="Column13411" dataDxfId="3001" dataCellStyle="Normal"/>
    <tableColumn id="13433" name="Column13412" dataDxfId="3000" dataCellStyle="Normal"/>
    <tableColumn id="13434" name="Column13413" dataDxfId="2999" dataCellStyle="Normal"/>
    <tableColumn id="13435" name="Column13414" dataDxfId="2998" dataCellStyle="Normal"/>
    <tableColumn id="13436" name="Column13415" dataDxfId="2997" dataCellStyle="Normal"/>
    <tableColumn id="13437" name="Column13416" dataDxfId="2996" dataCellStyle="Normal"/>
    <tableColumn id="13438" name="Column13417" dataDxfId="2995" dataCellStyle="Normal"/>
    <tableColumn id="13439" name="Column13418" dataDxfId="2994" dataCellStyle="Normal"/>
    <tableColumn id="13440" name="Column13419" dataDxfId="2993" dataCellStyle="Normal"/>
    <tableColumn id="13441" name="Column13420" dataDxfId="2992" dataCellStyle="Normal"/>
    <tableColumn id="13442" name="Column13421" dataDxfId="2991" dataCellStyle="Normal"/>
    <tableColumn id="13443" name="Column13422" dataDxfId="2990" dataCellStyle="Normal"/>
    <tableColumn id="13444" name="Column13423" dataDxfId="2989" dataCellStyle="Normal"/>
    <tableColumn id="13445" name="Column13424" dataDxfId="2988" dataCellStyle="Normal"/>
    <tableColumn id="13446" name="Column13425" dataDxfId="2987" dataCellStyle="Normal"/>
    <tableColumn id="13447" name="Column13426" dataDxfId="2986" dataCellStyle="Normal"/>
    <tableColumn id="13448" name="Column13427" dataDxfId="2985" dataCellStyle="Normal"/>
    <tableColumn id="13449" name="Column13428" dataDxfId="2984" dataCellStyle="Normal"/>
    <tableColumn id="13450" name="Column13429" dataDxfId="2983" dataCellStyle="Normal"/>
    <tableColumn id="13451" name="Column13430" dataDxfId="2982" dataCellStyle="Normal"/>
    <tableColumn id="13452" name="Column13431" dataDxfId="2981" dataCellStyle="Normal"/>
    <tableColumn id="13453" name="Column13432" dataDxfId="2980" dataCellStyle="Normal"/>
    <tableColumn id="13454" name="Column13433" dataDxfId="2979" dataCellStyle="Normal"/>
    <tableColumn id="13455" name="Column13434" dataDxfId="2978" dataCellStyle="Normal"/>
    <tableColumn id="13456" name="Column13435" dataDxfId="2977" dataCellStyle="Normal"/>
    <tableColumn id="13457" name="Column13436" dataDxfId="2976" dataCellStyle="Normal"/>
    <tableColumn id="13458" name="Column13437" dataDxfId="2975" dataCellStyle="Normal"/>
    <tableColumn id="13459" name="Column13438" dataDxfId="2974" dataCellStyle="Normal"/>
    <tableColumn id="13460" name="Column13439" dataDxfId="2973" dataCellStyle="Normal"/>
    <tableColumn id="13461" name="Column13440" dataDxfId="2972" dataCellStyle="Normal"/>
    <tableColumn id="13462" name="Column13441" dataDxfId="2971" dataCellStyle="Normal"/>
    <tableColumn id="13463" name="Column13442" dataDxfId="2970" dataCellStyle="Normal"/>
    <tableColumn id="13464" name="Column13443" dataDxfId="2969" dataCellStyle="Normal"/>
    <tableColumn id="13465" name="Column13444" dataDxfId="2968" dataCellStyle="Normal"/>
    <tableColumn id="13466" name="Column13445" dataDxfId="2967" dataCellStyle="Normal"/>
    <tableColumn id="13467" name="Column13446" dataDxfId="2966" dataCellStyle="Normal"/>
    <tableColumn id="13468" name="Column13447" dataDxfId="2965" dataCellStyle="Normal"/>
    <tableColumn id="13469" name="Column13448" dataDxfId="2964" dataCellStyle="Normal"/>
    <tableColumn id="13470" name="Column13449" dataDxfId="2963" dataCellStyle="Normal"/>
    <tableColumn id="13471" name="Column13450" dataDxfId="2962" dataCellStyle="Normal"/>
    <tableColumn id="13472" name="Column13451" dataDxfId="2961" dataCellStyle="Normal"/>
    <tableColumn id="13473" name="Column13452" dataDxfId="2960" dataCellStyle="Normal"/>
    <tableColumn id="13474" name="Column13453" dataDxfId="2959" dataCellStyle="Normal"/>
    <tableColumn id="13475" name="Column13454" dataDxfId="2958" dataCellStyle="Normal"/>
    <tableColumn id="13476" name="Column13455" dataDxfId="2957" dataCellStyle="Normal"/>
    <tableColumn id="13477" name="Column13456" dataDxfId="2956" dataCellStyle="Normal"/>
    <tableColumn id="13478" name="Column13457" dataDxfId="2955" dataCellStyle="Normal"/>
    <tableColumn id="13479" name="Column13458" dataDxfId="2954" dataCellStyle="Normal"/>
    <tableColumn id="13480" name="Column13459" dataDxfId="2953" dataCellStyle="Normal"/>
    <tableColumn id="13481" name="Column13460" dataDxfId="2952" dataCellStyle="Normal"/>
    <tableColumn id="13482" name="Column13461" dataDxfId="2951" dataCellStyle="Normal"/>
    <tableColumn id="13483" name="Column13462" dataDxfId="2950" dataCellStyle="Normal"/>
    <tableColumn id="13484" name="Column13463" dataDxfId="2949" dataCellStyle="Normal"/>
    <tableColumn id="13485" name="Column13464" dataDxfId="2948" dataCellStyle="Normal"/>
    <tableColumn id="13486" name="Column13465" dataDxfId="2947" dataCellStyle="Normal"/>
    <tableColumn id="13487" name="Column13466" dataDxfId="2946" dataCellStyle="Normal"/>
    <tableColumn id="13488" name="Column13467" dataDxfId="2945" dataCellStyle="Normal"/>
    <tableColumn id="13489" name="Column13468" dataDxfId="2944" dataCellStyle="Normal"/>
    <tableColumn id="13490" name="Column13469" dataDxfId="2943" dataCellStyle="Normal"/>
    <tableColumn id="13491" name="Column13470" dataDxfId="2942" dataCellStyle="Normal"/>
    <tableColumn id="13492" name="Column13471" dataDxfId="2941" dataCellStyle="Normal"/>
    <tableColumn id="13493" name="Column13472" dataDxfId="2940" dataCellStyle="Normal"/>
    <tableColumn id="13494" name="Column13473" dataDxfId="2939" dataCellStyle="Normal"/>
    <tableColumn id="13495" name="Column13474" dataDxfId="2938" dataCellStyle="Normal"/>
    <tableColumn id="13496" name="Column13475" dataDxfId="2937" dataCellStyle="Normal"/>
    <tableColumn id="13497" name="Column13476" dataDxfId="2936" dataCellStyle="Normal"/>
    <tableColumn id="13498" name="Column13477" dataDxfId="2935" dataCellStyle="Normal"/>
    <tableColumn id="13499" name="Column13478" dataDxfId="2934" dataCellStyle="Normal"/>
    <tableColumn id="13500" name="Column13479" dataDxfId="2933" dataCellStyle="Normal"/>
    <tableColumn id="13501" name="Column13480" dataDxfId="2932" dataCellStyle="Normal"/>
    <tableColumn id="13502" name="Column13481" dataDxfId="2931" dataCellStyle="Normal"/>
    <tableColumn id="13503" name="Column13482" dataDxfId="2930" dataCellStyle="Normal"/>
    <tableColumn id="13504" name="Column13483" dataDxfId="2929" dataCellStyle="Normal"/>
    <tableColumn id="13505" name="Column13484" dataDxfId="2928" dataCellStyle="Normal"/>
    <tableColumn id="13506" name="Column13485" dataDxfId="2927" dataCellStyle="Normal"/>
    <tableColumn id="13507" name="Column13486" dataDxfId="2926" dataCellStyle="Normal"/>
    <tableColumn id="13508" name="Column13487" dataDxfId="2925" dataCellStyle="Normal"/>
    <tableColumn id="13509" name="Column13488" dataDxfId="2924" dataCellStyle="Normal"/>
    <tableColumn id="13510" name="Column13489" dataDxfId="2923" dataCellStyle="Normal"/>
    <tableColumn id="13511" name="Column13490" dataDxfId="2922" dataCellStyle="Normal"/>
    <tableColumn id="13512" name="Column13491" dataDxfId="2921" dataCellStyle="Normal"/>
    <tableColumn id="13513" name="Column13492" dataDxfId="2920" dataCellStyle="Normal"/>
    <tableColumn id="13514" name="Column13493" dataDxfId="2919" dataCellStyle="Normal"/>
    <tableColumn id="13515" name="Column13494" dataDxfId="2918" dataCellStyle="Normal"/>
    <tableColumn id="13516" name="Column13495" dataDxfId="2917" dataCellStyle="Normal"/>
    <tableColumn id="13517" name="Column13496" dataDxfId="2916" dataCellStyle="Normal"/>
    <tableColumn id="13518" name="Column13497" dataDxfId="2915" dataCellStyle="Normal"/>
    <tableColumn id="13519" name="Column13498" dataDxfId="2914" dataCellStyle="Normal"/>
    <tableColumn id="13520" name="Column13499" dataDxfId="2913" dataCellStyle="Normal"/>
    <tableColumn id="13521" name="Column13500" dataDxfId="2912" dataCellStyle="Normal"/>
    <tableColumn id="13522" name="Column13501" dataDxfId="2911" dataCellStyle="Normal"/>
    <tableColumn id="13523" name="Column13502" dataDxfId="2910" dataCellStyle="Normal"/>
    <tableColumn id="13524" name="Column13503" dataDxfId="2909" dataCellStyle="Normal"/>
    <tableColumn id="13525" name="Column13504" dataDxfId="2908" dataCellStyle="Normal"/>
    <tableColumn id="13526" name="Column13505" dataDxfId="2907" dataCellStyle="Normal"/>
    <tableColumn id="13527" name="Column13506" dataDxfId="2906" dataCellStyle="Normal"/>
    <tableColumn id="13528" name="Column13507" dataDxfId="2905" dataCellStyle="Normal"/>
    <tableColumn id="13529" name="Column13508" dataDxfId="2904" dataCellStyle="Normal"/>
    <tableColumn id="13530" name="Column13509" dataDxfId="2903" dataCellStyle="Normal"/>
    <tableColumn id="13531" name="Column13510" dataDxfId="2902" dataCellStyle="Normal"/>
    <tableColumn id="13532" name="Column13511" dataDxfId="2901" dataCellStyle="Normal"/>
    <tableColumn id="13533" name="Column13512" dataDxfId="2900" dataCellStyle="Normal"/>
    <tableColumn id="13534" name="Column13513" dataDxfId="2899" dataCellStyle="Normal"/>
    <tableColumn id="13535" name="Column13514" dataDxfId="2898" dataCellStyle="Normal"/>
    <tableColumn id="13536" name="Column13515" dataDxfId="2897" dataCellStyle="Normal"/>
    <tableColumn id="13537" name="Column13516" dataDxfId="2896" dataCellStyle="Normal"/>
    <tableColumn id="13538" name="Column13517" dataDxfId="2895" dataCellStyle="Normal"/>
    <tableColumn id="13539" name="Column13518" dataDxfId="2894" dataCellStyle="Normal"/>
    <tableColumn id="13540" name="Column13519" dataDxfId="2893" dataCellStyle="Normal"/>
    <tableColumn id="13541" name="Column13520" dataDxfId="2892" dataCellStyle="Normal"/>
    <tableColumn id="13542" name="Column13521" dataDxfId="2891" dataCellStyle="Normal"/>
    <tableColumn id="13543" name="Column13522" dataDxfId="2890" dataCellStyle="Normal"/>
    <tableColumn id="13544" name="Column13523" dataDxfId="2889" dataCellStyle="Normal"/>
    <tableColumn id="13545" name="Column13524" dataDxfId="2888" dataCellStyle="Normal"/>
    <tableColumn id="13546" name="Column13525" dataDxfId="2887" dataCellStyle="Normal"/>
    <tableColumn id="13547" name="Column13526" dataDxfId="2886" dataCellStyle="Normal"/>
    <tableColumn id="13548" name="Column13527" dataDxfId="2885" dataCellStyle="Normal"/>
    <tableColumn id="13549" name="Column13528" dataDxfId="2884" dataCellStyle="Normal"/>
    <tableColumn id="13550" name="Column13529" dataDxfId="2883" dataCellStyle="Normal"/>
    <tableColumn id="13551" name="Column13530" dataDxfId="2882" dataCellStyle="Normal"/>
    <tableColumn id="13552" name="Column13531" dataDxfId="2881" dataCellStyle="Normal"/>
    <tableColumn id="13553" name="Column13532" dataDxfId="2880" dataCellStyle="Normal"/>
    <tableColumn id="13554" name="Column13533" dataDxfId="2879" dataCellStyle="Normal"/>
    <tableColumn id="13555" name="Column13534" dataDxfId="2878" dataCellStyle="Normal"/>
    <tableColumn id="13556" name="Column13535" dataDxfId="2877" dataCellStyle="Normal"/>
    <tableColumn id="13557" name="Column13536" dataDxfId="2876" dataCellStyle="Normal"/>
    <tableColumn id="13558" name="Column13537" dataDxfId="2875" dataCellStyle="Normal"/>
    <tableColumn id="13559" name="Column13538" dataDxfId="2874" dataCellStyle="Normal"/>
    <tableColumn id="13560" name="Column13539" dataDxfId="2873" dataCellStyle="Normal"/>
    <tableColumn id="13561" name="Column13540" dataDxfId="2872" dataCellStyle="Normal"/>
    <tableColumn id="13562" name="Column13541" dataDxfId="2871" dataCellStyle="Normal"/>
    <tableColumn id="13563" name="Column13542" dataDxfId="2870" dataCellStyle="Normal"/>
    <tableColumn id="13564" name="Column13543" dataDxfId="2869" dataCellStyle="Normal"/>
    <tableColumn id="13565" name="Column13544" dataDxfId="2868" dataCellStyle="Normal"/>
    <tableColumn id="13566" name="Column13545" dataDxfId="2867" dataCellStyle="Normal"/>
    <tableColumn id="13567" name="Column13546" dataDxfId="2866" dataCellStyle="Normal"/>
    <tableColumn id="13568" name="Column13547" dataDxfId="2865" dataCellStyle="Normal"/>
    <tableColumn id="13569" name="Column13548" dataDxfId="2864" dataCellStyle="Normal"/>
    <tableColumn id="13570" name="Column13549" dataDxfId="2863" dataCellStyle="Normal"/>
    <tableColumn id="13571" name="Column13550" dataDxfId="2862" dataCellStyle="Normal"/>
    <tableColumn id="13572" name="Column13551" dataDxfId="2861" dataCellStyle="Normal"/>
    <tableColumn id="13573" name="Column13552" dataDxfId="2860" dataCellStyle="Normal"/>
    <tableColumn id="13574" name="Column13553" dataDxfId="2859" dataCellStyle="Normal"/>
    <tableColumn id="13575" name="Column13554" dataDxfId="2858" dataCellStyle="Normal"/>
    <tableColumn id="13576" name="Column13555" dataDxfId="2857" dataCellStyle="Normal"/>
    <tableColumn id="13577" name="Column13556" dataDxfId="2856" dataCellStyle="Normal"/>
    <tableColumn id="13578" name="Column13557" dataDxfId="2855" dataCellStyle="Normal"/>
    <tableColumn id="13579" name="Column13558" dataDxfId="2854" dataCellStyle="Normal"/>
    <tableColumn id="13580" name="Column13559" dataDxfId="2853" dataCellStyle="Normal"/>
    <tableColumn id="13581" name="Column13560" dataDxfId="2852" dataCellStyle="Normal"/>
    <tableColumn id="13582" name="Column13561" dataDxfId="2851" dataCellStyle="Normal"/>
    <tableColumn id="13583" name="Column13562" dataDxfId="2850" dataCellStyle="Normal"/>
    <tableColumn id="13584" name="Column13563" dataDxfId="2849" dataCellStyle="Normal"/>
    <tableColumn id="13585" name="Column13564" dataDxfId="2848" dataCellStyle="Normal"/>
    <tableColumn id="13586" name="Column13565" dataDxfId="2847" dataCellStyle="Normal"/>
    <tableColumn id="13587" name="Column13566" dataDxfId="2846" dataCellStyle="Normal"/>
    <tableColumn id="13588" name="Column13567" dataDxfId="2845" dataCellStyle="Normal"/>
    <tableColumn id="13589" name="Column13568" dataDxfId="2844" dataCellStyle="Normal"/>
    <tableColumn id="13590" name="Column13569" dataDxfId="2843" dataCellStyle="Normal"/>
    <tableColumn id="13591" name="Column13570" dataDxfId="2842" dataCellStyle="Normal"/>
    <tableColumn id="13592" name="Column13571" dataDxfId="2841" dataCellStyle="Normal"/>
    <tableColumn id="13593" name="Column13572" dataDxfId="2840" dataCellStyle="Normal"/>
    <tableColumn id="13594" name="Column13573" dataDxfId="2839" dataCellStyle="Normal"/>
    <tableColumn id="13595" name="Column13574" dataDxfId="2838" dataCellStyle="Normal"/>
    <tableColumn id="13596" name="Column13575" dataDxfId="2837" dataCellStyle="Normal"/>
    <tableColumn id="13597" name="Column13576" dataDxfId="2836" dataCellStyle="Normal"/>
    <tableColumn id="13598" name="Column13577" dataDxfId="2835" dataCellStyle="Normal"/>
    <tableColumn id="13599" name="Column13578" dataDxfId="2834" dataCellStyle="Normal"/>
    <tableColumn id="13600" name="Column13579" dataDxfId="2833" dataCellStyle="Normal"/>
    <tableColumn id="13601" name="Column13580" dataDxfId="2832" dataCellStyle="Normal"/>
    <tableColumn id="13602" name="Column13581" dataDxfId="2831" dataCellStyle="Normal"/>
    <tableColumn id="13603" name="Column13582" dataDxfId="2830" dataCellStyle="Normal"/>
    <tableColumn id="13604" name="Column13583" dataDxfId="2829" dataCellStyle="Normal"/>
    <tableColumn id="13605" name="Column13584" dataDxfId="2828" dataCellStyle="Normal"/>
    <tableColumn id="13606" name="Column13585" dataDxfId="2827" dataCellStyle="Normal"/>
    <tableColumn id="13607" name="Column13586" dataDxfId="2826" dataCellStyle="Normal"/>
    <tableColumn id="13608" name="Column13587" dataDxfId="2825" dataCellStyle="Normal"/>
    <tableColumn id="13609" name="Column13588" dataDxfId="2824" dataCellStyle="Normal"/>
    <tableColumn id="13610" name="Column13589" dataDxfId="2823" dataCellStyle="Normal"/>
    <tableColumn id="13611" name="Column13590" dataDxfId="2822" dataCellStyle="Normal"/>
    <tableColumn id="13612" name="Column13591" dataDxfId="2821" dataCellStyle="Normal"/>
    <tableColumn id="13613" name="Column13592" dataDxfId="2820" dataCellStyle="Normal"/>
    <tableColumn id="13614" name="Column13593" dataDxfId="2819" dataCellStyle="Normal"/>
    <tableColumn id="13615" name="Column13594" dataDxfId="2818" dataCellStyle="Normal"/>
    <tableColumn id="13616" name="Column13595" dataDxfId="2817" dataCellStyle="Normal"/>
    <tableColumn id="13617" name="Column13596" dataDxfId="2816" dataCellStyle="Normal"/>
    <tableColumn id="13618" name="Column13597" dataDxfId="2815" dataCellStyle="Normal"/>
    <tableColumn id="13619" name="Column13598" dataDxfId="2814" dataCellStyle="Normal"/>
    <tableColumn id="13620" name="Column13599" dataDxfId="2813" dataCellStyle="Normal"/>
    <tableColumn id="13621" name="Column13600" dataDxfId="2812" dataCellStyle="Normal"/>
    <tableColumn id="13622" name="Column13601" dataDxfId="2811" dataCellStyle="Normal"/>
    <tableColumn id="13623" name="Column13602" dataDxfId="2810" dataCellStyle="Normal"/>
    <tableColumn id="13624" name="Column13603" dataDxfId="2809" dataCellStyle="Normal"/>
    <tableColumn id="13625" name="Column13604" dataDxfId="2808" dataCellStyle="Normal"/>
    <tableColumn id="13626" name="Column13605" dataDxfId="2807" dataCellStyle="Normal"/>
    <tableColumn id="13627" name="Column13606" dataDxfId="2806" dataCellStyle="Normal"/>
    <tableColumn id="13628" name="Column13607" dataDxfId="2805" dataCellStyle="Normal"/>
    <tableColumn id="13629" name="Column13608" dataDxfId="2804" dataCellStyle="Normal"/>
    <tableColumn id="13630" name="Column13609" dataDxfId="2803" dataCellStyle="Normal"/>
    <tableColumn id="13631" name="Column13610" dataDxfId="2802" dataCellStyle="Normal"/>
    <tableColumn id="13632" name="Column13611" dataDxfId="2801" dataCellStyle="Normal"/>
    <tableColumn id="13633" name="Column13612" dataDxfId="2800" dataCellStyle="Normal"/>
    <tableColumn id="13634" name="Column13613" dataDxfId="2799" dataCellStyle="Normal"/>
    <tableColumn id="13635" name="Column13614" dataDxfId="2798" dataCellStyle="Normal"/>
    <tableColumn id="13636" name="Column13615" dataDxfId="2797" dataCellStyle="Normal"/>
    <tableColumn id="13637" name="Column13616" dataDxfId="2796" dataCellStyle="Normal"/>
    <tableColumn id="13638" name="Column13617" dataDxfId="2795" dataCellStyle="Normal"/>
    <tableColumn id="13639" name="Column13618" dataDxfId="2794" dataCellStyle="Normal"/>
    <tableColumn id="13640" name="Column13619" dataDxfId="2793" dataCellStyle="Normal"/>
    <tableColumn id="13641" name="Column13620" dataDxfId="2792" dataCellStyle="Normal"/>
    <tableColumn id="13642" name="Column13621" dataDxfId="2791" dataCellStyle="Normal"/>
    <tableColumn id="13643" name="Column13622" dataDxfId="2790" dataCellStyle="Normal"/>
    <tableColumn id="13644" name="Column13623" dataDxfId="2789" dataCellStyle="Normal"/>
    <tableColumn id="13645" name="Column13624" dataDxfId="2788" dataCellStyle="Normal"/>
    <tableColumn id="13646" name="Column13625" dataDxfId="2787" dataCellStyle="Normal"/>
    <tableColumn id="13647" name="Column13626" dataDxfId="2786" dataCellStyle="Normal"/>
    <tableColumn id="13648" name="Column13627" dataDxfId="2785" dataCellStyle="Normal"/>
    <tableColumn id="13649" name="Column13628" dataDxfId="2784" dataCellStyle="Normal"/>
    <tableColumn id="13650" name="Column13629" dataDxfId="2783" dataCellStyle="Normal"/>
    <tableColumn id="13651" name="Column13630" dataDxfId="2782" dataCellStyle="Normal"/>
    <tableColumn id="13652" name="Column13631" dataDxfId="2781" dataCellStyle="Normal"/>
    <tableColumn id="13653" name="Column13632" dataDxfId="2780" dataCellStyle="Normal"/>
    <tableColumn id="13654" name="Column13633" dataDxfId="2779" dataCellStyle="Normal"/>
    <tableColumn id="13655" name="Column13634" dataDxfId="2778" dataCellStyle="Normal"/>
    <tableColumn id="13656" name="Column13635" dataDxfId="2777" dataCellStyle="Normal"/>
    <tableColumn id="13657" name="Column13636" dataDxfId="2776" dataCellStyle="Normal"/>
    <tableColumn id="13658" name="Column13637" dataDxfId="2775" dataCellStyle="Normal"/>
    <tableColumn id="13659" name="Column13638" dataDxfId="2774" dataCellStyle="Normal"/>
    <tableColumn id="13660" name="Column13639" dataDxfId="2773" dataCellStyle="Normal"/>
    <tableColumn id="13661" name="Column13640" dataDxfId="2772" dataCellStyle="Normal"/>
    <tableColumn id="13662" name="Column13641" dataDxfId="2771" dataCellStyle="Normal"/>
    <tableColumn id="13663" name="Column13642" dataDxfId="2770" dataCellStyle="Normal"/>
    <tableColumn id="13664" name="Column13643" dataDxfId="2769" dataCellStyle="Normal"/>
    <tableColumn id="13665" name="Column13644" dataDxfId="2768" dataCellStyle="Normal"/>
    <tableColumn id="13666" name="Column13645" dataDxfId="2767" dataCellStyle="Normal"/>
    <tableColumn id="13667" name="Column13646" dataDxfId="2766" dataCellStyle="Normal"/>
    <tableColumn id="13668" name="Column13647" dataDxfId="2765" dataCellStyle="Normal"/>
    <tableColumn id="13669" name="Column13648" dataDxfId="2764" dataCellStyle="Normal"/>
    <tableColumn id="13670" name="Column13649" dataDxfId="2763" dataCellStyle="Normal"/>
    <tableColumn id="13671" name="Column13650" dataDxfId="2762" dataCellStyle="Normal"/>
    <tableColumn id="13672" name="Column13651" dataDxfId="2761" dataCellStyle="Normal"/>
    <tableColumn id="13673" name="Column13652" dataDxfId="2760" dataCellStyle="Normal"/>
    <tableColumn id="13674" name="Column13653" dataDxfId="2759" dataCellStyle="Normal"/>
    <tableColumn id="13675" name="Column13654" dataDxfId="2758" dataCellStyle="Normal"/>
    <tableColumn id="13676" name="Column13655" dataDxfId="2757" dataCellStyle="Normal"/>
    <tableColumn id="13677" name="Column13656" dataDxfId="2756" dataCellStyle="Normal"/>
    <tableColumn id="13678" name="Column13657" dataDxfId="2755" dataCellStyle="Normal"/>
    <tableColumn id="13679" name="Column13658" dataDxfId="2754" dataCellStyle="Normal"/>
    <tableColumn id="13680" name="Column13659" dataDxfId="2753" dataCellStyle="Normal"/>
    <tableColumn id="13681" name="Column13660" dataDxfId="2752" dataCellStyle="Normal"/>
    <tableColumn id="13682" name="Column13661" dataDxfId="2751" dataCellStyle="Normal"/>
    <tableColumn id="13683" name="Column13662" dataDxfId="2750" dataCellStyle="Normal"/>
    <tableColumn id="13684" name="Column13663" dataDxfId="2749" dataCellStyle="Normal"/>
    <tableColumn id="13685" name="Column13664" dataDxfId="2748" dataCellStyle="Normal"/>
    <tableColumn id="13686" name="Column13665" dataDxfId="2747" dataCellStyle="Normal"/>
    <tableColumn id="13687" name="Column13666" dataDxfId="2746" dataCellStyle="Normal"/>
    <tableColumn id="13688" name="Column13667" dataDxfId="2745" dataCellStyle="Normal"/>
    <tableColumn id="13689" name="Column13668" dataDxfId="2744" dataCellStyle="Normal"/>
    <tableColumn id="13690" name="Column13669" dataDxfId="2743" dataCellStyle="Normal"/>
    <tableColumn id="13691" name="Column13670" dataDxfId="2742" dataCellStyle="Normal"/>
    <tableColumn id="13692" name="Column13671" dataDxfId="2741" dataCellStyle="Normal"/>
    <tableColumn id="13693" name="Column13672" dataDxfId="2740" dataCellStyle="Normal"/>
    <tableColumn id="13694" name="Column13673" dataDxfId="2739" dataCellStyle="Normal"/>
    <tableColumn id="13695" name="Column13674" dataDxfId="2738" dataCellStyle="Normal"/>
    <tableColumn id="13696" name="Column13675" dataDxfId="2737" dataCellStyle="Normal"/>
    <tableColumn id="13697" name="Column13676" dataDxfId="2736" dataCellStyle="Normal"/>
    <tableColumn id="13698" name="Column13677" dataDxfId="2735" dataCellStyle="Normal"/>
    <tableColumn id="13699" name="Column13678" dataDxfId="2734" dataCellStyle="Normal"/>
    <tableColumn id="13700" name="Column13679" dataDxfId="2733" dataCellStyle="Normal"/>
    <tableColumn id="13701" name="Column13680" dataDxfId="2732" dataCellStyle="Normal"/>
    <tableColumn id="13702" name="Column13681" dataDxfId="2731" dataCellStyle="Normal"/>
    <tableColumn id="13703" name="Column13682" dataDxfId="2730" dataCellStyle="Normal"/>
    <tableColumn id="13704" name="Column13683" dataDxfId="2729" dataCellStyle="Normal"/>
    <tableColumn id="13705" name="Column13684" dataDxfId="2728" dataCellStyle="Normal"/>
    <tableColumn id="13706" name="Column13685" dataDxfId="2727" dataCellStyle="Normal"/>
    <tableColumn id="13707" name="Column13686" dataDxfId="2726" dataCellStyle="Normal"/>
    <tableColumn id="13708" name="Column13687" dataDxfId="2725" dataCellStyle="Normal"/>
    <tableColumn id="13709" name="Column13688" dataDxfId="2724" dataCellStyle="Normal"/>
    <tableColumn id="13710" name="Column13689" dataDxfId="2723" dataCellStyle="Normal"/>
    <tableColumn id="13711" name="Column13690" dataDxfId="2722" dataCellStyle="Normal"/>
    <tableColumn id="13712" name="Column13691" dataDxfId="2721" dataCellStyle="Normal"/>
    <tableColumn id="13713" name="Column13692" dataDxfId="2720" dataCellStyle="Normal"/>
    <tableColumn id="13714" name="Column13693" dataDxfId="2719" dataCellStyle="Normal"/>
    <tableColumn id="13715" name="Column13694" dataDxfId="2718" dataCellStyle="Normal"/>
    <tableColumn id="13716" name="Column13695" dataDxfId="2717" dataCellStyle="Normal"/>
    <tableColumn id="13717" name="Column13696" dataDxfId="2716" dataCellStyle="Normal"/>
    <tableColumn id="13718" name="Column13697" dataDxfId="2715" dataCellStyle="Normal"/>
    <tableColumn id="13719" name="Column13698" dataDxfId="2714" dataCellStyle="Normal"/>
    <tableColumn id="13720" name="Column13699" dataDxfId="2713" dataCellStyle="Normal"/>
    <tableColumn id="13721" name="Column13700" dataDxfId="2712" dataCellStyle="Normal"/>
    <tableColumn id="13722" name="Column13701" dataDxfId="2711" dataCellStyle="Normal"/>
    <tableColumn id="13723" name="Column13702" dataDxfId="2710" dataCellStyle="Normal"/>
    <tableColumn id="13724" name="Column13703" dataDxfId="2709" dataCellStyle="Normal"/>
    <tableColumn id="13725" name="Column13704" dataDxfId="2708" dataCellStyle="Normal"/>
    <tableColumn id="13726" name="Column13705" dataDxfId="2707" dataCellStyle="Normal"/>
    <tableColumn id="13727" name="Column13706" dataDxfId="2706" dataCellStyle="Normal"/>
    <tableColumn id="13728" name="Column13707" dataDxfId="2705" dataCellStyle="Normal"/>
    <tableColumn id="13729" name="Column13708" dataDxfId="2704" dataCellStyle="Normal"/>
    <tableColumn id="13730" name="Column13709" dataDxfId="2703" dataCellStyle="Normal"/>
    <tableColumn id="13731" name="Column13710" dataDxfId="2702" dataCellStyle="Normal"/>
    <tableColumn id="13732" name="Column13711" dataDxfId="2701" dataCellStyle="Normal"/>
    <tableColumn id="13733" name="Column13712" dataDxfId="2700" dataCellStyle="Normal"/>
    <tableColumn id="13734" name="Column13713" dataDxfId="2699" dataCellStyle="Normal"/>
    <tableColumn id="13735" name="Column13714" dataDxfId="2698" dataCellStyle="Normal"/>
    <tableColumn id="13736" name="Column13715" dataDxfId="2697" dataCellStyle="Normal"/>
    <tableColumn id="13737" name="Column13716" dataDxfId="2696" dataCellStyle="Normal"/>
    <tableColumn id="13738" name="Column13717" dataDxfId="2695" dataCellStyle="Normal"/>
    <tableColumn id="13739" name="Column13718" dataDxfId="2694" dataCellStyle="Normal"/>
    <tableColumn id="13740" name="Column13719" dataDxfId="2693" dataCellStyle="Normal"/>
    <tableColumn id="13741" name="Column13720" dataDxfId="2692" dataCellStyle="Normal"/>
    <tableColumn id="13742" name="Column13721" dataDxfId="2691" dataCellStyle="Normal"/>
    <tableColumn id="13743" name="Column13722" dataDxfId="2690" dataCellStyle="Normal"/>
    <tableColumn id="13744" name="Column13723" dataDxfId="2689" dataCellStyle="Normal"/>
    <tableColumn id="13745" name="Column13724" dataDxfId="2688" dataCellStyle="Normal"/>
    <tableColumn id="13746" name="Column13725" dataDxfId="2687" dataCellStyle="Normal"/>
    <tableColumn id="13747" name="Column13726" dataDxfId="2686" dataCellStyle="Normal"/>
    <tableColumn id="13748" name="Column13727" dataDxfId="2685" dataCellStyle="Normal"/>
    <tableColumn id="13749" name="Column13728" dataDxfId="2684" dataCellStyle="Normal"/>
    <tableColumn id="13750" name="Column13729" dataDxfId="2683" dataCellStyle="Normal"/>
    <tableColumn id="13751" name="Column13730" dataDxfId="2682" dataCellStyle="Normal"/>
    <tableColumn id="13752" name="Column13731" dataDxfId="2681" dataCellStyle="Normal"/>
    <tableColumn id="13753" name="Column13732" dataDxfId="2680" dataCellStyle="Normal"/>
    <tableColumn id="13754" name="Column13733" dataDxfId="2679" dataCellStyle="Normal"/>
    <tableColumn id="13755" name="Column13734" dataDxfId="2678" dataCellStyle="Normal"/>
    <tableColumn id="13756" name="Column13735" dataDxfId="2677" dataCellStyle="Normal"/>
    <tableColumn id="13757" name="Column13736" dataDxfId="2676" dataCellStyle="Normal"/>
    <tableColumn id="13758" name="Column13737" dataDxfId="2675" dataCellStyle="Normal"/>
    <tableColumn id="13759" name="Column13738" dataDxfId="2674" dataCellStyle="Normal"/>
    <tableColumn id="13760" name="Column13739" dataDxfId="2673" dataCellStyle="Normal"/>
    <tableColumn id="13761" name="Column13740" dataDxfId="2672" dataCellStyle="Normal"/>
    <tableColumn id="13762" name="Column13741" dataDxfId="2671" dataCellStyle="Normal"/>
    <tableColumn id="13763" name="Column13742" dataDxfId="2670" dataCellStyle="Normal"/>
    <tableColumn id="13764" name="Column13743" dataDxfId="2669" dataCellStyle="Normal"/>
    <tableColumn id="13765" name="Column13744" dataDxfId="2668" dataCellStyle="Normal"/>
    <tableColumn id="13766" name="Column13745" dataDxfId="2667" dataCellStyle="Normal"/>
    <tableColumn id="13767" name="Column13746" dataDxfId="2666" dataCellStyle="Normal"/>
    <tableColumn id="13768" name="Column13747" dataDxfId="2665" dataCellStyle="Normal"/>
    <tableColumn id="13769" name="Column13748" dataDxfId="2664" dataCellStyle="Normal"/>
    <tableColumn id="13770" name="Column13749" dataDxfId="2663" dataCellStyle="Normal"/>
    <tableColumn id="13771" name="Column13750" dataDxfId="2662" dataCellStyle="Normal"/>
    <tableColumn id="13772" name="Column13751" dataDxfId="2661" dataCellStyle="Normal"/>
    <tableColumn id="13773" name="Column13752" dataDxfId="2660" dataCellStyle="Normal"/>
    <tableColumn id="13774" name="Column13753" dataDxfId="2659" dataCellStyle="Normal"/>
    <tableColumn id="13775" name="Column13754" dataDxfId="2658" dataCellStyle="Normal"/>
    <tableColumn id="13776" name="Column13755" dataDxfId="2657" dataCellStyle="Normal"/>
    <tableColumn id="13777" name="Column13756" dataDxfId="2656" dataCellStyle="Normal"/>
    <tableColumn id="13778" name="Column13757" dataDxfId="2655" dataCellStyle="Normal"/>
    <tableColumn id="13779" name="Column13758" dataDxfId="2654" dataCellStyle="Normal"/>
    <tableColumn id="13780" name="Column13759" dataDxfId="2653" dataCellStyle="Normal"/>
    <tableColumn id="13781" name="Column13760" dataDxfId="2652" dataCellStyle="Normal"/>
    <tableColumn id="13782" name="Column13761" dataDxfId="2651" dataCellStyle="Normal"/>
    <tableColumn id="13783" name="Column13762" dataDxfId="2650" dataCellStyle="Normal"/>
    <tableColumn id="13784" name="Column13763" dataDxfId="2649" dataCellStyle="Normal"/>
    <tableColumn id="13785" name="Column13764" dataDxfId="2648" dataCellStyle="Normal"/>
    <tableColumn id="13786" name="Column13765" dataDxfId="2647" dataCellStyle="Normal"/>
    <tableColumn id="13787" name="Column13766" dataDxfId="2646" dataCellStyle="Normal"/>
    <tableColumn id="13788" name="Column13767" dataDxfId="2645" dataCellStyle="Normal"/>
    <tableColumn id="13789" name="Column13768" dataDxfId="2644" dataCellStyle="Normal"/>
    <tableColumn id="13790" name="Column13769" dataDxfId="2643" dataCellStyle="Normal"/>
    <tableColumn id="13791" name="Column13770" dataDxfId="2642" dataCellStyle="Normal"/>
    <tableColumn id="13792" name="Column13771" dataDxfId="2641" dataCellStyle="Normal"/>
    <tableColumn id="13793" name="Column13772" dataDxfId="2640" dataCellStyle="Normal"/>
    <tableColumn id="13794" name="Column13773" dataDxfId="2639" dataCellStyle="Normal"/>
    <tableColumn id="13795" name="Column13774" dataDxfId="2638" dataCellStyle="Normal"/>
    <tableColumn id="13796" name="Column13775" dataDxfId="2637" dataCellStyle="Normal"/>
    <tableColumn id="13797" name="Column13776" dataDxfId="2636" dataCellStyle="Normal"/>
    <tableColumn id="13798" name="Column13777" dataDxfId="2635" dataCellStyle="Normal"/>
    <tableColumn id="13799" name="Column13778" dataDxfId="2634" dataCellStyle="Normal"/>
    <tableColumn id="13800" name="Column13779" dataDxfId="2633" dataCellStyle="Normal"/>
    <tableColumn id="13801" name="Column13780" dataDxfId="2632" dataCellStyle="Normal"/>
    <tableColumn id="13802" name="Column13781" dataDxfId="2631" dataCellStyle="Normal"/>
    <tableColumn id="13803" name="Column13782" dataDxfId="2630" dataCellStyle="Normal"/>
    <tableColumn id="13804" name="Column13783" dataDxfId="2629" dataCellStyle="Normal"/>
    <tableColumn id="13805" name="Column13784" dataDxfId="2628" dataCellStyle="Normal"/>
    <tableColumn id="13806" name="Column13785" dataDxfId="2627" dataCellStyle="Normal"/>
    <tableColumn id="13807" name="Column13786" dataDxfId="2626" dataCellStyle="Normal"/>
    <tableColumn id="13808" name="Column13787" dataDxfId="2625" dataCellStyle="Normal"/>
    <tableColumn id="13809" name="Column13788" dataDxfId="2624" dataCellStyle="Normal"/>
    <tableColumn id="13810" name="Column13789" dataDxfId="2623" dataCellStyle="Normal"/>
    <tableColumn id="13811" name="Column13790" dataDxfId="2622" dataCellStyle="Normal"/>
    <tableColumn id="13812" name="Column13791" dataDxfId="2621" dataCellStyle="Normal"/>
    <tableColumn id="13813" name="Column13792" dataDxfId="2620" dataCellStyle="Normal"/>
    <tableColumn id="13814" name="Column13793" dataDxfId="2619" dataCellStyle="Normal"/>
    <tableColumn id="13815" name="Column13794" dataDxfId="2618" dataCellStyle="Normal"/>
    <tableColumn id="13816" name="Column13795" dataDxfId="2617" dataCellStyle="Normal"/>
    <tableColumn id="13817" name="Column13796" dataDxfId="2616" dataCellStyle="Normal"/>
    <tableColumn id="13818" name="Column13797" dataDxfId="2615" dataCellStyle="Normal"/>
    <tableColumn id="13819" name="Column13798" dataDxfId="2614" dataCellStyle="Normal"/>
    <tableColumn id="13820" name="Column13799" dataDxfId="2613" dataCellStyle="Normal"/>
    <tableColumn id="13821" name="Column13800" dataDxfId="2612" dataCellStyle="Normal"/>
    <tableColumn id="13822" name="Column13801" dataDxfId="2611" dataCellStyle="Normal"/>
    <tableColumn id="13823" name="Column13802" dataDxfId="2610" dataCellStyle="Normal"/>
    <tableColumn id="13824" name="Column13803" dataDxfId="2609" dataCellStyle="Normal"/>
    <tableColumn id="13825" name="Column13804" dataDxfId="2608" dataCellStyle="Normal"/>
    <tableColumn id="13826" name="Column13805" dataDxfId="2607" dataCellStyle="Normal"/>
    <tableColumn id="13827" name="Column13806" dataDxfId="2606" dataCellStyle="Normal"/>
    <tableColumn id="13828" name="Column13807" dataDxfId="2605" dataCellStyle="Normal"/>
    <tableColumn id="13829" name="Column13808" dataDxfId="2604" dataCellStyle="Normal"/>
    <tableColumn id="13830" name="Column13809" dataDxfId="2603" dataCellStyle="Normal"/>
    <tableColumn id="13831" name="Column13810" dataDxfId="2602" dataCellStyle="Normal"/>
    <tableColumn id="13832" name="Column13811" dataDxfId="2601" dataCellStyle="Normal"/>
    <tableColumn id="13833" name="Column13812" dataDxfId="2600" dataCellStyle="Normal"/>
    <tableColumn id="13834" name="Column13813" dataDxfId="2599" dataCellStyle="Normal"/>
    <tableColumn id="13835" name="Column13814" dataDxfId="2598" dataCellStyle="Normal"/>
    <tableColumn id="13836" name="Column13815" dataDxfId="2597" dataCellStyle="Normal"/>
    <tableColumn id="13837" name="Column13816" dataDxfId="2596" dataCellStyle="Normal"/>
    <tableColumn id="13838" name="Column13817" dataDxfId="2595" dataCellStyle="Normal"/>
    <tableColumn id="13839" name="Column13818" dataDxfId="2594" dataCellStyle="Normal"/>
    <tableColumn id="13840" name="Column13819" dataDxfId="2593" dataCellStyle="Normal"/>
    <tableColumn id="13841" name="Column13820" dataDxfId="2592" dataCellStyle="Normal"/>
    <tableColumn id="13842" name="Column13821" dataDxfId="2591" dataCellStyle="Normal"/>
    <tableColumn id="13843" name="Column13822" dataDxfId="2590" dataCellStyle="Normal"/>
    <tableColumn id="13844" name="Column13823" dataDxfId="2589" dataCellStyle="Normal"/>
    <tableColumn id="13845" name="Column13824" dataDxfId="2588" dataCellStyle="Normal"/>
    <tableColumn id="13846" name="Column13825" dataDxfId="2587" dataCellStyle="Normal"/>
    <tableColumn id="13847" name="Column13826" dataDxfId="2586" dataCellStyle="Normal"/>
    <tableColumn id="13848" name="Column13827" dataDxfId="2585" dataCellStyle="Normal"/>
    <tableColumn id="13849" name="Column13828" dataDxfId="2584" dataCellStyle="Normal"/>
    <tableColumn id="13850" name="Column13829" dataDxfId="2583" dataCellStyle="Normal"/>
    <tableColumn id="13851" name="Column13830" dataDxfId="2582" dataCellStyle="Normal"/>
    <tableColumn id="13852" name="Column13831" dataDxfId="2581" dataCellStyle="Normal"/>
    <tableColumn id="13853" name="Column13832" dataDxfId="2580" dataCellStyle="Normal"/>
    <tableColumn id="13854" name="Column13833" dataDxfId="2579" dataCellStyle="Normal"/>
    <tableColumn id="13855" name="Column13834" dataDxfId="2578" dataCellStyle="Normal"/>
    <tableColumn id="13856" name="Column13835" dataDxfId="2577" dataCellStyle="Normal"/>
    <tableColumn id="13857" name="Column13836" dataDxfId="2576" dataCellStyle="Normal"/>
    <tableColumn id="13858" name="Column13837" dataDxfId="2575" dataCellStyle="Normal"/>
    <tableColumn id="13859" name="Column13838" dataDxfId="2574" dataCellStyle="Normal"/>
    <tableColumn id="13860" name="Column13839" dataDxfId="2573" dataCellStyle="Normal"/>
    <tableColumn id="13861" name="Column13840" dataDxfId="2572" dataCellStyle="Normal"/>
    <tableColumn id="13862" name="Column13841" dataDxfId="2571" dataCellStyle="Normal"/>
    <tableColumn id="13863" name="Column13842" dataDxfId="2570" dataCellStyle="Normal"/>
    <tableColumn id="13864" name="Column13843" dataDxfId="2569" dataCellStyle="Normal"/>
    <tableColumn id="13865" name="Column13844" dataDxfId="2568" dataCellStyle="Normal"/>
    <tableColumn id="13866" name="Column13845" dataDxfId="2567" dataCellStyle="Normal"/>
    <tableColumn id="13867" name="Column13846" dataDxfId="2566" dataCellStyle="Normal"/>
    <tableColumn id="13868" name="Column13847" dataDxfId="2565" dataCellStyle="Normal"/>
    <tableColumn id="13869" name="Column13848" dataDxfId="2564" dataCellStyle="Normal"/>
    <tableColumn id="13870" name="Column13849" dataDxfId="2563" dataCellStyle="Normal"/>
    <tableColumn id="13871" name="Column13850" dataDxfId="2562" dataCellStyle="Normal"/>
    <tableColumn id="13872" name="Column13851" dataDxfId="2561" dataCellStyle="Normal"/>
    <tableColumn id="13873" name="Column13852" dataDxfId="2560" dataCellStyle="Normal"/>
    <tableColumn id="13874" name="Column13853" dataDxfId="2559" dataCellStyle="Normal"/>
    <tableColumn id="13875" name="Column13854" dataDxfId="2558" dataCellStyle="Normal"/>
    <tableColumn id="13876" name="Column13855" dataDxfId="2557" dataCellStyle="Normal"/>
    <tableColumn id="13877" name="Column13856" dataDxfId="2556" dataCellStyle="Normal"/>
    <tableColumn id="13878" name="Column13857" dataDxfId="2555" dataCellStyle="Normal"/>
    <tableColumn id="13879" name="Column13858" dataDxfId="2554" dataCellStyle="Normal"/>
    <tableColumn id="13880" name="Column13859" dataDxfId="2553" dataCellStyle="Normal"/>
    <tableColumn id="13881" name="Column13860" dataDxfId="2552" dataCellStyle="Normal"/>
    <tableColumn id="13882" name="Column13861" dataDxfId="2551" dataCellStyle="Normal"/>
    <tableColumn id="13883" name="Column13862" dataDxfId="2550" dataCellStyle="Normal"/>
    <tableColumn id="13884" name="Column13863" dataDxfId="2549" dataCellStyle="Normal"/>
    <tableColumn id="13885" name="Column13864" dataDxfId="2548" dataCellStyle="Normal"/>
    <tableColumn id="13886" name="Column13865" dataDxfId="2547" dataCellStyle="Normal"/>
    <tableColumn id="13887" name="Column13866" dataDxfId="2546" dataCellStyle="Normal"/>
    <tableColumn id="13888" name="Column13867" dataDxfId="2545" dataCellStyle="Normal"/>
    <tableColumn id="13889" name="Column13868" dataDxfId="2544" dataCellStyle="Normal"/>
    <tableColumn id="13890" name="Column13869" dataDxfId="2543" dataCellStyle="Normal"/>
    <tableColumn id="13891" name="Column13870" dataDxfId="2542" dataCellStyle="Normal"/>
    <tableColumn id="13892" name="Column13871" dataDxfId="2541" dataCellStyle="Normal"/>
    <tableColumn id="13893" name="Column13872" dataDxfId="2540" dataCellStyle="Normal"/>
    <tableColumn id="13894" name="Column13873" dataDxfId="2539" dataCellStyle="Normal"/>
    <tableColumn id="13895" name="Column13874" dataDxfId="2538" dataCellStyle="Normal"/>
    <tableColumn id="13896" name="Column13875" dataDxfId="2537" dataCellStyle="Normal"/>
    <tableColumn id="13897" name="Column13876" dataDxfId="2536" dataCellStyle="Normal"/>
    <tableColumn id="13898" name="Column13877" dataDxfId="2535" dataCellStyle="Normal"/>
    <tableColumn id="13899" name="Column13878" dataDxfId="2534" dataCellStyle="Normal"/>
    <tableColumn id="13900" name="Column13879" dataDxfId="2533" dataCellStyle="Normal"/>
    <tableColumn id="13901" name="Column13880" dataDxfId="2532" dataCellStyle="Normal"/>
    <tableColumn id="13902" name="Column13881" dataDxfId="2531" dataCellStyle="Normal"/>
    <tableColumn id="13903" name="Column13882" dataDxfId="2530" dataCellStyle="Normal"/>
    <tableColumn id="13904" name="Column13883" dataDxfId="2529" dataCellStyle="Normal"/>
    <tableColumn id="13905" name="Column13884" dataDxfId="2528" dataCellStyle="Normal"/>
    <tableColumn id="13906" name="Column13885" dataDxfId="2527" dataCellStyle="Normal"/>
    <tableColumn id="13907" name="Column13886" dataDxfId="2526" dataCellStyle="Normal"/>
    <tableColumn id="13908" name="Column13887" dataDxfId="2525" dataCellStyle="Normal"/>
    <tableColumn id="13909" name="Column13888" dataDxfId="2524" dataCellStyle="Normal"/>
    <tableColumn id="13910" name="Column13889" dataDxfId="2523" dataCellStyle="Normal"/>
    <tableColumn id="13911" name="Column13890" dataDxfId="2522" dataCellStyle="Normal"/>
    <tableColumn id="13912" name="Column13891" dataDxfId="2521" dataCellStyle="Normal"/>
    <tableColumn id="13913" name="Column13892" dataDxfId="2520" dataCellStyle="Normal"/>
    <tableColumn id="13914" name="Column13893" dataDxfId="2519" dataCellStyle="Normal"/>
    <tableColumn id="13915" name="Column13894" dataDxfId="2518" dataCellStyle="Normal"/>
    <tableColumn id="13916" name="Column13895" dataDxfId="2517" dataCellStyle="Normal"/>
    <tableColumn id="13917" name="Column13896" dataDxfId="2516" dataCellStyle="Normal"/>
    <tableColumn id="13918" name="Column13897" dataDxfId="2515" dataCellStyle="Normal"/>
    <tableColumn id="13919" name="Column13898" dataDxfId="2514" dataCellStyle="Normal"/>
    <tableColumn id="13920" name="Column13899" dataDxfId="2513" dataCellStyle="Normal"/>
    <tableColumn id="13921" name="Column13900" dataDxfId="2512" dataCellStyle="Normal"/>
    <tableColumn id="13922" name="Column13901" dataDxfId="2511" dataCellStyle="Normal"/>
    <tableColumn id="13923" name="Column13902" dataDxfId="2510" dataCellStyle="Normal"/>
    <tableColumn id="13924" name="Column13903" dataDxfId="2509" dataCellStyle="Normal"/>
    <tableColumn id="13925" name="Column13904" dataDxfId="2508" dataCellStyle="Normal"/>
    <tableColumn id="13926" name="Column13905" dataDxfId="2507" dataCellStyle="Normal"/>
    <tableColumn id="13927" name="Column13906" dataDxfId="2506" dataCellStyle="Normal"/>
    <tableColumn id="13928" name="Column13907" dataDxfId="2505" dataCellStyle="Normal"/>
    <tableColumn id="13929" name="Column13908" dataDxfId="2504" dataCellStyle="Normal"/>
    <tableColumn id="13930" name="Column13909" dataDxfId="2503" dataCellStyle="Normal"/>
    <tableColumn id="13931" name="Column13910" dataDxfId="2502" dataCellStyle="Normal"/>
    <tableColumn id="13932" name="Column13911" dataDxfId="2501" dataCellStyle="Normal"/>
    <tableColumn id="13933" name="Column13912" dataDxfId="2500" dataCellStyle="Normal"/>
    <tableColumn id="13934" name="Column13913" dataDxfId="2499" dataCellStyle="Normal"/>
    <tableColumn id="13935" name="Column13914" dataDxfId="2498" dataCellStyle="Normal"/>
    <tableColumn id="13936" name="Column13915" dataDxfId="2497" dataCellStyle="Normal"/>
    <tableColumn id="13937" name="Column13916" dataDxfId="2496" dataCellStyle="Normal"/>
    <tableColumn id="13938" name="Column13917" dataDxfId="2495" dataCellStyle="Normal"/>
    <tableColumn id="13939" name="Column13918" dataDxfId="2494" dataCellStyle="Normal"/>
    <tableColumn id="13940" name="Column13919" dataDxfId="2493" dataCellStyle="Normal"/>
    <tableColumn id="13941" name="Column13920" dataDxfId="2492" dataCellStyle="Normal"/>
    <tableColumn id="13942" name="Column13921" dataDxfId="2491" dataCellStyle="Normal"/>
    <tableColumn id="13943" name="Column13922" dataDxfId="2490" dataCellStyle="Normal"/>
    <tableColumn id="13944" name="Column13923" dataDxfId="2489" dataCellStyle="Normal"/>
    <tableColumn id="13945" name="Column13924" dataDxfId="2488" dataCellStyle="Normal"/>
    <tableColumn id="13946" name="Column13925" dataDxfId="2487" dataCellStyle="Normal"/>
    <tableColumn id="13947" name="Column13926" dataDxfId="2486" dataCellStyle="Normal"/>
    <tableColumn id="13948" name="Column13927" dataDxfId="2485" dataCellStyle="Normal"/>
    <tableColumn id="13949" name="Column13928" dataDxfId="2484" dataCellStyle="Normal"/>
    <tableColumn id="13950" name="Column13929" dataDxfId="2483" dataCellStyle="Normal"/>
    <tableColumn id="13951" name="Column13930" dataDxfId="2482" dataCellStyle="Normal"/>
    <tableColumn id="13952" name="Column13931" dataDxfId="2481" dataCellStyle="Normal"/>
    <tableColumn id="13953" name="Column13932" dataDxfId="2480" dataCellStyle="Normal"/>
    <tableColumn id="13954" name="Column13933" dataDxfId="2479" dataCellStyle="Normal"/>
    <tableColumn id="13955" name="Column13934" dataDxfId="2478" dataCellStyle="Normal"/>
    <tableColumn id="13956" name="Column13935" dataDxfId="2477" dataCellStyle="Normal"/>
    <tableColumn id="13957" name="Column13936" dataDxfId="2476" dataCellStyle="Normal"/>
    <tableColumn id="13958" name="Column13937" dataDxfId="2475" dataCellStyle="Normal"/>
    <tableColumn id="13959" name="Column13938" dataDxfId="2474" dataCellStyle="Normal"/>
    <tableColumn id="13960" name="Column13939" dataDxfId="2473" dataCellStyle="Normal"/>
    <tableColumn id="13961" name="Column13940" dataDxfId="2472" dataCellStyle="Normal"/>
    <tableColumn id="13962" name="Column13941" dataDxfId="2471" dataCellStyle="Normal"/>
    <tableColumn id="13963" name="Column13942" dataDxfId="2470" dataCellStyle="Normal"/>
    <tableColumn id="13964" name="Column13943" dataDxfId="2469" dataCellStyle="Normal"/>
    <tableColumn id="13965" name="Column13944" dataDxfId="2468" dataCellStyle="Normal"/>
    <tableColumn id="13966" name="Column13945" dataDxfId="2467" dataCellStyle="Normal"/>
    <tableColumn id="13967" name="Column13946" dataDxfId="2466" dataCellStyle="Normal"/>
    <tableColumn id="13968" name="Column13947" dataDxfId="2465" dataCellStyle="Normal"/>
    <tableColumn id="13969" name="Column13948" dataDxfId="2464" dataCellStyle="Normal"/>
    <tableColumn id="13970" name="Column13949" dataDxfId="2463" dataCellStyle="Normal"/>
    <tableColumn id="13971" name="Column13950" dataDxfId="2462" dataCellStyle="Normal"/>
    <tableColumn id="13972" name="Column13951" dataDxfId="2461" dataCellStyle="Normal"/>
    <tableColumn id="13973" name="Column13952" dataDxfId="2460" dataCellStyle="Normal"/>
    <tableColumn id="13974" name="Column13953" dataDxfId="2459" dataCellStyle="Normal"/>
    <tableColumn id="13975" name="Column13954" dataDxfId="2458" dataCellStyle="Normal"/>
    <tableColumn id="13976" name="Column13955" dataDxfId="2457" dataCellStyle="Normal"/>
    <tableColumn id="13977" name="Column13956" dataDxfId="2456" dataCellStyle="Normal"/>
    <tableColumn id="13978" name="Column13957" dataDxfId="2455" dataCellStyle="Normal"/>
    <tableColumn id="13979" name="Column13958" dataDxfId="2454" dataCellStyle="Normal"/>
    <tableColumn id="13980" name="Column13959" dataDxfId="2453" dataCellStyle="Normal"/>
    <tableColumn id="13981" name="Column13960" dataDxfId="2452" dataCellStyle="Normal"/>
    <tableColumn id="13982" name="Column13961" dataDxfId="2451" dataCellStyle="Normal"/>
    <tableColumn id="13983" name="Column13962" dataDxfId="2450" dataCellStyle="Normal"/>
    <tableColumn id="13984" name="Column13963" dataDxfId="2449" dataCellStyle="Normal"/>
    <tableColumn id="13985" name="Column13964" dataDxfId="2448" dataCellStyle="Normal"/>
    <tableColumn id="13986" name="Column13965" dataDxfId="2447" dataCellStyle="Normal"/>
    <tableColumn id="13987" name="Column13966" dataDxfId="2446" dataCellStyle="Normal"/>
    <tableColumn id="13988" name="Column13967" dataDxfId="2445" dataCellStyle="Normal"/>
    <tableColumn id="13989" name="Column13968" dataDxfId="2444" dataCellStyle="Normal"/>
    <tableColumn id="13990" name="Column13969" dataDxfId="2443" dataCellStyle="Normal"/>
    <tableColumn id="13991" name="Column13970" dataDxfId="2442" dataCellStyle="Normal"/>
    <tableColumn id="13992" name="Column13971" dataDxfId="2441" dataCellStyle="Normal"/>
    <tableColumn id="13993" name="Column13972" dataDxfId="2440" dataCellStyle="Normal"/>
    <tableColumn id="13994" name="Column13973" dataDxfId="2439" dataCellStyle="Normal"/>
    <tableColumn id="13995" name="Column13974" dataDxfId="2438" dataCellStyle="Normal"/>
    <tableColumn id="13996" name="Column13975" dataDxfId="2437" dataCellStyle="Normal"/>
    <tableColumn id="13997" name="Column13976" dataDxfId="2436" dataCellStyle="Normal"/>
    <tableColumn id="13998" name="Column13977" dataDxfId="2435" dataCellStyle="Normal"/>
    <tableColumn id="13999" name="Column13978" dataDxfId="2434" dataCellStyle="Normal"/>
    <tableColumn id="14000" name="Column13979" dataDxfId="2433" dataCellStyle="Normal"/>
    <tableColumn id="14001" name="Column13980" dataDxfId="2432" dataCellStyle="Normal"/>
    <tableColumn id="14002" name="Column13981" dataDxfId="2431" dataCellStyle="Normal"/>
    <tableColumn id="14003" name="Column13982" dataDxfId="2430" dataCellStyle="Normal"/>
    <tableColumn id="14004" name="Column13983" dataDxfId="2429" dataCellStyle="Normal"/>
    <tableColumn id="14005" name="Column13984" dataDxfId="2428" dataCellStyle="Normal"/>
    <tableColumn id="14006" name="Column13985" dataDxfId="2427" dataCellStyle="Normal"/>
    <tableColumn id="14007" name="Column13986" dataDxfId="2426" dataCellStyle="Normal"/>
    <tableColumn id="14008" name="Column13987" dataDxfId="2425" dataCellStyle="Normal"/>
    <tableColumn id="14009" name="Column13988" dataDxfId="2424" dataCellStyle="Normal"/>
    <tableColumn id="14010" name="Column13989" dataDxfId="2423" dataCellStyle="Normal"/>
    <tableColumn id="14011" name="Column13990" dataDxfId="2422" dataCellStyle="Normal"/>
    <tableColumn id="14012" name="Column13991" dataDxfId="2421" dataCellStyle="Normal"/>
    <tableColumn id="14013" name="Column13992" dataDxfId="2420" dataCellStyle="Normal"/>
    <tableColumn id="14014" name="Column13993" dataDxfId="2419" dataCellStyle="Normal"/>
    <tableColumn id="14015" name="Column13994" dataDxfId="2418" dataCellStyle="Normal"/>
    <tableColumn id="14016" name="Column13995" dataDxfId="2417" dataCellStyle="Normal"/>
    <tableColumn id="14017" name="Column13996" dataDxfId="2416" dataCellStyle="Normal"/>
    <tableColumn id="14018" name="Column13997" dataDxfId="2415" dataCellStyle="Normal"/>
    <tableColumn id="14019" name="Column13998" dataDxfId="2414" dataCellStyle="Normal"/>
    <tableColumn id="14020" name="Column13999" dataDxfId="2413" dataCellStyle="Normal"/>
    <tableColumn id="14021" name="Column14000" dataDxfId="2412" dataCellStyle="Normal"/>
    <tableColumn id="14022" name="Column14001" dataDxfId="2411" dataCellStyle="Normal"/>
    <tableColumn id="14023" name="Column14002" dataDxfId="2410" dataCellStyle="Normal"/>
    <tableColumn id="14024" name="Column14003" dataDxfId="2409" dataCellStyle="Normal"/>
    <tableColumn id="14025" name="Column14004" dataDxfId="2408" dataCellStyle="Normal"/>
    <tableColumn id="14026" name="Column14005" dataDxfId="2407" dataCellStyle="Normal"/>
    <tableColumn id="14027" name="Column14006" dataDxfId="2406" dataCellStyle="Normal"/>
    <tableColumn id="14028" name="Column14007" dataDxfId="2405" dataCellStyle="Normal"/>
    <tableColumn id="14029" name="Column14008" dataDxfId="2404" dataCellStyle="Normal"/>
    <tableColumn id="14030" name="Column14009" dataDxfId="2403" dataCellStyle="Normal"/>
    <tableColumn id="14031" name="Column14010" dataDxfId="2402" dataCellStyle="Normal"/>
    <tableColumn id="14032" name="Column14011" dataDxfId="2401" dataCellStyle="Normal"/>
    <tableColumn id="14033" name="Column14012" dataDxfId="2400" dataCellStyle="Normal"/>
    <tableColumn id="14034" name="Column14013" dataDxfId="2399" dataCellStyle="Normal"/>
    <tableColumn id="14035" name="Column14014" dataDxfId="2398" dataCellStyle="Normal"/>
    <tableColumn id="14036" name="Column14015" dataDxfId="2397" dataCellStyle="Normal"/>
    <tableColumn id="14037" name="Column14016" dataDxfId="2396" dataCellStyle="Normal"/>
    <tableColumn id="14038" name="Column14017" dataDxfId="2395" dataCellStyle="Normal"/>
    <tableColumn id="14039" name="Column14018" dataDxfId="2394" dataCellStyle="Normal"/>
    <tableColumn id="14040" name="Column14019" dataDxfId="2393" dataCellStyle="Normal"/>
    <tableColumn id="14041" name="Column14020" dataDxfId="2392" dataCellStyle="Normal"/>
    <tableColumn id="14042" name="Column14021" dataDxfId="2391" dataCellStyle="Normal"/>
    <tableColumn id="14043" name="Column14022" dataDxfId="2390" dataCellStyle="Normal"/>
    <tableColumn id="14044" name="Column14023" dataDxfId="2389" dataCellStyle="Normal"/>
    <tableColumn id="14045" name="Column14024" dataDxfId="2388" dataCellStyle="Normal"/>
    <tableColumn id="14046" name="Column14025" dataDxfId="2387" dataCellStyle="Normal"/>
    <tableColumn id="14047" name="Column14026" dataDxfId="2386" dataCellStyle="Normal"/>
    <tableColumn id="14048" name="Column14027" dataDxfId="2385" dataCellStyle="Normal"/>
    <tableColumn id="14049" name="Column14028" dataDxfId="2384" dataCellStyle="Normal"/>
    <tableColumn id="14050" name="Column14029" dataDxfId="2383" dataCellStyle="Normal"/>
    <tableColumn id="14051" name="Column14030" dataDxfId="2382" dataCellStyle="Normal"/>
    <tableColumn id="14052" name="Column14031" dataDxfId="2381" dataCellStyle="Normal"/>
    <tableColumn id="14053" name="Column14032" dataDxfId="2380" dataCellStyle="Normal"/>
    <tableColumn id="14054" name="Column14033" dataDxfId="2379" dataCellStyle="Normal"/>
    <tableColumn id="14055" name="Column14034" dataDxfId="2378" dataCellStyle="Normal"/>
    <tableColumn id="14056" name="Column14035" dataDxfId="2377" dataCellStyle="Normal"/>
    <tableColumn id="14057" name="Column14036" dataDxfId="2376" dataCellStyle="Normal"/>
    <tableColumn id="14058" name="Column14037" dataDxfId="2375" dataCellStyle="Normal"/>
    <tableColumn id="14059" name="Column14038" dataDxfId="2374" dataCellStyle="Normal"/>
    <tableColumn id="14060" name="Column14039" dataDxfId="2373" dataCellStyle="Normal"/>
    <tableColumn id="14061" name="Column14040" dataDxfId="2372" dataCellStyle="Normal"/>
    <tableColumn id="14062" name="Column14041" dataDxfId="2371" dataCellStyle="Normal"/>
    <tableColumn id="14063" name="Column14042" dataDxfId="2370" dataCellStyle="Normal"/>
    <tableColumn id="14064" name="Column14043" dataDxfId="2369" dataCellStyle="Normal"/>
    <tableColumn id="14065" name="Column14044" dataDxfId="2368" dataCellStyle="Normal"/>
    <tableColumn id="14066" name="Column14045" dataDxfId="2367" dataCellStyle="Normal"/>
    <tableColumn id="14067" name="Column14046" dataDxfId="2366" dataCellStyle="Normal"/>
    <tableColumn id="14068" name="Column14047" dataDxfId="2365" dataCellStyle="Normal"/>
    <tableColumn id="14069" name="Column14048" dataDxfId="2364" dataCellStyle="Normal"/>
    <tableColumn id="14070" name="Column14049" dataDxfId="2363" dataCellStyle="Normal"/>
    <tableColumn id="14071" name="Column14050" dataDxfId="2362" dataCellStyle="Normal"/>
    <tableColumn id="14072" name="Column14051" dataDxfId="2361" dataCellStyle="Normal"/>
    <tableColumn id="14073" name="Column14052" dataDxfId="2360" dataCellStyle="Normal"/>
    <tableColumn id="14074" name="Column14053" dataDxfId="2359" dataCellStyle="Normal"/>
    <tableColumn id="14075" name="Column14054" dataDxfId="2358" dataCellStyle="Normal"/>
    <tableColumn id="14076" name="Column14055" dataDxfId="2357" dataCellStyle="Normal"/>
    <tableColumn id="14077" name="Column14056" dataDxfId="2356" dataCellStyle="Normal"/>
    <tableColumn id="14078" name="Column14057" dataDxfId="2355" dataCellStyle="Normal"/>
    <tableColumn id="14079" name="Column14058" dataDxfId="2354" dataCellStyle="Normal"/>
    <tableColumn id="14080" name="Column14059" dataDxfId="2353" dataCellStyle="Normal"/>
    <tableColumn id="14081" name="Column14060" dataDxfId="2352" dataCellStyle="Normal"/>
    <tableColumn id="14082" name="Column14061" dataDxfId="2351" dataCellStyle="Normal"/>
    <tableColumn id="14083" name="Column14062" dataDxfId="2350" dataCellStyle="Normal"/>
    <tableColumn id="14084" name="Column14063" dataDxfId="2349" dataCellStyle="Normal"/>
    <tableColumn id="14085" name="Column14064" dataDxfId="2348" dataCellStyle="Normal"/>
    <tableColumn id="14086" name="Column14065" dataDxfId="2347" dataCellStyle="Normal"/>
    <tableColumn id="14087" name="Column14066" dataDxfId="2346" dataCellStyle="Normal"/>
    <tableColumn id="14088" name="Column14067" dataDxfId="2345" dataCellStyle="Normal"/>
    <tableColumn id="14089" name="Column14068" dataDxfId="2344" dataCellStyle="Normal"/>
    <tableColumn id="14090" name="Column14069" dataDxfId="2343" dataCellStyle="Normal"/>
    <tableColumn id="14091" name="Column14070" dataDxfId="2342" dataCellStyle="Normal"/>
    <tableColumn id="14092" name="Column14071" dataDxfId="2341" dataCellStyle="Normal"/>
    <tableColumn id="14093" name="Column14072" dataDxfId="2340" dataCellStyle="Normal"/>
    <tableColumn id="14094" name="Column14073" dataDxfId="2339" dataCellStyle="Normal"/>
    <tableColumn id="14095" name="Column14074" dataDxfId="2338" dataCellStyle="Normal"/>
    <tableColumn id="14096" name="Column14075" dataDxfId="2337" dataCellStyle="Normal"/>
    <tableColumn id="14097" name="Column14076" dataDxfId="2336" dataCellStyle="Normal"/>
    <tableColumn id="14098" name="Column14077" dataDxfId="2335" dataCellStyle="Normal"/>
    <tableColumn id="14099" name="Column14078" dataDxfId="2334" dataCellStyle="Normal"/>
    <tableColumn id="14100" name="Column14079" dataDxfId="2333" dataCellStyle="Normal"/>
    <tableColumn id="14101" name="Column14080" dataDxfId="2332" dataCellStyle="Normal"/>
    <tableColumn id="14102" name="Column14081" dataDxfId="2331" dataCellStyle="Normal"/>
    <tableColumn id="14103" name="Column14082" dataDxfId="2330" dataCellStyle="Normal"/>
    <tableColumn id="14104" name="Column14083" dataDxfId="2329" dataCellStyle="Normal"/>
    <tableColumn id="14105" name="Column14084" dataDxfId="2328" dataCellStyle="Normal"/>
    <tableColumn id="14106" name="Column14085" dataDxfId="2327" dataCellStyle="Normal"/>
    <tableColumn id="14107" name="Column14086" dataDxfId="2326" dataCellStyle="Normal"/>
    <tableColumn id="14108" name="Column14087" dataDxfId="2325" dataCellStyle="Normal"/>
    <tableColumn id="14109" name="Column14088" dataDxfId="2324" dataCellStyle="Normal"/>
    <tableColumn id="14110" name="Column14089" dataDxfId="2323" dataCellStyle="Normal"/>
    <tableColumn id="14111" name="Column14090" dataDxfId="2322" dataCellStyle="Normal"/>
    <tableColumn id="14112" name="Column14091" dataDxfId="2321" dataCellStyle="Normal"/>
    <tableColumn id="14113" name="Column14092" dataDxfId="2320" dataCellStyle="Normal"/>
    <tableColumn id="14114" name="Column14093" dataDxfId="2319" dataCellStyle="Normal"/>
    <tableColumn id="14115" name="Column14094" dataDxfId="2318" dataCellStyle="Normal"/>
    <tableColumn id="14116" name="Column14095" dataDxfId="2317" dataCellStyle="Normal"/>
    <tableColumn id="14117" name="Column14096" dataDxfId="2316" dataCellStyle="Normal"/>
    <tableColumn id="14118" name="Column14097" dataDxfId="2315" dataCellStyle="Normal"/>
    <tableColumn id="14119" name="Column14098" dataDxfId="2314" dataCellStyle="Normal"/>
    <tableColumn id="14120" name="Column14099" dataDxfId="2313" dataCellStyle="Normal"/>
    <tableColumn id="14121" name="Column14100" dataDxfId="2312" dataCellStyle="Normal"/>
    <tableColumn id="14122" name="Column14101" dataDxfId="2311" dataCellStyle="Normal"/>
    <tableColumn id="14123" name="Column14102" dataDxfId="2310" dataCellStyle="Normal"/>
    <tableColumn id="14124" name="Column14103" dataDxfId="2309" dataCellStyle="Normal"/>
    <tableColumn id="14125" name="Column14104" dataDxfId="2308" dataCellStyle="Normal"/>
    <tableColumn id="14126" name="Column14105" dataDxfId="2307" dataCellStyle="Normal"/>
    <tableColumn id="14127" name="Column14106" dataDxfId="2306" dataCellStyle="Normal"/>
    <tableColumn id="14128" name="Column14107" dataDxfId="2305" dataCellStyle="Normal"/>
    <tableColumn id="14129" name="Column14108" dataDxfId="2304" dataCellStyle="Normal"/>
    <tableColumn id="14130" name="Column14109" dataDxfId="2303" dataCellStyle="Normal"/>
    <tableColumn id="14131" name="Column14110" dataDxfId="2302" dataCellStyle="Normal"/>
    <tableColumn id="14132" name="Column14111" dataDxfId="2301" dataCellStyle="Normal"/>
    <tableColumn id="14133" name="Column14112" dataDxfId="2300" dataCellStyle="Normal"/>
    <tableColumn id="14134" name="Column14113" dataDxfId="2299" dataCellStyle="Normal"/>
    <tableColumn id="14135" name="Column14114" dataDxfId="2298" dataCellStyle="Normal"/>
    <tableColumn id="14136" name="Column14115" dataDxfId="2297" dataCellStyle="Normal"/>
    <tableColumn id="14137" name="Column14116" dataDxfId="2296" dataCellStyle="Normal"/>
    <tableColumn id="14138" name="Column14117" dataDxfId="2295" dataCellStyle="Normal"/>
    <tableColumn id="14139" name="Column14118" dataDxfId="2294" dataCellStyle="Normal"/>
    <tableColumn id="14140" name="Column14119" dataDxfId="2293" dataCellStyle="Normal"/>
    <tableColumn id="14141" name="Column14120" dataDxfId="2292" dataCellStyle="Normal"/>
    <tableColumn id="14142" name="Column14121" dataDxfId="2291" dataCellStyle="Normal"/>
    <tableColumn id="14143" name="Column14122" dataDxfId="2290" dataCellStyle="Normal"/>
    <tableColumn id="14144" name="Column14123" dataDxfId="2289" dataCellStyle="Normal"/>
    <tableColumn id="14145" name="Column14124" dataDxfId="2288" dataCellStyle="Normal"/>
    <tableColumn id="14146" name="Column14125" dataDxfId="2287" dataCellStyle="Normal"/>
    <tableColumn id="14147" name="Column14126" dataDxfId="2286" dataCellStyle="Normal"/>
    <tableColumn id="14148" name="Column14127" dataDxfId="2285" dataCellStyle="Normal"/>
    <tableColumn id="14149" name="Column14128" dataDxfId="2284" dataCellStyle="Normal"/>
    <tableColumn id="14150" name="Column14129" dataDxfId="2283" dataCellStyle="Normal"/>
    <tableColumn id="14151" name="Column14130" dataDxfId="2282" dataCellStyle="Normal"/>
    <tableColumn id="14152" name="Column14131" dataDxfId="2281" dataCellStyle="Normal"/>
    <tableColumn id="14153" name="Column14132" dataDxfId="2280" dataCellStyle="Normal"/>
    <tableColumn id="14154" name="Column14133" dataDxfId="2279" dataCellStyle="Normal"/>
    <tableColumn id="14155" name="Column14134" dataDxfId="2278" dataCellStyle="Normal"/>
    <tableColumn id="14156" name="Column14135" dataDxfId="2277" dataCellStyle="Normal"/>
    <tableColumn id="14157" name="Column14136" dataDxfId="2276" dataCellStyle="Normal"/>
    <tableColumn id="14158" name="Column14137" dataDxfId="2275" dataCellStyle="Normal"/>
    <tableColumn id="14159" name="Column14138" dataDxfId="2274" dataCellStyle="Normal"/>
    <tableColumn id="14160" name="Column14139" dataDxfId="2273" dataCellStyle="Normal"/>
    <tableColumn id="14161" name="Column14140" dataDxfId="2272" dataCellStyle="Normal"/>
    <tableColumn id="14162" name="Column14141" dataDxfId="2271" dataCellStyle="Normal"/>
    <tableColumn id="14163" name="Column14142" dataDxfId="2270" dataCellStyle="Normal"/>
    <tableColumn id="14164" name="Column14143" dataDxfId="2269" dataCellStyle="Normal"/>
    <tableColumn id="14165" name="Column14144" dataDxfId="2268" dataCellStyle="Normal"/>
    <tableColumn id="14166" name="Column14145" dataDxfId="2267" dataCellStyle="Normal"/>
    <tableColumn id="14167" name="Column14146" dataDxfId="2266" dataCellStyle="Normal"/>
    <tableColumn id="14168" name="Column14147" dataDxfId="2265" dataCellStyle="Normal"/>
    <tableColumn id="14169" name="Column14148" dataDxfId="2264" dataCellStyle="Normal"/>
    <tableColumn id="14170" name="Column14149" dataDxfId="2263" dataCellStyle="Normal"/>
    <tableColumn id="14171" name="Column14150" dataDxfId="2262" dataCellStyle="Normal"/>
    <tableColumn id="14172" name="Column14151" dataDxfId="2261" dataCellStyle="Normal"/>
    <tableColumn id="14173" name="Column14152" dataDxfId="2260" dataCellStyle="Normal"/>
    <tableColumn id="14174" name="Column14153" dataDxfId="2259" dataCellStyle="Normal"/>
    <tableColumn id="14175" name="Column14154" dataDxfId="2258" dataCellStyle="Normal"/>
    <tableColumn id="14176" name="Column14155" dataDxfId="2257" dataCellStyle="Normal"/>
    <tableColumn id="14177" name="Column14156" dataDxfId="2256" dataCellStyle="Normal"/>
    <tableColumn id="14178" name="Column14157" dataDxfId="2255" dataCellStyle="Normal"/>
    <tableColumn id="14179" name="Column14158" dataDxfId="2254" dataCellStyle="Normal"/>
    <tableColumn id="14180" name="Column14159" dataDxfId="2253" dataCellStyle="Normal"/>
    <tableColumn id="14181" name="Column14160" dataDxfId="2252" dataCellStyle="Normal"/>
    <tableColumn id="14182" name="Column14161" dataDxfId="2251" dataCellStyle="Normal"/>
    <tableColumn id="14183" name="Column14162" dataDxfId="2250" dataCellStyle="Normal"/>
    <tableColumn id="14184" name="Column14163" dataDxfId="2249" dataCellStyle="Normal"/>
    <tableColumn id="14185" name="Column14164" dataDxfId="2248" dataCellStyle="Normal"/>
    <tableColumn id="14186" name="Column14165" dataDxfId="2247" dataCellStyle="Normal"/>
    <tableColumn id="14187" name="Column14166" dataDxfId="2246" dataCellStyle="Normal"/>
    <tableColumn id="14188" name="Column14167" dataDxfId="2245" dataCellStyle="Normal"/>
    <tableColumn id="14189" name="Column14168" dataDxfId="2244" dataCellStyle="Normal"/>
    <tableColumn id="14190" name="Column14169" dataDxfId="2243" dataCellStyle="Normal"/>
    <tableColumn id="14191" name="Column14170" dataDxfId="2242" dataCellStyle="Normal"/>
    <tableColumn id="14192" name="Column14171" dataDxfId="2241" dataCellStyle="Normal"/>
    <tableColumn id="14193" name="Column14172" dataDxfId="2240" dataCellStyle="Normal"/>
    <tableColumn id="14194" name="Column14173" dataDxfId="2239" dataCellStyle="Normal"/>
    <tableColumn id="14195" name="Column14174" dataDxfId="2238" dataCellStyle="Normal"/>
    <tableColumn id="14196" name="Column14175" dataDxfId="2237" dataCellStyle="Normal"/>
    <tableColumn id="14197" name="Column14176" dataDxfId="2236" dataCellStyle="Normal"/>
    <tableColumn id="14198" name="Column14177" dataDxfId="2235" dataCellStyle="Normal"/>
    <tableColumn id="14199" name="Column14178" dataDxfId="2234" dataCellStyle="Normal"/>
    <tableColumn id="14200" name="Column14179" dataDxfId="2233" dataCellStyle="Normal"/>
    <tableColumn id="14201" name="Column14180" dataDxfId="2232" dataCellStyle="Normal"/>
    <tableColumn id="14202" name="Column14181" dataDxfId="2231" dataCellStyle="Normal"/>
    <tableColumn id="14203" name="Column14182" dataDxfId="2230" dataCellStyle="Normal"/>
    <tableColumn id="14204" name="Column14183" dataDxfId="2229" dataCellStyle="Normal"/>
    <tableColumn id="14205" name="Column14184" dataDxfId="2228" dataCellStyle="Normal"/>
    <tableColumn id="14206" name="Column14185" dataDxfId="2227" dataCellStyle="Normal"/>
    <tableColumn id="14207" name="Column14186" dataDxfId="2226" dataCellStyle="Normal"/>
    <tableColumn id="14208" name="Column14187" dataDxfId="2225" dataCellStyle="Normal"/>
    <tableColumn id="14209" name="Column14188" dataDxfId="2224" dataCellStyle="Normal"/>
    <tableColumn id="14210" name="Column14189" dataDxfId="2223" dataCellStyle="Normal"/>
    <tableColumn id="14211" name="Column14190" dataDxfId="2222" dataCellStyle="Normal"/>
    <tableColumn id="14212" name="Column14191" dataDxfId="2221" dataCellStyle="Normal"/>
    <tableColumn id="14213" name="Column14192" dataDxfId="2220" dataCellStyle="Normal"/>
    <tableColumn id="14214" name="Column14193" dataDxfId="2219" dataCellStyle="Normal"/>
    <tableColumn id="14215" name="Column14194" dataDxfId="2218" dataCellStyle="Normal"/>
    <tableColumn id="14216" name="Column14195" dataDxfId="2217" dataCellStyle="Normal"/>
    <tableColumn id="14217" name="Column14196" dataDxfId="2216" dataCellStyle="Normal"/>
    <tableColumn id="14218" name="Column14197" dataDxfId="2215" dataCellStyle="Normal"/>
    <tableColumn id="14219" name="Column14198" dataDxfId="2214" dataCellStyle="Normal"/>
    <tableColumn id="14220" name="Column14199" dataDxfId="2213" dataCellStyle="Normal"/>
    <tableColumn id="14221" name="Column14200" dataDxfId="2212" dataCellStyle="Normal"/>
    <tableColumn id="14222" name="Column14201" dataDxfId="2211" dataCellStyle="Normal"/>
    <tableColumn id="14223" name="Column14202" dataDxfId="2210" dataCellStyle="Normal"/>
    <tableColumn id="14224" name="Column14203" dataDxfId="2209" dataCellStyle="Normal"/>
    <tableColumn id="14225" name="Column14204" dataDxfId="2208" dataCellStyle="Normal"/>
    <tableColumn id="14226" name="Column14205" dataDxfId="2207" dataCellStyle="Normal"/>
    <tableColumn id="14227" name="Column14206" dataDxfId="2206" dataCellStyle="Normal"/>
    <tableColumn id="14228" name="Column14207" dataDxfId="2205" dataCellStyle="Normal"/>
    <tableColumn id="14229" name="Column14208" dataDxfId="2204" dataCellStyle="Normal"/>
    <tableColumn id="14230" name="Column14209" dataDxfId="2203" dataCellStyle="Normal"/>
    <tableColumn id="14231" name="Column14210" dataDxfId="2202" dataCellStyle="Normal"/>
    <tableColumn id="14232" name="Column14211" dataDxfId="2201" dataCellStyle="Normal"/>
    <tableColumn id="14233" name="Column14212" dataDxfId="2200" dataCellStyle="Normal"/>
    <tableColumn id="14234" name="Column14213" dataDxfId="2199" dataCellStyle="Normal"/>
    <tableColumn id="14235" name="Column14214" dataDxfId="2198" dataCellStyle="Normal"/>
    <tableColumn id="14236" name="Column14215" dataDxfId="2197" dataCellStyle="Normal"/>
    <tableColumn id="14237" name="Column14216" dataDxfId="2196" dataCellStyle="Normal"/>
    <tableColumn id="14238" name="Column14217" dataDxfId="2195" dataCellStyle="Normal"/>
    <tableColumn id="14239" name="Column14218" dataDxfId="2194" dataCellStyle="Normal"/>
    <tableColumn id="14240" name="Column14219" dataDxfId="2193" dataCellStyle="Normal"/>
    <tableColumn id="14241" name="Column14220" dataDxfId="2192" dataCellStyle="Normal"/>
    <tableColumn id="14242" name="Column14221" dataDxfId="2191" dataCellStyle="Normal"/>
    <tableColumn id="14243" name="Column14222" dataDxfId="2190" dataCellStyle="Normal"/>
    <tableColumn id="14244" name="Column14223" dataDxfId="2189" dataCellStyle="Normal"/>
    <tableColumn id="14245" name="Column14224" dataDxfId="2188" dataCellStyle="Normal"/>
    <tableColumn id="14246" name="Column14225" dataDxfId="2187" dataCellStyle="Normal"/>
    <tableColumn id="14247" name="Column14226" dataDxfId="2186" dataCellStyle="Normal"/>
    <tableColumn id="14248" name="Column14227" dataDxfId="2185" dataCellStyle="Normal"/>
    <tableColumn id="14249" name="Column14228" dataDxfId="2184" dataCellStyle="Normal"/>
    <tableColumn id="14250" name="Column14229" dataDxfId="2183" dataCellStyle="Normal"/>
    <tableColumn id="14251" name="Column14230" dataDxfId="2182" dataCellStyle="Normal"/>
    <tableColumn id="14252" name="Column14231" dataDxfId="2181" dataCellStyle="Normal"/>
    <tableColumn id="14253" name="Column14232" dataDxfId="2180" dataCellStyle="Normal"/>
    <tableColumn id="14254" name="Column14233" dataDxfId="2179" dataCellStyle="Normal"/>
    <tableColumn id="14255" name="Column14234" dataDxfId="2178" dataCellStyle="Normal"/>
    <tableColumn id="14256" name="Column14235" dataDxfId="2177" dataCellStyle="Normal"/>
    <tableColumn id="14257" name="Column14236" dataDxfId="2176" dataCellStyle="Normal"/>
    <tableColumn id="14258" name="Column14237" dataDxfId="2175" dataCellStyle="Normal"/>
    <tableColumn id="14259" name="Column14238" dataDxfId="2174" dataCellStyle="Normal"/>
    <tableColumn id="14260" name="Column14239" dataDxfId="2173" dataCellStyle="Normal"/>
    <tableColumn id="14261" name="Column14240" dataDxfId="2172" dataCellStyle="Normal"/>
    <tableColumn id="14262" name="Column14241" dataDxfId="2171" dataCellStyle="Normal"/>
    <tableColumn id="14263" name="Column14242" dataDxfId="2170" dataCellStyle="Normal"/>
    <tableColumn id="14264" name="Column14243" dataDxfId="2169" dataCellStyle="Normal"/>
    <tableColumn id="14265" name="Column14244" dataDxfId="2168" dataCellStyle="Normal"/>
    <tableColumn id="14266" name="Column14245" dataDxfId="2167" dataCellStyle="Normal"/>
    <tableColumn id="14267" name="Column14246" dataDxfId="2166" dataCellStyle="Normal"/>
    <tableColumn id="14268" name="Column14247" dataDxfId="2165" dataCellStyle="Normal"/>
    <tableColumn id="14269" name="Column14248" dataDxfId="2164" dataCellStyle="Normal"/>
    <tableColumn id="14270" name="Column14249" dataDxfId="2163" dataCellStyle="Normal"/>
    <tableColumn id="14271" name="Column14250" dataDxfId="2162" dataCellStyle="Normal"/>
    <tableColumn id="14272" name="Column14251" dataDxfId="2161" dataCellStyle="Normal"/>
    <tableColumn id="14273" name="Column14252" dataDxfId="2160" dataCellStyle="Normal"/>
    <tableColumn id="14274" name="Column14253" dataDxfId="2159" dataCellStyle="Normal"/>
    <tableColumn id="14275" name="Column14254" dataDxfId="2158" dataCellStyle="Normal"/>
    <tableColumn id="14276" name="Column14255" dataDxfId="2157" dataCellStyle="Normal"/>
    <tableColumn id="14277" name="Column14256" dataDxfId="2156" dataCellStyle="Normal"/>
    <tableColumn id="14278" name="Column14257" dataDxfId="2155" dataCellStyle="Normal"/>
    <tableColumn id="14279" name="Column14258" dataDxfId="2154" dataCellStyle="Normal"/>
    <tableColumn id="14280" name="Column14259" dataDxfId="2153" dataCellStyle="Normal"/>
    <tableColumn id="14281" name="Column14260" dataDxfId="2152" dataCellStyle="Normal"/>
    <tableColumn id="14282" name="Column14261" dataDxfId="2151" dataCellStyle="Normal"/>
    <tableColumn id="14283" name="Column14262" dataDxfId="2150" dataCellStyle="Normal"/>
    <tableColumn id="14284" name="Column14263" dataDxfId="2149" dataCellStyle="Normal"/>
    <tableColumn id="14285" name="Column14264" dataDxfId="2148" dataCellStyle="Normal"/>
    <tableColumn id="14286" name="Column14265" dataDxfId="2147" dataCellStyle="Normal"/>
    <tableColumn id="14287" name="Column14266" dataDxfId="2146" dataCellStyle="Normal"/>
    <tableColumn id="14288" name="Column14267" dataDxfId="2145" dataCellStyle="Normal"/>
    <tableColumn id="14289" name="Column14268" dataDxfId="2144" dataCellStyle="Normal"/>
    <tableColumn id="14290" name="Column14269" dataDxfId="2143" dataCellStyle="Normal"/>
    <tableColumn id="14291" name="Column14270" dataDxfId="2142" dataCellStyle="Normal"/>
    <tableColumn id="14292" name="Column14271" dataDxfId="2141" dataCellStyle="Normal"/>
    <tableColumn id="14293" name="Column14272" dataDxfId="2140" dataCellStyle="Normal"/>
    <tableColumn id="14294" name="Column14273" dataDxfId="2139" dataCellStyle="Normal"/>
    <tableColumn id="14295" name="Column14274" dataDxfId="2138" dataCellStyle="Normal"/>
    <tableColumn id="14296" name="Column14275" dataDxfId="2137" dataCellStyle="Normal"/>
    <tableColumn id="14297" name="Column14276" dataDxfId="2136" dataCellStyle="Normal"/>
    <tableColumn id="14298" name="Column14277" dataDxfId="2135" dataCellStyle="Normal"/>
    <tableColumn id="14299" name="Column14278" dataDxfId="2134" dataCellStyle="Normal"/>
    <tableColumn id="14300" name="Column14279" dataDxfId="2133" dataCellStyle="Normal"/>
    <tableColumn id="14301" name="Column14280" dataDxfId="2132" dataCellStyle="Normal"/>
    <tableColumn id="14302" name="Column14281" dataDxfId="2131" dataCellStyle="Normal"/>
    <tableColumn id="14303" name="Column14282" dataDxfId="2130" dataCellStyle="Normal"/>
    <tableColumn id="14304" name="Column14283" dataDxfId="2129" dataCellStyle="Normal"/>
    <tableColumn id="14305" name="Column14284" dataDxfId="2128" dataCellStyle="Normal"/>
    <tableColumn id="14306" name="Column14285" dataDxfId="2127" dataCellStyle="Normal"/>
    <tableColumn id="14307" name="Column14286" dataDxfId="2126" dataCellStyle="Normal"/>
    <tableColumn id="14308" name="Column14287" dataDxfId="2125" dataCellStyle="Normal"/>
    <tableColumn id="14309" name="Column14288" dataDxfId="2124" dataCellStyle="Normal"/>
    <tableColumn id="14310" name="Column14289" dataDxfId="2123" dataCellStyle="Normal"/>
    <tableColumn id="14311" name="Column14290" dataDxfId="2122" dataCellStyle="Normal"/>
    <tableColumn id="14312" name="Column14291" dataDxfId="2121" dataCellStyle="Normal"/>
    <tableColumn id="14313" name="Column14292" dataDxfId="2120" dataCellStyle="Normal"/>
    <tableColumn id="14314" name="Column14293" dataDxfId="2119" dataCellStyle="Normal"/>
    <tableColumn id="14315" name="Column14294" dataDxfId="2118" dataCellStyle="Normal"/>
    <tableColumn id="14316" name="Column14295" dataDxfId="2117" dataCellStyle="Normal"/>
    <tableColumn id="14317" name="Column14296" dataDxfId="2116" dataCellStyle="Normal"/>
    <tableColumn id="14318" name="Column14297" dataDxfId="2115" dataCellStyle="Normal"/>
    <tableColumn id="14319" name="Column14298" dataDxfId="2114" dataCellStyle="Normal"/>
    <tableColumn id="14320" name="Column14299" dataDxfId="2113" dataCellStyle="Normal"/>
    <tableColumn id="14321" name="Column14300" dataDxfId="2112" dataCellStyle="Normal"/>
    <tableColumn id="14322" name="Column14301" dataDxfId="2111" dataCellStyle="Normal"/>
    <tableColumn id="14323" name="Column14302" dataDxfId="2110" dataCellStyle="Normal"/>
    <tableColumn id="14324" name="Column14303" dataDxfId="2109" dataCellStyle="Normal"/>
    <tableColumn id="14325" name="Column14304" dataDxfId="2108" dataCellStyle="Normal"/>
    <tableColumn id="14326" name="Column14305" dataDxfId="2107" dataCellStyle="Normal"/>
    <tableColumn id="14327" name="Column14306" dataDxfId="2106" dataCellStyle="Normal"/>
    <tableColumn id="14328" name="Column14307" dataDxfId="2105" dataCellStyle="Normal"/>
    <tableColumn id="14329" name="Column14308" dataDxfId="2104" dataCellStyle="Normal"/>
    <tableColumn id="14330" name="Column14309" dataDxfId="2103" dataCellStyle="Normal"/>
    <tableColumn id="14331" name="Column14310" dataDxfId="2102" dataCellStyle="Normal"/>
    <tableColumn id="14332" name="Column14311" dataDxfId="2101" dataCellStyle="Normal"/>
    <tableColumn id="14333" name="Column14312" dataDxfId="2100" dataCellStyle="Normal"/>
    <tableColumn id="14334" name="Column14313" dataDxfId="2099" dataCellStyle="Normal"/>
    <tableColumn id="14335" name="Column14314" dataDxfId="2098" dataCellStyle="Normal"/>
    <tableColumn id="14336" name="Column14315" dataDxfId="2097" dataCellStyle="Normal"/>
    <tableColumn id="14337" name="Column14316" dataDxfId="2096" dataCellStyle="Normal"/>
    <tableColumn id="14338" name="Column14317" dataDxfId="2095" dataCellStyle="Normal"/>
    <tableColumn id="14339" name="Column14318" dataDxfId="2094" dataCellStyle="Normal"/>
    <tableColumn id="14340" name="Column14319" dataDxfId="2093" dataCellStyle="Normal"/>
    <tableColumn id="14341" name="Column14320" dataDxfId="2092" dataCellStyle="Normal"/>
    <tableColumn id="14342" name="Column14321" dataDxfId="2091" dataCellStyle="Normal"/>
    <tableColumn id="14343" name="Column14322" dataDxfId="2090" dataCellStyle="Normal"/>
    <tableColumn id="14344" name="Column14323" dataDxfId="2089" dataCellStyle="Normal"/>
    <tableColumn id="14345" name="Column14324" dataDxfId="2088" dataCellStyle="Normal"/>
    <tableColumn id="14346" name="Column14325" dataDxfId="2087" dataCellStyle="Normal"/>
    <tableColumn id="14347" name="Column14326" dataDxfId="2086" dataCellStyle="Normal"/>
    <tableColumn id="14348" name="Column14327" dataDxfId="2085" dataCellStyle="Normal"/>
    <tableColumn id="14349" name="Column14328" dataDxfId="2084" dataCellStyle="Normal"/>
    <tableColumn id="14350" name="Column14329" dataDxfId="2083" dataCellStyle="Normal"/>
    <tableColumn id="14351" name="Column14330" dataDxfId="2082" dataCellStyle="Normal"/>
    <tableColumn id="14352" name="Column14331" dataDxfId="2081" dataCellStyle="Normal"/>
    <tableColumn id="14353" name="Column14332" dataDxfId="2080" dataCellStyle="Normal"/>
    <tableColumn id="14354" name="Column14333" dataDxfId="2079" dataCellStyle="Normal"/>
    <tableColumn id="14355" name="Column14334" dataDxfId="2078" dataCellStyle="Normal"/>
    <tableColumn id="14356" name="Column14335" dataDxfId="2077" dataCellStyle="Normal"/>
    <tableColumn id="14357" name="Column14336" dataDxfId="2076" dataCellStyle="Normal"/>
    <tableColumn id="14358" name="Column14337" dataDxfId="2075" dataCellStyle="Normal"/>
    <tableColumn id="14359" name="Column14338" dataDxfId="2074" dataCellStyle="Normal"/>
    <tableColumn id="14360" name="Column14339" dataDxfId="2073" dataCellStyle="Normal"/>
    <tableColumn id="14361" name="Column14340" dataDxfId="2072" dataCellStyle="Normal"/>
    <tableColumn id="14362" name="Column14341" dataDxfId="2071" dataCellStyle="Normal"/>
    <tableColumn id="14363" name="Column14342" dataDxfId="2070" dataCellStyle="Normal"/>
    <tableColumn id="14364" name="Column14343" dataDxfId="2069" dataCellStyle="Normal"/>
    <tableColumn id="14365" name="Column14344" dataDxfId="2068" dataCellStyle="Normal"/>
    <tableColumn id="14366" name="Column14345" dataDxfId="2067" dataCellStyle="Normal"/>
    <tableColumn id="14367" name="Column14346" dataDxfId="2066" dataCellStyle="Normal"/>
    <tableColumn id="14368" name="Column14347" dataDxfId="2065" dataCellStyle="Normal"/>
    <tableColumn id="14369" name="Column14348" dataDxfId="2064" dataCellStyle="Normal"/>
    <tableColumn id="14370" name="Column14349" dataDxfId="2063" dataCellStyle="Normal"/>
    <tableColumn id="14371" name="Column14350" dataDxfId="2062" dataCellStyle="Normal"/>
    <tableColumn id="14372" name="Column14351" dataDxfId="2061" dataCellStyle="Normal"/>
    <tableColumn id="14373" name="Column14352" dataDxfId="2060" dataCellStyle="Normal"/>
    <tableColumn id="14374" name="Column14353" dataDxfId="2059" dataCellStyle="Normal"/>
    <tableColumn id="14375" name="Column14354" dataDxfId="2058" dataCellStyle="Normal"/>
    <tableColumn id="14376" name="Column14355" dataDxfId="2057" dataCellStyle="Normal"/>
    <tableColumn id="14377" name="Column14356" dataDxfId="2056" dataCellStyle="Normal"/>
    <tableColumn id="14378" name="Column14357" dataDxfId="2055" dataCellStyle="Normal"/>
    <tableColumn id="14379" name="Column14358" dataDxfId="2054" dataCellStyle="Normal"/>
    <tableColumn id="14380" name="Column14359" dataDxfId="2053" dataCellStyle="Normal"/>
    <tableColumn id="14381" name="Column14360" dataDxfId="2052" dataCellStyle="Normal"/>
    <tableColumn id="14382" name="Column14361" dataDxfId="2051" dataCellStyle="Normal"/>
    <tableColumn id="14383" name="Column14362" dataDxfId="2050" dataCellStyle="Normal"/>
    <tableColumn id="14384" name="Column14363" dataDxfId="2049" dataCellStyle="Normal"/>
    <tableColumn id="14385" name="Column14364" dataDxfId="2048" dataCellStyle="Normal"/>
    <tableColumn id="14386" name="Column14365" dataDxfId="2047" dataCellStyle="Normal"/>
    <tableColumn id="14387" name="Column14366" dataDxfId="2046" dataCellStyle="Normal"/>
    <tableColumn id="14388" name="Column14367" dataDxfId="2045" dataCellStyle="Normal"/>
    <tableColumn id="14389" name="Column14368" dataDxfId="2044" dataCellStyle="Normal"/>
    <tableColumn id="14390" name="Column14369" dataDxfId="2043" dataCellStyle="Normal"/>
    <tableColumn id="14391" name="Column14370" dataDxfId="2042" dataCellStyle="Normal"/>
    <tableColumn id="14392" name="Column14371" dataDxfId="2041" dataCellStyle="Normal"/>
    <tableColumn id="14393" name="Column14372" dataDxfId="2040" dataCellStyle="Normal"/>
    <tableColumn id="14394" name="Column14373" dataDxfId="2039" dataCellStyle="Normal"/>
    <tableColumn id="14395" name="Column14374" dataDxfId="2038" dataCellStyle="Normal"/>
    <tableColumn id="14396" name="Column14375" dataDxfId="2037" dataCellStyle="Normal"/>
    <tableColumn id="14397" name="Column14376" dataDxfId="2036" dataCellStyle="Normal"/>
    <tableColumn id="14398" name="Column14377" dataDxfId="2035" dataCellStyle="Normal"/>
    <tableColumn id="14399" name="Column14378" dataDxfId="2034" dataCellStyle="Normal"/>
    <tableColumn id="14400" name="Column14379" dataDxfId="2033" dataCellStyle="Normal"/>
    <tableColumn id="14401" name="Column14380" dataDxfId="2032" dataCellStyle="Normal"/>
    <tableColumn id="14402" name="Column14381" dataDxfId="2031" dataCellStyle="Normal"/>
    <tableColumn id="14403" name="Column14382" dataDxfId="2030" dataCellStyle="Normal"/>
    <tableColumn id="14404" name="Column14383" dataDxfId="2029" dataCellStyle="Normal"/>
    <tableColumn id="14405" name="Column14384" dataDxfId="2028" dataCellStyle="Normal"/>
    <tableColumn id="14406" name="Column14385" dataDxfId="2027" dataCellStyle="Normal"/>
    <tableColumn id="14407" name="Column14386" dataDxfId="2026" dataCellStyle="Normal"/>
    <tableColumn id="14408" name="Column14387" dataDxfId="2025" dataCellStyle="Normal"/>
    <tableColumn id="14409" name="Column14388" dataDxfId="2024" dataCellStyle="Normal"/>
    <tableColumn id="14410" name="Column14389" dataDxfId="2023" dataCellStyle="Normal"/>
    <tableColumn id="14411" name="Column14390" dataDxfId="2022" dataCellStyle="Normal"/>
    <tableColumn id="14412" name="Column14391" dataDxfId="2021" dataCellStyle="Normal"/>
    <tableColumn id="14413" name="Column14392" dataDxfId="2020" dataCellStyle="Normal"/>
    <tableColumn id="14414" name="Column14393" dataDxfId="2019" dataCellStyle="Normal"/>
    <tableColumn id="14415" name="Column14394" dataDxfId="2018" dataCellStyle="Normal"/>
    <tableColumn id="14416" name="Column14395" dataDxfId="2017" dataCellStyle="Normal"/>
    <tableColumn id="14417" name="Column14396" dataDxfId="2016" dataCellStyle="Normal"/>
    <tableColumn id="14418" name="Column14397" dataDxfId="2015" dataCellStyle="Normal"/>
    <tableColumn id="14419" name="Column14398" dataDxfId="2014" dataCellStyle="Normal"/>
    <tableColumn id="14420" name="Column14399" dataDxfId="2013" dataCellStyle="Normal"/>
    <tableColumn id="14421" name="Column14400" dataDxfId="2012" dataCellStyle="Normal"/>
    <tableColumn id="14422" name="Column14401" dataDxfId="2011" dataCellStyle="Normal"/>
    <tableColumn id="14423" name="Column14402" dataDxfId="2010" dataCellStyle="Normal"/>
    <tableColumn id="14424" name="Column14403" dataDxfId="2009" dataCellStyle="Normal"/>
    <tableColumn id="14425" name="Column14404" dataDxfId="2008" dataCellStyle="Normal"/>
    <tableColumn id="14426" name="Column14405" dataDxfId="2007" dataCellStyle="Normal"/>
    <tableColumn id="14427" name="Column14406" dataDxfId="2006" dataCellStyle="Normal"/>
    <tableColumn id="14428" name="Column14407" dataDxfId="2005" dataCellStyle="Normal"/>
    <tableColumn id="14429" name="Column14408" dataDxfId="2004" dataCellStyle="Normal"/>
    <tableColumn id="14430" name="Column14409" dataDxfId="2003" dataCellStyle="Normal"/>
    <tableColumn id="14431" name="Column14410" dataDxfId="2002" dataCellStyle="Normal"/>
    <tableColumn id="14432" name="Column14411" dataDxfId="2001" dataCellStyle="Normal"/>
    <tableColumn id="14433" name="Column14412" dataDxfId="2000" dataCellStyle="Normal"/>
    <tableColumn id="14434" name="Column14413" dataDxfId="1999" dataCellStyle="Normal"/>
    <tableColumn id="14435" name="Column14414" dataDxfId="1998" dataCellStyle="Normal"/>
    <tableColumn id="14436" name="Column14415" dataDxfId="1997" dataCellStyle="Normal"/>
    <tableColumn id="14437" name="Column14416" dataDxfId="1996" dataCellStyle="Normal"/>
    <tableColumn id="14438" name="Column14417" dataDxfId="1995" dataCellStyle="Normal"/>
    <tableColumn id="14439" name="Column14418" dataDxfId="1994" dataCellStyle="Normal"/>
    <tableColumn id="14440" name="Column14419" dataDxfId="1993" dataCellStyle="Normal"/>
    <tableColumn id="14441" name="Column14420" dataDxfId="1992" dataCellStyle="Normal"/>
    <tableColumn id="14442" name="Column14421" dataDxfId="1991" dataCellStyle="Normal"/>
    <tableColumn id="14443" name="Column14422" dataDxfId="1990" dataCellStyle="Normal"/>
    <tableColumn id="14444" name="Column14423" dataDxfId="1989" dataCellStyle="Normal"/>
    <tableColumn id="14445" name="Column14424" dataDxfId="1988" dataCellStyle="Normal"/>
    <tableColumn id="14446" name="Column14425" dataDxfId="1987" dataCellStyle="Normal"/>
    <tableColumn id="14447" name="Column14426" dataDxfId="1986" dataCellStyle="Normal"/>
    <tableColumn id="14448" name="Column14427" dataDxfId="1985" dataCellStyle="Normal"/>
    <tableColumn id="14449" name="Column14428" dataDxfId="1984" dataCellStyle="Normal"/>
    <tableColumn id="14450" name="Column14429" dataDxfId="1983" dataCellStyle="Normal"/>
    <tableColumn id="14451" name="Column14430" dataDxfId="1982" dataCellStyle="Normal"/>
    <tableColumn id="14452" name="Column14431" dataDxfId="1981" dataCellStyle="Normal"/>
    <tableColumn id="14453" name="Column14432" dataDxfId="1980" dataCellStyle="Normal"/>
    <tableColumn id="14454" name="Column14433" dataDxfId="1979" dataCellStyle="Normal"/>
    <tableColumn id="14455" name="Column14434" dataDxfId="1978" dataCellStyle="Normal"/>
    <tableColumn id="14456" name="Column14435" dataDxfId="1977" dataCellStyle="Normal"/>
    <tableColumn id="14457" name="Column14436" dataDxfId="1976" dataCellStyle="Normal"/>
    <tableColumn id="14458" name="Column14437" dataDxfId="1975" dataCellStyle="Normal"/>
    <tableColumn id="14459" name="Column14438" dataDxfId="1974" dataCellStyle="Normal"/>
    <tableColumn id="14460" name="Column14439" dataDxfId="1973" dataCellStyle="Normal"/>
    <tableColumn id="14461" name="Column14440" dataDxfId="1972" dataCellStyle="Normal"/>
    <tableColumn id="14462" name="Column14441" dataDxfId="1971" dataCellStyle="Normal"/>
    <tableColumn id="14463" name="Column14442" dataDxfId="1970" dataCellStyle="Normal"/>
    <tableColumn id="14464" name="Column14443" dataDxfId="1969" dataCellStyle="Normal"/>
    <tableColumn id="14465" name="Column14444" dataDxfId="1968" dataCellStyle="Normal"/>
    <tableColumn id="14466" name="Column14445" dataDxfId="1967" dataCellStyle="Normal"/>
    <tableColumn id="14467" name="Column14446" dataDxfId="1966" dataCellStyle="Normal"/>
    <tableColumn id="14468" name="Column14447" dataDxfId="1965" dataCellStyle="Normal"/>
    <tableColumn id="14469" name="Column14448" dataDxfId="1964" dataCellStyle="Normal"/>
    <tableColumn id="14470" name="Column14449" dataDxfId="1963" dataCellStyle="Normal"/>
    <tableColumn id="14471" name="Column14450" dataDxfId="1962" dataCellStyle="Normal"/>
    <tableColumn id="14472" name="Column14451" dataDxfId="1961" dataCellStyle="Normal"/>
    <tableColumn id="14473" name="Column14452" dataDxfId="1960" dataCellStyle="Normal"/>
    <tableColumn id="14474" name="Column14453" dataDxfId="1959" dataCellStyle="Normal"/>
    <tableColumn id="14475" name="Column14454" dataDxfId="1958" dataCellStyle="Normal"/>
    <tableColumn id="14476" name="Column14455" dataDxfId="1957" dataCellStyle="Normal"/>
    <tableColumn id="14477" name="Column14456" dataDxfId="1956" dataCellStyle="Normal"/>
    <tableColumn id="14478" name="Column14457" dataDxfId="1955" dataCellStyle="Normal"/>
    <tableColumn id="14479" name="Column14458" dataDxfId="1954" dataCellStyle="Normal"/>
    <tableColumn id="14480" name="Column14459" dataDxfId="1953" dataCellStyle="Normal"/>
    <tableColumn id="14481" name="Column14460" dataDxfId="1952" dataCellStyle="Normal"/>
    <tableColumn id="14482" name="Column14461" dataDxfId="1951" dataCellStyle="Normal"/>
    <tableColumn id="14483" name="Column14462" dataDxfId="1950" dataCellStyle="Normal"/>
    <tableColumn id="14484" name="Column14463" dataDxfId="1949" dataCellStyle="Normal"/>
    <tableColumn id="14485" name="Column14464" dataDxfId="1948" dataCellStyle="Normal"/>
    <tableColumn id="14486" name="Column14465" dataDxfId="1947" dataCellStyle="Normal"/>
    <tableColumn id="14487" name="Column14466" dataDxfId="1946" dataCellStyle="Normal"/>
    <tableColumn id="14488" name="Column14467" dataDxfId="1945" dataCellStyle="Normal"/>
    <tableColumn id="14489" name="Column14468" dataDxfId="1944" dataCellStyle="Normal"/>
    <tableColumn id="14490" name="Column14469" dataDxfId="1943" dataCellStyle="Normal"/>
    <tableColumn id="14491" name="Column14470" dataDxfId="1942" dataCellStyle="Normal"/>
    <tableColumn id="14492" name="Column14471" dataDxfId="1941" dataCellStyle="Normal"/>
    <tableColumn id="14493" name="Column14472" dataDxfId="1940" dataCellStyle="Normal"/>
    <tableColumn id="14494" name="Column14473" dataDxfId="1939" dataCellStyle="Normal"/>
    <tableColumn id="14495" name="Column14474" dataDxfId="1938" dataCellStyle="Normal"/>
    <tableColumn id="14496" name="Column14475" dataDxfId="1937" dataCellStyle="Normal"/>
    <tableColumn id="14497" name="Column14476" dataDxfId="1936" dataCellStyle="Normal"/>
    <tableColumn id="14498" name="Column14477" dataDxfId="1935" dataCellStyle="Normal"/>
    <tableColumn id="14499" name="Column14478" dataDxfId="1934" dataCellStyle="Normal"/>
    <tableColumn id="14500" name="Column14479" dataDxfId="1933" dataCellStyle="Normal"/>
    <tableColumn id="14501" name="Column14480" dataDxfId="1932" dataCellStyle="Normal"/>
    <tableColumn id="14502" name="Column14481" dataDxfId="1931" dataCellStyle="Normal"/>
    <tableColumn id="14503" name="Column14482" dataDxfId="1930" dataCellStyle="Normal"/>
    <tableColumn id="14504" name="Column14483" dataDxfId="1929" dataCellStyle="Normal"/>
    <tableColumn id="14505" name="Column14484" dataDxfId="1928" dataCellStyle="Normal"/>
    <tableColumn id="14506" name="Column14485" dataDxfId="1927" dataCellStyle="Normal"/>
    <tableColumn id="14507" name="Column14486" dataDxfId="1926" dataCellStyle="Normal"/>
    <tableColumn id="14508" name="Column14487" dataDxfId="1925" dataCellStyle="Normal"/>
    <tableColumn id="14509" name="Column14488" dataDxfId="1924" dataCellStyle="Normal"/>
    <tableColumn id="14510" name="Column14489" dataDxfId="1923" dataCellStyle="Normal"/>
    <tableColumn id="14511" name="Column14490" dataDxfId="1922" dataCellStyle="Normal"/>
    <tableColumn id="14512" name="Column14491" dataDxfId="1921" dataCellStyle="Normal"/>
    <tableColumn id="14513" name="Column14492" dataDxfId="1920" dataCellStyle="Normal"/>
    <tableColumn id="14514" name="Column14493" dataDxfId="1919" dataCellStyle="Normal"/>
    <tableColumn id="14515" name="Column14494" dataDxfId="1918" dataCellStyle="Normal"/>
    <tableColumn id="14516" name="Column14495" dataDxfId="1917" dataCellStyle="Normal"/>
    <tableColumn id="14517" name="Column14496" dataDxfId="1916" dataCellStyle="Normal"/>
    <tableColumn id="14518" name="Column14497" dataDxfId="1915" dataCellStyle="Normal"/>
    <tableColumn id="14519" name="Column14498" dataDxfId="1914" dataCellStyle="Normal"/>
    <tableColumn id="14520" name="Column14499" dataDxfId="1913" dataCellStyle="Normal"/>
    <tableColumn id="14521" name="Column14500" dataDxfId="1912" dataCellStyle="Normal"/>
    <tableColumn id="14522" name="Column14501" dataDxfId="1911" dataCellStyle="Normal"/>
    <tableColumn id="14523" name="Column14502" dataDxfId="1910" dataCellStyle="Normal"/>
    <tableColumn id="14524" name="Column14503" dataDxfId="1909" dataCellStyle="Normal"/>
    <tableColumn id="14525" name="Column14504" dataDxfId="1908" dataCellStyle="Normal"/>
    <tableColumn id="14526" name="Column14505" dataDxfId="1907" dataCellStyle="Normal"/>
    <tableColumn id="14527" name="Column14506" dataDxfId="1906" dataCellStyle="Normal"/>
    <tableColumn id="14528" name="Column14507" dataDxfId="1905" dataCellStyle="Normal"/>
    <tableColumn id="14529" name="Column14508" dataDxfId="1904" dataCellStyle="Normal"/>
    <tableColumn id="14530" name="Column14509" dataDxfId="1903" dataCellStyle="Normal"/>
    <tableColumn id="14531" name="Column14510" dataDxfId="1902" dataCellStyle="Normal"/>
    <tableColumn id="14532" name="Column14511" dataDxfId="1901" dataCellStyle="Normal"/>
    <tableColumn id="14533" name="Column14512" dataDxfId="1900" dataCellStyle="Normal"/>
    <tableColumn id="14534" name="Column14513" dataDxfId="1899" dataCellStyle="Normal"/>
    <tableColumn id="14535" name="Column14514" dataDxfId="1898" dataCellStyle="Normal"/>
    <tableColumn id="14536" name="Column14515" dataDxfId="1897" dataCellStyle="Normal"/>
    <tableColumn id="14537" name="Column14516" dataDxfId="1896" dataCellStyle="Normal"/>
    <tableColumn id="14538" name="Column14517" dataDxfId="1895" dataCellStyle="Normal"/>
    <tableColumn id="14539" name="Column14518" dataDxfId="1894" dataCellStyle="Normal"/>
    <tableColumn id="14540" name="Column14519" dataDxfId="1893" dataCellStyle="Normal"/>
    <tableColumn id="14541" name="Column14520" dataDxfId="1892" dataCellStyle="Normal"/>
    <tableColumn id="14542" name="Column14521" dataDxfId="1891" dataCellStyle="Normal"/>
    <tableColumn id="14543" name="Column14522" dataDxfId="1890" dataCellStyle="Normal"/>
    <tableColumn id="14544" name="Column14523" dataDxfId="1889" dataCellStyle="Normal"/>
    <tableColumn id="14545" name="Column14524" dataDxfId="1888" dataCellStyle="Normal"/>
    <tableColumn id="14546" name="Column14525" dataDxfId="1887" dataCellStyle="Normal"/>
    <tableColumn id="14547" name="Column14526" dataDxfId="1886" dataCellStyle="Normal"/>
    <tableColumn id="14548" name="Column14527" dataDxfId="1885" dataCellStyle="Normal"/>
    <tableColumn id="14549" name="Column14528" dataDxfId="1884" dataCellStyle="Normal"/>
    <tableColumn id="14550" name="Column14529" dataDxfId="1883" dataCellStyle="Normal"/>
    <tableColumn id="14551" name="Column14530" dataDxfId="1882" dataCellStyle="Normal"/>
    <tableColumn id="14552" name="Column14531" dataDxfId="1881" dataCellStyle="Normal"/>
    <tableColumn id="14553" name="Column14532" dataDxfId="1880" dataCellStyle="Normal"/>
    <tableColumn id="14554" name="Column14533" dataDxfId="1879" dataCellStyle="Normal"/>
    <tableColumn id="14555" name="Column14534" dataDxfId="1878" dataCellStyle="Normal"/>
    <tableColumn id="14556" name="Column14535" dataDxfId="1877" dataCellStyle="Normal"/>
    <tableColumn id="14557" name="Column14536" dataDxfId="1876" dataCellStyle="Normal"/>
    <tableColumn id="14558" name="Column14537" dataDxfId="1875" dataCellStyle="Normal"/>
    <tableColumn id="14559" name="Column14538" dataDxfId="1874" dataCellStyle="Normal"/>
    <tableColumn id="14560" name="Column14539" dataDxfId="1873" dataCellStyle="Normal"/>
    <tableColumn id="14561" name="Column14540" dataDxfId="1872" dataCellStyle="Normal"/>
    <tableColumn id="14562" name="Column14541" dataDxfId="1871" dataCellStyle="Normal"/>
    <tableColumn id="14563" name="Column14542" dataDxfId="1870" dataCellStyle="Normal"/>
    <tableColumn id="14564" name="Column14543" dataDxfId="1869" dataCellStyle="Normal"/>
    <tableColumn id="14565" name="Column14544" dataDxfId="1868" dataCellStyle="Normal"/>
    <tableColumn id="14566" name="Column14545" dataDxfId="1867" dataCellStyle="Normal"/>
    <tableColumn id="14567" name="Column14546" dataDxfId="1866" dataCellStyle="Normal"/>
    <tableColumn id="14568" name="Column14547" dataDxfId="1865" dataCellStyle="Normal"/>
    <tableColumn id="14569" name="Column14548" dataDxfId="1864" dataCellStyle="Normal"/>
    <tableColumn id="14570" name="Column14549" dataDxfId="1863" dataCellStyle="Normal"/>
    <tableColumn id="14571" name="Column14550" dataDxfId="1862" dataCellStyle="Normal"/>
    <tableColumn id="14572" name="Column14551" dataDxfId="1861" dataCellStyle="Normal"/>
    <tableColumn id="14573" name="Column14552" dataDxfId="1860" dataCellStyle="Normal"/>
    <tableColumn id="14574" name="Column14553" dataDxfId="1859" dataCellStyle="Normal"/>
    <tableColumn id="14575" name="Column14554" dataDxfId="1858" dataCellStyle="Normal"/>
    <tableColumn id="14576" name="Column14555" dataDxfId="1857" dataCellStyle="Normal"/>
    <tableColumn id="14577" name="Column14556" dataDxfId="1856" dataCellStyle="Normal"/>
    <tableColumn id="14578" name="Column14557" dataDxfId="1855" dataCellStyle="Normal"/>
    <tableColumn id="14579" name="Column14558" dataDxfId="1854" dataCellStyle="Normal"/>
    <tableColumn id="14580" name="Column14559" dataDxfId="1853" dataCellStyle="Normal"/>
    <tableColumn id="14581" name="Column14560" dataDxfId="1852" dataCellStyle="Normal"/>
    <tableColumn id="14582" name="Column14561" dataDxfId="1851" dataCellStyle="Normal"/>
    <tableColumn id="14583" name="Column14562" dataDxfId="1850" dataCellStyle="Normal"/>
    <tableColumn id="14584" name="Column14563" dataDxfId="1849" dataCellStyle="Normal"/>
    <tableColumn id="14585" name="Column14564" dataDxfId="1848" dataCellStyle="Normal"/>
    <tableColumn id="14586" name="Column14565" dataDxfId="1847" dataCellStyle="Normal"/>
    <tableColumn id="14587" name="Column14566" dataDxfId="1846" dataCellStyle="Normal"/>
    <tableColumn id="14588" name="Column14567" dataDxfId="1845" dataCellStyle="Normal"/>
    <tableColumn id="14589" name="Column14568" dataDxfId="1844" dataCellStyle="Normal"/>
    <tableColumn id="14590" name="Column14569" dataDxfId="1843" dataCellStyle="Normal"/>
    <tableColumn id="14591" name="Column14570" dataDxfId="1842" dataCellStyle="Normal"/>
    <tableColumn id="14592" name="Column14571" dataDxfId="1841" dataCellStyle="Normal"/>
    <tableColumn id="14593" name="Column14572" dataDxfId="1840" dataCellStyle="Normal"/>
    <tableColumn id="14594" name="Column14573" dataDxfId="1839" dataCellStyle="Normal"/>
    <tableColumn id="14595" name="Column14574" dataDxfId="1838" dataCellStyle="Normal"/>
    <tableColumn id="14596" name="Column14575" dataDxfId="1837" dataCellStyle="Normal"/>
    <tableColumn id="14597" name="Column14576" dataDxfId="1836" dataCellStyle="Normal"/>
    <tableColumn id="14598" name="Column14577" dataDxfId="1835" dataCellStyle="Normal"/>
    <tableColumn id="14599" name="Column14578" dataDxfId="1834" dataCellStyle="Normal"/>
    <tableColumn id="14600" name="Column14579" dataDxfId="1833" dataCellStyle="Normal"/>
    <tableColumn id="14601" name="Column14580" dataDxfId="1832" dataCellStyle="Normal"/>
    <tableColumn id="14602" name="Column14581" dataDxfId="1831" dataCellStyle="Normal"/>
    <tableColumn id="14603" name="Column14582" dataDxfId="1830" dataCellStyle="Normal"/>
    <tableColumn id="14604" name="Column14583" dataDxfId="1829" dataCellStyle="Normal"/>
    <tableColumn id="14605" name="Column14584" dataDxfId="1828" dataCellStyle="Normal"/>
    <tableColumn id="14606" name="Column14585" dataDxfId="1827" dataCellStyle="Normal"/>
    <tableColumn id="14607" name="Column14586" dataDxfId="1826" dataCellStyle="Normal"/>
    <tableColumn id="14608" name="Column14587" dataDxfId="1825" dataCellStyle="Normal"/>
    <tableColumn id="14609" name="Column14588" dataDxfId="1824" dataCellStyle="Normal"/>
    <tableColumn id="14610" name="Column14589" dataDxfId="1823" dataCellStyle="Normal"/>
    <tableColumn id="14611" name="Column14590" dataDxfId="1822" dataCellStyle="Normal"/>
    <tableColumn id="14612" name="Column14591" dataDxfId="1821" dataCellStyle="Normal"/>
    <tableColumn id="14613" name="Column14592" dataDxfId="1820" dataCellStyle="Normal"/>
    <tableColumn id="14614" name="Column14593" dataDxfId="1819" dataCellStyle="Normal"/>
    <tableColumn id="14615" name="Column14594" dataDxfId="1818" dataCellStyle="Normal"/>
    <tableColumn id="14616" name="Column14595" dataDxfId="1817" dataCellStyle="Normal"/>
    <tableColumn id="14617" name="Column14596" dataDxfId="1816" dataCellStyle="Normal"/>
    <tableColumn id="14618" name="Column14597" dataDxfId="1815" dataCellStyle="Normal"/>
    <tableColumn id="14619" name="Column14598" dataDxfId="1814" dataCellStyle="Normal"/>
    <tableColumn id="14620" name="Column14599" dataDxfId="1813" dataCellStyle="Normal"/>
    <tableColumn id="14621" name="Column14600" dataDxfId="1812" dataCellStyle="Normal"/>
    <tableColumn id="14622" name="Column14601" dataDxfId="1811" dataCellStyle="Normal"/>
    <tableColumn id="14623" name="Column14602" dataDxfId="1810" dataCellStyle="Normal"/>
    <tableColumn id="14624" name="Column14603" dataDxfId="1809" dataCellStyle="Normal"/>
    <tableColumn id="14625" name="Column14604" dataDxfId="1808" dataCellStyle="Normal"/>
    <tableColumn id="14626" name="Column14605" dataDxfId="1807" dataCellStyle="Normal"/>
    <tableColumn id="14627" name="Column14606" dataDxfId="1806" dataCellStyle="Normal"/>
    <tableColumn id="14628" name="Column14607" dataDxfId="1805" dataCellStyle="Normal"/>
    <tableColumn id="14629" name="Column14608" dataDxfId="1804" dataCellStyle="Normal"/>
    <tableColumn id="14630" name="Column14609" dataDxfId="1803" dataCellStyle="Normal"/>
    <tableColumn id="14631" name="Column14610" dataDxfId="1802" dataCellStyle="Normal"/>
    <tableColumn id="14632" name="Column14611" dataDxfId="1801" dataCellStyle="Normal"/>
    <tableColumn id="14633" name="Column14612" dataDxfId="1800" dataCellStyle="Normal"/>
    <tableColumn id="14634" name="Column14613" dataDxfId="1799" dataCellStyle="Normal"/>
    <tableColumn id="14635" name="Column14614" dataDxfId="1798" dataCellStyle="Normal"/>
    <tableColumn id="14636" name="Column14615" dataDxfId="1797" dataCellStyle="Normal"/>
    <tableColumn id="14637" name="Column14616" dataDxfId="1796" dataCellStyle="Normal"/>
    <tableColumn id="14638" name="Column14617" dataDxfId="1795" dataCellStyle="Normal"/>
    <tableColumn id="14639" name="Column14618" dataDxfId="1794" dataCellStyle="Normal"/>
    <tableColumn id="14640" name="Column14619" dataDxfId="1793" dataCellStyle="Normal"/>
    <tableColumn id="14641" name="Column14620" dataDxfId="1792" dataCellStyle="Normal"/>
    <tableColumn id="14642" name="Column14621" dataDxfId="1791" dataCellStyle="Normal"/>
    <tableColumn id="14643" name="Column14622" dataDxfId="1790" dataCellStyle="Normal"/>
    <tableColumn id="14644" name="Column14623" dataDxfId="1789" dataCellStyle="Normal"/>
    <tableColumn id="14645" name="Column14624" dataDxfId="1788" dataCellStyle="Normal"/>
    <tableColumn id="14646" name="Column14625" dataDxfId="1787" dataCellStyle="Normal"/>
    <tableColumn id="14647" name="Column14626" dataDxfId="1786" dataCellStyle="Normal"/>
    <tableColumn id="14648" name="Column14627" dataDxfId="1785" dataCellStyle="Normal"/>
    <tableColumn id="14649" name="Column14628" dataDxfId="1784" dataCellStyle="Normal"/>
    <tableColumn id="14650" name="Column14629" dataDxfId="1783" dataCellStyle="Normal"/>
    <tableColumn id="14651" name="Column14630" dataDxfId="1782" dataCellStyle="Normal"/>
    <tableColumn id="14652" name="Column14631" dataDxfId="1781" dataCellStyle="Normal"/>
    <tableColumn id="14653" name="Column14632" dataDxfId="1780" dataCellStyle="Normal"/>
    <tableColumn id="14654" name="Column14633" dataDxfId="1779" dataCellStyle="Normal"/>
    <tableColumn id="14655" name="Column14634" dataDxfId="1778" dataCellStyle="Normal"/>
    <tableColumn id="14656" name="Column14635" dataDxfId="1777" dataCellStyle="Normal"/>
    <tableColumn id="14657" name="Column14636" dataDxfId="1776" dataCellStyle="Normal"/>
    <tableColumn id="14658" name="Column14637" dataDxfId="1775" dataCellStyle="Normal"/>
    <tableColumn id="14659" name="Column14638" dataDxfId="1774" dataCellStyle="Normal"/>
    <tableColumn id="14660" name="Column14639" dataDxfId="1773" dataCellStyle="Normal"/>
    <tableColumn id="14661" name="Column14640" dataDxfId="1772" dataCellStyle="Normal"/>
    <tableColumn id="14662" name="Column14641" dataDxfId="1771" dataCellStyle="Normal"/>
    <tableColumn id="14663" name="Column14642" dataDxfId="1770" dataCellStyle="Normal"/>
    <tableColumn id="14664" name="Column14643" dataDxfId="1769" dataCellStyle="Normal"/>
    <tableColumn id="14665" name="Column14644" dataDxfId="1768" dataCellStyle="Normal"/>
    <tableColumn id="14666" name="Column14645" dataDxfId="1767" dataCellStyle="Normal"/>
    <tableColumn id="14667" name="Column14646" dataDxfId="1766" dataCellStyle="Normal"/>
    <tableColumn id="14668" name="Column14647" dataDxfId="1765" dataCellStyle="Normal"/>
    <tableColumn id="14669" name="Column14648" dataDxfId="1764" dataCellStyle="Normal"/>
    <tableColumn id="14670" name="Column14649" dataDxfId="1763" dataCellStyle="Normal"/>
    <tableColumn id="14671" name="Column14650" dataDxfId="1762" dataCellStyle="Normal"/>
    <tableColumn id="14672" name="Column14651" dataDxfId="1761" dataCellStyle="Normal"/>
    <tableColumn id="14673" name="Column14652" dataDxfId="1760" dataCellStyle="Normal"/>
    <tableColumn id="14674" name="Column14653" dataDxfId="1759" dataCellStyle="Normal"/>
    <tableColumn id="14675" name="Column14654" dataDxfId="1758" dataCellStyle="Normal"/>
    <tableColumn id="14676" name="Column14655" dataDxfId="1757" dataCellStyle="Normal"/>
    <tableColumn id="14677" name="Column14656" dataDxfId="1756" dataCellStyle="Normal"/>
    <tableColumn id="14678" name="Column14657" dataDxfId="1755" dataCellStyle="Normal"/>
    <tableColumn id="14679" name="Column14658" dataDxfId="1754" dataCellStyle="Normal"/>
    <tableColumn id="14680" name="Column14659" dataDxfId="1753" dataCellStyle="Normal"/>
    <tableColumn id="14681" name="Column14660" dataDxfId="1752" dataCellStyle="Normal"/>
    <tableColumn id="14682" name="Column14661" dataDxfId="1751" dataCellStyle="Normal"/>
    <tableColumn id="14683" name="Column14662" dataDxfId="1750" dataCellStyle="Normal"/>
    <tableColumn id="14684" name="Column14663" dataDxfId="1749" dataCellStyle="Normal"/>
    <tableColumn id="14685" name="Column14664" dataDxfId="1748" dataCellStyle="Normal"/>
    <tableColumn id="14686" name="Column14665" dataDxfId="1747" dataCellStyle="Normal"/>
    <tableColumn id="14687" name="Column14666" dataDxfId="1746" dataCellStyle="Normal"/>
    <tableColumn id="14688" name="Column14667" dataDxfId="1745" dataCellStyle="Normal"/>
    <tableColumn id="14689" name="Column14668" dataDxfId="1744" dataCellStyle="Normal"/>
    <tableColumn id="14690" name="Column14669" dataDxfId="1743" dataCellStyle="Normal"/>
    <tableColumn id="14691" name="Column14670" dataDxfId="1742" dataCellStyle="Normal"/>
    <tableColumn id="14692" name="Column14671" dataDxfId="1741" dataCellStyle="Normal"/>
    <tableColumn id="14693" name="Column14672" dataDxfId="1740" dataCellStyle="Normal"/>
    <tableColumn id="14694" name="Column14673" dataDxfId="1739" dataCellStyle="Normal"/>
    <tableColumn id="14695" name="Column14674" dataDxfId="1738" dataCellStyle="Normal"/>
    <tableColumn id="14696" name="Column14675" dataDxfId="1737" dataCellStyle="Normal"/>
    <tableColumn id="14697" name="Column14676" dataDxfId="1736" dataCellStyle="Normal"/>
    <tableColumn id="14698" name="Column14677" dataDxfId="1735" dataCellStyle="Normal"/>
    <tableColumn id="14699" name="Column14678" dataDxfId="1734" dataCellStyle="Normal"/>
    <tableColumn id="14700" name="Column14679" dataDxfId="1733" dataCellStyle="Normal"/>
    <tableColumn id="14701" name="Column14680" dataDxfId="1732" dataCellStyle="Normal"/>
    <tableColumn id="14702" name="Column14681" dataDxfId="1731" dataCellStyle="Normal"/>
    <tableColumn id="14703" name="Column14682" dataDxfId="1730" dataCellStyle="Normal"/>
    <tableColumn id="14704" name="Column14683" dataDxfId="1729" dataCellStyle="Normal"/>
    <tableColumn id="14705" name="Column14684" dataDxfId="1728" dataCellStyle="Normal"/>
    <tableColumn id="14706" name="Column14685" dataDxfId="1727" dataCellStyle="Normal"/>
    <tableColumn id="14707" name="Column14686" dataDxfId="1726" dataCellStyle="Normal"/>
    <tableColumn id="14708" name="Column14687" dataDxfId="1725" dataCellStyle="Normal"/>
    <tableColumn id="14709" name="Column14688" dataDxfId="1724" dataCellStyle="Normal"/>
    <tableColumn id="14710" name="Column14689" dataDxfId="1723" dataCellStyle="Normal"/>
    <tableColumn id="14711" name="Column14690" dataDxfId="1722" dataCellStyle="Normal"/>
    <tableColumn id="14712" name="Column14691" dataDxfId="1721" dataCellStyle="Normal"/>
    <tableColumn id="14713" name="Column14692" dataDxfId="1720" dataCellStyle="Normal"/>
    <tableColumn id="14714" name="Column14693" dataDxfId="1719" dataCellStyle="Normal"/>
    <tableColumn id="14715" name="Column14694" dataDxfId="1718" dataCellStyle="Normal"/>
    <tableColumn id="14716" name="Column14695" dataDxfId="1717" dataCellStyle="Normal"/>
    <tableColumn id="14717" name="Column14696" dataDxfId="1716" dataCellStyle="Normal"/>
    <tableColumn id="14718" name="Column14697" dataDxfId="1715" dataCellStyle="Normal"/>
    <tableColumn id="14719" name="Column14698" dataDxfId="1714" dataCellStyle="Normal"/>
    <tableColumn id="14720" name="Column14699" dataDxfId="1713" dataCellStyle="Normal"/>
    <tableColumn id="14721" name="Column14700" dataDxfId="1712" dataCellStyle="Normal"/>
    <tableColumn id="14722" name="Column14701" dataDxfId="1711" dataCellStyle="Normal"/>
    <tableColumn id="14723" name="Column14702" dataDxfId="1710" dataCellStyle="Normal"/>
    <tableColumn id="14724" name="Column14703" dataDxfId="1709" dataCellStyle="Normal"/>
    <tableColumn id="14725" name="Column14704" dataDxfId="1708" dataCellStyle="Normal"/>
    <tableColumn id="14726" name="Column14705" dataDxfId="1707" dataCellStyle="Normal"/>
    <tableColumn id="14727" name="Column14706" dataDxfId="1706" dataCellStyle="Normal"/>
    <tableColumn id="14728" name="Column14707" dataDxfId="1705" dataCellStyle="Normal"/>
    <tableColumn id="14729" name="Column14708" dataDxfId="1704" dataCellStyle="Normal"/>
    <tableColumn id="14730" name="Column14709" dataDxfId="1703" dataCellStyle="Normal"/>
    <tableColumn id="14731" name="Column14710" dataDxfId="1702" dataCellStyle="Normal"/>
    <tableColumn id="14732" name="Column14711" dataDxfId="1701" dataCellStyle="Normal"/>
    <tableColumn id="14733" name="Column14712" dataDxfId="1700" dataCellStyle="Normal"/>
    <tableColumn id="14734" name="Column14713" dataDxfId="1699" dataCellStyle="Normal"/>
    <tableColumn id="14735" name="Column14714" dataDxfId="1698" dataCellStyle="Normal"/>
    <tableColumn id="14736" name="Column14715" dataDxfId="1697" dataCellStyle="Normal"/>
    <tableColumn id="14737" name="Column14716" dataDxfId="1696" dataCellStyle="Normal"/>
    <tableColumn id="14738" name="Column14717" dataDxfId="1695" dataCellStyle="Normal"/>
    <tableColumn id="14739" name="Column14718" dataDxfId="1694" dataCellStyle="Normal"/>
    <tableColumn id="14740" name="Column14719" dataDxfId="1693" dataCellStyle="Normal"/>
    <tableColumn id="14741" name="Column14720" dataDxfId="1692" dataCellStyle="Normal"/>
    <tableColumn id="14742" name="Column14721" dataDxfId="1691" dataCellStyle="Normal"/>
    <tableColumn id="14743" name="Column14722" dataDxfId="1690" dataCellStyle="Normal"/>
    <tableColumn id="14744" name="Column14723" dataDxfId="1689" dataCellStyle="Normal"/>
    <tableColumn id="14745" name="Column14724" dataDxfId="1688" dataCellStyle="Normal"/>
    <tableColumn id="14746" name="Column14725" dataDxfId="1687" dataCellStyle="Normal"/>
    <tableColumn id="14747" name="Column14726" dataDxfId="1686" dataCellStyle="Normal"/>
    <tableColumn id="14748" name="Column14727" dataDxfId="1685" dataCellStyle="Normal"/>
    <tableColumn id="14749" name="Column14728" dataDxfId="1684" dataCellStyle="Normal"/>
    <tableColumn id="14750" name="Column14729" dataDxfId="1683" dataCellStyle="Normal"/>
    <tableColumn id="14751" name="Column14730" dataDxfId="1682" dataCellStyle="Normal"/>
    <tableColumn id="14752" name="Column14731" dataDxfId="1681" dataCellStyle="Normal"/>
    <tableColumn id="14753" name="Column14732" dataDxfId="1680" dataCellStyle="Normal"/>
    <tableColumn id="14754" name="Column14733" dataDxfId="1679" dataCellStyle="Normal"/>
    <tableColumn id="14755" name="Column14734" dataDxfId="1678" dataCellStyle="Normal"/>
    <tableColumn id="14756" name="Column14735" dataDxfId="1677" dataCellStyle="Normal"/>
    <tableColumn id="14757" name="Column14736" dataDxfId="1676" dataCellStyle="Normal"/>
    <tableColumn id="14758" name="Column14737" dataDxfId="1675" dataCellStyle="Normal"/>
    <tableColumn id="14759" name="Column14738" dataDxfId="1674" dataCellStyle="Normal"/>
    <tableColumn id="14760" name="Column14739" dataDxfId="1673" dataCellStyle="Normal"/>
    <tableColumn id="14761" name="Column14740" dataDxfId="1672" dataCellStyle="Normal"/>
    <tableColumn id="14762" name="Column14741" dataDxfId="1671" dataCellStyle="Normal"/>
    <tableColumn id="14763" name="Column14742" dataDxfId="1670" dataCellStyle="Normal"/>
    <tableColumn id="14764" name="Column14743" dataDxfId="1669" dataCellStyle="Normal"/>
    <tableColumn id="14765" name="Column14744" dataDxfId="1668" dataCellStyle="Normal"/>
    <tableColumn id="14766" name="Column14745" dataDxfId="1667" dataCellStyle="Normal"/>
    <tableColumn id="14767" name="Column14746" dataDxfId="1666" dataCellStyle="Normal"/>
    <tableColumn id="14768" name="Column14747" dataDxfId="1665" dataCellStyle="Normal"/>
    <tableColumn id="14769" name="Column14748" dataDxfId="1664" dataCellStyle="Normal"/>
    <tableColumn id="14770" name="Column14749" dataDxfId="1663" dataCellStyle="Normal"/>
    <tableColumn id="14771" name="Column14750" dataDxfId="1662" dataCellStyle="Normal"/>
    <tableColumn id="14772" name="Column14751" dataDxfId="1661" dataCellStyle="Normal"/>
    <tableColumn id="14773" name="Column14752" dataDxfId="1660" dataCellStyle="Normal"/>
    <tableColumn id="14774" name="Column14753" dataDxfId="1659" dataCellStyle="Normal"/>
    <tableColumn id="14775" name="Column14754" dataDxfId="1658" dataCellStyle="Normal"/>
    <tableColumn id="14776" name="Column14755" dataDxfId="1657" dataCellStyle="Normal"/>
    <tableColumn id="14777" name="Column14756" dataDxfId="1656" dataCellStyle="Normal"/>
    <tableColumn id="14778" name="Column14757" dataDxfId="1655" dataCellStyle="Normal"/>
    <tableColumn id="14779" name="Column14758" dataDxfId="1654" dataCellStyle="Normal"/>
    <tableColumn id="14780" name="Column14759" dataDxfId="1653" dataCellStyle="Normal"/>
    <tableColumn id="14781" name="Column14760" dataDxfId="1652" dataCellStyle="Normal"/>
    <tableColumn id="14782" name="Column14761" dataDxfId="1651" dataCellStyle="Normal"/>
    <tableColumn id="14783" name="Column14762" dataDxfId="1650" dataCellStyle="Normal"/>
    <tableColumn id="14784" name="Column14763" dataDxfId="1649" dataCellStyle="Normal"/>
    <tableColumn id="14785" name="Column14764" dataDxfId="1648" dataCellStyle="Normal"/>
    <tableColumn id="14786" name="Column14765" dataDxfId="1647" dataCellStyle="Normal"/>
    <tableColumn id="14787" name="Column14766" dataDxfId="1646" dataCellStyle="Normal"/>
    <tableColumn id="14788" name="Column14767" dataDxfId="1645" dataCellStyle="Normal"/>
    <tableColumn id="14789" name="Column14768" dataDxfId="1644" dataCellStyle="Normal"/>
    <tableColumn id="14790" name="Column14769" dataDxfId="1643" dataCellStyle="Normal"/>
    <tableColumn id="14791" name="Column14770" dataDxfId="1642" dataCellStyle="Normal"/>
    <tableColumn id="14792" name="Column14771" dataDxfId="1641" dataCellStyle="Normal"/>
    <tableColumn id="14793" name="Column14772" dataDxfId="1640" dataCellStyle="Normal"/>
    <tableColumn id="14794" name="Column14773" dataDxfId="1639" dataCellStyle="Normal"/>
    <tableColumn id="14795" name="Column14774" dataDxfId="1638" dataCellStyle="Normal"/>
    <tableColumn id="14796" name="Column14775" dataDxfId="1637" dataCellStyle="Normal"/>
    <tableColumn id="14797" name="Column14776" dataDxfId="1636" dataCellStyle="Normal"/>
    <tableColumn id="14798" name="Column14777" dataDxfId="1635" dataCellStyle="Normal"/>
    <tableColumn id="14799" name="Column14778" dataDxfId="1634" dataCellStyle="Normal"/>
    <tableColumn id="14800" name="Column14779" dataDxfId="1633" dataCellStyle="Normal"/>
    <tableColumn id="14801" name="Column14780" dataDxfId="1632" dataCellStyle="Normal"/>
    <tableColumn id="14802" name="Column14781" dataDxfId="1631" dataCellStyle="Normal"/>
    <tableColumn id="14803" name="Column14782" dataDxfId="1630" dataCellStyle="Normal"/>
    <tableColumn id="14804" name="Column14783" dataDxfId="1629" dataCellStyle="Normal"/>
    <tableColumn id="14805" name="Column14784" dataDxfId="1628" dataCellStyle="Normal"/>
    <tableColumn id="14806" name="Column14785" dataDxfId="1627" dataCellStyle="Normal"/>
    <tableColumn id="14807" name="Column14786" dataDxfId="1626" dataCellStyle="Normal"/>
    <tableColumn id="14808" name="Column14787" dataDxfId="1625" dataCellStyle="Normal"/>
    <tableColumn id="14809" name="Column14788" dataDxfId="1624" dataCellStyle="Normal"/>
    <tableColumn id="14810" name="Column14789" dataDxfId="1623" dataCellStyle="Normal"/>
    <tableColumn id="14811" name="Column14790" dataDxfId="1622" dataCellStyle="Normal"/>
    <tableColumn id="14812" name="Column14791" dataDxfId="1621" dataCellStyle="Normal"/>
    <tableColumn id="14813" name="Column14792" dataDxfId="1620" dataCellStyle="Normal"/>
    <tableColumn id="14814" name="Column14793" dataDxfId="1619" dataCellStyle="Normal"/>
    <tableColumn id="14815" name="Column14794" dataDxfId="1618" dataCellStyle="Normal"/>
    <tableColumn id="14816" name="Column14795" dataDxfId="1617" dataCellStyle="Normal"/>
    <tableColumn id="14817" name="Column14796" dataDxfId="1616" dataCellStyle="Normal"/>
    <tableColumn id="14818" name="Column14797" dataDxfId="1615" dataCellStyle="Normal"/>
    <tableColumn id="14819" name="Column14798" dataDxfId="1614" dataCellStyle="Normal"/>
    <tableColumn id="14820" name="Column14799" dataDxfId="1613" dataCellStyle="Normal"/>
    <tableColumn id="14821" name="Column14800" dataDxfId="1612" dataCellStyle="Normal"/>
    <tableColumn id="14822" name="Column14801" dataDxfId="1611" dataCellStyle="Normal"/>
    <tableColumn id="14823" name="Column14802" dataDxfId="1610" dataCellStyle="Normal"/>
    <tableColumn id="14824" name="Column14803" dataDxfId="1609" dataCellStyle="Normal"/>
    <tableColumn id="14825" name="Column14804" dataDxfId="1608" dataCellStyle="Normal"/>
    <tableColumn id="14826" name="Column14805" dataDxfId="1607" dataCellStyle="Normal"/>
    <tableColumn id="14827" name="Column14806" dataDxfId="1606" dataCellStyle="Normal"/>
    <tableColumn id="14828" name="Column14807" dataDxfId="1605" dataCellStyle="Normal"/>
    <tableColumn id="14829" name="Column14808" dataDxfId="1604" dataCellStyle="Normal"/>
    <tableColumn id="14830" name="Column14809" dataDxfId="1603" dataCellStyle="Normal"/>
    <tableColumn id="14831" name="Column14810" dataDxfId="1602" dataCellStyle="Normal"/>
    <tableColumn id="14832" name="Column14811" dataDxfId="1601" dataCellStyle="Normal"/>
    <tableColumn id="14833" name="Column14812" dataDxfId="1600" dataCellStyle="Normal"/>
    <tableColumn id="14834" name="Column14813" dataDxfId="1599" dataCellStyle="Normal"/>
    <tableColumn id="14835" name="Column14814" dataDxfId="1598" dataCellStyle="Normal"/>
    <tableColumn id="14836" name="Column14815" dataDxfId="1597" dataCellStyle="Normal"/>
    <tableColumn id="14837" name="Column14816" dataDxfId="1596" dataCellStyle="Normal"/>
    <tableColumn id="14838" name="Column14817" dataDxfId="1595" dataCellStyle="Normal"/>
    <tableColumn id="14839" name="Column14818" dataDxfId="1594" dataCellStyle="Normal"/>
    <tableColumn id="14840" name="Column14819" dataDxfId="1593" dataCellStyle="Normal"/>
    <tableColumn id="14841" name="Column14820" dataDxfId="1592" dataCellStyle="Normal"/>
    <tableColumn id="14842" name="Column14821" dataDxfId="1591" dataCellStyle="Normal"/>
    <tableColumn id="14843" name="Column14822" dataDxfId="1590" dataCellStyle="Normal"/>
    <tableColumn id="14844" name="Column14823" dataDxfId="1589" dataCellStyle="Normal"/>
    <tableColumn id="14845" name="Column14824" dataDxfId="1588" dataCellStyle="Normal"/>
    <tableColumn id="14846" name="Column14825" dataDxfId="1587" dataCellStyle="Normal"/>
    <tableColumn id="14847" name="Column14826" dataDxfId="1586" dataCellStyle="Normal"/>
    <tableColumn id="14848" name="Column14827" dataDxfId="1585" dataCellStyle="Normal"/>
    <tableColumn id="14849" name="Column14828" dataDxfId="1584" dataCellStyle="Normal"/>
    <tableColumn id="14850" name="Column14829" dataDxfId="1583" dataCellStyle="Normal"/>
    <tableColumn id="14851" name="Column14830" dataDxfId="1582" dataCellStyle="Normal"/>
    <tableColumn id="14852" name="Column14831" dataDxfId="1581" dataCellStyle="Normal"/>
    <tableColumn id="14853" name="Column14832" dataDxfId="1580" dataCellStyle="Normal"/>
    <tableColumn id="14854" name="Column14833" dataDxfId="1579" dataCellStyle="Normal"/>
    <tableColumn id="14855" name="Column14834" dataDxfId="1578" dataCellStyle="Normal"/>
    <tableColumn id="14856" name="Column14835" dataDxfId="1577" dataCellStyle="Normal"/>
    <tableColumn id="14857" name="Column14836" dataDxfId="1576" dataCellStyle="Normal"/>
    <tableColumn id="14858" name="Column14837" dataDxfId="1575" dataCellStyle="Normal"/>
    <tableColumn id="14859" name="Column14838" dataDxfId="1574" dataCellStyle="Normal"/>
    <tableColumn id="14860" name="Column14839" dataDxfId="1573" dataCellStyle="Normal"/>
    <tableColumn id="14861" name="Column14840" dataDxfId="1572" dataCellStyle="Normal"/>
    <tableColumn id="14862" name="Column14841" dataDxfId="1571" dataCellStyle="Normal"/>
    <tableColumn id="14863" name="Column14842" dataDxfId="1570" dataCellStyle="Normal"/>
    <tableColumn id="14864" name="Column14843" dataDxfId="1569" dataCellStyle="Normal"/>
    <tableColumn id="14865" name="Column14844" dataDxfId="1568" dataCellStyle="Normal"/>
    <tableColumn id="14866" name="Column14845" dataDxfId="1567" dataCellStyle="Normal"/>
    <tableColumn id="14867" name="Column14846" dataDxfId="1566" dataCellStyle="Normal"/>
    <tableColumn id="14868" name="Column14847" dataDxfId="1565" dataCellStyle="Normal"/>
    <tableColumn id="14869" name="Column14848" dataDxfId="1564" dataCellStyle="Normal"/>
    <tableColumn id="14870" name="Column14849" dataDxfId="1563" dataCellStyle="Normal"/>
    <tableColumn id="14871" name="Column14850" dataDxfId="1562" dataCellStyle="Normal"/>
    <tableColumn id="14872" name="Column14851" dataDxfId="1561" dataCellStyle="Normal"/>
    <tableColumn id="14873" name="Column14852" dataDxfId="1560" dataCellStyle="Normal"/>
    <tableColumn id="14874" name="Column14853" dataDxfId="1559" dataCellStyle="Normal"/>
    <tableColumn id="14875" name="Column14854" dataDxfId="1558" dataCellStyle="Normal"/>
    <tableColumn id="14876" name="Column14855" dataDxfId="1557" dataCellStyle="Normal"/>
    <tableColumn id="14877" name="Column14856" dataDxfId="1556" dataCellStyle="Normal"/>
    <tableColumn id="14878" name="Column14857" dataDxfId="1555" dataCellStyle="Normal"/>
    <tableColumn id="14879" name="Column14858" dataDxfId="1554" dataCellStyle="Normal"/>
    <tableColumn id="14880" name="Column14859" dataDxfId="1553" dataCellStyle="Normal"/>
    <tableColumn id="14881" name="Column14860" dataDxfId="1552" dataCellStyle="Normal"/>
    <tableColumn id="14882" name="Column14861" dataDxfId="1551" dataCellStyle="Normal"/>
    <tableColumn id="14883" name="Column14862" dataDxfId="1550" dataCellStyle="Normal"/>
    <tableColumn id="14884" name="Column14863" dataDxfId="1549" dataCellStyle="Normal"/>
    <tableColumn id="14885" name="Column14864" dataDxfId="1548" dataCellStyle="Normal"/>
    <tableColumn id="14886" name="Column14865" dataDxfId="1547" dataCellStyle="Normal"/>
    <tableColumn id="14887" name="Column14866" dataDxfId="1546" dataCellStyle="Normal"/>
    <tableColumn id="14888" name="Column14867" dataDxfId="1545" dataCellStyle="Normal"/>
    <tableColumn id="14889" name="Column14868" dataDxfId="1544" dataCellStyle="Normal"/>
    <tableColumn id="14890" name="Column14869" dataDxfId="1543" dataCellStyle="Normal"/>
    <tableColumn id="14891" name="Column14870" dataDxfId="1542" dataCellStyle="Normal"/>
    <tableColumn id="14892" name="Column14871" dataDxfId="1541" dataCellStyle="Normal"/>
    <tableColumn id="14893" name="Column14872" dataDxfId="1540" dataCellStyle="Normal"/>
    <tableColumn id="14894" name="Column14873" dataDxfId="1539" dataCellStyle="Normal"/>
    <tableColumn id="14895" name="Column14874" dataDxfId="1538" dataCellStyle="Normal"/>
    <tableColumn id="14896" name="Column14875" dataDxfId="1537" dataCellStyle="Normal"/>
    <tableColumn id="14897" name="Column14876" dataDxfId="1536" dataCellStyle="Normal"/>
    <tableColumn id="14898" name="Column14877" dataDxfId="1535" dataCellStyle="Normal"/>
    <tableColumn id="14899" name="Column14878" dataDxfId="1534" dataCellStyle="Normal"/>
    <tableColumn id="14900" name="Column14879" dataDxfId="1533" dataCellStyle="Normal"/>
    <tableColumn id="14901" name="Column14880" dataDxfId="1532" dataCellStyle="Normal"/>
    <tableColumn id="14902" name="Column14881" dataDxfId="1531" dataCellStyle="Normal"/>
    <tableColumn id="14903" name="Column14882" dataDxfId="1530" dataCellStyle="Normal"/>
    <tableColumn id="14904" name="Column14883" dataDxfId="1529" dataCellStyle="Normal"/>
    <tableColumn id="14905" name="Column14884" dataDxfId="1528" dataCellStyle="Normal"/>
    <tableColumn id="14906" name="Column14885" dataDxfId="1527" dataCellStyle="Normal"/>
    <tableColumn id="14907" name="Column14886" dataDxfId="1526" dataCellStyle="Normal"/>
    <tableColumn id="14908" name="Column14887" dataDxfId="1525" dataCellStyle="Normal"/>
    <tableColumn id="14909" name="Column14888" dataDxfId="1524" dataCellStyle="Normal"/>
    <tableColumn id="14910" name="Column14889" dataDxfId="1523" dataCellStyle="Normal"/>
    <tableColumn id="14911" name="Column14890" dataDxfId="1522" dataCellStyle="Normal"/>
    <tableColumn id="14912" name="Column14891" dataDxfId="1521" dataCellStyle="Normal"/>
    <tableColumn id="14913" name="Column14892" dataDxfId="1520" dataCellStyle="Normal"/>
    <tableColumn id="14914" name="Column14893" dataDxfId="1519" dataCellStyle="Normal"/>
    <tableColumn id="14915" name="Column14894" dataDxfId="1518" dataCellStyle="Normal"/>
    <tableColumn id="14916" name="Column14895" dataDxfId="1517" dataCellStyle="Normal"/>
    <tableColumn id="14917" name="Column14896" dataDxfId="1516" dataCellStyle="Normal"/>
    <tableColumn id="14918" name="Column14897" dataDxfId="1515" dataCellStyle="Normal"/>
    <tableColumn id="14919" name="Column14898" dataDxfId="1514" dataCellStyle="Normal"/>
    <tableColumn id="14920" name="Column14899" dataDxfId="1513" dataCellStyle="Normal"/>
    <tableColumn id="14921" name="Column14900" dataDxfId="1512" dataCellStyle="Normal"/>
    <tableColumn id="14922" name="Column14901" dataDxfId="1511" dataCellStyle="Normal"/>
    <tableColumn id="14923" name="Column14902" dataDxfId="1510" dataCellStyle="Normal"/>
    <tableColumn id="14924" name="Column14903" dataDxfId="1509" dataCellStyle="Normal"/>
    <tableColumn id="14925" name="Column14904" dataDxfId="1508" dataCellStyle="Normal"/>
    <tableColumn id="14926" name="Column14905" dataDxfId="1507" dataCellStyle="Normal"/>
    <tableColumn id="14927" name="Column14906" dataDxfId="1506" dataCellStyle="Normal"/>
    <tableColumn id="14928" name="Column14907" dataDxfId="1505" dataCellStyle="Normal"/>
    <tableColumn id="14929" name="Column14908" dataDxfId="1504" dataCellStyle="Normal"/>
    <tableColumn id="14930" name="Column14909" dataDxfId="1503" dataCellStyle="Normal"/>
    <tableColumn id="14931" name="Column14910" dataDxfId="1502" dataCellStyle="Normal"/>
    <tableColumn id="14932" name="Column14911" dataDxfId="1501" dataCellStyle="Normal"/>
    <tableColumn id="14933" name="Column14912" dataDxfId="1500" dataCellStyle="Normal"/>
    <tableColumn id="14934" name="Column14913" dataDxfId="1499" dataCellStyle="Normal"/>
    <tableColumn id="14935" name="Column14914" dataDxfId="1498" dataCellStyle="Normal"/>
    <tableColumn id="14936" name="Column14915" dataDxfId="1497" dataCellStyle="Normal"/>
    <tableColumn id="14937" name="Column14916" dataDxfId="1496" dataCellStyle="Normal"/>
    <tableColumn id="14938" name="Column14917" dataDxfId="1495" dataCellStyle="Normal"/>
    <tableColumn id="14939" name="Column14918" dataDxfId="1494" dataCellStyle="Normal"/>
    <tableColumn id="14940" name="Column14919" dataDxfId="1493" dataCellStyle="Normal"/>
    <tableColumn id="14941" name="Column14920" dataDxfId="1492" dataCellStyle="Normal"/>
    <tableColumn id="14942" name="Column14921" dataDxfId="1491" dataCellStyle="Normal"/>
    <tableColumn id="14943" name="Column14922" dataDxfId="1490" dataCellStyle="Normal"/>
    <tableColumn id="14944" name="Column14923" dataDxfId="1489" dataCellStyle="Normal"/>
    <tableColumn id="14945" name="Column14924" dataDxfId="1488" dataCellStyle="Normal"/>
    <tableColumn id="14946" name="Column14925" dataDxfId="1487" dataCellStyle="Normal"/>
    <tableColumn id="14947" name="Column14926" dataDxfId="1486" dataCellStyle="Normal"/>
    <tableColumn id="14948" name="Column14927" dataDxfId="1485" dataCellStyle="Normal"/>
    <tableColumn id="14949" name="Column14928" dataDxfId="1484" dataCellStyle="Normal"/>
    <tableColumn id="14950" name="Column14929" dataDxfId="1483" dataCellStyle="Normal"/>
    <tableColumn id="14951" name="Column14930" dataDxfId="1482" dataCellStyle="Normal"/>
    <tableColumn id="14952" name="Column14931" dataDxfId="1481" dataCellStyle="Normal"/>
    <tableColumn id="14953" name="Column14932" dataDxfId="1480" dataCellStyle="Normal"/>
    <tableColumn id="14954" name="Column14933" dataDxfId="1479" dataCellStyle="Normal"/>
    <tableColumn id="14955" name="Column14934" dataDxfId="1478" dataCellStyle="Normal"/>
    <tableColumn id="14956" name="Column14935" dataDxfId="1477" dataCellStyle="Normal"/>
    <tableColumn id="14957" name="Column14936" dataDxfId="1476" dataCellStyle="Normal"/>
    <tableColumn id="14958" name="Column14937" dataDxfId="1475" dataCellStyle="Normal"/>
    <tableColumn id="14959" name="Column14938" dataDxfId="1474" dataCellStyle="Normal"/>
    <tableColumn id="14960" name="Column14939" dataDxfId="1473" dataCellStyle="Normal"/>
    <tableColumn id="14961" name="Column14940" dataDxfId="1472" dataCellStyle="Normal"/>
    <tableColumn id="14962" name="Column14941" dataDxfId="1471" dataCellStyle="Normal"/>
    <tableColumn id="14963" name="Column14942" dataDxfId="1470" dataCellStyle="Normal"/>
    <tableColumn id="14964" name="Column14943" dataDxfId="1469" dataCellStyle="Normal"/>
    <tableColumn id="14965" name="Column14944" dataDxfId="1468" dataCellStyle="Normal"/>
    <tableColumn id="14966" name="Column14945" dataDxfId="1467" dataCellStyle="Normal"/>
    <tableColumn id="14967" name="Column14946" dataDxfId="1466" dataCellStyle="Normal"/>
    <tableColumn id="14968" name="Column14947" dataDxfId="1465" dataCellStyle="Normal"/>
    <tableColumn id="14969" name="Column14948" dataDxfId="1464" dataCellStyle="Normal"/>
    <tableColumn id="14970" name="Column14949" dataDxfId="1463" dataCellStyle="Normal"/>
    <tableColumn id="14971" name="Column14950" dataDxfId="1462" dataCellStyle="Normal"/>
    <tableColumn id="14972" name="Column14951" dataDxfId="1461" dataCellStyle="Normal"/>
    <tableColumn id="14973" name="Column14952" dataDxfId="1460" dataCellStyle="Normal"/>
    <tableColumn id="14974" name="Column14953" dataDxfId="1459" dataCellStyle="Normal"/>
    <tableColumn id="14975" name="Column14954" dataDxfId="1458" dataCellStyle="Normal"/>
    <tableColumn id="14976" name="Column14955" dataDxfId="1457" dataCellStyle="Normal"/>
    <tableColumn id="14977" name="Column14956" dataDxfId="1456" dataCellStyle="Normal"/>
    <tableColumn id="14978" name="Column14957" dataDxfId="1455" dataCellStyle="Normal"/>
    <tableColumn id="14979" name="Column14958" dataDxfId="1454" dataCellStyle="Normal"/>
    <tableColumn id="14980" name="Column14959" dataDxfId="1453" dataCellStyle="Normal"/>
    <tableColumn id="14981" name="Column14960" dataDxfId="1452" dataCellStyle="Normal"/>
    <tableColumn id="14982" name="Column14961" dataDxfId="1451" dataCellStyle="Normal"/>
    <tableColumn id="14983" name="Column14962" dataDxfId="1450" dataCellStyle="Normal"/>
    <tableColumn id="14984" name="Column14963" dataDxfId="1449" dataCellStyle="Normal"/>
    <tableColumn id="14985" name="Column14964" dataDxfId="1448" dataCellStyle="Normal"/>
    <tableColumn id="14986" name="Column14965" dataDxfId="1447" dataCellStyle="Normal"/>
    <tableColumn id="14987" name="Column14966" dataDxfId="1446" dataCellStyle="Normal"/>
    <tableColumn id="14988" name="Column14967" dataDxfId="1445" dataCellStyle="Normal"/>
    <tableColumn id="14989" name="Column14968" dataDxfId="1444" dataCellStyle="Normal"/>
    <tableColumn id="14990" name="Column14969" dataDxfId="1443" dataCellStyle="Normal"/>
    <tableColumn id="14991" name="Column14970" dataDxfId="1442" dataCellStyle="Normal"/>
    <tableColumn id="14992" name="Column14971" dataDxfId="1441" dataCellStyle="Normal"/>
    <tableColumn id="14993" name="Column14972" dataDxfId="1440" dataCellStyle="Normal"/>
    <tableColumn id="14994" name="Column14973" dataDxfId="1439" dataCellStyle="Normal"/>
    <tableColumn id="14995" name="Column14974" dataDxfId="1438" dataCellStyle="Normal"/>
    <tableColumn id="14996" name="Column14975" dataDxfId="1437" dataCellStyle="Normal"/>
    <tableColumn id="14997" name="Column14976" dataDxfId="1436" dataCellStyle="Normal"/>
    <tableColumn id="14998" name="Column14977" dataDxfId="1435" dataCellStyle="Normal"/>
    <tableColumn id="14999" name="Column14978" dataDxfId="1434" dataCellStyle="Normal"/>
    <tableColumn id="15000" name="Column14979" dataDxfId="1433" dataCellStyle="Normal"/>
    <tableColumn id="15001" name="Column14980" dataDxfId="1432" dataCellStyle="Normal"/>
    <tableColumn id="15002" name="Column14981" dataDxfId="1431" dataCellStyle="Normal"/>
    <tableColumn id="15003" name="Column14982" dataDxfId="1430" dataCellStyle="Normal"/>
    <tableColumn id="15004" name="Column14983" dataDxfId="1429" dataCellStyle="Normal"/>
    <tableColumn id="15005" name="Column14984" dataDxfId="1428" dataCellStyle="Normal"/>
    <tableColumn id="15006" name="Column14985" dataDxfId="1427" dataCellStyle="Normal"/>
    <tableColumn id="15007" name="Column14986" dataDxfId="1426" dataCellStyle="Normal"/>
    <tableColumn id="15008" name="Column14987" dataDxfId="1425" dataCellStyle="Normal"/>
    <tableColumn id="15009" name="Column14988" dataDxfId="1424" dataCellStyle="Normal"/>
    <tableColumn id="15010" name="Column14989" dataDxfId="1423" dataCellStyle="Normal"/>
    <tableColumn id="15011" name="Column14990" dataDxfId="1422" dataCellStyle="Normal"/>
    <tableColumn id="15012" name="Column14991" dataDxfId="1421" dataCellStyle="Normal"/>
    <tableColumn id="15013" name="Column14992" dataDxfId="1420" dataCellStyle="Normal"/>
    <tableColumn id="15014" name="Column14993" dataDxfId="1419" dataCellStyle="Normal"/>
    <tableColumn id="15015" name="Column14994" dataDxfId="1418" dataCellStyle="Normal"/>
    <tableColumn id="15016" name="Column14995" dataDxfId="1417" dataCellStyle="Normal"/>
    <tableColumn id="15017" name="Column14996" dataDxfId="1416" dataCellStyle="Normal"/>
    <tableColumn id="15018" name="Column14997" dataDxfId="1415" dataCellStyle="Normal"/>
    <tableColumn id="15019" name="Column14998" dataDxfId="1414" dataCellStyle="Normal"/>
    <tableColumn id="15020" name="Column14999" dataDxfId="1413" dataCellStyle="Normal"/>
    <tableColumn id="15021" name="Column15000" dataDxfId="1412" dataCellStyle="Normal"/>
    <tableColumn id="15022" name="Column15001" dataDxfId="1411" dataCellStyle="Normal"/>
    <tableColumn id="15023" name="Column15002" dataDxfId="1410" dataCellStyle="Normal"/>
    <tableColumn id="15024" name="Column15003" dataDxfId="1409" dataCellStyle="Normal"/>
    <tableColumn id="15025" name="Column15004" dataDxfId="1408" dataCellStyle="Normal"/>
    <tableColumn id="15026" name="Column15005" dataDxfId="1407" dataCellStyle="Normal"/>
    <tableColumn id="15027" name="Column15006" dataDxfId="1406" dataCellStyle="Normal"/>
    <tableColumn id="15028" name="Column15007" dataDxfId="1405" dataCellStyle="Normal"/>
    <tableColumn id="15029" name="Column15008" dataDxfId="1404" dataCellStyle="Normal"/>
    <tableColumn id="15030" name="Column15009" dataDxfId="1403" dataCellStyle="Normal"/>
    <tableColumn id="15031" name="Column15010" dataDxfId="1402" dataCellStyle="Normal"/>
    <tableColumn id="15032" name="Column15011" dataDxfId="1401" dataCellStyle="Normal"/>
    <tableColumn id="15033" name="Column15012" dataDxfId="1400" dataCellStyle="Normal"/>
    <tableColumn id="15034" name="Column15013" dataDxfId="1399" dataCellStyle="Normal"/>
    <tableColumn id="15035" name="Column15014" dataDxfId="1398" dataCellStyle="Normal"/>
    <tableColumn id="15036" name="Column15015" dataDxfId="1397" dataCellStyle="Normal"/>
    <tableColumn id="15037" name="Column15016" dataDxfId="1396" dataCellStyle="Normal"/>
    <tableColumn id="15038" name="Column15017" dataDxfId="1395" dataCellStyle="Normal"/>
    <tableColumn id="15039" name="Column15018" dataDxfId="1394" dataCellStyle="Normal"/>
    <tableColumn id="15040" name="Column15019" dataDxfId="1393" dataCellStyle="Normal"/>
    <tableColumn id="15041" name="Column15020" dataDxfId="1392" dataCellStyle="Normal"/>
    <tableColumn id="15042" name="Column15021" dataDxfId="1391" dataCellStyle="Normal"/>
    <tableColumn id="15043" name="Column15022" dataDxfId="1390" dataCellStyle="Normal"/>
    <tableColumn id="15044" name="Column15023" dataDxfId="1389" dataCellStyle="Normal"/>
    <tableColumn id="15045" name="Column15024" dataDxfId="1388" dataCellStyle="Normal"/>
    <tableColumn id="15046" name="Column15025" dataDxfId="1387" dataCellStyle="Normal"/>
    <tableColumn id="15047" name="Column15026" dataDxfId="1386" dataCellStyle="Normal"/>
    <tableColumn id="15048" name="Column15027" dataDxfId="1385" dataCellStyle="Normal"/>
    <tableColumn id="15049" name="Column15028" dataDxfId="1384" dataCellStyle="Normal"/>
    <tableColumn id="15050" name="Column15029" dataDxfId="1383" dataCellStyle="Normal"/>
    <tableColumn id="15051" name="Column15030" dataDxfId="1382" dataCellStyle="Normal"/>
    <tableColumn id="15052" name="Column15031" dataDxfId="1381" dataCellStyle="Normal"/>
    <tableColumn id="15053" name="Column15032" dataDxfId="1380" dataCellStyle="Normal"/>
    <tableColumn id="15054" name="Column15033" dataDxfId="1379" dataCellStyle="Normal"/>
    <tableColumn id="15055" name="Column15034" dataDxfId="1378" dataCellStyle="Normal"/>
    <tableColumn id="15056" name="Column15035" dataDxfId="1377" dataCellStyle="Normal"/>
    <tableColumn id="15057" name="Column15036" dataDxfId="1376" dataCellStyle="Normal"/>
    <tableColumn id="15058" name="Column15037" dataDxfId="1375" dataCellStyle="Normal"/>
    <tableColumn id="15059" name="Column15038" dataDxfId="1374" dataCellStyle="Normal"/>
    <tableColumn id="15060" name="Column15039" dataDxfId="1373" dataCellStyle="Normal"/>
    <tableColumn id="15061" name="Column15040" dataDxfId="1372" dataCellStyle="Normal"/>
    <tableColumn id="15062" name="Column15041" dataDxfId="1371" dataCellStyle="Normal"/>
    <tableColumn id="15063" name="Column15042" dataDxfId="1370" dataCellStyle="Normal"/>
    <tableColumn id="15064" name="Column15043" dataDxfId="1369" dataCellStyle="Normal"/>
    <tableColumn id="15065" name="Column15044" dataDxfId="1368" dataCellStyle="Normal"/>
    <tableColumn id="15066" name="Column15045" dataDxfId="1367" dataCellStyle="Normal"/>
    <tableColumn id="15067" name="Column15046" dataDxfId="1366" dataCellStyle="Normal"/>
    <tableColumn id="15068" name="Column15047" dataDxfId="1365" dataCellStyle="Normal"/>
    <tableColumn id="15069" name="Column15048" dataDxfId="1364" dataCellStyle="Normal"/>
    <tableColumn id="15070" name="Column15049" dataDxfId="1363" dataCellStyle="Normal"/>
    <tableColumn id="15071" name="Column15050" dataDxfId="1362" dataCellStyle="Normal"/>
    <tableColumn id="15072" name="Column15051" dataDxfId="1361" dataCellStyle="Normal"/>
    <tableColumn id="15073" name="Column15052" dataDxfId="1360" dataCellStyle="Normal"/>
    <tableColumn id="15074" name="Column15053" dataDxfId="1359" dataCellStyle="Normal"/>
    <tableColumn id="15075" name="Column15054" dataDxfId="1358" dataCellStyle="Normal"/>
    <tableColumn id="15076" name="Column15055" dataDxfId="1357" dataCellStyle="Normal"/>
    <tableColumn id="15077" name="Column15056" dataDxfId="1356" dataCellStyle="Normal"/>
    <tableColumn id="15078" name="Column15057" dataDxfId="1355" dataCellStyle="Normal"/>
    <tableColumn id="15079" name="Column15058" dataDxfId="1354" dataCellStyle="Normal"/>
    <tableColumn id="15080" name="Column15059" dataDxfId="1353" dataCellStyle="Normal"/>
    <tableColumn id="15081" name="Column15060" dataDxfId="1352" dataCellStyle="Normal"/>
    <tableColumn id="15082" name="Column15061" dataDxfId="1351" dataCellStyle="Normal"/>
    <tableColumn id="15083" name="Column15062" dataDxfId="1350" dataCellStyle="Normal"/>
    <tableColumn id="15084" name="Column15063" dataDxfId="1349" dataCellStyle="Normal"/>
    <tableColumn id="15085" name="Column15064" dataDxfId="1348" dataCellStyle="Normal"/>
    <tableColumn id="15086" name="Column15065" dataDxfId="1347" dataCellStyle="Normal"/>
    <tableColumn id="15087" name="Column15066" dataDxfId="1346" dataCellStyle="Normal"/>
    <tableColumn id="15088" name="Column15067" dataDxfId="1345" dataCellStyle="Normal"/>
    <tableColumn id="15089" name="Column15068" dataDxfId="1344" dataCellStyle="Normal"/>
    <tableColumn id="15090" name="Column15069" dataDxfId="1343" dataCellStyle="Normal"/>
    <tableColumn id="15091" name="Column15070" dataDxfId="1342" dataCellStyle="Normal"/>
    <tableColumn id="15092" name="Column15071" dataDxfId="1341" dataCellStyle="Normal"/>
    <tableColumn id="15093" name="Column15072" dataDxfId="1340" dataCellStyle="Normal"/>
    <tableColumn id="15094" name="Column15073" dataDxfId="1339" dataCellStyle="Normal"/>
    <tableColumn id="15095" name="Column15074" dataDxfId="1338" dataCellStyle="Normal"/>
    <tableColumn id="15096" name="Column15075" dataDxfId="1337" dataCellStyle="Normal"/>
    <tableColumn id="15097" name="Column15076" dataDxfId="1336" dataCellStyle="Normal"/>
    <tableColumn id="15098" name="Column15077" dataDxfId="1335" dataCellStyle="Normal"/>
    <tableColumn id="15099" name="Column15078" dataDxfId="1334" dataCellStyle="Normal"/>
    <tableColumn id="15100" name="Column15079" dataDxfId="1333" dataCellStyle="Normal"/>
    <tableColumn id="15101" name="Column15080" dataDxfId="1332" dataCellStyle="Normal"/>
    <tableColumn id="15102" name="Column15081" dataDxfId="1331" dataCellStyle="Normal"/>
    <tableColumn id="15103" name="Column15082" dataDxfId="1330" dataCellStyle="Normal"/>
    <tableColumn id="15104" name="Column15083" dataDxfId="1329" dataCellStyle="Normal"/>
    <tableColumn id="15105" name="Column15084" dataDxfId="1328" dataCellStyle="Normal"/>
    <tableColumn id="15106" name="Column15085" dataDxfId="1327" dataCellStyle="Normal"/>
    <tableColumn id="15107" name="Column15086" dataDxfId="1326" dataCellStyle="Normal"/>
    <tableColumn id="15108" name="Column15087" dataDxfId="1325" dataCellStyle="Normal"/>
    <tableColumn id="15109" name="Column15088" dataDxfId="1324" dataCellStyle="Normal"/>
    <tableColumn id="15110" name="Column15089" dataDxfId="1323" dataCellStyle="Normal"/>
    <tableColumn id="15111" name="Column15090" dataDxfId="1322" dataCellStyle="Normal"/>
    <tableColumn id="15112" name="Column15091" dataDxfId="1321" dataCellStyle="Normal"/>
    <tableColumn id="15113" name="Column15092" dataDxfId="1320" dataCellStyle="Normal"/>
    <tableColumn id="15114" name="Column15093" dataDxfId="1319" dataCellStyle="Normal"/>
    <tableColumn id="15115" name="Column15094" dataDxfId="1318" dataCellStyle="Normal"/>
    <tableColumn id="15116" name="Column15095" dataDxfId="1317" dataCellStyle="Normal"/>
    <tableColumn id="15117" name="Column15096" dataDxfId="1316" dataCellStyle="Normal"/>
    <tableColumn id="15118" name="Column15097" dataDxfId="1315" dataCellStyle="Normal"/>
    <tableColumn id="15119" name="Column15098" dataDxfId="1314" dataCellStyle="Normal"/>
    <tableColumn id="15120" name="Column15099" dataDxfId="1313" dataCellStyle="Normal"/>
    <tableColumn id="15121" name="Column15100" dataDxfId="1312" dataCellStyle="Normal"/>
    <tableColumn id="15122" name="Column15101" dataDxfId="1311" dataCellStyle="Normal"/>
    <tableColumn id="15123" name="Column15102" dataDxfId="1310" dataCellStyle="Normal"/>
    <tableColumn id="15124" name="Column15103" dataDxfId="1309" dataCellStyle="Normal"/>
    <tableColumn id="15125" name="Column15104" dataDxfId="1308" dataCellStyle="Normal"/>
    <tableColumn id="15126" name="Column15105" dataDxfId="1307" dataCellStyle="Normal"/>
    <tableColumn id="15127" name="Column15106" dataDxfId="1306" dataCellStyle="Normal"/>
    <tableColumn id="15128" name="Column15107" dataDxfId="1305" dataCellStyle="Normal"/>
    <tableColumn id="15129" name="Column15108" dataDxfId="1304" dataCellStyle="Normal"/>
    <tableColumn id="15130" name="Column15109" dataDxfId="1303" dataCellStyle="Normal"/>
    <tableColumn id="15131" name="Column15110" dataDxfId="1302" dataCellStyle="Normal"/>
    <tableColumn id="15132" name="Column15111" dataDxfId="1301" dataCellStyle="Normal"/>
    <tableColumn id="15133" name="Column15112" dataDxfId="1300" dataCellStyle="Normal"/>
    <tableColumn id="15134" name="Column15113" dataDxfId="1299" dataCellStyle="Normal"/>
    <tableColumn id="15135" name="Column15114" dataDxfId="1298" dataCellStyle="Normal"/>
    <tableColumn id="15136" name="Column15115" dataDxfId="1297" dataCellStyle="Normal"/>
    <tableColumn id="15137" name="Column15116" dataDxfId="1296" dataCellStyle="Normal"/>
    <tableColumn id="15138" name="Column15117" dataDxfId="1295" dataCellStyle="Normal"/>
    <tableColumn id="15139" name="Column15118" dataDxfId="1294" dataCellStyle="Normal"/>
    <tableColumn id="15140" name="Column15119" dataDxfId="1293" dataCellStyle="Normal"/>
    <tableColumn id="15141" name="Column15120" dataDxfId="1292" dataCellStyle="Normal"/>
    <tableColumn id="15142" name="Column15121" dataDxfId="1291" dataCellStyle="Normal"/>
    <tableColumn id="15143" name="Column15122" dataDxfId="1290" dataCellStyle="Normal"/>
    <tableColumn id="15144" name="Column15123" dataDxfId="1289" dataCellStyle="Normal"/>
    <tableColumn id="15145" name="Column15124" dataDxfId="1288" dataCellStyle="Normal"/>
    <tableColumn id="15146" name="Column15125" dataDxfId="1287" dataCellStyle="Normal"/>
    <tableColumn id="15147" name="Column15126" dataDxfId="1286" dataCellStyle="Normal"/>
    <tableColumn id="15148" name="Column15127" dataDxfId="1285" dataCellStyle="Normal"/>
    <tableColumn id="15149" name="Column15128" dataDxfId="1284" dataCellStyle="Normal"/>
    <tableColumn id="15150" name="Column15129" dataDxfId="1283" dataCellStyle="Normal"/>
    <tableColumn id="15151" name="Column15130" dataDxfId="1282" dataCellStyle="Normal"/>
    <tableColumn id="15152" name="Column15131" dataDxfId="1281" dataCellStyle="Normal"/>
    <tableColumn id="15153" name="Column15132" dataDxfId="1280" dataCellStyle="Normal"/>
    <tableColumn id="15154" name="Column15133" dataDxfId="1279" dataCellStyle="Normal"/>
    <tableColumn id="15155" name="Column15134" dataDxfId="1278" dataCellStyle="Normal"/>
    <tableColumn id="15156" name="Column15135" dataDxfId="1277" dataCellStyle="Normal"/>
    <tableColumn id="15157" name="Column15136" dataDxfId="1276" dataCellStyle="Normal"/>
    <tableColumn id="15158" name="Column15137" dataDxfId="1275" dataCellStyle="Normal"/>
    <tableColumn id="15159" name="Column15138" dataDxfId="1274" dataCellStyle="Normal"/>
    <tableColumn id="15160" name="Column15139" dataDxfId="1273" dataCellStyle="Normal"/>
    <tableColumn id="15161" name="Column15140" dataDxfId="1272" dataCellStyle="Normal"/>
    <tableColumn id="15162" name="Column15141" dataDxfId="1271" dataCellStyle="Normal"/>
    <tableColumn id="15163" name="Column15142" dataDxfId="1270" dataCellStyle="Normal"/>
    <tableColumn id="15164" name="Column15143" dataDxfId="1269" dataCellStyle="Normal"/>
    <tableColumn id="15165" name="Column15144" dataDxfId="1268" dataCellStyle="Normal"/>
    <tableColumn id="15166" name="Column15145" dataDxfId="1267" dataCellStyle="Normal"/>
    <tableColumn id="15167" name="Column15146" dataDxfId="1266" dataCellStyle="Normal"/>
    <tableColumn id="15168" name="Column15147" dataDxfId="1265" dataCellStyle="Normal"/>
    <tableColumn id="15169" name="Column15148" dataDxfId="1264" dataCellStyle="Normal"/>
    <tableColumn id="15170" name="Column15149" dataDxfId="1263" dataCellStyle="Normal"/>
    <tableColumn id="15171" name="Column15150" dataDxfId="1262" dataCellStyle="Normal"/>
    <tableColumn id="15172" name="Column15151" dataDxfId="1261" dataCellStyle="Normal"/>
    <tableColumn id="15173" name="Column15152" dataDxfId="1260" dataCellStyle="Normal"/>
    <tableColumn id="15174" name="Column15153" dataDxfId="1259" dataCellStyle="Normal"/>
    <tableColumn id="15175" name="Column15154" dataDxfId="1258" dataCellStyle="Normal"/>
    <tableColumn id="15176" name="Column15155" dataDxfId="1257" dataCellStyle="Normal"/>
    <tableColumn id="15177" name="Column15156" dataDxfId="1256" dataCellStyle="Normal"/>
    <tableColumn id="15178" name="Column15157" dataDxfId="1255" dataCellStyle="Normal"/>
    <tableColumn id="15179" name="Column15158" dataDxfId="1254" dataCellStyle="Normal"/>
    <tableColumn id="15180" name="Column15159" dataDxfId="1253" dataCellStyle="Normal"/>
    <tableColumn id="15181" name="Column15160" dataDxfId="1252" dataCellStyle="Normal"/>
    <tableColumn id="15182" name="Column15161" dataDxfId="1251" dataCellStyle="Normal"/>
    <tableColumn id="15183" name="Column15162" dataDxfId="1250" dataCellStyle="Normal"/>
    <tableColumn id="15184" name="Column15163" dataDxfId="1249" dataCellStyle="Normal"/>
    <tableColumn id="15185" name="Column15164" dataDxfId="1248" dataCellStyle="Normal"/>
    <tableColumn id="15186" name="Column15165" dataDxfId="1247" dataCellStyle="Normal"/>
    <tableColumn id="15187" name="Column15166" dataDxfId="1246" dataCellStyle="Normal"/>
    <tableColumn id="15188" name="Column15167" dataDxfId="1245" dataCellStyle="Normal"/>
    <tableColumn id="15189" name="Column15168" dataDxfId="1244" dataCellStyle="Normal"/>
    <tableColumn id="15190" name="Column15169" dataDxfId="1243" dataCellStyle="Normal"/>
    <tableColumn id="15191" name="Column15170" dataDxfId="1242" dataCellStyle="Normal"/>
    <tableColumn id="15192" name="Column15171" dataDxfId="1241" dataCellStyle="Normal"/>
    <tableColumn id="15193" name="Column15172" dataDxfId="1240" dataCellStyle="Normal"/>
    <tableColumn id="15194" name="Column15173" dataDxfId="1239" dataCellStyle="Normal"/>
    <tableColumn id="15195" name="Column15174" dataDxfId="1238" dataCellStyle="Normal"/>
    <tableColumn id="15196" name="Column15175" dataDxfId="1237" dataCellStyle="Normal"/>
    <tableColumn id="15197" name="Column15176" dataDxfId="1236" dataCellStyle="Normal"/>
    <tableColumn id="15198" name="Column15177" dataDxfId="1235" dataCellStyle="Normal"/>
    <tableColumn id="15199" name="Column15178" dataDxfId="1234" dataCellStyle="Normal"/>
    <tableColumn id="15200" name="Column15179" dataDxfId="1233" dataCellStyle="Normal"/>
    <tableColumn id="15201" name="Column15180" dataDxfId="1232" dataCellStyle="Normal"/>
    <tableColumn id="15202" name="Column15181" dataDxfId="1231" dataCellStyle="Normal"/>
    <tableColumn id="15203" name="Column15182" dataDxfId="1230" dataCellStyle="Normal"/>
    <tableColumn id="15204" name="Column15183" dataDxfId="1229" dataCellStyle="Normal"/>
    <tableColumn id="15205" name="Column15184" dataDxfId="1228" dataCellStyle="Normal"/>
    <tableColumn id="15206" name="Column15185" dataDxfId="1227" dataCellStyle="Normal"/>
    <tableColumn id="15207" name="Column15186" dataDxfId="1226" dataCellStyle="Normal"/>
    <tableColumn id="15208" name="Column15187" dataDxfId="1225" dataCellStyle="Normal"/>
    <tableColumn id="15209" name="Column15188" dataDxfId="1224" dataCellStyle="Normal"/>
    <tableColumn id="15210" name="Column15189" dataDxfId="1223" dataCellStyle="Normal"/>
    <tableColumn id="15211" name="Column15190" dataDxfId="1222" dataCellStyle="Normal"/>
    <tableColumn id="15212" name="Column15191" dataDxfId="1221" dataCellStyle="Normal"/>
    <tableColumn id="15213" name="Column15192" dataDxfId="1220" dataCellStyle="Normal"/>
    <tableColumn id="15214" name="Column15193" dataDxfId="1219" dataCellStyle="Normal"/>
    <tableColumn id="15215" name="Column15194" dataDxfId="1218" dataCellStyle="Normal"/>
    <tableColumn id="15216" name="Column15195" dataDxfId="1217" dataCellStyle="Normal"/>
    <tableColumn id="15217" name="Column15196" dataDxfId="1216" dataCellStyle="Normal"/>
    <tableColumn id="15218" name="Column15197" dataDxfId="1215" dataCellStyle="Normal"/>
    <tableColumn id="15219" name="Column15198" dataDxfId="1214" dataCellStyle="Normal"/>
    <tableColumn id="15220" name="Column15199" dataDxfId="1213" dataCellStyle="Normal"/>
    <tableColumn id="15221" name="Column15200" dataDxfId="1212" dataCellStyle="Normal"/>
    <tableColumn id="15222" name="Column15201" dataDxfId="1211" dataCellStyle="Normal"/>
    <tableColumn id="15223" name="Column15202" dataDxfId="1210" dataCellStyle="Normal"/>
    <tableColumn id="15224" name="Column15203" dataDxfId="1209" dataCellStyle="Normal"/>
    <tableColumn id="15225" name="Column15204" dataDxfId="1208" dataCellStyle="Normal"/>
    <tableColumn id="15226" name="Column15205" dataDxfId="1207" dataCellStyle="Normal"/>
    <tableColumn id="15227" name="Column15206" dataDxfId="1206" dataCellStyle="Normal"/>
    <tableColumn id="15228" name="Column15207" dataDxfId="1205" dataCellStyle="Normal"/>
    <tableColumn id="15229" name="Column15208" dataDxfId="1204" dataCellStyle="Normal"/>
    <tableColumn id="15230" name="Column15209" dataDxfId="1203" dataCellStyle="Normal"/>
    <tableColumn id="15231" name="Column15210" dataDxfId="1202" dataCellStyle="Normal"/>
    <tableColumn id="15232" name="Column15211" dataDxfId="1201" dataCellStyle="Normal"/>
    <tableColumn id="15233" name="Column15212" dataDxfId="1200" dataCellStyle="Normal"/>
    <tableColumn id="15234" name="Column15213" dataDxfId="1199" dataCellStyle="Normal"/>
    <tableColumn id="15235" name="Column15214" dataDxfId="1198" dataCellStyle="Normal"/>
    <tableColumn id="15236" name="Column15215" dataDxfId="1197" dataCellStyle="Normal"/>
    <tableColumn id="15237" name="Column15216" dataDxfId="1196" dataCellStyle="Normal"/>
    <tableColumn id="15238" name="Column15217" dataDxfId="1195" dataCellStyle="Normal"/>
    <tableColumn id="15239" name="Column15218" dataDxfId="1194" dataCellStyle="Normal"/>
    <tableColumn id="15240" name="Column15219" dataDxfId="1193" dataCellStyle="Normal"/>
    <tableColumn id="15241" name="Column15220" dataDxfId="1192" dataCellStyle="Normal"/>
    <tableColumn id="15242" name="Column15221" dataDxfId="1191" dataCellStyle="Normal"/>
    <tableColumn id="15243" name="Column15222" dataDxfId="1190" dataCellStyle="Normal"/>
    <tableColumn id="15244" name="Column15223" dataDxfId="1189" dataCellStyle="Normal"/>
    <tableColumn id="15245" name="Column15224" dataDxfId="1188" dataCellStyle="Normal"/>
    <tableColumn id="15246" name="Column15225" dataDxfId="1187" dataCellStyle="Normal"/>
    <tableColumn id="15247" name="Column15226" dataDxfId="1186" dataCellStyle="Normal"/>
    <tableColumn id="15248" name="Column15227" dataDxfId="1185" dataCellStyle="Normal"/>
    <tableColumn id="15249" name="Column15228" dataDxfId="1184" dataCellStyle="Normal"/>
    <tableColumn id="15250" name="Column15229" dataDxfId="1183" dataCellStyle="Normal"/>
    <tableColumn id="15251" name="Column15230" dataDxfId="1182" dataCellStyle="Normal"/>
    <tableColumn id="15252" name="Column15231" dataDxfId="1181" dataCellStyle="Normal"/>
    <tableColumn id="15253" name="Column15232" dataDxfId="1180" dataCellStyle="Normal"/>
    <tableColumn id="15254" name="Column15233" dataDxfId="1179" dataCellStyle="Normal"/>
    <tableColumn id="15255" name="Column15234" dataDxfId="1178" dataCellStyle="Normal"/>
    <tableColumn id="15256" name="Column15235" dataDxfId="1177" dataCellStyle="Normal"/>
    <tableColumn id="15257" name="Column15236" dataDxfId="1176" dataCellStyle="Normal"/>
    <tableColumn id="15258" name="Column15237" dataDxfId="1175" dataCellStyle="Normal"/>
    <tableColumn id="15259" name="Column15238" dataDxfId="1174" dataCellStyle="Normal"/>
    <tableColumn id="15260" name="Column15239" dataDxfId="1173" dataCellStyle="Normal"/>
    <tableColumn id="15261" name="Column15240" dataDxfId="1172" dataCellStyle="Normal"/>
    <tableColumn id="15262" name="Column15241" dataDxfId="1171" dataCellStyle="Normal"/>
    <tableColumn id="15263" name="Column15242" dataDxfId="1170" dataCellStyle="Normal"/>
    <tableColumn id="15264" name="Column15243" dataDxfId="1169" dataCellStyle="Normal"/>
    <tableColumn id="15265" name="Column15244" dataDxfId="1168" dataCellStyle="Normal"/>
    <tableColumn id="15266" name="Column15245" dataDxfId="1167" dataCellStyle="Normal"/>
    <tableColumn id="15267" name="Column15246" dataDxfId="1166" dataCellStyle="Normal"/>
    <tableColumn id="15268" name="Column15247" dataDxfId="1165" dataCellStyle="Normal"/>
    <tableColumn id="15269" name="Column15248" dataDxfId="1164" dataCellStyle="Normal"/>
    <tableColumn id="15270" name="Column15249" dataDxfId="1163" dataCellStyle="Normal"/>
    <tableColumn id="15271" name="Column15250" dataDxfId="1162" dataCellStyle="Normal"/>
    <tableColumn id="15272" name="Column15251" dataDxfId="1161" dataCellStyle="Normal"/>
    <tableColumn id="15273" name="Column15252" dataDxfId="1160" dataCellStyle="Normal"/>
    <tableColumn id="15274" name="Column15253" dataDxfId="1159" dataCellStyle="Normal"/>
    <tableColumn id="15275" name="Column15254" dataDxfId="1158" dataCellStyle="Normal"/>
    <tableColumn id="15276" name="Column15255" dataDxfId="1157" dataCellStyle="Normal"/>
    <tableColumn id="15277" name="Column15256" dataDxfId="1156" dataCellStyle="Normal"/>
    <tableColumn id="15278" name="Column15257" dataDxfId="1155" dataCellStyle="Normal"/>
    <tableColumn id="15279" name="Column15258" dataDxfId="1154" dataCellStyle="Normal"/>
    <tableColumn id="15280" name="Column15259" dataDxfId="1153" dataCellStyle="Normal"/>
    <tableColumn id="15281" name="Column15260" dataDxfId="1152" dataCellStyle="Normal"/>
    <tableColumn id="15282" name="Column15261" dataDxfId="1151" dataCellStyle="Normal"/>
    <tableColumn id="15283" name="Column15262" dataDxfId="1150" dataCellStyle="Normal"/>
    <tableColumn id="15284" name="Column15263" dataDxfId="1149" dataCellStyle="Normal"/>
    <tableColumn id="15285" name="Column15264" dataDxfId="1148" dataCellStyle="Normal"/>
    <tableColumn id="15286" name="Column15265" dataDxfId="1147" dataCellStyle="Normal"/>
    <tableColumn id="15287" name="Column15266" dataDxfId="1146" dataCellStyle="Normal"/>
    <tableColumn id="15288" name="Column15267" dataDxfId="1145" dataCellStyle="Normal"/>
    <tableColumn id="15289" name="Column15268" dataDxfId="1144" dataCellStyle="Normal"/>
    <tableColumn id="15290" name="Column15269" dataDxfId="1143" dataCellStyle="Normal"/>
    <tableColumn id="15291" name="Column15270" dataDxfId="1142" dataCellStyle="Normal"/>
    <tableColumn id="15292" name="Column15271" dataDxfId="1141" dataCellStyle="Normal"/>
    <tableColumn id="15293" name="Column15272" dataDxfId="1140" dataCellStyle="Normal"/>
    <tableColumn id="15294" name="Column15273" dataDxfId="1139" dataCellStyle="Normal"/>
    <tableColumn id="15295" name="Column15274" dataDxfId="1138" dataCellStyle="Normal"/>
    <tableColumn id="15296" name="Column15275" dataDxfId="1137" dataCellStyle="Normal"/>
    <tableColumn id="15297" name="Column15276" dataDxfId="1136" dataCellStyle="Normal"/>
    <tableColumn id="15298" name="Column15277" dataDxfId="1135" dataCellStyle="Normal"/>
    <tableColumn id="15299" name="Column15278" dataDxfId="1134" dataCellStyle="Normal"/>
    <tableColumn id="15300" name="Column15279" dataDxfId="1133" dataCellStyle="Normal"/>
    <tableColumn id="15301" name="Column15280" dataDxfId="1132" dataCellStyle="Normal"/>
    <tableColumn id="15302" name="Column15281" dataDxfId="1131" dataCellStyle="Normal"/>
    <tableColumn id="15303" name="Column15282" dataDxfId="1130" dataCellStyle="Normal"/>
    <tableColumn id="15304" name="Column15283" dataDxfId="1129" dataCellStyle="Normal"/>
    <tableColumn id="15305" name="Column15284" dataDxfId="1128" dataCellStyle="Normal"/>
    <tableColumn id="15306" name="Column15285" dataDxfId="1127" dataCellStyle="Normal"/>
    <tableColumn id="15307" name="Column15286" dataDxfId="1126" dataCellStyle="Normal"/>
    <tableColumn id="15308" name="Column15287" dataDxfId="1125" dataCellStyle="Normal"/>
    <tableColumn id="15309" name="Column15288" dataDxfId="1124" dataCellStyle="Normal"/>
    <tableColumn id="15310" name="Column15289" dataDxfId="1123" dataCellStyle="Normal"/>
    <tableColumn id="15311" name="Column15290" dataDxfId="1122" dataCellStyle="Normal"/>
    <tableColumn id="15312" name="Column15291" dataDxfId="1121" dataCellStyle="Normal"/>
    <tableColumn id="15313" name="Column15292" dataDxfId="1120" dataCellStyle="Normal"/>
    <tableColumn id="15314" name="Column15293" dataDxfId="1119" dataCellStyle="Normal"/>
    <tableColumn id="15315" name="Column15294" dataDxfId="1118" dataCellStyle="Normal"/>
    <tableColumn id="15316" name="Column15295" dataDxfId="1117" dataCellStyle="Normal"/>
    <tableColumn id="15317" name="Column15296" dataDxfId="1116" dataCellStyle="Normal"/>
    <tableColumn id="15318" name="Column15297" dataDxfId="1115" dataCellStyle="Normal"/>
    <tableColumn id="15319" name="Column15298" dataDxfId="1114" dataCellStyle="Normal"/>
    <tableColumn id="15320" name="Column15299" dataDxfId="1113" dataCellStyle="Normal"/>
    <tableColumn id="15321" name="Column15300" dataDxfId="1112" dataCellStyle="Normal"/>
    <tableColumn id="15322" name="Column15301" dataDxfId="1111" dataCellStyle="Normal"/>
    <tableColumn id="15323" name="Column15302" dataDxfId="1110" dataCellStyle="Normal"/>
    <tableColumn id="15324" name="Column15303" dataDxfId="1109" dataCellStyle="Normal"/>
    <tableColumn id="15325" name="Column15304" dataDxfId="1108" dataCellStyle="Normal"/>
    <tableColumn id="15326" name="Column15305" dataDxfId="1107" dataCellStyle="Normal"/>
    <tableColumn id="15327" name="Column15306" dataDxfId="1106" dataCellStyle="Normal"/>
    <tableColumn id="15328" name="Column15307" dataDxfId="1105" dataCellStyle="Normal"/>
    <tableColumn id="15329" name="Column15308" dataDxfId="1104" dataCellStyle="Normal"/>
    <tableColumn id="15330" name="Column15309" dataDxfId="1103" dataCellStyle="Normal"/>
    <tableColumn id="15331" name="Column15310" dataDxfId="1102" dataCellStyle="Normal"/>
    <tableColumn id="15332" name="Column15311" dataDxfId="1101" dataCellStyle="Normal"/>
    <tableColumn id="15333" name="Column15312" dataDxfId="1100" dataCellStyle="Normal"/>
    <tableColumn id="15334" name="Column15313" dataDxfId="1099" dataCellStyle="Normal"/>
    <tableColumn id="15335" name="Column15314" dataDxfId="1098" dataCellStyle="Normal"/>
    <tableColumn id="15336" name="Column15315" dataDxfId="1097" dataCellStyle="Normal"/>
    <tableColumn id="15337" name="Column15316" dataDxfId="1096" dataCellStyle="Normal"/>
    <tableColumn id="15338" name="Column15317" dataDxfId="1095" dataCellStyle="Normal"/>
    <tableColumn id="15339" name="Column15318" dataDxfId="1094" dataCellStyle="Normal"/>
    <tableColumn id="15340" name="Column15319" dataDxfId="1093" dataCellStyle="Normal"/>
    <tableColumn id="15341" name="Column15320" dataDxfId="1092" dataCellStyle="Normal"/>
    <tableColumn id="15342" name="Column15321" dataDxfId="1091" dataCellStyle="Normal"/>
    <tableColumn id="15343" name="Column15322" dataDxfId="1090" dataCellStyle="Normal"/>
    <tableColumn id="15344" name="Column15323" dataDxfId="1089" dataCellStyle="Normal"/>
    <tableColumn id="15345" name="Column15324" dataDxfId="1088" dataCellStyle="Normal"/>
    <tableColumn id="15346" name="Column15325" dataDxfId="1087" dataCellStyle="Normal"/>
    <tableColumn id="15347" name="Column15326" dataDxfId="1086" dataCellStyle="Normal"/>
    <tableColumn id="15348" name="Column15327" dataDxfId="1085" dataCellStyle="Normal"/>
    <tableColumn id="15349" name="Column15328" dataDxfId="1084" dataCellStyle="Normal"/>
    <tableColumn id="15350" name="Column15329" dataDxfId="1083" dataCellStyle="Normal"/>
    <tableColumn id="15351" name="Column15330" dataDxfId="1082" dataCellStyle="Normal"/>
    <tableColumn id="15352" name="Column15331" dataDxfId="1081" dataCellStyle="Normal"/>
    <tableColumn id="15353" name="Column15332" dataDxfId="1080" dataCellStyle="Normal"/>
    <tableColumn id="15354" name="Column15333" dataDxfId="1079" dataCellStyle="Normal"/>
    <tableColumn id="15355" name="Column15334" dataDxfId="1078" dataCellStyle="Normal"/>
    <tableColumn id="15356" name="Column15335" dataDxfId="1077" dataCellStyle="Normal"/>
    <tableColumn id="15357" name="Column15336" dataDxfId="1076" dataCellStyle="Normal"/>
    <tableColumn id="15358" name="Column15337" dataDxfId="1075" dataCellStyle="Normal"/>
    <tableColumn id="15359" name="Column15338" dataDxfId="1074" dataCellStyle="Normal"/>
    <tableColumn id="15360" name="Column15339" dataDxfId="1073" dataCellStyle="Normal"/>
    <tableColumn id="15361" name="Column15340" dataDxfId="1072" dataCellStyle="Normal"/>
    <tableColumn id="15362" name="Column15341" dataDxfId="1071" dataCellStyle="Normal"/>
    <tableColumn id="15363" name="Column15342" dataDxfId="1070" dataCellStyle="Normal"/>
    <tableColumn id="15364" name="Column15343" dataDxfId="1069" dataCellStyle="Normal"/>
    <tableColumn id="15365" name="Column15344" dataDxfId="1068" dataCellStyle="Normal"/>
    <tableColumn id="15366" name="Column15345" dataDxfId="1067" dataCellStyle="Normal"/>
    <tableColumn id="15367" name="Column15346" dataDxfId="1066" dataCellStyle="Normal"/>
    <tableColumn id="15368" name="Column15347" dataDxfId="1065" dataCellStyle="Normal"/>
    <tableColumn id="15369" name="Column15348" dataDxfId="1064" dataCellStyle="Normal"/>
    <tableColumn id="15370" name="Column15349" dataDxfId="1063" dataCellStyle="Normal"/>
    <tableColumn id="15371" name="Column15350" dataDxfId="1062" dataCellStyle="Normal"/>
    <tableColumn id="15372" name="Column15351" dataDxfId="1061" dataCellStyle="Normal"/>
    <tableColumn id="15373" name="Column15352" dataDxfId="1060" dataCellStyle="Normal"/>
    <tableColumn id="15374" name="Column15353" dataDxfId="1059" dataCellStyle="Normal"/>
    <tableColumn id="15375" name="Column15354" dataDxfId="1058" dataCellStyle="Normal"/>
    <tableColumn id="15376" name="Column15355" dataDxfId="1057" dataCellStyle="Normal"/>
    <tableColumn id="15377" name="Column15356" dataDxfId="1056" dataCellStyle="Normal"/>
    <tableColumn id="15378" name="Column15357" dataDxfId="1055" dataCellStyle="Normal"/>
    <tableColumn id="15379" name="Column15358" dataDxfId="1054" dataCellStyle="Normal"/>
    <tableColumn id="15380" name="Column15359" dataDxfId="1053" dataCellStyle="Normal"/>
    <tableColumn id="15381" name="Column15360" dataDxfId="1052" dataCellStyle="Normal"/>
    <tableColumn id="15382" name="Column15361" dataDxfId="1051" dataCellStyle="Normal"/>
    <tableColumn id="15383" name="Column15362" dataDxfId="1050" dataCellStyle="Normal"/>
    <tableColumn id="15384" name="Column15363" dataDxfId="1049" dataCellStyle="Normal"/>
    <tableColumn id="15385" name="Column15364" dataDxfId="1048" dataCellStyle="Normal"/>
    <tableColumn id="15386" name="Column15365" dataDxfId="1047" dataCellStyle="Normal"/>
    <tableColumn id="15387" name="Column15366" dataDxfId="1046" dataCellStyle="Normal"/>
    <tableColumn id="15388" name="Column15367" dataDxfId="1045" dataCellStyle="Normal"/>
    <tableColumn id="15389" name="Column15368" dataDxfId="1044" dataCellStyle="Normal"/>
    <tableColumn id="15390" name="Column15369" dataDxfId="1043" dataCellStyle="Normal"/>
    <tableColumn id="15391" name="Column15370" dataDxfId="1042" dataCellStyle="Normal"/>
    <tableColumn id="15392" name="Column15371" dataDxfId="1041" dataCellStyle="Normal"/>
    <tableColumn id="15393" name="Column15372" dataDxfId="1040" dataCellStyle="Normal"/>
    <tableColumn id="15394" name="Column15373" dataDxfId="1039" dataCellStyle="Normal"/>
    <tableColumn id="15395" name="Column15374" dataDxfId="1038" dataCellStyle="Normal"/>
    <tableColumn id="15396" name="Column15375" dataDxfId="1037" dataCellStyle="Normal"/>
    <tableColumn id="15397" name="Column15376" dataDxfId="1036" dataCellStyle="Normal"/>
    <tableColumn id="15398" name="Column15377" dataDxfId="1035" dataCellStyle="Normal"/>
    <tableColumn id="15399" name="Column15378" dataDxfId="1034" dataCellStyle="Normal"/>
    <tableColumn id="15400" name="Column15379" dataDxfId="1033" dataCellStyle="Normal"/>
    <tableColumn id="15401" name="Column15380" dataDxfId="1032" dataCellStyle="Normal"/>
    <tableColumn id="15402" name="Column15381" dataDxfId="1031" dataCellStyle="Normal"/>
    <tableColumn id="15403" name="Column15382" dataDxfId="1030" dataCellStyle="Normal"/>
    <tableColumn id="15404" name="Column15383" dataDxfId="1029" dataCellStyle="Normal"/>
    <tableColumn id="15405" name="Column15384" dataDxfId="1028" dataCellStyle="Normal"/>
    <tableColumn id="15406" name="Column15385" dataDxfId="1027" dataCellStyle="Normal"/>
    <tableColumn id="15407" name="Column15386" dataDxfId="1026" dataCellStyle="Normal"/>
    <tableColumn id="15408" name="Column15387" dataDxfId="1025" dataCellStyle="Normal"/>
    <tableColumn id="15409" name="Column15388" dataDxfId="1024" dataCellStyle="Normal"/>
    <tableColumn id="15410" name="Column15389" dataDxfId="1023" dataCellStyle="Normal"/>
    <tableColumn id="15411" name="Column15390" dataDxfId="1022" dataCellStyle="Normal"/>
    <tableColumn id="15412" name="Column15391" dataDxfId="1021" dataCellStyle="Normal"/>
    <tableColumn id="15413" name="Column15392" dataDxfId="1020" dataCellStyle="Normal"/>
    <tableColumn id="15414" name="Column15393" dataDxfId="1019" dataCellStyle="Normal"/>
    <tableColumn id="15415" name="Column15394" dataDxfId="1018" dataCellStyle="Normal"/>
    <tableColumn id="15416" name="Column15395" dataDxfId="1017" dataCellStyle="Normal"/>
    <tableColumn id="15417" name="Column15396" dataDxfId="1016" dataCellStyle="Normal"/>
    <tableColumn id="15418" name="Column15397" dataDxfId="1015" dataCellStyle="Normal"/>
    <tableColumn id="15419" name="Column15398" dataDxfId="1014" dataCellStyle="Normal"/>
    <tableColumn id="15420" name="Column15399" dataDxfId="1013" dataCellStyle="Normal"/>
    <tableColumn id="15421" name="Column15400" dataDxfId="1012" dataCellStyle="Normal"/>
    <tableColumn id="15422" name="Column15401" dataDxfId="1011" dataCellStyle="Normal"/>
    <tableColumn id="15423" name="Column15402" dataDxfId="1010" dataCellStyle="Normal"/>
    <tableColumn id="15424" name="Column15403" dataDxfId="1009" dataCellStyle="Normal"/>
    <tableColumn id="15425" name="Column15404" dataDxfId="1008" dataCellStyle="Normal"/>
    <tableColumn id="15426" name="Column15405" dataDxfId="1007" dataCellStyle="Normal"/>
    <tableColumn id="15427" name="Column15406" dataDxfId="1006" dataCellStyle="Normal"/>
    <tableColumn id="15428" name="Column15407" dataDxfId="1005" dataCellStyle="Normal"/>
    <tableColumn id="15429" name="Column15408" dataDxfId="1004" dataCellStyle="Normal"/>
    <tableColumn id="15430" name="Column15409" dataDxfId="1003" dataCellStyle="Normal"/>
    <tableColumn id="15431" name="Column15410" dataDxfId="1002" dataCellStyle="Normal"/>
    <tableColumn id="15432" name="Column15411" dataDxfId="1001" dataCellStyle="Normal"/>
    <tableColumn id="15433" name="Column15412" dataDxfId="1000" dataCellStyle="Normal"/>
    <tableColumn id="15434" name="Column15413" dataDxfId="999" dataCellStyle="Normal"/>
    <tableColumn id="15435" name="Column15414" dataDxfId="998" dataCellStyle="Normal"/>
    <tableColumn id="15436" name="Column15415" dataDxfId="997" dataCellStyle="Normal"/>
    <tableColumn id="15437" name="Column15416" dataDxfId="996" dataCellStyle="Normal"/>
    <tableColumn id="15438" name="Column15417" dataDxfId="995" dataCellStyle="Normal"/>
    <tableColumn id="15439" name="Column15418" dataDxfId="994" dataCellStyle="Normal"/>
    <tableColumn id="15440" name="Column15419" dataDxfId="993" dataCellStyle="Normal"/>
    <tableColumn id="15441" name="Column15420" dataDxfId="992" dataCellStyle="Normal"/>
    <tableColumn id="15442" name="Column15421" dataDxfId="991" dataCellStyle="Normal"/>
    <tableColumn id="15443" name="Column15422" dataDxfId="990" dataCellStyle="Normal"/>
    <tableColumn id="15444" name="Column15423" dataDxfId="989" dataCellStyle="Normal"/>
    <tableColumn id="15445" name="Column15424" dataDxfId="988" dataCellStyle="Normal"/>
    <tableColumn id="15446" name="Column15425" dataDxfId="987" dataCellStyle="Normal"/>
    <tableColumn id="15447" name="Column15426" dataDxfId="986" dataCellStyle="Normal"/>
    <tableColumn id="15448" name="Column15427" dataDxfId="985" dataCellStyle="Normal"/>
    <tableColumn id="15449" name="Column15428" dataDxfId="984" dataCellStyle="Normal"/>
    <tableColumn id="15450" name="Column15429" dataDxfId="983" dataCellStyle="Normal"/>
    <tableColumn id="15451" name="Column15430" dataDxfId="982" dataCellStyle="Normal"/>
    <tableColumn id="15452" name="Column15431" dataDxfId="981" dataCellStyle="Normal"/>
    <tableColumn id="15453" name="Column15432" dataDxfId="980" dataCellStyle="Normal"/>
    <tableColumn id="15454" name="Column15433" dataDxfId="979" dataCellStyle="Normal"/>
    <tableColumn id="15455" name="Column15434" dataDxfId="978" dataCellStyle="Normal"/>
    <tableColumn id="15456" name="Column15435" dataDxfId="977" dataCellStyle="Normal"/>
    <tableColumn id="15457" name="Column15436" dataDxfId="976" dataCellStyle="Normal"/>
    <tableColumn id="15458" name="Column15437" dataDxfId="975" dataCellStyle="Normal"/>
    <tableColumn id="15459" name="Column15438" dataDxfId="974" dataCellStyle="Normal"/>
    <tableColumn id="15460" name="Column15439" dataDxfId="973" dataCellStyle="Normal"/>
    <tableColumn id="15461" name="Column15440" dataDxfId="972" dataCellStyle="Normal"/>
    <tableColumn id="15462" name="Column15441" dataDxfId="971" dataCellStyle="Normal"/>
    <tableColumn id="15463" name="Column15442" dataDxfId="970" dataCellStyle="Normal"/>
    <tableColumn id="15464" name="Column15443" dataDxfId="969" dataCellStyle="Normal"/>
    <tableColumn id="15465" name="Column15444" dataDxfId="968" dataCellStyle="Normal"/>
    <tableColumn id="15466" name="Column15445" dataDxfId="967" dataCellStyle="Normal"/>
    <tableColumn id="15467" name="Column15446" dataDxfId="966" dataCellStyle="Normal"/>
    <tableColumn id="15468" name="Column15447" dataDxfId="965" dataCellStyle="Normal"/>
    <tableColumn id="15469" name="Column15448" dataDxfId="964" dataCellStyle="Normal"/>
    <tableColumn id="15470" name="Column15449" dataDxfId="963" dataCellStyle="Normal"/>
    <tableColumn id="15471" name="Column15450" dataDxfId="962" dataCellStyle="Normal"/>
    <tableColumn id="15472" name="Column15451" dataDxfId="961" dataCellStyle="Normal"/>
    <tableColumn id="15473" name="Column15452" dataDxfId="960" dataCellStyle="Normal"/>
    <tableColumn id="15474" name="Column15453" dataDxfId="959" dataCellStyle="Normal"/>
    <tableColumn id="15475" name="Column15454" dataDxfId="958" dataCellStyle="Normal"/>
    <tableColumn id="15476" name="Column15455" dataDxfId="957" dataCellStyle="Normal"/>
    <tableColumn id="15477" name="Column15456" dataDxfId="956" dataCellStyle="Normal"/>
    <tableColumn id="15478" name="Column15457" dataDxfId="955" dataCellStyle="Normal"/>
    <tableColumn id="15479" name="Column15458" dataDxfId="954" dataCellStyle="Normal"/>
    <tableColumn id="15480" name="Column15459" dataDxfId="953" dataCellStyle="Normal"/>
    <tableColumn id="15481" name="Column15460" dataDxfId="952" dataCellStyle="Normal"/>
    <tableColumn id="15482" name="Column15461" dataDxfId="951" dataCellStyle="Normal"/>
    <tableColumn id="15483" name="Column15462" dataDxfId="950" dataCellStyle="Normal"/>
    <tableColumn id="15484" name="Column15463" dataDxfId="949" dataCellStyle="Normal"/>
    <tableColumn id="15485" name="Column15464" dataDxfId="948" dataCellStyle="Normal"/>
    <tableColumn id="15486" name="Column15465" dataDxfId="947" dataCellStyle="Normal"/>
    <tableColumn id="15487" name="Column15466" dataDxfId="946" dataCellStyle="Normal"/>
    <tableColumn id="15488" name="Column15467" dataDxfId="945" dataCellStyle="Normal"/>
    <tableColumn id="15489" name="Column15468" dataDxfId="944" dataCellStyle="Normal"/>
    <tableColumn id="15490" name="Column15469" dataDxfId="943" dataCellStyle="Normal"/>
    <tableColumn id="15491" name="Column15470" dataDxfId="942" dataCellStyle="Normal"/>
    <tableColumn id="15492" name="Column15471" dataDxfId="941" dataCellStyle="Normal"/>
    <tableColumn id="15493" name="Column15472" dataDxfId="940" dataCellStyle="Normal"/>
    <tableColumn id="15494" name="Column15473" dataDxfId="939" dataCellStyle="Normal"/>
    <tableColumn id="15495" name="Column15474" dataDxfId="938" dataCellStyle="Normal"/>
    <tableColumn id="15496" name="Column15475" dataDxfId="937" dataCellStyle="Normal"/>
    <tableColumn id="15497" name="Column15476" dataDxfId="936" dataCellStyle="Normal"/>
    <tableColumn id="15498" name="Column15477" dataDxfId="935" dataCellStyle="Normal"/>
    <tableColumn id="15499" name="Column15478" dataDxfId="934" dataCellStyle="Normal"/>
    <tableColumn id="15500" name="Column15479" dataDxfId="933" dataCellStyle="Normal"/>
    <tableColumn id="15501" name="Column15480" dataDxfId="932" dataCellStyle="Normal"/>
    <tableColumn id="15502" name="Column15481" dataDxfId="931" dataCellStyle="Normal"/>
    <tableColumn id="15503" name="Column15482" dataDxfId="930" dataCellStyle="Normal"/>
    <tableColumn id="15504" name="Column15483" dataDxfId="929" dataCellStyle="Normal"/>
    <tableColumn id="15505" name="Column15484" dataDxfId="928" dataCellStyle="Normal"/>
    <tableColumn id="15506" name="Column15485" dataDxfId="927" dataCellStyle="Normal"/>
    <tableColumn id="15507" name="Column15486" dataDxfId="926" dataCellStyle="Normal"/>
    <tableColumn id="15508" name="Column15487" dataDxfId="925" dataCellStyle="Normal"/>
    <tableColumn id="15509" name="Column15488" dataDxfId="924" dataCellStyle="Normal"/>
    <tableColumn id="15510" name="Column15489" dataDxfId="923" dataCellStyle="Normal"/>
    <tableColumn id="15511" name="Column15490" dataDxfId="922" dataCellStyle="Normal"/>
    <tableColumn id="15512" name="Column15491" dataDxfId="921" dataCellStyle="Normal"/>
    <tableColumn id="15513" name="Column15492" dataDxfId="920" dataCellStyle="Normal"/>
    <tableColumn id="15514" name="Column15493" dataDxfId="919" dataCellStyle="Normal"/>
    <tableColumn id="15515" name="Column15494" dataDxfId="918" dataCellStyle="Normal"/>
    <tableColumn id="15516" name="Column15495" dataDxfId="917" dataCellStyle="Normal"/>
    <tableColumn id="15517" name="Column15496" dataDxfId="916" dataCellStyle="Normal"/>
    <tableColumn id="15518" name="Column15497" dataDxfId="915" dataCellStyle="Normal"/>
    <tableColumn id="15519" name="Column15498" dataDxfId="914" dataCellStyle="Normal"/>
    <tableColumn id="15520" name="Column15499" dataDxfId="913" dataCellStyle="Normal"/>
    <tableColumn id="15521" name="Column15500" dataDxfId="912" dataCellStyle="Normal"/>
    <tableColumn id="15522" name="Column15501" dataDxfId="911" dataCellStyle="Normal"/>
    <tableColumn id="15523" name="Column15502" dataDxfId="910" dataCellStyle="Normal"/>
    <tableColumn id="15524" name="Column15503" dataDxfId="909" dataCellStyle="Normal"/>
    <tableColumn id="15525" name="Column15504" dataDxfId="908" dataCellStyle="Normal"/>
    <tableColumn id="15526" name="Column15505" dataDxfId="907" dataCellStyle="Normal"/>
    <tableColumn id="15527" name="Column15506" dataDxfId="906" dataCellStyle="Normal"/>
    <tableColumn id="15528" name="Column15507" dataDxfId="905" dataCellStyle="Normal"/>
    <tableColumn id="15529" name="Column15508" dataDxfId="904" dataCellStyle="Normal"/>
    <tableColumn id="15530" name="Column15509" dataDxfId="903" dataCellStyle="Normal"/>
    <tableColumn id="15531" name="Column15510" dataDxfId="902" dataCellStyle="Normal"/>
    <tableColumn id="15532" name="Column15511" dataDxfId="901" dataCellStyle="Normal"/>
    <tableColumn id="15533" name="Column15512" dataDxfId="900" dataCellStyle="Normal"/>
    <tableColumn id="15534" name="Column15513" dataDxfId="899" dataCellStyle="Normal"/>
    <tableColumn id="15535" name="Column15514" dataDxfId="898" dataCellStyle="Normal"/>
    <tableColumn id="15536" name="Column15515" dataDxfId="897" dataCellStyle="Normal"/>
    <tableColumn id="15537" name="Column15516" dataDxfId="896" dataCellStyle="Normal"/>
    <tableColumn id="15538" name="Column15517" dataDxfId="895" dataCellStyle="Normal"/>
    <tableColumn id="15539" name="Column15518" dataDxfId="894" dataCellStyle="Normal"/>
    <tableColumn id="15540" name="Column15519" dataDxfId="893" dataCellStyle="Normal"/>
    <tableColumn id="15541" name="Column15520" dataDxfId="892" dataCellStyle="Normal"/>
    <tableColumn id="15542" name="Column15521" dataDxfId="891" dataCellStyle="Normal"/>
    <tableColumn id="15543" name="Column15522" dataDxfId="890" dataCellStyle="Normal"/>
    <tableColumn id="15544" name="Column15523" dataDxfId="889" dataCellStyle="Normal"/>
    <tableColumn id="15545" name="Column15524" dataDxfId="888" dataCellStyle="Normal"/>
    <tableColumn id="15546" name="Column15525" dataDxfId="887" dataCellStyle="Normal"/>
    <tableColumn id="15547" name="Column15526" dataDxfId="886" dataCellStyle="Normal"/>
    <tableColumn id="15548" name="Column15527" dataDxfId="885" dataCellStyle="Normal"/>
    <tableColumn id="15549" name="Column15528" dataDxfId="884" dataCellStyle="Normal"/>
    <tableColumn id="15550" name="Column15529" dataDxfId="883" dataCellStyle="Normal"/>
    <tableColumn id="15551" name="Column15530" dataDxfId="882" dataCellStyle="Normal"/>
    <tableColumn id="15552" name="Column15531" dataDxfId="881" dataCellStyle="Normal"/>
    <tableColumn id="15553" name="Column15532" dataDxfId="880" dataCellStyle="Normal"/>
    <tableColumn id="15554" name="Column15533" dataDxfId="879" dataCellStyle="Normal"/>
    <tableColumn id="15555" name="Column15534" dataDxfId="878" dataCellStyle="Normal"/>
    <tableColumn id="15556" name="Column15535" dataDxfId="877" dataCellStyle="Normal"/>
    <tableColumn id="15557" name="Column15536" dataDxfId="876" dataCellStyle="Normal"/>
    <tableColumn id="15558" name="Column15537" dataDxfId="875" dataCellStyle="Normal"/>
    <tableColumn id="15559" name="Column15538" dataDxfId="874" dataCellStyle="Normal"/>
    <tableColumn id="15560" name="Column15539" dataDxfId="873" dataCellStyle="Normal"/>
    <tableColumn id="15561" name="Column15540" dataDxfId="872" dataCellStyle="Normal"/>
    <tableColumn id="15562" name="Column15541" dataDxfId="871" dataCellStyle="Normal"/>
    <tableColumn id="15563" name="Column15542" dataDxfId="870" dataCellStyle="Normal"/>
    <tableColumn id="15564" name="Column15543" dataDxfId="869" dataCellStyle="Normal"/>
    <tableColumn id="15565" name="Column15544" dataDxfId="868" dataCellStyle="Normal"/>
    <tableColumn id="15566" name="Column15545" dataDxfId="867" dataCellStyle="Normal"/>
    <tableColumn id="15567" name="Column15546" dataDxfId="866" dataCellStyle="Normal"/>
    <tableColumn id="15568" name="Column15547" dataDxfId="865" dataCellStyle="Normal"/>
    <tableColumn id="15569" name="Column15548" dataDxfId="864" dataCellStyle="Normal"/>
    <tableColumn id="15570" name="Column15549" dataDxfId="863" dataCellStyle="Normal"/>
    <tableColumn id="15571" name="Column15550" dataDxfId="862" dataCellStyle="Normal"/>
    <tableColumn id="15572" name="Column15551" dataDxfId="861" dataCellStyle="Normal"/>
    <tableColumn id="15573" name="Column15552" dataDxfId="860" dataCellStyle="Normal"/>
    <tableColumn id="15574" name="Column15553" dataDxfId="859" dataCellStyle="Normal"/>
    <tableColumn id="15575" name="Column15554" dataDxfId="858" dataCellStyle="Normal"/>
    <tableColumn id="15576" name="Column15555" dataDxfId="857" dataCellStyle="Normal"/>
    <tableColumn id="15577" name="Column15556" dataDxfId="856" dataCellStyle="Normal"/>
    <tableColumn id="15578" name="Column15557" dataDxfId="855" dataCellStyle="Normal"/>
    <tableColumn id="15579" name="Column15558" dataDxfId="854" dataCellStyle="Normal"/>
    <tableColumn id="15580" name="Column15559" dataDxfId="853" dataCellStyle="Normal"/>
    <tableColumn id="15581" name="Column15560" dataDxfId="852" dataCellStyle="Normal"/>
    <tableColumn id="15582" name="Column15561" dataDxfId="851" dataCellStyle="Normal"/>
    <tableColumn id="15583" name="Column15562" dataDxfId="850" dataCellStyle="Normal"/>
    <tableColumn id="15584" name="Column15563" dataDxfId="849" dataCellStyle="Normal"/>
    <tableColumn id="15585" name="Column15564" dataDxfId="848" dataCellStyle="Normal"/>
    <tableColumn id="15586" name="Column15565" dataDxfId="847" dataCellStyle="Normal"/>
    <tableColumn id="15587" name="Column15566" dataDxfId="846" dataCellStyle="Normal"/>
    <tableColumn id="15588" name="Column15567" dataDxfId="845" dataCellStyle="Normal"/>
    <tableColumn id="15589" name="Column15568" dataDxfId="844" dataCellStyle="Normal"/>
    <tableColumn id="15590" name="Column15569" dataDxfId="843" dataCellStyle="Normal"/>
    <tableColumn id="15591" name="Column15570" dataDxfId="842" dataCellStyle="Normal"/>
    <tableColumn id="15592" name="Column15571" dataDxfId="841" dataCellStyle="Normal"/>
    <tableColumn id="15593" name="Column15572" dataDxfId="840" dataCellStyle="Normal"/>
    <tableColumn id="15594" name="Column15573" dataDxfId="839" dataCellStyle="Normal"/>
    <tableColumn id="15595" name="Column15574" dataDxfId="838" dataCellStyle="Normal"/>
    <tableColumn id="15596" name="Column15575" dataDxfId="837" dataCellStyle="Normal"/>
    <tableColumn id="15597" name="Column15576" dataDxfId="836" dataCellStyle="Normal"/>
    <tableColumn id="15598" name="Column15577" dataDxfId="835" dataCellStyle="Normal"/>
    <tableColumn id="15599" name="Column15578" dataDxfId="834" dataCellStyle="Normal"/>
    <tableColumn id="15600" name="Column15579" dataDxfId="833" dataCellStyle="Normal"/>
    <tableColumn id="15601" name="Column15580" dataDxfId="832" dataCellStyle="Normal"/>
    <tableColumn id="15602" name="Column15581" dataDxfId="831" dataCellStyle="Normal"/>
    <tableColumn id="15603" name="Column15582" dataDxfId="830" dataCellStyle="Normal"/>
    <tableColumn id="15604" name="Column15583" dataDxfId="829" dataCellStyle="Normal"/>
    <tableColumn id="15605" name="Column15584" dataDxfId="828" dataCellStyle="Normal"/>
    <tableColumn id="15606" name="Column15585" dataDxfId="827" dataCellStyle="Normal"/>
    <tableColumn id="15607" name="Column15586" dataDxfId="826" dataCellStyle="Normal"/>
    <tableColumn id="15608" name="Column15587" dataDxfId="825" dataCellStyle="Normal"/>
    <tableColumn id="15609" name="Column15588" dataDxfId="824" dataCellStyle="Normal"/>
    <tableColumn id="15610" name="Column15589" dataDxfId="823" dataCellStyle="Normal"/>
    <tableColumn id="15611" name="Column15590" dataDxfId="822" dataCellStyle="Normal"/>
    <tableColumn id="15612" name="Column15591" dataDxfId="821" dataCellStyle="Normal"/>
    <tableColumn id="15613" name="Column15592" dataDxfId="820" dataCellStyle="Normal"/>
    <tableColumn id="15614" name="Column15593" dataDxfId="819" dataCellStyle="Normal"/>
    <tableColumn id="15615" name="Column15594" dataDxfId="818" dataCellStyle="Normal"/>
    <tableColumn id="15616" name="Column15595" dataDxfId="817" dataCellStyle="Normal"/>
    <tableColumn id="15617" name="Column15596" dataDxfId="816" dataCellStyle="Normal"/>
    <tableColumn id="15618" name="Column15597" dataDxfId="815" dataCellStyle="Normal"/>
    <tableColumn id="15619" name="Column15598" dataDxfId="814" dataCellStyle="Normal"/>
    <tableColumn id="15620" name="Column15599" dataDxfId="813" dataCellStyle="Normal"/>
    <tableColumn id="15621" name="Column15600" dataDxfId="812" dataCellStyle="Normal"/>
    <tableColumn id="15622" name="Column15601" dataDxfId="811" dataCellStyle="Normal"/>
    <tableColumn id="15623" name="Column15602" dataDxfId="810" dataCellStyle="Normal"/>
    <tableColumn id="15624" name="Column15603" dataDxfId="809" dataCellStyle="Normal"/>
    <tableColumn id="15625" name="Column15604" dataDxfId="808" dataCellStyle="Normal"/>
    <tableColumn id="15626" name="Column15605" dataDxfId="807" dataCellStyle="Normal"/>
    <tableColumn id="15627" name="Column15606" dataDxfId="806" dataCellStyle="Normal"/>
    <tableColumn id="15628" name="Column15607" dataDxfId="805" dataCellStyle="Normal"/>
    <tableColumn id="15629" name="Column15608" dataDxfId="804" dataCellStyle="Normal"/>
    <tableColumn id="15630" name="Column15609" dataDxfId="803" dataCellStyle="Normal"/>
    <tableColumn id="15631" name="Column15610" dataDxfId="802" dataCellStyle="Normal"/>
    <tableColumn id="15632" name="Column15611" dataDxfId="801" dataCellStyle="Normal"/>
    <tableColumn id="15633" name="Column15612" dataDxfId="800" dataCellStyle="Normal"/>
    <tableColumn id="15634" name="Column15613" dataDxfId="799" dataCellStyle="Normal"/>
    <tableColumn id="15635" name="Column15614" dataDxfId="798" dataCellStyle="Normal"/>
    <tableColumn id="15636" name="Column15615" dataDxfId="797" dataCellStyle="Normal"/>
    <tableColumn id="15637" name="Column15616" dataDxfId="796" dataCellStyle="Normal"/>
    <tableColumn id="15638" name="Column15617" dataDxfId="795" dataCellStyle="Normal"/>
    <tableColumn id="15639" name="Column15618" dataDxfId="794" dataCellStyle="Normal"/>
    <tableColumn id="15640" name="Column15619" dataDxfId="793" dataCellStyle="Normal"/>
    <tableColumn id="15641" name="Column15620" dataDxfId="792" dataCellStyle="Normal"/>
    <tableColumn id="15642" name="Column15621" dataDxfId="791" dataCellStyle="Normal"/>
    <tableColumn id="15643" name="Column15622" dataDxfId="790" dataCellStyle="Normal"/>
    <tableColumn id="15644" name="Column15623" dataDxfId="789" dataCellStyle="Normal"/>
    <tableColumn id="15645" name="Column15624" dataDxfId="788" dataCellStyle="Normal"/>
    <tableColumn id="15646" name="Column15625" dataDxfId="787" dataCellStyle="Normal"/>
    <tableColumn id="15647" name="Column15626" dataDxfId="786" dataCellStyle="Normal"/>
    <tableColumn id="15648" name="Column15627" dataDxfId="785" dataCellStyle="Normal"/>
    <tableColumn id="15649" name="Column15628" dataDxfId="784" dataCellStyle="Normal"/>
    <tableColumn id="15650" name="Column15629" dataDxfId="783" dataCellStyle="Normal"/>
    <tableColumn id="15651" name="Column15630" dataDxfId="782" dataCellStyle="Normal"/>
    <tableColumn id="15652" name="Column15631" dataDxfId="781" dataCellStyle="Normal"/>
    <tableColumn id="15653" name="Column15632" dataDxfId="780" dataCellStyle="Normal"/>
    <tableColumn id="15654" name="Column15633" dataDxfId="779" dataCellStyle="Normal"/>
    <tableColumn id="15655" name="Column15634" dataDxfId="778" dataCellStyle="Normal"/>
    <tableColumn id="15656" name="Column15635" dataDxfId="777" dataCellStyle="Normal"/>
    <tableColumn id="15657" name="Column15636" dataDxfId="776" dataCellStyle="Normal"/>
    <tableColumn id="15658" name="Column15637" dataDxfId="775" dataCellStyle="Normal"/>
    <tableColumn id="15659" name="Column15638" dataDxfId="774" dataCellStyle="Normal"/>
    <tableColumn id="15660" name="Column15639" dataDxfId="773" dataCellStyle="Normal"/>
    <tableColumn id="15661" name="Column15640" dataDxfId="772" dataCellStyle="Normal"/>
    <tableColumn id="15662" name="Column15641" dataDxfId="771" dataCellStyle="Normal"/>
    <tableColumn id="15663" name="Column15642" dataDxfId="770" dataCellStyle="Normal"/>
    <tableColumn id="15664" name="Column15643" dataDxfId="769" dataCellStyle="Normal"/>
    <tableColumn id="15665" name="Column15644" dataDxfId="768" dataCellStyle="Normal"/>
    <tableColumn id="15666" name="Column15645" dataDxfId="767" dataCellStyle="Normal"/>
    <tableColumn id="15667" name="Column15646" dataDxfId="766" dataCellStyle="Normal"/>
    <tableColumn id="15668" name="Column15647" dataDxfId="765" dataCellStyle="Normal"/>
    <tableColumn id="15669" name="Column15648" dataDxfId="764" dataCellStyle="Normal"/>
    <tableColumn id="15670" name="Column15649" dataDxfId="763" dataCellStyle="Normal"/>
    <tableColumn id="15671" name="Column15650" dataDxfId="762" dataCellStyle="Normal"/>
    <tableColumn id="15672" name="Column15651" dataDxfId="761" dataCellStyle="Normal"/>
    <tableColumn id="15673" name="Column15652" dataDxfId="760" dataCellStyle="Normal"/>
    <tableColumn id="15674" name="Column15653" dataDxfId="759" dataCellStyle="Normal"/>
    <tableColumn id="15675" name="Column15654" dataDxfId="758" dataCellStyle="Normal"/>
    <tableColumn id="15676" name="Column15655" dataDxfId="757" dataCellStyle="Normal"/>
    <tableColumn id="15677" name="Column15656" dataDxfId="756" dataCellStyle="Normal"/>
    <tableColumn id="15678" name="Column15657" dataDxfId="755" dataCellStyle="Normal"/>
    <tableColumn id="15679" name="Column15658" dataDxfId="754" dataCellStyle="Normal"/>
    <tableColumn id="15680" name="Column15659" dataDxfId="753" dataCellStyle="Normal"/>
    <tableColumn id="15681" name="Column15660" dataDxfId="752" dataCellStyle="Normal"/>
    <tableColumn id="15682" name="Column15661" dataDxfId="751" dataCellStyle="Normal"/>
    <tableColumn id="15683" name="Column15662" dataDxfId="750" dataCellStyle="Normal"/>
    <tableColumn id="15684" name="Column15663" dataDxfId="749" dataCellStyle="Normal"/>
    <tableColumn id="15685" name="Column15664" dataDxfId="748" dataCellStyle="Normal"/>
    <tableColumn id="15686" name="Column15665" dataDxfId="747" dataCellStyle="Normal"/>
    <tableColumn id="15687" name="Column15666" dataDxfId="746" dataCellStyle="Normal"/>
    <tableColumn id="15688" name="Column15667" dataDxfId="745" dataCellStyle="Normal"/>
    <tableColumn id="15689" name="Column15668" dataDxfId="744" dataCellStyle="Normal"/>
    <tableColumn id="15690" name="Column15669" dataDxfId="743" dataCellStyle="Normal"/>
    <tableColumn id="15691" name="Column15670" dataDxfId="742" dataCellStyle="Normal"/>
    <tableColumn id="15692" name="Column15671" dataDxfId="741" dataCellStyle="Normal"/>
    <tableColumn id="15693" name="Column15672" dataDxfId="740" dataCellStyle="Normal"/>
    <tableColumn id="15694" name="Column15673" dataDxfId="739" dataCellStyle="Normal"/>
    <tableColumn id="15695" name="Column15674" dataDxfId="738" dataCellStyle="Normal"/>
    <tableColumn id="15696" name="Column15675" dataDxfId="737" dataCellStyle="Normal"/>
    <tableColumn id="15697" name="Column15676" dataDxfId="736" dataCellStyle="Normal"/>
    <tableColumn id="15698" name="Column15677" dataDxfId="735" dataCellStyle="Normal"/>
    <tableColumn id="15699" name="Column15678" dataDxfId="734" dataCellStyle="Normal"/>
    <tableColumn id="15700" name="Column15679" dataDxfId="733" dataCellStyle="Normal"/>
    <tableColumn id="15701" name="Column15680" dataDxfId="732" dataCellStyle="Normal"/>
    <tableColumn id="15702" name="Column15681" dataDxfId="731" dataCellStyle="Normal"/>
    <tableColumn id="15703" name="Column15682" dataDxfId="730" dataCellStyle="Normal"/>
    <tableColumn id="15704" name="Column15683" dataDxfId="729" dataCellStyle="Normal"/>
    <tableColumn id="15705" name="Column15684" dataDxfId="728" dataCellStyle="Normal"/>
    <tableColumn id="15706" name="Column15685" dataDxfId="727" dataCellStyle="Normal"/>
    <tableColumn id="15707" name="Column15686" dataDxfId="726" dataCellStyle="Normal"/>
    <tableColumn id="15708" name="Column15687" dataDxfId="725" dataCellStyle="Normal"/>
    <tableColumn id="15709" name="Column15688" dataDxfId="724" dataCellStyle="Normal"/>
    <tableColumn id="15710" name="Column15689" dataDxfId="723" dataCellStyle="Normal"/>
    <tableColumn id="15711" name="Column15690" dataDxfId="722" dataCellStyle="Normal"/>
    <tableColumn id="15712" name="Column15691" dataDxfId="721" dataCellStyle="Normal"/>
    <tableColumn id="15713" name="Column15692" dataDxfId="720" dataCellStyle="Normal"/>
    <tableColumn id="15714" name="Column15693" dataDxfId="719" dataCellStyle="Normal"/>
    <tableColumn id="15715" name="Column15694" dataDxfId="718" dataCellStyle="Normal"/>
    <tableColumn id="15716" name="Column15695" dataDxfId="717" dataCellStyle="Normal"/>
    <tableColumn id="15717" name="Column15696" dataDxfId="716" dataCellStyle="Normal"/>
    <tableColumn id="15718" name="Column15697" dataDxfId="715" dataCellStyle="Normal"/>
    <tableColumn id="15719" name="Column15698" dataDxfId="714" dataCellStyle="Normal"/>
    <tableColumn id="15720" name="Column15699" dataDxfId="713" dataCellStyle="Normal"/>
    <tableColumn id="15721" name="Column15700" dataDxfId="712" dataCellStyle="Normal"/>
    <tableColumn id="15722" name="Column15701" dataDxfId="711" dataCellStyle="Normal"/>
    <tableColumn id="15723" name="Column15702" dataDxfId="710" dataCellStyle="Normal"/>
    <tableColumn id="15724" name="Column15703" dataDxfId="709" dataCellStyle="Normal"/>
    <tableColumn id="15725" name="Column15704" dataDxfId="708" dataCellStyle="Normal"/>
    <tableColumn id="15726" name="Column15705" dataDxfId="707" dataCellStyle="Normal"/>
    <tableColumn id="15727" name="Column15706" dataDxfId="706" dataCellStyle="Normal"/>
    <tableColumn id="15728" name="Column15707" dataDxfId="705" dataCellStyle="Normal"/>
    <tableColumn id="15729" name="Column15708" dataDxfId="704" dataCellStyle="Normal"/>
    <tableColumn id="15730" name="Column15709" dataDxfId="703" dataCellStyle="Normal"/>
    <tableColumn id="15731" name="Column15710" dataDxfId="702" dataCellStyle="Normal"/>
    <tableColumn id="15732" name="Column15711" dataDxfId="701" dataCellStyle="Normal"/>
    <tableColumn id="15733" name="Column15712" dataDxfId="700" dataCellStyle="Normal"/>
    <tableColumn id="15734" name="Column15713" dataDxfId="699" dataCellStyle="Normal"/>
    <tableColumn id="15735" name="Column15714" dataDxfId="698" dataCellStyle="Normal"/>
    <tableColumn id="15736" name="Column15715" dataDxfId="697" dataCellStyle="Normal"/>
    <tableColumn id="15737" name="Column15716" dataDxfId="696" dataCellStyle="Normal"/>
    <tableColumn id="15738" name="Column15717" dataDxfId="695" dataCellStyle="Normal"/>
    <tableColumn id="15739" name="Column15718" dataDxfId="694" dataCellStyle="Normal"/>
    <tableColumn id="15740" name="Column15719" dataDxfId="693" dataCellStyle="Normal"/>
    <tableColumn id="15741" name="Column15720" dataDxfId="692" dataCellStyle="Normal"/>
    <tableColumn id="15742" name="Column15721" dataDxfId="691" dataCellStyle="Normal"/>
    <tableColumn id="15743" name="Column15722" dataDxfId="690" dataCellStyle="Normal"/>
    <tableColumn id="15744" name="Column15723" dataDxfId="689" dataCellStyle="Normal"/>
    <tableColumn id="15745" name="Column15724" dataDxfId="688" dataCellStyle="Normal"/>
    <tableColumn id="15746" name="Column15725" dataDxfId="687" dataCellStyle="Normal"/>
    <tableColumn id="15747" name="Column15726" dataDxfId="686" dataCellStyle="Normal"/>
    <tableColumn id="15748" name="Column15727" dataDxfId="685" dataCellStyle="Normal"/>
    <tableColumn id="15749" name="Column15728" dataDxfId="684" dataCellStyle="Normal"/>
    <tableColumn id="15750" name="Column15729" dataDxfId="683" dataCellStyle="Normal"/>
    <tableColumn id="15751" name="Column15730" dataDxfId="682" dataCellStyle="Normal"/>
    <tableColumn id="15752" name="Column15731" dataDxfId="681" dataCellStyle="Normal"/>
    <tableColumn id="15753" name="Column15732" dataDxfId="680" dataCellStyle="Normal"/>
    <tableColumn id="15754" name="Column15733" dataDxfId="679" dataCellStyle="Normal"/>
    <tableColumn id="15755" name="Column15734" dataDxfId="678" dataCellStyle="Normal"/>
    <tableColumn id="15756" name="Column15735" dataDxfId="677" dataCellStyle="Normal"/>
    <tableColumn id="15757" name="Column15736" dataDxfId="676" dataCellStyle="Normal"/>
    <tableColumn id="15758" name="Column15737" dataDxfId="675" dataCellStyle="Normal"/>
    <tableColumn id="15759" name="Column15738" dataDxfId="674" dataCellStyle="Normal"/>
    <tableColumn id="15760" name="Column15739" dataDxfId="673" dataCellStyle="Normal"/>
    <tableColumn id="15761" name="Column15740" dataDxfId="672" dataCellStyle="Normal"/>
    <tableColumn id="15762" name="Column15741" dataDxfId="671" dataCellStyle="Normal"/>
    <tableColumn id="15763" name="Column15742" dataDxfId="670" dataCellStyle="Normal"/>
    <tableColumn id="15764" name="Column15743" dataDxfId="669" dataCellStyle="Normal"/>
    <tableColumn id="15765" name="Column15744" dataDxfId="668" dataCellStyle="Normal"/>
    <tableColumn id="15766" name="Column15745" dataDxfId="667" dataCellStyle="Normal"/>
    <tableColumn id="15767" name="Column15746" dataDxfId="666" dataCellStyle="Normal"/>
    <tableColumn id="15768" name="Column15747" dataDxfId="665" dataCellStyle="Normal"/>
    <tableColumn id="15769" name="Column15748" dataDxfId="664" dataCellStyle="Normal"/>
    <tableColumn id="15770" name="Column15749" dataDxfId="663" dataCellStyle="Normal"/>
    <tableColumn id="15771" name="Column15750" dataDxfId="662" dataCellStyle="Normal"/>
    <tableColumn id="15772" name="Column15751" dataDxfId="661" dataCellStyle="Normal"/>
    <tableColumn id="15773" name="Column15752" dataDxfId="660" dataCellStyle="Normal"/>
    <tableColumn id="15774" name="Column15753" dataDxfId="659" dataCellStyle="Normal"/>
    <tableColumn id="15775" name="Column15754" dataDxfId="658" dataCellStyle="Normal"/>
    <tableColumn id="15776" name="Column15755" dataDxfId="657" dataCellStyle="Normal"/>
    <tableColumn id="15777" name="Column15756" dataDxfId="656" dataCellStyle="Normal"/>
    <tableColumn id="15778" name="Column15757" dataDxfId="655" dataCellStyle="Normal"/>
    <tableColumn id="15779" name="Column15758" dataDxfId="654" dataCellStyle="Normal"/>
    <tableColumn id="15780" name="Column15759" dataDxfId="653" dataCellStyle="Normal"/>
    <tableColumn id="15781" name="Column15760" dataDxfId="652" dataCellStyle="Normal"/>
    <tableColumn id="15782" name="Column15761" dataDxfId="651" dataCellStyle="Normal"/>
    <tableColumn id="15783" name="Column15762" dataDxfId="650" dataCellStyle="Normal"/>
    <tableColumn id="15784" name="Column15763" dataDxfId="649" dataCellStyle="Normal"/>
    <tableColumn id="15785" name="Column15764" dataDxfId="648" dataCellStyle="Normal"/>
    <tableColumn id="15786" name="Column15765" dataDxfId="647" dataCellStyle="Normal"/>
    <tableColumn id="15787" name="Column15766" dataDxfId="646" dataCellStyle="Normal"/>
    <tableColumn id="15788" name="Column15767" dataDxfId="645" dataCellStyle="Normal"/>
    <tableColumn id="15789" name="Column15768" dataDxfId="644" dataCellStyle="Normal"/>
    <tableColumn id="15790" name="Column15769" dataDxfId="643" dataCellStyle="Normal"/>
    <tableColumn id="15791" name="Column15770" dataDxfId="642" dataCellStyle="Normal"/>
    <tableColumn id="15792" name="Column15771" dataDxfId="641" dataCellStyle="Normal"/>
    <tableColumn id="15793" name="Column15772" dataDxfId="640" dataCellStyle="Normal"/>
    <tableColumn id="15794" name="Column15773" dataDxfId="639" dataCellStyle="Normal"/>
    <tableColumn id="15795" name="Column15774" dataDxfId="638" dataCellStyle="Normal"/>
    <tableColumn id="15796" name="Column15775" dataDxfId="637" dataCellStyle="Normal"/>
    <tableColumn id="15797" name="Column15776" dataDxfId="636" dataCellStyle="Normal"/>
    <tableColumn id="15798" name="Column15777" dataDxfId="635" dataCellStyle="Normal"/>
    <tableColumn id="15799" name="Column15778" dataDxfId="634" dataCellStyle="Normal"/>
    <tableColumn id="15800" name="Column15779" dataDxfId="633" dataCellStyle="Normal"/>
    <tableColumn id="15801" name="Column15780" dataDxfId="632" dataCellStyle="Normal"/>
    <tableColumn id="15802" name="Column15781" dataDxfId="631" dataCellStyle="Normal"/>
    <tableColumn id="15803" name="Column15782" dataDxfId="630" dataCellStyle="Normal"/>
    <tableColumn id="15804" name="Column15783" dataDxfId="629" dataCellStyle="Normal"/>
    <tableColumn id="15805" name="Column15784" dataDxfId="628" dataCellStyle="Normal"/>
    <tableColumn id="15806" name="Column15785" dataDxfId="627" dataCellStyle="Normal"/>
    <tableColumn id="15807" name="Column15786" dataDxfId="626" dataCellStyle="Normal"/>
    <tableColumn id="15808" name="Column15787" dataDxfId="625" dataCellStyle="Normal"/>
    <tableColumn id="15809" name="Column15788" dataDxfId="624" dataCellStyle="Normal"/>
    <tableColumn id="15810" name="Column15789" dataDxfId="623" dataCellStyle="Normal"/>
    <tableColumn id="15811" name="Column15790" dataDxfId="622" dataCellStyle="Normal"/>
    <tableColumn id="15812" name="Column15791" dataDxfId="621" dataCellStyle="Normal"/>
    <tableColumn id="15813" name="Column15792" dataDxfId="620" dataCellStyle="Normal"/>
    <tableColumn id="15814" name="Column15793" dataDxfId="619" dataCellStyle="Normal"/>
    <tableColumn id="15815" name="Column15794" dataDxfId="618" dataCellStyle="Normal"/>
    <tableColumn id="15816" name="Column15795" dataDxfId="617" dataCellStyle="Normal"/>
    <tableColumn id="15817" name="Column15796" dataDxfId="616" dataCellStyle="Normal"/>
    <tableColumn id="15818" name="Column15797" dataDxfId="615" dataCellStyle="Normal"/>
    <tableColumn id="15819" name="Column15798" dataDxfId="614" dataCellStyle="Normal"/>
    <tableColumn id="15820" name="Column15799" dataDxfId="613" dataCellStyle="Normal"/>
    <tableColumn id="15821" name="Column15800" dataDxfId="612" dataCellStyle="Normal"/>
    <tableColumn id="15822" name="Column15801" dataDxfId="611" dataCellStyle="Normal"/>
    <tableColumn id="15823" name="Column15802" dataDxfId="610" dataCellStyle="Normal"/>
    <tableColumn id="15824" name="Column15803" dataDxfId="609" dataCellStyle="Normal"/>
    <tableColumn id="15825" name="Column15804" dataDxfId="608" dataCellStyle="Normal"/>
    <tableColumn id="15826" name="Column15805" dataDxfId="607" dataCellStyle="Normal"/>
    <tableColumn id="15827" name="Column15806" dataDxfId="606" dataCellStyle="Normal"/>
    <tableColumn id="15828" name="Column15807" dataDxfId="605" dataCellStyle="Normal"/>
    <tableColumn id="15829" name="Column15808" dataDxfId="604" dataCellStyle="Normal"/>
    <tableColumn id="15830" name="Column15809" dataDxfId="603" dataCellStyle="Normal"/>
    <tableColumn id="15831" name="Column15810" dataDxfId="602" dataCellStyle="Normal"/>
    <tableColumn id="15832" name="Column15811" dataDxfId="601" dataCellStyle="Normal"/>
    <tableColumn id="15833" name="Column15812" dataDxfId="600" dataCellStyle="Normal"/>
    <tableColumn id="15834" name="Column15813" dataDxfId="599" dataCellStyle="Normal"/>
    <tableColumn id="15835" name="Column15814" dataDxfId="598" dataCellStyle="Normal"/>
    <tableColumn id="15836" name="Column15815" dataDxfId="597" dataCellStyle="Normal"/>
    <tableColumn id="15837" name="Column15816" dataDxfId="596" dataCellStyle="Normal"/>
    <tableColumn id="15838" name="Column15817" dataDxfId="595" dataCellStyle="Normal"/>
    <tableColumn id="15839" name="Column15818" dataDxfId="594" dataCellStyle="Normal"/>
    <tableColumn id="15840" name="Column15819" dataDxfId="593" dataCellStyle="Normal"/>
    <tableColumn id="15841" name="Column15820" dataDxfId="592" dataCellStyle="Normal"/>
    <tableColumn id="15842" name="Column15821" dataDxfId="591" dataCellStyle="Normal"/>
    <tableColumn id="15843" name="Column15822" dataDxfId="590" dataCellStyle="Normal"/>
    <tableColumn id="15844" name="Column15823" dataDxfId="589" dataCellStyle="Normal"/>
    <tableColumn id="15845" name="Column15824" dataDxfId="588" dataCellStyle="Normal"/>
    <tableColumn id="15846" name="Column15825" dataDxfId="587" dataCellStyle="Normal"/>
    <tableColumn id="15847" name="Column15826" dataDxfId="586" dataCellStyle="Normal"/>
    <tableColumn id="15848" name="Column15827" dataDxfId="585" dataCellStyle="Normal"/>
    <tableColumn id="15849" name="Column15828" dataDxfId="584" dataCellStyle="Normal"/>
    <tableColumn id="15850" name="Column15829" dataDxfId="583" dataCellStyle="Normal"/>
    <tableColumn id="15851" name="Column15830" dataDxfId="582" dataCellStyle="Normal"/>
    <tableColumn id="15852" name="Column15831" dataDxfId="581" dataCellStyle="Normal"/>
    <tableColumn id="15853" name="Column15832" dataDxfId="580" dataCellStyle="Normal"/>
    <tableColumn id="15854" name="Column15833" dataDxfId="579" dataCellStyle="Normal"/>
    <tableColumn id="15855" name="Column15834" dataDxfId="578" dataCellStyle="Normal"/>
    <tableColumn id="15856" name="Column15835" dataDxfId="577" dataCellStyle="Normal"/>
    <tableColumn id="15857" name="Column15836" dataDxfId="576" dataCellStyle="Normal"/>
    <tableColumn id="15858" name="Column15837" dataDxfId="575" dataCellStyle="Normal"/>
    <tableColumn id="15859" name="Column15838" dataDxfId="574" dataCellStyle="Normal"/>
    <tableColumn id="15860" name="Column15839" dataDxfId="573" dataCellStyle="Normal"/>
    <tableColumn id="15861" name="Column15840" dataDxfId="572" dataCellStyle="Normal"/>
    <tableColumn id="15862" name="Column15841" dataDxfId="571" dataCellStyle="Normal"/>
    <tableColumn id="15863" name="Column15842" dataDxfId="570" dataCellStyle="Normal"/>
    <tableColumn id="15864" name="Column15843" dataDxfId="569" dataCellStyle="Normal"/>
    <tableColumn id="15865" name="Column15844" dataDxfId="568" dataCellStyle="Normal"/>
    <tableColumn id="15866" name="Column15845" dataDxfId="567" dataCellStyle="Normal"/>
    <tableColumn id="15867" name="Column15846" dataDxfId="566" dataCellStyle="Normal"/>
    <tableColumn id="15868" name="Column15847" dataDxfId="565" dataCellStyle="Normal"/>
    <tableColumn id="15869" name="Column15848" dataDxfId="564" dataCellStyle="Normal"/>
    <tableColumn id="15870" name="Column15849" dataDxfId="563" dataCellStyle="Normal"/>
    <tableColumn id="15871" name="Column15850" dataDxfId="562" dataCellStyle="Normal"/>
    <tableColumn id="15872" name="Column15851" dataDxfId="561" dataCellStyle="Normal"/>
    <tableColumn id="15873" name="Column15852" dataDxfId="560" dataCellStyle="Normal"/>
    <tableColumn id="15874" name="Column15853" dataDxfId="559" dataCellStyle="Normal"/>
    <tableColumn id="15875" name="Column15854" dataDxfId="558" dataCellStyle="Normal"/>
    <tableColumn id="15876" name="Column15855" dataDxfId="557" dataCellStyle="Normal"/>
    <tableColumn id="15877" name="Column15856" dataDxfId="556" dataCellStyle="Normal"/>
    <tableColumn id="15878" name="Column15857" dataDxfId="555" dataCellStyle="Normal"/>
    <tableColumn id="15879" name="Column15858" dataDxfId="554" dataCellStyle="Normal"/>
    <tableColumn id="15880" name="Column15859" dataDxfId="553" dataCellStyle="Normal"/>
    <tableColumn id="15881" name="Column15860" dataDxfId="552" dataCellStyle="Normal"/>
    <tableColumn id="15882" name="Column15861" dataDxfId="551" dataCellStyle="Normal"/>
    <tableColumn id="15883" name="Column15862" dataDxfId="550" dataCellStyle="Normal"/>
    <tableColumn id="15884" name="Column15863" dataDxfId="549" dataCellStyle="Normal"/>
    <tableColumn id="15885" name="Column15864" dataDxfId="548" dataCellStyle="Normal"/>
    <tableColumn id="15886" name="Column15865" dataDxfId="547" dataCellStyle="Normal"/>
    <tableColumn id="15887" name="Column15866" dataDxfId="546" dataCellStyle="Normal"/>
    <tableColumn id="15888" name="Column15867" dataDxfId="545" dataCellStyle="Normal"/>
    <tableColumn id="15889" name="Column15868" dataDxfId="544" dataCellStyle="Normal"/>
    <tableColumn id="15890" name="Column15869" dataDxfId="543" dataCellStyle="Normal"/>
    <tableColumn id="15891" name="Column15870" dataDxfId="542" dataCellStyle="Normal"/>
    <tableColumn id="15892" name="Column15871" dataDxfId="541" dataCellStyle="Normal"/>
    <tableColumn id="15893" name="Column15872" dataDxfId="540" dataCellStyle="Normal"/>
    <tableColumn id="15894" name="Column15873" dataDxfId="539" dataCellStyle="Normal"/>
    <tableColumn id="15895" name="Column15874" dataDxfId="538" dataCellStyle="Normal"/>
    <tableColumn id="15896" name="Column15875" dataDxfId="537" dataCellStyle="Normal"/>
    <tableColumn id="15897" name="Column15876" dataDxfId="536" dataCellStyle="Normal"/>
    <tableColumn id="15898" name="Column15877" dataDxfId="535" dataCellStyle="Normal"/>
    <tableColumn id="15899" name="Column15878" dataDxfId="534" dataCellStyle="Normal"/>
    <tableColumn id="15900" name="Column15879" dataDxfId="533" dataCellStyle="Normal"/>
    <tableColumn id="15901" name="Column15880" dataDxfId="532" dataCellStyle="Normal"/>
    <tableColumn id="15902" name="Column15881" dataDxfId="531" dataCellStyle="Normal"/>
    <tableColumn id="15903" name="Column15882" dataDxfId="530" dataCellStyle="Normal"/>
    <tableColumn id="15904" name="Column15883" dataDxfId="529" dataCellStyle="Normal"/>
    <tableColumn id="15905" name="Column15884" dataDxfId="528" dataCellStyle="Normal"/>
    <tableColumn id="15906" name="Column15885" dataDxfId="527" dataCellStyle="Normal"/>
    <tableColumn id="15907" name="Column15886" dataDxfId="526" dataCellStyle="Normal"/>
    <tableColumn id="15908" name="Column15887" dataDxfId="525" dataCellStyle="Normal"/>
    <tableColumn id="15909" name="Column15888" dataDxfId="524" dataCellStyle="Normal"/>
    <tableColumn id="15910" name="Column15889" dataDxfId="523" dataCellStyle="Normal"/>
    <tableColumn id="15911" name="Column15890" dataDxfId="522" dataCellStyle="Normal"/>
    <tableColumn id="15912" name="Column15891" dataDxfId="521" dataCellStyle="Normal"/>
    <tableColumn id="15913" name="Column15892" dataDxfId="520" dataCellStyle="Normal"/>
    <tableColumn id="15914" name="Column15893" dataDxfId="519" dataCellStyle="Normal"/>
    <tableColumn id="15915" name="Column15894" dataDxfId="518" dataCellStyle="Normal"/>
    <tableColumn id="15916" name="Column15895" dataDxfId="517" dataCellStyle="Normal"/>
    <tableColumn id="15917" name="Column15896" dataDxfId="516" dataCellStyle="Normal"/>
    <tableColumn id="15918" name="Column15897" dataDxfId="515" dataCellStyle="Normal"/>
    <tableColumn id="15919" name="Column15898" dataDxfId="514" dataCellStyle="Normal"/>
    <tableColumn id="15920" name="Column15899" dataDxfId="513" dataCellStyle="Normal"/>
    <tableColumn id="15921" name="Column15900" dataDxfId="512" dataCellStyle="Normal"/>
    <tableColumn id="15922" name="Column15901" dataDxfId="511" dataCellStyle="Normal"/>
    <tableColumn id="15923" name="Column15902" dataDxfId="510" dataCellStyle="Normal"/>
    <tableColumn id="15924" name="Column15903" dataDxfId="509" dataCellStyle="Normal"/>
    <tableColumn id="15925" name="Column15904" dataDxfId="508" dataCellStyle="Normal"/>
    <tableColumn id="15926" name="Column15905" dataDxfId="507" dataCellStyle="Normal"/>
    <tableColumn id="15927" name="Column15906" dataDxfId="506" dataCellStyle="Normal"/>
    <tableColumn id="15928" name="Column15907" dataDxfId="505" dataCellStyle="Normal"/>
    <tableColumn id="15929" name="Column15908" dataDxfId="504" dataCellStyle="Normal"/>
    <tableColumn id="15930" name="Column15909" dataDxfId="503" dataCellStyle="Normal"/>
    <tableColumn id="15931" name="Column15910" dataDxfId="502" dataCellStyle="Normal"/>
    <tableColumn id="15932" name="Column15911" dataDxfId="501" dataCellStyle="Normal"/>
    <tableColumn id="15933" name="Column15912" dataDxfId="500" dataCellStyle="Normal"/>
    <tableColumn id="15934" name="Column15913" dataDxfId="499" dataCellStyle="Normal"/>
    <tableColumn id="15935" name="Column15914" dataDxfId="498" dataCellStyle="Normal"/>
    <tableColumn id="15936" name="Column15915" dataDxfId="497" dataCellStyle="Normal"/>
    <tableColumn id="15937" name="Column15916" dataDxfId="496" dataCellStyle="Normal"/>
    <tableColumn id="15938" name="Column15917" dataDxfId="495" dataCellStyle="Normal"/>
    <tableColumn id="15939" name="Column15918" dataDxfId="494" dataCellStyle="Normal"/>
    <tableColumn id="15940" name="Column15919" dataDxfId="493" dataCellStyle="Normal"/>
    <tableColumn id="15941" name="Column15920" dataDxfId="492" dataCellStyle="Normal"/>
    <tableColumn id="15942" name="Column15921" dataDxfId="491" dataCellStyle="Normal"/>
    <tableColumn id="15943" name="Column15922" dataDxfId="490" dataCellStyle="Normal"/>
    <tableColumn id="15944" name="Column15923" dataDxfId="489" dataCellStyle="Normal"/>
    <tableColumn id="15945" name="Column15924" dataDxfId="488" dataCellStyle="Normal"/>
    <tableColumn id="15946" name="Column15925" dataDxfId="487" dataCellStyle="Normal"/>
    <tableColumn id="15947" name="Column15926" dataDxfId="486" dataCellStyle="Normal"/>
    <tableColumn id="15948" name="Column15927" dataDxfId="485" dataCellStyle="Normal"/>
    <tableColumn id="15949" name="Column15928" dataDxfId="484" dataCellStyle="Normal"/>
    <tableColumn id="15950" name="Column15929" dataDxfId="483" dataCellStyle="Normal"/>
    <tableColumn id="15951" name="Column15930" dataDxfId="482" dataCellStyle="Normal"/>
    <tableColumn id="15952" name="Column15931" dataDxfId="481" dataCellStyle="Normal"/>
    <tableColumn id="15953" name="Column15932" dataDxfId="480" dataCellStyle="Normal"/>
    <tableColumn id="15954" name="Column15933" dataDxfId="479" dataCellStyle="Normal"/>
    <tableColumn id="15955" name="Column15934" dataDxfId="478" dataCellStyle="Normal"/>
    <tableColumn id="15956" name="Column15935" dataDxfId="477" dataCellStyle="Normal"/>
    <tableColumn id="15957" name="Column15936" dataDxfId="476" dataCellStyle="Normal"/>
    <tableColumn id="15958" name="Column15937" dataDxfId="475" dataCellStyle="Normal"/>
    <tableColumn id="15959" name="Column15938" dataDxfId="474" dataCellStyle="Normal"/>
    <tableColumn id="15960" name="Column15939" dataDxfId="473" dataCellStyle="Normal"/>
    <tableColumn id="15961" name="Column15940" dataDxfId="472" dataCellStyle="Normal"/>
    <tableColumn id="15962" name="Column15941" dataDxfId="471" dataCellStyle="Normal"/>
    <tableColumn id="15963" name="Column15942" dataDxfId="470" dataCellStyle="Normal"/>
    <tableColumn id="15964" name="Column15943" dataDxfId="469" dataCellStyle="Normal"/>
    <tableColumn id="15965" name="Column15944" dataDxfId="468" dataCellStyle="Normal"/>
    <tableColumn id="15966" name="Column15945" dataDxfId="467" dataCellStyle="Normal"/>
    <tableColumn id="15967" name="Column15946" dataDxfId="466" dataCellStyle="Normal"/>
    <tableColumn id="15968" name="Column15947" dataDxfId="465" dataCellStyle="Normal"/>
    <tableColumn id="15969" name="Column15948" dataDxfId="464" dataCellStyle="Normal"/>
    <tableColumn id="15970" name="Column15949" dataDxfId="463" dataCellStyle="Normal"/>
    <tableColumn id="15971" name="Column15950" dataDxfId="462" dataCellStyle="Normal"/>
    <tableColumn id="15972" name="Column15951" dataDxfId="461" dataCellStyle="Normal"/>
    <tableColumn id="15973" name="Column15952" dataDxfId="460" dataCellStyle="Normal"/>
    <tableColumn id="15974" name="Column15953" dataDxfId="459" dataCellStyle="Normal"/>
    <tableColumn id="15975" name="Column15954" dataDxfId="458" dataCellStyle="Normal"/>
    <tableColumn id="15976" name="Column15955" dataDxfId="457" dataCellStyle="Normal"/>
    <tableColumn id="15977" name="Column15956" dataDxfId="456" dataCellStyle="Normal"/>
    <tableColumn id="15978" name="Column15957" dataDxfId="455" dataCellStyle="Normal"/>
    <tableColumn id="15979" name="Column15958" dataDxfId="454" dataCellStyle="Normal"/>
    <tableColumn id="15980" name="Column15959" dataDxfId="453" dataCellStyle="Normal"/>
    <tableColumn id="15981" name="Column15960" dataDxfId="452" dataCellStyle="Normal"/>
    <tableColumn id="15982" name="Column15961" dataDxfId="451" dataCellStyle="Normal"/>
    <tableColumn id="15983" name="Column15962" dataDxfId="450" dataCellStyle="Normal"/>
    <tableColumn id="15984" name="Column15963" dataDxfId="449" dataCellStyle="Normal"/>
    <tableColumn id="15985" name="Column15964" dataDxfId="448" dataCellStyle="Normal"/>
    <tableColumn id="15986" name="Column15965" dataDxfId="447" dataCellStyle="Normal"/>
    <tableColumn id="15987" name="Column15966" dataDxfId="446" dataCellStyle="Normal"/>
    <tableColumn id="15988" name="Column15967" dataDxfId="445" dataCellStyle="Normal"/>
    <tableColumn id="15989" name="Column15968" dataDxfId="444" dataCellStyle="Normal"/>
    <tableColumn id="15990" name="Column15969" dataDxfId="443" dataCellStyle="Normal"/>
    <tableColumn id="15991" name="Column15970" dataDxfId="442" dataCellStyle="Normal"/>
    <tableColumn id="15992" name="Column15971" dataDxfId="441" dataCellStyle="Normal"/>
    <tableColumn id="15993" name="Column15972" dataDxfId="440" dataCellStyle="Normal"/>
    <tableColumn id="15994" name="Column15973" dataDxfId="439" dataCellStyle="Normal"/>
    <tableColumn id="15995" name="Column15974" dataDxfId="438" dataCellStyle="Normal"/>
    <tableColumn id="15996" name="Column15975" dataDxfId="437" dataCellStyle="Normal"/>
    <tableColumn id="15997" name="Column15976" dataDxfId="436" dataCellStyle="Normal"/>
    <tableColumn id="15998" name="Column15977" dataDxfId="435" dataCellStyle="Normal"/>
    <tableColumn id="15999" name="Column15978" dataDxfId="434" dataCellStyle="Normal"/>
    <tableColumn id="16000" name="Column15979" dataDxfId="433" dataCellStyle="Normal"/>
    <tableColumn id="16001" name="Column15980" dataDxfId="432" dataCellStyle="Normal"/>
    <tableColumn id="16002" name="Column15981" dataDxfId="431" dataCellStyle="Normal"/>
    <tableColumn id="16003" name="Column15982" dataDxfId="430" dataCellStyle="Normal"/>
    <tableColumn id="16004" name="Column15983" dataDxfId="429" dataCellStyle="Normal"/>
    <tableColumn id="16005" name="Column15984" dataDxfId="428" dataCellStyle="Normal"/>
    <tableColumn id="16006" name="Column15985" dataDxfId="427" dataCellStyle="Normal"/>
    <tableColumn id="16007" name="Column15986" dataDxfId="426" dataCellStyle="Normal"/>
    <tableColumn id="16008" name="Column15987" dataDxfId="425" dataCellStyle="Normal"/>
    <tableColumn id="16009" name="Column15988" dataDxfId="424" dataCellStyle="Normal"/>
    <tableColumn id="16010" name="Column15989" dataDxfId="423" dataCellStyle="Normal"/>
    <tableColumn id="16011" name="Column15990" dataDxfId="422" dataCellStyle="Normal"/>
    <tableColumn id="16012" name="Column15991" dataDxfId="421" dataCellStyle="Normal"/>
    <tableColumn id="16013" name="Column15992" dataDxfId="420" dataCellStyle="Normal"/>
    <tableColumn id="16014" name="Column15993" dataDxfId="419" dataCellStyle="Normal"/>
    <tableColumn id="16015" name="Column15994" dataDxfId="418" dataCellStyle="Normal"/>
    <tableColumn id="16016" name="Column15995" dataDxfId="417" dataCellStyle="Normal"/>
    <tableColumn id="16017" name="Column15996" dataDxfId="416" dataCellStyle="Normal"/>
    <tableColumn id="16018" name="Column15997" dataDxfId="415" dataCellStyle="Normal"/>
    <tableColumn id="16019" name="Column15998" dataDxfId="414" dataCellStyle="Normal"/>
    <tableColumn id="16020" name="Column15999" dataDxfId="413" dataCellStyle="Normal"/>
    <tableColumn id="16021" name="Column16000" dataDxfId="412" dataCellStyle="Normal"/>
    <tableColumn id="16022" name="Column16001" dataDxfId="411" dataCellStyle="Normal"/>
    <tableColumn id="16023" name="Column16002" dataDxfId="410" dataCellStyle="Normal"/>
    <tableColumn id="16024" name="Column16003" dataDxfId="409" dataCellStyle="Normal"/>
    <tableColumn id="16025" name="Column16004" dataDxfId="408" dataCellStyle="Normal"/>
    <tableColumn id="16026" name="Column16005" dataDxfId="407" dataCellStyle="Normal"/>
    <tableColumn id="16027" name="Column16006" dataDxfId="406" dataCellStyle="Normal"/>
    <tableColumn id="16028" name="Column16007" dataDxfId="405" dataCellStyle="Normal"/>
    <tableColumn id="16029" name="Column16008" dataDxfId="404" dataCellStyle="Normal"/>
    <tableColumn id="16030" name="Column16009" dataDxfId="403" dataCellStyle="Normal"/>
    <tableColumn id="16031" name="Column16010" dataDxfId="402" dataCellStyle="Normal"/>
    <tableColumn id="16032" name="Column16011" dataDxfId="401" dataCellStyle="Normal"/>
    <tableColumn id="16033" name="Column16012" dataDxfId="400" dataCellStyle="Normal"/>
    <tableColumn id="16034" name="Column16013" dataDxfId="399" dataCellStyle="Normal"/>
    <tableColumn id="16035" name="Column16014" dataDxfId="398" dataCellStyle="Normal"/>
    <tableColumn id="16036" name="Column16015" dataDxfId="397" dataCellStyle="Normal"/>
    <tableColumn id="16037" name="Column16016" dataDxfId="396" dataCellStyle="Normal"/>
    <tableColumn id="16038" name="Column16017" dataDxfId="395" dataCellStyle="Normal"/>
    <tableColumn id="16039" name="Column16018" dataDxfId="394" dataCellStyle="Normal"/>
    <tableColumn id="16040" name="Column16019" dataDxfId="393" dataCellStyle="Normal"/>
    <tableColumn id="16041" name="Column16020" dataDxfId="392" dataCellStyle="Normal"/>
    <tableColumn id="16042" name="Column16021" dataDxfId="391" dataCellStyle="Normal"/>
    <tableColumn id="16043" name="Column16022" dataDxfId="390" dataCellStyle="Normal"/>
    <tableColumn id="16044" name="Column16023" dataDxfId="389" dataCellStyle="Normal"/>
    <tableColumn id="16045" name="Column16024" dataDxfId="388" dataCellStyle="Normal"/>
    <tableColumn id="16046" name="Column16025" dataDxfId="387" dataCellStyle="Normal"/>
    <tableColumn id="16047" name="Column16026" dataDxfId="386" dataCellStyle="Normal"/>
    <tableColumn id="16048" name="Column16027" dataDxfId="385" dataCellStyle="Normal"/>
    <tableColumn id="16049" name="Column16028" dataDxfId="384" dataCellStyle="Normal"/>
    <tableColumn id="16050" name="Column16029" dataDxfId="383" dataCellStyle="Normal"/>
    <tableColumn id="16051" name="Column16030" dataDxfId="382" dataCellStyle="Normal"/>
    <tableColumn id="16052" name="Column16031" dataDxfId="381" dataCellStyle="Normal"/>
    <tableColumn id="16053" name="Column16032" dataDxfId="380" dataCellStyle="Normal"/>
    <tableColumn id="16054" name="Column16033" dataDxfId="379" dataCellStyle="Normal"/>
    <tableColumn id="16055" name="Column16034" dataDxfId="378" dataCellStyle="Normal"/>
    <tableColumn id="16056" name="Column16035" dataDxfId="377" dataCellStyle="Normal"/>
    <tableColumn id="16057" name="Column16036" dataDxfId="376" dataCellStyle="Normal"/>
    <tableColumn id="16058" name="Column16037" dataDxfId="375" dataCellStyle="Normal"/>
    <tableColumn id="16059" name="Column16038" dataDxfId="374" dataCellStyle="Normal"/>
    <tableColumn id="16060" name="Column16039" dataDxfId="373" dataCellStyle="Normal"/>
    <tableColumn id="16061" name="Column16040" dataDxfId="372" dataCellStyle="Normal"/>
    <tableColumn id="16062" name="Column16041" dataDxfId="371" dataCellStyle="Normal"/>
    <tableColumn id="16063" name="Column16042" dataDxfId="370" dataCellStyle="Normal"/>
    <tableColumn id="16064" name="Column16043" dataDxfId="369" dataCellStyle="Normal"/>
    <tableColumn id="16065" name="Column16044" dataDxfId="368" dataCellStyle="Normal"/>
    <tableColumn id="16066" name="Column16045" dataDxfId="367" dataCellStyle="Normal"/>
    <tableColumn id="16067" name="Column16046" dataDxfId="366" dataCellStyle="Normal"/>
    <tableColumn id="16068" name="Column16047" dataDxfId="365" dataCellStyle="Normal"/>
    <tableColumn id="16069" name="Column16048" dataDxfId="364" dataCellStyle="Normal"/>
    <tableColumn id="16070" name="Column16049" dataDxfId="363" dataCellStyle="Normal"/>
    <tableColumn id="16071" name="Column16050" dataDxfId="362" dataCellStyle="Normal"/>
    <tableColumn id="16072" name="Column16051" dataDxfId="361" dataCellStyle="Normal"/>
    <tableColumn id="16073" name="Column16052" dataDxfId="360" dataCellStyle="Normal"/>
    <tableColumn id="16074" name="Column16053" dataDxfId="359" dataCellStyle="Normal"/>
    <tableColumn id="16075" name="Column16054" dataDxfId="358" dataCellStyle="Normal"/>
    <tableColumn id="16076" name="Column16055" dataDxfId="357" dataCellStyle="Normal"/>
    <tableColumn id="16077" name="Column16056" dataDxfId="356" dataCellStyle="Normal"/>
    <tableColumn id="16078" name="Column16057" dataDxfId="355" dataCellStyle="Normal"/>
    <tableColumn id="16079" name="Column16058" dataDxfId="354" dataCellStyle="Normal"/>
    <tableColumn id="16080" name="Column16059" dataDxfId="353" dataCellStyle="Normal"/>
    <tableColumn id="16081" name="Column16060" dataDxfId="352" dataCellStyle="Normal"/>
    <tableColumn id="16082" name="Column16061" dataDxfId="351" dataCellStyle="Normal"/>
    <tableColumn id="16083" name="Column16062" dataDxfId="350" dataCellStyle="Normal"/>
    <tableColumn id="16084" name="Column16063" dataDxfId="349" dataCellStyle="Normal"/>
    <tableColumn id="16085" name="Column16064" dataDxfId="348" dataCellStyle="Normal"/>
    <tableColumn id="16086" name="Column16065" dataDxfId="347" dataCellStyle="Normal"/>
    <tableColumn id="16087" name="Column16066" dataDxfId="346" dataCellStyle="Normal"/>
    <tableColumn id="16088" name="Column16067" dataDxfId="345" dataCellStyle="Normal"/>
    <tableColumn id="16089" name="Column16068" dataDxfId="344" dataCellStyle="Normal"/>
    <tableColumn id="16090" name="Column16069" dataDxfId="343" dataCellStyle="Normal"/>
    <tableColumn id="16091" name="Column16070" dataDxfId="342" dataCellStyle="Normal"/>
    <tableColumn id="16092" name="Column16071" dataDxfId="341" dataCellStyle="Normal"/>
    <tableColumn id="16093" name="Column16072" dataDxfId="340" dataCellStyle="Normal"/>
    <tableColumn id="16094" name="Column16073" dataDxfId="339" dataCellStyle="Normal"/>
    <tableColumn id="16095" name="Column16074" dataDxfId="338" dataCellStyle="Normal"/>
    <tableColumn id="16096" name="Column16075" dataDxfId="337" dataCellStyle="Normal"/>
    <tableColumn id="16097" name="Column16076" dataDxfId="336" dataCellStyle="Normal"/>
    <tableColumn id="16098" name="Column16077" dataDxfId="335" dataCellStyle="Normal"/>
    <tableColumn id="16099" name="Column16078" dataDxfId="334" dataCellStyle="Normal"/>
    <tableColumn id="16100" name="Column16079" dataDxfId="333" dataCellStyle="Normal"/>
    <tableColumn id="16101" name="Column16080" dataDxfId="332" dataCellStyle="Normal"/>
    <tableColumn id="16102" name="Column16081" dataDxfId="331" dataCellStyle="Normal"/>
    <tableColumn id="16103" name="Column16082" dataDxfId="330" dataCellStyle="Normal"/>
    <tableColumn id="16104" name="Column16083" dataDxfId="329" dataCellStyle="Normal"/>
    <tableColumn id="16105" name="Column16084" dataDxfId="328" dataCellStyle="Normal"/>
    <tableColumn id="16106" name="Column16085" dataDxfId="327" dataCellStyle="Normal"/>
    <tableColumn id="16107" name="Column16086" dataDxfId="326" dataCellStyle="Normal"/>
    <tableColumn id="16108" name="Column16087" dataDxfId="325" dataCellStyle="Normal"/>
    <tableColumn id="16109" name="Column16088" dataDxfId="324" dataCellStyle="Normal"/>
    <tableColumn id="16110" name="Column16089" dataDxfId="323" dataCellStyle="Normal"/>
    <tableColumn id="16111" name="Column16090" dataDxfId="322" dataCellStyle="Normal"/>
    <tableColumn id="16112" name="Column16091" dataDxfId="321" dataCellStyle="Normal"/>
    <tableColumn id="16113" name="Column16092" dataDxfId="320" dataCellStyle="Normal"/>
    <tableColumn id="16114" name="Column16093" dataDxfId="319" dataCellStyle="Normal"/>
    <tableColumn id="16115" name="Column16094" dataDxfId="318" dataCellStyle="Normal"/>
    <tableColumn id="16116" name="Column16095" dataDxfId="317" dataCellStyle="Normal"/>
    <tableColumn id="16117" name="Column16096" dataDxfId="316" dataCellStyle="Normal"/>
    <tableColumn id="16118" name="Column16097" dataDxfId="315" dataCellStyle="Normal"/>
    <tableColumn id="16119" name="Column16098" dataDxfId="314" dataCellStyle="Normal"/>
    <tableColumn id="16120" name="Column16099" dataDxfId="313" dataCellStyle="Normal"/>
    <tableColumn id="16121" name="Column16100" dataDxfId="312" dataCellStyle="Normal"/>
    <tableColumn id="16122" name="Column16101" dataDxfId="311" dataCellStyle="Normal"/>
    <tableColumn id="16123" name="Column16102" dataDxfId="310" dataCellStyle="Normal"/>
    <tableColumn id="16124" name="Column16103" dataDxfId="309" dataCellStyle="Normal"/>
    <tableColumn id="16125" name="Column16104" dataDxfId="308" dataCellStyle="Normal"/>
    <tableColumn id="16126" name="Column16105" dataDxfId="307" dataCellStyle="Normal"/>
    <tableColumn id="16127" name="Column16106" dataDxfId="306" dataCellStyle="Normal"/>
    <tableColumn id="16128" name="Column16107" dataDxfId="305" dataCellStyle="Normal"/>
    <tableColumn id="16129" name="Column16108" dataDxfId="304" dataCellStyle="Normal"/>
    <tableColumn id="16130" name="Column16109" dataDxfId="303" dataCellStyle="Normal"/>
    <tableColumn id="16131" name="Column16110" dataDxfId="302" dataCellStyle="Normal"/>
    <tableColumn id="16132" name="Column16111" dataDxfId="301" dataCellStyle="Normal"/>
    <tableColumn id="16133" name="Column16112" dataDxfId="300" dataCellStyle="Normal"/>
    <tableColumn id="16134" name="Column16113" dataDxfId="299" dataCellStyle="Normal"/>
    <tableColumn id="16135" name="Column16114" dataDxfId="298" dataCellStyle="Normal"/>
    <tableColumn id="16136" name="Column16115" dataDxfId="297" dataCellStyle="Normal"/>
    <tableColumn id="16137" name="Column16116" dataDxfId="296" dataCellStyle="Normal"/>
    <tableColumn id="16138" name="Column16117" dataDxfId="295" dataCellStyle="Normal"/>
    <tableColumn id="16139" name="Column16118" dataDxfId="294" dataCellStyle="Normal"/>
    <tableColumn id="16140" name="Column16119" dataDxfId="293" dataCellStyle="Normal"/>
    <tableColumn id="16141" name="Column16120" dataDxfId="292" dataCellStyle="Normal"/>
    <tableColumn id="16142" name="Column16121" dataDxfId="291" dataCellStyle="Normal"/>
    <tableColumn id="16143" name="Column16122" dataDxfId="290" dataCellStyle="Normal"/>
    <tableColumn id="16144" name="Column16123" dataDxfId="289" dataCellStyle="Normal"/>
    <tableColumn id="16145" name="Column16124" dataDxfId="288" dataCellStyle="Normal"/>
    <tableColumn id="16146" name="Column16125" dataDxfId="287" dataCellStyle="Normal"/>
    <tableColumn id="16147" name="Column16126" dataDxfId="286" dataCellStyle="Normal"/>
    <tableColumn id="16148" name="Column16127" dataDxfId="285" dataCellStyle="Normal"/>
    <tableColumn id="16149" name="Column16128" dataDxfId="284" dataCellStyle="Normal"/>
    <tableColumn id="16150" name="Column16129" dataDxfId="283" dataCellStyle="Normal"/>
    <tableColumn id="16151" name="Column16130" dataDxfId="282" dataCellStyle="Normal"/>
    <tableColumn id="16152" name="Column16131" dataDxfId="281" dataCellStyle="Normal"/>
    <tableColumn id="16153" name="Column16132" dataDxfId="280" dataCellStyle="Normal"/>
    <tableColumn id="16154" name="Column16133" dataDxfId="279" dataCellStyle="Normal"/>
    <tableColumn id="16155" name="Column16134" dataDxfId="278" dataCellStyle="Normal"/>
    <tableColumn id="16156" name="Column16135" dataDxfId="277" dataCellStyle="Normal"/>
    <tableColumn id="16157" name="Column16136" dataDxfId="276" dataCellStyle="Normal"/>
    <tableColumn id="16158" name="Column16137" dataDxfId="275" dataCellStyle="Normal"/>
    <tableColumn id="16159" name="Column16138" dataDxfId="274" dataCellStyle="Normal"/>
    <tableColumn id="16160" name="Column16139" dataDxfId="273" dataCellStyle="Normal"/>
    <tableColumn id="16161" name="Column16140" dataDxfId="272" dataCellStyle="Normal"/>
    <tableColumn id="16162" name="Column16141" dataDxfId="271" dataCellStyle="Normal"/>
    <tableColumn id="16163" name="Column16142" dataDxfId="270" dataCellStyle="Normal"/>
    <tableColumn id="16164" name="Column16143" dataDxfId="269" dataCellStyle="Normal"/>
    <tableColumn id="16165" name="Column16144" dataDxfId="268" dataCellStyle="Normal"/>
    <tableColumn id="16166" name="Column16145" dataDxfId="267" dataCellStyle="Normal"/>
    <tableColumn id="16167" name="Column16146" dataDxfId="266" dataCellStyle="Normal"/>
    <tableColumn id="16168" name="Column16147" dataDxfId="265" dataCellStyle="Normal"/>
    <tableColumn id="16169" name="Column16148" dataDxfId="264" dataCellStyle="Normal"/>
    <tableColumn id="16170" name="Column16149" dataDxfId="263" dataCellStyle="Normal"/>
    <tableColumn id="16171" name="Column16150" dataDxfId="262" dataCellStyle="Normal"/>
    <tableColumn id="16172" name="Column16151" dataDxfId="261" dataCellStyle="Normal"/>
    <tableColumn id="16173" name="Column16152" dataDxfId="260" dataCellStyle="Normal"/>
    <tableColumn id="16174" name="Column16153" dataDxfId="259" dataCellStyle="Normal"/>
    <tableColumn id="16175" name="Column16154" dataDxfId="258" dataCellStyle="Normal"/>
    <tableColumn id="16176" name="Column16155" dataDxfId="257" dataCellStyle="Normal"/>
    <tableColumn id="16177" name="Column16156" dataDxfId="256" dataCellStyle="Normal"/>
    <tableColumn id="16178" name="Column16157" dataDxfId="255" dataCellStyle="Normal"/>
    <tableColumn id="16179" name="Column16158" dataDxfId="254" dataCellStyle="Normal"/>
    <tableColumn id="16180" name="Column16159" dataDxfId="253" dataCellStyle="Normal"/>
    <tableColumn id="16181" name="Column16160" dataDxfId="252" dataCellStyle="Normal"/>
    <tableColumn id="16182" name="Column16161" dataDxfId="251" dataCellStyle="Normal"/>
    <tableColumn id="16183" name="Column16162" dataDxfId="250" dataCellStyle="Normal"/>
    <tableColumn id="16184" name="Column16163" dataDxfId="249" dataCellStyle="Normal"/>
    <tableColumn id="16185" name="Column16164" dataDxfId="248" dataCellStyle="Normal"/>
    <tableColumn id="16186" name="Column16165" dataDxfId="247" dataCellStyle="Normal"/>
    <tableColumn id="16187" name="Column16166" dataDxfId="246" dataCellStyle="Normal"/>
    <tableColumn id="16188" name="Column16167" dataDxfId="245" dataCellStyle="Normal"/>
    <tableColumn id="16189" name="Column16168" dataDxfId="244" dataCellStyle="Normal"/>
    <tableColumn id="16190" name="Column16169" dataDxfId="243" dataCellStyle="Normal"/>
    <tableColumn id="16191" name="Column16170" dataDxfId="242" dataCellStyle="Normal"/>
    <tableColumn id="16192" name="Column16171" dataDxfId="241" dataCellStyle="Normal"/>
    <tableColumn id="16193" name="Column16172" dataDxfId="240" dataCellStyle="Normal"/>
    <tableColumn id="16194" name="Column16173" dataDxfId="239" dataCellStyle="Normal"/>
    <tableColumn id="16195" name="Column16174" dataDxfId="238" dataCellStyle="Normal"/>
    <tableColumn id="16196" name="Column16175" dataDxfId="237" dataCellStyle="Normal"/>
    <tableColumn id="16197" name="Column16176" dataDxfId="236" dataCellStyle="Normal"/>
    <tableColumn id="16198" name="Column16177" dataDxfId="235" dataCellStyle="Normal"/>
    <tableColumn id="16199" name="Column16178" dataDxfId="234" dataCellStyle="Normal"/>
    <tableColumn id="16200" name="Column16179" dataDxfId="233" dataCellStyle="Normal"/>
    <tableColumn id="16201" name="Column16180" dataDxfId="232" dataCellStyle="Normal"/>
    <tableColumn id="16202" name="Column16181" dataDxfId="231" dataCellStyle="Normal"/>
    <tableColumn id="16203" name="Column16182" dataDxfId="230" dataCellStyle="Normal"/>
    <tableColumn id="16204" name="Column16183" dataDxfId="229" dataCellStyle="Normal"/>
    <tableColumn id="16205" name="Column16184" dataDxfId="228" dataCellStyle="Normal"/>
    <tableColumn id="16206" name="Column16185" dataDxfId="227" dataCellStyle="Normal"/>
    <tableColumn id="16207" name="Column16186" dataDxfId="226" dataCellStyle="Normal"/>
    <tableColumn id="16208" name="Column16187" dataDxfId="225" dataCellStyle="Normal"/>
    <tableColumn id="16209" name="Column16188" dataDxfId="224" dataCellStyle="Normal"/>
    <tableColumn id="16210" name="Column16189" dataDxfId="223" dataCellStyle="Normal"/>
    <tableColumn id="16211" name="Column16190" dataDxfId="222" dataCellStyle="Normal"/>
    <tableColumn id="16212" name="Column16191" dataDxfId="221" dataCellStyle="Normal"/>
    <tableColumn id="16213" name="Column16192" dataDxfId="220" dataCellStyle="Normal"/>
    <tableColumn id="16214" name="Column16193" dataDxfId="219" dataCellStyle="Normal"/>
    <tableColumn id="16215" name="Column16194" dataDxfId="218" dataCellStyle="Normal"/>
    <tableColumn id="16216" name="Column16195" dataDxfId="217" dataCellStyle="Normal"/>
    <tableColumn id="16217" name="Column16196" dataDxfId="216" dataCellStyle="Normal"/>
    <tableColumn id="16218" name="Column16197" dataDxfId="215" dataCellStyle="Normal"/>
    <tableColumn id="16219" name="Column16198" dataDxfId="214" dataCellStyle="Normal"/>
    <tableColumn id="16220" name="Column16199" dataDxfId="213" dataCellStyle="Normal"/>
    <tableColumn id="16221" name="Column16200" dataDxfId="212" dataCellStyle="Normal"/>
    <tableColumn id="16222" name="Column16201" dataDxfId="211" dataCellStyle="Normal"/>
    <tableColumn id="16223" name="Column16202" dataDxfId="210" dataCellStyle="Normal"/>
    <tableColumn id="16224" name="Column16203" dataDxfId="209" dataCellStyle="Normal"/>
    <tableColumn id="16225" name="Column16204" dataDxfId="208" dataCellStyle="Normal"/>
    <tableColumn id="16226" name="Column16205" dataDxfId="207" dataCellStyle="Normal"/>
    <tableColumn id="16227" name="Column16206" dataDxfId="206" dataCellStyle="Normal"/>
    <tableColumn id="16228" name="Column16207" dataDxfId="205" dataCellStyle="Normal"/>
    <tableColumn id="16229" name="Column16208" dataDxfId="204" dataCellStyle="Normal"/>
    <tableColumn id="16230" name="Column16209" dataDxfId="203" dataCellStyle="Normal"/>
    <tableColumn id="16231" name="Column16210" dataDxfId="202" dataCellStyle="Normal"/>
    <tableColumn id="16232" name="Column16211" dataDxfId="201" dataCellStyle="Normal"/>
    <tableColumn id="16233" name="Column16212" dataDxfId="200" dataCellStyle="Normal"/>
    <tableColumn id="16234" name="Column16213" dataDxfId="199" dataCellStyle="Normal"/>
    <tableColumn id="16235" name="Column16214" dataDxfId="198" dataCellStyle="Normal"/>
    <tableColumn id="16236" name="Column16215" dataDxfId="197" dataCellStyle="Normal"/>
    <tableColumn id="16237" name="Column16216" dataDxfId="196" dataCellStyle="Normal"/>
    <tableColumn id="16238" name="Column16217" dataDxfId="195" dataCellStyle="Normal"/>
    <tableColumn id="16239" name="Column16218" dataDxfId="194" dataCellStyle="Normal"/>
    <tableColumn id="16240" name="Column16219" dataDxfId="193" dataCellStyle="Normal"/>
    <tableColumn id="16241" name="Column16220" dataDxfId="192" dataCellStyle="Normal"/>
    <tableColumn id="16242" name="Column16221" dataDxfId="191" dataCellStyle="Normal"/>
    <tableColumn id="16243" name="Column16222" dataDxfId="190" dataCellStyle="Normal"/>
    <tableColumn id="16244" name="Column16223" dataDxfId="189" dataCellStyle="Normal"/>
    <tableColumn id="16245" name="Column16224" dataDxfId="188" dataCellStyle="Normal"/>
    <tableColumn id="16246" name="Column16225" dataDxfId="187" dataCellStyle="Normal"/>
    <tableColumn id="16247" name="Column16226" dataDxfId="186" dataCellStyle="Normal"/>
    <tableColumn id="16248" name="Column16227" dataDxfId="185" dataCellStyle="Normal"/>
    <tableColumn id="16249" name="Column16228" dataDxfId="184" dataCellStyle="Normal"/>
    <tableColumn id="16250" name="Column16229" dataDxfId="183" dataCellStyle="Normal"/>
    <tableColumn id="16251" name="Column16230" dataDxfId="182" dataCellStyle="Normal"/>
    <tableColumn id="16252" name="Column16231" dataDxfId="181" dataCellStyle="Normal"/>
    <tableColumn id="16253" name="Column16232" dataDxfId="180" dataCellStyle="Normal"/>
    <tableColumn id="16254" name="Column16233" dataDxfId="179" dataCellStyle="Normal"/>
    <tableColumn id="16255" name="Column16234" dataDxfId="178" dataCellStyle="Normal"/>
    <tableColumn id="16256" name="Column16235" dataDxfId="177" dataCellStyle="Normal"/>
    <tableColumn id="16257" name="Column16236" dataDxfId="176" dataCellStyle="Normal"/>
    <tableColumn id="16258" name="Column16237" dataDxfId="175" dataCellStyle="Normal"/>
    <tableColumn id="16259" name="Column16238" dataDxfId="174" dataCellStyle="Normal"/>
    <tableColumn id="16260" name="Column16239" dataDxfId="173" dataCellStyle="Normal"/>
    <tableColumn id="16261" name="Column16240" dataDxfId="172" dataCellStyle="Normal"/>
    <tableColumn id="16262" name="Column16241" dataDxfId="171" dataCellStyle="Normal"/>
    <tableColumn id="16263" name="Column16242" dataDxfId="170" dataCellStyle="Normal"/>
    <tableColumn id="16264" name="Column16243" dataDxfId="169" dataCellStyle="Normal"/>
    <tableColumn id="16265" name="Column16244" dataDxfId="168" dataCellStyle="Normal"/>
    <tableColumn id="16266" name="Column16245" dataDxfId="167" dataCellStyle="Normal"/>
    <tableColumn id="16267" name="Column16246" dataDxfId="166" dataCellStyle="Normal"/>
    <tableColumn id="16268" name="Column16247" dataDxfId="165" dataCellStyle="Normal"/>
    <tableColumn id="16269" name="Column16248" dataDxfId="164" dataCellStyle="Normal"/>
    <tableColumn id="16270" name="Column16249" dataDxfId="163" dataCellStyle="Normal"/>
    <tableColumn id="16271" name="Column16250" dataDxfId="162" dataCellStyle="Normal"/>
    <tableColumn id="16272" name="Column16251" dataDxfId="161" dataCellStyle="Normal"/>
    <tableColumn id="16273" name="Column16252" dataDxfId="160" dataCellStyle="Normal"/>
    <tableColumn id="16274" name="Column16253" dataDxfId="159" dataCellStyle="Normal"/>
    <tableColumn id="16275" name="Column16254" dataDxfId="158" dataCellStyle="Normal"/>
    <tableColumn id="16276" name="Column16255" dataDxfId="157" dataCellStyle="Normal"/>
    <tableColumn id="16277" name="Column16256" dataDxfId="156" dataCellStyle="Normal"/>
    <tableColumn id="16278" name="Column16257" dataDxfId="155" dataCellStyle="Normal"/>
    <tableColumn id="16279" name="Column16258" dataDxfId="154" dataCellStyle="Normal"/>
    <tableColumn id="16280" name="Column16259" dataDxfId="153" dataCellStyle="Normal"/>
    <tableColumn id="16281" name="Column16260" dataDxfId="152" dataCellStyle="Normal"/>
    <tableColumn id="16282" name="Column16261" dataDxfId="151" dataCellStyle="Normal"/>
    <tableColumn id="16283" name="Column16262" dataDxfId="150" dataCellStyle="Normal"/>
    <tableColumn id="16284" name="Column16263" dataDxfId="149" dataCellStyle="Normal"/>
    <tableColumn id="16285" name="Column16264" dataDxfId="148" dataCellStyle="Normal"/>
    <tableColumn id="16286" name="Column16265" dataDxfId="147" dataCellStyle="Normal"/>
    <tableColumn id="16287" name="Column16266" dataDxfId="146" dataCellStyle="Normal"/>
    <tableColumn id="16288" name="Column16267" dataDxfId="145" dataCellStyle="Normal"/>
    <tableColumn id="16289" name="Column16268" dataDxfId="144" dataCellStyle="Normal"/>
    <tableColumn id="16290" name="Column16269" dataDxfId="143" dataCellStyle="Normal"/>
    <tableColumn id="16291" name="Column16270" dataDxfId="142" dataCellStyle="Normal"/>
    <tableColumn id="16292" name="Column16271" dataDxfId="141" dataCellStyle="Normal"/>
    <tableColumn id="16293" name="Column16272" dataDxfId="140" dataCellStyle="Normal"/>
    <tableColumn id="16294" name="Column16273" dataDxfId="139" dataCellStyle="Normal"/>
    <tableColumn id="16295" name="Column16274" dataDxfId="138" dataCellStyle="Normal"/>
    <tableColumn id="16296" name="Column16275" dataDxfId="137" dataCellStyle="Normal"/>
    <tableColumn id="16297" name="Column16276" dataDxfId="136" dataCellStyle="Normal"/>
    <tableColumn id="16298" name="Column16277" dataDxfId="135" dataCellStyle="Normal"/>
    <tableColumn id="16299" name="Column16278" dataDxfId="134" dataCellStyle="Normal"/>
    <tableColumn id="16300" name="Column16279" dataDxfId="133" dataCellStyle="Normal"/>
    <tableColumn id="16301" name="Column16280" dataDxfId="132" dataCellStyle="Normal"/>
    <tableColumn id="16302" name="Column16281" dataDxfId="131" dataCellStyle="Normal"/>
    <tableColumn id="16303" name="Column16282" dataDxfId="130" dataCellStyle="Normal"/>
    <tableColumn id="16304" name="Column16283" dataDxfId="129" dataCellStyle="Normal"/>
    <tableColumn id="16305" name="Column16284" dataDxfId="128" dataCellStyle="Normal"/>
    <tableColumn id="16306" name="Column16285" dataDxfId="127" dataCellStyle="Normal"/>
    <tableColumn id="16307" name="Column16286" dataDxfId="126" dataCellStyle="Normal"/>
    <tableColumn id="16308" name="Column16287" dataDxfId="125" dataCellStyle="Normal"/>
    <tableColumn id="16309" name="Column16288" dataDxfId="124" dataCellStyle="Normal"/>
    <tableColumn id="16310" name="Column16289" dataDxfId="123" dataCellStyle="Normal"/>
    <tableColumn id="16311" name="Column16290" dataDxfId="122" dataCellStyle="Normal"/>
    <tableColumn id="16312" name="Column16291" dataDxfId="121" dataCellStyle="Normal"/>
    <tableColumn id="16313" name="Column16292" dataDxfId="120" dataCellStyle="Normal"/>
    <tableColumn id="16314" name="Column16293" dataDxfId="119" dataCellStyle="Normal"/>
    <tableColumn id="16315" name="Column16294" dataDxfId="118" dataCellStyle="Normal"/>
    <tableColumn id="16316" name="Column16295" dataDxfId="117" dataCellStyle="Normal"/>
    <tableColumn id="16317" name="Column16296" dataDxfId="116" dataCellStyle="Normal"/>
    <tableColumn id="16318" name="Column16297" dataDxfId="115" dataCellStyle="Normal"/>
    <tableColumn id="16319" name="Column16298" dataDxfId="114" dataCellStyle="Normal"/>
    <tableColumn id="16320" name="Column16299" dataDxfId="113" dataCellStyle="Normal"/>
    <tableColumn id="16321" name="Column16300" dataDxfId="112" dataCellStyle="Normal"/>
    <tableColumn id="16322" name="Column16301" dataDxfId="111" dataCellStyle="Normal"/>
    <tableColumn id="16323" name="Column16302" dataDxfId="110" dataCellStyle="Normal"/>
    <tableColumn id="16324" name="Column16303" dataDxfId="109" dataCellStyle="Normal"/>
    <tableColumn id="16325" name="Column16304" dataDxfId="108" dataCellStyle="Normal"/>
    <tableColumn id="16326" name="Column16305" dataDxfId="107" dataCellStyle="Normal"/>
    <tableColumn id="16327" name="Column16306" dataDxfId="106" dataCellStyle="Normal"/>
    <tableColumn id="16328" name="Column16307" dataDxfId="105" dataCellStyle="Normal"/>
    <tableColumn id="16329" name="Column16308" dataDxfId="104" dataCellStyle="Normal"/>
    <tableColumn id="16330" name="Column16309" dataDxfId="103" dataCellStyle="Normal"/>
    <tableColumn id="16331" name="Column16310" dataDxfId="102" dataCellStyle="Normal"/>
    <tableColumn id="16332" name="Column16311" dataDxfId="101" dataCellStyle="Normal"/>
    <tableColumn id="16333" name="Column16312" dataDxfId="100" dataCellStyle="Normal"/>
    <tableColumn id="16334" name="Column16313" dataDxfId="99" dataCellStyle="Normal"/>
    <tableColumn id="16335" name="Column16314" dataDxfId="98" dataCellStyle="Normal"/>
    <tableColumn id="16336" name="Column16315" dataDxfId="97" dataCellStyle="Normal"/>
    <tableColumn id="16337" name="Column16316" dataDxfId="96" dataCellStyle="Normal"/>
    <tableColumn id="16338" name="Column16317" dataDxfId="95" dataCellStyle="Normal"/>
    <tableColumn id="16339" name="Column16318" dataDxfId="94" dataCellStyle="Normal"/>
    <tableColumn id="16340" name="Column16319" dataDxfId="93" dataCellStyle="Normal"/>
    <tableColumn id="16341" name="Column16320" dataDxfId="92" dataCellStyle="Normal"/>
    <tableColumn id="16342" name="Column16321" dataDxfId="91" dataCellStyle="Normal"/>
    <tableColumn id="16343" name="Column16322" dataDxfId="90" dataCellStyle="Normal"/>
    <tableColumn id="16344" name="Column16323" dataDxfId="89" dataCellStyle="Normal"/>
    <tableColumn id="16345" name="Column16324" dataDxfId="88" dataCellStyle="Normal"/>
    <tableColumn id="16346" name="Column16325" dataDxfId="87" dataCellStyle="Normal"/>
    <tableColumn id="16347" name="Column16326" dataDxfId="86" dataCellStyle="Normal"/>
    <tableColumn id="16348" name="Column16327" dataDxfId="85" dataCellStyle="Normal"/>
    <tableColumn id="16349" name="Column16328" dataDxfId="84" dataCellStyle="Normal"/>
    <tableColumn id="16350" name="Column16329" dataDxfId="83" dataCellStyle="Normal"/>
    <tableColumn id="16351" name="Column16330" dataDxfId="82" dataCellStyle="Normal"/>
    <tableColumn id="16352" name="Column16331" dataDxfId="81" dataCellStyle="Normal"/>
    <tableColumn id="16353" name="Column16332" dataDxfId="80" dataCellStyle="Normal"/>
    <tableColumn id="16354" name="Column16333" dataDxfId="79" dataCellStyle="Normal"/>
    <tableColumn id="16355" name="Column16334" dataDxfId="78" dataCellStyle="Normal"/>
    <tableColumn id="16356" name="Column16335" dataDxfId="77" dataCellStyle="Normal"/>
    <tableColumn id="16357" name="Column16336" dataDxfId="76" dataCellStyle="Normal"/>
    <tableColumn id="16358" name="Column16337" dataDxfId="75" dataCellStyle="Normal"/>
    <tableColumn id="16359" name="Column16338" dataDxfId="74" dataCellStyle="Normal"/>
    <tableColumn id="16360" name="Column16339" dataDxfId="73" dataCellStyle="Normal"/>
    <tableColumn id="16361" name="Column16340" dataDxfId="72" dataCellStyle="Normal"/>
    <tableColumn id="16362" name="Column16341" dataDxfId="71" dataCellStyle="Normal"/>
    <tableColumn id="16363" name="Column16342" dataDxfId="70" dataCellStyle="Normal"/>
    <tableColumn id="16364" name="Column16343" dataDxfId="69" dataCellStyle="Normal"/>
    <tableColumn id="16365" name="Column16344" dataDxfId="68" dataCellStyle="Normal"/>
    <tableColumn id="16366" name="Column16345" dataDxfId="67" dataCellStyle="Normal"/>
    <tableColumn id="16367" name="Column16346" dataDxfId="66" dataCellStyle="Normal"/>
    <tableColumn id="16368" name="Column16347" dataDxfId="65" dataCellStyle="Normal"/>
    <tableColumn id="16369" name="Column16348" dataDxfId="64" dataCellStyle="Normal"/>
    <tableColumn id="16370" name="Column16349" dataDxfId="63" dataCellStyle="Normal"/>
    <tableColumn id="16371" name="Column16350" dataDxfId="62" dataCellStyle="Normal"/>
    <tableColumn id="16372" name="Column16351" dataDxfId="61" dataCellStyle="Normal"/>
    <tableColumn id="16373" name="Column16352" dataDxfId="60" dataCellStyle="Normal"/>
    <tableColumn id="16374" name="Column16353" dataDxfId="59" dataCellStyle="Normal"/>
    <tableColumn id="16375" name="Column16354" dataDxfId="58" dataCellStyle="Normal"/>
    <tableColumn id="16376" name="Column16355" dataDxfId="57" dataCellStyle="Normal"/>
    <tableColumn id="16377" name="Column16356" dataDxfId="56" dataCellStyle="Normal"/>
    <tableColumn id="16378" name="Column16357" dataDxfId="55" dataCellStyle="Normal"/>
    <tableColumn id="16379" name="Column16358" dataDxfId="54" dataCellStyle="Normal"/>
    <tableColumn id="16380" name="Column16359" dataDxfId="53" dataCellStyle="Normal"/>
    <tableColumn id="16381" name="Column16360" dataDxfId="52" dataCellStyle="Normal"/>
    <tableColumn id="16382" name="Column16361" dataDxfId="51" dataCellStyle="Normal"/>
    <tableColumn id="16383" name="Column16362" dataDxfId="50" dataCellStyle="Normal"/>
    <tableColumn id="16384" name="Column16363" dataDxfId="49" dataCellStyle="Norm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6" displayName="Table6" ref="A154:I166" totalsRowShown="0" headerRowDxfId="48" headerRowBorderDxfId="47" tableBorderDxfId="46" totalsRowBorderDxfId="45">
  <autoFilter ref="A154:I166"/>
  <tableColumns count="9">
    <tableColumn id="1" name="Month" dataDxfId="44"/>
    <tableColumn id="2" name="VFL" dataDxfId="43">
      <calculatedColumnFormula>COUNTIFS(Table4[MONTH],"1-2026",Table4[Consignee],"VFL")</calculatedColumnFormula>
    </tableColumn>
    <tableColumn id="3" name="Sportline" dataDxfId="42">
      <calculatedColumnFormula>COUNTIFS(Table4[MONTH],"2-2026",Table4[Consignee],"Sportline")</calculatedColumnFormula>
    </tableColumn>
    <tableColumn id="4" name="SHV" dataDxfId="41">
      <calculatedColumnFormula>COUNTIFS(Table4[MONTH],"1-2026",Table4[Port Clear],"SHV")</calculatedColumnFormula>
    </tableColumn>
    <tableColumn id="5" name="OLAIR" dataDxfId="40">
      <calculatedColumnFormula>COUNTIFS(Table4[MONTH],"2-2026",Table4[Port Clear],"OLAIR")</calculatedColumnFormula>
    </tableColumn>
    <tableColumn id="6" name="TEC SRUN" dataDxfId="39"/>
    <tableColumn id="7" name="PREMIUM" dataDxfId="38">
      <calculatedColumnFormula>COUNTIFS(Table4[MONTH],"1-2026",Table4[Port Clear],"PREMIUM")</calculatedColumnFormula>
    </tableColumn>
    <tableColumn id="8" name="KTI" dataDxfId="37">
      <calculatedColumnFormula>COUNTIFS(Table4[MONTH],"1-2026",Table4[Port Clear],"KTI")</calculatedColumnFormula>
    </tableColumn>
    <tableColumn id="9" name="SO NGUON-BAVET" dataDxfId="36">
      <calculatedColumnFormula>COUNTIFS(Table4[MONTH],"1-2026",Table4[Port Clear],"SO NGOUN-BAVET")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5" displayName="Table5" ref="A1:R30" totalsRowShown="0" headerRowDxfId="29" dataDxfId="28">
  <autoFilter ref="A1:R30"/>
  <tableColumns count="18">
    <tableColumn id="1" name="MONTH" dataDxfId="27"/>
    <tableColumn id="2" name="CLIENT" dataDxfId="26"/>
    <tableColumn id="3" name="SO/AWB" dataDxfId="25"/>
    <tableColumn id="4" name="QTY" dataDxfId="24"/>
    <tableColumn id="5" name="POL" dataDxfId="23"/>
    <tableColumn id="6" name="POD" dataDxfId="22"/>
    <tableColumn id="16" name="ETD/Flight" dataDxfId="21"/>
    <tableColumn id="7" name="CTNR" dataDxfId="20"/>
    <tableColumn id="15" name="VOLUME" dataDxfId="19"/>
    <tableColumn id="8" name="SEAL-CUS" dataDxfId="18"/>
    <tableColumn id="17" name="LOADING/CHECK IN" dataDxfId="17"/>
    <tableColumn id="18" name="GROSS WEIGHT:" dataDxfId="16"/>
    <tableColumn id="10" name="DECLARE NO:" dataDxfId="15"/>
    <tableColumn id="14" name="DATE" dataDxfId="14"/>
    <tableColumn id="11" name="GS INV" dataDxfId="13"/>
    <tableColumn id="12" name="GS DIS" dataDxfId="12"/>
    <tableColumn id="13" name="GS DN" dataDxfId="11"/>
    <tableColumn id="9" name="Mark" dataDxfId="1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5" name="Table66" displayName="Table66" ref="A39:F43" totalsRowShown="0" headerRowDxfId="9" headerRowBorderDxfId="8" tableBorderDxfId="7" totalsRowBorderDxfId="6">
  <autoFilter ref="A39:F43"/>
  <tableColumns count="6">
    <tableColumn id="1" name="Month" dataDxfId="5"/>
    <tableColumn id="2" name="VFL" dataDxfId="4">
      <calculatedColumnFormula>COUNTIFS(Table5[MONTH], "8-2026", Table5[CLIENT], "VFL")</calculatedColumnFormula>
    </tableColumn>
    <tableColumn id="3" name="Sportline" dataDxfId="3">
      <calculatedColumnFormula>COUNTIFS(Table5[MONTH], "8-2026", Table5[CLIENT], "SPORTLINE")</calculatedColumnFormula>
    </tableColumn>
    <tableColumn id="4" name="SHV" dataDxfId="2">
      <calculatedColumnFormula>COUNTIFS(Table5[MONTH],"8-2026",Table5[POL],"SHV")</calculatedColumnFormula>
    </tableColumn>
    <tableColumn id="6" name="PNH" dataDxfId="1">
      <calculatedColumnFormula>COUNTIFS(Table5[MONTH],"8-2026",Table5[POL],"PNH")</calculatedColumnFormula>
    </tableColumn>
    <tableColumn id="7" name="KTI" dataDxfId="0">
      <calculatedColumnFormula>COUNTIFS(Table5[MONTH],"8-2026",Table5[POL],"KTI")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68"/>
  <sheetViews>
    <sheetView tabSelected="1" view="pageBreakPreview" topLeftCell="A52" zoomScale="85" zoomScaleNormal="55" zoomScaleSheetLayoutView="85" workbookViewId="0">
      <selection activeCell="M150" activeCellId="1" sqref="N143 M150"/>
    </sheetView>
  </sheetViews>
  <sheetFormatPr defaultRowHeight="15" x14ac:dyDescent="0.25"/>
  <cols>
    <col min="1" max="1" width="16.5703125" customWidth="1"/>
    <col min="2" max="2" width="20.5703125" customWidth="1"/>
    <col min="3" max="3" width="18.28515625" customWidth="1"/>
    <col min="4" max="4" width="29.85546875" style="18" customWidth="1"/>
    <col min="5" max="5" width="22.85546875" customWidth="1"/>
    <col min="6" max="6" width="20" customWidth="1"/>
    <col min="7" max="7" width="16.7109375" customWidth="1"/>
    <col min="8" max="8" width="15.140625" customWidth="1"/>
    <col min="9" max="9" width="14.5703125" customWidth="1"/>
    <col min="10" max="10" width="19.7109375" style="55" customWidth="1"/>
    <col min="11" max="11" width="24.5703125" style="56" customWidth="1"/>
    <col min="12" max="12" width="20" style="56" customWidth="1"/>
    <col min="13" max="13" width="21.7109375" style="56" customWidth="1"/>
    <col min="14" max="14" width="16.42578125" style="56" customWidth="1"/>
    <col min="15" max="15" width="24.140625" customWidth="1"/>
    <col min="16" max="16" width="12.140625" customWidth="1"/>
    <col min="17" max="18" width="17.5703125" customWidth="1"/>
    <col min="19" max="20" width="17.28515625" customWidth="1"/>
    <col min="21" max="21" width="13" customWidth="1"/>
  </cols>
  <sheetData>
    <row r="1" spans="1:16384" s="2" customFormat="1" ht="36.75" customHeight="1" x14ac:dyDescent="0.25"/>
    <row r="2" spans="1:16384" s="133" customFormat="1" ht="12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49" t="s">
        <v>9</v>
      </c>
      <c r="K2" s="50" t="s">
        <v>10</v>
      </c>
      <c r="L2" s="50" t="s">
        <v>11</v>
      </c>
      <c r="M2" s="50" t="s">
        <v>12</v>
      </c>
      <c r="N2" s="50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33" t="s">
        <v>1145</v>
      </c>
      <c r="W2" s="133" t="s">
        <v>1146</v>
      </c>
      <c r="X2" s="133" t="s">
        <v>1147</v>
      </c>
      <c r="Y2" s="133" t="s">
        <v>1148</v>
      </c>
      <c r="Z2" s="133" t="s">
        <v>1149</v>
      </c>
      <c r="AA2" s="133" t="s">
        <v>1150</v>
      </c>
      <c r="AB2" s="133" t="s">
        <v>1151</v>
      </c>
      <c r="AC2" s="133" t="s">
        <v>1152</v>
      </c>
      <c r="AD2" s="133" t="s">
        <v>1153</v>
      </c>
      <c r="AE2" s="133" t="s">
        <v>1154</v>
      </c>
      <c r="AF2" s="133" t="s">
        <v>1155</v>
      </c>
      <c r="AG2" s="133" t="s">
        <v>1156</v>
      </c>
      <c r="AH2" s="133" t="s">
        <v>1157</v>
      </c>
      <c r="AI2" s="133" t="s">
        <v>1158</v>
      </c>
      <c r="AJ2" s="133" t="s">
        <v>1159</v>
      </c>
      <c r="AK2" s="133" t="s">
        <v>1160</v>
      </c>
      <c r="AL2" s="133" t="s">
        <v>1161</v>
      </c>
      <c r="AM2" s="133" t="s">
        <v>1162</v>
      </c>
      <c r="AN2" s="133" t="s">
        <v>1163</v>
      </c>
      <c r="AO2" s="133" t="s">
        <v>1164</v>
      </c>
      <c r="AP2" s="133" t="s">
        <v>1165</v>
      </c>
      <c r="AQ2" s="133" t="s">
        <v>1166</v>
      </c>
      <c r="AR2" s="133" t="s">
        <v>1167</v>
      </c>
      <c r="AS2" s="133" t="s">
        <v>1168</v>
      </c>
      <c r="AT2" s="133" t="s">
        <v>1169</v>
      </c>
      <c r="AU2" s="133" t="s">
        <v>1170</v>
      </c>
      <c r="AV2" s="133" t="s">
        <v>1171</v>
      </c>
      <c r="AW2" s="133" t="s">
        <v>1172</v>
      </c>
      <c r="AX2" s="133" t="s">
        <v>1173</v>
      </c>
      <c r="AY2" s="133" t="s">
        <v>1174</v>
      </c>
      <c r="AZ2" s="133" t="s">
        <v>1175</v>
      </c>
      <c r="BA2" s="133" t="s">
        <v>1176</v>
      </c>
      <c r="BB2" s="133" t="s">
        <v>1177</v>
      </c>
      <c r="BC2" s="133" t="s">
        <v>1178</v>
      </c>
      <c r="BD2" s="133" t="s">
        <v>1179</v>
      </c>
      <c r="BE2" s="133" t="s">
        <v>1180</v>
      </c>
      <c r="BF2" s="133" t="s">
        <v>1181</v>
      </c>
      <c r="BG2" s="133" t="s">
        <v>1182</v>
      </c>
      <c r="BH2" s="133" t="s">
        <v>1183</v>
      </c>
      <c r="BI2" s="133" t="s">
        <v>1184</v>
      </c>
      <c r="BJ2" s="133" t="s">
        <v>1185</v>
      </c>
      <c r="BK2" s="133" t="s">
        <v>1186</v>
      </c>
      <c r="BL2" s="133" t="s">
        <v>1187</v>
      </c>
      <c r="BM2" s="133" t="s">
        <v>1188</v>
      </c>
      <c r="BN2" s="133" t="s">
        <v>1189</v>
      </c>
      <c r="BO2" s="133" t="s">
        <v>1190</v>
      </c>
      <c r="BP2" s="133" t="s">
        <v>1191</v>
      </c>
      <c r="BQ2" s="133" t="s">
        <v>1192</v>
      </c>
      <c r="BR2" s="133" t="s">
        <v>1193</v>
      </c>
      <c r="BS2" s="133" t="s">
        <v>1194</v>
      </c>
      <c r="BT2" s="133" t="s">
        <v>1195</v>
      </c>
      <c r="BU2" s="133" t="s">
        <v>1196</v>
      </c>
      <c r="BV2" s="133" t="s">
        <v>1197</v>
      </c>
      <c r="BW2" s="133" t="s">
        <v>1198</v>
      </c>
      <c r="BX2" s="133" t="s">
        <v>1199</v>
      </c>
      <c r="BY2" s="133" t="s">
        <v>1200</v>
      </c>
      <c r="BZ2" s="133" t="s">
        <v>1201</v>
      </c>
      <c r="CA2" s="133" t="s">
        <v>1202</v>
      </c>
      <c r="CB2" s="133" t="s">
        <v>1203</v>
      </c>
      <c r="CC2" s="133" t="s">
        <v>1204</v>
      </c>
      <c r="CD2" s="133" t="s">
        <v>1205</v>
      </c>
      <c r="CE2" s="133" t="s">
        <v>1206</v>
      </c>
      <c r="CF2" s="133" t="s">
        <v>1207</v>
      </c>
      <c r="CG2" s="133" t="s">
        <v>1208</v>
      </c>
      <c r="CH2" s="133" t="s">
        <v>1209</v>
      </c>
      <c r="CI2" s="133" t="s">
        <v>1210</v>
      </c>
      <c r="CJ2" s="133" t="s">
        <v>1211</v>
      </c>
      <c r="CK2" s="133" t="s">
        <v>1212</v>
      </c>
      <c r="CL2" s="133" t="s">
        <v>1213</v>
      </c>
      <c r="CM2" s="133" t="s">
        <v>1214</v>
      </c>
      <c r="CN2" s="133" t="s">
        <v>1215</v>
      </c>
      <c r="CO2" s="133" t="s">
        <v>1216</v>
      </c>
      <c r="CP2" s="133" t="s">
        <v>1217</v>
      </c>
      <c r="CQ2" s="133" t="s">
        <v>1218</v>
      </c>
      <c r="CR2" s="133" t="s">
        <v>1219</v>
      </c>
      <c r="CS2" s="133" t="s">
        <v>1220</v>
      </c>
      <c r="CT2" s="133" t="s">
        <v>1221</v>
      </c>
      <c r="CU2" s="133" t="s">
        <v>1222</v>
      </c>
      <c r="CV2" s="133" t="s">
        <v>1223</v>
      </c>
      <c r="CW2" s="133" t="s">
        <v>1224</v>
      </c>
      <c r="CX2" s="133" t="s">
        <v>1225</v>
      </c>
      <c r="CY2" s="133" t="s">
        <v>1226</v>
      </c>
      <c r="CZ2" s="133" t="s">
        <v>1227</v>
      </c>
      <c r="DA2" s="133" t="s">
        <v>1228</v>
      </c>
      <c r="DB2" s="133" t="s">
        <v>1229</v>
      </c>
      <c r="DC2" s="133" t="s">
        <v>1230</v>
      </c>
      <c r="DD2" s="133" t="s">
        <v>1231</v>
      </c>
      <c r="DE2" s="133" t="s">
        <v>1232</v>
      </c>
      <c r="DF2" s="133" t="s">
        <v>1233</v>
      </c>
      <c r="DG2" s="133" t="s">
        <v>1234</v>
      </c>
      <c r="DH2" s="133" t="s">
        <v>1235</v>
      </c>
      <c r="DI2" s="133" t="s">
        <v>1236</v>
      </c>
      <c r="DJ2" s="133" t="s">
        <v>1237</v>
      </c>
      <c r="DK2" s="133" t="s">
        <v>1238</v>
      </c>
      <c r="DL2" s="133" t="s">
        <v>1239</v>
      </c>
      <c r="DM2" s="133" t="s">
        <v>1240</v>
      </c>
      <c r="DN2" s="133" t="s">
        <v>1241</v>
      </c>
      <c r="DO2" s="133" t="s">
        <v>1242</v>
      </c>
      <c r="DP2" s="133" t="s">
        <v>1243</v>
      </c>
      <c r="DQ2" s="133" t="s">
        <v>1244</v>
      </c>
      <c r="DR2" s="133" t="s">
        <v>1245</v>
      </c>
      <c r="DS2" s="133" t="s">
        <v>1246</v>
      </c>
      <c r="DT2" s="133" t="s">
        <v>1247</v>
      </c>
      <c r="DU2" s="133" t="s">
        <v>1248</v>
      </c>
      <c r="DV2" s="133" t="s">
        <v>1249</v>
      </c>
      <c r="DW2" s="133" t="s">
        <v>1250</v>
      </c>
      <c r="DX2" s="133" t="s">
        <v>1251</v>
      </c>
      <c r="DY2" s="133" t="s">
        <v>1252</v>
      </c>
      <c r="DZ2" s="133" t="s">
        <v>1253</v>
      </c>
      <c r="EA2" s="133" t="s">
        <v>1254</v>
      </c>
      <c r="EB2" s="133" t="s">
        <v>1255</v>
      </c>
      <c r="EC2" s="133" t="s">
        <v>1256</v>
      </c>
      <c r="ED2" s="133" t="s">
        <v>1257</v>
      </c>
      <c r="EE2" s="133" t="s">
        <v>1258</v>
      </c>
      <c r="EF2" s="133" t="s">
        <v>1259</v>
      </c>
      <c r="EG2" s="133" t="s">
        <v>1260</v>
      </c>
      <c r="EH2" s="133" t="s">
        <v>1261</v>
      </c>
      <c r="EI2" s="133" t="s">
        <v>1262</v>
      </c>
      <c r="EJ2" s="133" t="s">
        <v>1263</v>
      </c>
      <c r="EK2" s="133" t="s">
        <v>1264</v>
      </c>
      <c r="EL2" s="133" t="s">
        <v>1265</v>
      </c>
      <c r="EM2" s="133" t="s">
        <v>1266</v>
      </c>
      <c r="EN2" s="133" t="s">
        <v>1267</v>
      </c>
      <c r="EO2" s="133" t="s">
        <v>1268</v>
      </c>
      <c r="EP2" s="133" t="s">
        <v>1269</v>
      </c>
      <c r="EQ2" s="133" t="s">
        <v>1270</v>
      </c>
      <c r="ER2" s="133" t="s">
        <v>1271</v>
      </c>
      <c r="ES2" s="133" t="s">
        <v>1272</v>
      </c>
      <c r="ET2" s="133" t="s">
        <v>1273</v>
      </c>
      <c r="EU2" s="133" t="s">
        <v>1274</v>
      </c>
      <c r="EV2" s="133" t="s">
        <v>1275</v>
      </c>
      <c r="EW2" s="133" t="s">
        <v>1276</v>
      </c>
      <c r="EX2" s="133" t="s">
        <v>1277</v>
      </c>
      <c r="EY2" s="133" t="s">
        <v>1278</v>
      </c>
      <c r="EZ2" s="133" t="s">
        <v>1279</v>
      </c>
      <c r="FA2" s="133" t="s">
        <v>1280</v>
      </c>
      <c r="FB2" s="133" t="s">
        <v>1281</v>
      </c>
      <c r="FC2" s="133" t="s">
        <v>1282</v>
      </c>
      <c r="FD2" s="133" t="s">
        <v>1283</v>
      </c>
      <c r="FE2" s="133" t="s">
        <v>1284</v>
      </c>
      <c r="FF2" s="133" t="s">
        <v>1285</v>
      </c>
      <c r="FG2" s="133" t="s">
        <v>1286</v>
      </c>
      <c r="FH2" s="133" t="s">
        <v>1287</v>
      </c>
      <c r="FI2" s="133" t="s">
        <v>1288</v>
      </c>
      <c r="FJ2" s="133" t="s">
        <v>1289</v>
      </c>
      <c r="FK2" s="133" t="s">
        <v>1290</v>
      </c>
      <c r="FL2" s="133" t="s">
        <v>1291</v>
      </c>
      <c r="FM2" s="133" t="s">
        <v>1292</v>
      </c>
      <c r="FN2" s="133" t="s">
        <v>1293</v>
      </c>
      <c r="FO2" s="133" t="s">
        <v>1294</v>
      </c>
      <c r="FP2" s="133" t="s">
        <v>1295</v>
      </c>
      <c r="FQ2" s="133" t="s">
        <v>1296</v>
      </c>
      <c r="FR2" s="133" t="s">
        <v>1297</v>
      </c>
      <c r="FS2" s="133" t="s">
        <v>1298</v>
      </c>
      <c r="FT2" s="133" t="s">
        <v>1299</v>
      </c>
      <c r="FU2" s="133" t="s">
        <v>1300</v>
      </c>
      <c r="FV2" s="133" t="s">
        <v>1301</v>
      </c>
      <c r="FW2" s="133" t="s">
        <v>1302</v>
      </c>
      <c r="FX2" s="133" t="s">
        <v>1303</v>
      </c>
      <c r="FY2" s="133" t="s">
        <v>1304</v>
      </c>
      <c r="FZ2" s="133" t="s">
        <v>1305</v>
      </c>
      <c r="GA2" s="133" t="s">
        <v>1306</v>
      </c>
      <c r="GB2" s="133" t="s">
        <v>1307</v>
      </c>
      <c r="GC2" s="133" t="s">
        <v>1308</v>
      </c>
      <c r="GD2" s="133" t="s">
        <v>1309</v>
      </c>
      <c r="GE2" s="133" t="s">
        <v>1310</v>
      </c>
      <c r="GF2" s="133" t="s">
        <v>1311</v>
      </c>
      <c r="GG2" s="133" t="s">
        <v>1312</v>
      </c>
      <c r="GH2" s="133" t="s">
        <v>1313</v>
      </c>
      <c r="GI2" s="133" t="s">
        <v>1314</v>
      </c>
      <c r="GJ2" s="133" t="s">
        <v>1315</v>
      </c>
      <c r="GK2" s="133" t="s">
        <v>1316</v>
      </c>
      <c r="GL2" s="133" t="s">
        <v>1317</v>
      </c>
      <c r="GM2" s="133" t="s">
        <v>1318</v>
      </c>
      <c r="GN2" s="133" t="s">
        <v>1319</v>
      </c>
      <c r="GO2" s="133" t="s">
        <v>1320</v>
      </c>
      <c r="GP2" s="133" t="s">
        <v>1321</v>
      </c>
      <c r="GQ2" s="133" t="s">
        <v>1322</v>
      </c>
      <c r="GR2" s="133" t="s">
        <v>1323</v>
      </c>
      <c r="GS2" s="133" t="s">
        <v>1324</v>
      </c>
      <c r="GT2" s="133" t="s">
        <v>1325</v>
      </c>
      <c r="GU2" s="133" t="s">
        <v>1326</v>
      </c>
      <c r="GV2" s="133" t="s">
        <v>1327</v>
      </c>
      <c r="GW2" s="133" t="s">
        <v>1328</v>
      </c>
      <c r="GX2" s="133" t="s">
        <v>1329</v>
      </c>
      <c r="GY2" s="133" t="s">
        <v>1330</v>
      </c>
      <c r="GZ2" s="133" t="s">
        <v>1331</v>
      </c>
      <c r="HA2" s="133" t="s">
        <v>1332</v>
      </c>
      <c r="HB2" s="133" t="s">
        <v>1333</v>
      </c>
      <c r="HC2" s="133" t="s">
        <v>1334</v>
      </c>
      <c r="HD2" s="133" t="s">
        <v>1335</v>
      </c>
      <c r="HE2" s="133" t="s">
        <v>1336</v>
      </c>
      <c r="HF2" s="133" t="s">
        <v>1337</v>
      </c>
      <c r="HG2" s="133" t="s">
        <v>1338</v>
      </c>
      <c r="HH2" s="133" t="s">
        <v>1339</v>
      </c>
      <c r="HI2" s="133" t="s">
        <v>1340</v>
      </c>
      <c r="HJ2" s="133" t="s">
        <v>1341</v>
      </c>
      <c r="HK2" s="133" t="s">
        <v>1342</v>
      </c>
      <c r="HL2" s="133" t="s">
        <v>1343</v>
      </c>
      <c r="HM2" s="133" t="s">
        <v>1344</v>
      </c>
      <c r="HN2" s="133" t="s">
        <v>1345</v>
      </c>
      <c r="HO2" s="133" t="s">
        <v>1346</v>
      </c>
      <c r="HP2" s="133" t="s">
        <v>1347</v>
      </c>
      <c r="HQ2" s="133" t="s">
        <v>1348</v>
      </c>
      <c r="HR2" s="133" t="s">
        <v>1349</v>
      </c>
      <c r="HS2" s="133" t="s">
        <v>1350</v>
      </c>
      <c r="HT2" s="133" t="s">
        <v>1351</v>
      </c>
      <c r="HU2" s="133" t="s">
        <v>1352</v>
      </c>
      <c r="HV2" s="133" t="s">
        <v>1353</v>
      </c>
      <c r="HW2" s="133" t="s">
        <v>1354</v>
      </c>
      <c r="HX2" s="133" t="s">
        <v>1355</v>
      </c>
      <c r="HY2" s="133" t="s">
        <v>1356</v>
      </c>
      <c r="HZ2" s="133" t="s">
        <v>1357</v>
      </c>
      <c r="IA2" s="133" t="s">
        <v>1358</v>
      </c>
      <c r="IB2" s="133" t="s">
        <v>1359</v>
      </c>
      <c r="IC2" s="133" t="s">
        <v>1360</v>
      </c>
      <c r="ID2" s="133" t="s">
        <v>1361</v>
      </c>
      <c r="IE2" s="133" t="s">
        <v>1362</v>
      </c>
      <c r="IF2" s="133" t="s">
        <v>1363</v>
      </c>
      <c r="IG2" s="133" t="s">
        <v>1364</v>
      </c>
      <c r="IH2" s="133" t="s">
        <v>1365</v>
      </c>
      <c r="II2" s="133" t="s">
        <v>1366</v>
      </c>
      <c r="IJ2" s="133" t="s">
        <v>1367</v>
      </c>
      <c r="IK2" s="133" t="s">
        <v>1368</v>
      </c>
      <c r="IL2" s="133" t="s">
        <v>1369</v>
      </c>
      <c r="IM2" s="133" t="s">
        <v>1370</v>
      </c>
      <c r="IN2" s="133" t="s">
        <v>1371</v>
      </c>
      <c r="IO2" s="133" t="s">
        <v>1372</v>
      </c>
      <c r="IP2" s="133" t="s">
        <v>1373</v>
      </c>
      <c r="IQ2" s="133" t="s">
        <v>1374</v>
      </c>
      <c r="IR2" s="133" t="s">
        <v>1375</v>
      </c>
      <c r="IS2" s="133" t="s">
        <v>1376</v>
      </c>
      <c r="IT2" s="133" t="s">
        <v>1377</v>
      </c>
      <c r="IU2" s="133" t="s">
        <v>1378</v>
      </c>
      <c r="IV2" s="133" t="s">
        <v>1379</v>
      </c>
      <c r="IW2" s="133" t="s">
        <v>1380</v>
      </c>
      <c r="IX2" s="133" t="s">
        <v>1381</v>
      </c>
      <c r="IY2" s="133" t="s">
        <v>1382</v>
      </c>
      <c r="IZ2" s="133" t="s">
        <v>1383</v>
      </c>
      <c r="JA2" s="133" t="s">
        <v>1384</v>
      </c>
      <c r="JB2" s="133" t="s">
        <v>1385</v>
      </c>
      <c r="JC2" s="133" t="s">
        <v>1386</v>
      </c>
      <c r="JD2" s="133" t="s">
        <v>1387</v>
      </c>
      <c r="JE2" s="133" t="s">
        <v>1388</v>
      </c>
      <c r="JF2" s="133" t="s">
        <v>1389</v>
      </c>
      <c r="JG2" s="133" t="s">
        <v>1390</v>
      </c>
      <c r="JH2" s="133" t="s">
        <v>1391</v>
      </c>
      <c r="JI2" s="133" t="s">
        <v>1392</v>
      </c>
      <c r="JJ2" s="133" t="s">
        <v>1393</v>
      </c>
      <c r="JK2" s="133" t="s">
        <v>1394</v>
      </c>
      <c r="JL2" s="133" t="s">
        <v>1395</v>
      </c>
      <c r="JM2" s="133" t="s">
        <v>1396</v>
      </c>
      <c r="JN2" s="133" t="s">
        <v>1397</v>
      </c>
      <c r="JO2" s="133" t="s">
        <v>1398</v>
      </c>
      <c r="JP2" s="133" t="s">
        <v>1399</v>
      </c>
      <c r="JQ2" s="133" t="s">
        <v>1400</v>
      </c>
      <c r="JR2" s="133" t="s">
        <v>1401</v>
      </c>
      <c r="JS2" s="133" t="s">
        <v>1402</v>
      </c>
      <c r="JT2" s="133" t="s">
        <v>1403</v>
      </c>
      <c r="JU2" s="133" t="s">
        <v>1404</v>
      </c>
      <c r="JV2" s="133" t="s">
        <v>1405</v>
      </c>
      <c r="JW2" s="133" t="s">
        <v>1406</v>
      </c>
      <c r="JX2" s="133" t="s">
        <v>1407</v>
      </c>
      <c r="JY2" s="133" t="s">
        <v>1408</v>
      </c>
      <c r="JZ2" s="133" t="s">
        <v>1409</v>
      </c>
      <c r="KA2" s="133" t="s">
        <v>1410</v>
      </c>
      <c r="KB2" s="133" t="s">
        <v>1411</v>
      </c>
      <c r="KC2" s="133" t="s">
        <v>1412</v>
      </c>
      <c r="KD2" s="133" t="s">
        <v>1413</v>
      </c>
      <c r="KE2" s="133" t="s">
        <v>1414</v>
      </c>
      <c r="KF2" s="133" t="s">
        <v>1415</v>
      </c>
      <c r="KG2" s="133" t="s">
        <v>1416</v>
      </c>
      <c r="KH2" s="133" t="s">
        <v>1417</v>
      </c>
      <c r="KI2" s="133" t="s">
        <v>1418</v>
      </c>
      <c r="KJ2" s="133" t="s">
        <v>1419</v>
      </c>
      <c r="KK2" s="133" t="s">
        <v>1420</v>
      </c>
      <c r="KL2" s="133" t="s">
        <v>1421</v>
      </c>
      <c r="KM2" s="133" t="s">
        <v>1422</v>
      </c>
      <c r="KN2" s="133" t="s">
        <v>1423</v>
      </c>
      <c r="KO2" s="133" t="s">
        <v>1424</v>
      </c>
      <c r="KP2" s="133" t="s">
        <v>1425</v>
      </c>
      <c r="KQ2" s="133" t="s">
        <v>1426</v>
      </c>
      <c r="KR2" s="133" t="s">
        <v>1427</v>
      </c>
      <c r="KS2" s="133" t="s">
        <v>1428</v>
      </c>
      <c r="KT2" s="133" t="s">
        <v>1429</v>
      </c>
      <c r="KU2" s="133" t="s">
        <v>1430</v>
      </c>
      <c r="KV2" s="133" t="s">
        <v>1431</v>
      </c>
      <c r="KW2" s="133" t="s">
        <v>1432</v>
      </c>
      <c r="KX2" s="133" t="s">
        <v>1433</v>
      </c>
      <c r="KY2" s="133" t="s">
        <v>1434</v>
      </c>
      <c r="KZ2" s="133" t="s">
        <v>1435</v>
      </c>
      <c r="LA2" s="133" t="s">
        <v>1436</v>
      </c>
      <c r="LB2" s="133" t="s">
        <v>1437</v>
      </c>
      <c r="LC2" s="133" t="s">
        <v>1438</v>
      </c>
      <c r="LD2" s="133" t="s">
        <v>1439</v>
      </c>
      <c r="LE2" s="133" t="s">
        <v>1440</v>
      </c>
      <c r="LF2" s="133" t="s">
        <v>1441</v>
      </c>
      <c r="LG2" s="133" t="s">
        <v>1442</v>
      </c>
      <c r="LH2" s="133" t="s">
        <v>1443</v>
      </c>
      <c r="LI2" s="133" t="s">
        <v>1444</v>
      </c>
      <c r="LJ2" s="133" t="s">
        <v>1445</v>
      </c>
      <c r="LK2" s="133" t="s">
        <v>1446</v>
      </c>
      <c r="LL2" s="133" t="s">
        <v>1447</v>
      </c>
      <c r="LM2" s="133" t="s">
        <v>1448</v>
      </c>
      <c r="LN2" s="133" t="s">
        <v>1449</v>
      </c>
      <c r="LO2" s="133" t="s">
        <v>1450</v>
      </c>
      <c r="LP2" s="133" t="s">
        <v>1451</v>
      </c>
      <c r="LQ2" s="133" t="s">
        <v>1452</v>
      </c>
      <c r="LR2" s="133" t="s">
        <v>1453</v>
      </c>
      <c r="LS2" s="133" t="s">
        <v>1454</v>
      </c>
      <c r="LT2" s="133" t="s">
        <v>1455</v>
      </c>
      <c r="LU2" s="133" t="s">
        <v>1456</v>
      </c>
      <c r="LV2" s="133" t="s">
        <v>1457</v>
      </c>
      <c r="LW2" s="133" t="s">
        <v>1458</v>
      </c>
      <c r="LX2" s="133" t="s">
        <v>1459</v>
      </c>
      <c r="LY2" s="133" t="s">
        <v>1460</v>
      </c>
      <c r="LZ2" s="133" t="s">
        <v>1461</v>
      </c>
      <c r="MA2" s="133" t="s">
        <v>1462</v>
      </c>
      <c r="MB2" s="133" t="s">
        <v>1463</v>
      </c>
      <c r="MC2" s="133" t="s">
        <v>1464</v>
      </c>
      <c r="MD2" s="133" t="s">
        <v>1465</v>
      </c>
      <c r="ME2" s="133" t="s">
        <v>1466</v>
      </c>
      <c r="MF2" s="133" t="s">
        <v>1467</v>
      </c>
      <c r="MG2" s="133" t="s">
        <v>1468</v>
      </c>
      <c r="MH2" s="133" t="s">
        <v>1469</v>
      </c>
      <c r="MI2" s="133" t="s">
        <v>1470</v>
      </c>
      <c r="MJ2" s="133" t="s">
        <v>1471</v>
      </c>
      <c r="MK2" s="133" t="s">
        <v>1472</v>
      </c>
      <c r="ML2" s="133" t="s">
        <v>1473</v>
      </c>
      <c r="MM2" s="133" t="s">
        <v>1474</v>
      </c>
      <c r="MN2" s="133" t="s">
        <v>1475</v>
      </c>
      <c r="MO2" s="133" t="s">
        <v>1476</v>
      </c>
      <c r="MP2" s="133" t="s">
        <v>1477</v>
      </c>
      <c r="MQ2" s="133" t="s">
        <v>1478</v>
      </c>
      <c r="MR2" s="133" t="s">
        <v>1479</v>
      </c>
      <c r="MS2" s="133" t="s">
        <v>1480</v>
      </c>
      <c r="MT2" s="133" t="s">
        <v>1481</v>
      </c>
      <c r="MU2" s="133" t="s">
        <v>1482</v>
      </c>
      <c r="MV2" s="133" t="s">
        <v>1483</v>
      </c>
      <c r="MW2" s="133" t="s">
        <v>1484</v>
      </c>
      <c r="MX2" s="133" t="s">
        <v>1485</v>
      </c>
      <c r="MY2" s="133" t="s">
        <v>1486</v>
      </c>
      <c r="MZ2" s="133" t="s">
        <v>1487</v>
      </c>
      <c r="NA2" s="133" t="s">
        <v>1488</v>
      </c>
      <c r="NB2" s="133" t="s">
        <v>1489</v>
      </c>
      <c r="NC2" s="133" t="s">
        <v>1490</v>
      </c>
      <c r="ND2" s="133" t="s">
        <v>1491</v>
      </c>
      <c r="NE2" s="133" t="s">
        <v>1492</v>
      </c>
      <c r="NF2" s="133" t="s">
        <v>1493</v>
      </c>
      <c r="NG2" s="133" t="s">
        <v>1494</v>
      </c>
      <c r="NH2" s="133" t="s">
        <v>1495</v>
      </c>
      <c r="NI2" s="133" t="s">
        <v>1496</v>
      </c>
      <c r="NJ2" s="133" t="s">
        <v>1497</v>
      </c>
      <c r="NK2" s="133" t="s">
        <v>1498</v>
      </c>
      <c r="NL2" s="133" t="s">
        <v>1499</v>
      </c>
      <c r="NM2" s="133" t="s">
        <v>1500</v>
      </c>
      <c r="NN2" s="133" t="s">
        <v>1501</v>
      </c>
      <c r="NO2" s="133" t="s">
        <v>1502</v>
      </c>
      <c r="NP2" s="133" t="s">
        <v>1503</v>
      </c>
      <c r="NQ2" s="133" t="s">
        <v>1504</v>
      </c>
      <c r="NR2" s="133" t="s">
        <v>1505</v>
      </c>
      <c r="NS2" s="133" t="s">
        <v>1506</v>
      </c>
      <c r="NT2" s="133" t="s">
        <v>1507</v>
      </c>
      <c r="NU2" s="133" t="s">
        <v>1508</v>
      </c>
      <c r="NV2" s="133" t="s">
        <v>1509</v>
      </c>
      <c r="NW2" s="133" t="s">
        <v>1510</v>
      </c>
      <c r="NX2" s="133" t="s">
        <v>1511</v>
      </c>
      <c r="NY2" s="133" t="s">
        <v>1512</v>
      </c>
      <c r="NZ2" s="133" t="s">
        <v>1513</v>
      </c>
      <c r="OA2" s="133" t="s">
        <v>1514</v>
      </c>
      <c r="OB2" s="133" t="s">
        <v>1515</v>
      </c>
      <c r="OC2" s="133" t="s">
        <v>1516</v>
      </c>
      <c r="OD2" s="133" t="s">
        <v>1517</v>
      </c>
      <c r="OE2" s="133" t="s">
        <v>1518</v>
      </c>
      <c r="OF2" s="133" t="s">
        <v>1519</v>
      </c>
      <c r="OG2" s="133" t="s">
        <v>1520</v>
      </c>
      <c r="OH2" s="133" t="s">
        <v>1521</v>
      </c>
      <c r="OI2" s="133" t="s">
        <v>1522</v>
      </c>
      <c r="OJ2" s="133" t="s">
        <v>1523</v>
      </c>
      <c r="OK2" s="133" t="s">
        <v>1524</v>
      </c>
      <c r="OL2" s="133" t="s">
        <v>1525</v>
      </c>
      <c r="OM2" s="133" t="s">
        <v>1526</v>
      </c>
      <c r="ON2" s="133" t="s">
        <v>1527</v>
      </c>
      <c r="OO2" s="133" t="s">
        <v>1528</v>
      </c>
      <c r="OP2" s="133" t="s">
        <v>1529</v>
      </c>
      <c r="OQ2" s="133" t="s">
        <v>1530</v>
      </c>
      <c r="OR2" s="133" t="s">
        <v>1531</v>
      </c>
      <c r="OS2" s="133" t="s">
        <v>1532</v>
      </c>
      <c r="OT2" s="133" t="s">
        <v>1533</v>
      </c>
      <c r="OU2" s="133" t="s">
        <v>1534</v>
      </c>
      <c r="OV2" s="133" t="s">
        <v>1535</v>
      </c>
      <c r="OW2" s="133" t="s">
        <v>1536</v>
      </c>
      <c r="OX2" s="133" t="s">
        <v>1537</v>
      </c>
      <c r="OY2" s="133" t="s">
        <v>1538</v>
      </c>
      <c r="OZ2" s="133" t="s">
        <v>1539</v>
      </c>
      <c r="PA2" s="133" t="s">
        <v>1540</v>
      </c>
      <c r="PB2" s="133" t="s">
        <v>1541</v>
      </c>
      <c r="PC2" s="133" t="s">
        <v>1542</v>
      </c>
      <c r="PD2" s="133" t="s">
        <v>1543</v>
      </c>
      <c r="PE2" s="133" t="s">
        <v>1544</v>
      </c>
      <c r="PF2" s="133" t="s">
        <v>1545</v>
      </c>
      <c r="PG2" s="133" t="s">
        <v>1546</v>
      </c>
      <c r="PH2" s="133" t="s">
        <v>1547</v>
      </c>
      <c r="PI2" s="133" t="s">
        <v>1548</v>
      </c>
      <c r="PJ2" s="133" t="s">
        <v>1549</v>
      </c>
      <c r="PK2" s="133" t="s">
        <v>1550</v>
      </c>
      <c r="PL2" s="133" t="s">
        <v>1551</v>
      </c>
      <c r="PM2" s="133" t="s">
        <v>1552</v>
      </c>
      <c r="PN2" s="133" t="s">
        <v>1553</v>
      </c>
      <c r="PO2" s="133" t="s">
        <v>1554</v>
      </c>
      <c r="PP2" s="133" t="s">
        <v>1555</v>
      </c>
      <c r="PQ2" s="133" t="s">
        <v>1556</v>
      </c>
      <c r="PR2" s="133" t="s">
        <v>1557</v>
      </c>
      <c r="PS2" s="133" t="s">
        <v>1558</v>
      </c>
      <c r="PT2" s="133" t="s">
        <v>1559</v>
      </c>
      <c r="PU2" s="133" t="s">
        <v>1560</v>
      </c>
      <c r="PV2" s="133" t="s">
        <v>1561</v>
      </c>
      <c r="PW2" s="133" t="s">
        <v>1562</v>
      </c>
      <c r="PX2" s="133" t="s">
        <v>1563</v>
      </c>
      <c r="PY2" s="133" t="s">
        <v>1564</v>
      </c>
      <c r="PZ2" s="133" t="s">
        <v>1565</v>
      </c>
      <c r="QA2" s="133" t="s">
        <v>1566</v>
      </c>
      <c r="QB2" s="133" t="s">
        <v>1567</v>
      </c>
      <c r="QC2" s="133" t="s">
        <v>1568</v>
      </c>
      <c r="QD2" s="133" t="s">
        <v>1569</v>
      </c>
      <c r="QE2" s="133" t="s">
        <v>1570</v>
      </c>
      <c r="QF2" s="133" t="s">
        <v>1571</v>
      </c>
      <c r="QG2" s="133" t="s">
        <v>1572</v>
      </c>
      <c r="QH2" s="133" t="s">
        <v>1573</v>
      </c>
      <c r="QI2" s="133" t="s">
        <v>1574</v>
      </c>
      <c r="QJ2" s="133" t="s">
        <v>1575</v>
      </c>
      <c r="QK2" s="133" t="s">
        <v>1576</v>
      </c>
      <c r="QL2" s="133" t="s">
        <v>1577</v>
      </c>
      <c r="QM2" s="133" t="s">
        <v>1578</v>
      </c>
      <c r="QN2" s="133" t="s">
        <v>1579</v>
      </c>
      <c r="QO2" s="133" t="s">
        <v>1580</v>
      </c>
      <c r="QP2" s="133" t="s">
        <v>1581</v>
      </c>
      <c r="QQ2" s="133" t="s">
        <v>1582</v>
      </c>
      <c r="QR2" s="133" t="s">
        <v>1583</v>
      </c>
      <c r="QS2" s="133" t="s">
        <v>1584</v>
      </c>
      <c r="QT2" s="133" t="s">
        <v>1585</v>
      </c>
      <c r="QU2" s="133" t="s">
        <v>1586</v>
      </c>
      <c r="QV2" s="133" t="s">
        <v>1587</v>
      </c>
      <c r="QW2" s="133" t="s">
        <v>1588</v>
      </c>
      <c r="QX2" s="133" t="s">
        <v>1589</v>
      </c>
      <c r="QY2" s="133" t="s">
        <v>1590</v>
      </c>
      <c r="QZ2" s="133" t="s">
        <v>1591</v>
      </c>
      <c r="RA2" s="133" t="s">
        <v>1592</v>
      </c>
      <c r="RB2" s="133" t="s">
        <v>1593</v>
      </c>
      <c r="RC2" s="133" t="s">
        <v>1594</v>
      </c>
      <c r="RD2" s="133" t="s">
        <v>1595</v>
      </c>
      <c r="RE2" s="133" t="s">
        <v>1596</v>
      </c>
      <c r="RF2" s="133" t="s">
        <v>1597</v>
      </c>
      <c r="RG2" s="133" t="s">
        <v>1598</v>
      </c>
      <c r="RH2" s="133" t="s">
        <v>1599</v>
      </c>
      <c r="RI2" s="133" t="s">
        <v>1600</v>
      </c>
      <c r="RJ2" s="133" t="s">
        <v>1601</v>
      </c>
      <c r="RK2" s="133" t="s">
        <v>1602</v>
      </c>
      <c r="RL2" s="133" t="s">
        <v>1603</v>
      </c>
      <c r="RM2" s="133" t="s">
        <v>1604</v>
      </c>
      <c r="RN2" s="133" t="s">
        <v>1605</v>
      </c>
      <c r="RO2" s="133" t="s">
        <v>1606</v>
      </c>
      <c r="RP2" s="133" t="s">
        <v>1607</v>
      </c>
      <c r="RQ2" s="133" t="s">
        <v>1608</v>
      </c>
      <c r="RR2" s="133" t="s">
        <v>1609</v>
      </c>
      <c r="RS2" s="133" t="s">
        <v>1610</v>
      </c>
      <c r="RT2" s="133" t="s">
        <v>1611</v>
      </c>
      <c r="RU2" s="133" t="s">
        <v>1612</v>
      </c>
      <c r="RV2" s="133" t="s">
        <v>1613</v>
      </c>
      <c r="RW2" s="133" t="s">
        <v>1614</v>
      </c>
      <c r="RX2" s="133" t="s">
        <v>1615</v>
      </c>
      <c r="RY2" s="133" t="s">
        <v>1616</v>
      </c>
      <c r="RZ2" s="133" t="s">
        <v>1617</v>
      </c>
      <c r="SA2" s="133" t="s">
        <v>1618</v>
      </c>
      <c r="SB2" s="133" t="s">
        <v>1619</v>
      </c>
      <c r="SC2" s="133" t="s">
        <v>1620</v>
      </c>
      <c r="SD2" s="133" t="s">
        <v>1621</v>
      </c>
      <c r="SE2" s="133" t="s">
        <v>1622</v>
      </c>
      <c r="SF2" s="133" t="s">
        <v>1623</v>
      </c>
      <c r="SG2" s="133" t="s">
        <v>1624</v>
      </c>
      <c r="SH2" s="133" t="s">
        <v>1625</v>
      </c>
      <c r="SI2" s="133" t="s">
        <v>1626</v>
      </c>
      <c r="SJ2" s="133" t="s">
        <v>1627</v>
      </c>
      <c r="SK2" s="133" t="s">
        <v>1628</v>
      </c>
      <c r="SL2" s="133" t="s">
        <v>1629</v>
      </c>
      <c r="SM2" s="133" t="s">
        <v>1630</v>
      </c>
      <c r="SN2" s="133" t="s">
        <v>1631</v>
      </c>
      <c r="SO2" s="133" t="s">
        <v>1632</v>
      </c>
      <c r="SP2" s="133" t="s">
        <v>1633</v>
      </c>
      <c r="SQ2" s="133" t="s">
        <v>1634</v>
      </c>
      <c r="SR2" s="133" t="s">
        <v>1635</v>
      </c>
      <c r="SS2" s="133" t="s">
        <v>1636</v>
      </c>
      <c r="ST2" s="133" t="s">
        <v>1637</v>
      </c>
      <c r="SU2" s="133" t="s">
        <v>1638</v>
      </c>
      <c r="SV2" s="133" t="s">
        <v>1639</v>
      </c>
      <c r="SW2" s="133" t="s">
        <v>1640</v>
      </c>
      <c r="SX2" s="133" t="s">
        <v>1641</v>
      </c>
      <c r="SY2" s="133" t="s">
        <v>1642</v>
      </c>
      <c r="SZ2" s="133" t="s">
        <v>1643</v>
      </c>
      <c r="TA2" s="133" t="s">
        <v>1644</v>
      </c>
      <c r="TB2" s="133" t="s">
        <v>1645</v>
      </c>
      <c r="TC2" s="133" t="s">
        <v>1646</v>
      </c>
      <c r="TD2" s="133" t="s">
        <v>1647</v>
      </c>
      <c r="TE2" s="133" t="s">
        <v>1648</v>
      </c>
      <c r="TF2" s="133" t="s">
        <v>1649</v>
      </c>
      <c r="TG2" s="133" t="s">
        <v>1650</v>
      </c>
      <c r="TH2" s="133" t="s">
        <v>1651</v>
      </c>
      <c r="TI2" s="133" t="s">
        <v>1652</v>
      </c>
      <c r="TJ2" s="133" t="s">
        <v>1653</v>
      </c>
      <c r="TK2" s="133" t="s">
        <v>1654</v>
      </c>
      <c r="TL2" s="133" t="s">
        <v>1655</v>
      </c>
      <c r="TM2" s="133" t="s">
        <v>1656</v>
      </c>
      <c r="TN2" s="133" t="s">
        <v>1657</v>
      </c>
      <c r="TO2" s="133" t="s">
        <v>1658</v>
      </c>
      <c r="TP2" s="133" t="s">
        <v>1659</v>
      </c>
      <c r="TQ2" s="133" t="s">
        <v>1660</v>
      </c>
      <c r="TR2" s="133" t="s">
        <v>1661</v>
      </c>
      <c r="TS2" s="133" t="s">
        <v>1662</v>
      </c>
      <c r="TT2" s="133" t="s">
        <v>1663</v>
      </c>
      <c r="TU2" s="133" t="s">
        <v>1664</v>
      </c>
      <c r="TV2" s="133" t="s">
        <v>1665</v>
      </c>
      <c r="TW2" s="133" t="s">
        <v>1666</v>
      </c>
      <c r="TX2" s="133" t="s">
        <v>1667</v>
      </c>
      <c r="TY2" s="133" t="s">
        <v>1668</v>
      </c>
      <c r="TZ2" s="133" t="s">
        <v>1669</v>
      </c>
      <c r="UA2" s="133" t="s">
        <v>1670</v>
      </c>
      <c r="UB2" s="133" t="s">
        <v>1671</v>
      </c>
      <c r="UC2" s="133" t="s">
        <v>1672</v>
      </c>
      <c r="UD2" s="133" t="s">
        <v>1673</v>
      </c>
      <c r="UE2" s="133" t="s">
        <v>1674</v>
      </c>
      <c r="UF2" s="133" t="s">
        <v>1675</v>
      </c>
      <c r="UG2" s="133" t="s">
        <v>1676</v>
      </c>
      <c r="UH2" s="133" t="s">
        <v>1677</v>
      </c>
      <c r="UI2" s="133" t="s">
        <v>1678</v>
      </c>
      <c r="UJ2" s="133" t="s">
        <v>1679</v>
      </c>
      <c r="UK2" s="133" t="s">
        <v>1680</v>
      </c>
      <c r="UL2" s="133" t="s">
        <v>1681</v>
      </c>
      <c r="UM2" s="133" t="s">
        <v>1682</v>
      </c>
      <c r="UN2" s="133" t="s">
        <v>1683</v>
      </c>
      <c r="UO2" s="133" t="s">
        <v>1684</v>
      </c>
      <c r="UP2" s="133" t="s">
        <v>1685</v>
      </c>
      <c r="UQ2" s="133" t="s">
        <v>1686</v>
      </c>
      <c r="UR2" s="133" t="s">
        <v>1687</v>
      </c>
      <c r="US2" s="133" t="s">
        <v>1688</v>
      </c>
      <c r="UT2" s="133" t="s">
        <v>1689</v>
      </c>
      <c r="UU2" s="133" t="s">
        <v>1690</v>
      </c>
      <c r="UV2" s="133" t="s">
        <v>1691</v>
      </c>
      <c r="UW2" s="133" t="s">
        <v>1692</v>
      </c>
      <c r="UX2" s="133" t="s">
        <v>1693</v>
      </c>
      <c r="UY2" s="133" t="s">
        <v>1694</v>
      </c>
      <c r="UZ2" s="133" t="s">
        <v>1695</v>
      </c>
      <c r="VA2" s="133" t="s">
        <v>1696</v>
      </c>
      <c r="VB2" s="133" t="s">
        <v>1697</v>
      </c>
      <c r="VC2" s="133" t="s">
        <v>1698</v>
      </c>
      <c r="VD2" s="133" t="s">
        <v>1699</v>
      </c>
      <c r="VE2" s="133" t="s">
        <v>1700</v>
      </c>
      <c r="VF2" s="133" t="s">
        <v>1701</v>
      </c>
      <c r="VG2" s="133" t="s">
        <v>1702</v>
      </c>
      <c r="VH2" s="133" t="s">
        <v>1703</v>
      </c>
      <c r="VI2" s="133" t="s">
        <v>1704</v>
      </c>
      <c r="VJ2" s="133" t="s">
        <v>1705</v>
      </c>
      <c r="VK2" s="133" t="s">
        <v>1706</v>
      </c>
      <c r="VL2" s="133" t="s">
        <v>1707</v>
      </c>
      <c r="VM2" s="133" t="s">
        <v>1708</v>
      </c>
      <c r="VN2" s="133" t="s">
        <v>1709</v>
      </c>
      <c r="VO2" s="133" t="s">
        <v>1710</v>
      </c>
      <c r="VP2" s="133" t="s">
        <v>1711</v>
      </c>
      <c r="VQ2" s="133" t="s">
        <v>1712</v>
      </c>
      <c r="VR2" s="133" t="s">
        <v>1713</v>
      </c>
      <c r="VS2" s="133" t="s">
        <v>1714</v>
      </c>
      <c r="VT2" s="133" t="s">
        <v>1715</v>
      </c>
      <c r="VU2" s="133" t="s">
        <v>1716</v>
      </c>
      <c r="VV2" s="133" t="s">
        <v>1717</v>
      </c>
      <c r="VW2" s="133" t="s">
        <v>1718</v>
      </c>
      <c r="VX2" s="133" t="s">
        <v>1719</v>
      </c>
      <c r="VY2" s="133" t="s">
        <v>1720</v>
      </c>
      <c r="VZ2" s="133" t="s">
        <v>1721</v>
      </c>
      <c r="WA2" s="133" t="s">
        <v>1722</v>
      </c>
      <c r="WB2" s="133" t="s">
        <v>1723</v>
      </c>
      <c r="WC2" s="133" t="s">
        <v>1724</v>
      </c>
      <c r="WD2" s="133" t="s">
        <v>1725</v>
      </c>
      <c r="WE2" s="133" t="s">
        <v>1726</v>
      </c>
      <c r="WF2" s="133" t="s">
        <v>1727</v>
      </c>
      <c r="WG2" s="133" t="s">
        <v>1728</v>
      </c>
      <c r="WH2" s="133" t="s">
        <v>1729</v>
      </c>
      <c r="WI2" s="133" t="s">
        <v>1730</v>
      </c>
      <c r="WJ2" s="133" t="s">
        <v>1731</v>
      </c>
      <c r="WK2" s="133" t="s">
        <v>1732</v>
      </c>
      <c r="WL2" s="133" t="s">
        <v>1733</v>
      </c>
      <c r="WM2" s="133" t="s">
        <v>1734</v>
      </c>
      <c r="WN2" s="133" t="s">
        <v>1735</v>
      </c>
      <c r="WO2" s="133" t="s">
        <v>1736</v>
      </c>
      <c r="WP2" s="133" t="s">
        <v>1737</v>
      </c>
      <c r="WQ2" s="133" t="s">
        <v>1738</v>
      </c>
      <c r="WR2" s="133" t="s">
        <v>1739</v>
      </c>
      <c r="WS2" s="133" t="s">
        <v>1740</v>
      </c>
      <c r="WT2" s="133" t="s">
        <v>1741</v>
      </c>
      <c r="WU2" s="133" t="s">
        <v>1742</v>
      </c>
      <c r="WV2" s="133" t="s">
        <v>1743</v>
      </c>
      <c r="WW2" s="133" t="s">
        <v>1744</v>
      </c>
      <c r="WX2" s="133" t="s">
        <v>1745</v>
      </c>
      <c r="WY2" s="133" t="s">
        <v>1746</v>
      </c>
      <c r="WZ2" s="133" t="s">
        <v>1747</v>
      </c>
      <c r="XA2" s="133" t="s">
        <v>1748</v>
      </c>
      <c r="XB2" s="133" t="s">
        <v>1749</v>
      </c>
      <c r="XC2" s="133" t="s">
        <v>1750</v>
      </c>
      <c r="XD2" s="133" t="s">
        <v>1751</v>
      </c>
      <c r="XE2" s="133" t="s">
        <v>1752</v>
      </c>
      <c r="XF2" s="133" t="s">
        <v>1753</v>
      </c>
      <c r="XG2" s="133" t="s">
        <v>1754</v>
      </c>
      <c r="XH2" s="133" t="s">
        <v>1755</v>
      </c>
      <c r="XI2" s="133" t="s">
        <v>1756</v>
      </c>
      <c r="XJ2" s="133" t="s">
        <v>1757</v>
      </c>
      <c r="XK2" s="133" t="s">
        <v>1758</v>
      </c>
      <c r="XL2" s="133" t="s">
        <v>1759</v>
      </c>
      <c r="XM2" s="133" t="s">
        <v>1760</v>
      </c>
      <c r="XN2" s="133" t="s">
        <v>1761</v>
      </c>
      <c r="XO2" s="133" t="s">
        <v>1762</v>
      </c>
      <c r="XP2" s="133" t="s">
        <v>1763</v>
      </c>
      <c r="XQ2" s="133" t="s">
        <v>1764</v>
      </c>
      <c r="XR2" s="133" t="s">
        <v>1765</v>
      </c>
      <c r="XS2" s="133" t="s">
        <v>1766</v>
      </c>
      <c r="XT2" s="133" t="s">
        <v>1767</v>
      </c>
      <c r="XU2" s="133" t="s">
        <v>1768</v>
      </c>
      <c r="XV2" s="133" t="s">
        <v>1769</v>
      </c>
      <c r="XW2" s="133" t="s">
        <v>1770</v>
      </c>
      <c r="XX2" s="133" t="s">
        <v>1771</v>
      </c>
      <c r="XY2" s="133" t="s">
        <v>1772</v>
      </c>
      <c r="XZ2" s="133" t="s">
        <v>1773</v>
      </c>
      <c r="YA2" s="133" t="s">
        <v>1774</v>
      </c>
      <c r="YB2" s="133" t="s">
        <v>1775</v>
      </c>
      <c r="YC2" s="133" t="s">
        <v>1776</v>
      </c>
      <c r="YD2" s="133" t="s">
        <v>1777</v>
      </c>
      <c r="YE2" s="133" t="s">
        <v>1778</v>
      </c>
      <c r="YF2" s="133" t="s">
        <v>1779</v>
      </c>
      <c r="YG2" s="133" t="s">
        <v>1780</v>
      </c>
      <c r="YH2" s="133" t="s">
        <v>1781</v>
      </c>
      <c r="YI2" s="133" t="s">
        <v>1782</v>
      </c>
      <c r="YJ2" s="133" t="s">
        <v>1783</v>
      </c>
      <c r="YK2" s="133" t="s">
        <v>1784</v>
      </c>
      <c r="YL2" s="133" t="s">
        <v>1785</v>
      </c>
      <c r="YM2" s="133" t="s">
        <v>1786</v>
      </c>
      <c r="YN2" s="133" t="s">
        <v>1787</v>
      </c>
      <c r="YO2" s="133" t="s">
        <v>1788</v>
      </c>
      <c r="YP2" s="133" t="s">
        <v>1789</v>
      </c>
      <c r="YQ2" s="133" t="s">
        <v>1790</v>
      </c>
      <c r="YR2" s="133" t="s">
        <v>1791</v>
      </c>
      <c r="YS2" s="133" t="s">
        <v>1792</v>
      </c>
      <c r="YT2" s="133" t="s">
        <v>1793</v>
      </c>
      <c r="YU2" s="133" t="s">
        <v>1794</v>
      </c>
      <c r="YV2" s="133" t="s">
        <v>1795</v>
      </c>
      <c r="YW2" s="133" t="s">
        <v>1796</v>
      </c>
      <c r="YX2" s="133" t="s">
        <v>1797</v>
      </c>
      <c r="YY2" s="133" t="s">
        <v>1798</v>
      </c>
      <c r="YZ2" s="133" t="s">
        <v>1799</v>
      </c>
      <c r="ZA2" s="133" t="s">
        <v>1800</v>
      </c>
      <c r="ZB2" s="133" t="s">
        <v>1801</v>
      </c>
      <c r="ZC2" s="133" t="s">
        <v>1802</v>
      </c>
      <c r="ZD2" s="133" t="s">
        <v>1803</v>
      </c>
      <c r="ZE2" s="133" t="s">
        <v>1804</v>
      </c>
      <c r="ZF2" s="133" t="s">
        <v>1805</v>
      </c>
      <c r="ZG2" s="133" t="s">
        <v>1806</v>
      </c>
      <c r="ZH2" s="133" t="s">
        <v>1807</v>
      </c>
      <c r="ZI2" s="133" t="s">
        <v>1808</v>
      </c>
      <c r="ZJ2" s="133" t="s">
        <v>1809</v>
      </c>
      <c r="ZK2" s="133" t="s">
        <v>1810</v>
      </c>
      <c r="ZL2" s="133" t="s">
        <v>1811</v>
      </c>
      <c r="ZM2" s="133" t="s">
        <v>1812</v>
      </c>
      <c r="ZN2" s="133" t="s">
        <v>1813</v>
      </c>
      <c r="ZO2" s="133" t="s">
        <v>1814</v>
      </c>
      <c r="ZP2" s="133" t="s">
        <v>1815</v>
      </c>
      <c r="ZQ2" s="133" t="s">
        <v>1816</v>
      </c>
      <c r="ZR2" s="133" t="s">
        <v>1817</v>
      </c>
      <c r="ZS2" s="133" t="s">
        <v>1818</v>
      </c>
      <c r="ZT2" s="133" t="s">
        <v>1819</v>
      </c>
      <c r="ZU2" s="133" t="s">
        <v>1820</v>
      </c>
      <c r="ZV2" s="133" t="s">
        <v>1821</v>
      </c>
      <c r="ZW2" s="133" t="s">
        <v>1822</v>
      </c>
      <c r="ZX2" s="133" t="s">
        <v>1823</v>
      </c>
      <c r="ZY2" s="133" t="s">
        <v>1824</v>
      </c>
      <c r="ZZ2" s="133" t="s">
        <v>1825</v>
      </c>
      <c r="AAA2" s="133" t="s">
        <v>1826</v>
      </c>
      <c r="AAB2" s="133" t="s">
        <v>1827</v>
      </c>
      <c r="AAC2" s="133" t="s">
        <v>1828</v>
      </c>
      <c r="AAD2" s="133" t="s">
        <v>1829</v>
      </c>
      <c r="AAE2" s="133" t="s">
        <v>1830</v>
      </c>
      <c r="AAF2" s="133" t="s">
        <v>1831</v>
      </c>
      <c r="AAG2" s="133" t="s">
        <v>1832</v>
      </c>
      <c r="AAH2" s="133" t="s">
        <v>1833</v>
      </c>
      <c r="AAI2" s="133" t="s">
        <v>1834</v>
      </c>
      <c r="AAJ2" s="133" t="s">
        <v>1835</v>
      </c>
      <c r="AAK2" s="133" t="s">
        <v>1836</v>
      </c>
      <c r="AAL2" s="133" t="s">
        <v>1837</v>
      </c>
      <c r="AAM2" s="133" t="s">
        <v>1838</v>
      </c>
      <c r="AAN2" s="133" t="s">
        <v>1839</v>
      </c>
      <c r="AAO2" s="133" t="s">
        <v>1840</v>
      </c>
      <c r="AAP2" s="133" t="s">
        <v>1841</v>
      </c>
      <c r="AAQ2" s="133" t="s">
        <v>1842</v>
      </c>
      <c r="AAR2" s="133" t="s">
        <v>1843</v>
      </c>
      <c r="AAS2" s="133" t="s">
        <v>1844</v>
      </c>
      <c r="AAT2" s="133" t="s">
        <v>1845</v>
      </c>
      <c r="AAU2" s="133" t="s">
        <v>1846</v>
      </c>
      <c r="AAV2" s="133" t="s">
        <v>1847</v>
      </c>
      <c r="AAW2" s="133" t="s">
        <v>1848</v>
      </c>
      <c r="AAX2" s="133" t="s">
        <v>1849</v>
      </c>
      <c r="AAY2" s="133" t="s">
        <v>1850</v>
      </c>
      <c r="AAZ2" s="133" t="s">
        <v>1851</v>
      </c>
      <c r="ABA2" s="133" t="s">
        <v>1852</v>
      </c>
      <c r="ABB2" s="133" t="s">
        <v>1853</v>
      </c>
      <c r="ABC2" s="133" t="s">
        <v>1854</v>
      </c>
      <c r="ABD2" s="133" t="s">
        <v>1855</v>
      </c>
      <c r="ABE2" s="133" t="s">
        <v>1856</v>
      </c>
      <c r="ABF2" s="133" t="s">
        <v>1857</v>
      </c>
      <c r="ABG2" s="133" t="s">
        <v>1858</v>
      </c>
      <c r="ABH2" s="133" t="s">
        <v>1859</v>
      </c>
      <c r="ABI2" s="133" t="s">
        <v>1860</v>
      </c>
      <c r="ABJ2" s="133" t="s">
        <v>1861</v>
      </c>
      <c r="ABK2" s="133" t="s">
        <v>1862</v>
      </c>
      <c r="ABL2" s="133" t="s">
        <v>1863</v>
      </c>
      <c r="ABM2" s="133" t="s">
        <v>1864</v>
      </c>
      <c r="ABN2" s="133" t="s">
        <v>1865</v>
      </c>
      <c r="ABO2" s="133" t="s">
        <v>1866</v>
      </c>
      <c r="ABP2" s="133" t="s">
        <v>1867</v>
      </c>
      <c r="ABQ2" s="133" t="s">
        <v>1868</v>
      </c>
      <c r="ABR2" s="133" t="s">
        <v>1869</v>
      </c>
      <c r="ABS2" s="133" t="s">
        <v>1870</v>
      </c>
      <c r="ABT2" s="133" t="s">
        <v>1871</v>
      </c>
      <c r="ABU2" s="133" t="s">
        <v>1872</v>
      </c>
      <c r="ABV2" s="133" t="s">
        <v>1873</v>
      </c>
      <c r="ABW2" s="133" t="s">
        <v>1874</v>
      </c>
      <c r="ABX2" s="133" t="s">
        <v>1875</v>
      </c>
      <c r="ABY2" s="133" t="s">
        <v>1876</v>
      </c>
      <c r="ABZ2" s="133" t="s">
        <v>1877</v>
      </c>
      <c r="ACA2" s="133" t="s">
        <v>1878</v>
      </c>
      <c r="ACB2" s="133" t="s">
        <v>1879</v>
      </c>
      <c r="ACC2" s="133" t="s">
        <v>1880</v>
      </c>
      <c r="ACD2" s="133" t="s">
        <v>1881</v>
      </c>
      <c r="ACE2" s="133" t="s">
        <v>1882</v>
      </c>
      <c r="ACF2" s="133" t="s">
        <v>1883</v>
      </c>
      <c r="ACG2" s="133" t="s">
        <v>1884</v>
      </c>
      <c r="ACH2" s="133" t="s">
        <v>1885</v>
      </c>
      <c r="ACI2" s="133" t="s">
        <v>1886</v>
      </c>
      <c r="ACJ2" s="133" t="s">
        <v>1887</v>
      </c>
      <c r="ACK2" s="133" t="s">
        <v>1888</v>
      </c>
      <c r="ACL2" s="133" t="s">
        <v>1889</v>
      </c>
      <c r="ACM2" s="133" t="s">
        <v>1890</v>
      </c>
      <c r="ACN2" s="133" t="s">
        <v>1891</v>
      </c>
      <c r="ACO2" s="133" t="s">
        <v>1892</v>
      </c>
      <c r="ACP2" s="133" t="s">
        <v>1893</v>
      </c>
      <c r="ACQ2" s="133" t="s">
        <v>1894</v>
      </c>
      <c r="ACR2" s="133" t="s">
        <v>1895</v>
      </c>
      <c r="ACS2" s="133" t="s">
        <v>1896</v>
      </c>
      <c r="ACT2" s="133" t="s">
        <v>1897</v>
      </c>
      <c r="ACU2" s="133" t="s">
        <v>1898</v>
      </c>
      <c r="ACV2" s="133" t="s">
        <v>1899</v>
      </c>
      <c r="ACW2" s="133" t="s">
        <v>1900</v>
      </c>
      <c r="ACX2" s="133" t="s">
        <v>1901</v>
      </c>
      <c r="ACY2" s="133" t="s">
        <v>1902</v>
      </c>
      <c r="ACZ2" s="133" t="s">
        <v>1903</v>
      </c>
      <c r="ADA2" s="133" t="s">
        <v>1904</v>
      </c>
      <c r="ADB2" s="133" t="s">
        <v>1905</v>
      </c>
      <c r="ADC2" s="133" t="s">
        <v>1906</v>
      </c>
      <c r="ADD2" s="133" t="s">
        <v>1907</v>
      </c>
      <c r="ADE2" s="133" t="s">
        <v>1908</v>
      </c>
      <c r="ADF2" s="133" t="s">
        <v>1909</v>
      </c>
      <c r="ADG2" s="133" t="s">
        <v>1910</v>
      </c>
      <c r="ADH2" s="133" t="s">
        <v>1911</v>
      </c>
      <c r="ADI2" s="133" t="s">
        <v>1912</v>
      </c>
      <c r="ADJ2" s="133" t="s">
        <v>1913</v>
      </c>
      <c r="ADK2" s="133" t="s">
        <v>1914</v>
      </c>
      <c r="ADL2" s="133" t="s">
        <v>1915</v>
      </c>
      <c r="ADM2" s="133" t="s">
        <v>1916</v>
      </c>
      <c r="ADN2" s="133" t="s">
        <v>1917</v>
      </c>
      <c r="ADO2" s="133" t="s">
        <v>1918</v>
      </c>
      <c r="ADP2" s="133" t="s">
        <v>1919</v>
      </c>
      <c r="ADQ2" s="133" t="s">
        <v>1920</v>
      </c>
      <c r="ADR2" s="133" t="s">
        <v>1921</v>
      </c>
      <c r="ADS2" s="133" t="s">
        <v>1922</v>
      </c>
      <c r="ADT2" s="133" t="s">
        <v>1923</v>
      </c>
      <c r="ADU2" s="133" t="s">
        <v>1924</v>
      </c>
      <c r="ADV2" s="133" t="s">
        <v>1925</v>
      </c>
      <c r="ADW2" s="133" t="s">
        <v>1926</v>
      </c>
      <c r="ADX2" s="133" t="s">
        <v>1927</v>
      </c>
      <c r="ADY2" s="133" t="s">
        <v>1928</v>
      </c>
      <c r="ADZ2" s="133" t="s">
        <v>1929</v>
      </c>
      <c r="AEA2" s="133" t="s">
        <v>1930</v>
      </c>
      <c r="AEB2" s="133" t="s">
        <v>1931</v>
      </c>
      <c r="AEC2" s="133" t="s">
        <v>1932</v>
      </c>
      <c r="AED2" s="133" t="s">
        <v>1933</v>
      </c>
      <c r="AEE2" s="133" t="s">
        <v>1934</v>
      </c>
      <c r="AEF2" s="133" t="s">
        <v>1935</v>
      </c>
      <c r="AEG2" s="133" t="s">
        <v>1936</v>
      </c>
      <c r="AEH2" s="133" t="s">
        <v>1937</v>
      </c>
      <c r="AEI2" s="133" t="s">
        <v>1938</v>
      </c>
      <c r="AEJ2" s="133" t="s">
        <v>1939</v>
      </c>
      <c r="AEK2" s="133" t="s">
        <v>1940</v>
      </c>
      <c r="AEL2" s="133" t="s">
        <v>1941</v>
      </c>
      <c r="AEM2" s="133" t="s">
        <v>1942</v>
      </c>
      <c r="AEN2" s="133" t="s">
        <v>1943</v>
      </c>
      <c r="AEO2" s="133" t="s">
        <v>1944</v>
      </c>
      <c r="AEP2" s="133" t="s">
        <v>1945</v>
      </c>
      <c r="AEQ2" s="133" t="s">
        <v>1946</v>
      </c>
      <c r="AER2" s="133" t="s">
        <v>1947</v>
      </c>
      <c r="AES2" s="133" t="s">
        <v>1948</v>
      </c>
      <c r="AET2" s="133" t="s">
        <v>1949</v>
      </c>
      <c r="AEU2" s="133" t="s">
        <v>1950</v>
      </c>
      <c r="AEV2" s="133" t="s">
        <v>1951</v>
      </c>
      <c r="AEW2" s="133" t="s">
        <v>1952</v>
      </c>
      <c r="AEX2" s="133" t="s">
        <v>1953</v>
      </c>
      <c r="AEY2" s="133" t="s">
        <v>1954</v>
      </c>
      <c r="AEZ2" s="133" t="s">
        <v>1955</v>
      </c>
      <c r="AFA2" s="133" t="s">
        <v>1956</v>
      </c>
      <c r="AFB2" s="133" t="s">
        <v>1957</v>
      </c>
      <c r="AFC2" s="133" t="s">
        <v>1958</v>
      </c>
      <c r="AFD2" s="133" t="s">
        <v>1959</v>
      </c>
      <c r="AFE2" s="133" t="s">
        <v>1960</v>
      </c>
      <c r="AFF2" s="133" t="s">
        <v>1961</v>
      </c>
      <c r="AFG2" s="133" t="s">
        <v>1962</v>
      </c>
      <c r="AFH2" s="133" t="s">
        <v>1963</v>
      </c>
      <c r="AFI2" s="133" t="s">
        <v>1964</v>
      </c>
      <c r="AFJ2" s="133" t="s">
        <v>1965</v>
      </c>
      <c r="AFK2" s="133" t="s">
        <v>1966</v>
      </c>
      <c r="AFL2" s="133" t="s">
        <v>1967</v>
      </c>
      <c r="AFM2" s="133" t="s">
        <v>1968</v>
      </c>
      <c r="AFN2" s="133" t="s">
        <v>1969</v>
      </c>
      <c r="AFO2" s="133" t="s">
        <v>1970</v>
      </c>
      <c r="AFP2" s="133" t="s">
        <v>1971</v>
      </c>
      <c r="AFQ2" s="133" t="s">
        <v>1972</v>
      </c>
      <c r="AFR2" s="133" t="s">
        <v>1973</v>
      </c>
      <c r="AFS2" s="133" t="s">
        <v>1974</v>
      </c>
      <c r="AFT2" s="133" t="s">
        <v>1975</v>
      </c>
      <c r="AFU2" s="133" t="s">
        <v>1976</v>
      </c>
      <c r="AFV2" s="133" t="s">
        <v>1977</v>
      </c>
      <c r="AFW2" s="133" t="s">
        <v>1978</v>
      </c>
      <c r="AFX2" s="133" t="s">
        <v>1979</v>
      </c>
      <c r="AFY2" s="133" t="s">
        <v>1980</v>
      </c>
      <c r="AFZ2" s="133" t="s">
        <v>1981</v>
      </c>
      <c r="AGA2" s="133" t="s">
        <v>1982</v>
      </c>
      <c r="AGB2" s="133" t="s">
        <v>1983</v>
      </c>
      <c r="AGC2" s="133" t="s">
        <v>1984</v>
      </c>
      <c r="AGD2" s="133" t="s">
        <v>1985</v>
      </c>
      <c r="AGE2" s="133" t="s">
        <v>1986</v>
      </c>
      <c r="AGF2" s="133" t="s">
        <v>1987</v>
      </c>
      <c r="AGG2" s="133" t="s">
        <v>1988</v>
      </c>
      <c r="AGH2" s="133" t="s">
        <v>1989</v>
      </c>
      <c r="AGI2" s="133" t="s">
        <v>1990</v>
      </c>
      <c r="AGJ2" s="133" t="s">
        <v>1991</v>
      </c>
      <c r="AGK2" s="133" t="s">
        <v>1992</v>
      </c>
      <c r="AGL2" s="133" t="s">
        <v>1993</v>
      </c>
      <c r="AGM2" s="133" t="s">
        <v>1994</v>
      </c>
      <c r="AGN2" s="133" t="s">
        <v>1995</v>
      </c>
      <c r="AGO2" s="133" t="s">
        <v>1996</v>
      </c>
      <c r="AGP2" s="133" t="s">
        <v>1997</v>
      </c>
      <c r="AGQ2" s="133" t="s">
        <v>1998</v>
      </c>
      <c r="AGR2" s="133" t="s">
        <v>1999</v>
      </c>
      <c r="AGS2" s="133" t="s">
        <v>2000</v>
      </c>
      <c r="AGT2" s="133" t="s">
        <v>2001</v>
      </c>
      <c r="AGU2" s="133" t="s">
        <v>2002</v>
      </c>
      <c r="AGV2" s="133" t="s">
        <v>2003</v>
      </c>
      <c r="AGW2" s="133" t="s">
        <v>2004</v>
      </c>
      <c r="AGX2" s="133" t="s">
        <v>2005</v>
      </c>
      <c r="AGY2" s="133" t="s">
        <v>2006</v>
      </c>
      <c r="AGZ2" s="133" t="s">
        <v>2007</v>
      </c>
      <c r="AHA2" s="133" t="s">
        <v>2008</v>
      </c>
      <c r="AHB2" s="133" t="s">
        <v>2009</v>
      </c>
      <c r="AHC2" s="133" t="s">
        <v>2010</v>
      </c>
      <c r="AHD2" s="133" t="s">
        <v>2011</v>
      </c>
      <c r="AHE2" s="133" t="s">
        <v>2012</v>
      </c>
      <c r="AHF2" s="133" t="s">
        <v>2013</v>
      </c>
      <c r="AHG2" s="133" t="s">
        <v>2014</v>
      </c>
      <c r="AHH2" s="133" t="s">
        <v>2015</v>
      </c>
      <c r="AHI2" s="133" t="s">
        <v>2016</v>
      </c>
      <c r="AHJ2" s="133" t="s">
        <v>2017</v>
      </c>
      <c r="AHK2" s="133" t="s">
        <v>2018</v>
      </c>
      <c r="AHL2" s="133" t="s">
        <v>2019</v>
      </c>
      <c r="AHM2" s="133" t="s">
        <v>2020</v>
      </c>
      <c r="AHN2" s="133" t="s">
        <v>2021</v>
      </c>
      <c r="AHO2" s="133" t="s">
        <v>2022</v>
      </c>
      <c r="AHP2" s="133" t="s">
        <v>2023</v>
      </c>
      <c r="AHQ2" s="133" t="s">
        <v>2024</v>
      </c>
      <c r="AHR2" s="133" t="s">
        <v>2025</v>
      </c>
      <c r="AHS2" s="133" t="s">
        <v>2026</v>
      </c>
      <c r="AHT2" s="133" t="s">
        <v>2027</v>
      </c>
      <c r="AHU2" s="133" t="s">
        <v>2028</v>
      </c>
      <c r="AHV2" s="133" t="s">
        <v>2029</v>
      </c>
      <c r="AHW2" s="133" t="s">
        <v>2030</v>
      </c>
      <c r="AHX2" s="133" t="s">
        <v>2031</v>
      </c>
      <c r="AHY2" s="133" t="s">
        <v>2032</v>
      </c>
      <c r="AHZ2" s="133" t="s">
        <v>2033</v>
      </c>
      <c r="AIA2" s="133" t="s">
        <v>2034</v>
      </c>
      <c r="AIB2" s="133" t="s">
        <v>2035</v>
      </c>
      <c r="AIC2" s="133" t="s">
        <v>2036</v>
      </c>
      <c r="AID2" s="133" t="s">
        <v>2037</v>
      </c>
      <c r="AIE2" s="133" t="s">
        <v>2038</v>
      </c>
      <c r="AIF2" s="133" t="s">
        <v>2039</v>
      </c>
      <c r="AIG2" s="133" t="s">
        <v>2040</v>
      </c>
      <c r="AIH2" s="133" t="s">
        <v>2041</v>
      </c>
      <c r="AII2" s="133" t="s">
        <v>2042</v>
      </c>
      <c r="AIJ2" s="133" t="s">
        <v>2043</v>
      </c>
      <c r="AIK2" s="133" t="s">
        <v>2044</v>
      </c>
      <c r="AIL2" s="133" t="s">
        <v>2045</v>
      </c>
      <c r="AIM2" s="133" t="s">
        <v>2046</v>
      </c>
      <c r="AIN2" s="133" t="s">
        <v>2047</v>
      </c>
      <c r="AIO2" s="133" t="s">
        <v>2048</v>
      </c>
      <c r="AIP2" s="133" t="s">
        <v>2049</v>
      </c>
      <c r="AIQ2" s="133" t="s">
        <v>2050</v>
      </c>
      <c r="AIR2" s="133" t="s">
        <v>2051</v>
      </c>
      <c r="AIS2" s="133" t="s">
        <v>2052</v>
      </c>
      <c r="AIT2" s="133" t="s">
        <v>2053</v>
      </c>
      <c r="AIU2" s="133" t="s">
        <v>2054</v>
      </c>
      <c r="AIV2" s="133" t="s">
        <v>2055</v>
      </c>
      <c r="AIW2" s="133" t="s">
        <v>2056</v>
      </c>
      <c r="AIX2" s="133" t="s">
        <v>2057</v>
      </c>
      <c r="AIY2" s="133" t="s">
        <v>2058</v>
      </c>
      <c r="AIZ2" s="133" t="s">
        <v>2059</v>
      </c>
      <c r="AJA2" s="133" t="s">
        <v>2060</v>
      </c>
      <c r="AJB2" s="133" t="s">
        <v>2061</v>
      </c>
      <c r="AJC2" s="133" t="s">
        <v>2062</v>
      </c>
      <c r="AJD2" s="133" t="s">
        <v>2063</v>
      </c>
      <c r="AJE2" s="133" t="s">
        <v>2064</v>
      </c>
      <c r="AJF2" s="133" t="s">
        <v>2065</v>
      </c>
      <c r="AJG2" s="133" t="s">
        <v>2066</v>
      </c>
      <c r="AJH2" s="133" t="s">
        <v>2067</v>
      </c>
      <c r="AJI2" s="133" t="s">
        <v>2068</v>
      </c>
      <c r="AJJ2" s="133" t="s">
        <v>2069</v>
      </c>
      <c r="AJK2" s="133" t="s">
        <v>2070</v>
      </c>
      <c r="AJL2" s="133" t="s">
        <v>2071</v>
      </c>
      <c r="AJM2" s="133" t="s">
        <v>2072</v>
      </c>
      <c r="AJN2" s="133" t="s">
        <v>2073</v>
      </c>
      <c r="AJO2" s="133" t="s">
        <v>2074</v>
      </c>
      <c r="AJP2" s="133" t="s">
        <v>2075</v>
      </c>
      <c r="AJQ2" s="133" t="s">
        <v>2076</v>
      </c>
      <c r="AJR2" s="133" t="s">
        <v>2077</v>
      </c>
      <c r="AJS2" s="133" t="s">
        <v>2078</v>
      </c>
      <c r="AJT2" s="133" t="s">
        <v>2079</v>
      </c>
      <c r="AJU2" s="133" t="s">
        <v>2080</v>
      </c>
      <c r="AJV2" s="133" t="s">
        <v>2081</v>
      </c>
      <c r="AJW2" s="133" t="s">
        <v>2082</v>
      </c>
      <c r="AJX2" s="133" t="s">
        <v>2083</v>
      </c>
      <c r="AJY2" s="133" t="s">
        <v>2084</v>
      </c>
      <c r="AJZ2" s="133" t="s">
        <v>2085</v>
      </c>
      <c r="AKA2" s="133" t="s">
        <v>2086</v>
      </c>
      <c r="AKB2" s="133" t="s">
        <v>2087</v>
      </c>
      <c r="AKC2" s="133" t="s">
        <v>2088</v>
      </c>
      <c r="AKD2" s="133" t="s">
        <v>2089</v>
      </c>
      <c r="AKE2" s="133" t="s">
        <v>2090</v>
      </c>
      <c r="AKF2" s="133" t="s">
        <v>2091</v>
      </c>
      <c r="AKG2" s="133" t="s">
        <v>2092</v>
      </c>
      <c r="AKH2" s="133" t="s">
        <v>2093</v>
      </c>
      <c r="AKI2" s="133" t="s">
        <v>2094</v>
      </c>
      <c r="AKJ2" s="133" t="s">
        <v>2095</v>
      </c>
      <c r="AKK2" s="133" t="s">
        <v>2096</v>
      </c>
      <c r="AKL2" s="133" t="s">
        <v>2097</v>
      </c>
      <c r="AKM2" s="133" t="s">
        <v>2098</v>
      </c>
      <c r="AKN2" s="133" t="s">
        <v>2099</v>
      </c>
      <c r="AKO2" s="133" t="s">
        <v>2100</v>
      </c>
      <c r="AKP2" s="133" t="s">
        <v>2101</v>
      </c>
      <c r="AKQ2" s="133" t="s">
        <v>2102</v>
      </c>
      <c r="AKR2" s="133" t="s">
        <v>2103</v>
      </c>
      <c r="AKS2" s="133" t="s">
        <v>2104</v>
      </c>
      <c r="AKT2" s="133" t="s">
        <v>2105</v>
      </c>
      <c r="AKU2" s="133" t="s">
        <v>2106</v>
      </c>
      <c r="AKV2" s="133" t="s">
        <v>2107</v>
      </c>
      <c r="AKW2" s="133" t="s">
        <v>2108</v>
      </c>
      <c r="AKX2" s="133" t="s">
        <v>2109</v>
      </c>
      <c r="AKY2" s="133" t="s">
        <v>2110</v>
      </c>
      <c r="AKZ2" s="133" t="s">
        <v>2111</v>
      </c>
      <c r="ALA2" s="133" t="s">
        <v>2112</v>
      </c>
      <c r="ALB2" s="133" t="s">
        <v>2113</v>
      </c>
      <c r="ALC2" s="133" t="s">
        <v>2114</v>
      </c>
      <c r="ALD2" s="133" t="s">
        <v>2115</v>
      </c>
      <c r="ALE2" s="133" t="s">
        <v>2116</v>
      </c>
      <c r="ALF2" s="133" t="s">
        <v>2117</v>
      </c>
      <c r="ALG2" s="133" t="s">
        <v>2118</v>
      </c>
      <c r="ALH2" s="133" t="s">
        <v>2119</v>
      </c>
      <c r="ALI2" s="133" t="s">
        <v>2120</v>
      </c>
      <c r="ALJ2" s="133" t="s">
        <v>2121</v>
      </c>
      <c r="ALK2" s="133" t="s">
        <v>2122</v>
      </c>
      <c r="ALL2" s="133" t="s">
        <v>2123</v>
      </c>
      <c r="ALM2" s="133" t="s">
        <v>2124</v>
      </c>
      <c r="ALN2" s="133" t="s">
        <v>2125</v>
      </c>
      <c r="ALO2" s="133" t="s">
        <v>2126</v>
      </c>
      <c r="ALP2" s="133" t="s">
        <v>2127</v>
      </c>
      <c r="ALQ2" s="133" t="s">
        <v>2128</v>
      </c>
      <c r="ALR2" s="133" t="s">
        <v>2129</v>
      </c>
      <c r="ALS2" s="133" t="s">
        <v>2130</v>
      </c>
      <c r="ALT2" s="133" t="s">
        <v>2131</v>
      </c>
      <c r="ALU2" s="133" t="s">
        <v>2132</v>
      </c>
      <c r="ALV2" s="133" t="s">
        <v>2133</v>
      </c>
      <c r="ALW2" s="133" t="s">
        <v>2134</v>
      </c>
      <c r="ALX2" s="133" t="s">
        <v>2135</v>
      </c>
      <c r="ALY2" s="133" t="s">
        <v>2136</v>
      </c>
      <c r="ALZ2" s="133" t="s">
        <v>2137</v>
      </c>
      <c r="AMA2" s="133" t="s">
        <v>2138</v>
      </c>
      <c r="AMB2" s="133" t="s">
        <v>2139</v>
      </c>
      <c r="AMC2" s="133" t="s">
        <v>2140</v>
      </c>
      <c r="AMD2" s="133" t="s">
        <v>2141</v>
      </c>
      <c r="AME2" s="133" t="s">
        <v>2142</v>
      </c>
      <c r="AMF2" s="133" t="s">
        <v>2143</v>
      </c>
      <c r="AMG2" s="133" t="s">
        <v>2144</v>
      </c>
      <c r="AMH2" s="133" t="s">
        <v>2145</v>
      </c>
      <c r="AMI2" s="133" t="s">
        <v>2146</v>
      </c>
      <c r="AMJ2" s="133" t="s">
        <v>2147</v>
      </c>
      <c r="AMK2" s="133" t="s">
        <v>2148</v>
      </c>
      <c r="AML2" s="133" t="s">
        <v>2149</v>
      </c>
      <c r="AMM2" s="133" t="s">
        <v>2150</v>
      </c>
      <c r="AMN2" s="133" t="s">
        <v>2151</v>
      </c>
      <c r="AMO2" s="133" t="s">
        <v>2152</v>
      </c>
      <c r="AMP2" s="133" t="s">
        <v>2153</v>
      </c>
      <c r="AMQ2" s="133" t="s">
        <v>2154</v>
      </c>
      <c r="AMR2" s="133" t="s">
        <v>2155</v>
      </c>
      <c r="AMS2" s="133" t="s">
        <v>2156</v>
      </c>
      <c r="AMT2" s="133" t="s">
        <v>2157</v>
      </c>
      <c r="AMU2" s="133" t="s">
        <v>2158</v>
      </c>
      <c r="AMV2" s="133" t="s">
        <v>2159</v>
      </c>
      <c r="AMW2" s="133" t="s">
        <v>2160</v>
      </c>
      <c r="AMX2" s="133" t="s">
        <v>2161</v>
      </c>
      <c r="AMY2" s="133" t="s">
        <v>2162</v>
      </c>
      <c r="AMZ2" s="133" t="s">
        <v>2163</v>
      </c>
      <c r="ANA2" s="133" t="s">
        <v>2164</v>
      </c>
      <c r="ANB2" s="133" t="s">
        <v>2165</v>
      </c>
      <c r="ANC2" s="133" t="s">
        <v>2166</v>
      </c>
      <c r="AND2" s="133" t="s">
        <v>2167</v>
      </c>
      <c r="ANE2" s="133" t="s">
        <v>2168</v>
      </c>
      <c r="ANF2" s="133" t="s">
        <v>2169</v>
      </c>
      <c r="ANG2" s="133" t="s">
        <v>2170</v>
      </c>
      <c r="ANH2" s="133" t="s">
        <v>2171</v>
      </c>
      <c r="ANI2" s="133" t="s">
        <v>2172</v>
      </c>
      <c r="ANJ2" s="133" t="s">
        <v>2173</v>
      </c>
      <c r="ANK2" s="133" t="s">
        <v>2174</v>
      </c>
      <c r="ANL2" s="133" t="s">
        <v>2175</v>
      </c>
      <c r="ANM2" s="133" t="s">
        <v>2176</v>
      </c>
      <c r="ANN2" s="133" t="s">
        <v>2177</v>
      </c>
      <c r="ANO2" s="133" t="s">
        <v>2178</v>
      </c>
      <c r="ANP2" s="133" t="s">
        <v>2179</v>
      </c>
      <c r="ANQ2" s="133" t="s">
        <v>2180</v>
      </c>
      <c r="ANR2" s="133" t="s">
        <v>2181</v>
      </c>
      <c r="ANS2" s="133" t="s">
        <v>2182</v>
      </c>
      <c r="ANT2" s="133" t="s">
        <v>2183</v>
      </c>
      <c r="ANU2" s="133" t="s">
        <v>2184</v>
      </c>
      <c r="ANV2" s="133" t="s">
        <v>2185</v>
      </c>
      <c r="ANW2" s="133" t="s">
        <v>2186</v>
      </c>
      <c r="ANX2" s="133" t="s">
        <v>2187</v>
      </c>
      <c r="ANY2" s="133" t="s">
        <v>2188</v>
      </c>
      <c r="ANZ2" s="133" t="s">
        <v>2189</v>
      </c>
      <c r="AOA2" s="133" t="s">
        <v>2190</v>
      </c>
      <c r="AOB2" s="133" t="s">
        <v>2191</v>
      </c>
      <c r="AOC2" s="133" t="s">
        <v>2192</v>
      </c>
      <c r="AOD2" s="133" t="s">
        <v>2193</v>
      </c>
      <c r="AOE2" s="133" t="s">
        <v>2194</v>
      </c>
      <c r="AOF2" s="133" t="s">
        <v>2195</v>
      </c>
      <c r="AOG2" s="133" t="s">
        <v>2196</v>
      </c>
      <c r="AOH2" s="133" t="s">
        <v>2197</v>
      </c>
      <c r="AOI2" s="133" t="s">
        <v>2198</v>
      </c>
      <c r="AOJ2" s="133" t="s">
        <v>2199</v>
      </c>
      <c r="AOK2" s="133" t="s">
        <v>2200</v>
      </c>
      <c r="AOL2" s="133" t="s">
        <v>2201</v>
      </c>
      <c r="AOM2" s="133" t="s">
        <v>2202</v>
      </c>
      <c r="AON2" s="133" t="s">
        <v>2203</v>
      </c>
      <c r="AOO2" s="133" t="s">
        <v>2204</v>
      </c>
      <c r="AOP2" s="133" t="s">
        <v>2205</v>
      </c>
      <c r="AOQ2" s="133" t="s">
        <v>2206</v>
      </c>
      <c r="AOR2" s="133" t="s">
        <v>2207</v>
      </c>
      <c r="AOS2" s="133" t="s">
        <v>2208</v>
      </c>
      <c r="AOT2" s="133" t="s">
        <v>2209</v>
      </c>
      <c r="AOU2" s="133" t="s">
        <v>2210</v>
      </c>
      <c r="AOV2" s="133" t="s">
        <v>2211</v>
      </c>
      <c r="AOW2" s="133" t="s">
        <v>2212</v>
      </c>
      <c r="AOX2" s="133" t="s">
        <v>2213</v>
      </c>
      <c r="AOY2" s="133" t="s">
        <v>2214</v>
      </c>
      <c r="AOZ2" s="133" t="s">
        <v>2215</v>
      </c>
      <c r="APA2" s="133" t="s">
        <v>2216</v>
      </c>
      <c r="APB2" s="133" t="s">
        <v>2217</v>
      </c>
      <c r="APC2" s="133" t="s">
        <v>2218</v>
      </c>
      <c r="APD2" s="133" t="s">
        <v>2219</v>
      </c>
      <c r="APE2" s="133" t="s">
        <v>2220</v>
      </c>
      <c r="APF2" s="133" t="s">
        <v>2221</v>
      </c>
      <c r="APG2" s="133" t="s">
        <v>2222</v>
      </c>
      <c r="APH2" s="133" t="s">
        <v>2223</v>
      </c>
      <c r="API2" s="133" t="s">
        <v>2224</v>
      </c>
      <c r="APJ2" s="133" t="s">
        <v>2225</v>
      </c>
      <c r="APK2" s="133" t="s">
        <v>2226</v>
      </c>
      <c r="APL2" s="133" t="s">
        <v>2227</v>
      </c>
      <c r="APM2" s="133" t="s">
        <v>2228</v>
      </c>
      <c r="APN2" s="133" t="s">
        <v>2229</v>
      </c>
      <c r="APO2" s="133" t="s">
        <v>2230</v>
      </c>
      <c r="APP2" s="133" t="s">
        <v>2231</v>
      </c>
      <c r="APQ2" s="133" t="s">
        <v>2232</v>
      </c>
      <c r="APR2" s="133" t="s">
        <v>2233</v>
      </c>
      <c r="APS2" s="133" t="s">
        <v>2234</v>
      </c>
      <c r="APT2" s="133" t="s">
        <v>2235</v>
      </c>
      <c r="APU2" s="133" t="s">
        <v>2236</v>
      </c>
      <c r="APV2" s="133" t="s">
        <v>2237</v>
      </c>
      <c r="APW2" s="133" t="s">
        <v>2238</v>
      </c>
      <c r="APX2" s="133" t="s">
        <v>2239</v>
      </c>
      <c r="APY2" s="133" t="s">
        <v>2240</v>
      </c>
      <c r="APZ2" s="133" t="s">
        <v>2241</v>
      </c>
      <c r="AQA2" s="133" t="s">
        <v>2242</v>
      </c>
      <c r="AQB2" s="133" t="s">
        <v>2243</v>
      </c>
      <c r="AQC2" s="133" t="s">
        <v>2244</v>
      </c>
      <c r="AQD2" s="133" t="s">
        <v>2245</v>
      </c>
      <c r="AQE2" s="133" t="s">
        <v>2246</v>
      </c>
      <c r="AQF2" s="133" t="s">
        <v>2247</v>
      </c>
      <c r="AQG2" s="133" t="s">
        <v>2248</v>
      </c>
      <c r="AQH2" s="133" t="s">
        <v>2249</v>
      </c>
      <c r="AQI2" s="133" t="s">
        <v>2250</v>
      </c>
      <c r="AQJ2" s="133" t="s">
        <v>2251</v>
      </c>
      <c r="AQK2" s="133" t="s">
        <v>2252</v>
      </c>
      <c r="AQL2" s="133" t="s">
        <v>2253</v>
      </c>
      <c r="AQM2" s="133" t="s">
        <v>2254</v>
      </c>
      <c r="AQN2" s="133" t="s">
        <v>2255</v>
      </c>
      <c r="AQO2" s="133" t="s">
        <v>2256</v>
      </c>
      <c r="AQP2" s="133" t="s">
        <v>2257</v>
      </c>
      <c r="AQQ2" s="133" t="s">
        <v>2258</v>
      </c>
      <c r="AQR2" s="133" t="s">
        <v>2259</v>
      </c>
      <c r="AQS2" s="133" t="s">
        <v>2260</v>
      </c>
      <c r="AQT2" s="133" t="s">
        <v>2261</v>
      </c>
      <c r="AQU2" s="133" t="s">
        <v>2262</v>
      </c>
      <c r="AQV2" s="133" t="s">
        <v>2263</v>
      </c>
      <c r="AQW2" s="133" t="s">
        <v>2264</v>
      </c>
      <c r="AQX2" s="133" t="s">
        <v>2265</v>
      </c>
      <c r="AQY2" s="133" t="s">
        <v>2266</v>
      </c>
      <c r="AQZ2" s="133" t="s">
        <v>2267</v>
      </c>
      <c r="ARA2" s="133" t="s">
        <v>2268</v>
      </c>
      <c r="ARB2" s="133" t="s">
        <v>2269</v>
      </c>
      <c r="ARC2" s="133" t="s">
        <v>2270</v>
      </c>
      <c r="ARD2" s="133" t="s">
        <v>2271</v>
      </c>
      <c r="ARE2" s="133" t="s">
        <v>2272</v>
      </c>
      <c r="ARF2" s="133" t="s">
        <v>2273</v>
      </c>
      <c r="ARG2" s="133" t="s">
        <v>2274</v>
      </c>
      <c r="ARH2" s="133" t="s">
        <v>2275</v>
      </c>
      <c r="ARI2" s="133" t="s">
        <v>2276</v>
      </c>
      <c r="ARJ2" s="133" t="s">
        <v>2277</v>
      </c>
      <c r="ARK2" s="133" t="s">
        <v>2278</v>
      </c>
      <c r="ARL2" s="133" t="s">
        <v>2279</v>
      </c>
      <c r="ARM2" s="133" t="s">
        <v>2280</v>
      </c>
      <c r="ARN2" s="133" t="s">
        <v>2281</v>
      </c>
      <c r="ARO2" s="133" t="s">
        <v>2282</v>
      </c>
      <c r="ARP2" s="133" t="s">
        <v>2283</v>
      </c>
      <c r="ARQ2" s="133" t="s">
        <v>2284</v>
      </c>
      <c r="ARR2" s="133" t="s">
        <v>2285</v>
      </c>
      <c r="ARS2" s="133" t="s">
        <v>2286</v>
      </c>
      <c r="ART2" s="133" t="s">
        <v>2287</v>
      </c>
      <c r="ARU2" s="133" t="s">
        <v>2288</v>
      </c>
      <c r="ARV2" s="133" t="s">
        <v>2289</v>
      </c>
      <c r="ARW2" s="133" t="s">
        <v>2290</v>
      </c>
      <c r="ARX2" s="133" t="s">
        <v>2291</v>
      </c>
      <c r="ARY2" s="133" t="s">
        <v>2292</v>
      </c>
      <c r="ARZ2" s="133" t="s">
        <v>2293</v>
      </c>
      <c r="ASA2" s="133" t="s">
        <v>2294</v>
      </c>
      <c r="ASB2" s="133" t="s">
        <v>2295</v>
      </c>
      <c r="ASC2" s="133" t="s">
        <v>2296</v>
      </c>
      <c r="ASD2" s="133" t="s">
        <v>2297</v>
      </c>
      <c r="ASE2" s="133" t="s">
        <v>2298</v>
      </c>
      <c r="ASF2" s="133" t="s">
        <v>2299</v>
      </c>
      <c r="ASG2" s="133" t="s">
        <v>2300</v>
      </c>
      <c r="ASH2" s="133" t="s">
        <v>2301</v>
      </c>
      <c r="ASI2" s="133" t="s">
        <v>2302</v>
      </c>
      <c r="ASJ2" s="133" t="s">
        <v>2303</v>
      </c>
      <c r="ASK2" s="133" t="s">
        <v>2304</v>
      </c>
      <c r="ASL2" s="133" t="s">
        <v>2305</v>
      </c>
      <c r="ASM2" s="133" t="s">
        <v>2306</v>
      </c>
      <c r="ASN2" s="133" t="s">
        <v>2307</v>
      </c>
      <c r="ASO2" s="133" t="s">
        <v>2308</v>
      </c>
      <c r="ASP2" s="133" t="s">
        <v>2309</v>
      </c>
      <c r="ASQ2" s="133" t="s">
        <v>2310</v>
      </c>
      <c r="ASR2" s="133" t="s">
        <v>2311</v>
      </c>
      <c r="ASS2" s="133" t="s">
        <v>2312</v>
      </c>
      <c r="AST2" s="133" t="s">
        <v>2313</v>
      </c>
      <c r="ASU2" s="133" t="s">
        <v>2314</v>
      </c>
      <c r="ASV2" s="133" t="s">
        <v>2315</v>
      </c>
      <c r="ASW2" s="133" t="s">
        <v>2316</v>
      </c>
      <c r="ASX2" s="133" t="s">
        <v>2317</v>
      </c>
      <c r="ASY2" s="133" t="s">
        <v>2318</v>
      </c>
      <c r="ASZ2" s="133" t="s">
        <v>2319</v>
      </c>
      <c r="ATA2" s="133" t="s">
        <v>2320</v>
      </c>
      <c r="ATB2" s="133" t="s">
        <v>2321</v>
      </c>
      <c r="ATC2" s="133" t="s">
        <v>2322</v>
      </c>
      <c r="ATD2" s="133" t="s">
        <v>2323</v>
      </c>
      <c r="ATE2" s="133" t="s">
        <v>2324</v>
      </c>
      <c r="ATF2" s="133" t="s">
        <v>2325</v>
      </c>
      <c r="ATG2" s="133" t="s">
        <v>2326</v>
      </c>
      <c r="ATH2" s="133" t="s">
        <v>2327</v>
      </c>
      <c r="ATI2" s="133" t="s">
        <v>2328</v>
      </c>
      <c r="ATJ2" s="133" t="s">
        <v>2329</v>
      </c>
      <c r="ATK2" s="133" t="s">
        <v>2330</v>
      </c>
      <c r="ATL2" s="133" t="s">
        <v>2331</v>
      </c>
      <c r="ATM2" s="133" t="s">
        <v>2332</v>
      </c>
      <c r="ATN2" s="133" t="s">
        <v>2333</v>
      </c>
      <c r="ATO2" s="133" t="s">
        <v>2334</v>
      </c>
      <c r="ATP2" s="133" t="s">
        <v>2335</v>
      </c>
      <c r="ATQ2" s="133" t="s">
        <v>2336</v>
      </c>
      <c r="ATR2" s="133" t="s">
        <v>2337</v>
      </c>
      <c r="ATS2" s="133" t="s">
        <v>2338</v>
      </c>
      <c r="ATT2" s="133" t="s">
        <v>2339</v>
      </c>
      <c r="ATU2" s="133" t="s">
        <v>2340</v>
      </c>
      <c r="ATV2" s="133" t="s">
        <v>2341</v>
      </c>
      <c r="ATW2" s="133" t="s">
        <v>2342</v>
      </c>
      <c r="ATX2" s="133" t="s">
        <v>2343</v>
      </c>
      <c r="ATY2" s="133" t="s">
        <v>2344</v>
      </c>
      <c r="ATZ2" s="133" t="s">
        <v>2345</v>
      </c>
      <c r="AUA2" s="133" t="s">
        <v>2346</v>
      </c>
      <c r="AUB2" s="133" t="s">
        <v>2347</v>
      </c>
      <c r="AUC2" s="133" t="s">
        <v>2348</v>
      </c>
      <c r="AUD2" s="133" t="s">
        <v>2349</v>
      </c>
      <c r="AUE2" s="133" t="s">
        <v>2350</v>
      </c>
      <c r="AUF2" s="133" t="s">
        <v>2351</v>
      </c>
      <c r="AUG2" s="133" t="s">
        <v>2352</v>
      </c>
      <c r="AUH2" s="133" t="s">
        <v>2353</v>
      </c>
      <c r="AUI2" s="133" t="s">
        <v>2354</v>
      </c>
      <c r="AUJ2" s="133" t="s">
        <v>2355</v>
      </c>
      <c r="AUK2" s="133" t="s">
        <v>2356</v>
      </c>
      <c r="AUL2" s="133" t="s">
        <v>2357</v>
      </c>
      <c r="AUM2" s="133" t="s">
        <v>2358</v>
      </c>
      <c r="AUN2" s="133" t="s">
        <v>2359</v>
      </c>
      <c r="AUO2" s="133" t="s">
        <v>2360</v>
      </c>
      <c r="AUP2" s="133" t="s">
        <v>2361</v>
      </c>
      <c r="AUQ2" s="133" t="s">
        <v>2362</v>
      </c>
      <c r="AUR2" s="133" t="s">
        <v>2363</v>
      </c>
      <c r="AUS2" s="133" t="s">
        <v>2364</v>
      </c>
      <c r="AUT2" s="133" t="s">
        <v>2365</v>
      </c>
      <c r="AUU2" s="133" t="s">
        <v>2366</v>
      </c>
      <c r="AUV2" s="133" t="s">
        <v>2367</v>
      </c>
      <c r="AUW2" s="133" t="s">
        <v>2368</v>
      </c>
      <c r="AUX2" s="133" t="s">
        <v>2369</v>
      </c>
      <c r="AUY2" s="133" t="s">
        <v>2370</v>
      </c>
      <c r="AUZ2" s="133" t="s">
        <v>2371</v>
      </c>
      <c r="AVA2" s="133" t="s">
        <v>2372</v>
      </c>
      <c r="AVB2" s="133" t="s">
        <v>2373</v>
      </c>
      <c r="AVC2" s="133" t="s">
        <v>2374</v>
      </c>
      <c r="AVD2" s="133" t="s">
        <v>2375</v>
      </c>
      <c r="AVE2" s="133" t="s">
        <v>2376</v>
      </c>
      <c r="AVF2" s="133" t="s">
        <v>2377</v>
      </c>
      <c r="AVG2" s="133" t="s">
        <v>2378</v>
      </c>
      <c r="AVH2" s="133" t="s">
        <v>2379</v>
      </c>
      <c r="AVI2" s="133" t="s">
        <v>2380</v>
      </c>
      <c r="AVJ2" s="133" t="s">
        <v>2381</v>
      </c>
      <c r="AVK2" s="133" t="s">
        <v>2382</v>
      </c>
      <c r="AVL2" s="133" t="s">
        <v>2383</v>
      </c>
      <c r="AVM2" s="133" t="s">
        <v>2384</v>
      </c>
      <c r="AVN2" s="133" t="s">
        <v>2385</v>
      </c>
      <c r="AVO2" s="133" t="s">
        <v>2386</v>
      </c>
      <c r="AVP2" s="133" t="s">
        <v>2387</v>
      </c>
      <c r="AVQ2" s="133" t="s">
        <v>2388</v>
      </c>
      <c r="AVR2" s="133" t="s">
        <v>2389</v>
      </c>
      <c r="AVS2" s="133" t="s">
        <v>2390</v>
      </c>
      <c r="AVT2" s="133" t="s">
        <v>2391</v>
      </c>
      <c r="AVU2" s="133" t="s">
        <v>2392</v>
      </c>
      <c r="AVV2" s="133" t="s">
        <v>2393</v>
      </c>
      <c r="AVW2" s="133" t="s">
        <v>2394</v>
      </c>
      <c r="AVX2" s="133" t="s">
        <v>2395</v>
      </c>
      <c r="AVY2" s="133" t="s">
        <v>2396</v>
      </c>
      <c r="AVZ2" s="133" t="s">
        <v>2397</v>
      </c>
      <c r="AWA2" s="133" t="s">
        <v>2398</v>
      </c>
      <c r="AWB2" s="133" t="s">
        <v>2399</v>
      </c>
      <c r="AWC2" s="133" t="s">
        <v>2400</v>
      </c>
      <c r="AWD2" s="133" t="s">
        <v>2401</v>
      </c>
      <c r="AWE2" s="133" t="s">
        <v>2402</v>
      </c>
      <c r="AWF2" s="133" t="s">
        <v>2403</v>
      </c>
      <c r="AWG2" s="133" t="s">
        <v>2404</v>
      </c>
      <c r="AWH2" s="133" t="s">
        <v>2405</v>
      </c>
      <c r="AWI2" s="133" t="s">
        <v>2406</v>
      </c>
      <c r="AWJ2" s="133" t="s">
        <v>2407</v>
      </c>
      <c r="AWK2" s="133" t="s">
        <v>2408</v>
      </c>
      <c r="AWL2" s="133" t="s">
        <v>2409</v>
      </c>
      <c r="AWM2" s="133" t="s">
        <v>2410</v>
      </c>
      <c r="AWN2" s="133" t="s">
        <v>2411</v>
      </c>
      <c r="AWO2" s="133" t="s">
        <v>2412</v>
      </c>
      <c r="AWP2" s="133" t="s">
        <v>2413</v>
      </c>
      <c r="AWQ2" s="133" t="s">
        <v>2414</v>
      </c>
      <c r="AWR2" s="133" t="s">
        <v>2415</v>
      </c>
      <c r="AWS2" s="133" t="s">
        <v>2416</v>
      </c>
      <c r="AWT2" s="133" t="s">
        <v>2417</v>
      </c>
      <c r="AWU2" s="133" t="s">
        <v>2418</v>
      </c>
      <c r="AWV2" s="133" t="s">
        <v>2419</v>
      </c>
      <c r="AWW2" s="133" t="s">
        <v>2420</v>
      </c>
      <c r="AWX2" s="133" t="s">
        <v>2421</v>
      </c>
      <c r="AWY2" s="133" t="s">
        <v>2422</v>
      </c>
      <c r="AWZ2" s="133" t="s">
        <v>2423</v>
      </c>
      <c r="AXA2" s="133" t="s">
        <v>2424</v>
      </c>
      <c r="AXB2" s="133" t="s">
        <v>2425</v>
      </c>
      <c r="AXC2" s="133" t="s">
        <v>2426</v>
      </c>
      <c r="AXD2" s="133" t="s">
        <v>2427</v>
      </c>
      <c r="AXE2" s="133" t="s">
        <v>2428</v>
      </c>
      <c r="AXF2" s="133" t="s">
        <v>2429</v>
      </c>
      <c r="AXG2" s="133" t="s">
        <v>2430</v>
      </c>
      <c r="AXH2" s="133" t="s">
        <v>2431</v>
      </c>
      <c r="AXI2" s="133" t="s">
        <v>2432</v>
      </c>
      <c r="AXJ2" s="133" t="s">
        <v>2433</v>
      </c>
      <c r="AXK2" s="133" t="s">
        <v>2434</v>
      </c>
      <c r="AXL2" s="133" t="s">
        <v>2435</v>
      </c>
      <c r="AXM2" s="133" t="s">
        <v>2436</v>
      </c>
      <c r="AXN2" s="133" t="s">
        <v>2437</v>
      </c>
      <c r="AXO2" s="133" t="s">
        <v>2438</v>
      </c>
      <c r="AXP2" s="133" t="s">
        <v>2439</v>
      </c>
      <c r="AXQ2" s="133" t="s">
        <v>2440</v>
      </c>
      <c r="AXR2" s="133" t="s">
        <v>2441</v>
      </c>
      <c r="AXS2" s="133" t="s">
        <v>2442</v>
      </c>
      <c r="AXT2" s="133" t="s">
        <v>2443</v>
      </c>
      <c r="AXU2" s="133" t="s">
        <v>2444</v>
      </c>
      <c r="AXV2" s="133" t="s">
        <v>2445</v>
      </c>
      <c r="AXW2" s="133" t="s">
        <v>2446</v>
      </c>
      <c r="AXX2" s="133" t="s">
        <v>2447</v>
      </c>
      <c r="AXY2" s="133" t="s">
        <v>2448</v>
      </c>
      <c r="AXZ2" s="133" t="s">
        <v>2449</v>
      </c>
      <c r="AYA2" s="133" t="s">
        <v>2450</v>
      </c>
      <c r="AYB2" s="133" t="s">
        <v>2451</v>
      </c>
      <c r="AYC2" s="133" t="s">
        <v>2452</v>
      </c>
      <c r="AYD2" s="133" t="s">
        <v>2453</v>
      </c>
      <c r="AYE2" s="133" t="s">
        <v>2454</v>
      </c>
      <c r="AYF2" s="133" t="s">
        <v>2455</v>
      </c>
      <c r="AYG2" s="133" t="s">
        <v>2456</v>
      </c>
      <c r="AYH2" s="133" t="s">
        <v>2457</v>
      </c>
      <c r="AYI2" s="133" t="s">
        <v>2458</v>
      </c>
      <c r="AYJ2" s="133" t="s">
        <v>2459</v>
      </c>
      <c r="AYK2" s="133" t="s">
        <v>2460</v>
      </c>
      <c r="AYL2" s="133" t="s">
        <v>2461</v>
      </c>
      <c r="AYM2" s="133" t="s">
        <v>2462</v>
      </c>
      <c r="AYN2" s="133" t="s">
        <v>2463</v>
      </c>
      <c r="AYO2" s="133" t="s">
        <v>2464</v>
      </c>
      <c r="AYP2" s="133" t="s">
        <v>2465</v>
      </c>
      <c r="AYQ2" s="133" t="s">
        <v>2466</v>
      </c>
      <c r="AYR2" s="133" t="s">
        <v>2467</v>
      </c>
      <c r="AYS2" s="133" t="s">
        <v>2468</v>
      </c>
      <c r="AYT2" s="133" t="s">
        <v>2469</v>
      </c>
      <c r="AYU2" s="133" t="s">
        <v>2470</v>
      </c>
      <c r="AYV2" s="133" t="s">
        <v>2471</v>
      </c>
      <c r="AYW2" s="133" t="s">
        <v>2472</v>
      </c>
      <c r="AYX2" s="133" t="s">
        <v>2473</v>
      </c>
      <c r="AYY2" s="133" t="s">
        <v>2474</v>
      </c>
      <c r="AYZ2" s="133" t="s">
        <v>2475</v>
      </c>
      <c r="AZA2" s="133" t="s">
        <v>2476</v>
      </c>
      <c r="AZB2" s="133" t="s">
        <v>2477</v>
      </c>
      <c r="AZC2" s="133" t="s">
        <v>2478</v>
      </c>
      <c r="AZD2" s="133" t="s">
        <v>2479</v>
      </c>
      <c r="AZE2" s="133" t="s">
        <v>2480</v>
      </c>
      <c r="AZF2" s="133" t="s">
        <v>2481</v>
      </c>
      <c r="AZG2" s="133" t="s">
        <v>2482</v>
      </c>
      <c r="AZH2" s="133" t="s">
        <v>2483</v>
      </c>
      <c r="AZI2" s="133" t="s">
        <v>2484</v>
      </c>
      <c r="AZJ2" s="133" t="s">
        <v>2485</v>
      </c>
      <c r="AZK2" s="133" t="s">
        <v>2486</v>
      </c>
      <c r="AZL2" s="133" t="s">
        <v>2487</v>
      </c>
      <c r="AZM2" s="133" t="s">
        <v>2488</v>
      </c>
      <c r="AZN2" s="133" t="s">
        <v>2489</v>
      </c>
      <c r="AZO2" s="133" t="s">
        <v>2490</v>
      </c>
      <c r="AZP2" s="133" t="s">
        <v>2491</v>
      </c>
      <c r="AZQ2" s="133" t="s">
        <v>2492</v>
      </c>
      <c r="AZR2" s="133" t="s">
        <v>2493</v>
      </c>
      <c r="AZS2" s="133" t="s">
        <v>2494</v>
      </c>
      <c r="AZT2" s="133" t="s">
        <v>2495</v>
      </c>
      <c r="AZU2" s="133" t="s">
        <v>2496</v>
      </c>
      <c r="AZV2" s="133" t="s">
        <v>2497</v>
      </c>
      <c r="AZW2" s="133" t="s">
        <v>2498</v>
      </c>
      <c r="AZX2" s="133" t="s">
        <v>2499</v>
      </c>
      <c r="AZY2" s="133" t="s">
        <v>2500</v>
      </c>
      <c r="AZZ2" s="133" t="s">
        <v>2501</v>
      </c>
      <c r="BAA2" s="133" t="s">
        <v>2502</v>
      </c>
      <c r="BAB2" s="133" t="s">
        <v>2503</v>
      </c>
      <c r="BAC2" s="133" t="s">
        <v>2504</v>
      </c>
      <c r="BAD2" s="133" t="s">
        <v>2505</v>
      </c>
      <c r="BAE2" s="133" t="s">
        <v>2506</v>
      </c>
      <c r="BAF2" s="133" t="s">
        <v>2507</v>
      </c>
      <c r="BAG2" s="133" t="s">
        <v>2508</v>
      </c>
      <c r="BAH2" s="133" t="s">
        <v>2509</v>
      </c>
      <c r="BAI2" s="133" t="s">
        <v>2510</v>
      </c>
      <c r="BAJ2" s="133" t="s">
        <v>2511</v>
      </c>
      <c r="BAK2" s="133" t="s">
        <v>2512</v>
      </c>
      <c r="BAL2" s="133" t="s">
        <v>2513</v>
      </c>
      <c r="BAM2" s="133" t="s">
        <v>2514</v>
      </c>
      <c r="BAN2" s="133" t="s">
        <v>2515</v>
      </c>
      <c r="BAO2" s="133" t="s">
        <v>2516</v>
      </c>
      <c r="BAP2" s="133" t="s">
        <v>2517</v>
      </c>
      <c r="BAQ2" s="133" t="s">
        <v>2518</v>
      </c>
      <c r="BAR2" s="133" t="s">
        <v>2519</v>
      </c>
      <c r="BAS2" s="133" t="s">
        <v>2520</v>
      </c>
      <c r="BAT2" s="133" t="s">
        <v>2521</v>
      </c>
      <c r="BAU2" s="133" t="s">
        <v>2522</v>
      </c>
      <c r="BAV2" s="133" t="s">
        <v>2523</v>
      </c>
      <c r="BAW2" s="133" t="s">
        <v>2524</v>
      </c>
      <c r="BAX2" s="133" t="s">
        <v>2525</v>
      </c>
      <c r="BAY2" s="133" t="s">
        <v>2526</v>
      </c>
      <c r="BAZ2" s="133" t="s">
        <v>2527</v>
      </c>
      <c r="BBA2" s="133" t="s">
        <v>2528</v>
      </c>
      <c r="BBB2" s="133" t="s">
        <v>2529</v>
      </c>
      <c r="BBC2" s="133" t="s">
        <v>2530</v>
      </c>
      <c r="BBD2" s="133" t="s">
        <v>2531</v>
      </c>
      <c r="BBE2" s="133" t="s">
        <v>2532</v>
      </c>
      <c r="BBF2" s="133" t="s">
        <v>2533</v>
      </c>
      <c r="BBG2" s="133" t="s">
        <v>2534</v>
      </c>
      <c r="BBH2" s="133" t="s">
        <v>2535</v>
      </c>
      <c r="BBI2" s="133" t="s">
        <v>2536</v>
      </c>
      <c r="BBJ2" s="133" t="s">
        <v>2537</v>
      </c>
      <c r="BBK2" s="133" t="s">
        <v>2538</v>
      </c>
      <c r="BBL2" s="133" t="s">
        <v>2539</v>
      </c>
      <c r="BBM2" s="133" t="s">
        <v>2540</v>
      </c>
      <c r="BBN2" s="133" t="s">
        <v>2541</v>
      </c>
      <c r="BBO2" s="133" t="s">
        <v>2542</v>
      </c>
      <c r="BBP2" s="133" t="s">
        <v>2543</v>
      </c>
      <c r="BBQ2" s="133" t="s">
        <v>2544</v>
      </c>
      <c r="BBR2" s="133" t="s">
        <v>2545</v>
      </c>
      <c r="BBS2" s="133" t="s">
        <v>2546</v>
      </c>
      <c r="BBT2" s="133" t="s">
        <v>2547</v>
      </c>
      <c r="BBU2" s="133" t="s">
        <v>2548</v>
      </c>
      <c r="BBV2" s="133" t="s">
        <v>2549</v>
      </c>
      <c r="BBW2" s="133" t="s">
        <v>2550</v>
      </c>
      <c r="BBX2" s="133" t="s">
        <v>2551</v>
      </c>
      <c r="BBY2" s="133" t="s">
        <v>2552</v>
      </c>
      <c r="BBZ2" s="133" t="s">
        <v>2553</v>
      </c>
      <c r="BCA2" s="133" t="s">
        <v>2554</v>
      </c>
      <c r="BCB2" s="133" t="s">
        <v>2555</v>
      </c>
      <c r="BCC2" s="133" t="s">
        <v>2556</v>
      </c>
      <c r="BCD2" s="133" t="s">
        <v>2557</v>
      </c>
      <c r="BCE2" s="133" t="s">
        <v>2558</v>
      </c>
      <c r="BCF2" s="133" t="s">
        <v>2559</v>
      </c>
      <c r="BCG2" s="133" t="s">
        <v>2560</v>
      </c>
      <c r="BCH2" s="133" t="s">
        <v>2561</v>
      </c>
      <c r="BCI2" s="133" t="s">
        <v>2562</v>
      </c>
      <c r="BCJ2" s="133" t="s">
        <v>2563</v>
      </c>
      <c r="BCK2" s="133" t="s">
        <v>2564</v>
      </c>
      <c r="BCL2" s="133" t="s">
        <v>2565</v>
      </c>
      <c r="BCM2" s="133" t="s">
        <v>2566</v>
      </c>
      <c r="BCN2" s="133" t="s">
        <v>2567</v>
      </c>
      <c r="BCO2" s="133" t="s">
        <v>2568</v>
      </c>
      <c r="BCP2" s="133" t="s">
        <v>2569</v>
      </c>
      <c r="BCQ2" s="133" t="s">
        <v>2570</v>
      </c>
      <c r="BCR2" s="133" t="s">
        <v>2571</v>
      </c>
      <c r="BCS2" s="133" t="s">
        <v>2572</v>
      </c>
      <c r="BCT2" s="133" t="s">
        <v>2573</v>
      </c>
      <c r="BCU2" s="133" t="s">
        <v>2574</v>
      </c>
      <c r="BCV2" s="133" t="s">
        <v>2575</v>
      </c>
      <c r="BCW2" s="133" t="s">
        <v>2576</v>
      </c>
      <c r="BCX2" s="133" t="s">
        <v>2577</v>
      </c>
      <c r="BCY2" s="133" t="s">
        <v>2578</v>
      </c>
      <c r="BCZ2" s="133" t="s">
        <v>2579</v>
      </c>
      <c r="BDA2" s="133" t="s">
        <v>2580</v>
      </c>
      <c r="BDB2" s="133" t="s">
        <v>2581</v>
      </c>
      <c r="BDC2" s="133" t="s">
        <v>2582</v>
      </c>
      <c r="BDD2" s="133" t="s">
        <v>2583</v>
      </c>
      <c r="BDE2" s="133" t="s">
        <v>2584</v>
      </c>
      <c r="BDF2" s="133" t="s">
        <v>2585</v>
      </c>
      <c r="BDG2" s="133" t="s">
        <v>2586</v>
      </c>
      <c r="BDH2" s="133" t="s">
        <v>2587</v>
      </c>
      <c r="BDI2" s="133" t="s">
        <v>2588</v>
      </c>
      <c r="BDJ2" s="133" t="s">
        <v>2589</v>
      </c>
      <c r="BDK2" s="133" t="s">
        <v>2590</v>
      </c>
      <c r="BDL2" s="133" t="s">
        <v>2591</v>
      </c>
      <c r="BDM2" s="133" t="s">
        <v>2592</v>
      </c>
      <c r="BDN2" s="133" t="s">
        <v>2593</v>
      </c>
      <c r="BDO2" s="133" t="s">
        <v>2594</v>
      </c>
      <c r="BDP2" s="133" t="s">
        <v>2595</v>
      </c>
      <c r="BDQ2" s="133" t="s">
        <v>2596</v>
      </c>
      <c r="BDR2" s="133" t="s">
        <v>2597</v>
      </c>
      <c r="BDS2" s="133" t="s">
        <v>2598</v>
      </c>
      <c r="BDT2" s="133" t="s">
        <v>2599</v>
      </c>
      <c r="BDU2" s="133" t="s">
        <v>2600</v>
      </c>
      <c r="BDV2" s="133" t="s">
        <v>2601</v>
      </c>
      <c r="BDW2" s="133" t="s">
        <v>2602</v>
      </c>
      <c r="BDX2" s="133" t="s">
        <v>2603</v>
      </c>
      <c r="BDY2" s="133" t="s">
        <v>2604</v>
      </c>
      <c r="BDZ2" s="133" t="s">
        <v>2605</v>
      </c>
      <c r="BEA2" s="133" t="s">
        <v>2606</v>
      </c>
      <c r="BEB2" s="133" t="s">
        <v>2607</v>
      </c>
      <c r="BEC2" s="133" t="s">
        <v>2608</v>
      </c>
      <c r="BED2" s="133" t="s">
        <v>2609</v>
      </c>
      <c r="BEE2" s="133" t="s">
        <v>2610</v>
      </c>
      <c r="BEF2" s="133" t="s">
        <v>2611</v>
      </c>
      <c r="BEG2" s="133" t="s">
        <v>2612</v>
      </c>
      <c r="BEH2" s="133" t="s">
        <v>2613</v>
      </c>
      <c r="BEI2" s="133" t="s">
        <v>2614</v>
      </c>
      <c r="BEJ2" s="133" t="s">
        <v>2615</v>
      </c>
      <c r="BEK2" s="133" t="s">
        <v>2616</v>
      </c>
      <c r="BEL2" s="133" t="s">
        <v>2617</v>
      </c>
      <c r="BEM2" s="133" t="s">
        <v>2618</v>
      </c>
      <c r="BEN2" s="133" t="s">
        <v>2619</v>
      </c>
      <c r="BEO2" s="133" t="s">
        <v>2620</v>
      </c>
      <c r="BEP2" s="133" t="s">
        <v>2621</v>
      </c>
      <c r="BEQ2" s="133" t="s">
        <v>2622</v>
      </c>
      <c r="BER2" s="133" t="s">
        <v>2623</v>
      </c>
      <c r="BES2" s="133" t="s">
        <v>2624</v>
      </c>
      <c r="BET2" s="133" t="s">
        <v>2625</v>
      </c>
      <c r="BEU2" s="133" t="s">
        <v>2626</v>
      </c>
      <c r="BEV2" s="133" t="s">
        <v>2627</v>
      </c>
      <c r="BEW2" s="133" t="s">
        <v>2628</v>
      </c>
      <c r="BEX2" s="133" t="s">
        <v>2629</v>
      </c>
      <c r="BEY2" s="133" t="s">
        <v>2630</v>
      </c>
      <c r="BEZ2" s="133" t="s">
        <v>2631</v>
      </c>
      <c r="BFA2" s="133" t="s">
        <v>2632</v>
      </c>
      <c r="BFB2" s="133" t="s">
        <v>2633</v>
      </c>
      <c r="BFC2" s="133" t="s">
        <v>2634</v>
      </c>
      <c r="BFD2" s="133" t="s">
        <v>2635</v>
      </c>
      <c r="BFE2" s="133" t="s">
        <v>2636</v>
      </c>
      <c r="BFF2" s="133" t="s">
        <v>2637</v>
      </c>
      <c r="BFG2" s="133" t="s">
        <v>2638</v>
      </c>
      <c r="BFH2" s="133" t="s">
        <v>2639</v>
      </c>
      <c r="BFI2" s="133" t="s">
        <v>2640</v>
      </c>
      <c r="BFJ2" s="133" t="s">
        <v>2641</v>
      </c>
      <c r="BFK2" s="133" t="s">
        <v>2642</v>
      </c>
      <c r="BFL2" s="133" t="s">
        <v>2643</v>
      </c>
      <c r="BFM2" s="133" t="s">
        <v>2644</v>
      </c>
      <c r="BFN2" s="133" t="s">
        <v>2645</v>
      </c>
      <c r="BFO2" s="133" t="s">
        <v>2646</v>
      </c>
      <c r="BFP2" s="133" t="s">
        <v>2647</v>
      </c>
      <c r="BFQ2" s="133" t="s">
        <v>2648</v>
      </c>
      <c r="BFR2" s="133" t="s">
        <v>2649</v>
      </c>
      <c r="BFS2" s="133" t="s">
        <v>2650</v>
      </c>
      <c r="BFT2" s="133" t="s">
        <v>2651</v>
      </c>
      <c r="BFU2" s="133" t="s">
        <v>2652</v>
      </c>
      <c r="BFV2" s="133" t="s">
        <v>2653</v>
      </c>
      <c r="BFW2" s="133" t="s">
        <v>2654</v>
      </c>
      <c r="BFX2" s="133" t="s">
        <v>2655</v>
      </c>
      <c r="BFY2" s="133" t="s">
        <v>2656</v>
      </c>
      <c r="BFZ2" s="133" t="s">
        <v>2657</v>
      </c>
      <c r="BGA2" s="133" t="s">
        <v>2658</v>
      </c>
      <c r="BGB2" s="133" t="s">
        <v>2659</v>
      </c>
      <c r="BGC2" s="133" t="s">
        <v>2660</v>
      </c>
      <c r="BGD2" s="133" t="s">
        <v>2661</v>
      </c>
      <c r="BGE2" s="133" t="s">
        <v>2662</v>
      </c>
      <c r="BGF2" s="133" t="s">
        <v>2663</v>
      </c>
      <c r="BGG2" s="133" t="s">
        <v>2664</v>
      </c>
      <c r="BGH2" s="133" t="s">
        <v>2665</v>
      </c>
      <c r="BGI2" s="133" t="s">
        <v>2666</v>
      </c>
      <c r="BGJ2" s="133" t="s">
        <v>2667</v>
      </c>
      <c r="BGK2" s="133" t="s">
        <v>2668</v>
      </c>
      <c r="BGL2" s="133" t="s">
        <v>2669</v>
      </c>
      <c r="BGM2" s="133" t="s">
        <v>2670</v>
      </c>
      <c r="BGN2" s="133" t="s">
        <v>2671</v>
      </c>
      <c r="BGO2" s="133" t="s">
        <v>2672</v>
      </c>
      <c r="BGP2" s="133" t="s">
        <v>2673</v>
      </c>
      <c r="BGQ2" s="133" t="s">
        <v>2674</v>
      </c>
      <c r="BGR2" s="133" t="s">
        <v>2675</v>
      </c>
      <c r="BGS2" s="133" t="s">
        <v>2676</v>
      </c>
      <c r="BGT2" s="133" t="s">
        <v>2677</v>
      </c>
      <c r="BGU2" s="133" t="s">
        <v>2678</v>
      </c>
      <c r="BGV2" s="133" t="s">
        <v>2679</v>
      </c>
      <c r="BGW2" s="133" t="s">
        <v>2680</v>
      </c>
      <c r="BGX2" s="133" t="s">
        <v>2681</v>
      </c>
      <c r="BGY2" s="133" t="s">
        <v>2682</v>
      </c>
      <c r="BGZ2" s="133" t="s">
        <v>2683</v>
      </c>
      <c r="BHA2" s="133" t="s">
        <v>2684</v>
      </c>
      <c r="BHB2" s="133" t="s">
        <v>2685</v>
      </c>
      <c r="BHC2" s="133" t="s">
        <v>2686</v>
      </c>
      <c r="BHD2" s="133" t="s">
        <v>2687</v>
      </c>
      <c r="BHE2" s="133" t="s">
        <v>2688</v>
      </c>
      <c r="BHF2" s="133" t="s">
        <v>2689</v>
      </c>
      <c r="BHG2" s="133" t="s">
        <v>2690</v>
      </c>
      <c r="BHH2" s="133" t="s">
        <v>2691</v>
      </c>
      <c r="BHI2" s="133" t="s">
        <v>2692</v>
      </c>
      <c r="BHJ2" s="133" t="s">
        <v>2693</v>
      </c>
      <c r="BHK2" s="133" t="s">
        <v>2694</v>
      </c>
      <c r="BHL2" s="133" t="s">
        <v>2695</v>
      </c>
      <c r="BHM2" s="133" t="s">
        <v>2696</v>
      </c>
      <c r="BHN2" s="133" t="s">
        <v>2697</v>
      </c>
      <c r="BHO2" s="133" t="s">
        <v>2698</v>
      </c>
      <c r="BHP2" s="133" t="s">
        <v>2699</v>
      </c>
      <c r="BHQ2" s="133" t="s">
        <v>2700</v>
      </c>
      <c r="BHR2" s="133" t="s">
        <v>2701</v>
      </c>
      <c r="BHS2" s="133" t="s">
        <v>2702</v>
      </c>
      <c r="BHT2" s="133" t="s">
        <v>2703</v>
      </c>
      <c r="BHU2" s="133" t="s">
        <v>2704</v>
      </c>
      <c r="BHV2" s="133" t="s">
        <v>2705</v>
      </c>
      <c r="BHW2" s="133" t="s">
        <v>2706</v>
      </c>
      <c r="BHX2" s="133" t="s">
        <v>2707</v>
      </c>
      <c r="BHY2" s="133" t="s">
        <v>2708</v>
      </c>
      <c r="BHZ2" s="133" t="s">
        <v>2709</v>
      </c>
      <c r="BIA2" s="133" t="s">
        <v>2710</v>
      </c>
      <c r="BIB2" s="133" t="s">
        <v>2711</v>
      </c>
      <c r="BIC2" s="133" t="s">
        <v>2712</v>
      </c>
      <c r="BID2" s="133" t="s">
        <v>2713</v>
      </c>
      <c r="BIE2" s="133" t="s">
        <v>2714</v>
      </c>
      <c r="BIF2" s="133" t="s">
        <v>2715</v>
      </c>
      <c r="BIG2" s="133" t="s">
        <v>2716</v>
      </c>
      <c r="BIH2" s="133" t="s">
        <v>2717</v>
      </c>
      <c r="BII2" s="133" t="s">
        <v>2718</v>
      </c>
      <c r="BIJ2" s="133" t="s">
        <v>2719</v>
      </c>
      <c r="BIK2" s="133" t="s">
        <v>2720</v>
      </c>
      <c r="BIL2" s="133" t="s">
        <v>2721</v>
      </c>
      <c r="BIM2" s="133" t="s">
        <v>2722</v>
      </c>
      <c r="BIN2" s="133" t="s">
        <v>2723</v>
      </c>
      <c r="BIO2" s="133" t="s">
        <v>2724</v>
      </c>
      <c r="BIP2" s="133" t="s">
        <v>2725</v>
      </c>
      <c r="BIQ2" s="133" t="s">
        <v>2726</v>
      </c>
      <c r="BIR2" s="133" t="s">
        <v>2727</v>
      </c>
      <c r="BIS2" s="133" t="s">
        <v>2728</v>
      </c>
      <c r="BIT2" s="133" t="s">
        <v>2729</v>
      </c>
      <c r="BIU2" s="133" t="s">
        <v>2730</v>
      </c>
      <c r="BIV2" s="133" t="s">
        <v>2731</v>
      </c>
      <c r="BIW2" s="133" t="s">
        <v>2732</v>
      </c>
      <c r="BIX2" s="133" t="s">
        <v>2733</v>
      </c>
      <c r="BIY2" s="133" t="s">
        <v>2734</v>
      </c>
      <c r="BIZ2" s="133" t="s">
        <v>2735</v>
      </c>
      <c r="BJA2" s="133" t="s">
        <v>2736</v>
      </c>
      <c r="BJB2" s="133" t="s">
        <v>2737</v>
      </c>
      <c r="BJC2" s="133" t="s">
        <v>2738</v>
      </c>
      <c r="BJD2" s="133" t="s">
        <v>2739</v>
      </c>
      <c r="BJE2" s="133" t="s">
        <v>2740</v>
      </c>
      <c r="BJF2" s="133" t="s">
        <v>2741</v>
      </c>
      <c r="BJG2" s="133" t="s">
        <v>2742</v>
      </c>
      <c r="BJH2" s="133" t="s">
        <v>2743</v>
      </c>
      <c r="BJI2" s="133" t="s">
        <v>2744</v>
      </c>
      <c r="BJJ2" s="133" t="s">
        <v>2745</v>
      </c>
      <c r="BJK2" s="133" t="s">
        <v>2746</v>
      </c>
      <c r="BJL2" s="133" t="s">
        <v>2747</v>
      </c>
      <c r="BJM2" s="133" t="s">
        <v>2748</v>
      </c>
      <c r="BJN2" s="133" t="s">
        <v>2749</v>
      </c>
      <c r="BJO2" s="133" t="s">
        <v>2750</v>
      </c>
      <c r="BJP2" s="133" t="s">
        <v>2751</v>
      </c>
      <c r="BJQ2" s="133" t="s">
        <v>2752</v>
      </c>
      <c r="BJR2" s="133" t="s">
        <v>2753</v>
      </c>
      <c r="BJS2" s="133" t="s">
        <v>2754</v>
      </c>
      <c r="BJT2" s="133" t="s">
        <v>2755</v>
      </c>
      <c r="BJU2" s="133" t="s">
        <v>2756</v>
      </c>
      <c r="BJV2" s="133" t="s">
        <v>2757</v>
      </c>
      <c r="BJW2" s="133" t="s">
        <v>2758</v>
      </c>
      <c r="BJX2" s="133" t="s">
        <v>2759</v>
      </c>
      <c r="BJY2" s="133" t="s">
        <v>2760</v>
      </c>
      <c r="BJZ2" s="133" t="s">
        <v>2761</v>
      </c>
      <c r="BKA2" s="133" t="s">
        <v>2762</v>
      </c>
      <c r="BKB2" s="133" t="s">
        <v>2763</v>
      </c>
      <c r="BKC2" s="133" t="s">
        <v>2764</v>
      </c>
      <c r="BKD2" s="133" t="s">
        <v>2765</v>
      </c>
      <c r="BKE2" s="133" t="s">
        <v>2766</v>
      </c>
      <c r="BKF2" s="133" t="s">
        <v>2767</v>
      </c>
      <c r="BKG2" s="133" t="s">
        <v>2768</v>
      </c>
      <c r="BKH2" s="133" t="s">
        <v>2769</v>
      </c>
      <c r="BKI2" s="133" t="s">
        <v>2770</v>
      </c>
      <c r="BKJ2" s="133" t="s">
        <v>2771</v>
      </c>
      <c r="BKK2" s="133" t="s">
        <v>2772</v>
      </c>
      <c r="BKL2" s="133" t="s">
        <v>2773</v>
      </c>
      <c r="BKM2" s="133" t="s">
        <v>2774</v>
      </c>
      <c r="BKN2" s="133" t="s">
        <v>2775</v>
      </c>
      <c r="BKO2" s="133" t="s">
        <v>2776</v>
      </c>
      <c r="BKP2" s="133" t="s">
        <v>2777</v>
      </c>
      <c r="BKQ2" s="133" t="s">
        <v>2778</v>
      </c>
      <c r="BKR2" s="133" t="s">
        <v>2779</v>
      </c>
      <c r="BKS2" s="133" t="s">
        <v>2780</v>
      </c>
      <c r="BKT2" s="133" t="s">
        <v>2781</v>
      </c>
      <c r="BKU2" s="133" t="s">
        <v>2782</v>
      </c>
      <c r="BKV2" s="133" t="s">
        <v>2783</v>
      </c>
      <c r="BKW2" s="133" t="s">
        <v>2784</v>
      </c>
      <c r="BKX2" s="133" t="s">
        <v>2785</v>
      </c>
      <c r="BKY2" s="133" t="s">
        <v>2786</v>
      </c>
      <c r="BKZ2" s="133" t="s">
        <v>2787</v>
      </c>
      <c r="BLA2" s="133" t="s">
        <v>2788</v>
      </c>
      <c r="BLB2" s="133" t="s">
        <v>2789</v>
      </c>
      <c r="BLC2" s="133" t="s">
        <v>2790</v>
      </c>
      <c r="BLD2" s="133" t="s">
        <v>2791</v>
      </c>
      <c r="BLE2" s="133" t="s">
        <v>2792</v>
      </c>
      <c r="BLF2" s="133" t="s">
        <v>2793</v>
      </c>
      <c r="BLG2" s="133" t="s">
        <v>2794</v>
      </c>
      <c r="BLH2" s="133" t="s">
        <v>2795</v>
      </c>
      <c r="BLI2" s="133" t="s">
        <v>2796</v>
      </c>
      <c r="BLJ2" s="133" t="s">
        <v>2797</v>
      </c>
      <c r="BLK2" s="133" t="s">
        <v>2798</v>
      </c>
      <c r="BLL2" s="133" t="s">
        <v>2799</v>
      </c>
      <c r="BLM2" s="133" t="s">
        <v>2800</v>
      </c>
      <c r="BLN2" s="133" t="s">
        <v>2801</v>
      </c>
      <c r="BLO2" s="133" t="s">
        <v>2802</v>
      </c>
      <c r="BLP2" s="133" t="s">
        <v>2803</v>
      </c>
      <c r="BLQ2" s="133" t="s">
        <v>2804</v>
      </c>
      <c r="BLR2" s="133" t="s">
        <v>2805</v>
      </c>
      <c r="BLS2" s="133" t="s">
        <v>2806</v>
      </c>
      <c r="BLT2" s="133" t="s">
        <v>2807</v>
      </c>
      <c r="BLU2" s="133" t="s">
        <v>2808</v>
      </c>
      <c r="BLV2" s="133" t="s">
        <v>2809</v>
      </c>
      <c r="BLW2" s="133" t="s">
        <v>2810</v>
      </c>
      <c r="BLX2" s="133" t="s">
        <v>2811</v>
      </c>
      <c r="BLY2" s="133" t="s">
        <v>2812</v>
      </c>
      <c r="BLZ2" s="133" t="s">
        <v>2813</v>
      </c>
      <c r="BMA2" s="133" t="s">
        <v>2814</v>
      </c>
      <c r="BMB2" s="133" t="s">
        <v>2815</v>
      </c>
      <c r="BMC2" s="133" t="s">
        <v>2816</v>
      </c>
      <c r="BMD2" s="133" t="s">
        <v>2817</v>
      </c>
      <c r="BME2" s="133" t="s">
        <v>2818</v>
      </c>
      <c r="BMF2" s="133" t="s">
        <v>2819</v>
      </c>
      <c r="BMG2" s="133" t="s">
        <v>2820</v>
      </c>
      <c r="BMH2" s="133" t="s">
        <v>2821</v>
      </c>
      <c r="BMI2" s="133" t="s">
        <v>2822</v>
      </c>
      <c r="BMJ2" s="133" t="s">
        <v>2823</v>
      </c>
      <c r="BMK2" s="133" t="s">
        <v>2824</v>
      </c>
      <c r="BML2" s="133" t="s">
        <v>2825</v>
      </c>
      <c r="BMM2" s="133" t="s">
        <v>2826</v>
      </c>
      <c r="BMN2" s="133" t="s">
        <v>2827</v>
      </c>
      <c r="BMO2" s="133" t="s">
        <v>2828</v>
      </c>
      <c r="BMP2" s="133" t="s">
        <v>2829</v>
      </c>
      <c r="BMQ2" s="133" t="s">
        <v>2830</v>
      </c>
      <c r="BMR2" s="133" t="s">
        <v>2831</v>
      </c>
      <c r="BMS2" s="133" t="s">
        <v>2832</v>
      </c>
      <c r="BMT2" s="133" t="s">
        <v>2833</v>
      </c>
      <c r="BMU2" s="133" t="s">
        <v>2834</v>
      </c>
      <c r="BMV2" s="133" t="s">
        <v>2835</v>
      </c>
      <c r="BMW2" s="133" t="s">
        <v>2836</v>
      </c>
      <c r="BMX2" s="133" t="s">
        <v>2837</v>
      </c>
      <c r="BMY2" s="133" t="s">
        <v>2838</v>
      </c>
      <c r="BMZ2" s="133" t="s">
        <v>2839</v>
      </c>
      <c r="BNA2" s="133" t="s">
        <v>2840</v>
      </c>
      <c r="BNB2" s="133" t="s">
        <v>2841</v>
      </c>
      <c r="BNC2" s="133" t="s">
        <v>2842</v>
      </c>
      <c r="BND2" s="133" t="s">
        <v>2843</v>
      </c>
      <c r="BNE2" s="133" t="s">
        <v>2844</v>
      </c>
      <c r="BNF2" s="133" t="s">
        <v>2845</v>
      </c>
      <c r="BNG2" s="133" t="s">
        <v>2846</v>
      </c>
      <c r="BNH2" s="133" t="s">
        <v>2847</v>
      </c>
      <c r="BNI2" s="133" t="s">
        <v>2848</v>
      </c>
      <c r="BNJ2" s="133" t="s">
        <v>2849</v>
      </c>
      <c r="BNK2" s="133" t="s">
        <v>2850</v>
      </c>
      <c r="BNL2" s="133" t="s">
        <v>2851</v>
      </c>
      <c r="BNM2" s="133" t="s">
        <v>2852</v>
      </c>
      <c r="BNN2" s="133" t="s">
        <v>2853</v>
      </c>
      <c r="BNO2" s="133" t="s">
        <v>2854</v>
      </c>
      <c r="BNP2" s="133" t="s">
        <v>2855</v>
      </c>
      <c r="BNQ2" s="133" t="s">
        <v>2856</v>
      </c>
      <c r="BNR2" s="133" t="s">
        <v>2857</v>
      </c>
      <c r="BNS2" s="133" t="s">
        <v>2858</v>
      </c>
      <c r="BNT2" s="133" t="s">
        <v>2859</v>
      </c>
      <c r="BNU2" s="133" t="s">
        <v>2860</v>
      </c>
      <c r="BNV2" s="133" t="s">
        <v>2861</v>
      </c>
      <c r="BNW2" s="133" t="s">
        <v>2862</v>
      </c>
      <c r="BNX2" s="133" t="s">
        <v>2863</v>
      </c>
      <c r="BNY2" s="133" t="s">
        <v>2864</v>
      </c>
      <c r="BNZ2" s="133" t="s">
        <v>2865</v>
      </c>
      <c r="BOA2" s="133" t="s">
        <v>2866</v>
      </c>
      <c r="BOB2" s="133" t="s">
        <v>2867</v>
      </c>
      <c r="BOC2" s="133" t="s">
        <v>2868</v>
      </c>
      <c r="BOD2" s="133" t="s">
        <v>2869</v>
      </c>
      <c r="BOE2" s="133" t="s">
        <v>2870</v>
      </c>
      <c r="BOF2" s="133" t="s">
        <v>2871</v>
      </c>
      <c r="BOG2" s="133" t="s">
        <v>2872</v>
      </c>
      <c r="BOH2" s="133" t="s">
        <v>2873</v>
      </c>
      <c r="BOI2" s="133" t="s">
        <v>2874</v>
      </c>
      <c r="BOJ2" s="133" t="s">
        <v>2875</v>
      </c>
      <c r="BOK2" s="133" t="s">
        <v>2876</v>
      </c>
      <c r="BOL2" s="133" t="s">
        <v>2877</v>
      </c>
      <c r="BOM2" s="133" t="s">
        <v>2878</v>
      </c>
      <c r="BON2" s="133" t="s">
        <v>2879</v>
      </c>
      <c r="BOO2" s="133" t="s">
        <v>2880</v>
      </c>
      <c r="BOP2" s="133" t="s">
        <v>2881</v>
      </c>
      <c r="BOQ2" s="133" t="s">
        <v>2882</v>
      </c>
      <c r="BOR2" s="133" t="s">
        <v>2883</v>
      </c>
      <c r="BOS2" s="133" t="s">
        <v>2884</v>
      </c>
      <c r="BOT2" s="133" t="s">
        <v>2885</v>
      </c>
      <c r="BOU2" s="133" t="s">
        <v>2886</v>
      </c>
      <c r="BOV2" s="133" t="s">
        <v>2887</v>
      </c>
      <c r="BOW2" s="133" t="s">
        <v>2888</v>
      </c>
      <c r="BOX2" s="133" t="s">
        <v>2889</v>
      </c>
      <c r="BOY2" s="133" t="s">
        <v>2890</v>
      </c>
      <c r="BOZ2" s="133" t="s">
        <v>2891</v>
      </c>
      <c r="BPA2" s="133" t="s">
        <v>2892</v>
      </c>
      <c r="BPB2" s="133" t="s">
        <v>2893</v>
      </c>
      <c r="BPC2" s="133" t="s">
        <v>2894</v>
      </c>
      <c r="BPD2" s="133" t="s">
        <v>2895</v>
      </c>
      <c r="BPE2" s="133" t="s">
        <v>2896</v>
      </c>
      <c r="BPF2" s="133" t="s">
        <v>2897</v>
      </c>
      <c r="BPG2" s="133" t="s">
        <v>2898</v>
      </c>
      <c r="BPH2" s="133" t="s">
        <v>2899</v>
      </c>
      <c r="BPI2" s="133" t="s">
        <v>2900</v>
      </c>
      <c r="BPJ2" s="133" t="s">
        <v>2901</v>
      </c>
      <c r="BPK2" s="133" t="s">
        <v>2902</v>
      </c>
      <c r="BPL2" s="133" t="s">
        <v>2903</v>
      </c>
      <c r="BPM2" s="133" t="s">
        <v>2904</v>
      </c>
      <c r="BPN2" s="133" t="s">
        <v>2905</v>
      </c>
      <c r="BPO2" s="133" t="s">
        <v>2906</v>
      </c>
      <c r="BPP2" s="133" t="s">
        <v>2907</v>
      </c>
      <c r="BPQ2" s="133" t="s">
        <v>2908</v>
      </c>
      <c r="BPR2" s="133" t="s">
        <v>2909</v>
      </c>
      <c r="BPS2" s="133" t="s">
        <v>2910</v>
      </c>
      <c r="BPT2" s="133" t="s">
        <v>2911</v>
      </c>
      <c r="BPU2" s="133" t="s">
        <v>2912</v>
      </c>
      <c r="BPV2" s="133" t="s">
        <v>2913</v>
      </c>
      <c r="BPW2" s="133" t="s">
        <v>2914</v>
      </c>
      <c r="BPX2" s="133" t="s">
        <v>2915</v>
      </c>
      <c r="BPY2" s="133" t="s">
        <v>2916</v>
      </c>
      <c r="BPZ2" s="133" t="s">
        <v>2917</v>
      </c>
      <c r="BQA2" s="133" t="s">
        <v>2918</v>
      </c>
      <c r="BQB2" s="133" t="s">
        <v>2919</v>
      </c>
      <c r="BQC2" s="133" t="s">
        <v>2920</v>
      </c>
      <c r="BQD2" s="133" t="s">
        <v>2921</v>
      </c>
      <c r="BQE2" s="133" t="s">
        <v>2922</v>
      </c>
      <c r="BQF2" s="133" t="s">
        <v>2923</v>
      </c>
      <c r="BQG2" s="133" t="s">
        <v>2924</v>
      </c>
      <c r="BQH2" s="133" t="s">
        <v>2925</v>
      </c>
      <c r="BQI2" s="133" t="s">
        <v>2926</v>
      </c>
      <c r="BQJ2" s="133" t="s">
        <v>2927</v>
      </c>
      <c r="BQK2" s="133" t="s">
        <v>2928</v>
      </c>
      <c r="BQL2" s="133" t="s">
        <v>2929</v>
      </c>
      <c r="BQM2" s="133" t="s">
        <v>2930</v>
      </c>
      <c r="BQN2" s="133" t="s">
        <v>2931</v>
      </c>
      <c r="BQO2" s="133" t="s">
        <v>2932</v>
      </c>
      <c r="BQP2" s="133" t="s">
        <v>2933</v>
      </c>
      <c r="BQQ2" s="133" t="s">
        <v>2934</v>
      </c>
      <c r="BQR2" s="133" t="s">
        <v>2935</v>
      </c>
      <c r="BQS2" s="133" t="s">
        <v>2936</v>
      </c>
      <c r="BQT2" s="133" t="s">
        <v>2937</v>
      </c>
      <c r="BQU2" s="133" t="s">
        <v>2938</v>
      </c>
      <c r="BQV2" s="133" t="s">
        <v>2939</v>
      </c>
      <c r="BQW2" s="133" t="s">
        <v>2940</v>
      </c>
      <c r="BQX2" s="133" t="s">
        <v>2941</v>
      </c>
      <c r="BQY2" s="133" t="s">
        <v>2942</v>
      </c>
      <c r="BQZ2" s="133" t="s">
        <v>2943</v>
      </c>
      <c r="BRA2" s="133" t="s">
        <v>2944</v>
      </c>
      <c r="BRB2" s="133" t="s">
        <v>2945</v>
      </c>
      <c r="BRC2" s="133" t="s">
        <v>2946</v>
      </c>
      <c r="BRD2" s="133" t="s">
        <v>2947</v>
      </c>
      <c r="BRE2" s="133" t="s">
        <v>2948</v>
      </c>
      <c r="BRF2" s="133" t="s">
        <v>2949</v>
      </c>
      <c r="BRG2" s="133" t="s">
        <v>2950</v>
      </c>
      <c r="BRH2" s="133" t="s">
        <v>2951</v>
      </c>
      <c r="BRI2" s="133" t="s">
        <v>2952</v>
      </c>
      <c r="BRJ2" s="133" t="s">
        <v>2953</v>
      </c>
      <c r="BRK2" s="133" t="s">
        <v>2954</v>
      </c>
      <c r="BRL2" s="133" t="s">
        <v>2955</v>
      </c>
      <c r="BRM2" s="133" t="s">
        <v>2956</v>
      </c>
      <c r="BRN2" s="133" t="s">
        <v>2957</v>
      </c>
      <c r="BRO2" s="133" t="s">
        <v>2958</v>
      </c>
      <c r="BRP2" s="133" t="s">
        <v>2959</v>
      </c>
      <c r="BRQ2" s="133" t="s">
        <v>2960</v>
      </c>
      <c r="BRR2" s="133" t="s">
        <v>2961</v>
      </c>
      <c r="BRS2" s="133" t="s">
        <v>2962</v>
      </c>
      <c r="BRT2" s="133" t="s">
        <v>2963</v>
      </c>
      <c r="BRU2" s="133" t="s">
        <v>2964</v>
      </c>
      <c r="BRV2" s="133" t="s">
        <v>2965</v>
      </c>
      <c r="BRW2" s="133" t="s">
        <v>2966</v>
      </c>
      <c r="BRX2" s="133" t="s">
        <v>2967</v>
      </c>
      <c r="BRY2" s="133" t="s">
        <v>2968</v>
      </c>
      <c r="BRZ2" s="133" t="s">
        <v>2969</v>
      </c>
      <c r="BSA2" s="133" t="s">
        <v>2970</v>
      </c>
      <c r="BSB2" s="133" t="s">
        <v>2971</v>
      </c>
      <c r="BSC2" s="133" t="s">
        <v>2972</v>
      </c>
      <c r="BSD2" s="133" t="s">
        <v>2973</v>
      </c>
      <c r="BSE2" s="133" t="s">
        <v>2974</v>
      </c>
      <c r="BSF2" s="133" t="s">
        <v>2975</v>
      </c>
      <c r="BSG2" s="133" t="s">
        <v>2976</v>
      </c>
      <c r="BSH2" s="133" t="s">
        <v>2977</v>
      </c>
      <c r="BSI2" s="133" t="s">
        <v>2978</v>
      </c>
      <c r="BSJ2" s="133" t="s">
        <v>2979</v>
      </c>
      <c r="BSK2" s="133" t="s">
        <v>2980</v>
      </c>
      <c r="BSL2" s="133" t="s">
        <v>2981</v>
      </c>
      <c r="BSM2" s="133" t="s">
        <v>2982</v>
      </c>
      <c r="BSN2" s="133" t="s">
        <v>2983</v>
      </c>
      <c r="BSO2" s="133" t="s">
        <v>2984</v>
      </c>
      <c r="BSP2" s="133" t="s">
        <v>2985</v>
      </c>
      <c r="BSQ2" s="133" t="s">
        <v>2986</v>
      </c>
      <c r="BSR2" s="133" t="s">
        <v>2987</v>
      </c>
      <c r="BSS2" s="133" t="s">
        <v>2988</v>
      </c>
      <c r="BST2" s="133" t="s">
        <v>2989</v>
      </c>
      <c r="BSU2" s="133" t="s">
        <v>2990</v>
      </c>
      <c r="BSV2" s="133" t="s">
        <v>2991</v>
      </c>
      <c r="BSW2" s="133" t="s">
        <v>2992</v>
      </c>
      <c r="BSX2" s="133" t="s">
        <v>2993</v>
      </c>
      <c r="BSY2" s="133" t="s">
        <v>2994</v>
      </c>
      <c r="BSZ2" s="133" t="s">
        <v>2995</v>
      </c>
      <c r="BTA2" s="133" t="s">
        <v>2996</v>
      </c>
      <c r="BTB2" s="133" t="s">
        <v>2997</v>
      </c>
      <c r="BTC2" s="133" t="s">
        <v>2998</v>
      </c>
      <c r="BTD2" s="133" t="s">
        <v>2999</v>
      </c>
      <c r="BTE2" s="133" t="s">
        <v>3000</v>
      </c>
      <c r="BTF2" s="133" t="s">
        <v>3001</v>
      </c>
      <c r="BTG2" s="133" t="s">
        <v>3002</v>
      </c>
      <c r="BTH2" s="133" t="s">
        <v>3003</v>
      </c>
      <c r="BTI2" s="133" t="s">
        <v>3004</v>
      </c>
      <c r="BTJ2" s="133" t="s">
        <v>3005</v>
      </c>
      <c r="BTK2" s="133" t="s">
        <v>3006</v>
      </c>
      <c r="BTL2" s="133" t="s">
        <v>3007</v>
      </c>
      <c r="BTM2" s="133" t="s">
        <v>3008</v>
      </c>
      <c r="BTN2" s="133" t="s">
        <v>3009</v>
      </c>
      <c r="BTO2" s="133" t="s">
        <v>3010</v>
      </c>
      <c r="BTP2" s="133" t="s">
        <v>3011</v>
      </c>
      <c r="BTQ2" s="133" t="s">
        <v>3012</v>
      </c>
      <c r="BTR2" s="133" t="s">
        <v>3013</v>
      </c>
      <c r="BTS2" s="133" t="s">
        <v>3014</v>
      </c>
      <c r="BTT2" s="133" t="s">
        <v>3015</v>
      </c>
      <c r="BTU2" s="133" t="s">
        <v>3016</v>
      </c>
      <c r="BTV2" s="133" t="s">
        <v>3017</v>
      </c>
      <c r="BTW2" s="133" t="s">
        <v>3018</v>
      </c>
      <c r="BTX2" s="133" t="s">
        <v>3019</v>
      </c>
      <c r="BTY2" s="133" t="s">
        <v>3020</v>
      </c>
      <c r="BTZ2" s="133" t="s">
        <v>3021</v>
      </c>
      <c r="BUA2" s="133" t="s">
        <v>3022</v>
      </c>
      <c r="BUB2" s="133" t="s">
        <v>3023</v>
      </c>
      <c r="BUC2" s="133" t="s">
        <v>3024</v>
      </c>
      <c r="BUD2" s="133" t="s">
        <v>3025</v>
      </c>
      <c r="BUE2" s="133" t="s">
        <v>3026</v>
      </c>
      <c r="BUF2" s="133" t="s">
        <v>3027</v>
      </c>
      <c r="BUG2" s="133" t="s">
        <v>3028</v>
      </c>
      <c r="BUH2" s="133" t="s">
        <v>3029</v>
      </c>
      <c r="BUI2" s="133" t="s">
        <v>3030</v>
      </c>
      <c r="BUJ2" s="133" t="s">
        <v>3031</v>
      </c>
      <c r="BUK2" s="133" t="s">
        <v>3032</v>
      </c>
      <c r="BUL2" s="133" t="s">
        <v>3033</v>
      </c>
      <c r="BUM2" s="133" t="s">
        <v>3034</v>
      </c>
      <c r="BUN2" s="133" t="s">
        <v>3035</v>
      </c>
      <c r="BUO2" s="133" t="s">
        <v>3036</v>
      </c>
      <c r="BUP2" s="133" t="s">
        <v>3037</v>
      </c>
      <c r="BUQ2" s="133" t="s">
        <v>3038</v>
      </c>
      <c r="BUR2" s="133" t="s">
        <v>3039</v>
      </c>
      <c r="BUS2" s="133" t="s">
        <v>3040</v>
      </c>
      <c r="BUT2" s="133" t="s">
        <v>3041</v>
      </c>
      <c r="BUU2" s="133" t="s">
        <v>3042</v>
      </c>
      <c r="BUV2" s="133" t="s">
        <v>3043</v>
      </c>
      <c r="BUW2" s="133" t="s">
        <v>3044</v>
      </c>
      <c r="BUX2" s="133" t="s">
        <v>3045</v>
      </c>
      <c r="BUY2" s="133" t="s">
        <v>3046</v>
      </c>
      <c r="BUZ2" s="133" t="s">
        <v>3047</v>
      </c>
      <c r="BVA2" s="133" t="s">
        <v>3048</v>
      </c>
      <c r="BVB2" s="133" t="s">
        <v>3049</v>
      </c>
      <c r="BVC2" s="133" t="s">
        <v>3050</v>
      </c>
      <c r="BVD2" s="133" t="s">
        <v>3051</v>
      </c>
      <c r="BVE2" s="133" t="s">
        <v>3052</v>
      </c>
      <c r="BVF2" s="133" t="s">
        <v>3053</v>
      </c>
      <c r="BVG2" s="133" t="s">
        <v>3054</v>
      </c>
      <c r="BVH2" s="133" t="s">
        <v>3055</v>
      </c>
      <c r="BVI2" s="133" t="s">
        <v>3056</v>
      </c>
      <c r="BVJ2" s="133" t="s">
        <v>3057</v>
      </c>
      <c r="BVK2" s="133" t="s">
        <v>3058</v>
      </c>
      <c r="BVL2" s="133" t="s">
        <v>3059</v>
      </c>
      <c r="BVM2" s="133" t="s">
        <v>3060</v>
      </c>
      <c r="BVN2" s="133" t="s">
        <v>3061</v>
      </c>
      <c r="BVO2" s="133" t="s">
        <v>3062</v>
      </c>
      <c r="BVP2" s="133" t="s">
        <v>3063</v>
      </c>
      <c r="BVQ2" s="133" t="s">
        <v>3064</v>
      </c>
      <c r="BVR2" s="133" t="s">
        <v>3065</v>
      </c>
      <c r="BVS2" s="133" t="s">
        <v>3066</v>
      </c>
      <c r="BVT2" s="133" t="s">
        <v>3067</v>
      </c>
      <c r="BVU2" s="133" t="s">
        <v>3068</v>
      </c>
      <c r="BVV2" s="133" t="s">
        <v>3069</v>
      </c>
      <c r="BVW2" s="133" t="s">
        <v>3070</v>
      </c>
      <c r="BVX2" s="133" t="s">
        <v>3071</v>
      </c>
      <c r="BVY2" s="133" t="s">
        <v>3072</v>
      </c>
      <c r="BVZ2" s="133" t="s">
        <v>3073</v>
      </c>
      <c r="BWA2" s="133" t="s">
        <v>3074</v>
      </c>
      <c r="BWB2" s="133" t="s">
        <v>3075</v>
      </c>
      <c r="BWC2" s="133" t="s">
        <v>3076</v>
      </c>
      <c r="BWD2" s="133" t="s">
        <v>3077</v>
      </c>
      <c r="BWE2" s="133" t="s">
        <v>3078</v>
      </c>
      <c r="BWF2" s="133" t="s">
        <v>3079</v>
      </c>
      <c r="BWG2" s="133" t="s">
        <v>3080</v>
      </c>
      <c r="BWH2" s="133" t="s">
        <v>3081</v>
      </c>
      <c r="BWI2" s="133" t="s">
        <v>3082</v>
      </c>
      <c r="BWJ2" s="133" t="s">
        <v>3083</v>
      </c>
      <c r="BWK2" s="133" t="s">
        <v>3084</v>
      </c>
      <c r="BWL2" s="133" t="s">
        <v>3085</v>
      </c>
      <c r="BWM2" s="133" t="s">
        <v>3086</v>
      </c>
      <c r="BWN2" s="133" t="s">
        <v>3087</v>
      </c>
      <c r="BWO2" s="133" t="s">
        <v>3088</v>
      </c>
      <c r="BWP2" s="133" t="s">
        <v>3089</v>
      </c>
      <c r="BWQ2" s="133" t="s">
        <v>3090</v>
      </c>
      <c r="BWR2" s="133" t="s">
        <v>3091</v>
      </c>
      <c r="BWS2" s="133" t="s">
        <v>3092</v>
      </c>
      <c r="BWT2" s="133" t="s">
        <v>3093</v>
      </c>
      <c r="BWU2" s="133" t="s">
        <v>3094</v>
      </c>
      <c r="BWV2" s="133" t="s">
        <v>3095</v>
      </c>
      <c r="BWW2" s="133" t="s">
        <v>3096</v>
      </c>
      <c r="BWX2" s="133" t="s">
        <v>3097</v>
      </c>
      <c r="BWY2" s="133" t="s">
        <v>3098</v>
      </c>
      <c r="BWZ2" s="133" t="s">
        <v>3099</v>
      </c>
      <c r="BXA2" s="133" t="s">
        <v>3100</v>
      </c>
      <c r="BXB2" s="133" t="s">
        <v>3101</v>
      </c>
      <c r="BXC2" s="133" t="s">
        <v>3102</v>
      </c>
      <c r="BXD2" s="133" t="s">
        <v>3103</v>
      </c>
      <c r="BXE2" s="133" t="s">
        <v>3104</v>
      </c>
      <c r="BXF2" s="133" t="s">
        <v>3105</v>
      </c>
      <c r="BXG2" s="133" t="s">
        <v>3106</v>
      </c>
      <c r="BXH2" s="133" t="s">
        <v>3107</v>
      </c>
      <c r="BXI2" s="133" t="s">
        <v>3108</v>
      </c>
      <c r="BXJ2" s="133" t="s">
        <v>3109</v>
      </c>
      <c r="BXK2" s="133" t="s">
        <v>3110</v>
      </c>
      <c r="BXL2" s="133" t="s">
        <v>3111</v>
      </c>
      <c r="BXM2" s="133" t="s">
        <v>3112</v>
      </c>
      <c r="BXN2" s="133" t="s">
        <v>3113</v>
      </c>
      <c r="BXO2" s="133" t="s">
        <v>3114</v>
      </c>
      <c r="BXP2" s="133" t="s">
        <v>3115</v>
      </c>
      <c r="BXQ2" s="133" t="s">
        <v>3116</v>
      </c>
      <c r="BXR2" s="133" t="s">
        <v>3117</v>
      </c>
      <c r="BXS2" s="133" t="s">
        <v>3118</v>
      </c>
      <c r="BXT2" s="133" t="s">
        <v>3119</v>
      </c>
      <c r="BXU2" s="133" t="s">
        <v>3120</v>
      </c>
      <c r="BXV2" s="133" t="s">
        <v>3121</v>
      </c>
      <c r="BXW2" s="133" t="s">
        <v>3122</v>
      </c>
      <c r="BXX2" s="133" t="s">
        <v>3123</v>
      </c>
      <c r="BXY2" s="133" t="s">
        <v>3124</v>
      </c>
      <c r="BXZ2" s="133" t="s">
        <v>3125</v>
      </c>
      <c r="BYA2" s="133" t="s">
        <v>3126</v>
      </c>
      <c r="BYB2" s="133" t="s">
        <v>3127</v>
      </c>
      <c r="BYC2" s="133" t="s">
        <v>3128</v>
      </c>
      <c r="BYD2" s="133" t="s">
        <v>3129</v>
      </c>
      <c r="BYE2" s="133" t="s">
        <v>3130</v>
      </c>
      <c r="BYF2" s="133" t="s">
        <v>3131</v>
      </c>
      <c r="BYG2" s="133" t="s">
        <v>3132</v>
      </c>
      <c r="BYH2" s="133" t="s">
        <v>3133</v>
      </c>
      <c r="BYI2" s="133" t="s">
        <v>3134</v>
      </c>
      <c r="BYJ2" s="133" t="s">
        <v>3135</v>
      </c>
      <c r="BYK2" s="133" t="s">
        <v>3136</v>
      </c>
      <c r="BYL2" s="133" t="s">
        <v>3137</v>
      </c>
      <c r="BYM2" s="133" t="s">
        <v>3138</v>
      </c>
      <c r="BYN2" s="133" t="s">
        <v>3139</v>
      </c>
      <c r="BYO2" s="133" t="s">
        <v>3140</v>
      </c>
      <c r="BYP2" s="133" t="s">
        <v>3141</v>
      </c>
      <c r="BYQ2" s="133" t="s">
        <v>3142</v>
      </c>
      <c r="BYR2" s="133" t="s">
        <v>3143</v>
      </c>
      <c r="BYS2" s="133" t="s">
        <v>3144</v>
      </c>
      <c r="BYT2" s="133" t="s">
        <v>3145</v>
      </c>
      <c r="BYU2" s="133" t="s">
        <v>3146</v>
      </c>
      <c r="BYV2" s="133" t="s">
        <v>3147</v>
      </c>
      <c r="BYW2" s="133" t="s">
        <v>3148</v>
      </c>
      <c r="BYX2" s="133" t="s">
        <v>3149</v>
      </c>
      <c r="BYY2" s="133" t="s">
        <v>3150</v>
      </c>
      <c r="BYZ2" s="133" t="s">
        <v>3151</v>
      </c>
      <c r="BZA2" s="133" t="s">
        <v>3152</v>
      </c>
      <c r="BZB2" s="133" t="s">
        <v>3153</v>
      </c>
      <c r="BZC2" s="133" t="s">
        <v>3154</v>
      </c>
      <c r="BZD2" s="133" t="s">
        <v>3155</v>
      </c>
      <c r="BZE2" s="133" t="s">
        <v>3156</v>
      </c>
      <c r="BZF2" s="133" t="s">
        <v>3157</v>
      </c>
      <c r="BZG2" s="133" t="s">
        <v>3158</v>
      </c>
      <c r="BZH2" s="133" t="s">
        <v>3159</v>
      </c>
      <c r="BZI2" s="133" t="s">
        <v>3160</v>
      </c>
      <c r="BZJ2" s="133" t="s">
        <v>3161</v>
      </c>
      <c r="BZK2" s="133" t="s">
        <v>3162</v>
      </c>
      <c r="BZL2" s="133" t="s">
        <v>3163</v>
      </c>
      <c r="BZM2" s="133" t="s">
        <v>3164</v>
      </c>
      <c r="BZN2" s="133" t="s">
        <v>3165</v>
      </c>
      <c r="BZO2" s="133" t="s">
        <v>3166</v>
      </c>
      <c r="BZP2" s="133" t="s">
        <v>3167</v>
      </c>
      <c r="BZQ2" s="133" t="s">
        <v>3168</v>
      </c>
      <c r="BZR2" s="133" t="s">
        <v>3169</v>
      </c>
      <c r="BZS2" s="133" t="s">
        <v>3170</v>
      </c>
      <c r="BZT2" s="133" t="s">
        <v>3171</v>
      </c>
      <c r="BZU2" s="133" t="s">
        <v>3172</v>
      </c>
      <c r="BZV2" s="133" t="s">
        <v>3173</v>
      </c>
      <c r="BZW2" s="133" t="s">
        <v>3174</v>
      </c>
      <c r="BZX2" s="133" t="s">
        <v>3175</v>
      </c>
      <c r="BZY2" s="133" t="s">
        <v>3176</v>
      </c>
      <c r="BZZ2" s="133" t="s">
        <v>3177</v>
      </c>
      <c r="CAA2" s="133" t="s">
        <v>3178</v>
      </c>
      <c r="CAB2" s="133" t="s">
        <v>3179</v>
      </c>
      <c r="CAC2" s="133" t="s">
        <v>3180</v>
      </c>
      <c r="CAD2" s="133" t="s">
        <v>3181</v>
      </c>
      <c r="CAE2" s="133" t="s">
        <v>3182</v>
      </c>
      <c r="CAF2" s="133" t="s">
        <v>3183</v>
      </c>
      <c r="CAG2" s="133" t="s">
        <v>3184</v>
      </c>
      <c r="CAH2" s="133" t="s">
        <v>3185</v>
      </c>
      <c r="CAI2" s="133" t="s">
        <v>3186</v>
      </c>
      <c r="CAJ2" s="133" t="s">
        <v>3187</v>
      </c>
      <c r="CAK2" s="133" t="s">
        <v>3188</v>
      </c>
      <c r="CAL2" s="133" t="s">
        <v>3189</v>
      </c>
      <c r="CAM2" s="133" t="s">
        <v>3190</v>
      </c>
      <c r="CAN2" s="133" t="s">
        <v>3191</v>
      </c>
      <c r="CAO2" s="133" t="s">
        <v>3192</v>
      </c>
      <c r="CAP2" s="133" t="s">
        <v>3193</v>
      </c>
      <c r="CAQ2" s="133" t="s">
        <v>3194</v>
      </c>
      <c r="CAR2" s="133" t="s">
        <v>3195</v>
      </c>
      <c r="CAS2" s="133" t="s">
        <v>3196</v>
      </c>
      <c r="CAT2" s="133" t="s">
        <v>3197</v>
      </c>
      <c r="CAU2" s="133" t="s">
        <v>3198</v>
      </c>
      <c r="CAV2" s="133" t="s">
        <v>3199</v>
      </c>
      <c r="CAW2" s="133" t="s">
        <v>3200</v>
      </c>
      <c r="CAX2" s="133" t="s">
        <v>3201</v>
      </c>
      <c r="CAY2" s="133" t="s">
        <v>3202</v>
      </c>
      <c r="CAZ2" s="133" t="s">
        <v>3203</v>
      </c>
      <c r="CBA2" s="133" t="s">
        <v>3204</v>
      </c>
      <c r="CBB2" s="133" t="s">
        <v>3205</v>
      </c>
      <c r="CBC2" s="133" t="s">
        <v>3206</v>
      </c>
      <c r="CBD2" s="133" t="s">
        <v>3207</v>
      </c>
      <c r="CBE2" s="133" t="s">
        <v>3208</v>
      </c>
      <c r="CBF2" s="133" t="s">
        <v>3209</v>
      </c>
      <c r="CBG2" s="133" t="s">
        <v>3210</v>
      </c>
      <c r="CBH2" s="133" t="s">
        <v>3211</v>
      </c>
      <c r="CBI2" s="133" t="s">
        <v>3212</v>
      </c>
      <c r="CBJ2" s="133" t="s">
        <v>3213</v>
      </c>
      <c r="CBK2" s="133" t="s">
        <v>3214</v>
      </c>
      <c r="CBL2" s="133" t="s">
        <v>3215</v>
      </c>
      <c r="CBM2" s="133" t="s">
        <v>3216</v>
      </c>
      <c r="CBN2" s="133" t="s">
        <v>3217</v>
      </c>
      <c r="CBO2" s="133" t="s">
        <v>3218</v>
      </c>
      <c r="CBP2" s="133" t="s">
        <v>3219</v>
      </c>
      <c r="CBQ2" s="133" t="s">
        <v>3220</v>
      </c>
      <c r="CBR2" s="133" t="s">
        <v>3221</v>
      </c>
      <c r="CBS2" s="133" t="s">
        <v>3222</v>
      </c>
      <c r="CBT2" s="133" t="s">
        <v>3223</v>
      </c>
      <c r="CBU2" s="133" t="s">
        <v>3224</v>
      </c>
      <c r="CBV2" s="133" t="s">
        <v>3225</v>
      </c>
      <c r="CBW2" s="133" t="s">
        <v>3226</v>
      </c>
      <c r="CBX2" s="133" t="s">
        <v>3227</v>
      </c>
      <c r="CBY2" s="133" t="s">
        <v>3228</v>
      </c>
      <c r="CBZ2" s="133" t="s">
        <v>3229</v>
      </c>
      <c r="CCA2" s="133" t="s">
        <v>3230</v>
      </c>
      <c r="CCB2" s="133" t="s">
        <v>3231</v>
      </c>
      <c r="CCC2" s="133" t="s">
        <v>3232</v>
      </c>
      <c r="CCD2" s="133" t="s">
        <v>3233</v>
      </c>
      <c r="CCE2" s="133" t="s">
        <v>3234</v>
      </c>
      <c r="CCF2" s="133" t="s">
        <v>3235</v>
      </c>
      <c r="CCG2" s="133" t="s">
        <v>3236</v>
      </c>
      <c r="CCH2" s="133" t="s">
        <v>3237</v>
      </c>
      <c r="CCI2" s="133" t="s">
        <v>3238</v>
      </c>
      <c r="CCJ2" s="133" t="s">
        <v>3239</v>
      </c>
      <c r="CCK2" s="133" t="s">
        <v>3240</v>
      </c>
      <c r="CCL2" s="133" t="s">
        <v>3241</v>
      </c>
      <c r="CCM2" s="133" t="s">
        <v>3242</v>
      </c>
      <c r="CCN2" s="133" t="s">
        <v>3243</v>
      </c>
      <c r="CCO2" s="133" t="s">
        <v>3244</v>
      </c>
      <c r="CCP2" s="133" t="s">
        <v>3245</v>
      </c>
      <c r="CCQ2" s="133" t="s">
        <v>3246</v>
      </c>
      <c r="CCR2" s="133" t="s">
        <v>3247</v>
      </c>
      <c r="CCS2" s="133" t="s">
        <v>3248</v>
      </c>
      <c r="CCT2" s="133" t="s">
        <v>3249</v>
      </c>
      <c r="CCU2" s="133" t="s">
        <v>3250</v>
      </c>
      <c r="CCV2" s="133" t="s">
        <v>3251</v>
      </c>
      <c r="CCW2" s="133" t="s">
        <v>3252</v>
      </c>
      <c r="CCX2" s="133" t="s">
        <v>3253</v>
      </c>
      <c r="CCY2" s="133" t="s">
        <v>3254</v>
      </c>
      <c r="CCZ2" s="133" t="s">
        <v>3255</v>
      </c>
      <c r="CDA2" s="133" t="s">
        <v>3256</v>
      </c>
      <c r="CDB2" s="133" t="s">
        <v>3257</v>
      </c>
      <c r="CDC2" s="133" t="s">
        <v>3258</v>
      </c>
      <c r="CDD2" s="133" t="s">
        <v>3259</v>
      </c>
      <c r="CDE2" s="133" t="s">
        <v>3260</v>
      </c>
      <c r="CDF2" s="133" t="s">
        <v>3261</v>
      </c>
      <c r="CDG2" s="133" t="s">
        <v>3262</v>
      </c>
      <c r="CDH2" s="133" t="s">
        <v>3263</v>
      </c>
      <c r="CDI2" s="133" t="s">
        <v>3264</v>
      </c>
      <c r="CDJ2" s="133" t="s">
        <v>3265</v>
      </c>
      <c r="CDK2" s="133" t="s">
        <v>3266</v>
      </c>
      <c r="CDL2" s="133" t="s">
        <v>3267</v>
      </c>
      <c r="CDM2" s="133" t="s">
        <v>3268</v>
      </c>
      <c r="CDN2" s="133" t="s">
        <v>3269</v>
      </c>
      <c r="CDO2" s="133" t="s">
        <v>3270</v>
      </c>
      <c r="CDP2" s="133" t="s">
        <v>3271</v>
      </c>
      <c r="CDQ2" s="133" t="s">
        <v>3272</v>
      </c>
      <c r="CDR2" s="133" t="s">
        <v>3273</v>
      </c>
      <c r="CDS2" s="133" t="s">
        <v>3274</v>
      </c>
      <c r="CDT2" s="133" t="s">
        <v>3275</v>
      </c>
      <c r="CDU2" s="133" t="s">
        <v>3276</v>
      </c>
      <c r="CDV2" s="133" t="s">
        <v>3277</v>
      </c>
      <c r="CDW2" s="133" t="s">
        <v>3278</v>
      </c>
      <c r="CDX2" s="133" t="s">
        <v>3279</v>
      </c>
      <c r="CDY2" s="133" t="s">
        <v>3280</v>
      </c>
      <c r="CDZ2" s="133" t="s">
        <v>3281</v>
      </c>
      <c r="CEA2" s="133" t="s">
        <v>3282</v>
      </c>
      <c r="CEB2" s="133" t="s">
        <v>3283</v>
      </c>
      <c r="CEC2" s="133" t="s">
        <v>3284</v>
      </c>
      <c r="CED2" s="133" t="s">
        <v>3285</v>
      </c>
      <c r="CEE2" s="133" t="s">
        <v>3286</v>
      </c>
      <c r="CEF2" s="133" t="s">
        <v>3287</v>
      </c>
      <c r="CEG2" s="133" t="s">
        <v>3288</v>
      </c>
      <c r="CEH2" s="133" t="s">
        <v>3289</v>
      </c>
      <c r="CEI2" s="133" t="s">
        <v>3290</v>
      </c>
      <c r="CEJ2" s="133" t="s">
        <v>3291</v>
      </c>
      <c r="CEK2" s="133" t="s">
        <v>3292</v>
      </c>
      <c r="CEL2" s="133" t="s">
        <v>3293</v>
      </c>
      <c r="CEM2" s="133" t="s">
        <v>3294</v>
      </c>
      <c r="CEN2" s="133" t="s">
        <v>3295</v>
      </c>
      <c r="CEO2" s="133" t="s">
        <v>3296</v>
      </c>
      <c r="CEP2" s="133" t="s">
        <v>3297</v>
      </c>
      <c r="CEQ2" s="133" t="s">
        <v>3298</v>
      </c>
      <c r="CER2" s="133" t="s">
        <v>3299</v>
      </c>
      <c r="CES2" s="133" t="s">
        <v>3300</v>
      </c>
      <c r="CET2" s="133" t="s">
        <v>3301</v>
      </c>
      <c r="CEU2" s="133" t="s">
        <v>3302</v>
      </c>
      <c r="CEV2" s="133" t="s">
        <v>3303</v>
      </c>
      <c r="CEW2" s="133" t="s">
        <v>3304</v>
      </c>
      <c r="CEX2" s="133" t="s">
        <v>3305</v>
      </c>
      <c r="CEY2" s="133" t="s">
        <v>3306</v>
      </c>
      <c r="CEZ2" s="133" t="s">
        <v>3307</v>
      </c>
      <c r="CFA2" s="133" t="s">
        <v>3308</v>
      </c>
      <c r="CFB2" s="133" t="s">
        <v>3309</v>
      </c>
      <c r="CFC2" s="133" t="s">
        <v>3310</v>
      </c>
      <c r="CFD2" s="133" t="s">
        <v>3311</v>
      </c>
      <c r="CFE2" s="133" t="s">
        <v>3312</v>
      </c>
      <c r="CFF2" s="133" t="s">
        <v>3313</v>
      </c>
      <c r="CFG2" s="133" t="s">
        <v>3314</v>
      </c>
      <c r="CFH2" s="133" t="s">
        <v>3315</v>
      </c>
      <c r="CFI2" s="133" t="s">
        <v>3316</v>
      </c>
      <c r="CFJ2" s="133" t="s">
        <v>3317</v>
      </c>
      <c r="CFK2" s="133" t="s">
        <v>3318</v>
      </c>
      <c r="CFL2" s="133" t="s">
        <v>3319</v>
      </c>
      <c r="CFM2" s="133" t="s">
        <v>3320</v>
      </c>
      <c r="CFN2" s="133" t="s">
        <v>3321</v>
      </c>
      <c r="CFO2" s="133" t="s">
        <v>3322</v>
      </c>
      <c r="CFP2" s="133" t="s">
        <v>3323</v>
      </c>
      <c r="CFQ2" s="133" t="s">
        <v>3324</v>
      </c>
      <c r="CFR2" s="133" t="s">
        <v>3325</v>
      </c>
      <c r="CFS2" s="133" t="s">
        <v>3326</v>
      </c>
      <c r="CFT2" s="133" t="s">
        <v>3327</v>
      </c>
      <c r="CFU2" s="133" t="s">
        <v>3328</v>
      </c>
      <c r="CFV2" s="133" t="s">
        <v>3329</v>
      </c>
      <c r="CFW2" s="133" t="s">
        <v>3330</v>
      </c>
      <c r="CFX2" s="133" t="s">
        <v>3331</v>
      </c>
      <c r="CFY2" s="133" t="s">
        <v>3332</v>
      </c>
      <c r="CFZ2" s="133" t="s">
        <v>3333</v>
      </c>
      <c r="CGA2" s="133" t="s">
        <v>3334</v>
      </c>
      <c r="CGB2" s="133" t="s">
        <v>3335</v>
      </c>
      <c r="CGC2" s="133" t="s">
        <v>3336</v>
      </c>
      <c r="CGD2" s="133" t="s">
        <v>3337</v>
      </c>
      <c r="CGE2" s="133" t="s">
        <v>3338</v>
      </c>
      <c r="CGF2" s="133" t="s">
        <v>3339</v>
      </c>
      <c r="CGG2" s="133" t="s">
        <v>3340</v>
      </c>
      <c r="CGH2" s="133" t="s">
        <v>3341</v>
      </c>
      <c r="CGI2" s="133" t="s">
        <v>3342</v>
      </c>
      <c r="CGJ2" s="133" t="s">
        <v>3343</v>
      </c>
      <c r="CGK2" s="133" t="s">
        <v>3344</v>
      </c>
      <c r="CGL2" s="133" t="s">
        <v>3345</v>
      </c>
      <c r="CGM2" s="133" t="s">
        <v>3346</v>
      </c>
      <c r="CGN2" s="133" t="s">
        <v>3347</v>
      </c>
      <c r="CGO2" s="133" t="s">
        <v>3348</v>
      </c>
      <c r="CGP2" s="133" t="s">
        <v>3349</v>
      </c>
      <c r="CGQ2" s="133" t="s">
        <v>3350</v>
      </c>
      <c r="CGR2" s="133" t="s">
        <v>3351</v>
      </c>
      <c r="CGS2" s="133" t="s">
        <v>3352</v>
      </c>
      <c r="CGT2" s="133" t="s">
        <v>3353</v>
      </c>
      <c r="CGU2" s="133" t="s">
        <v>3354</v>
      </c>
      <c r="CGV2" s="133" t="s">
        <v>3355</v>
      </c>
      <c r="CGW2" s="133" t="s">
        <v>3356</v>
      </c>
      <c r="CGX2" s="133" t="s">
        <v>3357</v>
      </c>
      <c r="CGY2" s="133" t="s">
        <v>3358</v>
      </c>
      <c r="CGZ2" s="133" t="s">
        <v>3359</v>
      </c>
      <c r="CHA2" s="133" t="s">
        <v>3360</v>
      </c>
      <c r="CHB2" s="133" t="s">
        <v>3361</v>
      </c>
      <c r="CHC2" s="133" t="s">
        <v>3362</v>
      </c>
      <c r="CHD2" s="133" t="s">
        <v>3363</v>
      </c>
      <c r="CHE2" s="133" t="s">
        <v>3364</v>
      </c>
      <c r="CHF2" s="133" t="s">
        <v>3365</v>
      </c>
      <c r="CHG2" s="133" t="s">
        <v>3366</v>
      </c>
      <c r="CHH2" s="133" t="s">
        <v>3367</v>
      </c>
      <c r="CHI2" s="133" t="s">
        <v>3368</v>
      </c>
      <c r="CHJ2" s="133" t="s">
        <v>3369</v>
      </c>
      <c r="CHK2" s="133" t="s">
        <v>3370</v>
      </c>
      <c r="CHL2" s="133" t="s">
        <v>3371</v>
      </c>
      <c r="CHM2" s="133" t="s">
        <v>3372</v>
      </c>
      <c r="CHN2" s="133" t="s">
        <v>3373</v>
      </c>
      <c r="CHO2" s="133" t="s">
        <v>3374</v>
      </c>
      <c r="CHP2" s="133" t="s">
        <v>3375</v>
      </c>
      <c r="CHQ2" s="133" t="s">
        <v>3376</v>
      </c>
      <c r="CHR2" s="133" t="s">
        <v>3377</v>
      </c>
      <c r="CHS2" s="133" t="s">
        <v>3378</v>
      </c>
      <c r="CHT2" s="133" t="s">
        <v>3379</v>
      </c>
      <c r="CHU2" s="133" t="s">
        <v>3380</v>
      </c>
      <c r="CHV2" s="133" t="s">
        <v>3381</v>
      </c>
      <c r="CHW2" s="133" t="s">
        <v>3382</v>
      </c>
      <c r="CHX2" s="133" t="s">
        <v>3383</v>
      </c>
      <c r="CHY2" s="133" t="s">
        <v>3384</v>
      </c>
      <c r="CHZ2" s="133" t="s">
        <v>3385</v>
      </c>
      <c r="CIA2" s="133" t="s">
        <v>3386</v>
      </c>
      <c r="CIB2" s="133" t="s">
        <v>3387</v>
      </c>
      <c r="CIC2" s="133" t="s">
        <v>3388</v>
      </c>
      <c r="CID2" s="133" t="s">
        <v>3389</v>
      </c>
      <c r="CIE2" s="133" t="s">
        <v>3390</v>
      </c>
      <c r="CIF2" s="133" t="s">
        <v>3391</v>
      </c>
      <c r="CIG2" s="133" t="s">
        <v>3392</v>
      </c>
      <c r="CIH2" s="133" t="s">
        <v>3393</v>
      </c>
      <c r="CII2" s="133" t="s">
        <v>3394</v>
      </c>
      <c r="CIJ2" s="133" t="s">
        <v>3395</v>
      </c>
      <c r="CIK2" s="133" t="s">
        <v>3396</v>
      </c>
      <c r="CIL2" s="133" t="s">
        <v>3397</v>
      </c>
      <c r="CIM2" s="133" t="s">
        <v>3398</v>
      </c>
      <c r="CIN2" s="133" t="s">
        <v>3399</v>
      </c>
      <c r="CIO2" s="133" t="s">
        <v>3400</v>
      </c>
      <c r="CIP2" s="133" t="s">
        <v>3401</v>
      </c>
      <c r="CIQ2" s="133" t="s">
        <v>3402</v>
      </c>
      <c r="CIR2" s="133" t="s">
        <v>3403</v>
      </c>
      <c r="CIS2" s="133" t="s">
        <v>3404</v>
      </c>
      <c r="CIT2" s="133" t="s">
        <v>3405</v>
      </c>
      <c r="CIU2" s="133" t="s">
        <v>3406</v>
      </c>
      <c r="CIV2" s="133" t="s">
        <v>3407</v>
      </c>
      <c r="CIW2" s="133" t="s">
        <v>3408</v>
      </c>
      <c r="CIX2" s="133" t="s">
        <v>3409</v>
      </c>
      <c r="CIY2" s="133" t="s">
        <v>3410</v>
      </c>
      <c r="CIZ2" s="133" t="s">
        <v>3411</v>
      </c>
      <c r="CJA2" s="133" t="s">
        <v>3412</v>
      </c>
      <c r="CJB2" s="133" t="s">
        <v>3413</v>
      </c>
      <c r="CJC2" s="133" t="s">
        <v>3414</v>
      </c>
      <c r="CJD2" s="133" t="s">
        <v>3415</v>
      </c>
      <c r="CJE2" s="133" t="s">
        <v>3416</v>
      </c>
      <c r="CJF2" s="133" t="s">
        <v>3417</v>
      </c>
      <c r="CJG2" s="133" t="s">
        <v>3418</v>
      </c>
      <c r="CJH2" s="133" t="s">
        <v>3419</v>
      </c>
      <c r="CJI2" s="133" t="s">
        <v>3420</v>
      </c>
      <c r="CJJ2" s="133" t="s">
        <v>3421</v>
      </c>
      <c r="CJK2" s="133" t="s">
        <v>3422</v>
      </c>
      <c r="CJL2" s="133" t="s">
        <v>3423</v>
      </c>
      <c r="CJM2" s="133" t="s">
        <v>3424</v>
      </c>
      <c r="CJN2" s="133" t="s">
        <v>3425</v>
      </c>
      <c r="CJO2" s="133" t="s">
        <v>3426</v>
      </c>
      <c r="CJP2" s="133" t="s">
        <v>3427</v>
      </c>
      <c r="CJQ2" s="133" t="s">
        <v>3428</v>
      </c>
      <c r="CJR2" s="133" t="s">
        <v>3429</v>
      </c>
      <c r="CJS2" s="133" t="s">
        <v>3430</v>
      </c>
      <c r="CJT2" s="133" t="s">
        <v>3431</v>
      </c>
      <c r="CJU2" s="133" t="s">
        <v>3432</v>
      </c>
      <c r="CJV2" s="133" t="s">
        <v>3433</v>
      </c>
      <c r="CJW2" s="133" t="s">
        <v>3434</v>
      </c>
      <c r="CJX2" s="133" t="s">
        <v>3435</v>
      </c>
      <c r="CJY2" s="133" t="s">
        <v>3436</v>
      </c>
      <c r="CJZ2" s="133" t="s">
        <v>3437</v>
      </c>
      <c r="CKA2" s="133" t="s">
        <v>3438</v>
      </c>
      <c r="CKB2" s="133" t="s">
        <v>3439</v>
      </c>
      <c r="CKC2" s="133" t="s">
        <v>3440</v>
      </c>
      <c r="CKD2" s="133" t="s">
        <v>3441</v>
      </c>
      <c r="CKE2" s="133" t="s">
        <v>3442</v>
      </c>
      <c r="CKF2" s="133" t="s">
        <v>3443</v>
      </c>
      <c r="CKG2" s="133" t="s">
        <v>3444</v>
      </c>
      <c r="CKH2" s="133" t="s">
        <v>3445</v>
      </c>
      <c r="CKI2" s="133" t="s">
        <v>3446</v>
      </c>
      <c r="CKJ2" s="133" t="s">
        <v>3447</v>
      </c>
      <c r="CKK2" s="133" t="s">
        <v>3448</v>
      </c>
      <c r="CKL2" s="133" t="s">
        <v>3449</v>
      </c>
      <c r="CKM2" s="133" t="s">
        <v>3450</v>
      </c>
      <c r="CKN2" s="133" t="s">
        <v>3451</v>
      </c>
      <c r="CKO2" s="133" t="s">
        <v>3452</v>
      </c>
      <c r="CKP2" s="133" t="s">
        <v>3453</v>
      </c>
      <c r="CKQ2" s="133" t="s">
        <v>3454</v>
      </c>
      <c r="CKR2" s="133" t="s">
        <v>3455</v>
      </c>
      <c r="CKS2" s="133" t="s">
        <v>3456</v>
      </c>
      <c r="CKT2" s="133" t="s">
        <v>3457</v>
      </c>
      <c r="CKU2" s="133" t="s">
        <v>3458</v>
      </c>
      <c r="CKV2" s="133" t="s">
        <v>3459</v>
      </c>
      <c r="CKW2" s="133" t="s">
        <v>3460</v>
      </c>
      <c r="CKX2" s="133" t="s">
        <v>3461</v>
      </c>
      <c r="CKY2" s="133" t="s">
        <v>3462</v>
      </c>
      <c r="CKZ2" s="133" t="s">
        <v>3463</v>
      </c>
      <c r="CLA2" s="133" t="s">
        <v>3464</v>
      </c>
      <c r="CLB2" s="133" t="s">
        <v>3465</v>
      </c>
      <c r="CLC2" s="133" t="s">
        <v>3466</v>
      </c>
      <c r="CLD2" s="133" t="s">
        <v>3467</v>
      </c>
      <c r="CLE2" s="133" t="s">
        <v>3468</v>
      </c>
      <c r="CLF2" s="133" t="s">
        <v>3469</v>
      </c>
      <c r="CLG2" s="133" t="s">
        <v>3470</v>
      </c>
      <c r="CLH2" s="133" t="s">
        <v>3471</v>
      </c>
      <c r="CLI2" s="133" t="s">
        <v>3472</v>
      </c>
      <c r="CLJ2" s="133" t="s">
        <v>3473</v>
      </c>
      <c r="CLK2" s="133" t="s">
        <v>3474</v>
      </c>
      <c r="CLL2" s="133" t="s">
        <v>3475</v>
      </c>
      <c r="CLM2" s="133" t="s">
        <v>3476</v>
      </c>
      <c r="CLN2" s="133" t="s">
        <v>3477</v>
      </c>
      <c r="CLO2" s="133" t="s">
        <v>3478</v>
      </c>
      <c r="CLP2" s="133" t="s">
        <v>3479</v>
      </c>
      <c r="CLQ2" s="133" t="s">
        <v>3480</v>
      </c>
      <c r="CLR2" s="133" t="s">
        <v>3481</v>
      </c>
      <c r="CLS2" s="133" t="s">
        <v>3482</v>
      </c>
      <c r="CLT2" s="133" t="s">
        <v>3483</v>
      </c>
      <c r="CLU2" s="133" t="s">
        <v>3484</v>
      </c>
      <c r="CLV2" s="133" t="s">
        <v>3485</v>
      </c>
      <c r="CLW2" s="133" t="s">
        <v>3486</v>
      </c>
      <c r="CLX2" s="133" t="s">
        <v>3487</v>
      </c>
      <c r="CLY2" s="133" t="s">
        <v>3488</v>
      </c>
      <c r="CLZ2" s="133" t="s">
        <v>3489</v>
      </c>
      <c r="CMA2" s="133" t="s">
        <v>3490</v>
      </c>
      <c r="CMB2" s="133" t="s">
        <v>3491</v>
      </c>
      <c r="CMC2" s="133" t="s">
        <v>3492</v>
      </c>
      <c r="CMD2" s="133" t="s">
        <v>3493</v>
      </c>
      <c r="CME2" s="133" t="s">
        <v>3494</v>
      </c>
      <c r="CMF2" s="133" t="s">
        <v>3495</v>
      </c>
      <c r="CMG2" s="133" t="s">
        <v>3496</v>
      </c>
      <c r="CMH2" s="133" t="s">
        <v>3497</v>
      </c>
      <c r="CMI2" s="133" t="s">
        <v>3498</v>
      </c>
      <c r="CMJ2" s="133" t="s">
        <v>3499</v>
      </c>
      <c r="CMK2" s="133" t="s">
        <v>3500</v>
      </c>
      <c r="CML2" s="133" t="s">
        <v>3501</v>
      </c>
      <c r="CMM2" s="133" t="s">
        <v>3502</v>
      </c>
      <c r="CMN2" s="133" t="s">
        <v>3503</v>
      </c>
      <c r="CMO2" s="133" t="s">
        <v>3504</v>
      </c>
      <c r="CMP2" s="133" t="s">
        <v>3505</v>
      </c>
      <c r="CMQ2" s="133" t="s">
        <v>3506</v>
      </c>
      <c r="CMR2" s="133" t="s">
        <v>3507</v>
      </c>
      <c r="CMS2" s="133" t="s">
        <v>3508</v>
      </c>
      <c r="CMT2" s="133" t="s">
        <v>3509</v>
      </c>
      <c r="CMU2" s="133" t="s">
        <v>3510</v>
      </c>
      <c r="CMV2" s="133" t="s">
        <v>3511</v>
      </c>
      <c r="CMW2" s="133" t="s">
        <v>3512</v>
      </c>
      <c r="CMX2" s="133" t="s">
        <v>3513</v>
      </c>
      <c r="CMY2" s="133" t="s">
        <v>3514</v>
      </c>
      <c r="CMZ2" s="133" t="s">
        <v>3515</v>
      </c>
      <c r="CNA2" s="133" t="s">
        <v>3516</v>
      </c>
      <c r="CNB2" s="133" t="s">
        <v>3517</v>
      </c>
      <c r="CNC2" s="133" t="s">
        <v>3518</v>
      </c>
      <c r="CND2" s="133" t="s">
        <v>3519</v>
      </c>
      <c r="CNE2" s="133" t="s">
        <v>3520</v>
      </c>
      <c r="CNF2" s="133" t="s">
        <v>3521</v>
      </c>
      <c r="CNG2" s="133" t="s">
        <v>3522</v>
      </c>
      <c r="CNH2" s="133" t="s">
        <v>3523</v>
      </c>
      <c r="CNI2" s="133" t="s">
        <v>3524</v>
      </c>
      <c r="CNJ2" s="133" t="s">
        <v>3525</v>
      </c>
      <c r="CNK2" s="133" t="s">
        <v>3526</v>
      </c>
      <c r="CNL2" s="133" t="s">
        <v>3527</v>
      </c>
      <c r="CNM2" s="133" t="s">
        <v>3528</v>
      </c>
      <c r="CNN2" s="133" t="s">
        <v>3529</v>
      </c>
      <c r="CNO2" s="133" t="s">
        <v>3530</v>
      </c>
      <c r="CNP2" s="133" t="s">
        <v>3531</v>
      </c>
      <c r="CNQ2" s="133" t="s">
        <v>3532</v>
      </c>
      <c r="CNR2" s="133" t="s">
        <v>3533</v>
      </c>
      <c r="CNS2" s="133" t="s">
        <v>3534</v>
      </c>
      <c r="CNT2" s="133" t="s">
        <v>3535</v>
      </c>
      <c r="CNU2" s="133" t="s">
        <v>3536</v>
      </c>
      <c r="CNV2" s="133" t="s">
        <v>3537</v>
      </c>
      <c r="CNW2" s="133" t="s">
        <v>3538</v>
      </c>
      <c r="CNX2" s="133" t="s">
        <v>3539</v>
      </c>
      <c r="CNY2" s="133" t="s">
        <v>3540</v>
      </c>
      <c r="CNZ2" s="133" t="s">
        <v>3541</v>
      </c>
      <c r="COA2" s="133" t="s">
        <v>3542</v>
      </c>
      <c r="COB2" s="133" t="s">
        <v>3543</v>
      </c>
      <c r="COC2" s="133" t="s">
        <v>3544</v>
      </c>
      <c r="COD2" s="133" t="s">
        <v>3545</v>
      </c>
      <c r="COE2" s="133" t="s">
        <v>3546</v>
      </c>
      <c r="COF2" s="133" t="s">
        <v>3547</v>
      </c>
      <c r="COG2" s="133" t="s">
        <v>3548</v>
      </c>
      <c r="COH2" s="133" t="s">
        <v>3549</v>
      </c>
      <c r="COI2" s="133" t="s">
        <v>3550</v>
      </c>
      <c r="COJ2" s="133" t="s">
        <v>3551</v>
      </c>
      <c r="COK2" s="133" t="s">
        <v>3552</v>
      </c>
      <c r="COL2" s="133" t="s">
        <v>3553</v>
      </c>
      <c r="COM2" s="133" t="s">
        <v>3554</v>
      </c>
      <c r="CON2" s="133" t="s">
        <v>3555</v>
      </c>
      <c r="COO2" s="133" t="s">
        <v>3556</v>
      </c>
      <c r="COP2" s="133" t="s">
        <v>3557</v>
      </c>
      <c r="COQ2" s="133" t="s">
        <v>3558</v>
      </c>
      <c r="COR2" s="133" t="s">
        <v>3559</v>
      </c>
      <c r="COS2" s="133" t="s">
        <v>3560</v>
      </c>
      <c r="COT2" s="133" t="s">
        <v>3561</v>
      </c>
      <c r="COU2" s="133" t="s">
        <v>3562</v>
      </c>
      <c r="COV2" s="133" t="s">
        <v>3563</v>
      </c>
      <c r="COW2" s="133" t="s">
        <v>3564</v>
      </c>
      <c r="COX2" s="133" t="s">
        <v>3565</v>
      </c>
      <c r="COY2" s="133" t="s">
        <v>3566</v>
      </c>
      <c r="COZ2" s="133" t="s">
        <v>3567</v>
      </c>
      <c r="CPA2" s="133" t="s">
        <v>3568</v>
      </c>
      <c r="CPB2" s="133" t="s">
        <v>3569</v>
      </c>
      <c r="CPC2" s="133" t="s">
        <v>3570</v>
      </c>
      <c r="CPD2" s="133" t="s">
        <v>3571</v>
      </c>
      <c r="CPE2" s="133" t="s">
        <v>3572</v>
      </c>
      <c r="CPF2" s="133" t="s">
        <v>3573</v>
      </c>
      <c r="CPG2" s="133" t="s">
        <v>3574</v>
      </c>
      <c r="CPH2" s="133" t="s">
        <v>3575</v>
      </c>
      <c r="CPI2" s="133" t="s">
        <v>3576</v>
      </c>
      <c r="CPJ2" s="133" t="s">
        <v>3577</v>
      </c>
      <c r="CPK2" s="133" t="s">
        <v>3578</v>
      </c>
      <c r="CPL2" s="133" t="s">
        <v>3579</v>
      </c>
      <c r="CPM2" s="133" t="s">
        <v>3580</v>
      </c>
      <c r="CPN2" s="133" t="s">
        <v>3581</v>
      </c>
      <c r="CPO2" s="133" t="s">
        <v>3582</v>
      </c>
      <c r="CPP2" s="133" t="s">
        <v>3583</v>
      </c>
      <c r="CPQ2" s="133" t="s">
        <v>3584</v>
      </c>
      <c r="CPR2" s="133" t="s">
        <v>3585</v>
      </c>
      <c r="CPS2" s="133" t="s">
        <v>3586</v>
      </c>
      <c r="CPT2" s="133" t="s">
        <v>3587</v>
      </c>
      <c r="CPU2" s="133" t="s">
        <v>3588</v>
      </c>
      <c r="CPV2" s="133" t="s">
        <v>3589</v>
      </c>
      <c r="CPW2" s="133" t="s">
        <v>3590</v>
      </c>
      <c r="CPX2" s="133" t="s">
        <v>3591</v>
      </c>
      <c r="CPY2" s="133" t="s">
        <v>3592</v>
      </c>
      <c r="CPZ2" s="133" t="s">
        <v>3593</v>
      </c>
      <c r="CQA2" s="133" t="s">
        <v>3594</v>
      </c>
      <c r="CQB2" s="133" t="s">
        <v>3595</v>
      </c>
      <c r="CQC2" s="133" t="s">
        <v>3596</v>
      </c>
      <c r="CQD2" s="133" t="s">
        <v>3597</v>
      </c>
      <c r="CQE2" s="133" t="s">
        <v>3598</v>
      </c>
      <c r="CQF2" s="133" t="s">
        <v>3599</v>
      </c>
      <c r="CQG2" s="133" t="s">
        <v>3600</v>
      </c>
      <c r="CQH2" s="133" t="s">
        <v>3601</v>
      </c>
      <c r="CQI2" s="133" t="s">
        <v>3602</v>
      </c>
      <c r="CQJ2" s="133" t="s">
        <v>3603</v>
      </c>
      <c r="CQK2" s="133" t="s">
        <v>3604</v>
      </c>
      <c r="CQL2" s="133" t="s">
        <v>3605</v>
      </c>
      <c r="CQM2" s="133" t="s">
        <v>3606</v>
      </c>
      <c r="CQN2" s="133" t="s">
        <v>3607</v>
      </c>
      <c r="CQO2" s="133" t="s">
        <v>3608</v>
      </c>
      <c r="CQP2" s="133" t="s">
        <v>3609</v>
      </c>
      <c r="CQQ2" s="133" t="s">
        <v>3610</v>
      </c>
      <c r="CQR2" s="133" t="s">
        <v>3611</v>
      </c>
      <c r="CQS2" s="133" t="s">
        <v>3612</v>
      </c>
      <c r="CQT2" s="133" t="s">
        <v>3613</v>
      </c>
      <c r="CQU2" s="133" t="s">
        <v>3614</v>
      </c>
      <c r="CQV2" s="133" t="s">
        <v>3615</v>
      </c>
      <c r="CQW2" s="133" t="s">
        <v>3616</v>
      </c>
      <c r="CQX2" s="133" t="s">
        <v>3617</v>
      </c>
      <c r="CQY2" s="133" t="s">
        <v>3618</v>
      </c>
      <c r="CQZ2" s="133" t="s">
        <v>3619</v>
      </c>
      <c r="CRA2" s="133" t="s">
        <v>3620</v>
      </c>
      <c r="CRB2" s="133" t="s">
        <v>3621</v>
      </c>
      <c r="CRC2" s="133" t="s">
        <v>3622</v>
      </c>
      <c r="CRD2" s="133" t="s">
        <v>3623</v>
      </c>
      <c r="CRE2" s="133" t="s">
        <v>3624</v>
      </c>
      <c r="CRF2" s="133" t="s">
        <v>3625</v>
      </c>
      <c r="CRG2" s="133" t="s">
        <v>3626</v>
      </c>
      <c r="CRH2" s="133" t="s">
        <v>3627</v>
      </c>
      <c r="CRI2" s="133" t="s">
        <v>3628</v>
      </c>
      <c r="CRJ2" s="133" t="s">
        <v>3629</v>
      </c>
      <c r="CRK2" s="133" t="s">
        <v>3630</v>
      </c>
      <c r="CRL2" s="133" t="s">
        <v>3631</v>
      </c>
      <c r="CRM2" s="133" t="s">
        <v>3632</v>
      </c>
      <c r="CRN2" s="133" t="s">
        <v>3633</v>
      </c>
      <c r="CRO2" s="133" t="s">
        <v>3634</v>
      </c>
      <c r="CRP2" s="133" t="s">
        <v>3635</v>
      </c>
      <c r="CRQ2" s="133" t="s">
        <v>3636</v>
      </c>
      <c r="CRR2" s="133" t="s">
        <v>3637</v>
      </c>
      <c r="CRS2" s="133" t="s">
        <v>3638</v>
      </c>
      <c r="CRT2" s="133" t="s">
        <v>3639</v>
      </c>
      <c r="CRU2" s="133" t="s">
        <v>3640</v>
      </c>
      <c r="CRV2" s="133" t="s">
        <v>3641</v>
      </c>
      <c r="CRW2" s="133" t="s">
        <v>3642</v>
      </c>
      <c r="CRX2" s="133" t="s">
        <v>3643</v>
      </c>
      <c r="CRY2" s="133" t="s">
        <v>3644</v>
      </c>
      <c r="CRZ2" s="133" t="s">
        <v>3645</v>
      </c>
      <c r="CSA2" s="133" t="s">
        <v>3646</v>
      </c>
      <c r="CSB2" s="133" t="s">
        <v>3647</v>
      </c>
      <c r="CSC2" s="133" t="s">
        <v>3648</v>
      </c>
      <c r="CSD2" s="133" t="s">
        <v>3649</v>
      </c>
      <c r="CSE2" s="133" t="s">
        <v>3650</v>
      </c>
      <c r="CSF2" s="133" t="s">
        <v>3651</v>
      </c>
      <c r="CSG2" s="133" t="s">
        <v>3652</v>
      </c>
      <c r="CSH2" s="133" t="s">
        <v>3653</v>
      </c>
      <c r="CSI2" s="133" t="s">
        <v>3654</v>
      </c>
      <c r="CSJ2" s="133" t="s">
        <v>3655</v>
      </c>
      <c r="CSK2" s="133" t="s">
        <v>3656</v>
      </c>
      <c r="CSL2" s="133" t="s">
        <v>3657</v>
      </c>
      <c r="CSM2" s="133" t="s">
        <v>3658</v>
      </c>
      <c r="CSN2" s="133" t="s">
        <v>3659</v>
      </c>
      <c r="CSO2" s="133" t="s">
        <v>3660</v>
      </c>
      <c r="CSP2" s="133" t="s">
        <v>3661</v>
      </c>
      <c r="CSQ2" s="133" t="s">
        <v>3662</v>
      </c>
      <c r="CSR2" s="133" t="s">
        <v>3663</v>
      </c>
      <c r="CSS2" s="133" t="s">
        <v>3664</v>
      </c>
      <c r="CST2" s="133" t="s">
        <v>3665</v>
      </c>
      <c r="CSU2" s="133" t="s">
        <v>3666</v>
      </c>
      <c r="CSV2" s="133" t="s">
        <v>3667</v>
      </c>
      <c r="CSW2" s="133" t="s">
        <v>3668</v>
      </c>
      <c r="CSX2" s="133" t="s">
        <v>3669</v>
      </c>
      <c r="CSY2" s="133" t="s">
        <v>3670</v>
      </c>
      <c r="CSZ2" s="133" t="s">
        <v>3671</v>
      </c>
      <c r="CTA2" s="133" t="s">
        <v>3672</v>
      </c>
      <c r="CTB2" s="133" t="s">
        <v>3673</v>
      </c>
      <c r="CTC2" s="133" t="s">
        <v>3674</v>
      </c>
      <c r="CTD2" s="133" t="s">
        <v>3675</v>
      </c>
      <c r="CTE2" s="133" t="s">
        <v>3676</v>
      </c>
      <c r="CTF2" s="133" t="s">
        <v>3677</v>
      </c>
      <c r="CTG2" s="133" t="s">
        <v>3678</v>
      </c>
      <c r="CTH2" s="133" t="s">
        <v>3679</v>
      </c>
      <c r="CTI2" s="133" t="s">
        <v>3680</v>
      </c>
      <c r="CTJ2" s="133" t="s">
        <v>3681</v>
      </c>
      <c r="CTK2" s="133" t="s">
        <v>3682</v>
      </c>
      <c r="CTL2" s="133" t="s">
        <v>3683</v>
      </c>
      <c r="CTM2" s="133" t="s">
        <v>3684</v>
      </c>
      <c r="CTN2" s="133" t="s">
        <v>3685</v>
      </c>
      <c r="CTO2" s="133" t="s">
        <v>3686</v>
      </c>
      <c r="CTP2" s="133" t="s">
        <v>3687</v>
      </c>
      <c r="CTQ2" s="133" t="s">
        <v>3688</v>
      </c>
      <c r="CTR2" s="133" t="s">
        <v>3689</v>
      </c>
      <c r="CTS2" s="133" t="s">
        <v>3690</v>
      </c>
      <c r="CTT2" s="133" t="s">
        <v>3691</v>
      </c>
      <c r="CTU2" s="133" t="s">
        <v>3692</v>
      </c>
      <c r="CTV2" s="133" t="s">
        <v>3693</v>
      </c>
      <c r="CTW2" s="133" t="s">
        <v>3694</v>
      </c>
      <c r="CTX2" s="133" t="s">
        <v>3695</v>
      </c>
      <c r="CTY2" s="133" t="s">
        <v>3696</v>
      </c>
      <c r="CTZ2" s="133" t="s">
        <v>3697</v>
      </c>
      <c r="CUA2" s="133" t="s">
        <v>3698</v>
      </c>
      <c r="CUB2" s="133" t="s">
        <v>3699</v>
      </c>
      <c r="CUC2" s="133" t="s">
        <v>3700</v>
      </c>
      <c r="CUD2" s="133" t="s">
        <v>3701</v>
      </c>
      <c r="CUE2" s="133" t="s">
        <v>3702</v>
      </c>
      <c r="CUF2" s="133" t="s">
        <v>3703</v>
      </c>
      <c r="CUG2" s="133" t="s">
        <v>3704</v>
      </c>
      <c r="CUH2" s="133" t="s">
        <v>3705</v>
      </c>
      <c r="CUI2" s="133" t="s">
        <v>3706</v>
      </c>
      <c r="CUJ2" s="133" t="s">
        <v>3707</v>
      </c>
      <c r="CUK2" s="133" t="s">
        <v>3708</v>
      </c>
      <c r="CUL2" s="133" t="s">
        <v>3709</v>
      </c>
      <c r="CUM2" s="133" t="s">
        <v>3710</v>
      </c>
      <c r="CUN2" s="133" t="s">
        <v>3711</v>
      </c>
      <c r="CUO2" s="133" t="s">
        <v>3712</v>
      </c>
      <c r="CUP2" s="133" t="s">
        <v>3713</v>
      </c>
      <c r="CUQ2" s="133" t="s">
        <v>3714</v>
      </c>
      <c r="CUR2" s="133" t="s">
        <v>3715</v>
      </c>
      <c r="CUS2" s="133" t="s">
        <v>3716</v>
      </c>
      <c r="CUT2" s="133" t="s">
        <v>3717</v>
      </c>
      <c r="CUU2" s="133" t="s">
        <v>3718</v>
      </c>
      <c r="CUV2" s="133" t="s">
        <v>3719</v>
      </c>
      <c r="CUW2" s="133" t="s">
        <v>3720</v>
      </c>
      <c r="CUX2" s="133" t="s">
        <v>3721</v>
      </c>
      <c r="CUY2" s="133" t="s">
        <v>3722</v>
      </c>
      <c r="CUZ2" s="133" t="s">
        <v>3723</v>
      </c>
      <c r="CVA2" s="133" t="s">
        <v>3724</v>
      </c>
      <c r="CVB2" s="133" t="s">
        <v>3725</v>
      </c>
      <c r="CVC2" s="133" t="s">
        <v>3726</v>
      </c>
      <c r="CVD2" s="133" t="s">
        <v>3727</v>
      </c>
      <c r="CVE2" s="133" t="s">
        <v>3728</v>
      </c>
      <c r="CVF2" s="133" t="s">
        <v>3729</v>
      </c>
      <c r="CVG2" s="133" t="s">
        <v>3730</v>
      </c>
      <c r="CVH2" s="133" t="s">
        <v>3731</v>
      </c>
      <c r="CVI2" s="133" t="s">
        <v>3732</v>
      </c>
      <c r="CVJ2" s="133" t="s">
        <v>3733</v>
      </c>
      <c r="CVK2" s="133" t="s">
        <v>3734</v>
      </c>
      <c r="CVL2" s="133" t="s">
        <v>3735</v>
      </c>
      <c r="CVM2" s="133" t="s">
        <v>3736</v>
      </c>
      <c r="CVN2" s="133" t="s">
        <v>3737</v>
      </c>
      <c r="CVO2" s="133" t="s">
        <v>3738</v>
      </c>
      <c r="CVP2" s="133" t="s">
        <v>3739</v>
      </c>
      <c r="CVQ2" s="133" t="s">
        <v>3740</v>
      </c>
      <c r="CVR2" s="133" t="s">
        <v>3741</v>
      </c>
      <c r="CVS2" s="133" t="s">
        <v>3742</v>
      </c>
      <c r="CVT2" s="133" t="s">
        <v>3743</v>
      </c>
      <c r="CVU2" s="133" t="s">
        <v>3744</v>
      </c>
      <c r="CVV2" s="133" t="s">
        <v>3745</v>
      </c>
      <c r="CVW2" s="133" t="s">
        <v>3746</v>
      </c>
      <c r="CVX2" s="133" t="s">
        <v>3747</v>
      </c>
      <c r="CVY2" s="133" t="s">
        <v>3748</v>
      </c>
      <c r="CVZ2" s="133" t="s">
        <v>3749</v>
      </c>
      <c r="CWA2" s="133" t="s">
        <v>3750</v>
      </c>
      <c r="CWB2" s="133" t="s">
        <v>3751</v>
      </c>
      <c r="CWC2" s="133" t="s">
        <v>3752</v>
      </c>
      <c r="CWD2" s="133" t="s">
        <v>3753</v>
      </c>
      <c r="CWE2" s="133" t="s">
        <v>3754</v>
      </c>
      <c r="CWF2" s="133" t="s">
        <v>3755</v>
      </c>
      <c r="CWG2" s="133" t="s">
        <v>3756</v>
      </c>
      <c r="CWH2" s="133" t="s">
        <v>3757</v>
      </c>
      <c r="CWI2" s="133" t="s">
        <v>3758</v>
      </c>
      <c r="CWJ2" s="133" t="s">
        <v>3759</v>
      </c>
      <c r="CWK2" s="133" t="s">
        <v>3760</v>
      </c>
      <c r="CWL2" s="133" t="s">
        <v>3761</v>
      </c>
      <c r="CWM2" s="133" t="s">
        <v>3762</v>
      </c>
      <c r="CWN2" s="133" t="s">
        <v>3763</v>
      </c>
      <c r="CWO2" s="133" t="s">
        <v>3764</v>
      </c>
      <c r="CWP2" s="133" t="s">
        <v>3765</v>
      </c>
      <c r="CWQ2" s="133" t="s">
        <v>3766</v>
      </c>
      <c r="CWR2" s="133" t="s">
        <v>3767</v>
      </c>
      <c r="CWS2" s="133" t="s">
        <v>3768</v>
      </c>
      <c r="CWT2" s="133" t="s">
        <v>3769</v>
      </c>
      <c r="CWU2" s="133" t="s">
        <v>3770</v>
      </c>
      <c r="CWV2" s="133" t="s">
        <v>3771</v>
      </c>
      <c r="CWW2" s="133" t="s">
        <v>3772</v>
      </c>
      <c r="CWX2" s="133" t="s">
        <v>3773</v>
      </c>
      <c r="CWY2" s="133" t="s">
        <v>3774</v>
      </c>
      <c r="CWZ2" s="133" t="s">
        <v>3775</v>
      </c>
      <c r="CXA2" s="133" t="s">
        <v>3776</v>
      </c>
      <c r="CXB2" s="133" t="s">
        <v>3777</v>
      </c>
      <c r="CXC2" s="133" t="s">
        <v>3778</v>
      </c>
      <c r="CXD2" s="133" t="s">
        <v>3779</v>
      </c>
      <c r="CXE2" s="133" t="s">
        <v>3780</v>
      </c>
      <c r="CXF2" s="133" t="s">
        <v>3781</v>
      </c>
      <c r="CXG2" s="133" t="s">
        <v>3782</v>
      </c>
      <c r="CXH2" s="133" t="s">
        <v>3783</v>
      </c>
      <c r="CXI2" s="133" t="s">
        <v>3784</v>
      </c>
      <c r="CXJ2" s="133" t="s">
        <v>3785</v>
      </c>
      <c r="CXK2" s="133" t="s">
        <v>3786</v>
      </c>
      <c r="CXL2" s="133" t="s">
        <v>3787</v>
      </c>
      <c r="CXM2" s="133" t="s">
        <v>3788</v>
      </c>
      <c r="CXN2" s="133" t="s">
        <v>3789</v>
      </c>
      <c r="CXO2" s="133" t="s">
        <v>3790</v>
      </c>
      <c r="CXP2" s="133" t="s">
        <v>3791</v>
      </c>
      <c r="CXQ2" s="133" t="s">
        <v>3792</v>
      </c>
      <c r="CXR2" s="133" t="s">
        <v>3793</v>
      </c>
      <c r="CXS2" s="133" t="s">
        <v>3794</v>
      </c>
      <c r="CXT2" s="133" t="s">
        <v>3795</v>
      </c>
      <c r="CXU2" s="133" t="s">
        <v>3796</v>
      </c>
      <c r="CXV2" s="133" t="s">
        <v>3797</v>
      </c>
      <c r="CXW2" s="133" t="s">
        <v>3798</v>
      </c>
      <c r="CXX2" s="133" t="s">
        <v>3799</v>
      </c>
      <c r="CXY2" s="133" t="s">
        <v>3800</v>
      </c>
      <c r="CXZ2" s="133" t="s">
        <v>3801</v>
      </c>
      <c r="CYA2" s="133" t="s">
        <v>3802</v>
      </c>
      <c r="CYB2" s="133" t="s">
        <v>3803</v>
      </c>
      <c r="CYC2" s="133" t="s">
        <v>3804</v>
      </c>
      <c r="CYD2" s="133" t="s">
        <v>3805</v>
      </c>
      <c r="CYE2" s="133" t="s">
        <v>3806</v>
      </c>
      <c r="CYF2" s="133" t="s">
        <v>3807</v>
      </c>
      <c r="CYG2" s="133" t="s">
        <v>3808</v>
      </c>
      <c r="CYH2" s="133" t="s">
        <v>3809</v>
      </c>
      <c r="CYI2" s="133" t="s">
        <v>3810</v>
      </c>
      <c r="CYJ2" s="133" t="s">
        <v>3811</v>
      </c>
      <c r="CYK2" s="133" t="s">
        <v>3812</v>
      </c>
      <c r="CYL2" s="133" t="s">
        <v>3813</v>
      </c>
      <c r="CYM2" s="133" t="s">
        <v>3814</v>
      </c>
      <c r="CYN2" s="133" t="s">
        <v>3815</v>
      </c>
      <c r="CYO2" s="133" t="s">
        <v>3816</v>
      </c>
      <c r="CYP2" s="133" t="s">
        <v>3817</v>
      </c>
      <c r="CYQ2" s="133" t="s">
        <v>3818</v>
      </c>
      <c r="CYR2" s="133" t="s">
        <v>3819</v>
      </c>
      <c r="CYS2" s="133" t="s">
        <v>3820</v>
      </c>
      <c r="CYT2" s="133" t="s">
        <v>3821</v>
      </c>
      <c r="CYU2" s="133" t="s">
        <v>3822</v>
      </c>
      <c r="CYV2" s="133" t="s">
        <v>3823</v>
      </c>
      <c r="CYW2" s="133" t="s">
        <v>3824</v>
      </c>
      <c r="CYX2" s="133" t="s">
        <v>3825</v>
      </c>
      <c r="CYY2" s="133" t="s">
        <v>3826</v>
      </c>
      <c r="CYZ2" s="133" t="s">
        <v>3827</v>
      </c>
      <c r="CZA2" s="133" t="s">
        <v>3828</v>
      </c>
      <c r="CZB2" s="133" t="s">
        <v>3829</v>
      </c>
      <c r="CZC2" s="133" t="s">
        <v>3830</v>
      </c>
      <c r="CZD2" s="133" t="s">
        <v>3831</v>
      </c>
      <c r="CZE2" s="133" t="s">
        <v>3832</v>
      </c>
      <c r="CZF2" s="133" t="s">
        <v>3833</v>
      </c>
      <c r="CZG2" s="133" t="s">
        <v>3834</v>
      </c>
      <c r="CZH2" s="133" t="s">
        <v>3835</v>
      </c>
      <c r="CZI2" s="133" t="s">
        <v>3836</v>
      </c>
      <c r="CZJ2" s="133" t="s">
        <v>3837</v>
      </c>
      <c r="CZK2" s="133" t="s">
        <v>3838</v>
      </c>
      <c r="CZL2" s="133" t="s">
        <v>3839</v>
      </c>
      <c r="CZM2" s="133" t="s">
        <v>3840</v>
      </c>
      <c r="CZN2" s="133" t="s">
        <v>3841</v>
      </c>
      <c r="CZO2" s="133" t="s">
        <v>3842</v>
      </c>
      <c r="CZP2" s="133" t="s">
        <v>3843</v>
      </c>
      <c r="CZQ2" s="133" t="s">
        <v>3844</v>
      </c>
      <c r="CZR2" s="133" t="s">
        <v>3845</v>
      </c>
      <c r="CZS2" s="133" t="s">
        <v>3846</v>
      </c>
      <c r="CZT2" s="133" t="s">
        <v>3847</v>
      </c>
      <c r="CZU2" s="133" t="s">
        <v>3848</v>
      </c>
      <c r="CZV2" s="133" t="s">
        <v>3849</v>
      </c>
      <c r="CZW2" s="133" t="s">
        <v>3850</v>
      </c>
      <c r="CZX2" s="133" t="s">
        <v>3851</v>
      </c>
      <c r="CZY2" s="133" t="s">
        <v>3852</v>
      </c>
      <c r="CZZ2" s="133" t="s">
        <v>3853</v>
      </c>
      <c r="DAA2" s="133" t="s">
        <v>3854</v>
      </c>
      <c r="DAB2" s="133" t="s">
        <v>3855</v>
      </c>
      <c r="DAC2" s="133" t="s">
        <v>3856</v>
      </c>
      <c r="DAD2" s="133" t="s">
        <v>3857</v>
      </c>
      <c r="DAE2" s="133" t="s">
        <v>3858</v>
      </c>
      <c r="DAF2" s="133" t="s">
        <v>3859</v>
      </c>
      <c r="DAG2" s="133" t="s">
        <v>3860</v>
      </c>
      <c r="DAH2" s="133" t="s">
        <v>3861</v>
      </c>
      <c r="DAI2" s="133" t="s">
        <v>3862</v>
      </c>
      <c r="DAJ2" s="133" t="s">
        <v>3863</v>
      </c>
      <c r="DAK2" s="133" t="s">
        <v>3864</v>
      </c>
      <c r="DAL2" s="133" t="s">
        <v>3865</v>
      </c>
      <c r="DAM2" s="133" t="s">
        <v>3866</v>
      </c>
      <c r="DAN2" s="133" t="s">
        <v>3867</v>
      </c>
      <c r="DAO2" s="133" t="s">
        <v>3868</v>
      </c>
      <c r="DAP2" s="133" t="s">
        <v>3869</v>
      </c>
      <c r="DAQ2" s="133" t="s">
        <v>3870</v>
      </c>
      <c r="DAR2" s="133" t="s">
        <v>3871</v>
      </c>
      <c r="DAS2" s="133" t="s">
        <v>3872</v>
      </c>
      <c r="DAT2" s="133" t="s">
        <v>3873</v>
      </c>
      <c r="DAU2" s="133" t="s">
        <v>3874</v>
      </c>
      <c r="DAV2" s="133" t="s">
        <v>3875</v>
      </c>
      <c r="DAW2" s="133" t="s">
        <v>3876</v>
      </c>
      <c r="DAX2" s="133" t="s">
        <v>3877</v>
      </c>
      <c r="DAY2" s="133" t="s">
        <v>3878</v>
      </c>
      <c r="DAZ2" s="133" t="s">
        <v>3879</v>
      </c>
      <c r="DBA2" s="133" t="s">
        <v>3880</v>
      </c>
      <c r="DBB2" s="133" t="s">
        <v>3881</v>
      </c>
      <c r="DBC2" s="133" t="s">
        <v>3882</v>
      </c>
      <c r="DBD2" s="133" t="s">
        <v>3883</v>
      </c>
      <c r="DBE2" s="133" t="s">
        <v>3884</v>
      </c>
      <c r="DBF2" s="133" t="s">
        <v>3885</v>
      </c>
      <c r="DBG2" s="133" t="s">
        <v>3886</v>
      </c>
      <c r="DBH2" s="133" t="s">
        <v>3887</v>
      </c>
      <c r="DBI2" s="133" t="s">
        <v>3888</v>
      </c>
      <c r="DBJ2" s="133" t="s">
        <v>3889</v>
      </c>
      <c r="DBK2" s="133" t="s">
        <v>3890</v>
      </c>
      <c r="DBL2" s="133" t="s">
        <v>3891</v>
      </c>
      <c r="DBM2" s="133" t="s">
        <v>3892</v>
      </c>
      <c r="DBN2" s="133" t="s">
        <v>3893</v>
      </c>
      <c r="DBO2" s="133" t="s">
        <v>3894</v>
      </c>
      <c r="DBP2" s="133" t="s">
        <v>3895</v>
      </c>
      <c r="DBQ2" s="133" t="s">
        <v>3896</v>
      </c>
      <c r="DBR2" s="133" t="s">
        <v>3897</v>
      </c>
      <c r="DBS2" s="133" t="s">
        <v>3898</v>
      </c>
      <c r="DBT2" s="133" t="s">
        <v>3899</v>
      </c>
      <c r="DBU2" s="133" t="s">
        <v>3900</v>
      </c>
      <c r="DBV2" s="133" t="s">
        <v>3901</v>
      </c>
      <c r="DBW2" s="133" t="s">
        <v>3902</v>
      </c>
      <c r="DBX2" s="133" t="s">
        <v>3903</v>
      </c>
      <c r="DBY2" s="133" t="s">
        <v>3904</v>
      </c>
      <c r="DBZ2" s="133" t="s">
        <v>3905</v>
      </c>
      <c r="DCA2" s="133" t="s">
        <v>3906</v>
      </c>
      <c r="DCB2" s="133" t="s">
        <v>3907</v>
      </c>
      <c r="DCC2" s="133" t="s">
        <v>3908</v>
      </c>
      <c r="DCD2" s="133" t="s">
        <v>3909</v>
      </c>
      <c r="DCE2" s="133" t="s">
        <v>3910</v>
      </c>
      <c r="DCF2" s="133" t="s">
        <v>3911</v>
      </c>
      <c r="DCG2" s="133" t="s">
        <v>3912</v>
      </c>
      <c r="DCH2" s="133" t="s">
        <v>3913</v>
      </c>
      <c r="DCI2" s="133" t="s">
        <v>3914</v>
      </c>
      <c r="DCJ2" s="133" t="s">
        <v>3915</v>
      </c>
      <c r="DCK2" s="133" t="s">
        <v>3916</v>
      </c>
      <c r="DCL2" s="133" t="s">
        <v>3917</v>
      </c>
      <c r="DCM2" s="133" t="s">
        <v>3918</v>
      </c>
      <c r="DCN2" s="133" t="s">
        <v>3919</v>
      </c>
      <c r="DCO2" s="133" t="s">
        <v>3920</v>
      </c>
      <c r="DCP2" s="133" t="s">
        <v>3921</v>
      </c>
      <c r="DCQ2" s="133" t="s">
        <v>3922</v>
      </c>
      <c r="DCR2" s="133" t="s">
        <v>3923</v>
      </c>
      <c r="DCS2" s="133" t="s">
        <v>3924</v>
      </c>
      <c r="DCT2" s="133" t="s">
        <v>3925</v>
      </c>
      <c r="DCU2" s="133" t="s">
        <v>3926</v>
      </c>
      <c r="DCV2" s="133" t="s">
        <v>3927</v>
      </c>
      <c r="DCW2" s="133" t="s">
        <v>3928</v>
      </c>
      <c r="DCX2" s="133" t="s">
        <v>3929</v>
      </c>
      <c r="DCY2" s="133" t="s">
        <v>3930</v>
      </c>
      <c r="DCZ2" s="133" t="s">
        <v>3931</v>
      </c>
      <c r="DDA2" s="133" t="s">
        <v>3932</v>
      </c>
      <c r="DDB2" s="133" t="s">
        <v>3933</v>
      </c>
      <c r="DDC2" s="133" t="s">
        <v>3934</v>
      </c>
      <c r="DDD2" s="133" t="s">
        <v>3935</v>
      </c>
      <c r="DDE2" s="133" t="s">
        <v>3936</v>
      </c>
      <c r="DDF2" s="133" t="s">
        <v>3937</v>
      </c>
      <c r="DDG2" s="133" t="s">
        <v>3938</v>
      </c>
      <c r="DDH2" s="133" t="s">
        <v>3939</v>
      </c>
      <c r="DDI2" s="133" t="s">
        <v>3940</v>
      </c>
      <c r="DDJ2" s="133" t="s">
        <v>3941</v>
      </c>
      <c r="DDK2" s="133" t="s">
        <v>3942</v>
      </c>
      <c r="DDL2" s="133" t="s">
        <v>3943</v>
      </c>
      <c r="DDM2" s="133" t="s">
        <v>3944</v>
      </c>
      <c r="DDN2" s="133" t="s">
        <v>3945</v>
      </c>
      <c r="DDO2" s="133" t="s">
        <v>3946</v>
      </c>
      <c r="DDP2" s="133" t="s">
        <v>3947</v>
      </c>
      <c r="DDQ2" s="133" t="s">
        <v>3948</v>
      </c>
      <c r="DDR2" s="133" t="s">
        <v>3949</v>
      </c>
      <c r="DDS2" s="133" t="s">
        <v>3950</v>
      </c>
      <c r="DDT2" s="133" t="s">
        <v>3951</v>
      </c>
      <c r="DDU2" s="133" t="s">
        <v>3952</v>
      </c>
      <c r="DDV2" s="133" t="s">
        <v>3953</v>
      </c>
      <c r="DDW2" s="133" t="s">
        <v>3954</v>
      </c>
      <c r="DDX2" s="133" t="s">
        <v>3955</v>
      </c>
      <c r="DDY2" s="133" t="s">
        <v>3956</v>
      </c>
      <c r="DDZ2" s="133" t="s">
        <v>3957</v>
      </c>
      <c r="DEA2" s="133" t="s">
        <v>3958</v>
      </c>
      <c r="DEB2" s="133" t="s">
        <v>3959</v>
      </c>
      <c r="DEC2" s="133" t="s">
        <v>3960</v>
      </c>
      <c r="DED2" s="133" t="s">
        <v>3961</v>
      </c>
      <c r="DEE2" s="133" t="s">
        <v>3962</v>
      </c>
      <c r="DEF2" s="133" t="s">
        <v>3963</v>
      </c>
      <c r="DEG2" s="133" t="s">
        <v>3964</v>
      </c>
      <c r="DEH2" s="133" t="s">
        <v>3965</v>
      </c>
      <c r="DEI2" s="133" t="s">
        <v>3966</v>
      </c>
      <c r="DEJ2" s="133" t="s">
        <v>3967</v>
      </c>
      <c r="DEK2" s="133" t="s">
        <v>3968</v>
      </c>
      <c r="DEL2" s="133" t="s">
        <v>3969</v>
      </c>
      <c r="DEM2" s="133" t="s">
        <v>3970</v>
      </c>
      <c r="DEN2" s="133" t="s">
        <v>3971</v>
      </c>
      <c r="DEO2" s="133" t="s">
        <v>3972</v>
      </c>
      <c r="DEP2" s="133" t="s">
        <v>3973</v>
      </c>
      <c r="DEQ2" s="133" t="s">
        <v>3974</v>
      </c>
      <c r="DER2" s="133" t="s">
        <v>3975</v>
      </c>
      <c r="DES2" s="133" t="s">
        <v>3976</v>
      </c>
      <c r="DET2" s="133" t="s">
        <v>3977</v>
      </c>
      <c r="DEU2" s="133" t="s">
        <v>3978</v>
      </c>
      <c r="DEV2" s="133" t="s">
        <v>3979</v>
      </c>
      <c r="DEW2" s="133" t="s">
        <v>3980</v>
      </c>
      <c r="DEX2" s="133" t="s">
        <v>3981</v>
      </c>
      <c r="DEY2" s="133" t="s">
        <v>3982</v>
      </c>
      <c r="DEZ2" s="133" t="s">
        <v>3983</v>
      </c>
      <c r="DFA2" s="133" t="s">
        <v>3984</v>
      </c>
      <c r="DFB2" s="133" t="s">
        <v>3985</v>
      </c>
      <c r="DFC2" s="133" t="s">
        <v>3986</v>
      </c>
      <c r="DFD2" s="133" t="s">
        <v>3987</v>
      </c>
      <c r="DFE2" s="133" t="s">
        <v>3988</v>
      </c>
      <c r="DFF2" s="133" t="s">
        <v>3989</v>
      </c>
      <c r="DFG2" s="133" t="s">
        <v>3990</v>
      </c>
      <c r="DFH2" s="133" t="s">
        <v>3991</v>
      </c>
      <c r="DFI2" s="133" t="s">
        <v>3992</v>
      </c>
      <c r="DFJ2" s="133" t="s">
        <v>3993</v>
      </c>
      <c r="DFK2" s="133" t="s">
        <v>3994</v>
      </c>
      <c r="DFL2" s="133" t="s">
        <v>3995</v>
      </c>
      <c r="DFM2" s="133" t="s">
        <v>3996</v>
      </c>
      <c r="DFN2" s="133" t="s">
        <v>3997</v>
      </c>
      <c r="DFO2" s="133" t="s">
        <v>3998</v>
      </c>
      <c r="DFP2" s="133" t="s">
        <v>3999</v>
      </c>
      <c r="DFQ2" s="133" t="s">
        <v>4000</v>
      </c>
      <c r="DFR2" s="133" t="s">
        <v>4001</v>
      </c>
      <c r="DFS2" s="133" t="s">
        <v>4002</v>
      </c>
      <c r="DFT2" s="133" t="s">
        <v>4003</v>
      </c>
      <c r="DFU2" s="133" t="s">
        <v>4004</v>
      </c>
      <c r="DFV2" s="133" t="s">
        <v>4005</v>
      </c>
      <c r="DFW2" s="133" t="s">
        <v>4006</v>
      </c>
      <c r="DFX2" s="133" t="s">
        <v>4007</v>
      </c>
      <c r="DFY2" s="133" t="s">
        <v>4008</v>
      </c>
      <c r="DFZ2" s="133" t="s">
        <v>4009</v>
      </c>
      <c r="DGA2" s="133" t="s">
        <v>4010</v>
      </c>
      <c r="DGB2" s="133" t="s">
        <v>4011</v>
      </c>
      <c r="DGC2" s="133" t="s">
        <v>4012</v>
      </c>
      <c r="DGD2" s="133" t="s">
        <v>4013</v>
      </c>
      <c r="DGE2" s="133" t="s">
        <v>4014</v>
      </c>
      <c r="DGF2" s="133" t="s">
        <v>4015</v>
      </c>
      <c r="DGG2" s="133" t="s">
        <v>4016</v>
      </c>
      <c r="DGH2" s="133" t="s">
        <v>4017</v>
      </c>
      <c r="DGI2" s="133" t="s">
        <v>4018</v>
      </c>
      <c r="DGJ2" s="133" t="s">
        <v>4019</v>
      </c>
      <c r="DGK2" s="133" t="s">
        <v>4020</v>
      </c>
      <c r="DGL2" s="133" t="s">
        <v>4021</v>
      </c>
      <c r="DGM2" s="133" t="s">
        <v>4022</v>
      </c>
      <c r="DGN2" s="133" t="s">
        <v>4023</v>
      </c>
      <c r="DGO2" s="133" t="s">
        <v>4024</v>
      </c>
      <c r="DGP2" s="133" t="s">
        <v>4025</v>
      </c>
      <c r="DGQ2" s="133" t="s">
        <v>4026</v>
      </c>
      <c r="DGR2" s="133" t="s">
        <v>4027</v>
      </c>
      <c r="DGS2" s="133" t="s">
        <v>4028</v>
      </c>
      <c r="DGT2" s="133" t="s">
        <v>4029</v>
      </c>
      <c r="DGU2" s="133" t="s">
        <v>4030</v>
      </c>
      <c r="DGV2" s="133" t="s">
        <v>4031</v>
      </c>
      <c r="DGW2" s="133" t="s">
        <v>4032</v>
      </c>
      <c r="DGX2" s="133" t="s">
        <v>4033</v>
      </c>
      <c r="DGY2" s="133" t="s">
        <v>4034</v>
      </c>
      <c r="DGZ2" s="133" t="s">
        <v>4035</v>
      </c>
      <c r="DHA2" s="133" t="s">
        <v>4036</v>
      </c>
      <c r="DHB2" s="133" t="s">
        <v>4037</v>
      </c>
      <c r="DHC2" s="133" t="s">
        <v>4038</v>
      </c>
      <c r="DHD2" s="133" t="s">
        <v>4039</v>
      </c>
      <c r="DHE2" s="133" t="s">
        <v>4040</v>
      </c>
      <c r="DHF2" s="133" t="s">
        <v>4041</v>
      </c>
      <c r="DHG2" s="133" t="s">
        <v>4042</v>
      </c>
      <c r="DHH2" s="133" t="s">
        <v>4043</v>
      </c>
      <c r="DHI2" s="133" t="s">
        <v>4044</v>
      </c>
      <c r="DHJ2" s="133" t="s">
        <v>4045</v>
      </c>
      <c r="DHK2" s="133" t="s">
        <v>4046</v>
      </c>
      <c r="DHL2" s="133" t="s">
        <v>4047</v>
      </c>
      <c r="DHM2" s="133" t="s">
        <v>4048</v>
      </c>
      <c r="DHN2" s="133" t="s">
        <v>4049</v>
      </c>
      <c r="DHO2" s="133" t="s">
        <v>4050</v>
      </c>
      <c r="DHP2" s="133" t="s">
        <v>4051</v>
      </c>
      <c r="DHQ2" s="133" t="s">
        <v>4052</v>
      </c>
      <c r="DHR2" s="133" t="s">
        <v>4053</v>
      </c>
      <c r="DHS2" s="133" t="s">
        <v>4054</v>
      </c>
      <c r="DHT2" s="133" t="s">
        <v>4055</v>
      </c>
      <c r="DHU2" s="133" t="s">
        <v>4056</v>
      </c>
      <c r="DHV2" s="133" t="s">
        <v>4057</v>
      </c>
      <c r="DHW2" s="133" t="s">
        <v>4058</v>
      </c>
      <c r="DHX2" s="133" t="s">
        <v>4059</v>
      </c>
      <c r="DHY2" s="133" t="s">
        <v>4060</v>
      </c>
      <c r="DHZ2" s="133" t="s">
        <v>4061</v>
      </c>
      <c r="DIA2" s="133" t="s">
        <v>4062</v>
      </c>
      <c r="DIB2" s="133" t="s">
        <v>4063</v>
      </c>
      <c r="DIC2" s="133" t="s">
        <v>4064</v>
      </c>
      <c r="DID2" s="133" t="s">
        <v>4065</v>
      </c>
      <c r="DIE2" s="133" t="s">
        <v>4066</v>
      </c>
      <c r="DIF2" s="133" t="s">
        <v>4067</v>
      </c>
      <c r="DIG2" s="133" t="s">
        <v>4068</v>
      </c>
      <c r="DIH2" s="133" t="s">
        <v>4069</v>
      </c>
      <c r="DII2" s="133" t="s">
        <v>4070</v>
      </c>
      <c r="DIJ2" s="133" t="s">
        <v>4071</v>
      </c>
      <c r="DIK2" s="133" t="s">
        <v>4072</v>
      </c>
      <c r="DIL2" s="133" t="s">
        <v>4073</v>
      </c>
      <c r="DIM2" s="133" t="s">
        <v>4074</v>
      </c>
      <c r="DIN2" s="133" t="s">
        <v>4075</v>
      </c>
      <c r="DIO2" s="133" t="s">
        <v>4076</v>
      </c>
      <c r="DIP2" s="133" t="s">
        <v>4077</v>
      </c>
      <c r="DIQ2" s="133" t="s">
        <v>4078</v>
      </c>
      <c r="DIR2" s="133" t="s">
        <v>4079</v>
      </c>
      <c r="DIS2" s="133" t="s">
        <v>4080</v>
      </c>
      <c r="DIT2" s="133" t="s">
        <v>4081</v>
      </c>
      <c r="DIU2" s="133" t="s">
        <v>4082</v>
      </c>
      <c r="DIV2" s="133" t="s">
        <v>4083</v>
      </c>
      <c r="DIW2" s="133" t="s">
        <v>4084</v>
      </c>
      <c r="DIX2" s="133" t="s">
        <v>4085</v>
      </c>
      <c r="DIY2" s="133" t="s">
        <v>4086</v>
      </c>
      <c r="DIZ2" s="133" t="s">
        <v>4087</v>
      </c>
      <c r="DJA2" s="133" t="s">
        <v>4088</v>
      </c>
      <c r="DJB2" s="133" t="s">
        <v>4089</v>
      </c>
      <c r="DJC2" s="133" t="s">
        <v>4090</v>
      </c>
      <c r="DJD2" s="133" t="s">
        <v>4091</v>
      </c>
      <c r="DJE2" s="133" t="s">
        <v>4092</v>
      </c>
      <c r="DJF2" s="133" t="s">
        <v>4093</v>
      </c>
      <c r="DJG2" s="133" t="s">
        <v>4094</v>
      </c>
      <c r="DJH2" s="133" t="s">
        <v>4095</v>
      </c>
      <c r="DJI2" s="133" t="s">
        <v>4096</v>
      </c>
      <c r="DJJ2" s="133" t="s">
        <v>4097</v>
      </c>
      <c r="DJK2" s="133" t="s">
        <v>4098</v>
      </c>
      <c r="DJL2" s="133" t="s">
        <v>4099</v>
      </c>
      <c r="DJM2" s="133" t="s">
        <v>4100</v>
      </c>
      <c r="DJN2" s="133" t="s">
        <v>4101</v>
      </c>
      <c r="DJO2" s="133" t="s">
        <v>4102</v>
      </c>
      <c r="DJP2" s="133" t="s">
        <v>4103</v>
      </c>
      <c r="DJQ2" s="133" t="s">
        <v>4104</v>
      </c>
      <c r="DJR2" s="133" t="s">
        <v>4105</v>
      </c>
      <c r="DJS2" s="133" t="s">
        <v>4106</v>
      </c>
      <c r="DJT2" s="133" t="s">
        <v>4107</v>
      </c>
      <c r="DJU2" s="133" t="s">
        <v>4108</v>
      </c>
      <c r="DJV2" s="133" t="s">
        <v>4109</v>
      </c>
      <c r="DJW2" s="133" t="s">
        <v>4110</v>
      </c>
      <c r="DJX2" s="133" t="s">
        <v>4111</v>
      </c>
      <c r="DJY2" s="133" t="s">
        <v>4112</v>
      </c>
      <c r="DJZ2" s="133" t="s">
        <v>4113</v>
      </c>
      <c r="DKA2" s="133" t="s">
        <v>4114</v>
      </c>
      <c r="DKB2" s="133" t="s">
        <v>4115</v>
      </c>
      <c r="DKC2" s="133" t="s">
        <v>4116</v>
      </c>
      <c r="DKD2" s="133" t="s">
        <v>4117</v>
      </c>
      <c r="DKE2" s="133" t="s">
        <v>4118</v>
      </c>
      <c r="DKF2" s="133" t="s">
        <v>4119</v>
      </c>
      <c r="DKG2" s="133" t="s">
        <v>4120</v>
      </c>
      <c r="DKH2" s="133" t="s">
        <v>4121</v>
      </c>
      <c r="DKI2" s="133" t="s">
        <v>4122</v>
      </c>
      <c r="DKJ2" s="133" t="s">
        <v>4123</v>
      </c>
      <c r="DKK2" s="133" t="s">
        <v>4124</v>
      </c>
      <c r="DKL2" s="133" t="s">
        <v>4125</v>
      </c>
      <c r="DKM2" s="133" t="s">
        <v>4126</v>
      </c>
      <c r="DKN2" s="133" t="s">
        <v>4127</v>
      </c>
      <c r="DKO2" s="133" t="s">
        <v>4128</v>
      </c>
      <c r="DKP2" s="133" t="s">
        <v>4129</v>
      </c>
      <c r="DKQ2" s="133" t="s">
        <v>4130</v>
      </c>
      <c r="DKR2" s="133" t="s">
        <v>4131</v>
      </c>
      <c r="DKS2" s="133" t="s">
        <v>4132</v>
      </c>
      <c r="DKT2" s="133" t="s">
        <v>4133</v>
      </c>
      <c r="DKU2" s="133" t="s">
        <v>4134</v>
      </c>
      <c r="DKV2" s="133" t="s">
        <v>4135</v>
      </c>
      <c r="DKW2" s="133" t="s">
        <v>4136</v>
      </c>
      <c r="DKX2" s="133" t="s">
        <v>4137</v>
      </c>
      <c r="DKY2" s="133" t="s">
        <v>4138</v>
      </c>
      <c r="DKZ2" s="133" t="s">
        <v>4139</v>
      </c>
      <c r="DLA2" s="133" t="s">
        <v>4140</v>
      </c>
      <c r="DLB2" s="133" t="s">
        <v>4141</v>
      </c>
      <c r="DLC2" s="133" t="s">
        <v>4142</v>
      </c>
      <c r="DLD2" s="133" t="s">
        <v>4143</v>
      </c>
      <c r="DLE2" s="133" t="s">
        <v>4144</v>
      </c>
      <c r="DLF2" s="133" t="s">
        <v>4145</v>
      </c>
      <c r="DLG2" s="133" t="s">
        <v>4146</v>
      </c>
      <c r="DLH2" s="133" t="s">
        <v>4147</v>
      </c>
      <c r="DLI2" s="133" t="s">
        <v>4148</v>
      </c>
      <c r="DLJ2" s="133" t="s">
        <v>4149</v>
      </c>
      <c r="DLK2" s="133" t="s">
        <v>4150</v>
      </c>
      <c r="DLL2" s="133" t="s">
        <v>4151</v>
      </c>
      <c r="DLM2" s="133" t="s">
        <v>4152</v>
      </c>
      <c r="DLN2" s="133" t="s">
        <v>4153</v>
      </c>
      <c r="DLO2" s="133" t="s">
        <v>4154</v>
      </c>
      <c r="DLP2" s="133" t="s">
        <v>4155</v>
      </c>
      <c r="DLQ2" s="133" t="s">
        <v>4156</v>
      </c>
      <c r="DLR2" s="133" t="s">
        <v>4157</v>
      </c>
      <c r="DLS2" s="133" t="s">
        <v>4158</v>
      </c>
      <c r="DLT2" s="133" t="s">
        <v>4159</v>
      </c>
      <c r="DLU2" s="133" t="s">
        <v>4160</v>
      </c>
      <c r="DLV2" s="133" t="s">
        <v>4161</v>
      </c>
      <c r="DLW2" s="133" t="s">
        <v>4162</v>
      </c>
      <c r="DLX2" s="133" t="s">
        <v>4163</v>
      </c>
      <c r="DLY2" s="133" t="s">
        <v>4164</v>
      </c>
      <c r="DLZ2" s="133" t="s">
        <v>4165</v>
      </c>
      <c r="DMA2" s="133" t="s">
        <v>4166</v>
      </c>
      <c r="DMB2" s="133" t="s">
        <v>4167</v>
      </c>
      <c r="DMC2" s="133" t="s">
        <v>4168</v>
      </c>
      <c r="DMD2" s="133" t="s">
        <v>4169</v>
      </c>
      <c r="DME2" s="133" t="s">
        <v>4170</v>
      </c>
      <c r="DMF2" s="133" t="s">
        <v>4171</v>
      </c>
      <c r="DMG2" s="133" t="s">
        <v>4172</v>
      </c>
      <c r="DMH2" s="133" t="s">
        <v>4173</v>
      </c>
      <c r="DMI2" s="133" t="s">
        <v>4174</v>
      </c>
      <c r="DMJ2" s="133" t="s">
        <v>4175</v>
      </c>
      <c r="DMK2" s="133" t="s">
        <v>4176</v>
      </c>
      <c r="DML2" s="133" t="s">
        <v>4177</v>
      </c>
      <c r="DMM2" s="133" t="s">
        <v>4178</v>
      </c>
      <c r="DMN2" s="133" t="s">
        <v>4179</v>
      </c>
      <c r="DMO2" s="133" t="s">
        <v>4180</v>
      </c>
      <c r="DMP2" s="133" t="s">
        <v>4181</v>
      </c>
      <c r="DMQ2" s="133" t="s">
        <v>4182</v>
      </c>
      <c r="DMR2" s="133" t="s">
        <v>4183</v>
      </c>
      <c r="DMS2" s="133" t="s">
        <v>4184</v>
      </c>
      <c r="DMT2" s="133" t="s">
        <v>4185</v>
      </c>
      <c r="DMU2" s="133" t="s">
        <v>4186</v>
      </c>
      <c r="DMV2" s="133" t="s">
        <v>4187</v>
      </c>
      <c r="DMW2" s="133" t="s">
        <v>4188</v>
      </c>
      <c r="DMX2" s="133" t="s">
        <v>4189</v>
      </c>
      <c r="DMY2" s="133" t="s">
        <v>4190</v>
      </c>
      <c r="DMZ2" s="133" t="s">
        <v>4191</v>
      </c>
      <c r="DNA2" s="133" t="s">
        <v>4192</v>
      </c>
      <c r="DNB2" s="133" t="s">
        <v>4193</v>
      </c>
      <c r="DNC2" s="133" t="s">
        <v>4194</v>
      </c>
      <c r="DND2" s="133" t="s">
        <v>4195</v>
      </c>
      <c r="DNE2" s="133" t="s">
        <v>4196</v>
      </c>
      <c r="DNF2" s="133" t="s">
        <v>4197</v>
      </c>
      <c r="DNG2" s="133" t="s">
        <v>4198</v>
      </c>
      <c r="DNH2" s="133" t="s">
        <v>4199</v>
      </c>
      <c r="DNI2" s="133" t="s">
        <v>4200</v>
      </c>
      <c r="DNJ2" s="133" t="s">
        <v>4201</v>
      </c>
      <c r="DNK2" s="133" t="s">
        <v>4202</v>
      </c>
      <c r="DNL2" s="133" t="s">
        <v>4203</v>
      </c>
      <c r="DNM2" s="133" t="s">
        <v>4204</v>
      </c>
      <c r="DNN2" s="133" t="s">
        <v>4205</v>
      </c>
      <c r="DNO2" s="133" t="s">
        <v>4206</v>
      </c>
      <c r="DNP2" s="133" t="s">
        <v>4207</v>
      </c>
      <c r="DNQ2" s="133" t="s">
        <v>4208</v>
      </c>
      <c r="DNR2" s="133" t="s">
        <v>4209</v>
      </c>
      <c r="DNS2" s="133" t="s">
        <v>4210</v>
      </c>
      <c r="DNT2" s="133" t="s">
        <v>4211</v>
      </c>
      <c r="DNU2" s="133" t="s">
        <v>4212</v>
      </c>
      <c r="DNV2" s="133" t="s">
        <v>4213</v>
      </c>
      <c r="DNW2" s="133" t="s">
        <v>4214</v>
      </c>
      <c r="DNX2" s="133" t="s">
        <v>4215</v>
      </c>
      <c r="DNY2" s="133" t="s">
        <v>4216</v>
      </c>
      <c r="DNZ2" s="133" t="s">
        <v>4217</v>
      </c>
      <c r="DOA2" s="133" t="s">
        <v>4218</v>
      </c>
      <c r="DOB2" s="133" t="s">
        <v>4219</v>
      </c>
      <c r="DOC2" s="133" t="s">
        <v>4220</v>
      </c>
      <c r="DOD2" s="133" t="s">
        <v>4221</v>
      </c>
      <c r="DOE2" s="133" t="s">
        <v>4222</v>
      </c>
      <c r="DOF2" s="133" t="s">
        <v>4223</v>
      </c>
      <c r="DOG2" s="133" t="s">
        <v>4224</v>
      </c>
      <c r="DOH2" s="133" t="s">
        <v>4225</v>
      </c>
      <c r="DOI2" s="133" t="s">
        <v>4226</v>
      </c>
      <c r="DOJ2" s="133" t="s">
        <v>4227</v>
      </c>
      <c r="DOK2" s="133" t="s">
        <v>4228</v>
      </c>
      <c r="DOL2" s="133" t="s">
        <v>4229</v>
      </c>
      <c r="DOM2" s="133" t="s">
        <v>4230</v>
      </c>
      <c r="DON2" s="133" t="s">
        <v>4231</v>
      </c>
      <c r="DOO2" s="133" t="s">
        <v>4232</v>
      </c>
      <c r="DOP2" s="133" t="s">
        <v>4233</v>
      </c>
      <c r="DOQ2" s="133" t="s">
        <v>4234</v>
      </c>
      <c r="DOR2" s="133" t="s">
        <v>4235</v>
      </c>
      <c r="DOS2" s="133" t="s">
        <v>4236</v>
      </c>
      <c r="DOT2" s="133" t="s">
        <v>4237</v>
      </c>
      <c r="DOU2" s="133" t="s">
        <v>4238</v>
      </c>
      <c r="DOV2" s="133" t="s">
        <v>4239</v>
      </c>
      <c r="DOW2" s="133" t="s">
        <v>4240</v>
      </c>
      <c r="DOX2" s="133" t="s">
        <v>4241</v>
      </c>
      <c r="DOY2" s="133" t="s">
        <v>4242</v>
      </c>
      <c r="DOZ2" s="133" t="s">
        <v>4243</v>
      </c>
      <c r="DPA2" s="133" t="s">
        <v>4244</v>
      </c>
      <c r="DPB2" s="133" t="s">
        <v>4245</v>
      </c>
      <c r="DPC2" s="133" t="s">
        <v>4246</v>
      </c>
      <c r="DPD2" s="133" t="s">
        <v>4247</v>
      </c>
      <c r="DPE2" s="133" t="s">
        <v>4248</v>
      </c>
      <c r="DPF2" s="133" t="s">
        <v>4249</v>
      </c>
      <c r="DPG2" s="133" t="s">
        <v>4250</v>
      </c>
      <c r="DPH2" s="133" t="s">
        <v>4251</v>
      </c>
      <c r="DPI2" s="133" t="s">
        <v>4252</v>
      </c>
      <c r="DPJ2" s="133" t="s">
        <v>4253</v>
      </c>
      <c r="DPK2" s="133" t="s">
        <v>4254</v>
      </c>
      <c r="DPL2" s="133" t="s">
        <v>4255</v>
      </c>
      <c r="DPM2" s="133" t="s">
        <v>4256</v>
      </c>
      <c r="DPN2" s="133" t="s">
        <v>4257</v>
      </c>
      <c r="DPO2" s="133" t="s">
        <v>4258</v>
      </c>
      <c r="DPP2" s="133" t="s">
        <v>4259</v>
      </c>
      <c r="DPQ2" s="133" t="s">
        <v>4260</v>
      </c>
      <c r="DPR2" s="133" t="s">
        <v>4261</v>
      </c>
      <c r="DPS2" s="133" t="s">
        <v>4262</v>
      </c>
      <c r="DPT2" s="133" t="s">
        <v>4263</v>
      </c>
      <c r="DPU2" s="133" t="s">
        <v>4264</v>
      </c>
      <c r="DPV2" s="133" t="s">
        <v>4265</v>
      </c>
      <c r="DPW2" s="133" t="s">
        <v>4266</v>
      </c>
      <c r="DPX2" s="133" t="s">
        <v>4267</v>
      </c>
      <c r="DPY2" s="133" t="s">
        <v>4268</v>
      </c>
      <c r="DPZ2" s="133" t="s">
        <v>4269</v>
      </c>
      <c r="DQA2" s="133" t="s">
        <v>4270</v>
      </c>
      <c r="DQB2" s="133" t="s">
        <v>4271</v>
      </c>
      <c r="DQC2" s="133" t="s">
        <v>4272</v>
      </c>
      <c r="DQD2" s="133" t="s">
        <v>4273</v>
      </c>
      <c r="DQE2" s="133" t="s">
        <v>4274</v>
      </c>
      <c r="DQF2" s="133" t="s">
        <v>4275</v>
      </c>
      <c r="DQG2" s="133" t="s">
        <v>4276</v>
      </c>
      <c r="DQH2" s="133" t="s">
        <v>4277</v>
      </c>
      <c r="DQI2" s="133" t="s">
        <v>4278</v>
      </c>
      <c r="DQJ2" s="133" t="s">
        <v>4279</v>
      </c>
      <c r="DQK2" s="133" t="s">
        <v>4280</v>
      </c>
      <c r="DQL2" s="133" t="s">
        <v>4281</v>
      </c>
      <c r="DQM2" s="133" t="s">
        <v>4282</v>
      </c>
      <c r="DQN2" s="133" t="s">
        <v>4283</v>
      </c>
      <c r="DQO2" s="133" t="s">
        <v>4284</v>
      </c>
      <c r="DQP2" s="133" t="s">
        <v>4285</v>
      </c>
      <c r="DQQ2" s="133" t="s">
        <v>4286</v>
      </c>
      <c r="DQR2" s="133" t="s">
        <v>4287</v>
      </c>
      <c r="DQS2" s="133" t="s">
        <v>4288</v>
      </c>
      <c r="DQT2" s="133" t="s">
        <v>4289</v>
      </c>
      <c r="DQU2" s="133" t="s">
        <v>4290</v>
      </c>
      <c r="DQV2" s="133" t="s">
        <v>4291</v>
      </c>
      <c r="DQW2" s="133" t="s">
        <v>4292</v>
      </c>
      <c r="DQX2" s="133" t="s">
        <v>4293</v>
      </c>
      <c r="DQY2" s="133" t="s">
        <v>4294</v>
      </c>
      <c r="DQZ2" s="133" t="s">
        <v>4295</v>
      </c>
      <c r="DRA2" s="133" t="s">
        <v>4296</v>
      </c>
      <c r="DRB2" s="133" t="s">
        <v>4297</v>
      </c>
      <c r="DRC2" s="133" t="s">
        <v>4298</v>
      </c>
      <c r="DRD2" s="133" t="s">
        <v>4299</v>
      </c>
      <c r="DRE2" s="133" t="s">
        <v>4300</v>
      </c>
      <c r="DRF2" s="133" t="s">
        <v>4301</v>
      </c>
      <c r="DRG2" s="133" t="s">
        <v>4302</v>
      </c>
      <c r="DRH2" s="133" t="s">
        <v>4303</v>
      </c>
      <c r="DRI2" s="133" t="s">
        <v>4304</v>
      </c>
      <c r="DRJ2" s="133" t="s">
        <v>4305</v>
      </c>
      <c r="DRK2" s="133" t="s">
        <v>4306</v>
      </c>
      <c r="DRL2" s="133" t="s">
        <v>4307</v>
      </c>
      <c r="DRM2" s="133" t="s">
        <v>4308</v>
      </c>
      <c r="DRN2" s="133" t="s">
        <v>4309</v>
      </c>
      <c r="DRO2" s="133" t="s">
        <v>4310</v>
      </c>
      <c r="DRP2" s="133" t="s">
        <v>4311</v>
      </c>
      <c r="DRQ2" s="133" t="s">
        <v>4312</v>
      </c>
      <c r="DRR2" s="133" t="s">
        <v>4313</v>
      </c>
      <c r="DRS2" s="133" t="s">
        <v>4314</v>
      </c>
      <c r="DRT2" s="133" t="s">
        <v>4315</v>
      </c>
      <c r="DRU2" s="133" t="s">
        <v>4316</v>
      </c>
      <c r="DRV2" s="133" t="s">
        <v>4317</v>
      </c>
      <c r="DRW2" s="133" t="s">
        <v>4318</v>
      </c>
      <c r="DRX2" s="133" t="s">
        <v>4319</v>
      </c>
      <c r="DRY2" s="133" t="s">
        <v>4320</v>
      </c>
      <c r="DRZ2" s="133" t="s">
        <v>4321</v>
      </c>
      <c r="DSA2" s="133" t="s">
        <v>4322</v>
      </c>
      <c r="DSB2" s="133" t="s">
        <v>4323</v>
      </c>
      <c r="DSC2" s="133" t="s">
        <v>4324</v>
      </c>
      <c r="DSD2" s="133" t="s">
        <v>4325</v>
      </c>
      <c r="DSE2" s="133" t="s">
        <v>4326</v>
      </c>
      <c r="DSF2" s="133" t="s">
        <v>4327</v>
      </c>
      <c r="DSG2" s="133" t="s">
        <v>4328</v>
      </c>
      <c r="DSH2" s="133" t="s">
        <v>4329</v>
      </c>
      <c r="DSI2" s="133" t="s">
        <v>4330</v>
      </c>
      <c r="DSJ2" s="133" t="s">
        <v>4331</v>
      </c>
      <c r="DSK2" s="133" t="s">
        <v>4332</v>
      </c>
      <c r="DSL2" s="133" t="s">
        <v>4333</v>
      </c>
      <c r="DSM2" s="133" t="s">
        <v>4334</v>
      </c>
      <c r="DSN2" s="133" t="s">
        <v>4335</v>
      </c>
      <c r="DSO2" s="133" t="s">
        <v>4336</v>
      </c>
      <c r="DSP2" s="133" t="s">
        <v>4337</v>
      </c>
      <c r="DSQ2" s="133" t="s">
        <v>4338</v>
      </c>
      <c r="DSR2" s="133" t="s">
        <v>4339</v>
      </c>
      <c r="DSS2" s="133" t="s">
        <v>4340</v>
      </c>
      <c r="DST2" s="133" t="s">
        <v>4341</v>
      </c>
      <c r="DSU2" s="133" t="s">
        <v>4342</v>
      </c>
      <c r="DSV2" s="133" t="s">
        <v>4343</v>
      </c>
      <c r="DSW2" s="133" t="s">
        <v>4344</v>
      </c>
      <c r="DSX2" s="133" t="s">
        <v>4345</v>
      </c>
      <c r="DSY2" s="133" t="s">
        <v>4346</v>
      </c>
      <c r="DSZ2" s="133" t="s">
        <v>4347</v>
      </c>
      <c r="DTA2" s="133" t="s">
        <v>4348</v>
      </c>
      <c r="DTB2" s="133" t="s">
        <v>4349</v>
      </c>
      <c r="DTC2" s="133" t="s">
        <v>4350</v>
      </c>
      <c r="DTD2" s="133" t="s">
        <v>4351</v>
      </c>
      <c r="DTE2" s="133" t="s">
        <v>4352</v>
      </c>
      <c r="DTF2" s="133" t="s">
        <v>4353</v>
      </c>
      <c r="DTG2" s="133" t="s">
        <v>4354</v>
      </c>
      <c r="DTH2" s="133" t="s">
        <v>4355</v>
      </c>
      <c r="DTI2" s="133" t="s">
        <v>4356</v>
      </c>
      <c r="DTJ2" s="133" t="s">
        <v>4357</v>
      </c>
      <c r="DTK2" s="133" t="s">
        <v>4358</v>
      </c>
      <c r="DTL2" s="133" t="s">
        <v>4359</v>
      </c>
      <c r="DTM2" s="133" t="s">
        <v>4360</v>
      </c>
      <c r="DTN2" s="133" t="s">
        <v>4361</v>
      </c>
      <c r="DTO2" s="133" t="s">
        <v>4362</v>
      </c>
      <c r="DTP2" s="133" t="s">
        <v>4363</v>
      </c>
      <c r="DTQ2" s="133" t="s">
        <v>4364</v>
      </c>
      <c r="DTR2" s="133" t="s">
        <v>4365</v>
      </c>
      <c r="DTS2" s="133" t="s">
        <v>4366</v>
      </c>
      <c r="DTT2" s="133" t="s">
        <v>4367</v>
      </c>
      <c r="DTU2" s="133" t="s">
        <v>4368</v>
      </c>
      <c r="DTV2" s="133" t="s">
        <v>4369</v>
      </c>
      <c r="DTW2" s="133" t="s">
        <v>4370</v>
      </c>
      <c r="DTX2" s="133" t="s">
        <v>4371</v>
      </c>
      <c r="DTY2" s="133" t="s">
        <v>4372</v>
      </c>
      <c r="DTZ2" s="133" t="s">
        <v>4373</v>
      </c>
      <c r="DUA2" s="133" t="s">
        <v>4374</v>
      </c>
      <c r="DUB2" s="133" t="s">
        <v>4375</v>
      </c>
      <c r="DUC2" s="133" t="s">
        <v>4376</v>
      </c>
      <c r="DUD2" s="133" t="s">
        <v>4377</v>
      </c>
      <c r="DUE2" s="133" t="s">
        <v>4378</v>
      </c>
      <c r="DUF2" s="133" t="s">
        <v>4379</v>
      </c>
      <c r="DUG2" s="133" t="s">
        <v>4380</v>
      </c>
      <c r="DUH2" s="133" t="s">
        <v>4381</v>
      </c>
      <c r="DUI2" s="133" t="s">
        <v>4382</v>
      </c>
      <c r="DUJ2" s="133" t="s">
        <v>4383</v>
      </c>
      <c r="DUK2" s="133" t="s">
        <v>4384</v>
      </c>
      <c r="DUL2" s="133" t="s">
        <v>4385</v>
      </c>
      <c r="DUM2" s="133" t="s">
        <v>4386</v>
      </c>
      <c r="DUN2" s="133" t="s">
        <v>4387</v>
      </c>
      <c r="DUO2" s="133" t="s">
        <v>4388</v>
      </c>
      <c r="DUP2" s="133" t="s">
        <v>4389</v>
      </c>
      <c r="DUQ2" s="133" t="s">
        <v>4390</v>
      </c>
      <c r="DUR2" s="133" t="s">
        <v>4391</v>
      </c>
      <c r="DUS2" s="133" t="s">
        <v>4392</v>
      </c>
      <c r="DUT2" s="133" t="s">
        <v>4393</v>
      </c>
      <c r="DUU2" s="133" t="s">
        <v>4394</v>
      </c>
      <c r="DUV2" s="133" t="s">
        <v>4395</v>
      </c>
      <c r="DUW2" s="133" t="s">
        <v>4396</v>
      </c>
      <c r="DUX2" s="133" t="s">
        <v>4397</v>
      </c>
      <c r="DUY2" s="133" t="s">
        <v>4398</v>
      </c>
      <c r="DUZ2" s="133" t="s">
        <v>4399</v>
      </c>
      <c r="DVA2" s="133" t="s">
        <v>4400</v>
      </c>
      <c r="DVB2" s="133" t="s">
        <v>4401</v>
      </c>
      <c r="DVC2" s="133" t="s">
        <v>4402</v>
      </c>
      <c r="DVD2" s="133" t="s">
        <v>4403</v>
      </c>
      <c r="DVE2" s="133" t="s">
        <v>4404</v>
      </c>
      <c r="DVF2" s="133" t="s">
        <v>4405</v>
      </c>
      <c r="DVG2" s="133" t="s">
        <v>4406</v>
      </c>
      <c r="DVH2" s="133" t="s">
        <v>4407</v>
      </c>
      <c r="DVI2" s="133" t="s">
        <v>4408</v>
      </c>
      <c r="DVJ2" s="133" t="s">
        <v>4409</v>
      </c>
      <c r="DVK2" s="133" t="s">
        <v>4410</v>
      </c>
      <c r="DVL2" s="133" t="s">
        <v>4411</v>
      </c>
      <c r="DVM2" s="133" t="s">
        <v>4412</v>
      </c>
      <c r="DVN2" s="133" t="s">
        <v>4413</v>
      </c>
      <c r="DVO2" s="133" t="s">
        <v>4414</v>
      </c>
      <c r="DVP2" s="133" t="s">
        <v>4415</v>
      </c>
      <c r="DVQ2" s="133" t="s">
        <v>4416</v>
      </c>
      <c r="DVR2" s="133" t="s">
        <v>4417</v>
      </c>
      <c r="DVS2" s="133" t="s">
        <v>4418</v>
      </c>
      <c r="DVT2" s="133" t="s">
        <v>4419</v>
      </c>
      <c r="DVU2" s="133" t="s">
        <v>4420</v>
      </c>
      <c r="DVV2" s="133" t="s">
        <v>4421</v>
      </c>
      <c r="DVW2" s="133" t="s">
        <v>4422</v>
      </c>
      <c r="DVX2" s="133" t="s">
        <v>4423</v>
      </c>
      <c r="DVY2" s="133" t="s">
        <v>4424</v>
      </c>
      <c r="DVZ2" s="133" t="s">
        <v>4425</v>
      </c>
      <c r="DWA2" s="133" t="s">
        <v>4426</v>
      </c>
      <c r="DWB2" s="133" t="s">
        <v>4427</v>
      </c>
      <c r="DWC2" s="133" t="s">
        <v>4428</v>
      </c>
      <c r="DWD2" s="133" t="s">
        <v>4429</v>
      </c>
      <c r="DWE2" s="133" t="s">
        <v>4430</v>
      </c>
      <c r="DWF2" s="133" t="s">
        <v>4431</v>
      </c>
      <c r="DWG2" s="133" t="s">
        <v>4432</v>
      </c>
      <c r="DWH2" s="133" t="s">
        <v>4433</v>
      </c>
      <c r="DWI2" s="133" t="s">
        <v>4434</v>
      </c>
      <c r="DWJ2" s="133" t="s">
        <v>4435</v>
      </c>
      <c r="DWK2" s="133" t="s">
        <v>4436</v>
      </c>
      <c r="DWL2" s="133" t="s">
        <v>4437</v>
      </c>
      <c r="DWM2" s="133" t="s">
        <v>4438</v>
      </c>
      <c r="DWN2" s="133" t="s">
        <v>4439</v>
      </c>
      <c r="DWO2" s="133" t="s">
        <v>4440</v>
      </c>
      <c r="DWP2" s="133" t="s">
        <v>4441</v>
      </c>
      <c r="DWQ2" s="133" t="s">
        <v>4442</v>
      </c>
      <c r="DWR2" s="133" t="s">
        <v>4443</v>
      </c>
      <c r="DWS2" s="133" t="s">
        <v>4444</v>
      </c>
      <c r="DWT2" s="133" t="s">
        <v>4445</v>
      </c>
      <c r="DWU2" s="133" t="s">
        <v>4446</v>
      </c>
      <c r="DWV2" s="133" t="s">
        <v>4447</v>
      </c>
      <c r="DWW2" s="133" t="s">
        <v>4448</v>
      </c>
      <c r="DWX2" s="133" t="s">
        <v>4449</v>
      </c>
      <c r="DWY2" s="133" t="s">
        <v>4450</v>
      </c>
      <c r="DWZ2" s="133" t="s">
        <v>4451</v>
      </c>
      <c r="DXA2" s="133" t="s">
        <v>4452</v>
      </c>
      <c r="DXB2" s="133" t="s">
        <v>4453</v>
      </c>
      <c r="DXC2" s="133" t="s">
        <v>4454</v>
      </c>
      <c r="DXD2" s="133" t="s">
        <v>4455</v>
      </c>
      <c r="DXE2" s="133" t="s">
        <v>4456</v>
      </c>
      <c r="DXF2" s="133" t="s">
        <v>4457</v>
      </c>
      <c r="DXG2" s="133" t="s">
        <v>4458</v>
      </c>
      <c r="DXH2" s="133" t="s">
        <v>4459</v>
      </c>
      <c r="DXI2" s="133" t="s">
        <v>4460</v>
      </c>
      <c r="DXJ2" s="133" t="s">
        <v>4461</v>
      </c>
      <c r="DXK2" s="133" t="s">
        <v>4462</v>
      </c>
      <c r="DXL2" s="133" t="s">
        <v>4463</v>
      </c>
      <c r="DXM2" s="133" t="s">
        <v>4464</v>
      </c>
      <c r="DXN2" s="133" t="s">
        <v>4465</v>
      </c>
      <c r="DXO2" s="133" t="s">
        <v>4466</v>
      </c>
      <c r="DXP2" s="133" t="s">
        <v>4467</v>
      </c>
      <c r="DXQ2" s="133" t="s">
        <v>4468</v>
      </c>
      <c r="DXR2" s="133" t="s">
        <v>4469</v>
      </c>
      <c r="DXS2" s="133" t="s">
        <v>4470</v>
      </c>
      <c r="DXT2" s="133" t="s">
        <v>4471</v>
      </c>
      <c r="DXU2" s="133" t="s">
        <v>4472</v>
      </c>
      <c r="DXV2" s="133" t="s">
        <v>4473</v>
      </c>
      <c r="DXW2" s="133" t="s">
        <v>4474</v>
      </c>
      <c r="DXX2" s="133" t="s">
        <v>4475</v>
      </c>
      <c r="DXY2" s="133" t="s">
        <v>4476</v>
      </c>
      <c r="DXZ2" s="133" t="s">
        <v>4477</v>
      </c>
      <c r="DYA2" s="133" t="s">
        <v>4478</v>
      </c>
      <c r="DYB2" s="133" t="s">
        <v>4479</v>
      </c>
      <c r="DYC2" s="133" t="s">
        <v>4480</v>
      </c>
      <c r="DYD2" s="133" t="s">
        <v>4481</v>
      </c>
      <c r="DYE2" s="133" t="s">
        <v>4482</v>
      </c>
      <c r="DYF2" s="133" t="s">
        <v>4483</v>
      </c>
      <c r="DYG2" s="133" t="s">
        <v>4484</v>
      </c>
      <c r="DYH2" s="133" t="s">
        <v>4485</v>
      </c>
      <c r="DYI2" s="133" t="s">
        <v>4486</v>
      </c>
      <c r="DYJ2" s="133" t="s">
        <v>4487</v>
      </c>
      <c r="DYK2" s="133" t="s">
        <v>4488</v>
      </c>
      <c r="DYL2" s="133" t="s">
        <v>4489</v>
      </c>
      <c r="DYM2" s="133" t="s">
        <v>4490</v>
      </c>
      <c r="DYN2" s="133" t="s">
        <v>4491</v>
      </c>
      <c r="DYO2" s="133" t="s">
        <v>4492</v>
      </c>
      <c r="DYP2" s="133" t="s">
        <v>4493</v>
      </c>
      <c r="DYQ2" s="133" t="s">
        <v>4494</v>
      </c>
      <c r="DYR2" s="133" t="s">
        <v>4495</v>
      </c>
      <c r="DYS2" s="133" t="s">
        <v>4496</v>
      </c>
      <c r="DYT2" s="133" t="s">
        <v>4497</v>
      </c>
      <c r="DYU2" s="133" t="s">
        <v>4498</v>
      </c>
      <c r="DYV2" s="133" t="s">
        <v>4499</v>
      </c>
      <c r="DYW2" s="133" t="s">
        <v>4500</v>
      </c>
      <c r="DYX2" s="133" t="s">
        <v>4501</v>
      </c>
      <c r="DYY2" s="133" t="s">
        <v>4502</v>
      </c>
      <c r="DYZ2" s="133" t="s">
        <v>4503</v>
      </c>
      <c r="DZA2" s="133" t="s">
        <v>4504</v>
      </c>
      <c r="DZB2" s="133" t="s">
        <v>4505</v>
      </c>
      <c r="DZC2" s="133" t="s">
        <v>4506</v>
      </c>
      <c r="DZD2" s="133" t="s">
        <v>4507</v>
      </c>
      <c r="DZE2" s="133" t="s">
        <v>4508</v>
      </c>
      <c r="DZF2" s="133" t="s">
        <v>4509</v>
      </c>
      <c r="DZG2" s="133" t="s">
        <v>4510</v>
      </c>
      <c r="DZH2" s="133" t="s">
        <v>4511</v>
      </c>
      <c r="DZI2" s="133" t="s">
        <v>4512</v>
      </c>
      <c r="DZJ2" s="133" t="s">
        <v>4513</v>
      </c>
      <c r="DZK2" s="133" t="s">
        <v>4514</v>
      </c>
      <c r="DZL2" s="133" t="s">
        <v>4515</v>
      </c>
      <c r="DZM2" s="133" t="s">
        <v>4516</v>
      </c>
      <c r="DZN2" s="133" t="s">
        <v>4517</v>
      </c>
      <c r="DZO2" s="133" t="s">
        <v>4518</v>
      </c>
      <c r="DZP2" s="133" t="s">
        <v>4519</v>
      </c>
      <c r="DZQ2" s="133" t="s">
        <v>4520</v>
      </c>
      <c r="DZR2" s="133" t="s">
        <v>4521</v>
      </c>
      <c r="DZS2" s="133" t="s">
        <v>4522</v>
      </c>
      <c r="DZT2" s="133" t="s">
        <v>4523</v>
      </c>
      <c r="DZU2" s="133" t="s">
        <v>4524</v>
      </c>
      <c r="DZV2" s="133" t="s">
        <v>4525</v>
      </c>
      <c r="DZW2" s="133" t="s">
        <v>4526</v>
      </c>
      <c r="DZX2" s="133" t="s">
        <v>4527</v>
      </c>
      <c r="DZY2" s="133" t="s">
        <v>4528</v>
      </c>
      <c r="DZZ2" s="133" t="s">
        <v>4529</v>
      </c>
      <c r="EAA2" s="133" t="s">
        <v>4530</v>
      </c>
      <c r="EAB2" s="133" t="s">
        <v>4531</v>
      </c>
      <c r="EAC2" s="133" t="s">
        <v>4532</v>
      </c>
      <c r="EAD2" s="133" t="s">
        <v>4533</v>
      </c>
      <c r="EAE2" s="133" t="s">
        <v>4534</v>
      </c>
      <c r="EAF2" s="133" t="s">
        <v>4535</v>
      </c>
      <c r="EAG2" s="133" t="s">
        <v>4536</v>
      </c>
      <c r="EAH2" s="133" t="s">
        <v>4537</v>
      </c>
      <c r="EAI2" s="133" t="s">
        <v>4538</v>
      </c>
      <c r="EAJ2" s="133" t="s">
        <v>4539</v>
      </c>
      <c r="EAK2" s="133" t="s">
        <v>4540</v>
      </c>
      <c r="EAL2" s="133" t="s">
        <v>4541</v>
      </c>
      <c r="EAM2" s="133" t="s">
        <v>4542</v>
      </c>
      <c r="EAN2" s="133" t="s">
        <v>4543</v>
      </c>
      <c r="EAO2" s="133" t="s">
        <v>4544</v>
      </c>
      <c r="EAP2" s="133" t="s">
        <v>4545</v>
      </c>
      <c r="EAQ2" s="133" t="s">
        <v>4546</v>
      </c>
      <c r="EAR2" s="133" t="s">
        <v>4547</v>
      </c>
      <c r="EAS2" s="133" t="s">
        <v>4548</v>
      </c>
      <c r="EAT2" s="133" t="s">
        <v>4549</v>
      </c>
      <c r="EAU2" s="133" t="s">
        <v>4550</v>
      </c>
      <c r="EAV2" s="133" t="s">
        <v>4551</v>
      </c>
      <c r="EAW2" s="133" t="s">
        <v>4552</v>
      </c>
      <c r="EAX2" s="133" t="s">
        <v>4553</v>
      </c>
      <c r="EAY2" s="133" t="s">
        <v>4554</v>
      </c>
      <c r="EAZ2" s="133" t="s">
        <v>4555</v>
      </c>
      <c r="EBA2" s="133" t="s">
        <v>4556</v>
      </c>
      <c r="EBB2" s="133" t="s">
        <v>4557</v>
      </c>
      <c r="EBC2" s="133" t="s">
        <v>4558</v>
      </c>
      <c r="EBD2" s="133" t="s">
        <v>4559</v>
      </c>
      <c r="EBE2" s="133" t="s">
        <v>4560</v>
      </c>
      <c r="EBF2" s="133" t="s">
        <v>4561</v>
      </c>
      <c r="EBG2" s="133" t="s">
        <v>4562</v>
      </c>
      <c r="EBH2" s="133" t="s">
        <v>4563</v>
      </c>
      <c r="EBI2" s="133" t="s">
        <v>4564</v>
      </c>
      <c r="EBJ2" s="133" t="s">
        <v>4565</v>
      </c>
      <c r="EBK2" s="133" t="s">
        <v>4566</v>
      </c>
      <c r="EBL2" s="133" t="s">
        <v>4567</v>
      </c>
      <c r="EBM2" s="133" t="s">
        <v>4568</v>
      </c>
      <c r="EBN2" s="133" t="s">
        <v>4569</v>
      </c>
      <c r="EBO2" s="133" t="s">
        <v>4570</v>
      </c>
      <c r="EBP2" s="133" t="s">
        <v>4571</v>
      </c>
      <c r="EBQ2" s="133" t="s">
        <v>4572</v>
      </c>
      <c r="EBR2" s="133" t="s">
        <v>4573</v>
      </c>
      <c r="EBS2" s="133" t="s">
        <v>4574</v>
      </c>
      <c r="EBT2" s="133" t="s">
        <v>4575</v>
      </c>
      <c r="EBU2" s="133" t="s">
        <v>4576</v>
      </c>
      <c r="EBV2" s="133" t="s">
        <v>4577</v>
      </c>
      <c r="EBW2" s="133" t="s">
        <v>4578</v>
      </c>
      <c r="EBX2" s="133" t="s">
        <v>4579</v>
      </c>
      <c r="EBY2" s="133" t="s">
        <v>4580</v>
      </c>
      <c r="EBZ2" s="133" t="s">
        <v>4581</v>
      </c>
      <c r="ECA2" s="133" t="s">
        <v>4582</v>
      </c>
      <c r="ECB2" s="133" t="s">
        <v>4583</v>
      </c>
      <c r="ECC2" s="133" t="s">
        <v>4584</v>
      </c>
      <c r="ECD2" s="133" t="s">
        <v>4585</v>
      </c>
      <c r="ECE2" s="133" t="s">
        <v>4586</v>
      </c>
      <c r="ECF2" s="133" t="s">
        <v>4587</v>
      </c>
      <c r="ECG2" s="133" t="s">
        <v>4588</v>
      </c>
      <c r="ECH2" s="133" t="s">
        <v>4589</v>
      </c>
      <c r="ECI2" s="133" t="s">
        <v>4590</v>
      </c>
      <c r="ECJ2" s="133" t="s">
        <v>4591</v>
      </c>
      <c r="ECK2" s="133" t="s">
        <v>4592</v>
      </c>
      <c r="ECL2" s="133" t="s">
        <v>4593</v>
      </c>
      <c r="ECM2" s="133" t="s">
        <v>4594</v>
      </c>
      <c r="ECN2" s="133" t="s">
        <v>4595</v>
      </c>
      <c r="ECO2" s="133" t="s">
        <v>4596</v>
      </c>
      <c r="ECP2" s="133" t="s">
        <v>4597</v>
      </c>
      <c r="ECQ2" s="133" t="s">
        <v>4598</v>
      </c>
      <c r="ECR2" s="133" t="s">
        <v>4599</v>
      </c>
      <c r="ECS2" s="133" t="s">
        <v>4600</v>
      </c>
      <c r="ECT2" s="133" t="s">
        <v>4601</v>
      </c>
      <c r="ECU2" s="133" t="s">
        <v>4602</v>
      </c>
      <c r="ECV2" s="133" t="s">
        <v>4603</v>
      </c>
      <c r="ECW2" s="133" t="s">
        <v>4604</v>
      </c>
      <c r="ECX2" s="133" t="s">
        <v>4605</v>
      </c>
      <c r="ECY2" s="133" t="s">
        <v>4606</v>
      </c>
      <c r="ECZ2" s="133" t="s">
        <v>4607</v>
      </c>
      <c r="EDA2" s="133" t="s">
        <v>4608</v>
      </c>
      <c r="EDB2" s="133" t="s">
        <v>4609</v>
      </c>
      <c r="EDC2" s="133" t="s">
        <v>4610</v>
      </c>
      <c r="EDD2" s="133" t="s">
        <v>4611</v>
      </c>
      <c r="EDE2" s="133" t="s">
        <v>4612</v>
      </c>
      <c r="EDF2" s="133" t="s">
        <v>4613</v>
      </c>
      <c r="EDG2" s="133" t="s">
        <v>4614</v>
      </c>
      <c r="EDH2" s="133" t="s">
        <v>4615</v>
      </c>
      <c r="EDI2" s="133" t="s">
        <v>4616</v>
      </c>
      <c r="EDJ2" s="133" t="s">
        <v>4617</v>
      </c>
      <c r="EDK2" s="133" t="s">
        <v>4618</v>
      </c>
      <c r="EDL2" s="133" t="s">
        <v>4619</v>
      </c>
      <c r="EDM2" s="133" t="s">
        <v>4620</v>
      </c>
      <c r="EDN2" s="133" t="s">
        <v>4621</v>
      </c>
      <c r="EDO2" s="133" t="s">
        <v>4622</v>
      </c>
      <c r="EDP2" s="133" t="s">
        <v>4623</v>
      </c>
      <c r="EDQ2" s="133" t="s">
        <v>4624</v>
      </c>
      <c r="EDR2" s="133" t="s">
        <v>4625</v>
      </c>
      <c r="EDS2" s="133" t="s">
        <v>4626</v>
      </c>
      <c r="EDT2" s="133" t="s">
        <v>4627</v>
      </c>
      <c r="EDU2" s="133" t="s">
        <v>4628</v>
      </c>
      <c r="EDV2" s="133" t="s">
        <v>4629</v>
      </c>
      <c r="EDW2" s="133" t="s">
        <v>4630</v>
      </c>
      <c r="EDX2" s="133" t="s">
        <v>4631</v>
      </c>
      <c r="EDY2" s="133" t="s">
        <v>4632</v>
      </c>
      <c r="EDZ2" s="133" t="s">
        <v>4633</v>
      </c>
      <c r="EEA2" s="133" t="s">
        <v>4634</v>
      </c>
      <c r="EEB2" s="133" t="s">
        <v>4635</v>
      </c>
      <c r="EEC2" s="133" t="s">
        <v>4636</v>
      </c>
      <c r="EED2" s="133" t="s">
        <v>4637</v>
      </c>
      <c r="EEE2" s="133" t="s">
        <v>4638</v>
      </c>
      <c r="EEF2" s="133" t="s">
        <v>4639</v>
      </c>
      <c r="EEG2" s="133" t="s">
        <v>4640</v>
      </c>
      <c r="EEH2" s="133" t="s">
        <v>4641</v>
      </c>
      <c r="EEI2" s="133" t="s">
        <v>4642</v>
      </c>
      <c r="EEJ2" s="133" t="s">
        <v>4643</v>
      </c>
      <c r="EEK2" s="133" t="s">
        <v>4644</v>
      </c>
      <c r="EEL2" s="133" t="s">
        <v>4645</v>
      </c>
      <c r="EEM2" s="133" t="s">
        <v>4646</v>
      </c>
      <c r="EEN2" s="133" t="s">
        <v>4647</v>
      </c>
      <c r="EEO2" s="133" t="s">
        <v>4648</v>
      </c>
      <c r="EEP2" s="133" t="s">
        <v>4649</v>
      </c>
      <c r="EEQ2" s="133" t="s">
        <v>4650</v>
      </c>
      <c r="EER2" s="133" t="s">
        <v>4651</v>
      </c>
      <c r="EES2" s="133" t="s">
        <v>4652</v>
      </c>
      <c r="EET2" s="133" t="s">
        <v>4653</v>
      </c>
      <c r="EEU2" s="133" t="s">
        <v>4654</v>
      </c>
      <c r="EEV2" s="133" t="s">
        <v>4655</v>
      </c>
      <c r="EEW2" s="133" t="s">
        <v>4656</v>
      </c>
      <c r="EEX2" s="133" t="s">
        <v>4657</v>
      </c>
      <c r="EEY2" s="133" t="s">
        <v>4658</v>
      </c>
      <c r="EEZ2" s="133" t="s">
        <v>4659</v>
      </c>
      <c r="EFA2" s="133" t="s">
        <v>4660</v>
      </c>
      <c r="EFB2" s="133" t="s">
        <v>4661</v>
      </c>
      <c r="EFC2" s="133" t="s">
        <v>4662</v>
      </c>
      <c r="EFD2" s="133" t="s">
        <v>4663</v>
      </c>
      <c r="EFE2" s="133" t="s">
        <v>4664</v>
      </c>
      <c r="EFF2" s="133" t="s">
        <v>4665</v>
      </c>
      <c r="EFG2" s="133" t="s">
        <v>4666</v>
      </c>
      <c r="EFH2" s="133" t="s">
        <v>4667</v>
      </c>
      <c r="EFI2" s="133" t="s">
        <v>4668</v>
      </c>
      <c r="EFJ2" s="133" t="s">
        <v>4669</v>
      </c>
      <c r="EFK2" s="133" t="s">
        <v>4670</v>
      </c>
      <c r="EFL2" s="133" t="s">
        <v>4671</v>
      </c>
      <c r="EFM2" s="133" t="s">
        <v>4672</v>
      </c>
      <c r="EFN2" s="133" t="s">
        <v>4673</v>
      </c>
      <c r="EFO2" s="133" t="s">
        <v>4674</v>
      </c>
      <c r="EFP2" s="133" t="s">
        <v>4675</v>
      </c>
      <c r="EFQ2" s="133" t="s">
        <v>4676</v>
      </c>
      <c r="EFR2" s="133" t="s">
        <v>4677</v>
      </c>
      <c r="EFS2" s="133" t="s">
        <v>4678</v>
      </c>
      <c r="EFT2" s="133" t="s">
        <v>4679</v>
      </c>
      <c r="EFU2" s="133" t="s">
        <v>4680</v>
      </c>
      <c r="EFV2" s="133" t="s">
        <v>4681</v>
      </c>
      <c r="EFW2" s="133" t="s">
        <v>4682</v>
      </c>
      <c r="EFX2" s="133" t="s">
        <v>4683</v>
      </c>
      <c r="EFY2" s="133" t="s">
        <v>4684</v>
      </c>
      <c r="EFZ2" s="133" t="s">
        <v>4685</v>
      </c>
      <c r="EGA2" s="133" t="s">
        <v>4686</v>
      </c>
      <c r="EGB2" s="133" t="s">
        <v>4687</v>
      </c>
      <c r="EGC2" s="133" t="s">
        <v>4688</v>
      </c>
      <c r="EGD2" s="133" t="s">
        <v>4689</v>
      </c>
      <c r="EGE2" s="133" t="s">
        <v>4690</v>
      </c>
      <c r="EGF2" s="133" t="s">
        <v>4691</v>
      </c>
      <c r="EGG2" s="133" t="s">
        <v>4692</v>
      </c>
      <c r="EGH2" s="133" t="s">
        <v>4693</v>
      </c>
      <c r="EGI2" s="133" t="s">
        <v>4694</v>
      </c>
      <c r="EGJ2" s="133" t="s">
        <v>4695</v>
      </c>
      <c r="EGK2" s="133" t="s">
        <v>4696</v>
      </c>
      <c r="EGL2" s="133" t="s">
        <v>4697</v>
      </c>
      <c r="EGM2" s="133" t="s">
        <v>4698</v>
      </c>
      <c r="EGN2" s="133" t="s">
        <v>4699</v>
      </c>
      <c r="EGO2" s="133" t="s">
        <v>4700</v>
      </c>
      <c r="EGP2" s="133" t="s">
        <v>4701</v>
      </c>
      <c r="EGQ2" s="133" t="s">
        <v>4702</v>
      </c>
      <c r="EGR2" s="133" t="s">
        <v>4703</v>
      </c>
      <c r="EGS2" s="133" t="s">
        <v>4704</v>
      </c>
      <c r="EGT2" s="133" t="s">
        <v>4705</v>
      </c>
      <c r="EGU2" s="133" t="s">
        <v>4706</v>
      </c>
      <c r="EGV2" s="133" t="s">
        <v>4707</v>
      </c>
      <c r="EGW2" s="133" t="s">
        <v>4708</v>
      </c>
      <c r="EGX2" s="133" t="s">
        <v>4709</v>
      </c>
      <c r="EGY2" s="133" t="s">
        <v>4710</v>
      </c>
      <c r="EGZ2" s="133" t="s">
        <v>4711</v>
      </c>
      <c r="EHA2" s="133" t="s">
        <v>4712</v>
      </c>
      <c r="EHB2" s="133" t="s">
        <v>4713</v>
      </c>
      <c r="EHC2" s="133" t="s">
        <v>4714</v>
      </c>
      <c r="EHD2" s="133" t="s">
        <v>4715</v>
      </c>
      <c r="EHE2" s="133" t="s">
        <v>4716</v>
      </c>
      <c r="EHF2" s="133" t="s">
        <v>4717</v>
      </c>
      <c r="EHG2" s="133" t="s">
        <v>4718</v>
      </c>
      <c r="EHH2" s="133" t="s">
        <v>4719</v>
      </c>
      <c r="EHI2" s="133" t="s">
        <v>4720</v>
      </c>
      <c r="EHJ2" s="133" t="s">
        <v>4721</v>
      </c>
      <c r="EHK2" s="133" t="s">
        <v>4722</v>
      </c>
      <c r="EHL2" s="133" t="s">
        <v>4723</v>
      </c>
      <c r="EHM2" s="133" t="s">
        <v>4724</v>
      </c>
      <c r="EHN2" s="133" t="s">
        <v>4725</v>
      </c>
      <c r="EHO2" s="133" t="s">
        <v>4726</v>
      </c>
      <c r="EHP2" s="133" t="s">
        <v>4727</v>
      </c>
      <c r="EHQ2" s="133" t="s">
        <v>4728</v>
      </c>
      <c r="EHR2" s="133" t="s">
        <v>4729</v>
      </c>
      <c r="EHS2" s="133" t="s">
        <v>4730</v>
      </c>
      <c r="EHT2" s="133" t="s">
        <v>4731</v>
      </c>
      <c r="EHU2" s="133" t="s">
        <v>4732</v>
      </c>
      <c r="EHV2" s="133" t="s">
        <v>4733</v>
      </c>
      <c r="EHW2" s="133" t="s">
        <v>4734</v>
      </c>
      <c r="EHX2" s="133" t="s">
        <v>4735</v>
      </c>
      <c r="EHY2" s="133" t="s">
        <v>4736</v>
      </c>
      <c r="EHZ2" s="133" t="s">
        <v>4737</v>
      </c>
      <c r="EIA2" s="133" t="s">
        <v>4738</v>
      </c>
      <c r="EIB2" s="133" t="s">
        <v>4739</v>
      </c>
      <c r="EIC2" s="133" t="s">
        <v>4740</v>
      </c>
      <c r="EID2" s="133" t="s">
        <v>4741</v>
      </c>
      <c r="EIE2" s="133" t="s">
        <v>4742</v>
      </c>
      <c r="EIF2" s="133" t="s">
        <v>4743</v>
      </c>
      <c r="EIG2" s="133" t="s">
        <v>4744</v>
      </c>
      <c r="EIH2" s="133" t="s">
        <v>4745</v>
      </c>
      <c r="EII2" s="133" t="s">
        <v>4746</v>
      </c>
      <c r="EIJ2" s="133" t="s">
        <v>4747</v>
      </c>
      <c r="EIK2" s="133" t="s">
        <v>4748</v>
      </c>
      <c r="EIL2" s="133" t="s">
        <v>4749</v>
      </c>
      <c r="EIM2" s="133" t="s">
        <v>4750</v>
      </c>
      <c r="EIN2" s="133" t="s">
        <v>4751</v>
      </c>
      <c r="EIO2" s="133" t="s">
        <v>4752</v>
      </c>
      <c r="EIP2" s="133" t="s">
        <v>4753</v>
      </c>
      <c r="EIQ2" s="133" t="s">
        <v>4754</v>
      </c>
      <c r="EIR2" s="133" t="s">
        <v>4755</v>
      </c>
      <c r="EIS2" s="133" t="s">
        <v>4756</v>
      </c>
      <c r="EIT2" s="133" t="s">
        <v>4757</v>
      </c>
      <c r="EIU2" s="133" t="s">
        <v>4758</v>
      </c>
      <c r="EIV2" s="133" t="s">
        <v>4759</v>
      </c>
      <c r="EIW2" s="133" t="s">
        <v>4760</v>
      </c>
      <c r="EIX2" s="133" t="s">
        <v>4761</v>
      </c>
      <c r="EIY2" s="133" t="s">
        <v>4762</v>
      </c>
      <c r="EIZ2" s="133" t="s">
        <v>4763</v>
      </c>
      <c r="EJA2" s="133" t="s">
        <v>4764</v>
      </c>
      <c r="EJB2" s="133" t="s">
        <v>4765</v>
      </c>
      <c r="EJC2" s="133" t="s">
        <v>4766</v>
      </c>
      <c r="EJD2" s="133" t="s">
        <v>4767</v>
      </c>
      <c r="EJE2" s="133" t="s">
        <v>4768</v>
      </c>
      <c r="EJF2" s="133" t="s">
        <v>4769</v>
      </c>
      <c r="EJG2" s="133" t="s">
        <v>4770</v>
      </c>
      <c r="EJH2" s="133" t="s">
        <v>4771</v>
      </c>
      <c r="EJI2" s="133" t="s">
        <v>4772</v>
      </c>
      <c r="EJJ2" s="133" t="s">
        <v>4773</v>
      </c>
      <c r="EJK2" s="133" t="s">
        <v>4774</v>
      </c>
      <c r="EJL2" s="133" t="s">
        <v>4775</v>
      </c>
      <c r="EJM2" s="133" t="s">
        <v>4776</v>
      </c>
      <c r="EJN2" s="133" t="s">
        <v>4777</v>
      </c>
      <c r="EJO2" s="133" t="s">
        <v>4778</v>
      </c>
      <c r="EJP2" s="133" t="s">
        <v>4779</v>
      </c>
      <c r="EJQ2" s="133" t="s">
        <v>4780</v>
      </c>
      <c r="EJR2" s="133" t="s">
        <v>4781</v>
      </c>
      <c r="EJS2" s="133" t="s">
        <v>4782</v>
      </c>
      <c r="EJT2" s="133" t="s">
        <v>4783</v>
      </c>
      <c r="EJU2" s="133" t="s">
        <v>4784</v>
      </c>
      <c r="EJV2" s="133" t="s">
        <v>4785</v>
      </c>
      <c r="EJW2" s="133" t="s">
        <v>4786</v>
      </c>
      <c r="EJX2" s="133" t="s">
        <v>4787</v>
      </c>
      <c r="EJY2" s="133" t="s">
        <v>4788</v>
      </c>
      <c r="EJZ2" s="133" t="s">
        <v>4789</v>
      </c>
      <c r="EKA2" s="133" t="s">
        <v>4790</v>
      </c>
      <c r="EKB2" s="133" t="s">
        <v>4791</v>
      </c>
      <c r="EKC2" s="133" t="s">
        <v>4792</v>
      </c>
      <c r="EKD2" s="133" t="s">
        <v>4793</v>
      </c>
      <c r="EKE2" s="133" t="s">
        <v>4794</v>
      </c>
      <c r="EKF2" s="133" t="s">
        <v>4795</v>
      </c>
      <c r="EKG2" s="133" t="s">
        <v>4796</v>
      </c>
      <c r="EKH2" s="133" t="s">
        <v>4797</v>
      </c>
      <c r="EKI2" s="133" t="s">
        <v>4798</v>
      </c>
      <c r="EKJ2" s="133" t="s">
        <v>4799</v>
      </c>
      <c r="EKK2" s="133" t="s">
        <v>4800</v>
      </c>
      <c r="EKL2" s="133" t="s">
        <v>4801</v>
      </c>
      <c r="EKM2" s="133" t="s">
        <v>4802</v>
      </c>
      <c r="EKN2" s="133" t="s">
        <v>4803</v>
      </c>
      <c r="EKO2" s="133" t="s">
        <v>4804</v>
      </c>
      <c r="EKP2" s="133" t="s">
        <v>4805</v>
      </c>
      <c r="EKQ2" s="133" t="s">
        <v>4806</v>
      </c>
      <c r="EKR2" s="133" t="s">
        <v>4807</v>
      </c>
      <c r="EKS2" s="133" t="s">
        <v>4808</v>
      </c>
      <c r="EKT2" s="133" t="s">
        <v>4809</v>
      </c>
      <c r="EKU2" s="133" t="s">
        <v>4810</v>
      </c>
      <c r="EKV2" s="133" t="s">
        <v>4811</v>
      </c>
      <c r="EKW2" s="133" t="s">
        <v>4812</v>
      </c>
      <c r="EKX2" s="133" t="s">
        <v>4813</v>
      </c>
      <c r="EKY2" s="133" t="s">
        <v>4814</v>
      </c>
      <c r="EKZ2" s="133" t="s">
        <v>4815</v>
      </c>
      <c r="ELA2" s="133" t="s">
        <v>4816</v>
      </c>
      <c r="ELB2" s="133" t="s">
        <v>4817</v>
      </c>
      <c r="ELC2" s="133" t="s">
        <v>4818</v>
      </c>
      <c r="ELD2" s="133" t="s">
        <v>4819</v>
      </c>
      <c r="ELE2" s="133" t="s">
        <v>4820</v>
      </c>
      <c r="ELF2" s="133" t="s">
        <v>4821</v>
      </c>
      <c r="ELG2" s="133" t="s">
        <v>4822</v>
      </c>
      <c r="ELH2" s="133" t="s">
        <v>4823</v>
      </c>
      <c r="ELI2" s="133" t="s">
        <v>4824</v>
      </c>
      <c r="ELJ2" s="133" t="s">
        <v>4825</v>
      </c>
      <c r="ELK2" s="133" t="s">
        <v>4826</v>
      </c>
      <c r="ELL2" s="133" t="s">
        <v>4827</v>
      </c>
      <c r="ELM2" s="133" t="s">
        <v>4828</v>
      </c>
      <c r="ELN2" s="133" t="s">
        <v>4829</v>
      </c>
      <c r="ELO2" s="133" t="s">
        <v>4830</v>
      </c>
      <c r="ELP2" s="133" t="s">
        <v>4831</v>
      </c>
      <c r="ELQ2" s="133" t="s">
        <v>4832</v>
      </c>
      <c r="ELR2" s="133" t="s">
        <v>4833</v>
      </c>
      <c r="ELS2" s="133" t="s">
        <v>4834</v>
      </c>
      <c r="ELT2" s="133" t="s">
        <v>4835</v>
      </c>
      <c r="ELU2" s="133" t="s">
        <v>4836</v>
      </c>
      <c r="ELV2" s="133" t="s">
        <v>4837</v>
      </c>
      <c r="ELW2" s="133" t="s">
        <v>4838</v>
      </c>
      <c r="ELX2" s="133" t="s">
        <v>4839</v>
      </c>
      <c r="ELY2" s="133" t="s">
        <v>4840</v>
      </c>
      <c r="ELZ2" s="133" t="s">
        <v>4841</v>
      </c>
      <c r="EMA2" s="133" t="s">
        <v>4842</v>
      </c>
      <c r="EMB2" s="133" t="s">
        <v>4843</v>
      </c>
      <c r="EMC2" s="133" t="s">
        <v>4844</v>
      </c>
      <c r="EMD2" s="133" t="s">
        <v>4845</v>
      </c>
      <c r="EME2" s="133" t="s">
        <v>4846</v>
      </c>
      <c r="EMF2" s="133" t="s">
        <v>4847</v>
      </c>
      <c r="EMG2" s="133" t="s">
        <v>4848</v>
      </c>
      <c r="EMH2" s="133" t="s">
        <v>4849</v>
      </c>
      <c r="EMI2" s="133" t="s">
        <v>4850</v>
      </c>
      <c r="EMJ2" s="133" t="s">
        <v>4851</v>
      </c>
      <c r="EMK2" s="133" t="s">
        <v>4852</v>
      </c>
      <c r="EML2" s="133" t="s">
        <v>4853</v>
      </c>
      <c r="EMM2" s="133" t="s">
        <v>4854</v>
      </c>
      <c r="EMN2" s="133" t="s">
        <v>4855</v>
      </c>
      <c r="EMO2" s="133" t="s">
        <v>4856</v>
      </c>
      <c r="EMP2" s="133" t="s">
        <v>4857</v>
      </c>
      <c r="EMQ2" s="133" t="s">
        <v>4858</v>
      </c>
      <c r="EMR2" s="133" t="s">
        <v>4859</v>
      </c>
      <c r="EMS2" s="133" t="s">
        <v>4860</v>
      </c>
      <c r="EMT2" s="133" t="s">
        <v>4861</v>
      </c>
      <c r="EMU2" s="133" t="s">
        <v>4862</v>
      </c>
      <c r="EMV2" s="133" t="s">
        <v>4863</v>
      </c>
      <c r="EMW2" s="133" t="s">
        <v>4864</v>
      </c>
      <c r="EMX2" s="133" t="s">
        <v>4865</v>
      </c>
      <c r="EMY2" s="133" t="s">
        <v>4866</v>
      </c>
      <c r="EMZ2" s="133" t="s">
        <v>4867</v>
      </c>
      <c r="ENA2" s="133" t="s">
        <v>4868</v>
      </c>
      <c r="ENB2" s="133" t="s">
        <v>4869</v>
      </c>
      <c r="ENC2" s="133" t="s">
        <v>4870</v>
      </c>
      <c r="END2" s="133" t="s">
        <v>4871</v>
      </c>
      <c r="ENE2" s="133" t="s">
        <v>4872</v>
      </c>
      <c r="ENF2" s="133" t="s">
        <v>4873</v>
      </c>
      <c r="ENG2" s="133" t="s">
        <v>4874</v>
      </c>
      <c r="ENH2" s="133" t="s">
        <v>4875</v>
      </c>
      <c r="ENI2" s="133" t="s">
        <v>4876</v>
      </c>
      <c r="ENJ2" s="133" t="s">
        <v>4877</v>
      </c>
      <c r="ENK2" s="133" t="s">
        <v>4878</v>
      </c>
      <c r="ENL2" s="133" t="s">
        <v>4879</v>
      </c>
      <c r="ENM2" s="133" t="s">
        <v>4880</v>
      </c>
      <c r="ENN2" s="133" t="s">
        <v>4881</v>
      </c>
      <c r="ENO2" s="133" t="s">
        <v>4882</v>
      </c>
      <c r="ENP2" s="133" t="s">
        <v>4883</v>
      </c>
      <c r="ENQ2" s="133" t="s">
        <v>4884</v>
      </c>
      <c r="ENR2" s="133" t="s">
        <v>4885</v>
      </c>
      <c r="ENS2" s="133" t="s">
        <v>4886</v>
      </c>
      <c r="ENT2" s="133" t="s">
        <v>4887</v>
      </c>
      <c r="ENU2" s="133" t="s">
        <v>4888</v>
      </c>
      <c r="ENV2" s="133" t="s">
        <v>4889</v>
      </c>
      <c r="ENW2" s="133" t="s">
        <v>4890</v>
      </c>
      <c r="ENX2" s="133" t="s">
        <v>4891</v>
      </c>
      <c r="ENY2" s="133" t="s">
        <v>4892</v>
      </c>
      <c r="ENZ2" s="133" t="s">
        <v>4893</v>
      </c>
      <c r="EOA2" s="133" t="s">
        <v>4894</v>
      </c>
      <c r="EOB2" s="133" t="s">
        <v>4895</v>
      </c>
      <c r="EOC2" s="133" t="s">
        <v>4896</v>
      </c>
      <c r="EOD2" s="133" t="s">
        <v>4897</v>
      </c>
      <c r="EOE2" s="133" t="s">
        <v>4898</v>
      </c>
      <c r="EOF2" s="133" t="s">
        <v>4899</v>
      </c>
      <c r="EOG2" s="133" t="s">
        <v>4900</v>
      </c>
      <c r="EOH2" s="133" t="s">
        <v>4901</v>
      </c>
      <c r="EOI2" s="133" t="s">
        <v>4902</v>
      </c>
      <c r="EOJ2" s="133" t="s">
        <v>4903</v>
      </c>
      <c r="EOK2" s="133" t="s">
        <v>4904</v>
      </c>
      <c r="EOL2" s="133" t="s">
        <v>4905</v>
      </c>
      <c r="EOM2" s="133" t="s">
        <v>4906</v>
      </c>
      <c r="EON2" s="133" t="s">
        <v>4907</v>
      </c>
      <c r="EOO2" s="133" t="s">
        <v>4908</v>
      </c>
      <c r="EOP2" s="133" t="s">
        <v>4909</v>
      </c>
      <c r="EOQ2" s="133" t="s">
        <v>4910</v>
      </c>
      <c r="EOR2" s="133" t="s">
        <v>4911</v>
      </c>
      <c r="EOS2" s="133" t="s">
        <v>4912</v>
      </c>
      <c r="EOT2" s="133" t="s">
        <v>4913</v>
      </c>
      <c r="EOU2" s="133" t="s">
        <v>4914</v>
      </c>
      <c r="EOV2" s="133" t="s">
        <v>4915</v>
      </c>
      <c r="EOW2" s="133" t="s">
        <v>4916</v>
      </c>
      <c r="EOX2" s="133" t="s">
        <v>4917</v>
      </c>
      <c r="EOY2" s="133" t="s">
        <v>4918</v>
      </c>
      <c r="EOZ2" s="133" t="s">
        <v>4919</v>
      </c>
      <c r="EPA2" s="133" t="s">
        <v>4920</v>
      </c>
      <c r="EPB2" s="133" t="s">
        <v>4921</v>
      </c>
      <c r="EPC2" s="133" t="s">
        <v>4922</v>
      </c>
      <c r="EPD2" s="133" t="s">
        <v>4923</v>
      </c>
      <c r="EPE2" s="133" t="s">
        <v>4924</v>
      </c>
      <c r="EPF2" s="133" t="s">
        <v>4925</v>
      </c>
      <c r="EPG2" s="133" t="s">
        <v>4926</v>
      </c>
      <c r="EPH2" s="133" t="s">
        <v>4927</v>
      </c>
      <c r="EPI2" s="133" t="s">
        <v>4928</v>
      </c>
      <c r="EPJ2" s="133" t="s">
        <v>4929</v>
      </c>
      <c r="EPK2" s="133" t="s">
        <v>4930</v>
      </c>
      <c r="EPL2" s="133" t="s">
        <v>4931</v>
      </c>
      <c r="EPM2" s="133" t="s">
        <v>4932</v>
      </c>
      <c r="EPN2" s="133" t="s">
        <v>4933</v>
      </c>
      <c r="EPO2" s="133" t="s">
        <v>4934</v>
      </c>
      <c r="EPP2" s="133" t="s">
        <v>4935</v>
      </c>
      <c r="EPQ2" s="133" t="s">
        <v>4936</v>
      </c>
      <c r="EPR2" s="133" t="s">
        <v>4937</v>
      </c>
      <c r="EPS2" s="133" t="s">
        <v>4938</v>
      </c>
      <c r="EPT2" s="133" t="s">
        <v>4939</v>
      </c>
      <c r="EPU2" s="133" t="s">
        <v>4940</v>
      </c>
      <c r="EPV2" s="133" t="s">
        <v>4941</v>
      </c>
      <c r="EPW2" s="133" t="s">
        <v>4942</v>
      </c>
      <c r="EPX2" s="133" t="s">
        <v>4943</v>
      </c>
      <c r="EPY2" s="133" t="s">
        <v>4944</v>
      </c>
      <c r="EPZ2" s="133" t="s">
        <v>4945</v>
      </c>
      <c r="EQA2" s="133" t="s">
        <v>4946</v>
      </c>
      <c r="EQB2" s="133" t="s">
        <v>4947</v>
      </c>
      <c r="EQC2" s="133" t="s">
        <v>4948</v>
      </c>
      <c r="EQD2" s="133" t="s">
        <v>4949</v>
      </c>
      <c r="EQE2" s="133" t="s">
        <v>4950</v>
      </c>
      <c r="EQF2" s="133" t="s">
        <v>4951</v>
      </c>
      <c r="EQG2" s="133" t="s">
        <v>4952</v>
      </c>
      <c r="EQH2" s="133" t="s">
        <v>4953</v>
      </c>
      <c r="EQI2" s="133" t="s">
        <v>4954</v>
      </c>
      <c r="EQJ2" s="133" t="s">
        <v>4955</v>
      </c>
      <c r="EQK2" s="133" t="s">
        <v>4956</v>
      </c>
      <c r="EQL2" s="133" t="s">
        <v>4957</v>
      </c>
      <c r="EQM2" s="133" t="s">
        <v>4958</v>
      </c>
      <c r="EQN2" s="133" t="s">
        <v>4959</v>
      </c>
      <c r="EQO2" s="133" t="s">
        <v>4960</v>
      </c>
      <c r="EQP2" s="133" t="s">
        <v>4961</v>
      </c>
      <c r="EQQ2" s="133" t="s">
        <v>4962</v>
      </c>
      <c r="EQR2" s="133" t="s">
        <v>4963</v>
      </c>
      <c r="EQS2" s="133" t="s">
        <v>4964</v>
      </c>
      <c r="EQT2" s="133" t="s">
        <v>4965</v>
      </c>
      <c r="EQU2" s="133" t="s">
        <v>4966</v>
      </c>
      <c r="EQV2" s="133" t="s">
        <v>4967</v>
      </c>
      <c r="EQW2" s="133" t="s">
        <v>4968</v>
      </c>
      <c r="EQX2" s="133" t="s">
        <v>4969</v>
      </c>
      <c r="EQY2" s="133" t="s">
        <v>4970</v>
      </c>
      <c r="EQZ2" s="133" t="s">
        <v>4971</v>
      </c>
      <c r="ERA2" s="133" t="s">
        <v>4972</v>
      </c>
      <c r="ERB2" s="133" t="s">
        <v>4973</v>
      </c>
      <c r="ERC2" s="133" t="s">
        <v>4974</v>
      </c>
      <c r="ERD2" s="133" t="s">
        <v>4975</v>
      </c>
      <c r="ERE2" s="133" t="s">
        <v>4976</v>
      </c>
      <c r="ERF2" s="133" t="s">
        <v>4977</v>
      </c>
      <c r="ERG2" s="133" t="s">
        <v>4978</v>
      </c>
      <c r="ERH2" s="133" t="s">
        <v>4979</v>
      </c>
      <c r="ERI2" s="133" t="s">
        <v>4980</v>
      </c>
      <c r="ERJ2" s="133" t="s">
        <v>4981</v>
      </c>
      <c r="ERK2" s="133" t="s">
        <v>4982</v>
      </c>
      <c r="ERL2" s="133" t="s">
        <v>4983</v>
      </c>
      <c r="ERM2" s="133" t="s">
        <v>4984</v>
      </c>
      <c r="ERN2" s="133" t="s">
        <v>4985</v>
      </c>
      <c r="ERO2" s="133" t="s">
        <v>4986</v>
      </c>
      <c r="ERP2" s="133" t="s">
        <v>4987</v>
      </c>
      <c r="ERQ2" s="133" t="s">
        <v>4988</v>
      </c>
      <c r="ERR2" s="133" t="s">
        <v>4989</v>
      </c>
      <c r="ERS2" s="133" t="s">
        <v>4990</v>
      </c>
      <c r="ERT2" s="133" t="s">
        <v>4991</v>
      </c>
      <c r="ERU2" s="133" t="s">
        <v>4992</v>
      </c>
      <c r="ERV2" s="133" t="s">
        <v>4993</v>
      </c>
      <c r="ERW2" s="133" t="s">
        <v>4994</v>
      </c>
      <c r="ERX2" s="133" t="s">
        <v>4995</v>
      </c>
      <c r="ERY2" s="133" t="s">
        <v>4996</v>
      </c>
      <c r="ERZ2" s="133" t="s">
        <v>4997</v>
      </c>
      <c r="ESA2" s="133" t="s">
        <v>4998</v>
      </c>
      <c r="ESB2" s="133" t="s">
        <v>4999</v>
      </c>
      <c r="ESC2" s="133" t="s">
        <v>5000</v>
      </c>
      <c r="ESD2" s="133" t="s">
        <v>5001</v>
      </c>
      <c r="ESE2" s="133" t="s">
        <v>5002</v>
      </c>
      <c r="ESF2" s="133" t="s">
        <v>5003</v>
      </c>
      <c r="ESG2" s="133" t="s">
        <v>5004</v>
      </c>
      <c r="ESH2" s="133" t="s">
        <v>5005</v>
      </c>
      <c r="ESI2" s="133" t="s">
        <v>5006</v>
      </c>
      <c r="ESJ2" s="133" t="s">
        <v>5007</v>
      </c>
      <c r="ESK2" s="133" t="s">
        <v>5008</v>
      </c>
      <c r="ESL2" s="133" t="s">
        <v>5009</v>
      </c>
      <c r="ESM2" s="133" t="s">
        <v>5010</v>
      </c>
      <c r="ESN2" s="133" t="s">
        <v>5011</v>
      </c>
      <c r="ESO2" s="133" t="s">
        <v>5012</v>
      </c>
      <c r="ESP2" s="133" t="s">
        <v>5013</v>
      </c>
      <c r="ESQ2" s="133" t="s">
        <v>5014</v>
      </c>
      <c r="ESR2" s="133" t="s">
        <v>5015</v>
      </c>
      <c r="ESS2" s="133" t="s">
        <v>5016</v>
      </c>
      <c r="EST2" s="133" t="s">
        <v>5017</v>
      </c>
      <c r="ESU2" s="133" t="s">
        <v>5018</v>
      </c>
      <c r="ESV2" s="133" t="s">
        <v>5019</v>
      </c>
      <c r="ESW2" s="133" t="s">
        <v>5020</v>
      </c>
      <c r="ESX2" s="133" t="s">
        <v>5021</v>
      </c>
      <c r="ESY2" s="133" t="s">
        <v>5022</v>
      </c>
      <c r="ESZ2" s="133" t="s">
        <v>5023</v>
      </c>
      <c r="ETA2" s="133" t="s">
        <v>5024</v>
      </c>
      <c r="ETB2" s="133" t="s">
        <v>5025</v>
      </c>
      <c r="ETC2" s="133" t="s">
        <v>5026</v>
      </c>
      <c r="ETD2" s="133" t="s">
        <v>5027</v>
      </c>
      <c r="ETE2" s="133" t="s">
        <v>5028</v>
      </c>
      <c r="ETF2" s="133" t="s">
        <v>5029</v>
      </c>
      <c r="ETG2" s="133" t="s">
        <v>5030</v>
      </c>
      <c r="ETH2" s="133" t="s">
        <v>5031</v>
      </c>
      <c r="ETI2" s="133" t="s">
        <v>5032</v>
      </c>
      <c r="ETJ2" s="133" t="s">
        <v>5033</v>
      </c>
      <c r="ETK2" s="133" t="s">
        <v>5034</v>
      </c>
      <c r="ETL2" s="133" t="s">
        <v>5035</v>
      </c>
      <c r="ETM2" s="133" t="s">
        <v>5036</v>
      </c>
      <c r="ETN2" s="133" t="s">
        <v>5037</v>
      </c>
      <c r="ETO2" s="133" t="s">
        <v>5038</v>
      </c>
      <c r="ETP2" s="133" t="s">
        <v>5039</v>
      </c>
      <c r="ETQ2" s="133" t="s">
        <v>5040</v>
      </c>
      <c r="ETR2" s="133" t="s">
        <v>5041</v>
      </c>
      <c r="ETS2" s="133" t="s">
        <v>5042</v>
      </c>
      <c r="ETT2" s="133" t="s">
        <v>5043</v>
      </c>
      <c r="ETU2" s="133" t="s">
        <v>5044</v>
      </c>
      <c r="ETV2" s="133" t="s">
        <v>5045</v>
      </c>
      <c r="ETW2" s="133" t="s">
        <v>5046</v>
      </c>
      <c r="ETX2" s="133" t="s">
        <v>5047</v>
      </c>
      <c r="ETY2" s="133" t="s">
        <v>5048</v>
      </c>
      <c r="ETZ2" s="133" t="s">
        <v>5049</v>
      </c>
      <c r="EUA2" s="133" t="s">
        <v>5050</v>
      </c>
      <c r="EUB2" s="133" t="s">
        <v>5051</v>
      </c>
      <c r="EUC2" s="133" t="s">
        <v>5052</v>
      </c>
      <c r="EUD2" s="133" t="s">
        <v>5053</v>
      </c>
      <c r="EUE2" s="133" t="s">
        <v>5054</v>
      </c>
      <c r="EUF2" s="133" t="s">
        <v>5055</v>
      </c>
      <c r="EUG2" s="133" t="s">
        <v>5056</v>
      </c>
      <c r="EUH2" s="133" t="s">
        <v>5057</v>
      </c>
      <c r="EUI2" s="133" t="s">
        <v>5058</v>
      </c>
      <c r="EUJ2" s="133" t="s">
        <v>5059</v>
      </c>
      <c r="EUK2" s="133" t="s">
        <v>5060</v>
      </c>
      <c r="EUL2" s="133" t="s">
        <v>5061</v>
      </c>
      <c r="EUM2" s="133" t="s">
        <v>5062</v>
      </c>
      <c r="EUN2" s="133" t="s">
        <v>5063</v>
      </c>
      <c r="EUO2" s="133" t="s">
        <v>5064</v>
      </c>
      <c r="EUP2" s="133" t="s">
        <v>5065</v>
      </c>
      <c r="EUQ2" s="133" t="s">
        <v>5066</v>
      </c>
      <c r="EUR2" s="133" t="s">
        <v>5067</v>
      </c>
      <c r="EUS2" s="133" t="s">
        <v>5068</v>
      </c>
      <c r="EUT2" s="133" t="s">
        <v>5069</v>
      </c>
      <c r="EUU2" s="133" t="s">
        <v>5070</v>
      </c>
      <c r="EUV2" s="133" t="s">
        <v>5071</v>
      </c>
      <c r="EUW2" s="133" t="s">
        <v>5072</v>
      </c>
      <c r="EUX2" s="133" t="s">
        <v>5073</v>
      </c>
      <c r="EUY2" s="133" t="s">
        <v>5074</v>
      </c>
      <c r="EUZ2" s="133" t="s">
        <v>5075</v>
      </c>
      <c r="EVA2" s="133" t="s">
        <v>5076</v>
      </c>
      <c r="EVB2" s="133" t="s">
        <v>5077</v>
      </c>
      <c r="EVC2" s="133" t="s">
        <v>5078</v>
      </c>
      <c r="EVD2" s="133" t="s">
        <v>5079</v>
      </c>
      <c r="EVE2" s="133" t="s">
        <v>5080</v>
      </c>
      <c r="EVF2" s="133" t="s">
        <v>5081</v>
      </c>
      <c r="EVG2" s="133" t="s">
        <v>5082</v>
      </c>
      <c r="EVH2" s="133" t="s">
        <v>5083</v>
      </c>
      <c r="EVI2" s="133" t="s">
        <v>5084</v>
      </c>
      <c r="EVJ2" s="133" t="s">
        <v>5085</v>
      </c>
      <c r="EVK2" s="133" t="s">
        <v>5086</v>
      </c>
      <c r="EVL2" s="133" t="s">
        <v>5087</v>
      </c>
      <c r="EVM2" s="133" t="s">
        <v>5088</v>
      </c>
      <c r="EVN2" s="133" t="s">
        <v>5089</v>
      </c>
      <c r="EVO2" s="133" t="s">
        <v>5090</v>
      </c>
      <c r="EVP2" s="133" t="s">
        <v>5091</v>
      </c>
      <c r="EVQ2" s="133" t="s">
        <v>5092</v>
      </c>
      <c r="EVR2" s="133" t="s">
        <v>5093</v>
      </c>
      <c r="EVS2" s="133" t="s">
        <v>5094</v>
      </c>
      <c r="EVT2" s="133" t="s">
        <v>5095</v>
      </c>
      <c r="EVU2" s="133" t="s">
        <v>5096</v>
      </c>
      <c r="EVV2" s="133" t="s">
        <v>5097</v>
      </c>
      <c r="EVW2" s="133" t="s">
        <v>5098</v>
      </c>
      <c r="EVX2" s="133" t="s">
        <v>5099</v>
      </c>
      <c r="EVY2" s="133" t="s">
        <v>5100</v>
      </c>
      <c r="EVZ2" s="133" t="s">
        <v>5101</v>
      </c>
      <c r="EWA2" s="133" t="s">
        <v>5102</v>
      </c>
      <c r="EWB2" s="133" t="s">
        <v>5103</v>
      </c>
      <c r="EWC2" s="133" t="s">
        <v>5104</v>
      </c>
      <c r="EWD2" s="133" t="s">
        <v>5105</v>
      </c>
      <c r="EWE2" s="133" t="s">
        <v>5106</v>
      </c>
      <c r="EWF2" s="133" t="s">
        <v>5107</v>
      </c>
      <c r="EWG2" s="133" t="s">
        <v>5108</v>
      </c>
      <c r="EWH2" s="133" t="s">
        <v>5109</v>
      </c>
      <c r="EWI2" s="133" t="s">
        <v>5110</v>
      </c>
      <c r="EWJ2" s="133" t="s">
        <v>5111</v>
      </c>
      <c r="EWK2" s="133" t="s">
        <v>5112</v>
      </c>
      <c r="EWL2" s="133" t="s">
        <v>5113</v>
      </c>
      <c r="EWM2" s="133" t="s">
        <v>5114</v>
      </c>
      <c r="EWN2" s="133" t="s">
        <v>5115</v>
      </c>
      <c r="EWO2" s="133" t="s">
        <v>5116</v>
      </c>
      <c r="EWP2" s="133" t="s">
        <v>5117</v>
      </c>
      <c r="EWQ2" s="133" t="s">
        <v>5118</v>
      </c>
      <c r="EWR2" s="133" t="s">
        <v>5119</v>
      </c>
      <c r="EWS2" s="133" t="s">
        <v>5120</v>
      </c>
      <c r="EWT2" s="133" t="s">
        <v>5121</v>
      </c>
      <c r="EWU2" s="133" t="s">
        <v>5122</v>
      </c>
      <c r="EWV2" s="133" t="s">
        <v>5123</v>
      </c>
      <c r="EWW2" s="133" t="s">
        <v>5124</v>
      </c>
      <c r="EWX2" s="133" t="s">
        <v>5125</v>
      </c>
      <c r="EWY2" s="133" t="s">
        <v>5126</v>
      </c>
      <c r="EWZ2" s="133" t="s">
        <v>5127</v>
      </c>
      <c r="EXA2" s="133" t="s">
        <v>5128</v>
      </c>
      <c r="EXB2" s="133" t="s">
        <v>5129</v>
      </c>
      <c r="EXC2" s="133" t="s">
        <v>5130</v>
      </c>
      <c r="EXD2" s="133" t="s">
        <v>5131</v>
      </c>
      <c r="EXE2" s="133" t="s">
        <v>5132</v>
      </c>
      <c r="EXF2" s="133" t="s">
        <v>5133</v>
      </c>
      <c r="EXG2" s="133" t="s">
        <v>5134</v>
      </c>
      <c r="EXH2" s="133" t="s">
        <v>5135</v>
      </c>
      <c r="EXI2" s="133" t="s">
        <v>5136</v>
      </c>
      <c r="EXJ2" s="133" t="s">
        <v>5137</v>
      </c>
      <c r="EXK2" s="133" t="s">
        <v>5138</v>
      </c>
      <c r="EXL2" s="133" t="s">
        <v>5139</v>
      </c>
      <c r="EXM2" s="133" t="s">
        <v>5140</v>
      </c>
      <c r="EXN2" s="133" t="s">
        <v>5141</v>
      </c>
      <c r="EXO2" s="133" t="s">
        <v>5142</v>
      </c>
      <c r="EXP2" s="133" t="s">
        <v>5143</v>
      </c>
      <c r="EXQ2" s="133" t="s">
        <v>5144</v>
      </c>
      <c r="EXR2" s="133" t="s">
        <v>5145</v>
      </c>
      <c r="EXS2" s="133" t="s">
        <v>5146</v>
      </c>
      <c r="EXT2" s="133" t="s">
        <v>5147</v>
      </c>
      <c r="EXU2" s="133" t="s">
        <v>5148</v>
      </c>
      <c r="EXV2" s="133" t="s">
        <v>5149</v>
      </c>
      <c r="EXW2" s="133" t="s">
        <v>5150</v>
      </c>
      <c r="EXX2" s="133" t="s">
        <v>5151</v>
      </c>
      <c r="EXY2" s="133" t="s">
        <v>5152</v>
      </c>
      <c r="EXZ2" s="133" t="s">
        <v>5153</v>
      </c>
      <c r="EYA2" s="133" t="s">
        <v>5154</v>
      </c>
      <c r="EYB2" s="133" t="s">
        <v>5155</v>
      </c>
      <c r="EYC2" s="133" t="s">
        <v>5156</v>
      </c>
      <c r="EYD2" s="133" t="s">
        <v>5157</v>
      </c>
      <c r="EYE2" s="133" t="s">
        <v>5158</v>
      </c>
      <c r="EYF2" s="133" t="s">
        <v>5159</v>
      </c>
      <c r="EYG2" s="133" t="s">
        <v>5160</v>
      </c>
      <c r="EYH2" s="133" t="s">
        <v>5161</v>
      </c>
      <c r="EYI2" s="133" t="s">
        <v>5162</v>
      </c>
      <c r="EYJ2" s="133" t="s">
        <v>5163</v>
      </c>
      <c r="EYK2" s="133" t="s">
        <v>5164</v>
      </c>
      <c r="EYL2" s="133" t="s">
        <v>5165</v>
      </c>
      <c r="EYM2" s="133" t="s">
        <v>5166</v>
      </c>
      <c r="EYN2" s="133" t="s">
        <v>5167</v>
      </c>
      <c r="EYO2" s="133" t="s">
        <v>5168</v>
      </c>
      <c r="EYP2" s="133" t="s">
        <v>5169</v>
      </c>
      <c r="EYQ2" s="133" t="s">
        <v>5170</v>
      </c>
      <c r="EYR2" s="133" t="s">
        <v>5171</v>
      </c>
      <c r="EYS2" s="133" t="s">
        <v>5172</v>
      </c>
      <c r="EYT2" s="133" t="s">
        <v>5173</v>
      </c>
      <c r="EYU2" s="133" t="s">
        <v>5174</v>
      </c>
      <c r="EYV2" s="133" t="s">
        <v>5175</v>
      </c>
      <c r="EYW2" s="133" t="s">
        <v>5176</v>
      </c>
      <c r="EYX2" s="133" t="s">
        <v>5177</v>
      </c>
      <c r="EYY2" s="133" t="s">
        <v>5178</v>
      </c>
      <c r="EYZ2" s="133" t="s">
        <v>5179</v>
      </c>
      <c r="EZA2" s="133" t="s">
        <v>5180</v>
      </c>
      <c r="EZB2" s="133" t="s">
        <v>5181</v>
      </c>
      <c r="EZC2" s="133" t="s">
        <v>5182</v>
      </c>
      <c r="EZD2" s="133" t="s">
        <v>5183</v>
      </c>
      <c r="EZE2" s="133" t="s">
        <v>5184</v>
      </c>
      <c r="EZF2" s="133" t="s">
        <v>5185</v>
      </c>
      <c r="EZG2" s="133" t="s">
        <v>5186</v>
      </c>
      <c r="EZH2" s="133" t="s">
        <v>5187</v>
      </c>
      <c r="EZI2" s="133" t="s">
        <v>5188</v>
      </c>
      <c r="EZJ2" s="133" t="s">
        <v>5189</v>
      </c>
      <c r="EZK2" s="133" t="s">
        <v>5190</v>
      </c>
      <c r="EZL2" s="133" t="s">
        <v>5191</v>
      </c>
      <c r="EZM2" s="133" t="s">
        <v>5192</v>
      </c>
      <c r="EZN2" s="133" t="s">
        <v>5193</v>
      </c>
      <c r="EZO2" s="133" t="s">
        <v>5194</v>
      </c>
      <c r="EZP2" s="133" t="s">
        <v>5195</v>
      </c>
      <c r="EZQ2" s="133" t="s">
        <v>5196</v>
      </c>
      <c r="EZR2" s="133" t="s">
        <v>5197</v>
      </c>
      <c r="EZS2" s="133" t="s">
        <v>5198</v>
      </c>
      <c r="EZT2" s="133" t="s">
        <v>5199</v>
      </c>
      <c r="EZU2" s="133" t="s">
        <v>5200</v>
      </c>
      <c r="EZV2" s="133" t="s">
        <v>5201</v>
      </c>
      <c r="EZW2" s="133" t="s">
        <v>5202</v>
      </c>
      <c r="EZX2" s="133" t="s">
        <v>5203</v>
      </c>
      <c r="EZY2" s="133" t="s">
        <v>5204</v>
      </c>
      <c r="EZZ2" s="133" t="s">
        <v>5205</v>
      </c>
      <c r="FAA2" s="133" t="s">
        <v>5206</v>
      </c>
      <c r="FAB2" s="133" t="s">
        <v>5207</v>
      </c>
      <c r="FAC2" s="133" t="s">
        <v>5208</v>
      </c>
      <c r="FAD2" s="133" t="s">
        <v>5209</v>
      </c>
      <c r="FAE2" s="133" t="s">
        <v>5210</v>
      </c>
      <c r="FAF2" s="133" t="s">
        <v>5211</v>
      </c>
      <c r="FAG2" s="133" t="s">
        <v>5212</v>
      </c>
      <c r="FAH2" s="133" t="s">
        <v>5213</v>
      </c>
      <c r="FAI2" s="133" t="s">
        <v>5214</v>
      </c>
      <c r="FAJ2" s="133" t="s">
        <v>5215</v>
      </c>
      <c r="FAK2" s="133" t="s">
        <v>5216</v>
      </c>
      <c r="FAL2" s="133" t="s">
        <v>5217</v>
      </c>
      <c r="FAM2" s="133" t="s">
        <v>5218</v>
      </c>
      <c r="FAN2" s="133" t="s">
        <v>5219</v>
      </c>
      <c r="FAO2" s="133" t="s">
        <v>5220</v>
      </c>
      <c r="FAP2" s="133" t="s">
        <v>5221</v>
      </c>
      <c r="FAQ2" s="133" t="s">
        <v>5222</v>
      </c>
      <c r="FAR2" s="133" t="s">
        <v>5223</v>
      </c>
      <c r="FAS2" s="133" t="s">
        <v>5224</v>
      </c>
      <c r="FAT2" s="133" t="s">
        <v>5225</v>
      </c>
      <c r="FAU2" s="133" t="s">
        <v>5226</v>
      </c>
      <c r="FAV2" s="133" t="s">
        <v>5227</v>
      </c>
      <c r="FAW2" s="133" t="s">
        <v>5228</v>
      </c>
      <c r="FAX2" s="133" t="s">
        <v>5229</v>
      </c>
      <c r="FAY2" s="133" t="s">
        <v>5230</v>
      </c>
      <c r="FAZ2" s="133" t="s">
        <v>5231</v>
      </c>
      <c r="FBA2" s="133" t="s">
        <v>5232</v>
      </c>
      <c r="FBB2" s="133" t="s">
        <v>5233</v>
      </c>
      <c r="FBC2" s="133" t="s">
        <v>5234</v>
      </c>
      <c r="FBD2" s="133" t="s">
        <v>5235</v>
      </c>
      <c r="FBE2" s="133" t="s">
        <v>5236</v>
      </c>
      <c r="FBF2" s="133" t="s">
        <v>5237</v>
      </c>
      <c r="FBG2" s="133" t="s">
        <v>5238</v>
      </c>
      <c r="FBH2" s="133" t="s">
        <v>5239</v>
      </c>
      <c r="FBI2" s="133" t="s">
        <v>5240</v>
      </c>
      <c r="FBJ2" s="133" t="s">
        <v>5241</v>
      </c>
      <c r="FBK2" s="133" t="s">
        <v>5242</v>
      </c>
      <c r="FBL2" s="133" t="s">
        <v>5243</v>
      </c>
      <c r="FBM2" s="133" t="s">
        <v>5244</v>
      </c>
      <c r="FBN2" s="133" t="s">
        <v>5245</v>
      </c>
      <c r="FBO2" s="133" t="s">
        <v>5246</v>
      </c>
      <c r="FBP2" s="133" t="s">
        <v>5247</v>
      </c>
      <c r="FBQ2" s="133" t="s">
        <v>5248</v>
      </c>
      <c r="FBR2" s="133" t="s">
        <v>5249</v>
      </c>
      <c r="FBS2" s="133" t="s">
        <v>5250</v>
      </c>
      <c r="FBT2" s="133" t="s">
        <v>5251</v>
      </c>
      <c r="FBU2" s="133" t="s">
        <v>5252</v>
      </c>
      <c r="FBV2" s="133" t="s">
        <v>5253</v>
      </c>
      <c r="FBW2" s="133" t="s">
        <v>5254</v>
      </c>
      <c r="FBX2" s="133" t="s">
        <v>5255</v>
      </c>
      <c r="FBY2" s="133" t="s">
        <v>5256</v>
      </c>
      <c r="FBZ2" s="133" t="s">
        <v>5257</v>
      </c>
      <c r="FCA2" s="133" t="s">
        <v>5258</v>
      </c>
      <c r="FCB2" s="133" t="s">
        <v>5259</v>
      </c>
      <c r="FCC2" s="133" t="s">
        <v>5260</v>
      </c>
      <c r="FCD2" s="133" t="s">
        <v>5261</v>
      </c>
      <c r="FCE2" s="133" t="s">
        <v>5262</v>
      </c>
      <c r="FCF2" s="133" t="s">
        <v>5263</v>
      </c>
      <c r="FCG2" s="133" t="s">
        <v>5264</v>
      </c>
      <c r="FCH2" s="133" t="s">
        <v>5265</v>
      </c>
      <c r="FCI2" s="133" t="s">
        <v>5266</v>
      </c>
      <c r="FCJ2" s="133" t="s">
        <v>5267</v>
      </c>
      <c r="FCK2" s="133" t="s">
        <v>5268</v>
      </c>
      <c r="FCL2" s="133" t="s">
        <v>5269</v>
      </c>
      <c r="FCM2" s="133" t="s">
        <v>5270</v>
      </c>
      <c r="FCN2" s="133" t="s">
        <v>5271</v>
      </c>
      <c r="FCO2" s="133" t="s">
        <v>5272</v>
      </c>
      <c r="FCP2" s="133" t="s">
        <v>5273</v>
      </c>
      <c r="FCQ2" s="133" t="s">
        <v>5274</v>
      </c>
      <c r="FCR2" s="133" t="s">
        <v>5275</v>
      </c>
      <c r="FCS2" s="133" t="s">
        <v>5276</v>
      </c>
      <c r="FCT2" s="133" t="s">
        <v>5277</v>
      </c>
      <c r="FCU2" s="133" t="s">
        <v>5278</v>
      </c>
      <c r="FCV2" s="133" t="s">
        <v>5279</v>
      </c>
      <c r="FCW2" s="133" t="s">
        <v>5280</v>
      </c>
      <c r="FCX2" s="133" t="s">
        <v>5281</v>
      </c>
      <c r="FCY2" s="133" t="s">
        <v>5282</v>
      </c>
      <c r="FCZ2" s="133" t="s">
        <v>5283</v>
      </c>
      <c r="FDA2" s="133" t="s">
        <v>5284</v>
      </c>
      <c r="FDB2" s="133" t="s">
        <v>5285</v>
      </c>
      <c r="FDC2" s="133" t="s">
        <v>5286</v>
      </c>
      <c r="FDD2" s="133" t="s">
        <v>5287</v>
      </c>
      <c r="FDE2" s="133" t="s">
        <v>5288</v>
      </c>
      <c r="FDF2" s="133" t="s">
        <v>5289</v>
      </c>
      <c r="FDG2" s="133" t="s">
        <v>5290</v>
      </c>
      <c r="FDH2" s="133" t="s">
        <v>5291</v>
      </c>
      <c r="FDI2" s="133" t="s">
        <v>5292</v>
      </c>
      <c r="FDJ2" s="133" t="s">
        <v>5293</v>
      </c>
      <c r="FDK2" s="133" t="s">
        <v>5294</v>
      </c>
      <c r="FDL2" s="133" t="s">
        <v>5295</v>
      </c>
      <c r="FDM2" s="133" t="s">
        <v>5296</v>
      </c>
      <c r="FDN2" s="133" t="s">
        <v>5297</v>
      </c>
      <c r="FDO2" s="133" t="s">
        <v>5298</v>
      </c>
      <c r="FDP2" s="133" t="s">
        <v>5299</v>
      </c>
      <c r="FDQ2" s="133" t="s">
        <v>5300</v>
      </c>
      <c r="FDR2" s="133" t="s">
        <v>5301</v>
      </c>
      <c r="FDS2" s="133" t="s">
        <v>5302</v>
      </c>
      <c r="FDT2" s="133" t="s">
        <v>5303</v>
      </c>
      <c r="FDU2" s="133" t="s">
        <v>5304</v>
      </c>
      <c r="FDV2" s="133" t="s">
        <v>5305</v>
      </c>
      <c r="FDW2" s="133" t="s">
        <v>5306</v>
      </c>
      <c r="FDX2" s="133" t="s">
        <v>5307</v>
      </c>
      <c r="FDY2" s="133" t="s">
        <v>5308</v>
      </c>
      <c r="FDZ2" s="133" t="s">
        <v>5309</v>
      </c>
      <c r="FEA2" s="133" t="s">
        <v>5310</v>
      </c>
      <c r="FEB2" s="133" t="s">
        <v>5311</v>
      </c>
      <c r="FEC2" s="133" t="s">
        <v>5312</v>
      </c>
      <c r="FED2" s="133" t="s">
        <v>5313</v>
      </c>
      <c r="FEE2" s="133" t="s">
        <v>5314</v>
      </c>
      <c r="FEF2" s="133" t="s">
        <v>5315</v>
      </c>
      <c r="FEG2" s="133" t="s">
        <v>5316</v>
      </c>
      <c r="FEH2" s="133" t="s">
        <v>5317</v>
      </c>
      <c r="FEI2" s="133" t="s">
        <v>5318</v>
      </c>
      <c r="FEJ2" s="133" t="s">
        <v>5319</v>
      </c>
      <c r="FEK2" s="133" t="s">
        <v>5320</v>
      </c>
      <c r="FEL2" s="133" t="s">
        <v>5321</v>
      </c>
      <c r="FEM2" s="133" t="s">
        <v>5322</v>
      </c>
      <c r="FEN2" s="133" t="s">
        <v>5323</v>
      </c>
      <c r="FEO2" s="133" t="s">
        <v>5324</v>
      </c>
      <c r="FEP2" s="133" t="s">
        <v>5325</v>
      </c>
      <c r="FEQ2" s="133" t="s">
        <v>5326</v>
      </c>
      <c r="FER2" s="133" t="s">
        <v>5327</v>
      </c>
      <c r="FES2" s="133" t="s">
        <v>5328</v>
      </c>
      <c r="FET2" s="133" t="s">
        <v>5329</v>
      </c>
      <c r="FEU2" s="133" t="s">
        <v>5330</v>
      </c>
      <c r="FEV2" s="133" t="s">
        <v>5331</v>
      </c>
      <c r="FEW2" s="133" t="s">
        <v>5332</v>
      </c>
      <c r="FEX2" s="133" t="s">
        <v>5333</v>
      </c>
      <c r="FEY2" s="133" t="s">
        <v>5334</v>
      </c>
      <c r="FEZ2" s="133" t="s">
        <v>5335</v>
      </c>
      <c r="FFA2" s="133" t="s">
        <v>5336</v>
      </c>
      <c r="FFB2" s="133" t="s">
        <v>5337</v>
      </c>
      <c r="FFC2" s="133" t="s">
        <v>5338</v>
      </c>
      <c r="FFD2" s="133" t="s">
        <v>5339</v>
      </c>
      <c r="FFE2" s="133" t="s">
        <v>5340</v>
      </c>
      <c r="FFF2" s="133" t="s">
        <v>5341</v>
      </c>
      <c r="FFG2" s="133" t="s">
        <v>5342</v>
      </c>
      <c r="FFH2" s="133" t="s">
        <v>5343</v>
      </c>
      <c r="FFI2" s="133" t="s">
        <v>5344</v>
      </c>
      <c r="FFJ2" s="133" t="s">
        <v>5345</v>
      </c>
      <c r="FFK2" s="133" t="s">
        <v>5346</v>
      </c>
      <c r="FFL2" s="133" t="s">
        <v>5347</v>
      </c>
      <c r="FFM2" s="133" t="s">
        <v>5348</v>
      </c>
      <c r="FFN2" s="133" t="s">
        <v>5349</v>
      </c>
      <c r="FFO2" s="133" t="s">
        <v>5350</v>
      </c>
      <c r="FFP2" s="133" t="s">
        <v>5351</v>
      </c>
      <c r="FFQ2" s="133" t="s">
        <v>5352</v>
      </c>
      <c r="FFR2" s="133" t="s">
        <v>5353</v>
      </c>
      <c r="FFS2" s="133" t="s">
        <v>5354</v>
      </c>
      <c r="FFT2" s="133" t="s">
        <v>5355</v>
      </c>
      <c r="FFU2" s="133" t="s">
        <v>5356</v>
      </c>
      <c r="FFV2" s="133" t="s">
        <v>5357</v>
      </c>
      <c r="FFW2" s="133" t="s">
        <v>5358</v>
      </c>
      <c r="FFX2" s="133" t="s">
        <v>5359</v>
      </c>
      <c r="FFY2" s="133" t="s">
        <v>5360</v>
      </c>
      <c r="FFZ2" s="133" t="s">
        <v>5361</v>
      </c>
      <c r="FGA2" s="133" t="s">
        <v>5362</v>
      </c>
      <c r="FGB2" s="133" t="s">
        <v>5363</v>
      </c>
      <c r="FGC2" s="133" t="s">
        <v>5364</v>
      </c>
      <c r="FGD2" s="133" t="s">
        <v>5365</v>
      </c>
      <c r="FGE2" s="133" t="s">
        <v>5366</v>
      </c>
      <c r="FGF2" s="133" t="s">
        <v>5367</v>
      </c>
      <c r="FGG2" s="133" t="s">
        <v>5368</v>
      </c>
      <c r="FGH2" s="133" t="s">
        <v>5369</v>
      </c>
      <c r="FGI2" s="133" t="s">
        <v>5370</v>
      </c>
      <c r="FGJ2" s="133" t="s">
        <v>5371</v>
      </c>
      <c r="FGK2" s="133" t="s">
        <v>5372</v>
      </c>
      <c r="FGL2" s="133" t="s">
        <v>5373</v>
      </c>
      <c r="FGM2" s="133" t="s">
        <v>5374</v>
      </c>
      <c r="FGN2" s="133" t="s">
        <v>5375</v>
      </c>
      <c r="FGO2" s="133" t="s">
        <v>5376</v>
      </c>
      <c r="FGP2" s="133" t="s">
        <v>5377</v>
      </c>
      <c r="FGQ2" s="133" t="s">
        <v>5378</v>
      </c>
      <c r="FGR2" s="133" t="s">
        <v>5379</v>
      </c>
      <c r="FGS2" s="133" t="s">
        <v>5380</v>
      </c>
      <c r="FGT2" s="133" t="s">
        <v>5381</v>
      </c>
      <c r="FGU2" s="133" t="s">
        <v>5382</v>
      </c>
      <c r="FGV2" s="133" t="s">
        <v>5383</v>
      </c>
      <c r="FGW2" s="133" t="s">
        <v>5384</v>
      </c>
      <c r="FGX2" s="133" t="s">
        <v>5385</v>
      </c>
      <c r="FGY2" s="133" t="s">
        <v>5386</v>
      </c>
      <c r="FGZ2" s="133" t="s">
        <v>5387</v>
      </c>
      <c r="FHA2" s="133" t="s">
        <v>5388</v>
      </c>
      <c r="FHB2" s="133" t="s">
        <v>5389</v>
      </c>
      <c r="FHC2" s="133" t="s">
        <v>5390</v>
      </c>
      <c r="FHD2" s="133" t="s">
        <v>5391</v>
      </c>
      <c r="FHE2" s="133" t="s">
        <v>5392</v>
      </c>
      <c r="FHF2" s="133" t="s">
        <v>5393</v>
      </c>
      <c r="FHG2" s="133" t="s">
        <v>5394</v>
      </c>
      <c r="FHH2" s="133" t="s">
        <v>5395</v>
      </c>
      <c r="FHI2" s="133" t="s">
        <v>5396</v>
      </c>
      <c r="FHJ2" s="133" t="s">
        <v>5397</v>
      </c>
      <c r="FHK2" s="133" t="s">
        <v>5398</v>
      </c>
      <c r="FHL2" s="133" t="s">
        <v>5399</v>
      </c>
      <c r="FHM2" s="133" t="s">
        <v>5400</v>
      </c>
      <c r="FHN2" s="133" t="s">
        <v>5401</v>
      </c>
      <c r="FHO2" s="133" t="s">
        <v>5402</v>
      </c>
      <c r="FHP2" s="133" t="s">
        <v>5403</v>
      </c>
      <c r="FHQ2" s="133" t="s">
        <v>5404</v>
      </c>
      <c r="FHR2" s="133" t="s">
        <v>5405</v>
      </c>
      <c r="FHS2" s="133" t="s">
        <v>5406</v>
      </c>
      <c r="FHT2" s="133" t="s">
        <v>5407</v>
      </c>
      <c r="FHU2" s="133" t="s">
        <v>5408</v>
      </c>
      <c r="FHV2" s="133" t="s">
        <v>5409</v>
      </c>
      <c r="FHW2" s="133" t="s">
        <v>5410</v>
      </c>
      <c r="FHX2" s="133" t="s">
        <v>5411</v>
      </c>
      <c r="FHY2" s="133" t="s">
        <v>5412</v>
      </c>
      <c r="FHZ2" s="133" t="s">
        <v>5413</v>
      </c>
      <c r="FIA2" s="133" t="s">
        <v>5414</v>
      </c>
      <c r="FIB2" s="133" t="s">
        <v>5415</v>
      </c>
      <c r="FIC2" s="133" t="s">
        <v>5416</v>
      </c>
      <c r="FID2" s="133" t="s">
        <v>5417</v>
      </c>
      <c r="FIE2" s="133" t="s">
        <v>5418</v>
      </c>
      <c r="FIF2" s="133" t="s">
        <v>5419</v>
      </c>
      <c r="FIG2" s="133" t="s">
        <v>5420</v>
      </c>
      <c r="FIH2" s="133" t="s">
        <v>5421</v>
      </c>
      <c r="FII2" s="133" t="s">
        <v>5422</v>
      </c>
      <c r="FIJ2" s="133" t="s">
        <v>5423</v>
      </c>
      <c r="FIK2" s="133" t="s">
        <v>5424</v>
      </c>
      <c r="FIL2" s="133" t="s">
        <v>5425</v>
      </c>
      <c r="FIM2" s="133" t="s">
        <v>5426</v>
      </c>
      <c r="FIN2" s="133" t="s">
        <v>5427</v>
      </c>
      <c r="FIO2" s="133" t="s">
        <v>5428</v>
      </c>
      <c r="FIP2" s="133" t="s">
        <v>5429</v>
      </c>
      <c r="FIQ2" s="133" t="s">
        <v>5430</v>
      </c>
      <c r="FIR2" s="133" t="s">
        <v>5431</v>
      </c>
      <c r="FIS2" s="133" t="s">
        <v>5432</v>
      </c>
      <c r="FIT2" s="133" t="s">
        <v>5433</v>
      </c>
      <c r="FIU2" s="133" t="s">
        <v>5434</v>
      </c>
      <c r="FIV2" s="133" t="s">
        <v>5435</v>
      </c>
      <c r="FIW2" s="133" t="s">
        <v>5436</v>
      </c>
      <c r="FIX2" s="133" t="s">
        <v>5437</v>
      </c>
      <c r="FIY2" s="133" t="s">
        <v>5438</v>
      </c>
      <c r="FIZ2" s="133" t="s">
        <v>5439</v>
      </c>
      <c r="FJA2" s="133" t="s">
        <v>5440</v>
      </c>
      <c r="FJB2" s="133" t="s">
        <v>5441</v>
      </c>
      <c r="FJC2" s="133" t="s">
        <v>5442</v>
      </c>
      <c r="FJD2" s="133" t="s">
        <v>5443</v>
      </c>
      <c r="FJE2" s="133" t="s">
        <v>5444</v>
      </c>
      <c r="FJF2" s="133" t="s">
        <v>5445</v>
      </c>
      <c r="FJG2" s="133" t="s">
        <v>5446</v>
      </c>
      <c r="FJH2" s="133" t="s">
        <v>5447</v>
      </c>
      <c r="FJI2" s="133" t="s">
        <v>5448</v>
      </c>
      <c r="FJJ2" s="133" t="s">
        <v>5449</v>
      </c>
      <c r="FJK2" s="133" t="s">
        <v>5450</v>
      </c>
      <c r="FJL2" s="133" t="s">
        <v>5451</v>
      </c>
      <c r="FJM2" s="133" t="s">
        <v>5452</v>
      </c>
      <c r="FJN2" s="133" t="s">
        <v>5453</v>
      </c>
      <c r="FJO2" s="133" t="s">
        <v>5454</v>
      </c>
      <c r="FJP2" s="133" t="s">
        <v>5455</v>
      </c>
      <c r="FJQ2" s="133" t="s">
        <v>5456</v>
      </c>
      <c r="FJR2" s="133" t="s">
        <v>5457</v>
      </c>
      <c r="FJS2" s="133" t="s">
        <v>5458</v>
      </c>
      <c r="FJT2" s="133" t="s">
        <v>5459</v>
      </c>
      <c r="FJU2" s="133" t="s">
        <v>5460</v>
      </c>
      <c r="FJV2" s="133" t="s">
        <v>5461</v>
      </c>
      <c r="FJW2" s="133" t="s">
        <v>5462</v>
      </c>
      <c r="FJX2" s="133" t="s">
        <v>5463</v>
      </c>
      <c r="FJY2" s="133" t="s">
        <v>5464</v>
      </c>
      <c r="FJZ2" s="133" t="s">
        <v>5465</v>
      </c>
      <c r="FKA2" s="133" t="s">
        <v>5466</v>
      </c>
      <c r="FKB2" s="133" t="s">
        <v>5467</v>
      </c>
      <c r="FKC2" s="133" t="s">
        <v>5468</v>
      </c>
      <c r="FKD2" s="133" t="s">
        <v>5469</v>
      </c>
      <c r="FKE2" s="133" t="s">
        <v>5470</v>
      </c>
      <c r="FKF2" s="133" t="s">
        <v>5471</v>
      </c>
      <c r="FKG2" s="133" t="s">
        <v>5472</v>
      </c>
      <c r="FKH2" s="133" t="s">
        <v>5473</v>
      </c>
      <c r="FKI2" s="133" t="s">
        <v>5474</v>
      </c>
      <c r="FKJ2" s="133" t="s">
        <v>5475</v>
      </c>
      <c r="FKK2" s="133" t="s">
        <v>5476</v>
      </c>
      <c r="FKL2" s="133" t="s">
        <v>5477</v>
      </c>
      <c r="FKM2" s="133" t="s">
        <v>5478</v>
      </c>
      <c r="FKN2" s="133" t="s">
        <v>5479</v>
      </c>
      <c r="FKO2" s="133" t="s">
        <v>5480</v>
      </c>
      <c r="FKP2" s="133" t="s">
        <v>5481</v>
      </c>
      <c r="FKQ2" s="133" t="s">
        <v>5482</v>
      </c>
      <c r="FKR2" s="133" t="s">
        <v>5483</v>
      </c>
      <c r="FKS2" s="133" t="s">
        <v>5484</v>
      </c>
      <c r="FKT2" s="133" t="s">
        <v>5485</v>
      </c>
      <c r="FKU2" s="133" t="s">
        <v>5486</v>
      </c>
      <c r="FKV2" s="133" t="s">
        <v>5487</v>
      </c>
      <c r="FKW2" s="133" t="s">
        <v>5488</v>
      </c>
      <c r="FKX2" s="133" t="s">
        <v>5489</v>
      </c>
      <c r="FKY2" s="133" t="s">
        <v>5490</v>
      </c>
      <c r="FKZ2" s="133" t="s">
        <v>5491</v>
      </c>
      <c r="FLA2" s="133" t="s">
        <v>5492</v>
      </c>
      <c r="FLB2" s="133" t="s">
        <v>5493</v>
      </c>
      <c r="FLC2" s="133" t="s">
        <v>5494</v>
      </c>
      <c r="FLD2" s="133" t="s">
        <v>5495</v>
      </c>
      <c r="FLE2" s="133" t="s">
        <v>5496</v>
      </c>
      <c r="FLF2" s="133" t="s">
        <v>5497</v>
      </c>
      <c r="FLG2" s="133" t="s">
        <v>5498</v>
      </c>
      <c r="FLH2" s="133" t="s">
        <v>5499</v>
      </c>
      <c r="FLI2" s="133" t="s">
        <v>5500</v>
      </c>
      <c r="FLJ2" s="133" t="s">
        <v>5501</v>
      </c>
      <c r="FLK2" s="133" t="s">
        <v>5502</v>
      </c>
      <c r="FLL2" s="133" t="s">
        <v>5503</v>
      </c>
      <c r="FLM2" s="133" t="s">
        <v>5504</v>
      </c>
      <c r="FLN2" s="133" t="s">
        <v>5505</v>
      </c>
      <c r="FLO2" s="133" t="s">
        <v>5506</v>
      </c>
      <c r="FLP2" s="133" t="s">
        <v>5507</v>
      </c>
      <c r="FLQ2" s="133" t="s">
        <v>5508</v>
      </c>
      <c r="FLR2" s="133" t="s">
        <v>5509</v>
      </c>
      <c r="FLS2" s="133" t="s">
        <v>5510</v>
      </c>
      <c r="FLT2" s="133" t="s">
        <v>5511</v>
      </c>
      <c r="FLU2" s="133" t="s">
        <v>5512</v>
      </c>
      <c r="FLV2" s="133" t="s">
        <v>5513</v>
      </c>
      <c r="FLW2" s="133" t="s">
        <v>5514</v>
      </c>
      <c r="FLX2" s="133" t="s">
        <v>5515</v>
      </c>
      <c r="FLY2" s="133" t="s">
        <v>5516</v>
      </c>
      <c r="FLZ2" s="133" t="s">
        <v>5517</v>
      </c>
      <c r="FMA2" s="133" t="s">
        <v>5518</v>
      </c>
      <c r="FMB2" s="133" t="s">
        <v>5519</v>
      </c>
      <c r="FMC2" s="133" t="s">
        <v>5520</v>
      </c>
      <c r="FMD2" s="133" t="s">
        <v>5521</v>
      </c>
      <c r="FME2" s="133" t="s">
        <v>5522</v>
      </c>
      <c r="FMF2" s="133" t="s">
        <v>5523</v>
      </c>
      <c r="FMG2" s="133" t="s">
        <v>5524</v>
      </c>
      <c r="FMH2" s="133" t="s">
        <v>5525</v>
      </c>
      <c r="FMI2" s="133" t="s">
        <v>5526</v>
      </c>
      <c r="FMJ2" s="133" t="s">
        <v>5527</v>
      </c>
      <c r="FMK2" s="133" t="s">
        <v>5528</v>
      </c>
      <c r="FML2" s="133" t="s">
        <v>5529</v>
      </c>
      <c r="FMM2" s="133" t="s">
        <v>5530</v>
      </c>
      <c r="FMN2" s="133" t="s">
        <v>5531</v>
      </c>
      <c r="FMO2" s="133" t="s">
        <v>5532</v>
      </c>
      <c r="FMP2" s="133" t="s">
        <v>5533</v>
      </c>
      <c r="FMQ2" s="133" t="s">
        <v>5534</v>
      </c>
      <c r="FMR2" s="133" t="s">
        <v>5535</v>
      </c>
      <c r="FMS2" s="133" t="s">
        <v>5536</v>
      </c>
      <c r="FMT2" s="133" t="s">
        <v>5537</v>
      </c>
      <c r="FMU2" s="133" t="s">
        <v>5538</v>
      </c>
      <c r="FMV2" s="133" t="s">
        <v>5539</v>
      </c>
      <c r="FMW2" s="133" t="s">
        <v>5540</v>
      </c>
      <c r="FMX2" s="133" t="s">
        <v>5541</v>
      </c>
      <c r="FMY2" s="133" t="s">
        <v>5542</v>
      </c>
      <c r="FMZ2" s="133" t="s">
        <v>5543</v>
      </c>
      <c r="FNA2" s="133" t="s">
        <v>5544</v>
      </c>
      <c r="FNB2" s="133" t="s">
        <v>5545</v>
      </c>
      <c r="FNC2" s="133" t="s">
        <v>5546</v>
      </c>
      <c r="FND2" s="133" t="s">
        <v>5547</v>
      </c>
      <c r="FNE2" s="133" t="s">
        <v>5548</v>
      </c>
      <c r="FNF2" s="133" t="s">
        <v>5549</v>
      </c>
      <c r="FNG2" s="133" t="s">
        <v>5550</v>
      </c>
      <c r="FNH2" s="133" t="s">
        <v>5551</v>
      </c>
      <c r="FNI2" s="133" t="s">
        <v>5552</v>
      </c>
      <c r="FNJ2" s="133" t="s">
        <v>5553</v>
      </c>
      <c r="FNK2" s="133" t="s">
        <v>5554</v>
      </c>
      <c r="FNL2" s="133" t="s">
        <v>5555</v>
      </c>
      <c r="FNM2" s="133" t="s">
        <v>5556</v>
      </c>
      <c r="FNN2" s="133" t="s">
        <v>5557</v>
      </c>
      <c r="FNO2" s="133" t="s">
        <v>5558</v>
      </c>
      <c r="FNP2" s="133" t="s">
        <v>5559</v>
      </c>
      <c r="FNQ2" s="133" t="s">
        <v>5560</v>
      </c>
      <c r="FNR2" s="133" t="s">
        <v>5561</v>
      </c>
      <c r="FNS2" s="133" t="s">
        <v>5562</v>
      </c>
      <c r="FNT2" s="133" t="s">
        <v>5563</v>
      </c>
      <c r="FNU2" s="133" t="s">
        <v>5564</v>
      </c>
      <c r="FNV2" s="133" t="s">
        <v>5565</v>
      </c>
      <c r="FNW2" s="133" t="s">
        <v>5566</v>
      </c>
      <c r="FNX2" s="133" t="s">
        <v>5567</v>
      </c>
      <c r="FNY2" s="133" t="s">
        <v>5568</v>
      </c>
      <c r="FNZ2" s="133" t="s">
        <v>5569</v>
      </c>
      <c r="FOA2" s="133" t="s">
        <v>5570</v>
      </c>
      <c r="FOB2" s="133" t="s">
        <v>5571</v>
      </c>
      <c r="FOC2" s="133" t="s">
        <v>5572</v>
      </c>
      <c r="FOD2" s="133" t="s">
        <v>5573</v>
      </c>
      <c r="FOE2" s="133" t="s">
        <v>5574</v>
      </c>
      <c r="FOF2" s="133" t="s">
        <v>5575</v>
      </c>
      <c r="FOG2" s="133" t="s">
        <v>5576</v>
      </c>
      <c r="FOH2" s="133" t="s">
        <v>5577</v>
      </c>
      <c r="FOI2" s="133" t="s">
        <v>5578</v>
      </c>
      <c r="FOJ2" s="133" t="s">
        <v>5579</v>
      </c>
      <c r="FOK2" s="133" t="s">
        <v>5580</v>
      </c>
      <c r="FOL2" s="133" t="s">
        <v>5581</v>
      </c>
      <c r="FOM2" s="133" t="s">
        <v>5582</v>
      </c>
      <c r="FON2" s="133" t="s">
        <v>5583</v>
      </c>
      <c r="FOO2" s="133" t="s">
        <v>5584</v>
      </c>
      <c r="FOP2" s="133" t="s">
        <v>5585</v>
      </c>
      <c r="FOQ2" s="133" t="s">
        <v>5586</v>
      </c>
      <c r="FOR2" s="133" t="s">
        <v>5587</v>
      </c>
      <c r="FOS2" s="133" t="s">
        <v>5588</v>
      </c>
      <c r="FOT2" s="133" t="s">
        <v>5589</v>
      </c>
      <c r="FOU2" s="133" t="s">
        <v>5590</v>
      </c>
      <c r="FOV2" s="133" t="s">
        <v>5591</v>
      </c>
      <c r="FOW2" s="133" t="s">
        <v>5592</v>
      </c>
      <c r="FOX2" s="133" t="s">
        <v>5593</v>
      </c>
      <c r="FOY2" s="133" t="s">
        <v>5594</v>
      </c>
      <c r="FOZ2" s="133" t="s">
        <v>5595</v>
      </c>
      <c r="FPA2" s="133" t="s">
        <v>5596</v>
      </c>
      <c r="FPB2" s="133" t="s">
        <v>5597</v>
      </c>
      <c r="FPC2" s="133" t="s">
        <v>5598</v>
      </c>
      <c r="FPD2" s="133" t="s">
        <v>5599</v>
      </c>
      <c r="FPE2" s="133" t="s">
        <v>5600</v>
      </c>
      <c r="FPF2" s="133" t="s">
        <v>5601</v>
      </c>
      <c r="FPG2" s="133" t="s">
        <v>5602</v>
      </c>
      <c r="FPH2" s="133" t="s">
        <v>5603</v>
      </c>
      <c r="FPI2" s="133" t="s">
        <v>5604</v>
      </c>
      <c r="FPJ2" s="133" t="s">
        <v>5605</v>
      </c>
      <c r="FPK2" s="133" t="s">
        <v>5606</v>
      </c>
      <c r="FPL2" s="133" t="s">
        <v>5607</v>
      </c>
      <c r="FPM2" s="133" t="s">
        <v>5608</v>
      </c>
      <c r="FPN2" s="133" t="s">
        <v>5609</v>
      </c>
      <c r="FPO2" s="133" t="s">
        <v>5610</v>
      </c>
      <c r="FPP2" s="133" t="s">
        <v>5611</v>
      </c>
      <c r="FPQ2" s="133" t="s">
        <v>5612</v>
      </c>
      <c r="FPR2" s="133" t="s">
        <v>5613</v>
      </c>
      <c r="FPS2" s="133" t="s">
        <v>5614</v>
      </c>
      <c r="FPT2" s="133" t="s">
        <v>5615</v>
      </c>
      <c r="FPU2" s="133" t="s">
        <v>5616</v>
      </c>
      <c r="FPV2" s="133" t="s">
        <v>5617</v>
      </c>
      <c r="FPW2" s="133" t="s">
        <v>5618</v>
      </c>
      <c r="FPX2" s="133" t="s">
        <v>5619</v>
      </c>
      <c r="FPY2" s="133" t="s">
        <v>5620</v>
      </c>
      <c r="FPZ2" s="133" t="s">
        <v>5621</v>
      </c>
      <c r="FQA2" s="133" t="s">
        <v>5622</v>
      </c>
      <c r="FQB2" s="133" t="s">
        <v>5623</v>
      </c>
      <c r="FQC2" s="133" t="s">
        <v>5624</v>
      </c>
      <c r="FQD2" s="133" t="s">
        <v>5625</v>
      </c>
      <c r="FQE2" s="133" t="s">
        <v>5626</v>
      </c>
      <c r="FQF2" s="133" t="s">
        <v>5627</v>
      </c>
      <c r="FQG2" s="133" t="s">
        <v>5628</v>
      </c>
      <c r="FQH2" s="133" t="s">
        <v>5629</v>
      </c>
      <c r="FQI2" s="133" t="s">
        <v>5630</v>
      </c>
      <c r="FQJ2" s="133" t="s">
        <v>5631</v>
      </c>
      <c r="FQK2" s="133" t="s">
        <v>5632</v>
      </c>
      <c r="FQL2" s="133" t="s">
        <v>5633</v>
      </c>
      <c r="FQM2" s="133" t="s">
        <v>5634</v>
      </c>
      <c r="FQN2" s="133" t="s">
        <v>5635</v>
      </c>
      <c r="FQO2" s="133" t="s">
        <v>5636</v>
      </c>
      <c r="FQP2" s="133" t="s">
        <v>5637</v>
      </c>
      <c r="FQQ2" s="133" t="s">
        <v>5638</v>
      </c>
      <c r="FQR2" s="133" t="s">
        <v>5639</v>
      </c>
      <c r="FQS2" s="133" t="s">
        <v>5640</v>
      </c>
      <c r="FQT2" s="133" t="s">
        <v>5641</v>
      </c>
      <c r="FQU2" s="133" t="s">
        <v>5642</v>
      </c>
      <c r="FQV2" s="133" t="s">
        <v>5643</v>
      </c>
      <c r="FQW2" s="133" t="s">
        <v>5644</v>
      </c>
      <c r="FQX2" s="133" t="s">
        <v>5645</v>
      </c>
      <c r="FQY2" s="133" t="s">
        <v>5646</v>
      </c>
      <c r="FQZ2" s="133" t="s">
        <v>5647</v>
      </c>
      <c r="FRA2" s="133" t="s">
        <v>5648</v>
      </c>
      <c r="FRB2" s="133" t="s">
        <v>5649</v>
      </c>
      <c r="FRC2" s="133" t="s">
        <v>5650</v>
      </c>
      <c r="FRD2" s="133" t="s">
        <v>5651</v>
      </c>
      <c r="FRE2" s="133" t="s">
        <v>5652</v>
      </c>
      <c r="FRF2" s="133" t="s">
        <v>5653</v>
      </c>
      <c r="FRG2" s="133" t="s">
        <v>5654</v>
      </c>
      <c r="FRH2" s="133" t="s">
        <v>5655</v>
      </c>
      <c r="FRI2" s="133" t="s">
        <v>5656</v>
      </c>
      <c r="FRJ2" s="133" t="s">
        <v>5657</v>
      </c>
      <c r="FRK2" s="133" t="s">
        <v>5658</v>
      </c>
      <c r="FRL2" s="133" t="s">
        <v>5659</v>
      </c>
      <c r="FRM2" s="133" t="s">
        <v>5660</v>
      </c>
      <c r="FRN2" s="133" t="s">
        <v>5661</v>
      </c>
      <c r="FRO2" s="133" t="s">
        <v>5662</v>
      </c>
      <c r="FRP2" s="133" t="s">
        <v>5663</v>
      </c>
      <c r="FRQ2" s="133" t="s">
        <v>5664</v>
      </c>
      <c r="FRR2" s="133" t="s">
        <v>5665</v>
      </c>
      <c r="FRS2" s="133" t="s">
        <v>5666</v>
      </c>
      <c r="FRT2" s="133" t="s">
        <v>5667</v>
      </c>
      <c r="FRU2" s="133" t="s">
        <v>5668</v>
      </c>
      <c r="FRV2" s="133" t="s">
        <v>5669</v>
      </c>
      <c r="FRW2" s="133" t="s">
        <v>5670</v>
      </c>
      <c r="FRX2" s="133" t="s">
        <v>5671</v>
      </c>
      <c r="FRY2" s="133" t="s">
        <v>5672</v>
      </c>
      <c r="FRZ2" s="133" t="s">
        <v>5673</v>
      </c>
      <c r="FSA2" s="133" t="s">
        <v>5674</v>
      </c>
      <c r="FSB2" s="133" t="s">
        <v>5675</v>
      </c>
      <c r="FSC2" s="133" t="s">
        <v>5676</v>
      </c>
      <c r="FSD2" s="133" t="s">
        <v>5677</v>
      </c>
      <c r="FSE2" s="133" t="s">
        <v>5678</v>
      </c>
      <c r="FSF2" s="133" t="s">
        <v>5679</v>
      </c>
      <c r="FSG2" s="133" t="s">
        <v>5680</v>
      </c>
      <c r="FSH2" s="133" t="s">
        <v>5681</v>
      </c>
      <c r="FSI2" s="133" t="s">
        <v>5682</v>
      </c>
      <c r="FSJ2" s="133" t="s">
        <v>5683</v>
      </c>
      <c r="FSK2" s="133" t="s">
        <v>5684</v>
      </c>
      <c r="FSL2" s="133" t="s">
        <v>5685</v>
      </c>
      <c r="FSM2" s="133" t="s">
        <v>5686</v>
      </c>
      <c r="FSN2" s="133" t="s">
        <v>5687</v>
      </c>
      <c r="FSO2" s="133" t="s">
        <v>5688</v>
      </c>
      <c r="FSP2" s="133" t="s">
        <v>5689</v>
      </c>
      <c r="FSQ2" s="133" t="s">
        <v>5690</v>
      </c>
      <c r="FSR2" s="133" t="s">
        <v>5691</v>
      </c>
      <c r="FSS2" s="133" t="s">
        <v>5692</v>
      </c>
      <c r="FST2" s="133" t="s">
        <v>5693</v>
      </c>
      <c r="FSU2" s="133" t="s">
        <v>5694</v>
      </c>
      <c r="FSV2" s="133" t="s">
        <v>5695</v>
      </c>
      <c r="FSW2" s="133" t="s">
        <v>5696</v>
      </c>
      <c r="FSX2" s="133" t="s">
        <v>5697</v>
      </c>
      <c r="FSY2" s="133" t="s">
        <v>5698</v>
      </c>
      <c r="FSZ2" s="133" t="s">
        <v>5699</v>
      </c>
      <c r="FTA2" s="133" t="s">
        <v>5700</v>
      </c>
      <c r="FTB2" s="133" t="s">
        <v>5701</v>
      </c>
      <c r="FTC2" s="133" t="s">
        <v>5702</v>
      </c>
      <c r="FTD2" s="133" t="s">
        <v>5703</v>
      </c>
      <c r="FTE2" s="133" t="s">
        <v>5704</v>
      </c>
      <c r="FTF2" s="133" t="s">
        <v>5705</v>
      </c>
      <c r="FTG2" s="133" t="s">
        <v>5706</v>
      </c>
      <c r="FTH2" s="133" t="s">
        <v>5707</v>
      </c>
      <c r="FTI2" s="133" t="s">
        <v>5708</v>
      </c>
      <c r="FTJ2" s="133" t="s">
        <v>5709</v>
      </c>
      <c r="FTK2" s="133" t="s">
        <v>5710</v>
      </c>
      <c r="FTL2" s="133" t="s">
        <v>5711</v>
      </c>
      <c r="FTM2" s="133" t="s">
        <v>5712</v>
      </c>
      <c r="FTN2" s="133" t="s">
        <v>5713</v>
      </c>
      <c r="FTO2" s="133" t="s">
        <v>5714</v>
      </c>
      <c r="FTP2" s="133" t="s">
        <v>5715</v>
      </c>
      <c r="FTQ2" s="133" t="s">
        <v>5716</v>
      </c>
      <c r="FTR2" s="133" t="s">
        <v>5717</v>
      </c>
      <c r="FTS2" s="133" t="s">
        <v>5718</v>
      </c>
      <c r="FTT2" s="133" t="s">
        <v>5719</v>
      </c>
      <c r="FTU2" s="133" t="s">
        <v>5720</v>
      </c>
      <c r="FTV2" s="133" t="s">
        <v>5721</v>
      </c>
      <c r="FTW2" s="133" t="s">
        <v>5722</v>
      </c>
      <c r="FTX2" s="133" t="s">
        <v>5723</v>
      </c>
      <c r="FTY2" s="133" t="s">
        <v>5724</v>
      </c>
      <c r="FTZ2" s="133" t="s">
        <v>5725</v>
      </c>
      <c r="FUA2" s="133" t="s">
        <v>5726</v>
      </c>
      <c r="FUB2" s="133" t="s">
        <v>5727</v>
      </c>
      <c r="FUC2" s="133" t="s">
        <v>5728</v>
      </c>
      <c r="FUD2" s="133" t="s">
        <v>5729</v>
      </c>
      <c r="FUE2" s="133" t="s">
        <v>5730</v>
      </c>
      <c r="FUF2" s="133" t="s">
        <v>5731</v>
      </c>
      <c r="FUG2" s="133" t="s">
        <v>5732</v>
      </c>
      <c r="FUH2" s="133" t="s">
        <v>5733</v>
      </c>
      <c r="FUI2" s="133" t="s">
        <v>5734</v>
      </c>
      <c r="FUJ2" s="133" t="s">
        <v>5735</v>
      </c>
      <c r="FUK2" s="133" t="s">
        <v>5736</v>
      </c>
      <c r="FUL2" s="133" t="s">
        <v>5737</v>
      </c>
      <c r="FUM2" s="133" t="s">
        <v>5738</v>
      </c>
      <c r="FUN2" s="133" t="s">
        <v>5739</v>
      </c>
      <c r="FUO2" s="133" t="s">
        <v>5740</v>
      </c>
      <c r="FUP2" s="133" t="s">
        <v>5741</v>
      </c>
      <c r="FUQ2" s="133" t="s">
        <v>5742</v>
      </c>
      <c r="FUR2" s="133" t="s">
        <v>5743</v>
      </c>
      <c r="FUS2" s="133" t="s">
        <v>5744</v>
      </c>
      <c r="FUT2" s="133" t="s">
        <v>5745</v>
      </c>
      <c r="FUU2" s="133" t="s">
        <v>5746</v>
      </c>
      <c r="FUV2" s="133" t="s">
        <v>5747</v>
      </c>
      <c r="FUW2" s="133" t="s">
        <v>5748</v>
      </c>
      <c r="FUX2" s="133" t="s">
        <v>5749</v>
      </c>
      <c r="FUY2" s="133" t="s">
        <v>5750</v>
      </c>
      <c r="FUZ2" s="133" t="s">
        <v>5751</v>
      </c>
      <c r="FVA2" s="133" t="s">
        <v>5752</v>
      </c>
      <c r="FVB2" s="133" t="s">
        <v>5753</v>
      </c>
      <c r="FVC2" s="133" t="s">
        <v>5754</v>
      </c>
      <c r="FVD2" s="133" t="s">
        <v>5755</v>
      </c>
      <c r="FVE2" s="133" t="s">
        <v>5756</v>
      </c>
      <c r="FVF2" s="133" t="s">
        <v>5757</v>
      </c>
      <c r="FVG2" s="133" t="s">
        <v>5758</v>
      </c>
      <c r="FVH2" s="133" t="s">
        <v>5759</v>
      </c>
      <c r="FVI2" s="133" t="s">
        <v>5760</v>
      </c>
      <c r="FVJ2" s="133" t="s">
        <v>5761</v>
      </c>
      <c r="FVK2" s="133" t="s">
        <v>5762</v>
      </c>
      <c r="FVL2" s="133" t="s">
        <v>5763</v>
      </c>
      <c r="FVM2" s="133" t="s">
        <v>5764</v>
      </c>
      <c r="FVN2" s="133" t="s">
        <v>5765</v>
      </c>
      <c r="FVO2" s="133" t="s">
        <v>5766</v>
      </c>
      <c r="FVP2" s="133" t="s">
        <v>5767</v>
      </c>
      <c r="FVQ2" s="133" t="s">
        <v>5768</v>
      </c>
      <c r="FVR2" s="133" t="s">
        <v>5769</v>
      </c>
      <c r="FVS2" s="133" t="s">
        <v>5770</v>
      </c>
      <c r="FVT2" s="133" t="s">
        <v>5771</v>
      </c>
      <c r="FVU2" s="133" t="s">
        <v>5772</v>
      </c>
      <c r="FVV2" s="133" t="s">
        <v>5773</v>
      </c>
      <c r="FVW2" s="133" t="s">
        <v>5774</v>
      </c>
      <c r="FVX2" s="133" t="s">
        <v>5775</v>
      </c>
      <c r="FVY2" s="133" t="s">
        <v>5776</v>
      </c>
      <c r="FVZ2" s="133" t="s">
        <v>5777</v>
      </c>
      <c r="FWA2" s="133" t="s">
        <v>5778</v>
      </c>
      <c r="FWB2" s="133" t="s">
        <v>5779</v>
      </c>
      <c r="FWC2" s="133" t="s">
        <v>5780</v>
      </c>
      <c r="FWD2" s="133" t="s">
        <v>5781</v>
      </c>
      <c r="FWE2" s="133" t="s">
        <v>5782</v>
      </c>
      <c r="FWF2" s="133" t="s">
        <v>5783</v>
      </c>
      <c r="FWG2" s="133" t="s">
        <v>5784</v>
      </c>
      <c r="FWH2" s="133" t="s">
        <v>5785</v>
      </c>
      <c r="FWI2" s="133" t="s">
        <v>5786</v>
      </c>
      <c r="FWJ2" s="133" t="s">
        <v>5787</v>
      </c>
      <c r="FWK2" s="133" t="s">
        <v>5788</v>
      </c>
      <c r="FWL2" s="133" t="s">
        <v>5789</v>
      </c>
      <c r="FWM2" s="133" t="s">
        <v>5790</v>
      </c>
      <c r="FWN2" s="133" t="s">
        <v>5791</v>
      </c>
      <c r="FWO2" s="133" t="s">
        <v>5792</v>
      </c>
      <c r="FWP2" s="133" t="s">
        <v>5793</v>
      </c>
      <c r="FWQ2" s="133" t="s">
        <v>5794</v>
      </c>
      <c r="FWR2" s="133" t="s">
        <v>5795</v>
      </c>
      <c r="FWS2" s="133" t="s">
        <v>5796</v>
      </c>
      <c r="FWT2" s="133" t="s">
        <v>5797</v>
      </c>
      <c r="FWU2" s="133" t="s">
        <v>5798</v>
      </c>
      <c r="FWV2" s="133" t="s">
        <v>5799</v>
      </c>
      <c r="FWW2" s="133" t="s">
        <v>5800</v>
      </c>
      <c r="FWX2" s="133" t="s">
        <v>5801</v>
      </c>
      <c r="FWY2" s="133" t="s">
        <v>5802</v>
      </c>
      <c r="FWZ2" s="133" t="s">
        <v>5803</v>
      </c>
      <c r="FXA2" s="133" t="s">
        <v>5804</v>
      </c>
      <c r="FXB2" s="133" t="s">
        <v>5805</v>
      </c>
      <c r="FXC2" s="133" t="s">
        <v>5806</v>
      </c>
      <c r="FXD2" s="133" t="s">
        <v>5807</v>
      </c>
      <c r="FXE2" s="133" t="s">
        <v>5808</v>
      </c>
      <c r="FXF2" s="133" t="s">
        <v>5809</v>
      </c>
      <c r="FXG2" s="133" t="s">
        <v>5810</v>
      </c>
      <c r="FXH2" s="133" t="s">
        <v>5811</v>
      </c>
      <c r="FXI2" s="133" t="s">
        <v>5812</v>
      </c>
      <c r="FXJ2" s="133" t="s">
        <v>5813</v>
      </c>
      <c r="FXK2" s="133" t="s">
        <v>5814</v>
      </c>
      <c r="FXL2" s="133" t="s">
        <v>5815</v>
      </c>
      <c r="FXM2" s="133" t="s">
        <v>5816</v>
      </c>
      <c r="FXN2" s="133" t="s">
        <v>5817</v>
      </c>
      <c r="FXO2" s="133" t="s">
        <v>5818</v>
      </c>
      <c r="FXP2" s="133" t="s">
        <v>5819</v>
      </c>
      <c r="FXQ2" s="133" t="s">
        <v>5820</v>
      </c>
      <c r="FXR2" s="133" t="s">
        <v>5821</v>
      </c>
      <c r="FXS2" s="133" t="s">
        <v>5822</v>
      </c>
      <c r="FXT2" s="133" t="s">
        <v>5823</v>
      </c>
      <c r="FXU2" s="133" t="s">
        <v>5824</v>
      </c>
      <c r="FXV2" s="133" t="s">
        <v>5825</v>
      </c>
      <c r="FXW2" s="133" t="s">
        <v>5826</v>
      </c>
      <c r="FXX2" s="133" t="s">
        <v>5827</v>
      </c>
      <c r="FXY2" s="133" t="s">
        <v>5828</v>
      </c>
      <c r="FXZ2" s="133" t="s">
        <v>5829</v>
      </c>
      <c r="FYA2" s="133" t="s">
        <v>5830</v>
      </c>
      <c r="FYB2" s="133" t="s">
        <v>5831</v>
      </c>
      <c r="FYC2" s="133" t="s">
        <v>5832</v>
      </c>
      <c r="FYD2" s="133" t="s">
        <v>5833</v>
      </c>
      <c r="FYE2" s="133" t="s">
        <v>5834</v>
      </c>
      <c r="FYF2" s="133" t="s">
        <v>5835</v>
      </c>
      <c r="FYG2" s="133" t="s">
        <v>5836</v>
      </c>
      <c r="FYH2" s="133" t="s">
        <v>5837</v>
      </c>
      <c r="FYI2" s="133" t="s">
        <v>5838</v>
      </c>
      <c r="FYJ2" s="133" t="s">
        <v>5839</v>
      </c>
      <c r="FYK2" s="133" t="s">
        <v>5840</v>
      </c>
      <c r="FYL2" s="133" t="s">
        <v>5841</v>
      </c>
      <c r="FYM2" s="133" t="s">
        <v>5842</v>
      </c>
      <c r="FYN2" s="133" t="s">
        <v>5843</v>
      </c>
      <c r="FYO2" s="133" t="s">
        <v>5844</v>
      </c>
      <c r="FYP2" s="133" t="s">
        <v>5845</v>
      </c>
      <c r="FYQ2" s="133" t="s">
        <v>5846</v>
      </c>
      <c r="FYR2" s="133" t="s">
        <v>5847</v>
      </c>
      <c r="FYS2" s="133" t="s">
        <v>5848</v>
      </c>
      <c r="FYT2" s="133" t="s">
        <v>5849</v>
      </c>
      <c r="FYU2" s="133" t="s">
        <v>5850</v>
      </c>
      <c r="FYV2" s="133" t="s">
        <v>5851</v>
      </c>
      <c r="FYW2" s="133" t="s">
        <v>5852</v>
      </c>
      <c r="FYX2" s="133" t="s">
        <v>5853</v>
      </c>
      <c r="FYY2" s="133" t="s">
        <v>5854</v>
      </c>
      <c r="FYZ2" s="133" t="s">
        <v>5855</v>
      </c>
      <c r="FZA2" s="133" t="s">
        <v>5856</v>
      </c>
      <c r="FZB2" s="133" t="s">
        <v>5857</v>
      </c>
      <c r="FZC2" s="133" t="s">
        <v>5858</v>
      </c>
      <c r="FZD2" s="133" t="s">
        <v>5859</v>
      </c>
      <c r="FZE2" s="133" t="s">
        <v>5860</v>
      </c>
      <c r="FZF2" s="133" t="s">
        <v>5861</v>
      </c>
      <c r="FZG2" s="133" t="s">
        <v>5862</v>
      </c>
      <c r="FZH2" s="133" t="s">
        <v>5863</v>
      </c>
      <c r="FZI2" s="133" t="s">
        <v>5864</v>
      </c>
      <c r="FZJ2" s="133" t="s">
        <v>5865</v>
      </c>
      <c r="FZK2" s="133" t="s">
        <v>5866</v>
      </c>
      <c r="FZL2" s="133" t="s">
        <v>5867</v>
      </c>
      <c r="FZM2" s="133" t="s">
        <v>5868</v>
      </c>
      <c r="FZN2" s="133" t="s">
        <v>5869</v>
      </c>
      <c r="FZO2" s="133" t="s">
        <v>5870</v>
      </c>
      <c r="FZP2" s="133" t="s">
        <v>5871</v>
      </c>
      <c r="FZQ2" s="133" t="s">
        <v>5872</v>
      </c>
      <c r="FZR2" s="133" t="s">
        <v>5873</v>
      </c>
      <c r="FZS2" s="133" t="s">
        <v>5874</v>
      </c>
      <c r="FZT2" s="133" t="s">
        <v>5875</v>
      </c>
      <c r="FZU2" s="133" t="s">
        <v>5876</v>
      </c>
      <c r="FZV2" s="133" t="s">
        <v>5877</v>
      </c>
      <c r="FZW2" s="133" t="s">
        <v>5878</v>
      </c>
      <c r="FZX2" s="133" t="s">
        <v>5879</v>
      </c>
      <c r="FZY2" s="133" t="s">
        <v>5880</v>
      </c>
      <c r="FZZ2" s="133" t="s">
        <v>5881</v>
      </c>
      <c r="GAA2" s="133" t="s">
        <v>5882</v>
      </c>
      <c r="GAB2" s="133" t="s">
        <v>5883</v>
      </c>
      <c r="GAC2" s="133" t="s">
        <v>5884</v>
      </c>
      <c r="GAD2" s="133" t="s">
        <v>5885</v>
      </c>
      <c r="GAE2" s="133" t="s">
        <v>5886</v>
      </c>
      <c r="GAF2" s="133" t="s">
        <v>5887</v>
      </c>
      <c r="GAG2" s="133" t="s">
        <v>5888</v>
      </c>
      <c r="GAH2" s="133" t="s">
        <v>5889</v>
      </c>
      <c r="GAI2" s="133" t="s">
        <v>5890</v>
      </c>
      <c r="GAJ2" s="133" t="s">
        <v>5891</v>
      </c>
      <c r="GAK2" s="133" t="s">
        <v>5892</v>
      </c>
      <c r="GAL2" s="133" t="s">
        <v>5893</v>
      </c>
      <c r="GAM2" s="133" t="s">
        <v>5894</v>
      </c>
      <c r="GAN2" s="133" t="s">
        <v>5895</v>
      </c>
      <c r="GAO2" s="133" t="s">
        <v>5896</v>
      </c>
      <c r="GAP2" s="133" t="s">
        <v>5897</v>
      </c>
      <c r="GAQ2" s="133" t="s">
        <v>5898</v>
      </c>
      <c r="GAR2" s="133" t="s">
        <v>5899</v>
      </c>
      <c r="GAS2" s="133" t="s">
        <v>5900</v>
      </c>
      <c r="GAT2" s="133" t="s">
        <v>5901</v>
      </c>
      <c r="GAU2" s="133" t="s">
        <v>5902</v>
      </c>
      <c r="GAV2" s="133" t="s">
        <v>5903</v>
      </c>
      <c r="GAW2" s="133" t="s">
        <v>5904</v>
      </c>
      <c r="GAX2" s="133" t="s">
        <v>5905</v>
      </c>
      <c r="GAY2" s="133" t="s">
        <v>5906</v>
      </c>
      <c r="GAZ2" s="133" t="s">
        <v>5907</v>
      </c>
      <c r="GBA2" s="133" t="s">
        <v>5908</v>
      </c>
      <c r="GBB2" s="133" t="s">
        <v>5909</v>
      </c>
      <c r="GBC2" s="133" t="s">
        <v>5910</v>
      </c>
      <c r="GBD2" s="133" t="s">
        <v>5911</v>
      </c>
      <c r="GBE2" s="133" t="s">
        <v>5912</v>
      </c>
      <c r="GBF2" s="133" t="s">
        <v>5913</v>
      </c>
      <c r="GBG2" s="133" t="s">
        <v>5914</v>
      </c>
      <c r="GBH2" s="133" t="s">
        <v>5915</v>
      </c>
      <c r="GBI2" s="133" t="s">
        <v>5916</v>
      </c>
      <c r="GBJ2" s="133" t="s">
        <v>5917</v>
      </c>
      <c r="GBK2" s="133" t="s">
        <v>5918</v>
      </c>
      <c r="GBL2" s="133" t="s">
        <v>5919</v>
      </c>
      <c r="GBM2" s="133" t="s">
        <v>5920</v>
      </c>
      <c r="GBN2" s="133" t="s">
        <v>5921</v>
      </c>
      <c r="GBO2" s="133" t="s">
        <v>5922</v>
      </c>
      <c r="GBP2" s="133" t="s">
        <v>5923</v>
      </c>
      <c r="GBQ2" s="133" t="s">
        <v>5924</v>
      </c>
      <c r="GBR2" s="133" t="s">
        <v>5925</v>
      </c>
      <c r="GBS2" s="133" t="s">
        <v>5926</v>
      </c>
      <c r="GBT2" s="133" t="s">
        <v>5927</v>
      </c>
      <c r="GBU2" s="133" t="s">
        <v>5928</v>
      </c>
      <c r="GBV2" s="133" t="s">
        <v>5929</v>
      </c>
      <c r="GBW2" s="133" t="s">
        <v>5930</v>
      </c>
      <c r="GBX2" s="133" t="s">
        <v>5931</v>
      </c>
      <c r="GBY2" s="133" t="s">
        <v>5932</v>
      </c>
      <c r="GBZ2" s="133" t="s">
        <v>5933</v>
      </c>
      <c r="GCA2" s="133" t="s">
        <v>5934</v>
      </c>
      <c r="GCB2" s="133" t="s">
        <v>5935</v>
      </c>
      <c r="GCC2" s="133" t="s">
        <v>5936</v>
      </c>
      <c r="GCD2" s="133" t="s">
        <v>5937</v>
      </c>
      <c r="GCE2" s="133" t="s">
        <v>5938</v>
      </c>
      <c r="GCF2" s="133" t="s">
        <v>5939</v>
      </c>
      <c r="GCG2" s="133" t="s">
        <v>5940</v>
      </c>
      <c r="GCH2" s="133" t="s">
        <v>5941</v>
      </c>
      <c r="GCI2" s="133" t="s">
        <v>5942</v>
      </c>
      <c r="GCJ2" s="133" t="s">
        <v>5943</v>
      </c>
      <c r="GCK2" s="133" t="s">
        <v>5944</v>
      </c>
      <c r="GCL2" s="133" t="s">
        <v>5945</v>
      </c>
      <c r="GCM2" s="133" t="s">
        <v>5946</v>
      </c>
      <c r="GCN2" s="133" t="s">
        <v>5947</v>
      </c>
      <c r="GCO2" s="133" t="s">
        <v>5948</v>
      </c>
      <c r="GCP2" s="133" t="s">
        <v>5949</v>
      </c>
      <c r="GCQ2" s="133" t="s">
        <v>5950</v>
      </c>
      <c r="GCR2" s="133" t="s">
        <v>5951</v>
      </c>
      <c r="GCS2" s="133" t="s">
        <v>5952</v>
      </c>
      <c r="GCT2" s="133" t="s">
        <v>5953</v>
      </c>
      <c r="GCU2" s="133" t="s">
        <v>5954</v>
      </c>
      <c r="GCV2" s="133" t="s">
        <v>5955</v>
      </c>
      <c r="GCW2" s="133" t="s">
        <v>5956</v>
      </c>
      <c r="GCX2" s="133" t="s">
        <v>5957</v>
      </c>
      <c r="GCY2" s="133" t="s">
        <v>5958</v>
      </c>
      <c r="GCZ2" s="133" t="s">
        <v>5959</v>
      </c>
      <c r="GDA2" s="133" t="s">
        <v>5960</v>
      </c>
      <c r="GDB2" s="133" t="s">
        <v>5961</v>
      </c>
      <c r="GDC2" s="133" t="s">
        <v>5962</v>
      </c>
      <c r="GDD2" s="133" t="s">
        <v>5963</v>
      </c>
      <c r="GDE2" s="133" t="s">
        <v>5964</v>
      </c>
      <c r="GDF2" s="133" t="s">
        <v>5965</v>
      </c>
      <c r="GDG2" s="133" t="s">
        <v>5966</v>
      </c>
      <c r="GDH2" s="133" t="s">
        <v>5967</v>
      </c>
      <c r="GDI2" s="133" t="s">
        <v>5968</v>
      </c>
      <c r="GDJ2" s="133" t="s">
        <v>5969</v>
      </c>
      <c r="GDK2" s="133" t="s">
        <v>5970</v>
      </c>
      <c r="GDL2" s="133" t="s">
        <v>5971</v>
      </c>
      <c r="GDM2" s="133" t="s">
        <v>5972</v>
      </c>
      <c r="GDN2" s="133" t="s">
        <v>5973</v>
      </c>
      <c r="GDO2" s="133" t="s">
        <v>5974</v>
      </c>
      <c r="GDP2" s="133" t="s">
        <v>5975</v>
      </c>
      <c r="GDQ2" s="133" t="s">
        <v>5976</v>
      </c>
      <c r="GDR2" s="133" t="s">
        <v>5977</v>
      </c>
      <c r="GDS2" s="133" t="s">
        <v>5978</v>
      </c>
      <c r="GDT2" s="133" t="s">
        <v>5979</v>
      </c>
      <c r="GDU2" s="133" t="s">
        <v>5980</v>
      </c>
      <c r="GDV2" s="133" t="s">
        <v>5981</v>
      </c>
      <c r="GDW2" s="133" t="s">
        <v>5982</v>
      </c>
      <c r="GDX2" s="133" t="s">
        <v>5983</v>
      </c>
      <c r="GDY2" s="133" t="s">
        <v>5984</v>
      </c>
      <c r="GDZ2" s="133" t="s">
        <v>5985</v>
      </c>
      <c r="GEA2" s="133" t="s">
        <v>5986</v>
      </c>
      <c r="GEB2" s="133" t="s">
        <v>5987</v>
      </c>
      <c r="GEC2" s="133" t="s">
        <v>5988</v>
      </c>
      <c r="GED2" s="133" t="s">
        <v>5989</v>
      </c>
      <c r="GEE2" s="133" t="s">
        <v>5990</v>
      </c>
      <c r="GEF2" s="133" t="s">
        <v>5991</v>
      </c>
      <c r="GEG2" s="133" t="s">
        <v>5992</v>
      </c>
      <c r="GEH2" s="133" t="s">
        <v>5993</v>
      </c>
      <c r="GEI2" s="133" t="s">
        <v>5994</v>
      </c>
      <c r="GEJ2" s="133" t="s">
        <v>5995</v>
      </c>
      <c r="GEK2" s="133" t="s">
        <v>5996</v>
      </c>
      <c r="GEL2" s="133" t="s">
        <v>5997</v>
      </c>
      <c r="GEM2" s="133" t="s">
        <v>5998</v>
      </c>
      <c r="GEN2" s="133" t="s">
        <v>5999</v>
      </c>
      <c r="GEO2" s="133" t="s">
        <v>6000</v>
      </c>
      <c r="GEP2" s="133" t="s">
        <v>6001</v>
      </c>
      <c r="GEQ2" s="133" t="s">
        <v>6002</v>
      </c>
      <c r="GER2" s="133" t="s">
        <v>6003</v>
      </c>
      <c r="GES2" s="133" t="s">
        <v>6004</v>
      </c>
      <c r="GET2" s="133" t="s">
        <v>6005</v>
      </c>
      <c r="GEU2" s="133" t="s">
        <v>6006</v>
      </c>
      <c r="GEV2" s="133" t="s">
        <v>6007</v>
      </c>
      <c r="GEW2" s="133" t="s">
        <v>6008</v>
      </c>
      <c r="GEX2" s="133" t="s">
        <v>6009</v>
      </c>
      <c r="GEY2" s="133" t="s">
        <v>6010</v>
      </c>
      <c r="GEZ2" s="133" t="s">
        <v>6011</v>
      </c>
      <c r="GFA2" s="133" t="s">
        <v>6012</v>
      </c>
      <c r="GFB2" s="133" t="s">
        <v>6013</v>
      </c>
      <c r="GFC2" s="133" t="s">
        <v>6014</v>
      </c>
      <c r="GFD2" s="133" t="s">
        <v>6015</v>
      </c>
      <c r="GFE2" s="133" t="s">
        <v>6016</v>
      </c>
      <c r="GFF2" s="133" t="s">
        <v>6017</v>
      </c>
      <c r="GFG2" s="133" t="s">
        <v>6018</v>
      </c>
      <c r="GFH2" s="133" t="s">
        <v>6019</v>
      </c>
      <c r="GFI2" s="133" t="s">
        <v>6020</v>
      </c>
      <c r="GFJ2" s="133" t="s">
        <v>6021</v>
      </c>
      <c r="GFK2" s="133" t="s">
        <v>6022</v>
      </c>
      <c r="GFL2" s="133" t="s">
        <v>6023</v>
      </c>
      <c r="GFM2" s="133" t="s">
        <v>6024</v>
      </c>
      <c r="GFN2" s="133" t="s">
        <v>6025</v>
      </c>
      <c r="GFO2" s="133" t="s">
        <v>6026</v>
      </c>
      <c r="GFP2" s="133" t="s">
        <v>6027</v>
      </c>
      <c r="GFQ2" s="133" t="s">
        <v>6028</v>
      </c>
      <c r="GFR2" s="133" t="s">
        <v>6029</v>
      </c>
      <c r="GFS2" s="133" t="s">
        <v>6030</v>
      </c>
      <c r="GFT2" s="133" t="s">
        <v>6031</v>
      </c>
      <c r="GFU2" s="133" t="s">
        <v>6032</v>
      </c>
      <c r="GFV2" s="133" t="s">
        <v>6033</v>
      </c>
      <c r="GFW2" s="133" t="s">
        <v>6034</v>
      </c>
      <c r="GFX2" s="133" t="s">
        <v>6035</v>
      </c>
      <c r="GFY2" s="133" t="s">
        <v>6036</v>
      </c>
      <c r="GFZ2" s="133" t="s">
        <v>6037</v>
      </c>
      <c r="GGA2" s="133" t="s">
        <v>6038</v>
      </c>
      <c r="GGB2" s="133" t="s">
        <v>6039</v>
      </c>
      <c r="GGC2" s="133" t="s">
        <v>6040</v>
      </c>
      <c r="GGD2" s="133" t="s">
        <v>6041</v>
      </c>
      <c r="GGE2" s="133" t="s">
        <v>6042</v>
      </c>
      <c r="GGF2" s="133" t="s">
        <v>6043</v>
      </c>
      <c r="GGG2" s="133" t="s">
        <v>6044</v>
      </c>
      <c r="GGH2" s="133" t="s">
        <v>6045</v>
      </c>
      <c r="GGI2" s="133" t="s">
        <v>6046</v>
      </c>
      <c r="GGJ2" s="133" t="s">
        <v>6047</v>
      </c>
      <c r="GGK2" s="133" t="s">
        <v>6048</v>
      </c>
      <c r="GGL2" s="133" t="s">
        <v>6049</v>
      </c>
      <c r="GGM2" s="133" t="s">
        <v>6050</v>
      </c>
      <c r="GGN2" s="133" t="s">
        <v>6051</v>
      </c>
      <c r="GGO2" s="133" t="s">
        <v>6052</v>
      </c>
      <c r="GGP2" s="133" t="s">
        <v>6053</v>
      </c>
      <c r="GGQ2" s="133" t="s">
        <v>6054</v>
      </c>
      <c r="GGR2" s="133" t="s">
        <v>6055</v>
      </c>
      <c r="GGS2" s="133" t="s">
        <v>6056</v>
      </c>
      <c r="GGT2" s="133" t="s">
        <v>6057</v>
      </c>
      <c r="GGU2" s="133" t="s">
        <v>6058</v>
      </c>
      <c r="GGV2" s="133" t="s">
        <v>6059</v>
      </c>
      <c r="GGW2" s="133" t="s">
        <v>6060</v>
      </c>
      <c r="GGX2" s="133" t="s">
        <v>6061</v>
      </c>
      <c r="GGY2" s="133" t="s">
        <v>6062</v>
      </c>
      <c r="GGZ2" s="133" t="s">
        <v>6063</v>
      </c>
      <c r="GHA2" s="133" t="s">
        <v>6064</v>
      </c>
      <c r="GHB2" s="133" t="s">
        <v>6065</v>
      </c>
      <c r="GHC2" s="133" t="s">
        <v>6066</v>
      </c>
      <c r="GHD2" s="133" t="s">
        <v>6067</v>
      </c>
      <c r="GHE2" s="133" t="s">
        <v>6068</v>
      </c>
      <c r="GHF2" s="133" t="s">
        <v>6069</v>
      </c>
      <c r="GHG2" s="133" t="s">
        <v>6070</v>
      </c>
      <c r="GHH2" s="133" t="s">
        <v>6071</v>
      </c>
      <c r="GHI2" s="133" t="s">
        <v>6072</v>
      </c>
      <c r="GHJ2" s="133" t="s">
        <v>6073</v>
      </c>
      <c r="GHK2" s="133" t="s">
        <v>6074</v>
      </c>
      <c r="GHL2" s="133" t="s">
        <v>6075</v>
      </c>
      <c r="GHM2" s="133" t="s">
        <v>6076</v>
      </c>
      <c r="GHN2" s="133" t="s">
        <v>6077</v>
      </c>
      <c r="GHO2" s="133" t="s">
        <v>6078</v>
      </c>
      <c r="GHP2" s="133" t="s">
        <v>6079</v>
      </c>
      <c r="GHQ2" s="133" t="s">
        <v>6080</v>
      </c>
      <c r="GHR2" s="133" t="s">
        <v>6081</v>
      </c>
      <c r="GHS2" s="133" t="s">
        <v>6082</v>
      </c>
      <c r="GHT2" s="133" t="s">
        <v>6083</v>
      </c>
      <c r="GHU2" s="133" t="s">
        <v>6084</v>
      </c>
      <c r="GHV2" s="133" t="s">
        <v>6085</v>
      </c>
      <c r="GHW2" s="133" t="s">
        <v>6086</v>
      </c>
      <c r="GHX2" s="133" t="s">
        <v>6087</v>
      </c>
      <c r="GHY2" s="133" t="s">
        <v>6088</v>
      </c>
      <c r="GHZ2" s="133" t="s">
        <v>6089</v>
      </c>
      <c r="GIA2" s="133" t="s">
        <v>6090</v>
      </c>
      <c r="GIB2" s="133" t="s">
        <v>6091</v>
      </c>
      <c r="GIC2" s="133" t="s">
        <v>6092</v>
      </c>
      <c r="GID2" s="133" t="s">
        <v>6093</v>
      </c>
      <c r="GIE2" s="133" t="s">
        <v>6094</v>
      </c>
      <c r="GIF2" s="133" t="s">
        <v>6095</v>
      </c>
      <c r="GIG2" s="133" t="s">
        <v>6096</v>
      </c>
      <c r="GIH2" s="133" t="s">
        <v>6097</v>
      </c>
      <c r="GII2" s="133" t="s">
        <v>6098</v>
      </c>
      <c r="GIJ2" s="133" t="s">
        <v>6099</v>
      </c>
      <c r="GIK2" s="133" t="s">
        <v>6100</v>
      </c>
      <c r="GIL2" s="133" t="s">
        <v>6101</v>
      </c>
      <c r="GIM2" s="133" t="s">
        <v>6102</v>
      </c>
      <c r="GIN2" s="133" t="s">
        <v>6103</v>
      </c>
      <c r="GIO2" s="133" t="s">
        <v>6104</v>
      </c>
      <c r="GIP2" s="133" t="s">
        <v>6105</v>
      </c>
      <c r="GIQ2" s="133" t="s">
        <v>6106</v>
      </c>
      <c r="GIR2" s="133" t="s">
        <v>6107</v>
      </c>
      <c r="GIS2" s="133" t="s">
        <v>6108</v>
      </c>
      <c r="GIT2" s="133" t="s">
        <v>6109</v>
      </c>
      <c r="GIU2" s="133" t="s">
        <v>6110</v>
      </c>
      <c r="GIV2" s="133" t="s">
        <v>6111</v>
      </c>
      <c r="GIW2" s="133" t="s">
        <v>6112</v>
      </c>
      <c r="GIX2" s="133" t="s">
        <v>6113</v>
      </c>
      <c r="GIY2" s="133" t="s">
        <v>6114</v>
      </c>
      <c r="GIZ2" s="133" t="s">
        <v>6115</v>
      </c>
      <c r="GJA2" s="133" t="s">
        <v>6116</v>
      </c>
      <c r="GJB2" s="133" t="s">
        <v>6117</v>
      </c>
      <c r="GJC2" s="133" t="s">
        <v>6118</v>
      </c>
      <c r="GJD2" s="133" t="s">
        <v>6119</v>
      </c>
      <c r="GJE2" s="133" t="s">
        <v>6120</v>
      </c>
      <c r="GJF2" s="133" t="s">
        <v>6121</v>
      </c>
      <c r="GJG2" s="133" t="s">
        <v>6122</v>
      </c>
      <c r="GJH2" s="133" t="s">
        <v>6123</v>
      </c>
      <c r="GJI2" s="133" t="s">
        <v>6124</v>
      </c>
      <c r="GJJ2" s="133" t="s">
        <v>6125</v>
      </c>
      <c r="GJK2" s="133" t="s">
        <v>6126</v>
      </c>
      <c r="GJL2" s="133" t="s">
        <v>6127</v>
      </c>
      <c r="GJM2" s="133" t="s">
        <v>6128</v>
      </c>
      <c r="GJN2" s="133" t="s">
        <v>6129</v>
      </c>
      <c r="GJO2" s="133" t="s">
        <v>6130</v>
      </c>
      <c r="GJP2" s="133" t="s">
        <v>6131</v>
      </c>
      <c r="GJQ2" s="133" t="s">
        <v>6132</v>
      </c>
      <c r="GJR2" s="133" t="s">
        <v>6133</v>
      </c>
      <c r="GJS2" s="133" t="s">
        <v>6134</v>
      </c>
      <c r="GJT2" s="133" t="s">
        <v>6135</v>
      </c>
      <c r="GJU2" s="133" t="s">
        <v>6136</v>
      </c>
      <c r="GJV2" s="133" t="s">
        <v>6137</v>
      </c>
      <c r="GJW2" s="133" t="s">
        <v>6138</v>
      </c>
      <c r="GJX2" s="133" t="s">
        <v>6139</v>
      </c>
      <c r="GJY2" s="133" t="s">
        <v>6140</v>
      </c>
      <c r="GJZ2" s="133" t="s">
        <v>6141</v>
      </c>
      <c r="GKA2" s="133" t="s">
        <v>6142</v>
      </c>
      <c r="GKB2" s="133" t="s">
        <v>6143</v>
      </c>
      <c r="GKC2" s="133" t="s">
        <v>6144</v>
      </c>
      <c r="GKD2" s="133" t="s">
        <v>6145</v>
      </c>
      <c r="GKE2" s="133" t="s">
        <v>6146</v>
      </c>
      <c r="GKF2" s="133" t="s">
        <v>6147</v>
      </c>
      <c r="GKG2" s="133" t="s">
        <v>6148</v>
      </c>
      <c r="GKH2" s="133" t="s">
        <v>6149</v>
      </c>
      <c r="GKI2" s="133" t="s">
        <v>6150</v>
      </c>
      <c r="GKJ2" s="133" t="s">
        <v>6151</v>
      </c>
      <c r="GKK2" s="133" t="s">
        <v>6152</v>
      </c>
      <c r="GKL2" s="133" t="s">
        <v>6153</v>
      </c>
      <c r="GKM2" s="133" t="s">
        <v>6154</v>
      </c>
      <c r="GKN2" s="133" t="s">
        <v>6155</v>
      </c>
      <c r="GKO2" s="133" t="s">
        <v>6156</v>
      </c>
      <c r="GKP2" s="133" t="s">
        <v>6157</v>
      </c>
      <c r="GKQ2" s="133" t="s">
        <v>6158</v>
      </c>
      <c r="GKR2" s="133" t="s">
        <v>6159</v>
      </c>
      <c r="GKS2" s="133" t="s">
        <v>6160</v>
      </c>
      <c r="GKT2" s="133" t="s">
        <v>6161</v>
      </c>
      <c r="GKU2" s="133" t="s">
        <v>6162</v>
      </c>
      <c r="GKV2" s="133" t="s">
        <v>6163</v>
      </c>
      <c r="GKW2" s="133" t="s">
        <v>6164</v>
      </c>
      <c r="GKX2" s="133" t="s">
        <v>6165</v>
      </c>
      <c r="GKY2" s="133" t="s">
        <v>6166</v>
      </c>
      <c r="GKZ2" s="133" t="s">
        <v>6167</v>
      </c>
      <c r="GLA2" s="133" t="s">
        <v>6168</v>
      </c>
      <c r="GLB2" s="133" t="s">
        <v>6169</v>
      </c>
      <c r="GLC2" s="133" t="s">
        <v>6170</v>
      </c>
      <c r="GLD2" s="133" t="s">
        <v>6171</v>
      </c>
      <c r="GLE2" s="133" t="s">
        <v>6172</v>
      </c>
      <c r="GLF2" s="133" t="s">
        <v>6173</v>
      </c>
      <c r="GLG2" s="133" t="s">
        <v>6174</v>
      </c>
      <c r="GLH2" s="133" t="s">
        <v>6175</v>
      </c>
      <c r="GLI2" s="133" t="s">
        <v>6176</v>
      </c>
      <c r="GLJ2" s="133" t="s">
        <v>6177</v>
      </c>
      <c r="GLK2" s="133" t="s">
        <v>6178</v>
      </c>
      <c r="GLL2" s="133" t="s">
        <v>6179</v>
      </c>
      <c r="GLM2" s="133" t="s">
        <v>6180</v>
      </c>
      <c r="GLN2" s="133" t="s">
        <v>6181</v>
      </c>
      <c r="GLO2" s="133" t="s">
        <v>6182</v>
      </c>
      <c r="GLP2" s="133" t="s">
        <v>6183</v>
      </c>
      <c r="GLQ2" s="133" t="s">
        <v>6184</v>
      </c>
      <c r="GLR2" s="133" t="s">
        <v>6185</v>
      </c>
      <c r="GLS2" s="133" t="s">
        <v>6186</v>
      </c>
      <c r="GLT2" s="133" t="s">
        <v>6187</v>
      </c>
      <c r="GLU2" s="133" t="s">
        <v>6188</v>
      </c>
      <c r="GLV2" s="133" t="s">
        <v>6189</v>
      </c>
      <c r="GLW2" s="133" t="s">
        <v>6190</v>
      </c>
      <c r="GLX2" s="133" t="s">
        <v>6191</v>
      </c>
      <c r="GLY2" s="133" t="s">
        <v>6192</v>
      </c>
      <c r="GLZ2" s="133" t="s">
        <v>6193</v>
      </c>
      <c r="GMA2" s="133" t="s">
        <v>6194</v>
      </c>
      <c r="GMB2" s="133" t="s">
        <v>6195</v>
      </c>
      <c r="GMC2" s="133" t="s">
        <v>6196</v>
      </c>
      <c r="GMD2" s="133" t="s">
        <v>6197</v>
      </c>
      <c r="GME2" s="133" t="s">
        <v>6198</v>
      </c>
      <c r="GMF2" s="133" t="s">
        <v>6199</v>
      </c>
      <c r="GMG2" s="133" t="s">
        <v>6200</v>
      </c>
      <c r="GMH2" s="133" t="s">
        <v>6201</v>
      </c>
      <c r="GMI2" s="133" t="s">
        <v>6202</v>
      </c>
      <c r="GMJ2" s="133" t="s">
        <v>6203</v>
      </c>
      <c r="GMK2" s="133" t="s">
        <v>6204</v>
      </c>
      <c r="GML2" s="133" t="s">
        <v>6205</v>
      </c>
      <c r="GMM2" s="133" t="s">
        <v>6206</v>
      </c>
      <c r="GMN2" s="133" t="s">
        <v>6207</v>
      </c>
      <c r="GMO2" s="133" t="s">
        <v>6208</v>
      </c>
      <c r="GMP2" s="133" t="s">
        <v>6209</v>
      </c>
      <c r="GMQ2" s="133" t="s">
        <v>6210</v>
      </c>
      <c r="GMR2" s="133" t="s">
        <v>6211</v>
      </c>
      <c r="GMS2" s="133" t="s">
        <v>6212</v>
      </c>
      <c r="GMT2" s="133" t="s">
        <v>6213</v>
      </c>
      <c r="GMU2" s="133" t="s">
        <v>6214</v>
      </c>
      <c r="GMV2" s="133" t="s">
        <v>6215</v>
      </c>
      <c r="GMW2" s="133" t="s">
        <v>6216</v>
      </c>
      <c r="GMX2" s="133" t="s">
        <v>6217</v>
      </c>
      <c r="GMY2" s="133" t="s">
        <v>6218</v>
      </c>
      <c r="GMZ2" s="133" t="s">
        <v>6219</v>
      </c>
      <c r="GNA2" s="133" t="s">
        <v>6220</v>
      </c>
      <c r="GNB2" s="133" t="s">
        <v>6221</v>
      </c>
      <c r="GNC2" s="133" t="s">
        <v>6222</v>
      </c>
      <c r="GND2" s="133" t="s">
        <v>6223</v>
      </c>
      <c r="GNE2" s="133" t="s">
        <v>6224</v>
      </c>
      <c r="GNF2" s="133" t="s">
        <v>6225</v>
      </c>
      <c r="GNG2" s="133" t="s">
        <v>6226</v>
      </c>
      <c r="GNH2" s="133" t="s">
        <v>6227</v>
      </c>
      <c r="GNI2" s="133" t="s">
        <v>6228</v>
      </c>
      <c r="GNJ2" s="133" t="s">
        <v>6229</v>
      </c>
      <c r="GNK2" s="133" t="s">
        <v>6230</v>
      </c>
      <c r="GNL2" s="133" t="s">
        <v>6231</v>
      </c>
      <c r="GNM2" s="133" t="s">
        <v>6232</v>
      </c>
      <c r="GNN2" s="133" t="s">
        <v>6233</v>
      </c>
      <c r="GNO2" s="133" t="s">
        <v>6234</v>
      </c>
      <c r="GNP2" s="133" t="s">
        <v>6235</v>
      </c>
      <c r="GNQ2" s="133" t="s">
        <v>6236</v>
      </c>
      <c r="GNR2" s="133" t="s">
        <v>6237</v>
      </c>
      <c r="GNS2" s="133" t="s">
        <v>6238</v>
      </c>
      <c r="GNT2" s="133" t="s">
        <v>6239</v>
      </c>
      <c r="GNU2" s="133" t="s">
        <v>6240</v>
      </c>
      <c r="GNV2" s="133" t="s">
        <v>6241</v>
      </c>
      <c r="GNW2" s="133" t="s">
        <v>6242</v>
      </c>
      <c r="GNX2" s="133" t="s">
        <v>6243</v>
      </c>
      <c r="GNY2" s="133" t="s">
        <v>6244</v>
      </c>
      <c r="GNZ2" s="133" t="s">
        <v>6245</v>
      </c>
      <c r="GOA2" s="133" t="s">
        <v>6246</v>
      </c>
      <c r="GOB2" s="133" t="s">
        <v>6247</v>
      </c>
      <c r="GOC2" s="133" t="s">
        <v>6248</v>
      </c>
      <c r="GOD2" s="133" t="s">
        <v>6249</v>
      </c>
      <c r="GOE2" s="133" t="s">
        <v>6250</v>
      </c>
      <c r="GOF2" s="133" t="s">
        <v>6251</v>
      </c>
      <c r="GOG2" s="133" t="s">
        <v>6252</v>
      </c>
      <c r="GOH2" s="133" t="s">
        <v>6253</v>
      </c>
      <c r="GOI2" s="133" t="s">
        <v>6254</v>
      </c>
      <c r="GOJ2" s="133" t="s">
        <v>6255</v>
      </c>
      <c r="GOK2" s="133" t="s">
        <v>6256</v>
      </c>
      <c r="GOL2" s="133" t="s">
        <v>6257</v>
      </c>
      <c r="GOM2" s="133" t="s">
        <v>6258</v>
      </c>
      <c r="GON2" s="133" t="s">
        <v>6259</v>
      </c>
      <c r="GOO2" s="133" t="s">
        <v>6260</v>
      </c>
      <c r="GOP2" s="133" t="s">
        <v>6261</v>
      </c>
      <c r="GOQ2" s="133" t="s">
        <v>6262</v>
      </c>
      <c r="GOR2" s="133" t="s">
        <v>6263</v>
      </c>
      <c r="GOS2" s="133" t="s">
        <v>6264</v>
      </c>
      <c r="GOT2" s="133" t="s">
        <v>6265</v>
      </c>
      <c r="GOU2" s="133" t="s">
        <v>6266</v>
      </c>
      <c r="GOV2" s="133" t="s">
        <v>6267</v>
      </c>
      <c r="GOW2" s="133" t="s">
        <v>6268</v>
      </c>
      <c r="GOX2" s="133" t="s">
        <v>6269</v>
      </c>
      <c r="GOY2" s="133" t="s">
        <v>6270</v>
      </c>
      <c r="GOZ2" s="133" t="s">
        <v>6271</v>
      </c>
      <c r="GPA2" s="133" t="s">
        <v>6272</v>
      </c>
      <c r="GPB2" s="133" t="s">
        <v>6273</v>
      </c>
      <c r="GPC2" s="133" t="s">
        <v>6274</v>
      </c>
      <c r="GPD2" s="133" t="s">
        <v>6275</v>
      </c>
      <c r="GPE2" s="133" t="s">
        <v>6276</v>
      </c>
      <c r="GPF2" s="133" t="s">
        <v>6277</v>
      </c>
      <c r="GPG2" s="133" t="s">
        <v>6278</v>
      </c>
      <c r="GPH2" s="133" t="s">
        <v>6279</v>
      </c>
      <c r="GPI2" s="133" t="s">
        <v>6280</v>
      </c>
      <c r="GPJ2" s="133" t="s">
        <v>6281</v>
      </c>
      <c r="GPK2" s="133" t="s">
        <v>6282</v>
      </c>
      <c r="GPL2" s="133" t="s">
        <v>6283</v>
      </c>
      <c r="GPM2" s="133" t="s">
        <v>6284</v>
      </c>
      <c r="GPN2" s="133" t="s">
        <v>6285</v>
      </c>
      <c r="GPO2" s="133" t="s">
        <v>6286</v>
      </c>
      <c r="GPP2" s="133" t="s">
        <v>6287</v>
      </c>
      <c r="GPQ2" s="133" t="s">
        <v>6288</v>
      </c>
      <c r="GPR2" s="133" t="s">
        <v>6289</v>
      </c>
      <c r="GPS2" s="133" t="s">
        <v>6290</v>
      </c>
      <c r="GPT2" s="133" t="s">
        <v>6291</v>
      </c>
      <c r="GPU2" s="133" t="s">
        <v>6292</v>
      </c>
      <c r="GPV2" s="133" t="s">
        <v>6293</v>
      </c>
      <c r="GPW2" s="133" t="s">
        <v>6294</v>
      </c>
      <c r="GPX2" s="133" t="s">
        <v>6295</v>
      </c>
      <c r="GPY2" s="133" t="s">
        <v>6296</v>
      </c>
      <c r="GPZ2" s="133" t="s">
        <v>6297</v>
      </c>
      <c r="GQA2" s="133" t="s">
        <v>6298</v>
      </c>
      <c r="GQB2" s="133" t="s">
        <v>6299</v>
      </c>
      <c r="GQC2" s="133" t="s">
        <v>6300</v>
      </c>
      <c r="GQD2" s="133" t="s">
        <v>6301</v>
      </c>
      <c r="GQE2" s="133" t="s">
        <v>6302</v>
      </c>
      <c r="GQF2" s="133" t="s">
        <v>6303</v>
      </c>
      <c r="GQG2" s="133" t="s">
        <v>6304</v>
      </c>
      <c r="GQH2" s="133" t="s">
        <v>6305</v>
      </c>
      <c r="GQI2" s="133" t="s">
        <v>6306</v>
      </c>
      <c r="GQJ2" s="133" t="s">
        <v>6307</v>
      </c>
      <c r="GQK2" s="133" t="s">
        <v>6308</v>
      </c>
      <c r="GQL2" s="133" t="s">
        <v>6309</v>
      </c>
      <c r="GQM2" s="133" t="s">
        <v>6310</v>
      </c>
      <c r="GQN2" s="133" t="s">
        <v>6311</v>
      </c>
      <c r="GQO2" s="133" t="s">
        <v>6312</v>
      </c>
      <c r="GQP2" s="133" t="s">
        <v>6313</v>
      </c>
      <c r="GQQ2" s="133" t="s">
        <v>6314</v>
      </c>
      <c r="GQR2" s="133" t="s">
        <v>6315</v>
      </c>
      <c r="GQS2" s="133" t="s">
        <v>6316</v>
      </c>
      <c r="GQT2" s="133" t="s">
        <v>6317</v>
      </c>
      <c r="GQU2" s="133" t="s">
        <v>6318</v>
      </c>
      <c r="GQV2" s="133" t="s">
        <v>6319</v>
      </c>
      <c r="GQW2" s="133" t="s">
        <v>6320</v>
      </c>
      <c r="GQX2" s="133" t="s">
        <v>6321</v>
      </c>
      <c r="GQY2" s="133" t="s">
        <v>6322</v>
      </c>
      <c r="GQZ2" s="133" t="s">
        <v>6323</v>
      </c>
      <c r="GRA2" s="133" t="s">
        <v>6324</v>
      </c>
      <c r="GRB2" s="133" t="s">
        <v>6325</v>
      </c>
      <c r="GRC2" s="133" t="s">
        <v>6326</v>
      </c>
      <c r="GRD2" s="133" t="s">
        <v>6327</v>
      </c>
      <c r="GRE2" s="133" t="s">
        <v>6328</v>
      </c>
      <c r="GRF2" s="133" t="s">
        <v>6329</v>
      </c>
      <c r="GRG2" s="133" t="s">
        <v>6330</v>
      </c>
      <c r="GRH2" s="133" t="s">
        <v>6331</v>
      </c>
      <c r="GRI2" s="133" t="s">
        <v>6332</v>
      </c>
      <c r="GRJ2" s="133" t="s">
        <v>6333</v>
      </c>
      <c r="GRK2" s="133" t="s">
        <v>6334</v>
      </c>
      <c r="GRL2" s="133" t="s">
        <v>6335</v>
      </c>
      <c r="GRM2" s="133" t="s">
        <v>6336</v>
      </c>
      <c r="GRN2" s="133" t="s">
        <v>6337</v>
      </c>
      <c r="GRO2" s="133" t="s">
        <v>6338</v>
      </c>
      <c r="GRP2" s="133" t="s">
        <v>6339</v>
      </c>
      <c r="GRQ2" s="133" t="s">
        <v>6340</v>
      </c>
      <c r="GRR2" s="133" t="s">
        <v>6341</v>
      </c>
      <c r="GRS2" s="133" t="s">
        <v>6342</v>
      </c>
      <c r="GRT2" s="133" t="s">
        <v>6343</v>
      </c>
      <c r="GRU2" s="133" t="s">
        <v>6344</v>
      </c>
      <c r="GRV2" s="133" t="s">
        <v>6345</v>
      </c>
      <c r="GRW2" s="133" t="s">
        <v>6346</v>
      </c>
      <c r="GRX2" s="133" t="s">
        <v>6347</v>
      </c>
      <c r="GRY2" s="133" t="s">
        <v>6348</v>
      </c>
      <c r="GRZ2" s="133" t="s">
        <v>6349</v>
      </c>
      <c r="GSA2" s="133" t="s">
        <v>6350</v>
      </c>
      <c r="GSB2" s="133" t="s">
        <v>6351</v>
      </c>
      <c r="GSC2" s="133" t="s">
        <v>6352</v>
      </c>
      <c r="GSD2" s="133" t="s">
        <v>6353</v>
      </c>
      <c r="GSE2" s="133" t="s">
        <v>6354</v>
      </c>
      <c r="GSF2" s="133" t="s">
        <v>6355</v>
      </c>
      <c r="GSG2" s="133" t="s">
        <v>6356</v>
      </c>
      <c r="GSH2" s="133" t="s">
        <v>6357</v>
      </c>
      <c r="GSI2" s="133" t="s">
        <v>6358</v>
      </c>
      <c r="GSJ2" s="133" t="s">
        <v>6359</v>
      </c>
      <c r="GSK2" s="133" t="s">
        <v>6360</v>
      </c>
      <c r="GSL2" s="133" t="s">
        <v>6361</v>
      </c>
      <c r="GSM2" s="133" t="s">
        <v>6362</v>
      </c>
      <c r="GSN2" s="133" t="s">
        <v>6363</v>
      </c>
      <c r="GSO2" s="133" t="s">
        <v>6364</v>
      </c>
      <c r="GSP2" s="133" t="s">
        <v>6365</v>
      </c>
      <c r="GSQ2" s="133" t="s">
        <v>6366</v>
      </c>
      <c r="GSR2" s="133" t="s">
        <v>6367</v>
      </c>
      <c r="GSS2" s="133" t="s">
        <v>6368</v>
      </c>
      <c r="GST2" s="133" t="s">
        <v>6369</v>
      </c>
      <c r="GSU2" s="133" t="s">
        <v>6370</v>
      </c>
      <c r="GSV2" s="133" t="s">
        <v>6371</v>
      </c>
      <c r="GSW2" s="133" t="s">
        <v>6372</v>
      </c>
      <c r="GSX2" s="133" t="s">
        <v>6373</v>
      </c>
      <c r="GSY2" s="133" t="s">
        <v>6374</v>
      </c>
      <c r="GSZ2" s="133" t="s">
        <v>6375</v>
      </c>
      <c r="GTA2" s="133" t="s">
        <v>6376</v>
      </c>
      <c r="GTB2" s="133" t="s">
        <v>6377</v>
      </c>
      <c r="GTC2" s="133" t="s">
        <v>6378</v>
      </c>
      <c r="GTD2" s="133" t="s">
        <v>6379</v>
      </c>
      <c r="GTE2" s="133" t="s">
        <v>6380</v>
      </c>
      <c r="GTF2" s="133" t="s">
        <v>6381</v>
      </c>
      <c r="GTG2" s="133" t="s">
        <v>6382</v>
      </c>
      <c r="GTH2" s="133" t="s">
        <v>6383</v>
      </c>
      <c r="GTI2" s="133" t="s">
        <v>6384</v>
      </c>
      <c r="GTJ2" s="133" t="s">
        <v>6385</v>
      </c>
      <c r="GTK2" s="133" t="s">
        <v>6386</v>
      </c>
      <c r="GTL2" s="133" t="s">
        <v>6387</v>
      </c>
      <c r="GTM2" s="133" t="s">
        <v>6388</v>
      </c>
      <c r="GTN2" s="133" t="s">
        <v>6389</v>
      </c>
      <c r="GTO2" s="133" t="s">
        <v>6390</v>
      </c>
      <c r="GTP2" s="133" t="s">
        <v>6391</v>
      </c>
      <c r="GTQ2" s="133" t="s">
        <v>6392</v>
      </c>
      <c r="GTR2" s="133" t="s">
        <v>6393</v>
      </c>
      <c r="GTS2" s="133" t="s">
        <v>6394</v>
      </c>
      <c r="GTT2" s="133" t="s">
        <v>6395</v>
      </c>
      <c r="GTU2" s="133" t="s">
        <v>6396</v>
      </c>
      <c r="GTV2" s="133" t="s">
        <v>6397</v>
      </c>
      <c r="GTW2" s="133" t="s">
        <v>6398</v>
      </c>
      <c r="GTX2" s="133" t="s">
        <v>6399</v>
      </c>
      <c r="GTY2" s="133" t="s">
        <v>6400</v>
      </c>
      <c r="GTZ2" s="133" t="s">
        <v>6401</v>
      </c>
      <c r="GUA2" s="133" t="s">
        <v>6402</v>
      </c>
      <c r="GUB2" s="133" t="s">
        <v>6403</v>
      </c>
      <c r="GUC2" s="133" t="s">
        <v>6404</v>
      </c>
      <c r="GUD2" s="133" t="s">
        <v>6405</v>
      </c>
      <c r="GUE2" s="133" t="s">
        <v>6406</v>
      </c>
      <c r="GUF2" s="133" t="s">
        <v>6407</v>
      </c>
      <c r="GUG2" s="133" t="s">
        <v>6408</v>
      </c>
      <c r="GUH2" s="133" t="s">
        <v>6409</v>
      </c>
      <c r="GUI2" s="133" t="s">
        <v>6410</v>
      </c>
      <c r="GUJ2" s="133" t="s">
        <v>6411</v>
      </c>
      <c r="GUK2" s="133" t="s">
        <v>6412</v>
      </c>
      <c r="GUL2" s="133" t="s">
        <v>6413</v>
      </c>
      <c r="GUM2" s="133" t="s">
        <v>6414</v>
      </c>
      <c r="GUN2" s="133" t="s">
        <v>6415</v>
      </c>
      <c r="GUO2" s="133" t="s">
        <v>6416</v>
      </c>
      <c r="GUP2" s="133" t="s">
        <v>6417</v>
      </c>
      <c r="GUQ2" s="133" t="s">
        <v>6418</v>
      </c>
      <c r="GUR2" s="133" t="s">
        <v>6419</v>
      </c>
      <c r="GUS2" s="133" t="s">
        <v>6420</v>
      </c>
      <c r="GUT2" s="133" t="s">
        <v>6421</v>
      </c>
      <c r="GUU2" s="133" t="s">
        <v>6422</v>
      </c>
      <c r="GUV2" s="133" t="s">
        <v>6423</v>
      </c>
      <c r="GUW2" s="133" t="s">
        <v>6424</v>
      </c>
      <c r="GUX2" s="133" t="s">
        <v>6425</v>
      </c>
      <c r="GUY2" s="133" t="s">
        <v>6426</v>
      </c>
      <c r="GUZ2" s="133" t="s">
        <v>6427</v>
      </c>
      <c r="GVA2" s="133" t="s">
        <v>6428</v>
      </c>
      <c r="GVB2" s="133" t="s">
        <v>6429</v>
      </c>
      <c r="GVC2" s="133" t="s">
        <v>6430</v>
      </c>
      <c r="GVD2" s="133" t="s">
        <v>6431</v>
      </c>
      <c r="GVE2" s="133" t="s">
        <v>6432</v>
      </c>
      <c r="GVF2" s="133" t="s">
        <v>6433</v>
      </c>
      <c r="GVG2" s="133" t="s">
        <v>6434</v>
      </c>
      <c r="GVH2" s="133" t="s">
        <v>6435</v>
      </c>
      <c r="GVI2" s="133" t="s">
        <v>6436</v>
      </c>
      <c r="GVJ2" s="133" t="s">
        <v>6437</v>
      </c>
      <c r="GVK2" s="133" t="s">
        <v>6438</v>
      </c>
      <c r="GVL2" s="133" t="s">
        <v>6439</v>
      </c>
      <c r="GVM2" s="133" t="s">
        <v>6440</v>
      </c>
      <c r="GVN2" s="133" t="s">
        <v>6441</v>
      </c>
      <c r="GVO2" s="133" t="s">
        <v>6442</v>
      </c>
      <c r="GVP2" s="133" t="s">
        <v>6443</v>
      </c>
      <c r="GVQ2" s="133" t="s">
        <v>6444</v>
      </c>
      <c r="GVR2" s="133" t="s">
        <v>6445</v>
      </c>
      <c r="GVS2" s="133" t="s">
        <v>6446</v>
      </c>
      <c r="GVT2" s="133" t="s">
        <v>6447</v>
      </c>
      <c r="GVU2" s="133" t="s">
        <v>6448</v>
      </c>
      <c r="GVV2" s="133" t="s">
        <v>6449</v>
      </c>
      <c r="GVW2" s="133" t="s">
        <v>6450</v>
      </c>
      <c r="GVX2" s="133" t="s">
        <v>6451</v>
      </c>
      <c r="GVY2" s="133" t="s">
        <v>6452</v>
      </c>
      <c r="GVZ2" s="133" t="s">
        <v>6453</v>
      </c>
      <c r="GWA2" s="133" t="s">
        <v>6454</v>
      </c>
      <c r="GWB2" s="133" t="s">
        <v>6455</v>
      </c>
      <c r="GWC2" s="133" t="s">
        <v>6456</v>
      </c>
      <c r="GWD2" s="133" t="s">
        <v>6457</v>
      </c>
      <c r="GWE2" s="133" t="s">
        <v>6458</v>
      </c>
      <c r="GWF2" s="133" t="s">
        <v>6459</v>
      </c>
      <c r="GWG2" s="133" t="s">
        <v>6460</v>
      </c>
      <c r="GWH2" s="133" t="s">
        <v>6461</v>
      </c>
      <c r="GWI2" s="133" t="s">
        <v>6462</v>
      </c>
      <c r="GWJ2" s="133" t="s">
        <v>6463</v>
      </c>
      <c r="GWK2" s="133" t="s">
        <v>6464</v>
      </c>
      <c r="GWL2" s="133" t="s">
        <v>6465</v>
      </c>
      <c r="GWM2" s="133" t="s">
        <v>6466</v>
      </c>
      <c r="GWN2" s="133" t="s">
        <v>6467</v>
      </c>
      <c r="GWO2" s="133" t="s">
        <v>6468</v>
      </c>
      <c r="GWP2" s="133" t="s">
        <v>6469</v>
      </c>
      <c r="GWQ2" s="133" t="s">
        <v>6470</v>
      </c>
      <c r="GWR2" s="133" t="s">
        <v>6471</v>
      </c>
      <c r="GWS2" s="133" t="s">
        <v>6472</v>
      </c>
      <c r="GWT2" s="133" t="s">
        <v>6473</v>
      </c>
      <c r="GWU2" s="133" t="s">
        <v>6474</v>
      </c>
      <c r="GWV2" s="133" t="s">
        <v>6475</v>
      </c>
      <c r="GWW2" s="133" t="s">
        <v>6476</v>
      </c>
      <c r="GWX2" s="133" t="s">
        <v>6477</v>
      </c>
      <c r="GWY2" s="133" t="s">
        <v>6478</v>
      </c>
      <c r="GWZ2" s="133" t="s">
        <v>6479</v>
      </c>
      <c r="GXA2" s="133" t="s">
        <v>6480</v>
      </c>
      <c r="GXB2" s="133" t="s">
        <v>6481</v>
      </c>
      <c r="GXC2" s="133" t="s">
        <v>6482</v>
      </c>
      <c r="GXD2" s="133" t="s">
        <v>6483</v>
      </c>
      <c r="GXE2" s="133" t="s">
        <v>6484</v>
      </c>
      <c r="GXF2" s="133" t="s">
        <v>6485</v>
      </c>
      <c r="GXG2" s="133" t="s">
        <v>6486</v>
      </c>
      <c r="GXH2" s="133" t="s">
        <v>6487</v>
      </c>
      <c r="GXI2" s="133" t="s">
        <v>6488</v>
      </c>
      <c r="GXJ2" s="133" t="s">
        <v>6489</v>
      </c>
      <c r="GXK2" s="133" t="s">
        <v>6490</v>
      </c>
      <c r="GXL2" s="133" t="s">
        <v>6491</v>
      </c>
      <c r="GXM2" s="133" t="s">
        <v>6492</v>
      </c>
      <c r="GXN2" s="133" t="s">
        <v>6493</v>
      </c>
      <c r="GXO2" s="133" t="s">
        <v>6494</v>
      </c>
      <c r="GXP2" s="133" t="s">
        <v>6495</v>
      </c>
      <c r="GXQ2" s="133" t="s">
        <v>6496</v>
      </c>
      <c r="GXR2" s="133" t="s">
        <v>6497</v>
      </c>
      <c r="GXS2" s="133" t="s">
        <v>6498</v>
      </c>
      <c r="GXT2" s="133" t="s">
        <v>6499</v>
      </c>
      <c r="GXU2" s="133" t="s">
        <v>6500</v>
      </c>
      <c r="GXV2" s="133" t="s">
        <v>6501</v>
      </c>
      <c r="GXW2" s="133" t="s">
        <v>6502</v>
      </c>
      <c r="GXX2" s="133" t="s">
        <v>6503</v>
      </c>
      <c r="GXY2" s="133" t="s">
        <v>6504</v>
      </c>
      <c r="GXZ2" s="133" t="s">
        <v>6505</v>
      </c>
      <c r="GYA2" s="133" t="s">
        <v>6506</v>
      </c>
      <c r="GYB2" s="133" t="s">
        <v>6507</v>
      </c>
      <c r="GYC2" s="133" t="s">
        <v>6508</v>
      </c>
      <c r="GYD2" s="133" t="s">
        <v>6509</v>
      </c>
      <c r="GYE2" s="133" t="s">
        <v>6510</v>
      </c>
      <c r="GYF2" s="133" t="s">
        <v>6511</v>
      </c>
      <c r="GYG2" s="133" t="s">
        <v>6512</v>
      </c>
      <c r="GYH2" s="133" t="s">
        <v>6513</v>
      </c>
      <c r="GYI2" s="133" t="s">
        <v>6514</v>
      </c>
      <c r="GYJ2" s="133" t="s">
        <v>6515</v>
      </c>
      <c r="GYK2" s="133" t="s">
        <v>6516</v>
      </c>
      <c r="GYL2" s="133" t="s">
        <v>6517</v>
      </c>
      <c r="GYM2" s="133" t="s">
        <v>6518</v>
      </c>
      <c r="GYN2" s="133" t="s">
        <v>6519</v>
      </c>
      <c r="GYO2" s="133" t="s">
        <v>6520</v>
      </c>
      <c r="GYP2" s="133" t="s">
        <v>6521</v>
      </c>
      <c r="GYQ2" s="133" t="s">
        <v>6522</v>
      </c>
      <c r="GYR2" s="133" t="s">
        <v>6523</v>
      </c>
      <c r="GYS2" s="133" t="s">
        <v>6524</v>
      </c>
      <c r="GYT2" s="133" t="s">
        <v>6525</v>
      </c>
      <c r="GYU2" s="133" t="s">
        <v>6526</v>
      </c>
      <c r="GYV2" s="133" t="s">
        <v>6527</v>
      </c>
      <c r="GYW2" s="133" t="s">
        <v>6528</v>
      </c>
      <c r="GYX2" s="133" t="s">
        <v>6529</v>
      </c>
      <c r="GYY2" s="133" t="s">
        <v>6530</v>
      </c>
      <c r="GYZ2" s="133" t="s">
        <v>6531</v>
      </c>
      <c r="GZA2" s="133" t="s">
        <v>6532</v>
      </c>
      <c r="GZB2" s="133" t="s">
        <v>6533</v>
      </c>
      <c r="GZC2" s="133" t="s">
        <v>6534</v>
      </c>
      <c r="GZD2" s="133" t="s">
        <v>6535</v>
      </c>
      <c r="GZE2" s="133" t="s">
        <v>6536</v>
      </c>
      <c r="GZF2" s="133" t="s">
        <v>6537</v>
      </c>
      <c r="GZG2" s="133" t="s">
        <v>6538</v>
      </c>
      <c r="GZH2" s="133" t="s">
        <v>6539</v>
      </c>
      <c r="GZI2" s="133" t="s">
        <v>6540</v>
      </c>
      <c r="GZJ2" s="133" t="s">
        <v>6541</v>
      </c>
      <c r="GZK2" s="133" t="s">
        <v>6542</v>
      </c>
      <c r="GZL2" s="133" t="s">
        <v>6543</v>
      </c>
      <c r="GZM2" s="133" t="s">
        <v>6544</v>
      </c>
      <c r="GZN2" s="133" t="s">
        <v>6545</v>
      </c>
      <c r="GZO2" s="133" t="s">
        <v>6546</v>
      </c>
      <c r="GZP2" s="133" t="s">
        <v>6547</v>
      </c>
      <c r="GZQ2" s="133" t="s">
        <v>6548</v>
      </c>
      <c r="GZR2" s="133" t="s">
        <v>6549</v>
      </c>
      <c r="GZS2" s="133" t="s">
        <v>6550</v>
      </c>
      <c r="GZT2" s="133" t="s">
        <v>6551</v>
      </c>
      <c r="GZU2" s="133" t="s">
        <v>6552</v>
      </c>
      <c r="GZV2" s="133" t="s">
        <v>6553</v>
      </c>
      <c r="GZW2" s="133" t="s">
        <v>6554</v>
      </c>
      <c r="GZX2" s="133" t="s">
        <v>6555</v>
      </c>
      <c r="GZY2" s="133" t="s">
        <v>6556</v>
      </c>
      <c r="GZZ2" s="133" t="s">
        <v>6557</v>
      </c>
      <c r="HAA2" s="133" t="s">
        <v>6558</v>
      </c>
      <c r="HAB2" s="133" t="s">
        <v>6559</v>
      </c>
      <c r="HAC2" s="133" t="s">
        <v>6560</v>
      </c>
      <c r="HAD2" s="133" t="s">
        <v>6561</v>
      </c>
      <c r="HAE2" s="133" t="s">
        <v>6562</v>
      </c>
      <c r="HAF2" s="133" t="s">
        <v>6563</v>
      </c>
      <c r="HAG2" s="133" t="s">
        <v>6564</v>
      </c>
      <c r="HAH2" s="133" t="s">
        <v>6565</v>
      </c>
      <c r="HAI2" s="133" t="s">
        <v>6566</v>
      </c>
      <c r="HAJ2" s="133" t="s">
        <v>6567</v>
      </c>
      <c r="HAK2" s="133" t="s">
        <v>6568</v>
      </c>
      <c r="HAL2" s="133" t="s">
        <v>6569</v>
      </c>
      <c r="HAM2" s="133" t="s">
        <v>6570</v>
      </c>
      <c r="HAN2" s="133" t="s">
        <v>6571</v>
      </c>
      <c r="HAO2" s="133" t="s">
        <v>6572</v>
      </c>
      <c r="HAP2" s="133" t="s">
        <v>6573</v>
      </c>
      <c r="HAQ2" s="133" t="s">
        <v>6574</v>
      </c>
      <c r="HAR2" s="133" t="s">
        <v>6575</v>
      </c>
      <c r="HAS2" s="133" t="s">
        <v>6576</v>
      </c>
      <c r="HAT2" s="133" t="s">
        <v>6577</v>
      </c>
      <c r="HAU2" s="133" t="s">
        <v>6578</v>
      </c>
      <c r="HAV2" s="133" t="s">
        <v>6579</v>
      </c>
      <c r="HAW2" s="133" t="s">
        <v>6580</v>
      </c>
      <c r="HAX2" s="133" t="s">
        <v>6581</v>
      </c>
      <c r="HAY2" s="133" t="s">
        <v>6582</v>
      </c>
      <c r="HAZ2" s="133" t="s">
        <v>6583</v>
      </c>
      <c r="HBA2" s="133" t="s">
        <v>6584</v>
      </c>
      <c r="HBB2" s="133" t="s">
        <v>6585</v>
      </c>
      <c r="HBC2" s="133" t="s">
        <v>6586</v>
      </c>
      <c r="HBD2" s="133" t="s">
        <v>6587</v>
      </c>
      <c r="HBE2" s="133" t="s">
        <v>6588</v>
      </c>
      <c r="HBF2" s="133" t="s">
        <v>6589</v>
      </c>
      <c r="HBG2" s="133" t="s">
        <v>6590</v>
      </c>
      <c r="HBH2" s="133" t="s">
        <v>6591</v>
      </c>
      <c r="HBI2" s="133" t="s">
        <v>6592</v>
      </c>
      <c r="HBJ2" s="133" t="s">
        <v>6593</v>
      </c>
      <c r="HBK2" s="133" t="s">
        <v>6594</v>
      </c>
      <c r="HBL2" s="133" t="s">
        <v>6595</v>
      </c>
      <c r="HBM2" s="133" t="s">
        <v>6596</v>
      </c>
      <c r="HBN2" s="133" t="s">
        <v>6597</v>
      </c>
      <c r="HBO2" s="133" t="s">
        <v>6598</v>
      </c>
      <c r="HBP2" s="133" t="s">
        <v>6599</v>
      </c>
      <c r="HBQ2" s="133" t="s">
        <v>6600</v>
      </c>
      <c r="HBR2" s="133" t="s">
        <v>6601</v>
      </c>
      <c r="HBS2" s="133" t="s">
        <v>6602</v>
      </c>
      <c r="HBT2" s="133" t="s">
        <v>6603</v>
      </c>
      <c r="HBU2" s="133" t="s">
        <v>6604</v>
      </c>
      <c r="HBV2" s="133" t="s">
        <v>6605</v>
      </c>
      <c r="HBW2" s="133" t="s">
        <v>6606</v>
      </c>
      <c r="HBX2" s="133" t="s">
        <v>6607</v>
      </c>
      <c r="HBY2" s="133" t="s">
        <v>6608</v>
      </c>
      <c r="HBZ2" s="133" t="s">
        <v>6609</v>
      </c>
      <c r="HCA2" s="133" t="s">
        <v>6610</v>
      </c>
      <c r="HCB2" s="133" t="s">
        <v>6611</v>
      </c>
      <c r="HCC2" s="133" t="s">
        <v>6612</v>
      </c>
      <c r="HCD2" s="133" t="s">
        <v>6613</v>
      </c>
      <c r="HCE2" s="133" t="s">
        <v>6614</v>
      </c>
      <c r="HCF2" s="133" t="s">
        <v>6615</v>
      </c>
      <c r="HCG2" s="133" t="s">
        <v>6616</v>
      </c>
      <c r="HCH2" s="133" t="s">
        <v>6617</v>
      </c>
      <c r="HCI2" s="133" t="s">
        <v>6618</v>
      </c>
      <c r="HCJ2" s="133" t="s">
        <v>6619</v>
      </c>
      <c r="HCK2" s="133" t="s">
        <v>6620</v>
      </c>
      <c r="HCL2" s="133" t="s">
        <v>6621</v>
      </c>
      <c r="HCM2" s="133" t="s">
        <v>6622</v>
      </c>
      <c r="HCN2" s="133" t="s">
        <v>6623</v>
      </c>
      <c r="HCO2" s="133" t="s">
        <v>6624</v>
      </c>
      <c r="HCP2" s="133" t="s">
        <v>6625</v>
      </c>
      <c r="HCQ2" s="133" t="s">
        <v>6626</v>
      </c>
      <c r="HCR2" s="133" t="s">
        <v>6627</v>
      </c>
      <c r="HCS2" s="133" t="s">
        <v>6628</v>
      </c>
      <c r="HCT2" s="133" t="s">
        <v>6629</v>
      </c>
      <c r="HCU2" s="133" t="s">
        <v>6630</v>
      </c>
      <c r="HCV2" s="133" t="s">
        <v>6631</v>
      </c>
      <c r="HCW2" s="133" t="s">
        <v>6632</v>
      </c>
      <c r="HCX2" s="133" t="s">
        <v>6633</v>
      </c>
      <c r="HCY2" s="133" t="s">
        <v>6634</v>
      </c>
      <c r="HCZ2" s="133" t="s">
        <v>6635</v>
      </c>
      <c r="HDA2" s="133" t="s">
        <v>6636</v>
      </c>
      <c r="HDB2" s="133" t="s">
        <v>6637</v>
      </c>
      <c r="HDC2" s="133" t="s">
        <v>6638</v>
      </c>
      <c r="HDD2" s="133" t="s">
        <v>6639</v>
      </c>
      <c r="HDE2" s="133" t="s">
        <v>6640</v>
      </c>
      <c r="HDF2" s="133" t="s">
        <v>6641</v>
      </c>
      <c r="HDG2" s="133" t="s">
        <v>6642</v>
      </c>
      <c r="HDH2" s="133" t="s">
        <v>6643</v>
      </c>
      <c r="HDI2" s="133" t="s">
        <v>6644</v>
      </c>
      <c r="HDJ2" s="133" t="s">
        <v>6645</v>
      </c>
      <c r="HDK2" s="133" t="s">
        <v>6646</v>
      </c>
      <c r="HDL2" s="133" t="s">
        <v>6647</v>
      </c>
      <c r="HDM2" s="133" t="s">
        <v>6648</v>
      </c>
      <c r="HDN2" s="133" t="s">
        <v>6649</v>
      </c>
      <c r="HDO2" s="133" t="s">
        <v>6650</v>
      </c>
      <c r="HDP2" s="133" t="s">
        <v>6651</v>
      </c>
      <c r="HDQ2" s="133" t="s">
        <v>6652</v>
      </c>
      <c r="HDR2" s="133" t="s">
        <v>6653</v>
      </c>
      <c r="HDS2" s="133" t="s">
        <v>6654</v>
      </c>
      <c r="HDT2" s="133" t="s">
        <v>6655</v>
      </c>
      <c r="HDU2" s="133" t="s">
        <v>6656</v>
      </c>
      <c r="HDV2" s="133" t="s">
        <v>6657</v>
      </c>
      <c r="HDW2" s="133" t="s">
        <v>6658</v>
      </c>
      <c r="HDX2" s="133" t="s">
        <v>6659</v>
      </c>
      <c r="HDY2" s="133" t="s">
        <v>6660</v>
      </c>
      <c r="HDZ2" s="133" t="s">
        <v>6661</v>
      </c>
      <c r="HEA2" s="133" t="s">
        <v>6662</v>
      </c>
      <c r="HEB2" s="133" t="s">
        <v>6663</v>
      </c>
      <c r="HEC2" s="133" t="s">
        <v>6664</v>
      </c>
      <c r="HED2" s="133" t="s">
        <v>6665</v>
      </c>
      <c r="HEE2" s="133" t="s">
        <v>6666</v>
      </c>
      <c r="HEF2" s="133" t="s">
        <v>6667</v>
      </c>
      <c r="HEG2" s="133" t="s">
        <v>6668</v>
      </c>
      <c r="HEH2" s="133" t="s">
        <v>6669</v>
      </c>
      <c r="HEI2" s="133" t="s">
        <v>6670</v>
      </c>
      <c r="HEJ2" s="133" t="s">
        <v>6671</v>
      </c>
      <c r="HEK2" s="133" t="s">
        <v>6672</v>
      </c>
      <c r="HEL2" s="133" t="s">
        <v>6673</v>
      </c>
      <c r="HEM2" s="133" t="s">
        <v>6674</v>
      </c>
      <c r="HEN2" s="133" t="s">
        <v>6675</v>
      </c>
      <c r="HEO2" s="133" t="s">
        <v>6676</v>
      </c>
      <c r="HEP2" s="133" t="s">
        <v>6677</v>
      </c>
      <c r="HEQ2" s="133" t="s">
        <v>6678</v>
      </c>
      <c r="HER2" s="133" t="s">
        <v>6679</v>
      </c>
      <c r="HES2" s="133" t="s">
        <v>6680</v>
      </c>
      <c r="HET2" s="133" t="s">
        <v>6681</v>
      </c>
      <c r="HEU2" s="133" t="s">
        <v>6682</v>
      </c>
      <c r="HEV2" s="133" t="s">
        <v>6683</v>
      </c>
      <c r="HEW2" s="133" t="s">
        <v>6684</v>
      </c>
      <c r="HEX2" s="133" t="s">
        <v>6685</v>
      </c>
      <c r="HEY2" s="133" t="s">
        <v>6686</v>
      </c>
      <c r="HEZ2" s="133" t="s">
        <v>6687</v>
      </c>
      <c r="HFA2" s="133" t="s">
        <v>6688</v>
      </c>
      <c r="HFB2" s="133" t="s">
        <v>6689</v>
      </c>
      <c r="HFC2" s="133" t="s">
        <v>6690</v>
      </c>
      <c r="HFD2" s="133" t="s">
        <v>6691</v>
      </c>
      <c r="HFE2" s="133" t="s">
        <v>6692</v>
      </c>
      <c r="HFF2" s="133" t="s">
        <v>6693</v>
      </c>
      <c r="HFG2" s="133" t="s">
        <v>6694</v>
      </c>
      <c r="HFH2" s="133" t="s">
        <v>6695</v>
      </c>
      <c r="HFI2" s="133" t="s">
        <v>6696</v>
      </c>
      <c r="HFJ2" s="133" t="s">
        <v>6697</v>
      </c>
      <c r="HFK2" s="133" t="s">
        <v>6698</v>
      </c>
      <c r="HFL2" s="133" t="s">
        <v>6699</v>
      </c>
      <c r="HFM2" s="133" t="s">
        <v>6700</v>
      </c>
      <c r="HFN2" s="133" t="s">
        <v>6701</v>
      </c>
      <c r="HFO2" s="133" t="s">
        <v>6702</v>
      </c>
      <c r="HFP2" s="133" t="s">
        <v>6703</v>
      </c>
      <c r="HFQ2" s="133" t="s">
        <v>6704</v>
      </c>
      <c r="HFR2" s="133" t="s">
        <v>6705</v>
      </c>
      <c r="HFS2" s="133" t="s">
        <v>6706</v>
      </c>
      <c r="HFT2" s="133" t="s">
        <v>6707</v>
      </c>
      <c r="HFU2" s="133" t="s">
        <v>6708</v>
      </c>
      <c r="HFV2" s="133" t="s">
        <v>6709</v>
      </c>
      <c r="HFW2" s="133" t="s">
        <v>6710</v>
      </c>
      <c r="HFX2" s="133" t="s">
        <v>6711</v>
      </c>
      <c r="HFY2" s="133" t="s">
        <v>6712</v>
      </c>
      <c r="HFZ2" s="133" t="s">
        <v>6713</v>
      </c>
      <c r="HGA2" s="133" t="s">
        <v>6714</v>
      </c>
      <c r="HGB2" s="133" t="s">
        <v>6715</v>
      </c>
      <c r="HGC2" s="133" t="s">
        <v>6716</v>
      </c>
      <c r="HGD2" s="133" t="s">
        <v>6717</v>
      </c>
      <c r="HGE2" s="133" t="s">
        <v>6718</v>
      </c>
      <c r="HGF2" s="133" t="s">
        <v>6719</v>
      </c>
      <c r="HGG2" s="133" t="s">
        <v>6720</v>
      </c>
      <c r="HGH2" s="133" t="s">
        <v>6721</v>
      </c>
      <c r="HGI2" s="133" t="s">
        <v>6722</v>
      </c>
      <c r="HGJ2" s="133" t="s">
        <v>6723</v>
      </c>
      <c r="HGK2" s="133" t="s">
        <v>6724</v>
      </c>
      <c r="HGL2" s="133" t="s">
        <v>6725</v>
      </c>
      <c r="HGM2" s="133" t="s">
        <v>6726</v>
      </c>
      <c r="HGN2" s="133" t="s">
        <v>6727</v>
      </c>
      <c r="HGO2" s="133" t="s">
        <v>6728</v>
      </c>
      <c r="HGP2" s="133" t="s">
        <v>6729</v>
      </c>
      <c r="HGQ2" s="133" t="s">
        <v>6730</v>
      </c>
      <c r="HGR2" s="133" t="s">
        <v>6731</v>
      </c>
      <c r="HGS2" s="133" t="s">
        <v>6732</v>
      </c>
      <c r="HGT2" s="133" t="s">
        <v>6733</v>
      </c>
      <c r="HGU2" s="133" t="s">
        <v>6734</v>
      </c>
      <c r="HGV2" s="133" t="s">
        <v>6735</v>
      </c>
      <c r="HGW2" s="133" t="s">
        <v>6736</v>
      </c>
      <c r="HGX2" s="133" t="s">
        <v>6737</v>
      </c>
      <c r="HGY2" s="133" t="s">
        <v>6738</v>
      </c>
      <c r="HGZ2" s="133" t="s">
        <v>6739</v>
      </c>
      <c r="HHA2" s="133" t="s">
        <v>6740</v>
      </c>
      <c r="HHB2" s="133" t="s">
        <v>6741</v>
      </c>
      <c r="HHC2" s="133" t="s">
        <v>6742</v>
      </c>
      <c r="HHD2" s="133" t="s">
        <v>6743</v>
      </c>
      <c r="HHE2" s="133" t="s">
        <v>6744</v>
      </c>
      <c r="HHF2" s="133" t="s">
        <v>6745</v>
      </c>
      <c r="HHG2" s="133" t="s">
        <v>6746</v>
      </c>
      <c r="HHH2" s="133" t="s">
        <v>6747</v>
      </c>
      <c r="HHI2" s="133" t="s">
        <v>6748</v>
      </c>
      <c r="HHJ2" s="133" t="s">
        <v>6749</v>
      </c>
      <c r="HHK2" s="133" t="s">
        <v>6750</v>
      </c>
      <c r="HHL2" s="133" t="s">
        <v>6751</v>
      </c>
      <c r="HHM2" s="133" t="s">
        <v>6752</v>
      </c>
      <c r="HHN2" s="133" t="s">
        <v>6753</v>
      </c>
      <c r="HHO2" s="133" t="s">
        <v>6754</v>
      </c>
      <c r="HHP2" s="133" t="s">
        <v>6755</v>
      </c>
      <c r="HHQ2" s="133" t="s">
        <v>6756</v>
      </c>
      <c r="HHR2" s="133" t="s">
        <v>6757</v>
      </c>
      <c r="HHS2" s="133" t="s">
        <v>6758</v>
      </c>
      <c r="HHT2" s="133" t="s">
        <v>6759</v>
      </c>
      <c r="HHU2" s="133" t="s">
        <v>6760</v>
      </c>
      <c r="HHV2" s="133" t="s">
        <v>6761</v>
      </c>
      <c r="HHW2" s="133" t="s">
        <v>6762</v>
      </c>
      <c r="HHX2" s="133" t="s">
        <v>6763</v>
      </c>
      <c r="HHY2" s="133" t="s">
        <v>6764</v>
      </c>
      <c r="HHZ2" s="133" t="s">
        <v>6765</v>
      </c>
      <c r="HIA2" s="133" t="s">
        <v>6766</v>
      </c>
      <c r="HIB2" s="133" t="s">
        <v>6767</v>
      </c>
      <c r="HIC2" s="133" t="s">
        <v>6768</v>
      </c>
      <c r="HID2" s="133" t="s">
        <v>6769</v>
      </c>
      <c r="HIE2" s="133" t="s">
        <v>6770</v>
      </c>
      <c r="HIF2" s="133" t="s">
        <v>6771</v>
      </c>
      <c r="HIG2" s="133" t="s">
        <v>6772</v>
      </c>
      <c r="HIH2" s="133" t="s">
        <v>6773</v>
      </c>
      <c r="HII2" s="133" t="s">
        <v>6774</v>
      </c>
      <c r="HIJ2" s="133" t="s">
        <v>6775</v>
      </c>
      <c r="HIK2" s="133" t="s">
        <v>6776</v>
      </c>
      <c r="HIL2" s="133" t="s">
        <v>6777</v>
      </c>
      <c r="HIM2" s="133" t="s">
        <v>6778</v>
      </c>
      <c r="HIN2" s="133" t="s">
        <v>6779</v>
      </c>
      <c r="HIO2" s="133" t="s">
        <v>6780</v>
      </c>
      <c r="HIP2" s="133" t="s">
        <v>6781</v>
      </c>
      <c r="HIQ2" s="133" t="s">
        <v>6782</v>
      </c>
      <c r="HIR2" s="133" t="s">
        <v>6783</v>
      </c>
      <c r="HIS2" s="133" t="s">
        <v>6784</v>
      </c>
      <c r="HIT2" s="133" t="s">
        <v>6785</v>
      </c>
      <c r="HIU2" s="133" t="s">
        <v>6786</v>
      </c>
      <c r="HIV2" s="133" t="s">
        <v>6787</v>
      </c>
      <c r="HIW2" s="133" t="s">
        <v>6788</v>
      </c>
      <c r="HIX2" s="133" t="s">
        <v>6789</v>
      </c>
      <c r="HIY2" s="133" t="s">
        <v>6790</v>
      </c>
      <c r="HIZ2" s="133" t="s">
        <v>6791</v>
      </c>
      <c r="HJA2" s="133" t="s">
        <v>6792</v>
      </c>
      <c r="HJB2" s="133" t="s">
        <v>6793</v>
      </c>
      <c r="HJC2" s="133" t="s">
        <v>6794</v>
      </c>
      <c r="HJD2" s="133" t="s">
        <v>6795</v>
      </c>
      <c r="HJE2" s="133" t="s">
        <v>6796</v>
      </c>
      <c r="HJF2" s="133" t="s">
        <v>6797</v>
      </c>
      <c r="HJG2" s="133" t="s">
        <v>6798</v>
      </c>
      <c r="HJH2" s="133" t="s">
        <v>6799</v>
      </c>
      <c r="HJI2" s="133" t="s">
        <v>6800</v>
      </c>
      <c r="HJJ2" s="133" t="s">
        <v>6801</v>
      </c>
      <c r="HJK2" s="133" t="s">
        <v>6802</v>
      </c>
      <c r="HJL2" s="133" t="s">
        <v>6803</v>
      </c>
      <c r="HJM2" s="133" t="s">
        <v>6804</v>
      </c>
      <c r="HJN2" s="133" t="s">
        <v>6805</v>
      </c>
      <c r="HJO2" s="133" t="s">
        <v>6806</v>
      </c>
      <c r="HJP2" s="133" t="s">
        <v>6807</v>
      </c>
      <c r="HJQ2" s="133" t="s">
        <v>6808</v>
      </c>
      <c r="HJR2" s="133" t="s">
        <v>6809</v>
      </c>
      <c r="HJS2" s="133" t="s">
        <v>6810</v>
      </c>
      <c r="HJT2" s="133" t="s">
        <v>6811</v>
      </c>
      <c r="HJU2" s="133" t="s">
        <v>6812</v>
      </c>
      <c r="HJV2" s="133" t="s">
        <v>6813</v>
      </c>
      <c r="HJW2" s="133" t="s">
        <v>6814</v>
      </c>
      <c r="HJX2" s="133" t="s">
        <v>6815</v>
      </c>
      <c r="HJY2" s="133" t="s">
        <v>6816</v>
      </c>
      <c r="HJZ2" s="133" t="s">
        <v>6817</v>
      </c>
      <c r="HKA2" s="133" t="s">
        <v>6818</v>
      </c>
      <c r="HKB2" s="133" t="s">
        <v>6819</v>
      </c>
      <c r="HKC2" s="133" t="s">
        <v>6820</v>
      </c>
      <c r="HKD2" s="133" t="s">
        <v>6821</v>
      </c>
      <c r="HKE2" s="133" t="s">
        <v>6822</v>
      </c>
      <c r="HKF2" s="133" t="s">
        <v>6823</v>
      </c>
      <c r="HKG2" s="133" t="s">
        <v>6824</v>
      </c>
      <c r="HKH2" s="133" t="s">
        <v>6825</v>
      </c>
      <c r="HKI2" s="133" t="s">
        <v>6826</v>
      </c>
      <c r="HKJ2" s="133" t="s">
        <v>6827</v>
      </c>
      <c r="HKK2" s="133" t="s">
        <v>6828</v>
      </c>
      <c r="HKL2" s="133" t="s">
        <v>6829</v>
      </c>
      <c r="HKM2" s="133" t="s">
        <v>6830</v>
      </c>
      <c r="HKN2" s="133" t="s">
        <v>6831</v>
      </c>
      <c r="HKO2" s="133" t="s">
        <v>6832</v>
      </c>
      <c r="HKP2" s="133" t="s">
        <v>6833</v>
      </c>
      <c r="HKQ2" s="133" t="s">
        <v>6834</v>
      </c>
      <c r="HKR2" s="133" t="s">
        <v>6835</v>
      </c>
      <c r="HKS2" s="133" t="s">
        <v>6836</v>
      </c>
      <c r="HKT2" s="133" t="s">
        <v>6837</v>
      </c>
      <c r="HKU2" s="133" t="s">
        <v>6838</v>
      </c>
      <c r="HKV2" s="133" t="s">
        <v>6839</v>
      </c>
      <c r="HKW2" s="133" t="s">
        <v>6840</v>
      </c>
      <c r="HKX2" s="133" t="s">
        <v>6841</v>
      </c>
      <c r="HKY2" s="133" t="s">
        <v>6842</v>
      </c>
      <c r="HKZ2" s="133" t="s">
        <v>6843</v>
      </c>
      <c r="HLA2" s="133" t="s">
        <v>6844</v>
      </c>
      <c r="HLB2" s="133" t="s">
        <v>6845</v>
      </c>
      <c r="HLC2" s="133" t="s">
        <v>6846</v>
      </c>
      <c r="HLD2" s="133" t="s">
        <v>6847</v>
      </c>
      <c r="HLE2" s="133" t="s">
        <v>6848</v>
      </c>
      <c r="HLF2" s="133" t="s">
        <v>6849</v>
      </c>
      <c r="HLG2" s="133" t="s">
        <v>6850</v>
      </c>
      <c r="HLH2" s="133" t="s">
        <v>6851</v>
      </c>
      <c r="HLI2" s="133" t="s">
        <v>6852</v>
      </c>
      <c r="HLJ2" s="133" t="s">
        <v>6853</v>
      </c>
      <c r="HLK2" s="133" t="s">
        <v>6854</v>
      </c>
      <c r="HLL2" s="133" t="s">
        <v>6855</v>
      </c>
      <c r="HLM2" s="133" t="s">
        <v>6856</v>
      </c>
      <c r="HLN2" s="133" t="s">
        <v>6857</v>
      </c>
      <c r="HLO2" s="133" t="s">
        <v>6858</v>
      </c>
      <c r="HLP2" s="133" t="s">
        <v>6859</v>
      </c>
      <c r="HLQ2" s="133" t="s">
        <v>6860</v>
      </c>
      <c r="HLR2" s="133" t="s">
        <v>6861</v>
      </c>
      <c r="HLS2" s="133" t="s">
        <v>6862</v>
      </c>
      <c r="HLT2" s="133" t="s">
        <v>6863</v>
      </c>
      <c r="HLU2" s="133" t="s">
        <v>6864</v>
      </c>
      <c r="HLV2" s="133" t="s">
        <v>6865</v>
      </c>
      <c r="HLW2" s="133" t="s">
        <v>6866</v>
      </c>
      <c r="HLX2" s="133" t="s">
        <v>6867</v>
      </c>
      <c r="HLY2" s="133" t="s">
        <v>6868</v>
      </c>
      <c r="HLZ2" s="133" t="s">
        <v>6869</v>
      </c>
      <c r="HMA2" s="133" t="s">
        <v>6870</v>
      </c>
      <c r="HMB2" s="133" t="s">
        <v>6871</v>
      </c>
      <c r="HMC2" s="133" t="s">
        <v>6872</v>
      </c>
      <c r="HMD2" s="133" t="s">
        <v>6873</v>
      </c>
      <c r="HME2" s="133" t="s">
        <v>6874</v>
      </c>
      <c r="HMF2" s="133" t="s">
        <v>6875</v>
      </c>
      <c r="HMG2" s="133" t="s">
        <v>6876</v>
      </c>
      <c r="HMH2" s="133" t="s">
        <v>6877</v>
      </c>
      <c r="HMI2" s="133" t="s">
        <v>6878</v>
      </c>
      <c r="HMJ2" s="133" t="s">
        <v>6879</v>
      </c>
      <c r="HMK2" s="133" t="s">
        <v>6880</v>
      </c>
      <c r="HML2" s="133" t="s">
        <v>6881</v>
      </c>
      <c r="HMM2" s="133" t="s">
        <v>6882</v>
      </c>
      <c r="HMN2" s="133" t="s">
        <v>6883</v>
      </c>
      <c r="HMO2" s="133" t="s">
        <v>6884</v>
      </c>
      <c r="HMP2" s="133" t="s">
        <v>6885</v>
      </c>
      <c r="HMQ2" s="133" t="s">
        <v>6886</v>
      </c>
      <c r="HMR2" s="133" t="s">
        <v>6887</v>
      </c>
      <c r="HMS2" s="133" t="s">
        <v>6888</v>
      </c>
      <c r="HMT2" s="133" t="s">
        <v>6889</v>
      </c>
      <c r="HMU2" s="133" t="s">
        <v>6890</v>
      </c>
      <c r="HMV2" s="133" t="s">
        <v>6891</v>
      </c>
      <c r="HMW2" s="133" t="s">
        <v>6892</v>
      </c>
      <c r="HMX2" s="133" t="s">
        <v>6893</v>
      </c>
      <c r="HMY2" s="133" t="s">
        <v>6894</v>
      </c>
      <c r="HMZ2" s="133" t="s">
        <v>6895</v>
      </c>
      <c r="HNA2" s="133" t="s">
        <v>6896</v>
      </c>
      <c r="HNB2" s="133" t="s">
        <v>6897</v>
      </c>
      <c r="HNC2" s="133" t="s">
        <v>6898</v>
      </c>
      <c r="HND2" s="133" t="s">
        <v>6899</v>
      </c>
      <c r="HNE2" s="133" t="s">
        <v>6900</v>
      </c>
      <c r="HNF2" s="133" t="s">
        <v>6901</v>
      </c>
      <c r="HNG2" s="133" t="s">
        <v>6902</v>
      </c>
      <c r="HNH2" s="133" t="s">
        <v>6903</v>
      </c>
      <c r="HNI2" s="133" t="s">
        <v>6904</v>
      </c>
      <c r="HNJ2" s="133" t="s">
        <v>6905</v>
      </c>
      <c r="HNK2" s="133" t="s">
        <v>6906</v>
      </c>
      <c r="HNL2" s="133" t="s">
        <v>6907</v>
      </c>
      <c r="HNM2" s="133" t="s">
        <v>6908</v>
      </c>
      <c r="HNN2" s="133" t="s">
        <v>6909</v>
      </c>
      <c r="HNO2" s="133" t="s">
        <v>6910</v>
      </c>
      <c r="HNP2" s="133" t="s">
        <v>6911</v>
      </c>
      <c r="HNQ2" s="133" t="s">
        <v>6912</v>
      </c>
      <c r="HNR2" s="133" t="s">
        <v>6913</v>
      </c>
      <c r="HNS2" s="133" t="s">
        <v>6914</v>
      </c>
      <c r="HNT2" s="133" t="s">
        <v>6915</v>
      </c>
      <c r="HNU2" s="133" t="s">
        <v>6916</v>
      </c>
      <c r="HNV2" s="133" t="s">
        <v>6917</v>
      </c>
      <c r="HNW2" s="133" t="s">
        <v>6918</v>
      </c>
      <c r="HNX2" s="133" t="s">
        <v>6919</v>
      </c>
      <c r="HNY2" s="133" t="s">
        <v>6920</v>
      </c>
      <c r="HNZ2" s="133" t="s">
        <v>6921</v>
      </c>
      <c r="HOA2" s="133" t="s">
        <v>6922</v>
      </c>
      <c r="HOB2" s="133" t="s">
        <v>6923</v>
      </c>
      <c r="HOC2" s="133" t="s">
        <v>6924</v>
      </c>
      <c r="HOD2" s="133" t="s">
        <v>6925</v>
      </c>
      <c r="HOE2" s="133" t="s">
        <v>6926</v>
      </c>
      <c r="HOF2" s="133" t="s">
        <v>6927</v>
      </c>
      <c r="HOG2" s="133" t="s">
        <v>6928</v>
      </c>
      <c r="HOH2" s="133" t="s">
        <v>6929</v>
      </c>
      <c r="HOI2" s="133" t="s">
        <v>6930</v>
      </c>
      <c r="HOJ2" s="133" t="s">
        <v>6931</v>
      </c>
      <c r="HOK2" s="133" t="s">
        <v>6932</v>
      </c>
      <c r="HOL2" s="133" t="s">
        <v>6933</v>
      </c>
      <c r="HOM2" s="133" t="s">
        <v>6934</v>
      </c>
      <c r="HON2" s="133" t="s">
        <v>6935</v>
      </c>
      <c r="HOO2" s="133" t="s">
        <v>6936</v>
      </c>
      <c r="HOP2" s="133" t="s">
        <v>6937</v>
      </c>
      <c r="HOQ2" s="133" t="s">
        <v>6938</v>
      </c>
      <c r="HOR2" s="133" t="s">
        <v>6939</v>
      </c>
      <c r="HOS2" s="133" t="s">
        <v>6940</v>
      </c>
      <c r="HOT2" s="133" t="s">
        <v>6941</v>
      </c>
      <c r="HOU2" s="133" t="s">
        <v>6942</v>
      </c>
      <c r="HOV2" s="133" t="s">
        <v>6943</v>
      </c>
      <c r="HOW2" s="133" t="s">
        <v>6944</v>
      </c>
      <c r="HOX2" s="133" t="s">
        <v>6945</v>
      </c>
      <c r="HOY2" s="133" t="s">
        <v>6946</v>
      </c>
      <c r="HOZ2" s="133" t="s">
        <v>6947</v>
      </c>
      <c r="HPA2" s="133" t="s">
        <v>6948</v>
      </c>
      <c r="HPB2" s="133" t="s">
        <v>6949</v>
      </c>
      <c r="HPC2" s="133" t="s">
        <v>6950</v>
      </c>
      <c r="HPD2" s="133" t="s">
        <v>6951</v>
      </c>
      <c r="HPE2" s="133" t="s">
        <v>6952</v>
      </c>
      <c r="HPF2" s="133" t="s">
        <v>6953</v>
      </c>
      <c r="HPG2" s="133" t="s">
        <v>6954</v>
      </c>
      <c r="HPH2" s="133" t="s">
        <v>6955</v>
      </c>
      <c r="HPI2" s="133" t="s">
        <v>6956</v>
      </c>
      <c r="HPJ2" s="133" t="s">
        <v>6957</v>
      </c>
      <c r="HPK2" s="133" t="s">
        <v>6958</v>
      </c>
      <c r="HPL2" s="133" t="s">
        <v>6959</v>
      </c>
      <c r="HPM2" s="133" t="s">
        <v>6960</v>
      </c>
      <c r="HPN2" s="133" t="s">
        <v>6961</v>
      </c>
      <c r="HPO2" s="133" t="s">
        <v>6962</v>
      </c>
      <c r="HPP2" s="133" t="s">
        <v>6963</v>
      </c>
      <c r="HPQ2" s="133" t="s">
        <v>6964</v>
      </c>
      <c r="HPR2" s="133" t="s">
        <v>6965</v>
      </c>
      <c r="HPS2" s="133" t="s">
        <v>6966</v>
      </c>
      <c r="HPT2" s="133" t="s">
        <v>6967</v>
      </c>
      <c r="HPU2" s="133" t="s">
        <v>6968</v>
      </c>
      <c r="HPV2" s="133" t="s">
        <v>6969</v>
      </c>
      <c r="HPW2" s="133" t="s">
        <v>6970</v>
      </c>
      <c r="HPX2" s="133" t="s">
        <v>6971</v>
      </c>
      <c r="HPY2" s="133" t="s">
        <v>6972</v>
      </c>
      <c r="HPZ2" s="133" t="s">
        <v>6973</v>
      </c>
      <c r="HQA2" s="133" t="s">
        <v>6974</v>
      </c>
      <c r="HQB2" s="133" t="s">
        <v>6975</v>
      </c>
      <c r="HQC2" s="133" t="s">
        <v>6976</v>
      </c>
      <c r="HQD2" s="133" t="s">
        <v>6977</v>
      </c>
      <c r="HQE2" s="133" t="s">
        <v>6978</v>
      </c>
      <c r="HQF2" s="133" t="s">
        <v>6979</v>
      </c>
      <c r="HQG2" s="133" t="s">
        <v>6980</v>
      </c>
      <c r="HQH2" s="133" t="s">
        <v>6981</v>
      </c>
      <c r="HQI2" s="133" t="s">
        <v>6982</v>
      </c>
      <c r="HQJ2" s="133" t="s">
        <v>6983</v>
      </c>
      <c r="HQK2" s="133" t="s">
        <v>6984</v>
      </c>
      <c r="HQL2" s="133" t="s">
        <v>6985</v>
      </c>
      <c r="HQM2" s="133" t="s">
        <v>6986</v>
      </c>
      <c r="HQN2" s="133" t="s">
        <v>6987</v>
      </c>
      <c r="HQO2" s="133" t="s">
        <v>6988</v>
      </c>
      <c r="HQP2" s="133" t="s">
        <v>6989</v>
      </c>
      <c r="HQQ2" s="133" t="s">
        <v>6990</v>
      </c>
      <c r="HQR2" s="133" t="s">
        <v>6991</v>
      </c>
      <c r="HQS2" s="133" t="s">
        <v>6992</v>
      </c>
      <c r="HQT2" s="133" t="s">
        <v>6993</v>
      </c>
      <c r="HQU2" s="133" t="s">
        <v>6994</v>
      </c>
      <c r="HQV2" s="133" t="s">
        <v>6995</v>
      </c>
      <c r="HQW2" s="133" t="s">
        <v>6996</v>
      </c>
      <c r="HQX2" s="133" t="s">
        <v>6997</v>
      </c>
      <c r="HQY2" s="133" t="s">
        <v>6998</v>
      </c>
      <c r="HQZ2" s="133" t="s">
        <v>6999</v>
      </c>
      <c r="HRA2" s="133" t="s">
        <v>7000</v>
      </c>
      <c r="HRB2" s="133" t="s">
        <v>7001</v>
      </c>
      <c r="HRC2" s="133" t="s">
        <v>7002</v>
      </c>
      <c r="HRD2" s="133" t="s">
        <v>7003</v>
      </c>
      <c r="HRE2" s="133" t="s">
        <v>7004</v>
      </c>
      <c r="HRF2" s="133" t="s">
        <v>7005</v>
      </c>
      <c r="HRG2" s="133" t="s">
        <v>7006</v>
      </c>
      <c r="HRH2" s="133" t="s">
        <v>7007</v>
      </c>
      <c r="HRI2" s="133" t="s">
        <v>7008</v>
      </c>
      <c r="HRJ2" s="133" t="s">
        <v>7009</v>
      </c>
      <c r="HRK2" s="133" t="s">
        <v>7010</v>
      </c>
      <c r="HRL2" s="133" t="s">
        <v>7011</v>
      </c>
      <c r="HRM2" s="133" t="s">
        <v>7012</v>
      </c>
      <c r="HRN2" s="133" t="s">
        <v>7013</v>
      </c>
      <c r="HRO2" s="133" t="s">
        <v>7014</v>
      </c>
      <c r="HRP2" s="133" t="s">
        <v>7015</v>
      </c>
      <c r="HRQ2" s="133" t="s">
        <v>7016</v>
      </c>
      <c r="HRR2" s="133" t="s">
        <v>7017</v>
      </c>
      <c r="HRS2" s="133" t="s">
        <v>7018</v>
      </c>
      <c r="HRT2" s="133" t="s">
        <v>7019</v>
      </c>
      <c r="HRU2" s="133" t="s">
        <v>7020</v>
      </c>
      <c r="HRV2" s="133" t="s">
        <v>7021</v>
      </c>
      <c r="HRW2" s="133" t="s">
        <v>7022</v>
      </c>
      <c r="HRX2" s="133" t="s">
        <v>7023</v>
      </c>
      <c r="HRY2" s="133" t="s">
        <v>7024</v>
      </c>
      <c r="HRZ2" s="133" t="s">
        <v>7025</v>
      </c>
      <c r="HSA2" s="133" t="s">
        <v>7026</v>
      </c>
      <c r="HSB2" s="133" t="s">
        <v>7027</v>
      </c>
      <c r="HSC2" s="133" t="s">
        <v>7028</v>
      </c>
      <c r="HSD2" s="133" t="s">
        <v>7029</v>
      </c>
      <c r="HSE2" s="133" t="s">
        <v>7030</v>
      </c>
      <c r="HSF2" s="133" t="s">
        <v>7031</v>
      </c>
      <c r="HSG2" s="133" t="s">
        <v>7032</v>
      </c>
      <c r="HSH2" s="133" t="s">
        <v>7033</v>
      </c>
      <c r="HSI2" s="133" t="s">
        <v>7034</v>
      </c>
      <c r="HSJ2" s="133" t="s">
        <v>7035</v>
      </c>
      <c r="HSK2" s="133" t="s">
        <v>7036</v>
      </c>
      <c r="HSL2" s="133" t="s">
        <v>7037</v>
      </c>
      <c r="HSM2" s="133" t="s">
        <v>7038</v>
      </c>
      <c r="HSN2" s="133" t="s">
        <v>7039</v>
      </c>
      <c r="HSO2" s="133" t="s">
        <v>7040</v>
      </c>
      <c r="HSP2" s="133" t="s">
        <v>7041</v>
      </c>
      <c r="HSQ2" s="133" t="s">
        <v>7042</v>
      </c>
      <c r="HSR2" s="133" t="s">
        <v>7043</v>
      </c>
      <c r="HSS2" s="133" t="s">
        <v>7044</v>
      </c>
      <c r="HST2" s="133" t="s">
        <v>7045</v>
      </c>
      <c r="HSU2" s="133" t="s">
        <v>7046</v>
      </c>
      <c r="HSV2" s="133" t="s">
        <v>7047</v>
      </c>
      <c r="HSW2" s="133" t="s">
        <v>7048</v>
      </c>
      <c r="HSX2" s="133" t="s">
        <v>7049</v>
      </c>
      <c r="HSY2" s="133" t="s">
        <v>7050</v>
      </c>
      <c r="HSZ2" s="133" t="s">
        <v>7051</v>
      </c>
      <c r="HTA2" s="133" t="s">
        <v>7052</v>
      </c>
      <c r="HTB2" s="133" t="s">
        <v>7053</v>
      </c>
      <c r="HTC2" s="133" t="s">
        <v>7054</v>
      </c>
      <c r="HTD2" s="133" t="s">
        <v>7055</v>
      </c>
      <c r="HTE2" s="133" t="s">
        <v>7056</v>
      </c>
      <c r="HTF2" s="133" t="s">
        <v>7057</v>
      </c>
      <c r="HTG2" s="133" t="s">
        <v>7058</v>
      </c>
      <c r="HTH2" s="133" t="s">
        <v>7059</v>
      </c>
      <c r="HTI2" s="133" t="s">
        <v>7060</v>
      </c>
      <c r="HTJ2" s="133" t="s">
        <v>7061</v>
      </c>
      <c r="HTK2" s="133" t="s">
        <v>7062</v>
      </c>
      <c r="HTL2" s="133" t="s">
        <v>7063</v>
      </c>
      <c r="HTM2" s="133" t="s">
        <v>7064</v>
      </c>
      <c r="HTN2" s="133" t="s">
        <v>7065</v>
      </c>
      <c r="HTO2" s="133" t="s">
        <v>7066</v>
      </c>
      <c r="HTP2" s="133" t="s">
        <v>7067</v>
      </c>
      <c r="HTQ2" s="133" t="s">
        <v>7068</v>
      </c>
      <c r="HTR2" s="133" t="s">
        <v>7069</v>
      </c>
      <c r="HTS2" s="133" t="s">
        <v>7070</v>
      </c>
      <c r="HTT2" s="133" t="s">
        <v>7071</v>
      </c>
      <c r="HTU2" s="133" t="s">
        <v>7072</v>
      </c>
      <c r="HTV2" s="133" t="s">
        <v>7073</v>
      </c>
      <c r="HTW2" s="133" t="s">
        <v>7074</v>
      </c>
      <c r="HTX2" s="133" t="s">
        <v>7075</v>
      </c>
      <c r="HTY2" s="133" t="s">
        <v>7076</v>
      </c>
      <c r="HTZ2" s="133" t="s">
        <v>7077</v>
      </c>
      <c r="HUA2" s="133" t="s">
        <v>7078</v>
      </c>
      <c r="HUB2" s="133" t="s">
        <v>7079</v>
      </c>
      <c r="HUC2" s="133" t="s">
        <v>7080</v>
      </c>
      <c r="HUD2" s="133" t="s">
        <v>7081</v>
      </c>
      <c r="HUE2" s="133" t="s">
        <v>7082</v>
      </c>
      <c r="HUF2" s="133" t="s">
        <v>7083</v>
      </c>
      <c r="HUG2" s="133" t="s">
        <v>7084</v>
      </c>
      <c r="HUH2" s="133" t="s">
        <v>7085</v>
      </c>
      <c r="HUI2" s="133" t="s">
        <v>7086</v>
      </c>
      <c r="HUJ2" s="133" t="s">
        <v>7087</v>
      </c>
      <c r="HUK2" s="133" t="s">
        <v>7088</v>
      </c>
      <c r="HUL2" s="133" t="s">
        <v>7089</v>
      </c>
      <c r="HUM2" s="133" t="s">
        <v>7090</v>
      </c>
      <c r="HUN2" s="133" t="s">
        <v>7091</v>
      </c>
      <c r="HUO2" s="133" t="s">
        <v>7092</v>
      </c>
      <c r="HUP2" s="133" t="s">
        <v>7093</v>
      </c>
      <c r="HUQ2" s="133" t="s">
        <v>7094</v>
      </c>
      <c r="HUR2" s="133" t="s">
        <v>7095</v>
      </c>
      <c r="HUS2" s="133" t="s">
        <v>7096</v>
      </c>
      <c r="HUT2" s="133" t="s">
        <v>7097</v>
      </c>
      <c r="HUU2" s="133" t="s">
        <v>7098</v>
      </c>
      <c r="HUV2" s="133" t="s">
        <v>7099</v>
      </c>
      <c r="HUW2" s="133" t="s">
        <v>7100</v>
      </c>
      <c r="HUX2" s="133" t="s">
        <v>7101</v>
      </c>
      <c r="HUY2" s="133" t="s">
        <v>7102</v>
      </c>
      <c r="HUZ2" s="133" t="s">
        <v>7103</v>
      </c>
      <c r="HVA2" s="133" t="s">
        <v>7104</v>
      </c>
      <c r="HVB2" s="133" t="s">
        <v>7105</v>
      </c>
      <c r="HVC2" s="133" t="s">
        <v>7106</v>
      </c>
      <c r="HVD2" s="133" t="s">
        <v>7107</v>
      </c>
      <c r="HVE2" s="133" t="s">
        <v>7108</v>
      </c>
      <c r="HVF2" s="133" t="s">
        <v>7109</v>
      </c>
      <c r="HVG2" s="133" t="s">
        <v>7110</v>
      </c>
      <c r="HVH2" s="133" t="s">
        <v>7111</v>
      </c>
      <c r="HVI2" s="133" t="s">
        <v>7112</v>
      </c>
      <c r="HVJ2" s="133" t="s">
        <v>7113</v>
      </c>
      <c r="HVK2" s="133" t="s">
        <v>7114</v>
      </c>
      <c r="HVL2" s="133" t="s">
        <v>7115</v>
      </c>
      <c r="HVM2" s="133" t="s">
        <v>7116</v>
      </c>
      <c r="HVN2" s="133" t="s">
        <v>7117</v>
      </c>
      <c r="HVO2" s="133" t="s">
        <v>7118</v>
      </c>
      <c r="HVP2" s="133" t="s">
        <v>7119</v>
      </c>
      <c r="HVQ2" s="133" t="s">
        <v>7120</v>
      </c>
      <c r="HVR2" s="133" t="s">
        <v>7121</v>
      </c>
      <c r="HVS2" s="133" t="s">
        <v>7122</v>
      </c>
      <c r="HVT2" s="133" t="s">
        <v>7123</v>
      </c>
      <c r="HVU2" s="133" t="s">
        <v>7124</v>
      </c>
      <c r="HVV2" s="133" t="s">
        <v>7125</v>
      </c>
      <c r="HVW2" s="133" t="s">
        <v>7126</v>
      </c>
      <c r="HVX2" s="133" t="s">
        <v>7127</v>
      </c>
      <c r="HVY2" s="133" t="s">
        <v>7128</v>
      </c>
      <c r="HVZ2" s="133" t="s">
        <v>7129</v>
      </c>
      <c r="HWA2" s="133" t="s">
        <v>7130</v>
      </c>
      <c r="HWB2" s="133" t="s">
        <v>7131</v>
      </c>
      <c r="HWC2" s="133" t="s">
        <v>7132</v>
      </c>
      <c r="HWD2" s="133" t="s">
        <v>7133</v>
      </c>
      <c r="HWE2" s="133" t="s">
        <v>7134</v>
      </c>
      <c r="HWF2" s="133" t="s">
        <v>7135</v>
      </c>
      <c r="HWG2" s="133" t="s">
        <v>7136</v>
      </c>
      <c r="HWH2" s="133" t="s">
        <v>7137</v>
      </c>
      <c r="HWI2" s="133" t="s">
        <v>7138</v>
      </c>
      <c r="HWJ2" s="133" t="s">
        <v>7139</v>
      </c>
      <c r="HWK2" s="133" t="s">
        <v>7140</v>
      </c>
      <c r="HWL2" s="133" t="s">
        <v>7141</v>
      </c>
      <c r="HWM2" s="133" t="s">
        <v>7142</v>
      </c>
      <c r="HWN2" s="133" t="s">
        <v>7143</v>
      </c>
      <c r="HWO2" s="133" t="s">
        <v>7144</v>
      </c>
      <c r="HWP2" s="133" t="s">
        <v>7145</v>
      </c>
      <c r="HWQ2" s="133" t="s">
        <v>7146</v>
      </c>
      <c r="HWR2" s="133" t="s">
        <v>7147</v>
      </c>
      <c r="HWS2" s="133" t="s">
        <v>7148</v>
      </c>
      <c r="HWT2" s="133" t="s">
        <v>7149</v>
      </c>
      <c r="HWU2" s="133" t="s">
        <v>7150</v>
      </c>
      <c r="HWV2" s="133" t="s">
        <v>7151</v>
      </c>
      <c r="HWW2" s="133" t="s">
        <v>7152</v>
      </c>
      <c r="HWX2" s="133" t="s">
        <v>7153</v>
      </c>
      <c r="HWY2" s="133" t="s">
        <v>7154</v>
      </c>
      <c r="HWZ2" s="133" t="s">
        <v>7155</v>
      </c>
      <c r="HXA2" s="133" t="s">
        <v>7156</v>
      </c>
      <c r="HXB2" s="133" t="s">
        <v>7157</v>
      </c>
      <c r="HXC2" s="133" t="s">
        <v>7158</v>
      </c>
      <c r="HXD2" s="133" t="s">
        <v>7159</v>
      </c>
      <c r="HXE2" s="133" t="s">
        <v>7160</v>
      </c>
      <c r="HXF2" s="133" t="s">
        <v>7161</v>
      </c>
      <c r="HXG2" s="133" t="s">
        <v>7162</v>
      </c>
      <c r="HXH2" s="133" t="s">
        <v>7163</v>
      </c>
      <c r="HXI2" s="133" t="s">
        <v>7164</v>
      </c>
      <c r="HXJ2" s="133" t="s">
        <v>7165</v>
      </c>
      <c r="HXK2" s="133" t="s">
        <v>7166</v>
      </c>
      <c r="HXL2" s="133" t="s">
        <v>7167</v>
      </c>
      <c r="HXM2" s="133" t="s">
        <v>7168</v>
      </c>
      <c r="HXN2" s="133" t="s">
        <v>7169</v>
      </c>
      <c r="HXO2" s="133" t="s">
        <v>7170</v>
      </c>
      <c r="HXP2" s="133" t="s">
        <v>7171</v>
      </c>
      <c r="HXQ2" s="133" t="s">
        <v>7172</v>
      </c>
      <c r="HXR2" s="133" t="s">
        <v>7173</v>
      </c>
      <c r="HXS2" s="133" t="s">
        <v>7174</v>
      </c>
      <c r="HXT2" s="133" t="s">
        <v>7175</v>
      </c>
      <c r="HXU2" s="133" t="s">
        <v>7176</v>
      </c>
      <c r="HXV2" s="133" t="s">
        <v>7177</v>
      </c>
      <c r="HXW2" s="133" t="s">
        <v>7178</v>
      </c>
      <c r="HXX2" s="133" t="s">
        <v>7179</v>
      </c>
      <c r="HXY2" s="133" t="s">
        <v>7180</v>
      </c>
      <c r="HXZ2" s="133" t="s">
        <v>7181</v>
      </c>
      <c r="HYA2" s="133" t="s">
        <v>7182</v>
      </c>
      <c r="HYB2" s="133" t="s">
        <v>7183</v>
      </c>
      <c r="HYC2" s="133" t="s">
        <v>7184</v>
      </c>
      <c r="HYD2" s="133" t="s">
        <v>7185</v>
      </c>
      <c r="HYE2" s="133" t="s">
        <v>7186</v>
      </c>
      <c r="HYF2" s="133" t="s">
        <v>7187</v>
      </c>
      <c r="HYG2" s="133" t="s">
        <v>7188</v>
      </c>
      <c r="HYH2" s="133" t="s">
        <v>7189</v>
      </c>
      <c r="HYI2" s="133" t="s">
        <v>7190</v>
      </c>
      <c r="HYJ2" s="133" t="s">
        <v>7191</v>
      </c>
      <c r="HYK2" s="133" t="s">
        <v>7192</v>
      </c>
      <c r="HYL2" s="133" t="s">
        <v>7193</v>
      </c>
      <c r="HYM2" s="133" t="s">
        <v>7194</v>
      </c>
      <c r="HYN2" s="133" t="s">
        <v>7195</v>
      </c>
      <c r="HYO2" s="133" t="s">
        <v>7196</v>
      </c>
      <c r="HYP2" s="133" t="s">
        <v>7197</v>
      </c>
      <c r="HYQ2" s="133" t="s">
        <v>7198</v>
      </c>
      <c r="HYR2" s="133" t="s">
        <v>7199</v>
      </c>
      <c r="HYS2" s="133" t="s">
        <v>7200</v>
      </c>
      <c r="HYT2" s="133" t="s">
        <v>7201</v>
      </c>
      <c r="HYU2" s="133" t="s">
        <v>7202</v>
      </c>
      <c r="HYV2" s="133" t="s">
        <v>7203</v>
      </c>
      <c r="HYW2" s="133" t="s">
        <v>7204</v>
      </c>
      <c r="HYX2" s="133" t="s">
        <v>7205</v>
      </c>
      <c r="HYY2" s="133" t="s">
        <v>7206</v>
      </c>
      <c r="HYZ2" s="133" t="s">
        <v>7207</v>
      </c>
      <c r="HZA2" s="133" t="s">
        <v>7208</v>
      </c>
      <c r="HZB2" s="133" t="s">
        <v>7209</v>
      </c>
      <c r="HZC2" s="133" t="s">
        <v>7210</v>
      </c>
      <c r="HZD2" s="133" t="s">
        <v>7211</v>
      </c>
      <c r="HZE2" s="133" t="s">
        <v>7212</v>
      </c>
      <c r="HZF2" s="133" t="s">
        <v>7213</v>
      </c>
      <c r="HZG2" s="133" t="s">
        <v>7214</v>
      </c>
      <c r="HZH2" s="133" t="s">
        <v>7215</v>
      </c>
      <c r="HZI2" s="133" t="s">
        <v>7216</v>
      </c>
      <c r="HZJ2" s="133" t="s">
        <v>7217</v>
      </c>
      <c r="HZK2" s="133" t="s">
        <v>7218</v>
      </c>
      <c r="HZL2" s="133" t="s">
        <v>7219</v>
      </c>
      <c r="HZM2" s="133" t="s">
        <v>7220</v>
      </c>
      <c r="HZN2" s="133" t="s">
        <v>7221</v>
      </c>
      <c r="HZO2" s="133" t="s">
        <v>7222</v>
      </c>
      <c r="HZP2" s="133" t="s">
        <v>7223</v>
      </c>
      <c r="HZQ2" s="133" t="s">
        <v>7224</v>
      </c>
      <c r="HZR2" s="133" t="s">
        <v>7225</v>
      </c>
      <c r="HZS2" s="133" t="s">
        <v>7226</v>
      </c>
      <c r="HZT2" s="133" t="s">
        <v>7227</v>
      </c>
      <c r="HZU2" s="133" t="s">
        <v>7228</v>
      </c>
      <c r="HZV2" s="133" t="s">
        <v>7229</v>
      </c>
      <c r="HZW2" s="133" t="s">
        <v>7230</v>
      </c>
      <c r="HZX2" s="133" t="s">
        <v>7231</v>
      </c>
      <c r="HZY2" s="133" t="s">
        <v>7232</v>
      </c>
      <c r="HZZ2" s="133" t="s">
        <v>7233</v>
      </c>
      <c r="IAA2" s="133" t="s">
        <v>7234</v>
      </c>
      <c r="IAB2" s="133" t="s">
        <v>7235</v>
      </c>
      <c r="IAC2" s="133" t="s">
        <v>7236</v>
      </c>
      <c r="IAD2" s="133" t="s">
        <v>7237</v>
      </c>
      <c r="IAE2" s="133" t="s">
        <v>7238</v>
      </c>
      <c r="IAF2" s="133" t="s">
        <v>7239</v>
      </c>
      <c r="IAG2" s="133" t="s">
        <v>7240</v>
      </c>
      <c r="IAH2" s="133" t="s">
        <v>7241</v>
      </c>
      <c r="IAI2" s="133" t="s">
        <v>7242</v>
      </c>
      <c r="IAJ2" s="133" t="s">
        <v>7243</v>
      </c>
      <c r="IAK2" s="133" t="s">
        <v>7244</v>
      </c>
      <c r="IAL2" s="133" t="s">
        <v>7245</v>
      </c>
      <c r="IAM2" s="133" t="s">
        <v>7246</v>
      </c>
      <c r="IAN2" s="133" t="s">
        <v>7247</v>
      </c>
      <c r="IAO2" s="133" t="s">
        <v>7248</v>
      </c>
      <c r="IAP2" s="133" t="s">
        <v>7249</v>
      </c>
      <c r="IAQ2" s="133" t="s">
        <v>7250</v>
      </c>
      <c r="IAR2" s="133" t="s">
        <v>7251</v>
      </c>
      <c r="IAS2" s="133" t="s">
        <v>7252</v>
      </c>
      <c r="IAT2" s="133" t="s">
        <v>7253</v>
      </c>
      <c r="IAU2" s="133" t="s">
        <v>7254</v>
      </c>
      <c r="IAV2" s="133" t="s">
        <v>7255</v>
      </c>
      <c r="IAW2" s="133" t="s">
        <v>7256</v>
      </c>
      <c r="IAX2" s="133" t="s">
        <v>7257</v>
      </c>
      <c r="IAY2" s="133" t="s">
        <v>7258</v>
      </c>
      <c r="IAZ2" s="133" t="s">
        <v>7259</v>
      </c>
      <c r="IBA2" s="133" t="s">
        <v>7260</v>
      </c>
      <c r="IBB2" s="133" t="s">
        <v>7261</v>
      </c>
      <c r="IBC2" s="133" t="s">
        <v>7262</v>
      </c>
      <c r="IBD2" s="133" t="s">
        <v>7263</v>
      </c>
      <c r="IBE2" s="133" t="s">
        <v>7264</v>
      </c>
      <c r="IBF2" s="133" t="s">
        <v>7265</v>
      </c>
      <c r="IBG2" s="133" t="s">
        <v>7266</v>
      </c>
      <c r="IBH2" s="133" t="s">
        <v>7267</v>
      </c>
      <c r="IBI2" s="133" t="s">
        <v>7268</v>
      </c>
      <c r="IBJ2" s="133" t="s">
        <v>7269</v>
      </c>
      <c r="IBK2" s="133" t="s">
        <v>7270</v>
      </c>
      <c r="IBL2" s="133" t="s">
        <v>7271</v>
      </c>
      <c r="IBM2" s="133" t="s">
        <v>7272</v>
      </c>
      <c r="IBN2" s="133" t="s">
        <v>7273</v>
      </c>
      <c r="IBO2" s="133" t="s">
        <v>7274</v>
      </c>
      <c r="IBP2" s="133" t="s">
        <v>7275</v>
      </c>
      <c r="IBQ2" s="133" t="s">
        <v>7276</v>
      </c>
      <c r="IBR2" s="133" t="s">
        <v>7277</v>
      </c>
      <c r="IBS2" s="133" t="s">
        <v>7278</v>
      </c>
      <c r="IBT2" s="133" t="s">
        <v>7279</v>
      </c>
      <c r="IBU2" s="133" t="s">
        <v>7280</v>
      </c>
      <c r="IBV2" s="133" t="s">
        <v>7281</v>
      </c>
      <c r="IBW2" s="133" t="s">
        <v>7282</v>
      </c>
      <c r="IBX2" s="133" t="s">
        <v>7283</v>
      </c>
      <c r="IBY2" s="133" t="s">
        <v>7284</v>
      </c>
      <c r="IBZ2" s="133" t="s">
        <v>7285</v>
      </c>
      <c r="ICA2" s="133" t="s">
        <v>7286</v>
      </c>
      <c r="ICB2" s="133" t="s">
        <v>7287</v>
      </c>
      <c r="ICC2" s="133" t="s">
        <v>7288</v>
      </c>
      <c r="ICD2" s="133" t="s">
        <v>7289</v>
      </c>
      <c r="ICE2" s="133" t="s">
        <v>7290</v>
      </c>
      <c r="ICF2" s="133" t="s">
        <v>7291</v>
      </c>
      <c r="ICG2" s="133" t="s">
        <v>7292</v>
      </c>
      <c r="ICH2" s="133" t="s">
        <v>7293</v>
      </c>
      <c r="ICI2" s="133" t="s">
        <v>7294</v>
      </c>
      <c r="ICJ2" s="133" t="s">
        <v>7295</v>
      </c>
      <c r="ICK2" s="133" t="s">
        <v>7296</v>
      </c>
      <c r="ICL2" s="133" t="s">
        <v>7297</v>
      </c>
      <c r="ICM2" s="133" t="s">
        <v>7298</v>
      </c>
      <c r="ICN2" s="133" t="s">
        <v>7299</v>
      </c>
      <c r="ICO2" s="133" t="s">
        <v>7300</v>
      </c>
      <c r="ICP2" s="133" t="s">
        <v>7301</v>
      </c>
      <c r="ICQ2" s="133" t="s">
        <v>7302</v>
      </c>
      <c r="ICR2" s="133" t="s">
        <v>7303</v>
      </c>
      <c r="ICS2" s="133" t="s">
        <v>7304</v>
      </c>
      <c r="ICT2" s="133" t="s">
        <v>7305</v>
      </c>
      <c r="ICU2" s="133" t="s">
        <v>7306</v>
      </c>
      <c r="ICV2" s="133" t="s">
        <v>7307</v>
      </c>
      <c r="ICW2" s="133" t="s">
        <v>7308</v>
      </c>
      <c r="ICX2" s="133" t="s">
        <v>7309</v>
      </c>
      <c r="ICY2" s="133" t="s">
        <v>7310</v>
      </c>
      <c r="ICZ2" s="133" t="s">
        <v>7311</v>
      </c>
      <c r="IDA2" s="133" t="s">
        <v>7312</v>
      </c>
      <c r="IDB2" s="133" t="s">
        <v>7313</v>
      </c>
      <c r="IDC2" s="133" t="s">
        <v>7314</v>
      </c>
      <c r="IDD2" s="133" t="s">
        <v>7315</v>
      </c>
      <c r="IDE2" s="133" t="s">
        <v>7316</v>
      </c>
      <c r="IDF2" s="133" t="s">
        <v>7317</v>
      </c>
      <c r="IDG2" s="133" t="s">
        <v>7318</v>
      </c>
      <c r="IDH2" s="133" t="s">
        <v>7319</v>
      </c>
      <c r="IDI2" s="133" t="s">
        <v>7320</v>
      </c>
      <c r="IDJ2" s="133" t="s">
        <v>7321</v>
      </c>
      <c r="IDK2" s="133" t="s">
        <v>7322</v>
      </c>
      <c r="IDL2" s="133" t="s">
        <v>7323</v>
      </c>
      <c r="IDM2" s="133" t="s">
        <v>7324</v>
      </c>
      <c r="IDN2" s="133" t="s">
        <v>7325</v>
      </c>
      <c r="IDO2" s="133" t="s">
        <v>7326</v>
      </c>
      <c r="IDP2" s="133" t="s">
        <v>7327</v>
      </c>
      <c r="IDQ2" s="133" t="s">
        <v>7328</v>
      </c>
      <c r="IDR2" s="133" t="s">
        <v>7329</v>
      </c>
      <c r="IDS2" s="133" t="s">
        <v>7330</v>
      </c>
      <c r="IDT2" s="133" t="s">
        <v>7331</v>
      </c>
      <c r="IDU2" s="133" t="s">
        <v>7332</v>
      </c>
      <c r="IDV2" s="133" t="s">
        <v>7333</v>
      </c>
      <c r="IDW2" s="133" t="s">
        <v>7334</v>
      </c>
      <c r="IDX2" s="133" t="s">
        <v>7335</v>
      </c>
      <c r="IDY2" s="133" t="s">
        <v>7336</v>
      </c>
      <c r="IDZ2" s="133" t="s">
        <v>7337</v>
      </c>
      <c r="IEA2" s="133" t="s">
        <v>7338</v>
      </c>
      <c r="IEB2" s="133" t="s">
        <v>7339</v>
      </c>
      <c r="IEC2" s="133" t="s">
        <v>7340</v>
      </c>
      <c r="IED2" s="133" t="s">
        <v>7341</v>
      </c>
      <c r="IEE2" s="133" t="s">
        <v>7342</v>
      </c>
      <c r="IEF2" s="133" t="s">
        <v>7343</v>
      </c>
      <c r="IEG2" s="133" t="s">
        <v>7344</v>
      </c>
      <c r="IEH2" s="133" t="s">
        <v>7345</v>
      </c>
      <c r="IEI2" s="133" t="s">
        <v>7346</v>
      </c>
      <c r="IEJ2" s="133" t="s">
        <v>7347</v>
      </c>
      <c r="IEK2" s="133" t="s">
        <v>7348</v>
      </c>
      <c r="IEL2" s="133" t="s">
        <v>7349</v>
      </c>
      <c r="IEM2" s="133" t="s">
        <v>7350</v>
      </c>
      <c r="IEN2" s="133" t="s">
        <v>7351</v>
      </c>
      <c r="IEO2" s="133" t="s">
        <v>7352</v>
      </c>
      <c r="IEP2" s="133" t="s">
        <v>7353</v>
      </c>
      <c r="IEQ2" s="133" t="s">
        <v>7354</v>
      </c>
      <c r="IER2" s="133" t="s">
        <v>7355</v>
      </c>
      <c r="IES2" s="133" t="s">
        <v>7356</v>
      </c>
      <c r="IET2" s="133" t="s">
        <v>7357</v>
      </c>
      <c r="IEU2" s="133" t="s">
        <v>7358</v>
      </c>
      <c r="IEV2" s="133" t="s">
        <v>7359</v>
      </c>
      <c r="IEW2" s="133" t="s">
        <v>7360</v>
      </c>
      <c r="IEX2" s="133" t="s">
        <v>7361</v>
      </c>
      <c r="IEY2" s="133" t="s">
        <v>7362</v>
      </c>
      <c r="IEZ2" s="133" t="s">
        <v>7363</v>
      </c>
      <c r="IFA2" s="133" t="s">
        <v>7364</v>
      </c>
      <c r="IFB2" s="133" t="s">
        <v>7365</v>
      </c>
      <c r="IFC2" s="133" t="s">
        <v>7366</v>
      </c>
      <c r="IFD2" s="133" t="s">
        <v>7367</v>
      </c>
      <c r="IFE2" s="133" t="s">
        <v>7368</v>
      </c>
      <c r="IFF2" s="133" t="s">
        <v>7369</v>
      </c>
      <c r="IFG2" s="133" t="s">
        <v>7370</v>
      </c>
      <c r="IFH2" s="133" t="s">
        <v>7371</v>
      </c>
      <c r="IFI2" s="133" t="s">
        <v>7372</v>
      </c>
      <c r="IFJ2" s="133" t="s">
        <v>7373</v>
      </c>
      <c r="IFK2" s="133" t="s">
        <v>7374</v>
      </c>
      <c r="IFL2" s="133" t="s">
        <v>7375</v>
      </c>
      <c r="IFM2" s="133" t="s">
        <v>7376</v>
      </c>
      <c r="IFN2" s="133" t="s">
        <v>7377</v>
      </c>
      <c r="IFO2" s="133" t="s">
        <v>7378</v>
      </c>
      <c r="IFP2" s="133" t="s">
        <v>7379</v>
      </c>
      <c r="IFQ2" s="133" t="s">
        <v>7380</v>
      </c>
      <c r="IFR2" s="133" t="s">
        <v>7381</v>
      </c>
      <c r="IFS2" s="133" t="s">
        <v>7382</v>
      </c>
      <c r="IFT2" s="133" t="s">
        <v>7383</v>
      </c>
      <c r="IFU2" s="133" t="s">
        <v>7384</v>
      </c>
      <c r="IFV2" s="133" t="s">
        <v>7385</v>
      </c>
      <c r="IFW2" s="133" t="s">
        <v>7386</v>
      </c>
      <c r="IFX2" s="133" t="s">
        <v>7387</v>
      </c>
      <c r="IFY2" s="133" t="s">
        <v>7388</v>
      </c>
      <c r="IFZ2" s="133" t="s">
        <v>7389</v>
      </c>
      <c r="IGA2" s="133" t="s">
        <v>7390</v>
      </c>
      <c r="IGB2" s="133" t="s">
        <v>7391</v>
      </c>
      <c r="IGC2" s="133" t="s">
        <v>7392</v>
      </c>
      <c r="IGD2" s="133" t="s">
        <v>7393</v>
      </c>
      <c r="IGE2" s="133" t="s">
        <v>7394</v>
      </c>
      <c r="IGF2" s="133" t="s">
        <v>7395</v>
      </c>
      <c r="IGG2" s="133" t="s">
        <v>7396</v>
      </c>
      <c r="IGH2" s="133" t="s">
        <v>7397</v>
      </c>
      <c r="IGI2" s="133" t="s">
        <v>7398</v>
      </c>
      <c r="IGJ2" s="133" t="s">
        <v>7399</v>
      </c>
      <c r="IGK2" s="133" t="s">
        <v>7400</v>
      </c>
      <c r="IGL2" s="133" t="s">
        <v>7401</v>
      </c>
      <c r="IGM2" s="133" t="s">
        <v>7402</v>
      </c>
      <c r="IGN2" s="133" t="s">
        <v>7403</v>
      </c>
      <c r="IGO2" s="133" t="s">
        <v>7404</v>
      </c>
      <c r="IGP2" s="133" t="s">
        <v>7405</v>
      </c>
      <c r="IGQ2" s="133" t="s">
        <v>7406</v>
      </c>
      <c r="IGR2" s="133" t="s">
        <v>7407</v>
      </c>
      <c r="IGS2" s="133" t="s">
        <v>7408</v>
      </c>
      <c r="IGT2" s="133" t="s">
        <v>7409</v>
      </c>
      <c r="IGU2" s="133" t="s">
        <v>7410</v>
      </c>
      <c r="IGV2" s="133" t="s">
        <v>7411</v>
      </c>
      <c r="IGW2" s="133" t="s">
        <v>7412</v>
      </c>
      <c r="IGX2" s="133" t="s">
        <v>7413</v>
      </c>
      <c r="IGY2" s="133" t="s">
        <v>7414</v>
      </c>
      <c r="IGZ2" s="133" t="s">
        <v>7415</v>
      </c>
      <c r="IHA2" s="133" t="s">
        <v>7416</v>
      </c>
      <c r="IHB2" s="133" t="s">
        <v>7417</v>
      </c>
      <c r="IHC2" s="133" t="s">
        <v>7418</v>
      </c>
      <c r="IHD2" s="133" t="s">
        <v>7419</v>
      </c>
      <c r="IHE2" s="133" t="s">
        <v>7420</v>
      </c>
      <c r="IHF2" s="133" t="s">
        <v>7421</v>
      </c>
      <c r="IHG2" s="133" t="s">
        <v>7422</v>
      </c>
      <c r="IHH2" s="133" t="s">
        <v>7423</v>
      </c>
      <c r="IHI2" s="133" t="s">
        <v>7424</v>
      </c>
      <c r="IHJ2" s="133" t="s">
        <v>7425</v>
      </c>
      <c r="IHK2" s="133" t="s">
        <v>7426</v>
      </c>
      <c r="IHL2" s="133" t="s">
        <v>7427</v>
      </c>
      <c r="IHM2" s="133" t="s">
        <v>7428</v>
      </c>
      <c r="IHN2" s="133" t="s">
        <v>7429</v>
      </c>
      <c r="IHO2" s="133" t="s">
        <v>7430</v>
      </c>
      <c r="IHP2" s="133" t="s">
        <v>7431</v>
      </c>
      <c r="IHQ2" s="133" t="s">
        <v>7432</v>
      </c>
      <c r="IHR2" s="133" t="s">
        <v>7433</v>
      </c>
      <c r="IHS2" s="133" t="s">
        <v>7434</v>
      </c>
      <c r="IHT2" s="133" t="s">
        <v>7435</v>
      </c>
      <c r="IHU2" s="133" t="s">
        <v>7436</v>
      </c>
      <c r="IHV2" s="133" t="s">
        <v>7437</v>
      </c>
      <c r="IHW2" s="133" t="s">
        <v>7438</v>
      </c>
      <c r="IHX2" s="133" t="s">
        <v>7439</v>
      </c>
      <c r="IHY2" s="133" t="s">
        <v>7440</v>
      </c>
      <c r="IHZ2" s="133" t="s">
        <v>7441</v>
      </c>
      <c r="IIA2" s="133" t="s">
        <v>7442</v>
      </c>
      <c r="IIB2" s="133" t="s">
        <v>7443</v>
      </c>
      <c r="IIC2" s="133" t="s">
        <v>7444</v>
      </c>
      <c r="IID2" s="133" t="s">
        <v>7445</v>
      </c>
      <c r="IIE2" s="133" t="s">
        <v>7446</v>
      </c>
      <c r="IIF2" s="133" t="s">
        <v>7447</v>
      </c>
      <c r="IIG2" s="133" t="s">
        <v>7448</v>
      </c>
      <c r="IIH2" s="133" t="s">
        <v>7449</v>
      </c>
      <c r="III2" s="133" t="s">
        <v>7450</v>
      </c>
      <c r="IIJ2" s="133" t="s">
        <v>7451</v>
      </c>
      <c r="IIK2" s="133" t="s">
        <v>7452</v>
      </c>
      <c r="IIL2" s="133" t="s">
        <v>7453</v>
      </c>
      <c r="IIM2" s="133" t="s">
        <v>7454</v>
      </c>
      <c r="IIN2" s="133" t="s">
        <v>7455</v>
      </c>
      <c r="IIO2" s="133" t="s">
        <v>7456</v>
      </c>
      <c r="IIP2" s="133" t="s">
        <v>7457</v>
      </c>
      <c r="IIQ2" s="133" t="s">
        <v>7458</v>
      </c>
      <c r="IIR2" s="133" t="s">
        <v>7459</v>
      </c>
      <c r="IIS2" s="133" t="s">
        <v>7460</v>
      </c>
      <c r="IIT2" s="133" t="s">
        <v>7461</v>
      </c>
      <c r="IIU2" s="133" t="s">
        <v>7462</v>
      </c>
      <c r="IIV2" s="133" t="s">
        <v>7463</v>
      </c>
      <c r="IIW2" s="133" t="s">
        <v>7464</v>
      </c>
      <c r="IIX2" s="133" t="s">
        <v>7465</v>
      </c>
      <c r="IIY2" s="133" t="s">
        <v>7466</v>
      </c>
      <c r="IIZ2" s="133" t="s">
        <v>7467</v>
      </c>
      <c r="IJA2" s="133" t="s">
        <v>7468</v>
      </c>
      <c r="IJB2" s="133" t="s">
        <v>7469</v>
      </c>
      <c r="IJC2" s="133" t="s">
        <v>7470</v>
      </c>
      <c r="IJD2" s="133" t="s">
        <v>7471</v>
      </c>
      <c r="IJE2" s="133" t="s">
        <v>7472</v>
      </c>
      <c r="IJF2" s="133" t="s">
        <v>7473</v>
      </c>
      <c r="IJG2" s="133" t="s">
        <v>7474</v>
      </c>
      <c r="IJH2" s="133" t="s">
        <v>7475</v>
      </c>
      <c r="IJI2" s="133" t="s">
        <v>7476</v>
      </c>
      <c r="IJJ2" s="133" t="s">
        <v>7477</v>
      </c>
      <c r="IJK2" s="133" t="s">
        <v>7478</v>
      </c>
      <c r="IJL2" s="133" t="s">
        <v>7479</v>
      </c>
      <c r="IJM2" s="133" t="s">
        <v>7480</v>
      </c>
      <c r="IJN2" s="133" t="s">
        <v>7481</v>
      </c>
      <c r="IJO2" s="133" t="s">
        <v>7482</v>
      </c>
      <c r="IJP2" s="133" t="s">
        <v>7483</v>
      </c>
      <c r="IJQ2" s="133" t="s">
        <v>7484</v>
      </c>
      <c r="IJR2" s="133" t="s">
        <v>7485</v>
      </c>
      <c r="IJS2" s="133" t="s">
        <v>7486</v>
      </c>
      <c r="IJT2" s="133" t="s">
        <v>7487</v>
      </c>
      <c r="IJU2" s="133" t="s">
        <v>7488</v>
      </c>
      <c r="IJV2" s="133" t="s">
        <v>7489</v>
      </c>
      <c r="IJW2" s="133" t="s">
        <v>7490</v>
      </c>
      <c r="IJX2" s="133" t="s">
        <v>7491</v>
      </c>
      <c r="IJY2" s="133" t="s">
        <v>7492</v>
      </c>
      <c r="IJZ2" s="133" t="s">
        <v>7493</v>
      </c>
      <c r="IKA2" s="133" t="s">
        <v>7494</v>
      </c>
      <c r="IKB2" s="133" t="s">
        <v>7495</v>
      </c>
      <c r="IKC2" s="133" t="s">
        <v>7496</v>
      </c>
      <c r="IKD2" s="133" t="s">
        <v>7497</v>
      </c>
      <c r="IKE2" s="133" t="s">
        <v>7498</v>
      </c>
      <c r="IKF2" s="133" t="s">
        <v>7499</v>
      </c>
      <c r="IKG2" s="133" t="s">
        <v>7500</v>
      </c>
      <c r="IKH2" s="133" t="s">
        <v>7501</v>
      </c>
      <c r="IKI2" s="133" t="s">
        <v>7502</v>
      </c>
      <c r="IKJ2" s="133" t="s">
        <v>7503</v>
      </c>
      <c r="IKK2" s="133" t="s">
        <v>7504</v>
      </c>
      <c r="IKL2" s="133" t="s">
        <v>7505</v>
      </c>
      <c r="IKM2" s="133" t="s">
        <v>7506</v>
      </c>
      <c r="IKN2" s="133" t="s">
        <v>7507</v>
      </c>
      <c r="IKO2" s="133" t="s">
        <v>7508</v>
      </c>
      <c r="IKP2" s="133" t="s">
        <v>7509</v>
      </c>
      <c r="IKQ2" s="133" t="s">
        <v>7510</v>
      </c>
      <c r="IKR2" s="133" t="s">
        <v>7511</v>
      </c>
      <c r="IKS2" s="133" t="s">
        <v>7512</v>
      </c>
      <c r="IKT2" s="133" t="s">
        <v>7513</v>
      </c>
      <c r="IKU2" s="133" t="s">
        <v>7514</v>
      </c>
      <c r="IKV2" s="133" t="s">
        <v>7515</v>
      </c>
      <c r="IKW2" s="133" t="s">
        <v>7516</v>
      </c>
      <c r="IKX2" s="133" t="s">
        <v>7517</v>
      </c>
      <c r="IKY2" s="133" t="s">
        <v>7518</v>
      </c>
      <c r="IKZ2" s="133" t="s">
        <v>7519</v>
      </c>
      <c r="ILA2" s="133" t="s">
        <v>7520</v>
      </c>
      <c r="ILB2" s="133" t="s">
        <v>7521</v>
      </c>
      <c r="ILC2" s="133" t="s">
        <v>7522</v>
      </c>
      <c r="ILD2" s="133" t="s">
        <v>7523</v>
      </c>
      <c r="ILE2" s="133" t="s">
        <v>7524</v>
      </c>
      <c r="ILF2" s="133" t="s">
        <v>7525</v>
      </c>
      <c r="ILG2" s="133" t="s">
        <v>7526</v>
      </c>
      <c r="ILH2" s="133" t="s">
        <v>7527</v>
      </c>
      <c r="ILI2" s="133" t="s">
        <v>7528</v>
      </c>
      <c r="ILJ2" s="133" t="s">
        <v>7529</v>
      </c>
      <c r="ILK2" s="133" t="s">
        <v>7530</v>
      </c>
      <c r="ILL2" s="133" t="s">
        <v>7531</v>
      </c>
      <c r="ILM2" s="133" t="s">
        <v>7532</v>
      </c>
      <c r="ILN2" s="133" t="s">
        <v>7533</v>
      </c>
      <c r="ILO2" s="133" t="s">
        <v>7534</v>
      </c>
      <c r="ILP2" s="133" t="s">
        <v>7535</v>
      </c>
      <c r="ILQ2" s="133" t="s">
        <v>7536</v>
      </c>
      <c r="ILR2" s="133" t="s">
        <v>7537</v>
      </c>
      <c r="ILS2" s="133" t="s">
        <v>7538</v>
      </c>
      <c r="ILT2" s="133" t="s">
        <v>7539</v>
      </c>
      <c r="ILU2" s="133" t="s">
        <v>7540</v>
      </c>
      <c r="ILV2" s="133" t="s">
        <v>7541</v>
      </c>
      <c r="ILW2" s="133" t="s">
        <v>7542</v>
      </c>
      <c r="ILX2" s="133" t="s">
        <v>7543</v>
      </c>
      <c r="ILY2" s="133" t="s">
        <v>7544</v>
      </c>
      <c r="ILZ2" s="133" t="s">
        <v>7545</v>
      </c>
      <c r="IMA2" s="133" t="s">
        <v>7546</v>
      </c>
      <c r="IMB2" s="133" t="s">
        <v>7547</v>
      </c>
      <c r="IMC2" s="133" t="s">
        <v>7548</v>
      </c>
      <c r="IMD2" s="133" t="s">
        <v>7549</v>
      </c>
      <c r="IME2" s="133" t="s">
        <v>7550</v>
      </c>
      <c r="IMF2" s="133" t="s">
        <v>7551</v>
      </c>
      <c r="IMG2" s="133" t="s">
        <v>7552</v>
      </c>
      <c r="IMH2" s="133" t="s">
        <v>7553</v>
      </c>
      <c r="IMI2" s="133" t="s">
        <v>7554</v>
      </c>
      <c r="IMJ2" s="133" t="s">
        <v>7555</v>
      </c>
      <c r="IMK2" s="133" t="s">
        <v>7556</v>
      </c>
      <c r="IML2" s="133" t="s">
        <v>7557</v>
      </c>
      <c r="IMM2" s="133" t="s">
        <v>7558</v>
      </c>
      <c r="IMN2" s="133" t="s">
        <v>7559</v>
      </c>
      <c r="IMO2" s="133" t="s">
        <v>7560</v>
      </c>
      <c r="IMP2" s="133" t="s">
        <v>7561</v>
      </c>
      <c r="IMQ2" s="133" t="s">
        <v>7562</v>
      </c>
      <c r="IMR2" s="133" t="s">
        <v>7563</v>
      </c>
      <c r="IMS2" s="133" t="s">
        <v>7564</v>
      </c>
      <c r="IMT2" s="133" t="s">
        <v>7565</v>
      </c>
      <c r="IMU2" s="133" t="s">
        <v>7566</v>
      </c>
      <c r="IMV2" s="133" t="s">
        <v>7567</v>
      </c>
      <c r="IMW2" s="133" t="s">
        <v>7568</v>
      </c>
      <c r="IMX2" s="133" t="s">
        <v>7569</v>
      </c>
      <c r="IMY2" s="133" t="s">
        <v>7570</v>
      </c>
      <c r="IMZ2" s="133" t="s">
        <v>7571</v>
      </c>
      <c r="INA2" s="133" t="s">
        <v>7572</v>
      </c>
      <c r="INB2" s="133" t="s">
        <v>7573</v>
      </c>
      <c r="INC2" s="133" t="s">
        <v>7574</v>
      </c>
      <c r="IND2" s="133" t="s">
        <v>7575</v>
      </c>
      <c r="INE2" s="133" t="s">
        <v>7576</v>
      </c>
      <c r="INF2" s="133" t="s">
        <v>7577</v>
      </c>
      <c r="ING2" s="133" t="s">
        <v>7578</v>
      </c>
      <c r="INH2" s="133" t="s">
        <v>7579</v>
      </c>
      <c r="INI2" s="133" t="s">
        <v>7580</v>
      </c>
      <c r="INJ2" s="133" t="s">
        <v>7581</v>
      </c>
      <c r="INK2" s="133" t="s">
        <v>7582</v>
      </c>
      <c r="INL2" s="133" t="s">
        <v>7583</v>
      </c>
      <c r="INM2" s="133" t="s">
        <v>7584</v>
      </c>
      <c r="INN2" s="133" t="s">
        <v>7585</v>
      </c>
      <c r="INO2" s="133" t="s">
        <v>7586</v>
      </c>
      <c r="INP2" s="133" t="s">
        <v>7587</v>
      </c>
      <c r="INQ2" s="133" t="s">
        <v>7588</v>
      </c>
      <c r="INR2" s="133" t="s">
        <v>7589</v>
      </c>
      <c r="INS2" s="133" t="s">
        <v>7590</v>
      </c>
      <c r="INT2" s="133" t="s">
        <v>7591</v>
      </c>
      <c r="INU2" s="133" t="s">
        <v>7592</v>
      </c>
      <c r="INV2" s="133" t="s">
        <v>7593</v>
      </c>
      <c r="INW2" s="133" t="s">
        <v>7594</v>
      </c>
      <c r="INX2" s="133" t="s">
        <v>7595</v>
      </c>
      <c r="INY2" s="133" t="s">
        <v>7596</v>
      </c>
      <c r="INZ2" s="133" t="s">
        <v>7597</v>
      </c>
      <c r="IOA2" s="133" t="s">
        <v>7598</v>
      </c>
      <c r="IOB2" s="133" t="s">
        <v>7599</v>
      </c>
      <c r="IOC2" s="133" t="s">
        <v>7600</v>
      </c>
      <c r="IOD2" s="133" t="s">
        <v>7601</v>
      </c>
      <c r="IOE2" s="133" t="s">
        <v>7602</v>
      </c>
      <c r="IOF2" s="133" t="s">
        <v>7603</v>
      </c>
      <c r="IOG2" s="133" t="s">
        <v>7604</v>
      </c>
      <c r="IOH2" s="133" t="s">
        <v>7605</v>
      </c>
      <c r="IOI2" s="133" t="s">
        <v>7606</v>
      </c>
      <c r="IOJ2" s="133" t="s">
        <v>7607</v>
      </c>
      <c r="IOK2" s="133" t="s">
        <v>7608</v>
      </c>
      <c r="IOL2" s="133" t="s">
        <v>7609</v>
      </c>
      <c r="IOM2" s="133" t="s">
        <v>7610</v>
      </c>
      <c r="ION2" s="133" t="s">
        <v>7611</v>
      </c>
      <c r="IOO2" s="133" t="s">
        <v>7612</v>
      </c>
      <c r="IOP2" s="133" t="s">
        <v>7613</v>
      </c>
      <c r="IOQ2" s="133" t="s">
        <v>7614</v>
      </c>
      <c r="IOR2" s="133" t="s">
        <v>7615</v>
      </c>
      <c r="IOS2" s="133" t="s">
        <v>7616</v>
      </c>
      <c r="IOT2" s="133" t="s">
        <v>7617</v>
      </c>
      <c r="IOU2" s="133" t="s">
        <v>7618</v>
      </c>
      <c r="IOV2" s="133" t="s">
        <v>7619</v>
      </c>
      <c r="IOW2" s="133" t="s">
        <v>7620</v>
      </c>
      <c r="IOX2" s="133" t="s">
        <v>7621</v>
      </c>
      <c r="IOY2" s="133" t="s">
        <v>7622</v>
      </c>
      <c r="IOZ2" s="133" t="s">
        <v>7623</v>
      </c>
      <c r="IPA2" s="133" t="s">
        <v>7624</v>
      </c>
      <c r="IPB2" s="133" t="s">
        <v>7625</v>
      </c>
      <c r="IPC2" s="133" t="s">
        <v>7626</v>
      </c>
      <c r="IPD2" s="133" t="s">
        <v>7627</v>
      </c>
      <c r="IPE2" s="133" t="s">
        <v>7628</v>
      </c>
      <c r="IPF2" s="133" t="s">
        <v>7629</v>
      </c>
      <c r="IPG2" s="133" t="s">
        <v>7630</v>
      </c>
      <c r="IPH2" s="133" t="s">
        <v>7631</v>
      </c>
      <c r="IPI2" s="133" t="s">
        <v>7632</v>
      </c>
      <c r="IPJ2" s="133" t="s">
        <v>7633</v>
      </c>
      <c r="IPK2" s="133" t="s">
        <v>7634</v>
      </c>
      <c r="IPL2" s="133" t="s">
        <v>7635</v>
      </c>
      <c r="IPM2" s="133" t="s">
        <v>7636</v>
      </c>
      <c r="IPN2" s="133" t="s">
        <v>7637</v>
      </c>
      <c r="IPO2" s="133" t="s">
        <v>7638</v>
      </c>
      <c r="IPP2" s="133" t="s">
        <v>7639</v>
      </c>
      <c r="IPQ2" s="133" t="s">
        <v>7640</v>
      </c>
      <c r="IPR2" s="133" t="s">
        <v>7641</v>
      </c>
      <c r="IPS2" s="133" t="s">
        <v>7642</v>
      </c>
      <c r="IPT2" s="133" t="s">
        <v>7643</v>
      </c>
      <c r="IPU2" s="133" t="s">
        <v>7644</v>
      </c>
      <c r="IPV2" s="133" t="s">
        <v>7645</v>
      </c>
      <c r="IPW2" s="133" t="s">
        <v>7646</v>
      </c>
      <c r="IPX2" s="133" t="s">
        <v>7647</v>
      </c>
      <c r="IPY2" s="133" t="s">
        <v>7648</v>
      </c>
      <c r="IPZ2" s="133" t="s">
        <v>7649</v>
      </c>
      <c r="IQA2" s="133" t="s">
        <v>7650</v>
      </c>
      <c r="IQB2" s="133" t="s">
        <v>7651</v>
      </c>
      <c r="IQC2" s="133" t="s">
        <v>7652</v>
      </c>
      <c r="IQD2" s="133" t="s">
        <v>7653</v>
      </c>
      <c r="IQE2" s="133" t="s">
        <v>7654</v>
      </c>
      <c r="IQF2" s="133" t="s">
        <v>7655</v>
      </c>
      <c r="IQG2" s="133" t="s">
        <v>7656</v>
      </c>
      <c r="IQH2" s="133" t="s">
        <v>7657</v>
      </c>
      <c r="IQI2" s="133" t="s">
        <v>7658</v>
      </c>
      <c r="IQJ2" s="133" t="s">
        <v>7659</v>
      </c>
      <c r="IQK2" s="133" t="s">
        <v>7660</v>
      </c>
      <c r="IQL2" s="133" t="s">
        <v>7661</v>
      </c>
      <c r="IQM2" s="133" t="s">
        <v>7662</v>
      </c>
      <c r="IQN2" s="133" t="s">
        <v>7663</v>
      </c>
      <c r="IQO2" s="133" t="s">
        <v>7664</v>
      </c>
      <c r="IQP2" s="133" t="s">
        <v>7665</v>
      </c>
      <c r="IQQ2" s="133" t="s">
        <v>7666</v>
      </c>
      <c r="IQR2" s="133" t="s">
        <v>7667</v>
      </c>
      <c r="IQS2" s="133" t="s">
        <v>7668</v>
      </c>
      <c r="IQT2" s="133" t="s">
        <v>7669</v>
      </c>
      <c r="IQU2" s="133" t="s">
        <v>7670</v>
      </c>
      <c r="IQV2" s="133" t="s">
        <v>7671</v>
      </c>
      <c r="IQW2" s="133" t="s">
        <v>7672</v>
      </c>
      <c r="IQX2" s="133" t="s">
        <v>7673</v>
      </c>
      <c r="IQY2" s="133" t="s">
        <v>7674</v>
      </c>
      <c r="IQZ2" s="133" t="s">
        <v>7675</v>
      </c>
      <c r="IRA2" s="133" t="s">
        <v>7676</v>
      </c>
      <c r="IRB2" s="133" t="s">
        <v>7677</v>
      </c>
      <c r="IRC2" s="133" t="s">
        <v>7678</v>
      </c>
      <c r="IRD2" s="133" t="s">
        <v>7679</v>
      </c>
      <c r="IRE2" s="133" t="s">
        <v>7680</v>
      </c>
      <c r="IRF2" s="133" t="s">
        <v>7681</v>
      </c>
      <c r="IRG2" s="133" t="s">
        <v>7682</v>
      </c>
      <c r="IRH2" s="133" t="s">
        <v>7683</v>
      </c>
      <c r="IRI2" s="133" t="s">
        <v>7684</v>
      </c>
      <c r="IRJ2" s="133" t="s">
        <v>7685</v>
      </c>
      <c r="IRK2" s="133" t="s">
        <v>7686</v>
      </c>
      <c r="IRL2" s="133" t="s">
        <v>7687</v>
      </c>
      <c r="IRM2" s="133" t="s">
        <v>7688</v>
      </c>
      <c r="IRN2" s="133" t="s">
        <v>7689</v>
      </c>
      <c r="IRO2" s="133" t="s">
        <v>7690</v>
      </c>
      <c r="IRP2" s="133" t="s">
        <v>7691</v>
      </c>
      <c r="IRQ2" s="133" t="s">
        <v>7692</v>
      </c>
      <c r="IRR2" s="133" t="s">
        <v>7693</v>
      </c>
      <c r="IRS2" s="133" t="s">
        <v>7694</v>
      </c>
      <c r="IRT2" s="133" t="s">
        <v>7695</v>
      </c>
      <c r="IRU2" s="133" t="s">
        <v>7696</v>
      </c>
      <c r="IRV2" s="133" t="s">
        <v>7697</v>
      </c>
      <c r="IRW2" s="133" t="s">
        <v>7698</v>
      </c>
      <c r="IRX2" s="133" t="s">
        <v>7699</v>
      </c>
      <c r="IRY2" s="133" t="s">
        <v>7700</v>
      </c>
      <c r="IRZ2" s="133" t="s">
        <v>7701</v>
      </c>
      <c r="ISA2" s="133" t="s">
        <v>7702</v>
      </c>
      <c r="ISB2" s="133" t="s">
        <v>7703</v>
      </c>
      <c r="ISC2" s="133" t="s">
        <v>7704</v>
      </c>
      <c r="ISD2" s="133" t="s">
        <v>7705</v>
      </c>
      <c r="ISE2" s="133" t="s">
        <v>7706</v>
      </c>
      <c r="ISF2" s="133" t="s">
        <v>7707</v>
      </c>
      <c r="ISG2" s="133" t="s">
        <v>7708</v>
      </c>
      <c r="ISH2" s="133" t="s">
        <v>7709</v>
      </c>
      <c r="ISI2" s="133" t="s">
        <v>7710</v>
      </c>
      <c r="ISJ2" s="133" t="s">
        <v>7711</v>
      </c>
      <c r="ISK2" s="133" t="s">
        <v>7712</v>
      </c>
      <c r="ISL2" s="133" t="s">
        <v>7713</v>
      </c>
      <c r="ISM2" s="133" t="s">
        <v>7714</v>
      </c>
      <c r="ISN2" s="133" t="s">
        <v>7715</v>
      </c>
      <c r="ISO2" s="133" t="s">
        <v>7716</v>
      </c>
      <c r="ISP2" s="133" t="s">
        <v>7717</v>
      </c>
      <c r="ISQ2" s="133" t="s">
        <v>7718</v>
      </c>
      <c r="ISR2" s="133" t="s">
        <v>7719</v>
      </c>
      <c r="ISS2" s="133" t="s">
        <v>7720</v>
      </c>
      <c r="IST2" s="133" t="s">
        <v>7721</v>
      </c>
      <c r="ISU2" s="133" t="s">
        <v>7722</v>
      </c>
      <c r="ISV2" s="133" t="s">
        <v>7723</v>
      </c>
      <c r="ISW2" s="133" t="s">
        <v>7724</v>
      </c>
      <c r="ISX2" s="133" t="s">
        <v>7725</v>
      </c>
      <c r="ISY2" s="133" t="s">
        <v>7726</v>
      </c>
      <c r="ISZ2" s="133" t="s">
        <v>7727</v>
      </c>
      <c r="ITA2" s="133" t="s">
        <v>7728</v>
      </c>
      <c r="ITB2" s="133" t="s">
        <v>7729</v>
      </c>
      <c r="ITC2" s="133" t="s">
        <v>7730</v>
      </c>
      <c r="ITD2" s="133" t="s">
        <v>7731</v>
      </c>
      <c r="ITE2" s="133" t="s">
        <v>7732</v>
      </c>
      <c r="ITF2" s="133" t="s">
        <v>7733</v>
      </c>
      <c r="ITG2" s="133" t="s">
        <v>7734</v>
      </c>
      <c r="ITH2" s="133" t="s">
        <v>7735</v>
      </c>
      <c r="ITI2" s="133" t="s">
        <v>7736</v>
      </c>
      <c r="ITJ2" s="133" t="s">
        <v>7737</v>
      </c>
      <c r="ITK2" s="133" t="s">
        <v>7738</v>
      </c>
      <c r="ITL2" s="133" t="s">
        <v>7739</v>
      </c>
      <c r="ITM2" s="133" t="s">
        <v>7740</v>
      </c>
      <c r="ITN2" s="133" t="s">
        <v>7741</v>
      </c>
      <c r="ITO2" s="133" t="s">
        <v>7742</v>
      </c>
      <c r="ITP2" s="133" t="s">
        <v>7743</v>
      </c>
      <c r="ITQ2" s="133" t="s">
        <v>7744</v>
      </c>
      <c r="ITR2" s="133" t="s">
        <v>7745</v>
      </c>
      <c r="ITS2" s="133" t="s">
        <v>7746</v>
      </c>
      <c r="ITT2" s="133" t="s">
        <v>7747</v>
      </c>
      <c r="ITU2" s="133" t="s">
        <v>7748</v>
      </c>
      <c r="ITV2" s="133" t="s">
        <v>7749</v>
      </c>
      <c r="ITW2" s="133" t="s">
        <v>7750</v>
      </c>
      <c r="ITX2" s="133" t="s">
        <v>7751</v>
      </c>
      <c r="ITY2" s="133" t="s">
        <v>7752</v>
      </c>
      <c r="ITZ2" s="133" t="s">
        <v>7753</v>
      </c>
      <c r="IUA2" s="133" t="s">
        <v>7754</v>
      </c>
      <c r="IUB2" s="133" t="s">
        <v>7755</v>
      </c>
      <c r="IUC2" s="133" t="s">
        <v>7756</v>
      </c>
      <c r="IUD2" s="133" t="s">
        <v>7757</v>
      </c>
      <c r="IUE2" s="133" t="s">
        <v>7758</v>
      </c>
      <c r="IUF2" s="133" t="s">
        <v>7759</v>
      </c>
      <c r="IUG2" s="133" t="s">
        <v>7760</v>
      </c>
      <c r="IUH2" s="133" t="s">
        <v>7761</v>
      </c>
      <c r="IUI2" s="133" t="s">
        <v>7762</v>
      </c>
      <c r="IUJ2" s="133" t="s">
        <v>7763</v>
      </c>
      <c r="IUK2" s="133" t="s">
        <v>7764</v>
      </c>
      <c r="IUL2" s="133" t="s">
        <v>7765</v>
      </c>
      <c r="IUM2" s="133" t="s">
        <v>7766</v>
      </c>
      <c r="IUN2" s="133" t="s">
        <v>7767</v>
      </c>
      <c r="IUO2" s="133" t="s">
        <v>7768</v>
      </c>
      <c r="IUP2" s="133" t="s">
        <v>7769</v>
      </c>
      <c r="IUQ2" s="133" t="s">
        <v>7770</v>
      </c>
      <c r="IUR2" s="133" t="s">
        <v>7771</v>
      </c>
      <c r="IUS2" s="133" t="s">
        <v>7772</v>
      </c>
      <c r="IUT2" s="133" t="s">
        <v>7773</v>
      </c>
      <c r="IUU2" s="133" t="s">
        <v>7774</v>
      </c>
      <c r="IUV2" s="133" t="s">
        <v>7775</v>
      </c>
      <c r="IUW2" s="133" t="s">
        <v>7776</v>
      </c>
      <c r="IUX2" s="133" t="s">
        <v>7777</v>
      </c>
      <c r="IUY2" s="133" t="s">
        <v>7778</v>
      </c>
      <c r="IUZ2" s="133" t="s">
        <v>7779</v>
      </c>
      <c r="IVA2" s="133" t="s">
        <v>7780</v>
      </c>
      <c r="IVB2" s="133" t="s">
        <v>7781</v>
      </c>
      <c r="IVC2" s="133" t="s">
        <v>7782</v>
      </c>
      <c r="IVD2" s="133" t="s">
        <v>7783</v>
      </c>
      <c r="IVE2" s="133" t="s">
        <v>7784</v>
      </c>
      <c r="IVF2" s="133" t="s">
        <v>7785</v>
      </c>
      <c r="IVG2" s="133" t="s">
        <v>7786</v>
      </c>
      <c r="IVH2" s="133" t="s">
        <v>7787</v>
      </c>
      <c r="IVI2" s="133" t="s">
        <v>7788</v>
      </c>
      <c r="IVJ2" s="133" t="s">
        <v>7789</v>
      </c>
      <c r="IVK2" s="133" t="s">
        <v>7790</v>
      </c>
      <c r="IVL2" s="133" t="s">
        <v>7791</v>
      </c>
      <c r="IVM2" s="133" t="s">
        <v>7792</v>
      </c>
      <c r="IVN2" s="133" t="s">
        <v>7793</v>
      </c>
      <c r="IVO2" s="133" t="s">
        <v>7794</v>
      </c>
      <c r="IVP2" s="133" t="s">
        <v>7795</v>
      </c>
      <c r="IVQ2" s="133" t="s">
        <v>7796</v>
      </c>
      <c r="IVR2" s="133" t="s">
        <v>7797</v>
      </c>
      <c r="IVS2" s="133" t="s">
        <v>7798</v>
      </c>
      <c r="IVT2" s="133" t="s">
        <v>7799</v>
      </c>
      <c r="IVU2" s="133" t="s">
        <v>7800</v>
      </c>
      <c r="IVV2" s="133" t="s">
        <v>7801</v>
      </c>
      <c r="IVW2" s="133" t="s">
        <v>7802</v>
      </c>
      <c r="IVX2" s="133" t="s">
        <v>7803</v>
      </c>
      <c r="IVY2" s="133" t="s">
        <v>7804</v>
      </c>
      <c r="IVZ2" s="133" t="s">
        <v>7805</v>
      </c>
      <c r="IWA2" s="133" t="s">
        <v>7806</v>
      </c>
      <c r="IWB2" s="133" t="s">
        <v>7807</v>
      </c>
      <c r="IWC2" s="133" t="s">
        <v>7808</v>
      </c>
      <c r="IWD2" s="133" t="s">
        <v>7809</v>
      </c>
      <c r="IWE2" s="133" t="s">
        <v>7810</v>
      </c>
      <c r="IWF2" s="133" t="s">
        <v>7811</v>
      </c>
      <c r="IWG2" s="133" t="s">
        <v>7812</v>
      </c>
      <c r="IWH2" s="133" t="s">
        <v>7813</v>
      </c>
      <c r="IWI2" s="133" t="s">
        <v>7814</v>
      </c>
      <c r="IWJ2" s="133" t="s">
        <v>7815</v>
      </c>
      <c r="IWK2" s="133" t="s">
        <v>7816</v>
      </c>
      <c r="IWL2" s="133" t="s">
        <v>7817</v>
      </c>
      <c r="IWM2" s="133" t="s">
        <v>7818</v>
      </c>
      <c r="IWN2" s="133" t="s">
        <v>7819</v>
      </c>
      <c r="IWO2" s="133" t="s">
        <v>7820</v>
      </c>
      <c r="IWP2" s="133" t="s">
        <v>7821</v>
      </c>
      <c r="IWQ2" s="133" t="s">
        <v>7822</v>
      </c>
      <c r="IWR2" s="133" t="s">
        <v>7823</v>
      </c>
      <c r="IWS2" s="133" t="s">
        <v>7824</v>
      </c>
      <c r="IWT2" s="133" t="s">
        <v>7825</v>
      </c>
      <c r="IWU2" s="133" t="s">
        <v>7826</v>
      </c>
      <c r="IWV2" s="133" t="s">
        <v>7827</v>
      </c>
      <c r="IWW2" s="133" t="s">
        <v>7828</v>
      </c>
      <c r="IWX2" s="133" t="s">
        <v>7829</v>
      </c>
      <c r="IWY2" s="133" t="s">
        <v>7830</v>
      </c>
      <c r="IWZ2" s="133" t="s">
        <v>7831</v>
      </c>
      <c r="IXA2" s="133" t="s">
        <v>7832</v>
      </c>
      <c r="IXB2" s="133" t="s">
        <v>7833</v>
      </c>
      <c r="IXC2" s="133" t="s">
        <v>7834</v>
      </c>
      <c r="IXD2" s="133" t="s">
        <v>7835</v>
      </c>
      <c r="IXE2" s="133" t="s">
        <v>7836</v>
      </c>
      <c r="IXF2" s="133" t="s">
        <v>7837</v>
      </c>
      <c r="IXG2" s="133" t="s">
        <v>7838</v>
      </c>
      <c r="IXH2" s="133" t="s">
        <v>7839</v>
      </c>
      <c r="IXI2" s="133" t="s">
        <v>7840</v>
      </c>
      <c r="IXJ2" s="133" t="s">
        <v>7841</v>
      </c>
      <c r="IXK2" s="133" t="s">
        <v>7842</v>
      </c>
      <c r="IXL2" s="133" t="s">
        <v>7843</v>
      </c>
      <c r="IXM2" s="133" t="s">
        <v>7844</v>
      </c>
      <c r="IXN2" s="133" t="s">
        <v>7845</v>
      </c>
      <c r="IXO2" s="133" t="s">
        <v>7846</v>
      </c>
      <c r="IXP2" s="133" t="s">
        <v>7847</v>
      </c>
      <c r="IXQ2" s="133" t="s">
        <v>7848</v>
      </c>
      <c r="IXR2" s="133" t="s">
        <v>7849</v>
      </c>
      <c r="IXS2" s="133" t="s">
        <v>7850</v>
      </c>
      <c r="IXT2" s="133" t="s">
        <v>7851</v>
      </c>
      <c r="IXU2" s="133" t="s">
        <v>7852</v>
      </c>
      <c r="IXV2" s="133" t="s">
        <v>7853</v>
      </c>
      <c r="IXW2" s="133" t="s">
        <v>7854</v>
      </c>
      <c r="IXX2" s="133" t="s">
        <v>7855</v>
      </c>
      <c r="IXY2" s="133" t="s">
        <v>7856</v>
      </c>
      <c r="IXZ2" s="133" t="s">
        <v>7857</v>
      </c>
      <c r="IYA2" s="133" t="s">
        <v>7858</v>
      </c>
      <c r="IYB2" s="133" t="s">
        <v>7859</v>
      </c>
      <c r="IYC2" s="133" t="s">
        <v>7860</v>
      </c>
      <c r="IYD2" s="133" t="s">
        <v>7861</v>
      </c>
      <c r="IYE2" s="133" t="s">
        <v>7862</v>
      </c>
      <c r="IYF2" s="133" t="s">
        <v>7863</v>
      </c>
      <c r="IYG2" s="133" t="s">
        <v>7864</v>
      </c>
      <c r="IYH2" s="133" t="s">
        <v>7865</v>
      </c>
      <c r="IYI2" s="133" t="s">
        <v>7866</v>
      </c>
      <c r="IYJ2" s="133" t="s">
        <v>7867</v>
      </c>
      <c r="IYK2" s="133" t="s">
        <v>7868</v>
      </c>
      <c r="IYL2" s="133" t="s">
        <v>7869</v>
      </c>
      <c r="IYM2" s="133" t="s">
        <v>7870</v>
      </c>
      <c r="IYN2" s="133" t="s">
        <v>7871</v>
      </c>
      <c r="IYO2" s="133" t="s">
        <v>7872</v>
      </c>
      <c r="IYP2" s="133" t="s">
        <v>7873</v>
      </c>
      <c r="IYQ2" s="133" t="s">
        <v>7874</v>
      </c>
      <c r="IYR2" s="133" t="s">
        <v>7875</v>
      </c>
      <c r="IYS2" s="133" t="s">
        <v>7876</v>
      </c>
      <c r="IYT2" s="133" t="s">
        <v>7877</v>
      </c>
      <c r="IYU2" s="133" t="s">
        <v>7878</v>
      </c>
      <c r="IYV2" s="133" t="s">
        <v>7879</v>
      </c>
      <c r="IYW2" s="133" t="s">
        <v>7880</v>
      </c>
      <c r="IYX2" s="133" t="s">
        <v>7881</v>
      </c>
      <c r="IYY2" s="133" t="s">
        <v>7882</v>
      </c>
      <c r="IYZ2" s="133" t="s">
        <v>7883</v>
      </c>
      <c r="IZA2" s="133" t="s">
        <v>7884</v>
      </c>
      <c r="IZB2" s="133" t="s">
        <v>7885</v>
      </c>
      <c r="IZC2" s="133" t="s">
        <v>7886</v>
      </c>
      <c r="IZD2" s="133" t="s">
        <v>7887</v>
      </c>
      <c r="IZE2" s="133" t="s">
        <v>7888</v>
      </c>
      <c r="IZF2" s="133" t="s">
        <v>7889</v>
      </c>
      <c r="IZG2" s="133" t="s">
        <v>7890</v>
      </c>
      <c r="IZH2" s="133" t="s">
        <v>7891</v>
      </c>
      <c r="IZI2" s="133" t="s">
        <v>7892</v>
      </c>
      <c r="IZJ2" s="133" t="s">
        <v>7893</v>
      </c>
      <c r="IZK2" s="133" t="s">
        <v>7894</v>
      </c>
      <c r="IZL2" s="133" t="s">
        <v>7895</v>
      </c>
      <c r="IZM2" s="133" t="s">
        <v>7896</v>
      </c>
      <c r="IZN2" s="133" t="s">
        <v>7897</v>
      </c>
      <c r="IZO2" s="133" t="s">
        <v>7898</v>
      </c>
      <c r="IZP2" s="133" t="s">
        <v>7899</v>
      </c>
      <c r="IZQ2" s="133" t="s">
        <v>7900</v>
      </c>
      <c r="IZR2" s="133" t="s">
        <v>7901</v>
      </c>
      <c r="IZS2" s="133" t="s">
        <v>7902</v>
      </c>
      <c r="IZT2" s="133" t="s">
        <v>7903</v>
      </c>
      <c r="IZU2" s="133" t="s">
        <v>7904</v>
      </c>
      <c r="IZV2" s="133" t="s">
        <v>7905</v>
      </c>
      <c r="IZW2" s="133" t="s">
        <v>7906</v>
      </c>
      <c r="IZX2" s="133" t="s">
        <v>7907</v>
      </c>
      <c r="IZY2" s="133" t="s">
        <v>7908</v>
      </c>
      <c r="IZZ2" s="133" t="s">
        <v>7909</v>
      </c>
      <c r="JAA2" s="133" t="s">
        <v>7910</v>
      </c>
      <c r="JAB2" s="133" t="s">
        <v>7911</v>
      </c>
      <c r="JAC2" s="133" t="s">
        <v>7912</v>
      </c>
      <c r="JAD2" s="133" t="s">
        <v>7913</v>
      </c>
      <c r="JAE2" s="133" t="s">
        <v>7914</v>
      </c>
      <c r="JAF2" s="133" t="s">
        <v>7915</v>
      </c>
      <c r="JAG2" s="133" t="s">
        <v>7916</v>
      </c>
      <c r="JAH2" s="133" t="s">
        <v>7917</v>
      </c>
      <c r="JAI2" s="133" t="s">
        <v>7918</v>
      </c>
      <c r="JAJ2" s="133" t="s">
        <v>7919</v>
      </c>
      <c r="JAK2" s="133" t="s">
        <v>7920</v>
      </c>
      <c r="JAL2" s="133" t="s">
        <v>7921</v>
      </c>
      <c r="JAM2" s="133" t="s">
        <v>7922</v>
      </c>
      <c r="JAN2" s="133" t="s">
        <v>7923</v>
      </c>
      <c r="JAO2" s="133" t="s">
        <v>7924</v>
      </c>
      <c r="JAP2" s="133" t="s">
        <v>7925</v>
      </c>
      <c r="JAQ2" s="133" t="s">
        <v>7926</v>
      </c>
      <c r="JAR2" s="133" t="s">
        <v>7927</v>
      </c>
      <c r="JAS2" s="133" t="s">
        <v>7928</v>
      </c>
      <c r="JAT2" s="133" t="s">
        <v>7929</v>
      </c>
      <c r="JAU2" s="133" t="s">
        <v>7930</v>
      </c>
      <c r="JAV2" s="133" t="s">
        <v>7931</v>
      </c>
      <c r="JAW2" s="133" t="s">
        <v>7932</v>
      </c>
      <c r="JAX2" s="133" t="s">
        <v>7933</v>
      </c>
      <c r="JAY2" s="133" t="s">
        <v>7934</v>
      </c>
      <c r="JAZ2" s="133" t="s">
        <v>7935</v>
      </c>
      <c r="JBA2" s="133" t="s">
        <v>7936</v>
      </c>
      <c r="JBB2" s="133" t="s">
        <v>7937</v>
      </c>
      <c r="JBC2" s="133" t="s">
        <v>7938</v>
      </c>
      <c r="JBD2" s="133" t="s">
        <v>7939</v>
      </c>
      <c r="JBE2" s="133" t="s">
        <v>7940</v>
      </c>
      <c r="JBF2" s="133" t="s">
        <v>7941</v>
      </c>
      <c r="JBG2" s="133" t="s">
        <v>7942</v>
      </c>
      <c r="JBH2" s="133" t="s">
        <v>7943</v>
      </c>
      <c r="JBI2" s="133" t="s">
        <v>7944</v>
      </c>
      <c r="JBJ2" s="133" t="s">
        <v>7945</v>
      </c>
      <c r="JBK2" s="133" t="s">
        <v>7946</v>
      </c>
      <c r="JBL2" s="133" t="s">
        <v>7947</v>
      </c>
      <c r="JBM2" s="133" t="s">
        <v>7948</v>
      </c>
      <c r="JBN2" s="133" t="s">
        <v>7949</v>
      </c>
      <c r="JBO2" s="133" t="s">
        <v>7950</v>
      </c>
      <c r="JBP2" s="133" t="s">
        <v>7951</v>
      </c>
      <c r="JBQ2" s="133" t="s">
        <v>7952</v>
      </c>
      <c r="JBR2" s="133" t="s">
        <v>7953</v>
      </c>
      <c r="JBS2" s="133" t="s">
        <v>7954</v>
      </c>
      <c r="JBT2" s="133" t="s">
        <v>7955</v>
      </c>
      <c r="JBU2" s="133" t="s">
        <v>7956</v>
      </c>
      <c r="JBV2" s="133" t="s">
        <v>7957</v>
      </c>
      <c r="JBW2" s="133" t="s">
        <v>7958</v>
      </c>
      <c r="JBX2" s="133" t="s">
        <v>7959</v>
      </c>
      <c r="JBY2" s="133" t="s">
        <v>7960</v>
      </c>
      <c r="JBZ2" s="133" t="s">
        <v>7961</v>
      </c>
      <c r="JCA2" s="133" t="s">
        <v>7962</v>
      </c>
      <c r="JCB2" s="133" t="s">
        <v>7963</v>
      </c>
      <c r="JCC2" s="133" t="s">
        <v>7964</v>
      </c>
      <c r="JCD2" s="133" t="s">
        <v>7965</v>
      </c>
      <c r="JCE2" s="133" t="s">
        <v>7966</v>
      </c>
      <c r="JCF2" s="133" t="s">
        <v>7967</v>
      </c>
      <c r="JCG2" s="133" t="s">
        <v>7968</v>
      </c>
      <c r="JCH2" s="133" t="s">
        <v>7969</v>
      </c>
      <c r="JCI2" s="133" t="s">
        <v>7970</v>
      </c>
      <c r="JCJ2" s="133" t="s">
        <v>7971</v>
      </c>
      <c r="JCK2" s="133" t="s">
        <v>7972</v>
      </c>
      <c r="JCL2" s="133" t="s">
        <v>7973</v>
      </c>
      <c r="JCM2" s="133" t="s">
        <v>7974</v>
      </c>
      <c r="JCN2" s="133" t="s">
        <v>7975</v>
      </c>
      <c r="JCO2" s="133" t="s">
        <v>7976</v>
      </c>
      <c r="JCP2" s="133" t="s">
        <v>7977</v>
      </c>
      <c r="JCQ2" s="133" t="s">
        <v>7978</v>
      </c>
      <c r="JCR2" s="133" t="s">
        <v>7979</v>
      </c>
      <c r="JCS2" s="133" t="s">
        <v>7980</v>
      </c>
      <c r="JCT2" s="133" t="s">
        <v>7981</v>
      </c>
      <c r="JCU2" s="133" t="s">
        <v>7982</v>
      </c>
      <c r="JCV2" s="133" t="s">
        <v>7983</v>
      </c>
      <c r="JCW2" s="133" t="s">
        <v>7984</v>
      </c>
      <c r="JCX2" s="133" t="s">
        <v>7985</v>
      </c>
      <c r="JCY2" s="133" t="s">
        <v>7986</v>
      </c>
      <c r="JCZ2" s="133" t="s">
        <v>7987</v>
      </c>
      <c r="JDA2" s="133" t="s">
        <v>7988</v>
      </c>
      <c r="JDB2" s="133" t="s">
        <v>7989</v>
      </c>
      <c r="JDC2" s="133" t="s">
        <v>7990</v>
      </c>
      <c r="JDD2" s="133" t="s">
        <v>7991</v>
      </c>
      <c r="JDE2" s="133" t="s">
        <v>7992</v>
      </c>
      <c r="JDF2" s="133" t="s">
        <v>7993</v>
      </c>
      <c r="JDG2" s="133" t="s">
        <v>7994</v>
      </c>
      <c r="JDH2" s="133" t="s">
        <v>7995</v>
      </c>
      <c r="JDI2" s="133" t="s">
        <v>7996</v>
      </c>
      <c r="JDJ2" s="133" t="s">
        <v>7997</v>
      </c>
      <c r="JDK2" s="133" t="s">
        <v>7998</v>
      </c>
      <c r="JDL2" s="133" t="s">
        <v>7999</v>
      </c>
      <c r="JDM2" s="133" t="s">
        <v>8000</v>
      </c>
      <c r="JDN2" s="133" t="s">
        <v>8001</v>
      </c>
      <c r="JDO2" s="133" t="s">
        <v>8002</v>
      </c>
      <c r="JDP2" s="133" t="s">
        <v>8003</v>
      </c>
      <c r="JDQ2" s="133" t="s">
        <v>8004</v>
      </c>
      <c r="JDR2" s="133" t="s">
        <v>8005</v>
      </c>
      <c r="JDS2" s="133" t="s">
        <v>8006</v>
      </c>
      <c r="JDT2" s="133" t="s">
        <v>8007</v>
      </c>
      <c r="JDU2" s="133" t="s">
        <v>8008</v>
      </c>
      <c r="JDV2" s="133" t="s">
        <v>8009</v>
      </c>
      <c r="JDW2" s="133" t="s">
        <v>8010</v>
      </c>
      <c r="JDX2" s="133" t="s">
        <v>8011</v>
      </c>
      <c r="JDY2" s="133" t="s">
        <v>8012</v>
      </c>
      <c r="JDZ2" s="133" t="s">
        <v>8013</v>
      </c>
      <c r="JEA2" s="133" t="s">
        <v>8014</v>
      </c>
      <c r="JEB2" s="133" t="s">
        <v>8015</v>
      </c>
      <c r="JEC2" s="133" t="s">
        <v>8016</v>
      </c>
      <c r="JED2" s="133" t="s">
        <v>8017</v>
      </c>
      <c r="JEE2" s="133" t="s">
        <v>8018</v>
      </c>
      <c r="JEF2" s="133" t="s">
        <v>8019</v>
      </c>
      <c r="JEG2" s="133" t="s">
        <v>8020</v>
      </c>
      <c r="JEH2" s="133" t="s">
        <v>8021</v>
      </c>
      <c r="JEI2" s="133" t="s">
        <v>8022</v>
      </c>
      <c r="JEJ2" s="133" t="s">
        <v>8023</v>
      </c>
      <c r="JEK2" s="133" t="s">
        <v>8024</v>
      </c>
      <c r="JEL2" s="133" t="s">
        <v>8025</v>
      </c>
      <c r="JEM2" s="133" t="s">
        <v>8026</v>
      </c>
      <c r="JEN2" s="133" t="s">
        <v>8027</v>
      </c>
      <c r="JEO2" s="133" t="s">
        <v>8028</v>
      </c>
      <c r="JEP2" s="133" t="s">
        <v>8029</v>
      </c>
      <c r="JEQ2" s="133" t="s">
        <v>8030</v>
      </c>
      <c r="JER2" s="133" t="s">
        <v>8031</v>
      </c>
      <c r="JES2" s="133" t="s">
        <v>8032</v>
      </c>
      <c r="JET2" s="133" t="s">
        <v>8033</v>
      </c>
      <c r="JEU2" s="133" t="s">
        <v>8034</v>
      </c>
      <c r="JEV2" s="133" t="s">
        <v>8035</v>
      </c>
      <c r="JEW2" s="133" t="s">
        <v>8036</v>
      </c>
      <c r="JEX2" s="133" t="s">
        <v>8037</v>
      </c>
      <c r="JEY2" s="133" t="s">
        <v>8038</v>
      </c>
      <c r="JEZ2" s="133" t="s">
        <v>8039</v>
      </c>
      <c r="JFA2" s="133" t="s">
        <v>8040</v>
      </c>
      <c r="JFB2" s="133" t="s">
        <v>8041</v>
      </c>
      <c r="JFC2" s="133" t="s">
        <v>8042</v>
      </c>
      <c r="JFD2" s="133" t="s">
        <v>8043</v>
      </c>
      <c r="JFE2" s="133" t="s">
        <v>8044</v>
      </c>
      <c r="JFF2" s="133" t="s">
        <v>8045</v>
      </c>
      <c r="JFG2" s="133" t="s">
        <v>8046</v>
      </c>
      <c r="JFH2" s="133" t="s">
        <v>8047</v>
      </c>
      <c r="JFI2" s="133" t="s">
        <v>8048</v>
      </c>
      <c r="JFJ2" s="133" t="s">
        <v>8049</v>
      </c>
      <c r="JFK2" s="133" t="s">
        <v>8050</v>
      </c>
      <c r="JFL2" s="133" t="s">
        <v>8051</v>
      </c>
      <c r="JFM2" s="133" t="s">
        <v>8052</v>
      </c>
      <c r="JFN2" s="133" t="s">
        <v>8053</v>
      </c>
      <c r="JFO2" s="133" t="s">
        <v>8054</v>
      </c>
      <c r="JFP2" s="133" t="s">
        <v>8055</v>
      </c>
      <c r="JFQ2" s="133" t="s">
        <v>8056</v>
      </c>
      <c r="JFR2" s="133" t="s">
        <v>8057</v>
      </c>
      <c r="JFS2" s="133" t="s">
        <v>8058</v>
      </c>
      <c r="JFT2" s="133" t="s">
        <v>8059</v>
      </c>
      <c r="JFU2" s="133" t="s">
        <v>8060</v>
      </c>
      <c r="JFV2" s="133" t="s">
        <v>8061</v>
      </c>
      <c r="JFW2" s="133" t="s">
        <v>8062</v>
      </c>
      <c r="JFX2" s="133" t="s">
        <v>8063</v>
      </c>
      <c r="JFY2" s="133" t="s">
        <v>8064</v>
      </c>
      <c r="JFZ2" s="133" t="s">
        <v>8065</v>
      </c>
      <c r="JGA2" s="133" t="s">
        <v>8066</v>
      </c>
      <c r="JGB2" s="133" t="s">
        <v>8067</v>
      </c>
      <c r="JGC2" s="133" t="s">
        <v>8068</v>
      </c>
      <c r="JGD2" s="133" t="s">
        <v>8069</v>
      </c>
      <c r="JGE2" s="133" t="s">
        <v>8070</v>
      </c>
      <c r="JGF2" s="133" t="s">
        <v>8071</v>
      </c>
      <c r="JGG2" s="133" t="s">
        <v>8072</v>
      </c>
      <c r="JGH2" s="133" t="s">
        <v>8073</v>
      </c>
      <c r="JGI2" s="133" t="s">
        <v>8074</v>
      </c>
      <c r="JGJ2" s="133" t="s">
        <v>8075</v>
      </c>
      <c r="JGK2" s="133" t="s">
        <v>8076</v>
      </c>
      <c r="JGL2" s="133" t="s">
        <v>8077</v>
      </c>
      <c r="JGM2" s="133" t="s">
        <v>8078</v>
      </c>
      <c r="JGN2" s="133" t="s">
        <v>8079</v>
      </c>
      <c r="JGO2" s="133" t="s">
        <v>8080</v>
      </c>
      <c r="JGP2" s="133" t="s">
        <v>8081</v>
      </c>
      <c r="JGQ2" s="133" t="s">
        <v>8082</v>
      </c>
      <c r="JGR2" s="133" t="s">
        <v>8083</v>
      </c>
      <c r="JGS2" s="133" t="s">
        <v>8084</v>
      </c>
      <c r="JGT2" s="133" t="s">
        <v>8085</v>
      </c>
      <c r="JGU2" s="133" t="s">
        <v>8086</v>
      </c>
      <c r="JGV2" s="133" t="s">
        <v>8087</v>
      </c>
      <c r="JGW2" s="133" t="s">
        <v>8088</v>
      </c>
      <c r="JGX2" s="133" t="s">
        <v>8089</v>
      </c>
      <c r="JGY2" s="133" t="s">
        <v>8090</v>
      </c>
      <c r="JGZ2" s="133" t="s">
        <v>8091</v>
      </c>
      <c r="JHA2" s="133" t="s">
        <v>8092</v>
      </c>
      <c r="JHB2" s="133" t="s">
        <v>8093</v>
      </c>
      <c r="JHC2" s="133" t="s">
        <v>8094</v>
      </c>
      <c r="JHD2" s="133" t="s">
        <v>8095</v>
      </c>
      <c r="JHE2" s="133" t="s">
        <v>8096</v>
      </c>
      <c r="JHF2" s="133" t="s">
        <v>8097</v>
      </c>
      <c r="JHG2" s="133" t="s">
        <v>8098</v>
      </c>
      <c r="JHH2" s="133" t="s">
        <v>8099</v>
      </c>
      <c r="JHI2" s="133" t="s">
        <v>8100</v>
      </c>
      <c r="JHJ2" s="133" t="s">
        <v>8101</v>
      </c>
      <c r="JHK2" s="133" t="s">
        <v>8102</v>
      </c>
      <c r="JHL2" s="133" t="s">
        <v>8103</v>
      </c>
      <c r="JHM2" s="133" t="s">
        <v>8104</v>
      </c>
      <c r="JHN2" s="133" t="s">
        <v>8105</v>
      </c>
      <c r="JHO2" s="133" t="s">
        <v>8106</v>
      </c>
      <c r="JHP2" s="133" t="s">
        <v>8107</v>
      </c>
      <c r="JHQ2" s="133" t="s">
        <v>8108</v>
      </c>
      <c r="JHR2" s="133" t="s">
        <v>8109</v>
      </c>
      <c r="JHS2" s="133" t="s">
        <v>8110</v>
      </c>
      <c r="JHT2" s="133" t="s">
        <v>8111</v>
      </c>
      <c r="JHU2" s="133" t="s">
        <v>8112</v>
      </c>
      <c r="JHV2" s="133" t="s">
        <v>8113</v>
      </c>
      <c r="JHW2" s="133" t="s">
        <v>8114</v>
      </c>
      <c r="JHX2" s="133" t="s">
        <v>8115</v>
      </c>
      <c r="JHY2" s="133" t="s">
        <v>8116</v>
      </c>
      <c r="JHZ2" s="133" t="s">
        <v>8117</v>
      </c>
      <c r="JIA2" s="133" t="s">
        <v>8118</v>
      </c>
      <c r="JIB2" s="133" t="s">
        <v>8119</v>
      </c>
      <c r="JIC2" s="133" t="s">
        <v>8120</v>
      </c>
      <c r="JID2" s="133" t="s">
        <v>8121</v>
      </c>
      <c r="JIE2" s="133" t="s">
        <v>8122</v>
      </c>
      <c r="JIF2" s="133" t="s">
        <v>8123</v>
      </c>
      <c r="JIG2" s="133" t="s">
        <v>8124</v>
      </c>
      <c r="JIH2" s="133" t="s">
        <v>8125</v>
      </c>
      <c r="JII2" s="133" t="s">
        <v>8126</v>
      </c>
      <c r="JIJ2" s="133" t="s">
        <v>8127</v>
      </c>
      <c r="JIK2" s="133" t="s">
        <v>8128</v>
      </c>
      <c r="JIL2" s="133" t="s">
        <v>8129</v>
      </c>
      <c r="JIM2" s="133" t="s">
        <v>8130</v>
      </c>
      <c r="JIN2" s="133" t="s">
        <v>8131</v>
      </c>
      <c r="JIO2" s="133" t="s">
        <v>8132</v>
      </c>
      <c r="JIP2" s="133" t="s">
        <v>8133</v>
      </c>
      <c r="JIQ2" s="133" t="s">
        <v>8134</v>
      </c>
      <c r="JIR2" s="133" t="s">
        <v>8135</v>
      </c>
      <c r="JIS2" s="133" t="s">
        <v>8136</v>
      </c>
      <c r="JIT2" s="133" t="s">
        <v>8137</v>
      </c>
      <c r="JIU2" s="133" t="s">
        <v>8138</v>
      </c>
      <c r="JIV2" s="133" t="s">
        <v>8139</v>
      </c>
      <c r="JIW2" s="133" t="s">
        <v>8140</v>
      </c>
      <c r="JIX2" s="133" t="s">
        <v>8141</v>
      </c>
      <c r="JIY2" s="133" t="s">
        <v>8142</v>
      </c>
      <c r="JIZ2" s="133" t="s">
        <v>8143</v>
      </c>
      <c r="JJA2" s="133" t="s">
        <v>8144</v>
      </c>
      <c r="JJB2" s="133" t="s">
        <v>8145</v>
      </c>
      <c r="JJC2" s="133" t="s">
        <v>8146</v>
      </c>
      <c r="JJD2" s="133" t="s">
        <v>8147</v>
      </c>
      <c r="JJE2" s="133" t="s">
        <v>8148</v>
      </c>
      <c r="JJF2" s="133" t="s">
        <v>8149</v>
      </c>
      <c r="JJG2" s="133" t="s">
        <v>8150</v>
      </c>
      <c r="JJH2" s="133" t="s">
        <v>8151</v>
      </c>
      <c r="JJI2" s="133" t="s">
        <v>8152</v>
      </c>
      <c r="JJJ2" s="133" t="s">
        <v>8153</v>
      </c>
      <c r="JJK2" s="133" t="s">
        <v>8154</v>
      </c>
      <c r="JJL2" s="133" t="s">
        <v>8155</v>
      </c>
      <c r="JJM2" s="133" t="s">
        <v>8156</v>
      </c>
      <c r="JJN2" s="133" t="s">
        <v>8157</v>
      </c>
      <c r="JJO2" s="133" t="s">
        <v>8158</v>
      </c>
      <c r="JJP2" s="133" t="s">
        <v>8159</v>
      </c>
      <c r="JJQ2" s="133" t="s">
        <v>8160</v>
      </c>
      <c r="JJR2" s="133" t="s">
        <v>8161</v>
      </c>
      <c r="JJS2" s="133" t="s">
        <v>8162</v>
      </c>
      <c r="JJT2" s="133" t="s">
        <v>8163</v>
      </c>
      <c r="JJU2" s="133" t="s">
        <v>8164</v>
      </c>
      <c r="JJV2" s="133" t="s">
        <v>8165</v>
      </c>
      <c r="JJW2" s="133" t="s">
        <v>8166</v>
      </c>
      <c r="JJX2" s="133" t="s">
        <v>8167</v>
      </c>
      <c r="JJY2" s="133" t="s">
        <v>8168</v>
      </c>
      <c r="JJZ2" s="133" t="s">
        <v>8169</v>
      </c>
      <c r="JKA2" s="133" t="s">
        <v>8170</v>
      </c>
      <c r="JKB2" s="133" t="s">
        <v>8171</v>
      </c>
      <c r="JKC2" s="133" t="s">
        <v>8172</v>
      </c>
      <c r="JKD2" s="133" t="s">
        <v>8173</v>
      </c>
      <c r="JKE2" s="133" t="s">
        <v>8174</v>
      </c>
      <c r="JKF2" s="133" t="s">
        <v>8175</v>
      </c>
      <c r="JKG2" s="133" t="s">
        <v>8176</v>
      </c>
      <c r="JKH2" s="133" t="s">
        <v>8177</v>
      </c>
      <c r="JKI2" s="133" t="s">
        <v>8178</v>
      </c>
      <c r="JKJ2" s="133" t="s">
        <v>8179</v>
      </c>
      <c r="JKK2" s="133" t="s">
        <v>8180</v>
      </c>
      <c r="JKL2" s="133" t="s">
        <v>8181</v>
      </c>
      <c r="JKM2" s="133" t="s">
        <v>8182</v>
      </c>
      <c r="JKN2" s="133" t="s">
        <v>8183</v>
      </c>
      <c r="JKO2" s="133" t="s">
        <v>8184</v>
      </c>
      <c r="JKP2" s="133" t="s">
        <v>8185</v>
      </c>
      <c r="JKQ2" s="133" t="s">
        <v>8186</v>
      </c>
      <c r="JKR2" s="133" t="s">
        <v>8187</v>
      </c>
      <c r="JKS2" s="133" t="s">
        <v>8188</v>
      </c>
      <c r="JKT2" s="133" t="s">
        <v>8189</v>
      </c>
      <c r="JKU2" s="133" t="s">
        <v>8190</v>
      </c>
      <c r="JKV2" s="133" t="s">
        <v>8191</v>
      </c>
      <c r="JKW2" s="133" t="s">
        <v>8192</v>
      </c>
      <c r="JKX2" s="133" t="s">
        <v>8193</v>
      </c>
      <c r="JKY2" s="133" t="s">
        <v>8194</v>
      </c>
      <c r="JKZ2" s="133" t="s">
        <v>8195</v>
      </c>
      <c r="JLA2" s="133" t="s">
        <v>8196</v>
      </c>
      <c r="JLB2" s="133" t="s">
        <v>8197</v>
      </c>
      <c r="JLC2" s="133" t="s">
        <v>8198</v>
      </c>
      <c r="JLD2" s="133" t="s">
        <v>8199</v>
      </c>
      <c r="JLE2" s="133" t="s">
        <v>8200</v>
      </c>
      <c r="JLF2" s="133" t="s">
        <v>8201</v>
      </c>
      <c r="JLG2" s="133" t="s">
        <v>8202</v>
      </c>
      <c r="JLH2" s="133" t="s">
        <v>8203</v>
      </c>
      <c r="JLI2" s="133" t="s">
        <v>8204</v>
      </c>
      <c r="JLJ2" s="133" t="s">
        <v>8205</v>
      </c>
      <c r="JLK2" s="133" t="s">
        <v>8206</v>
      </c>
      <c r="JLL2" s="133" t="s">
        <v>8207</v>
      </c>
      <c r="JLM2" s="133" t="s">
        <v>8208</v>
      </c>
      <c r="JLN2" s="133" t="s">
        <v>8209</v>
      </c>
      <c r="JLO2" s="133" t="s">
        <v>8210</v>
      </c>
      <c r="JLP2" s="133" t="s">
        <v>8211</v>
      </c>
      <c r="JLQ2" s="133" t="s">
        <v>8212</v>
      </c>
      <c r="JLR2" s="133" t="s">
        <v>8213</v>
      </c>
      <c r="JLS2" s="133" t="s">
        <v>8214</v>
      </c>
      <c r="JLT2" s="133" t="s">
        <v>8215</v>
      </c>
      <c r="JLU2" s="133" t="s">
        <v>8216</v>
      </c>
      <c r="JLV2" s="133" t="s">
        <v>8217</v>
      </c>
      <c r="JLW2" s="133" t="s">
        <v>8218</v>
      </c>
      <c r="JLX2" s="133" t="s">
        <v>8219</v>
      </c>
      <c r="JLY2" s="133" t="s">
        <v>8220</v>
      </c>
      <c r="JLZ2" s="133" t="s">
        <v>8221</v>
      </c>
      <c r="JMA2" s="133" t="s">
        <v>8222</v>
      </c>
      <c r="JMB2" s="133" t="s">
        <v>8223</v>
      </c>
      <c r="JMC2" s="133" t="s">
        <v>8224</v>
      </c>
      <c r="JMD2" s="133" t="s">
        <v>8225</v>
      </c>
      <c r="JME2" s="133" t="s">
        <v>8226</v>
      </c>
      <c r="JMF2" s="133" t="s">
        <v>8227</v>
      </c>
      <c r="JMG2" s="133" t="s">
        <v>8228</v>
      </c>
      <c r="JMH2" s="133" t="s">
        <v>8229</v>
      </c>
      <c r="JMI2" s="133" t="s">
        <v>8230</v>
      </c>
      <c r="JMJ2" s="133" t="s">
        <v>8231</v>
      </c>
      <c r="JMK2" s="133" t="s">
        <v>8232</v>
      </c>
      <c r="JML2" s="133" t="s">
        <v>8233</v>
      </c>
      <c r="JMM2" s="133" t="s">
        <v>8234</v>
      </c>
      <c r="JMN2" s="133" t="s">
        <v>8235</v>
      </c>
      <c r="JMO2" s="133" t="s">
        <v>8236</v>
      </c>
      <c r="JMP2" s="133" t="s">
        <v>8237</v>
      </c>
      <c r="JMQ2" s="133" t="s">
        <v>8238</v>
      </c>
      <c r="JMR2" s="133" t="s">
        <v>8239</v>
      </c>
      <c r="JMS2" s="133" t="s">
        <v>8240</v>
      </c>
      <c r="JMT2" s="133" t="s">
        <v>8241</v>
      </c>
      <c r="JMU2" s="133" t="s">
        <v>8242</v>
      </c>
      <c r="JMV2" s="133" t="s">
        <v>8243</v>
      </c>
      <c r="JMW2" s="133" t="s">
        <v>8244</v>
      </c>
      <c r="JMX2" s="133" t="s">
        <v>8245</v>
      </c>
      <c r="JMY2" s="133" t="s">
        <v>8246</v>
      </c>
      <c r="JMZ2" s="133" t="s">
        <v>8247</v>
      </c>
      <c r="JNA2" s="133" t="s">
        <v>8248</v>
      </c>
      <c r="JNB2" s="133" t="s">
        <v>8249</v>
      </c>
      <c r="JNC2" s="133" t="s">
        <v>8250</v>
      </c>
      <c r="JND2" s="133" t="s">
        <v>8251</v>
      </c>
      <c r="JNE2" s="133" t="s">
        <v>8252</v>
      </c>
      <c r="JNF2" s="133" t="s">
        <v>8253</v>
      </c>
      <c r="JNG2" s="133" t="s">
        <v>8254</v>
      </c>
      <c r="JNH2" s="133" t="s">
        <v>8255</v>
      </c>
      <c r="JNI2" s="133" t="s">
        <v>8256</v>
      </c>
      <c r="JNJ2" s="133" t="s">
        <v>8257</v>
      </c>
      <c r="JNK2" s="133" t="s">
        <v>8258</v>
      </c>
      <c r="JNL2" s="133" t="s">
        <v>8259</v>
      </c>
      <c r="JNM2" s="133" t="s">
        <v>8260</v>
      </c>
      <c r="JNN2" s="133" t="s">
        <v>8261</v>
      </c>
      <c r="JNO2" s="133" t="s">
        <v>8262</v>
      </c>
      <c r="JNP2" s="133" t="s">
        <v>8263</v>
      </c>
      <c r="JNQ2" s="133" t="s">
        <v>8264</v>
      </c>
      <c r="JNR2" s="133" t="s">
        <v>8265</v>
      </c>
      <c r="JNS2" s="133" t="s">
        <v>8266</v>
      </c>
      <c r="JNT2" s="133" t="s">
        <v>8267</v>
      </c>
      <c r="JNU2" s="133" t="s">
        <v>8268</v>
      </c>
      <c r="JNV2" s="133" t="s">
        <v>8269</v>
      </c>
      <c r="JNW2" s="133" t="s">
        <v>8270</v>
      </c>
      <c r="JNX2" s="133" t="s">
        <v>8271</v>
      </c>
      <c r="JNY2" s="133" t="s">
        <v>8272</v>
      </c>
      <c r="JNZ2" s="133" t="s">
        <v>8273</v>
      </c>
      <c r="JOA2" s="133" t="s">
        <v>8274</v>
      </c>
      <c r="JOB2" s="133" t="s">
        <v>8275</v>
      </c>
      <c r="JOC2" s="133" t="s">
        <v>8276</v>
      </c>
      <c r="JOD2" s="133" t="s">
        <v>8277</v>
      </c>
      <c r="JOE2" s="133" t="s">
        <v>8278</v>
      </c>
      <c r="JOF2" s="133" t="s">
        <v>8279</v>
      </c>
      <c r="JOG2" s="133" t="s">
        <v>8280</v>
      </c>
      <c r="JOH2" s="133" t="s">
        <v>8281</v>
      </c>
      <c r="JOI2" s="133" t="s">
        <v>8282</v>
      </c>
      <c r="JOJ2" s="133" t="s">
        <v>8283</v>
      </c>
      <c r="JOK2" s="133" t="s">
        <v>8284</v>
      </c>
      <c r="JOL2" s="133" t="s">
        <v>8285</v>
      </c>
      <c r="JOM2" s="133" t="s">
        <v>8286</v>
      </c>
      <c r="JON2" s="133" t="s">
        <v>8287</v>
      </c>
      <c r="JOO2" s="133" t="s">
        <v>8288</v>
      </c>
      <c r="JOP2" s="133" t="s">
        <v>8289</v>
      </c>
      <c r="JOQ2" s="133" t="s">
        <v>8290</v>
      </c>
      <c r="JOR2" s="133" t="s">
        <v>8291</v>
      </c>
      <c r="JOS2" s="133" t="s">
        <v>8292</v>
      </c>
      <c r="JOT2" s="133" t="s">
        <v>8293</v>
      </c>
      <c r="JOU2" s="133" t="s">
        <v>8294</v>
      </c>
      <c r="JOV2" s="133" t="s">
        <v>8295</v>
      </c>
      <c r="JOW2" s="133" t="s">
        <v>8296</v>
      </c>
      <c r="JOX2" s="133" t="s">
        <v>8297</v>
      </c>
      <c r="JOY2" s="133" t="s">
        <v>8298</v>
      </c>
      <c r="JOZ2" s="133" t="s">
        <v>8299</v>
      </c>
      <c r="JPA2" s="133" t="s">
        <v>8300</v>
      </c>
      <c r="JPB2" s="133" t="s">
        <v>8301</v>
      </c>
      <c r="JPC2" s="133" t="s">
        <v>8302</v>
      </c>
      <c r="JPD2" s="133" t="s">
        <v>8303</v>
      </c>
      <c r="JPE2" s="133" t="s">
        <v>8304</v>
      </c>
      <c r="JPF2" s="133" t="s">
        <v>8305</v>
      </c>
      <c r="JPG2" s="133" t="s">
        <v>8306</v>
      </c>
      <c r="JPH2" s="133" t="s">
        <v>8307</v>
      </c>
      <c r="JPI2" s="133" t="s">
        <v>8308</v>
      </c>
      <c r="JPJ2" s="133" t="s">
        <v>8309</v>
      </c>
      <c r="JPK2" s="133" t="s">
        <v>8310</v>
      </c>
      <c r="JPL2" s="133" t="s">
        <v>8311</v>
      </c>
      <c r="JPM2" s="133" t="s">
        <v>8312</v>
      </c>
      <c r="JPN2" s="133" t="s">
        <v>8313</v>
      </c>
      <c r="JPO2" s="133" t="s">
        <v>8314</v>
      </c>
      <c r="JPP2" s="133" t="s">
        <v>8315</v>
      </c>
      <c r="JPQ2" s="133" t="s">
        <v>8316</v>
      </c>
      <c r="JPR2" s="133" t="s">
        <v>8317</v>
      </c>
      <c r="JPS2" s="133" t="s">
        <v>8318</v>
      </c>
      <c r="JPT2" s="133" t="s">
        <v>8319</v>
      </c>
      <c r="JPU2" s="133" t="s">
        <v>8320</v>
      </c>
      <c r="JPV2" s="133" t="s">
        <v>8321</v>
      </c>
      <c r="JPW2" s="133" t="s">
        <v>8322</v>
      </c>
      <c r="JPX2" s="133" t="s">
        <v>8323</v>
      </c>
      <c r="JPY2" s="133" t="s">
        <v>8324</v>
      </c>
      <c r="JPZ2" s="133" t="s">
        <v>8325</v>
      </c>
      <c r="JQA2" s="133" t="s">
        <v>8326</v>
      </c>
      <c r="JQB2" s="133" t="s">
        <v>8327</v>
      </c>
      <c r="JQC2" s="133" t="s">
        <v>8328</v>
      </c>
      <c r="JQD2" s="133" t="s">
        <v>8329</v>
      </c>
      <c r="JQE2" s="133" t="s">
        <v>8330</v>
      </c>
      <c r="JQF2" s="133" t="s">
        <v>8331</v>
      </c>
      <c r="JQG2" s="133" t="s">
        <v>8332</v>
      </c>
      <c r="JQH2" s="133" t="s">
        <v>8333</v>
      </c>
      <c r="JQI2" s="133" t="s">
        <v>8334</v>
      </c>
      <c r="JQJ2" s="133" t="s">
        <v>8335</v>
      </c>
      <c r="JQK2" s="133" t="s">
        <v>8336</v>
      </c>
      <c r="JQL2" s="133" t="s">
        <v>8337</v>
      </c>
      <c r="JQM2" s="133" t="s">
        <v>8338</v>
      </c>
      <c r="JQN2" s="133" t="s">
        <v>8339</v>
      </c>
      <c r="JQO2" s="133" t="s">
        <v>8340</v>
      </c>
      <c r="JQP2" s="133" t="s">
        <v>8341</v>
      </c>
      <c r="JQQ2" s="133" t="s">
        <v>8342</v>
      </c>
      <c r="JQR2" s="133" t="s">
        <v>8343</v>
      </c>
      <c r="JQS2" s="133" t="s">
        <v>8344</v>
      </c>
      <c r="JQT2" s="133" t="s">
        <v>8345</v>
      </c>
      <c r="JQU2" s="133" t="s">
        <v>8346</v>
      </c>
      <c r="JQV2" s="133" t="s">
        <v>8347</v>
      </c>
      <c r="JQW2" s="133" t="s">
        <v>8348</v>
      </c>
      <c r="JQX2" s="133" t="s">
        <v>8349</v>
      </c>
      <c r="JQY2" s="133" t="s">
        <v>8350</v>
      </c>
      <c r="JQZ2" s="133" t="s">
        <v>8351</v>
      </c>
      <c r="JRA2" s="133" t="s">
        <v>8352</v>
      </c>
      <c r="JRB2" s="133" t="s">
        <v>8353</v>
      </c>
      <c r="JRC2" s="133" t="s">
        <v>8354</v>
      </c>
      <c r="JRD2" s="133" t="s">
        <v>8355</v>
      </c>
      <c r="JRE2" s="133" t="s">
        <v>8356</v>
      </c>
      <c r="JRF2" s="133" t="s">
        <v>8357</v>
      </c>
      <c r="JRG2" s="133" t="s">
        <v>8358</v>
      </c>
      <c r="JRH2" s="133" t="s">
        <v>8359</v>
      </c>
      <c r="JRI2" s="133" t="s">
        <v>8360</v>
      </c>
      <c r="JRJ2" s="133" t="s">
        <v>8361</v>
      </c>
      <c r="JRK2" s="133" t="s">
        <v>8362</v>
      </c>
      <c r="JRL2" s="133" t="s">
        <v>8363</v>
      </c>
      <c r="JRM2" s="133" t="s">
        <v>8364</v>
      </c>
      <c r="JRN2" s="133" t="s">
        <v>8365</v>
      </c>
      <c r="JRO2" s="133" t="s">
        <v>8366</v>
      </c>
      <c r="JRP2" s="133" t="s">
        <v>8367</v>
      </c>
      <c r="JRQ2" s="133" t="s">
        <v>8368</v>
      </c>
      <c r="JRR2" s="133" t="s">
        <v>8369</v>
      </c>
      <c r="JRS2" s="133" t="s">
        <v>8370</v>
      </c>
      <c r="JRT2" s="133" t="s">
        <v>8371</v>
      </c>
      <c r="JRU2" s="133" t="s">
        <v>8372</v>
      </c>
      <c r="JRV2" s="133" t="s">
        <v>8373</v>
      </c>
      <c r="JRW2" s="133" t="s">
        <v>8374</v>
      </c>
      <c r="JRX2" s="133" t="s">
        <v>8375</v>
      </c>
      <c r="JRY2" s="133" t="s">
        <v>8376</v>
      </c>
      <c r="JRZ2" s="133" t="s">
        <v>8377</v>
      </c>
      <c r="JSA2" s="133" t="s">
        <v>8378</v>
      </c>
      <c r="JSB2" s="133" t="s">
        <v>8379</v>
      </c>
      <c r="JSC2" s="133" t="s">
        <v>8380</v>
      </c>
      <c r="JSD2" s="133" t="s">
        <v>8381</v>
      </c>
      <c r="JSE2" s="133" t="s">
        <v>8382</v>
      </c>
      <c r="JSF2" s="133" t="s">
        <v>8383</v>
      </c>
      <c r="JSG2" s="133" t="s">
        <v>8384</v>
      </c>
      <c r="JSH2" s="133" t="s">
        <v>8385</v>
      </c>
      <c r="JSI2" s="133" t="s">
        <v>8386</v>
      </c>
      <c r="JSJ2" s="133" t="s">
        <v>8387</v>
      </c>
      <c r="JSK2" s="133" t="s">
        <v>8388</v>
      </c>
      <c r="JSL2" s="133" t="s">
        <v>8389</v>
      </c>
      <c r="JSM2" s="133" t="s">
        <v>8390</v>
      </c>
      <c r="JSN2" s="133" t="s">
        <v>8391</v>
      </c>
      <c r="JSO2" s="133" t="s">
        <v>8392</v>
      </c>
      <c r="JSP2" s="133" t="s">
        <v>8393</v>
      </c>
      <c r="JSQ2" s="133" t="s">
        <v>8394</v>
      </c>
      <c r="JSR2" s="133" t="s">
        <v>8395</v>
      </c>
      <c r="JSS2" s="133" t="s">
        <v>8396</v>
      </c>
      <c r="JST2" s="133" t="s">
        <v>8397</v>
      </c>
      <c r="JSU2" s="133" t="s">
        <v>8398</v>
      </c>
      <c r="JSV2" s="133" t="s">
        <v>8399</v>
      </c>
      <c r="JSW2" s="133" t="s">
        <v>8400</v>
      </c>
      <c r="JSX2" s="133" t="s">
        <v>8401</v>
      </c>
      <c r="JSY2" s="133" t="s">
        <v>8402</v>
      </c>
      <c r="JSZ2" s="133" t="s">
        <v>8403</v>
      </c>
      <c r="JTA2" s="133" t="s">
        <v>8404</v>
      </c>
      <c r="JTB2" s="133" t="s">
        <v>8405</v>
      </c>
      <c r="JTC2" s="133" t="s">
        <v>8406</v>
      </c>
      <c r="JTD2" s="133" t="s">
        <v>8407</v>
      </c>
      <c r="JTE2" s="133" t="s">
        <v>8408</v>
      </c>
      <c r="JTF2" s="133" t="s">
        <v>8409</v>
      </c>
      <c r="JTG2" s="133" t="s">
        <v>8410</v>
      </c>
      <c r="JTH2" s="133" t="s">
        <v>8411</v>
      </c>
      <c r="JTI2" s="133" t="s">
        <v>8412</v>
      </c>
      <c r="JTJ2" s="133" t="s">
        <v>8413</v>
      </c>
      <c r="JTK2" s="133" t="s">
        <v>8414</v>
      </c>
      <c r="JTL2" s="133" t="s">
        <v>8415</v>
      </c>
      <c r="JTM2" s="133" t="s">
        <v>8416</v>
      </c>
      <c r="JTN2" s="133" t="s">
        <v>8417</v>
      </c>
      <c r="JTO2" s="133" t="s">
        <v>8418</v>
      </c>
      <c r="JTP2" s="133" t="s">
        <v>8419</v>
      </c>
      <c r="JTQ2" s="133" t="s">
        <v>8420</v>
      </c>
      <c r="JTR2" s="133" t="s">
        <v>8421</v>
      </c>
      <c r="JTS2" s="133" t="s">
        <v>8422</v>
      </c>
      <c r="JTT2" s="133" t="s">
        <v>8423</v>
      </c>
      <c r="JTU2" s="133" t="s">
        <v>8424</v>
      </c>
      <c r="JTV2" s="133" t="s">
        <v>8425</v>
      </c>
      <c r="JTW2" s="133" t="s">
        <v>8426</v>
      </c>
      <c r="JTX2" s="133" t="s">
        <v>8427</v>
      </c>
      <c r="JTY2" s="133" t="s">
        <v>8428</v>
      </c>
      <c r="JTZ2" s="133" t="s">
        <v>8429</v>
      </c>
      <c r="JUA2" s="133" t="s">
        <v>8430</v>
      </c>
      <c r="JUB2" s="133" t="s">
        <v>8431</v>
      </c>
      <c r="JUC2" s="133" t="s">
        <v>8432</v>
      </c>
      <c r="JUD2" s="133" t="s">
        <v>8433</v>
      </c>
      <c r="JUE2" s="133" t="s">
        <v>8434</v>
      </c>
      <c r="JUF2" s="133" t="s">
        <v>8435</v>
      </c>
      <c r="JUG2" s="133" t="s">
        <v>8436</v>
      </c>
      <c r="JUH2" s="133" t="s">
        <v>8437</v>
      </c>
      <c r="JUI2" s="133" t="s">
        <v>8438</v>
      </c>
      <c r="JUJ2" s="133" t="s">
        <v>8439</v>
      </c>
      <c r="JUK2" s="133" t="s">
        <v>8440</v>
      </c>
      <c r="JUL2" s="133" t="s">
        <v>8441</v>
      </c>
      <c r="JUM2" s="133" t="s">
        <v>8442</v>
      </c>
      <c r="JUN2" s="133" t="s">
        <v>8443</v>
      </c>
      <c r="JUO2" s="133" t="s">
        <v>8444</v>
      </c>
      <c r="JUP2" s="133" t="s">
        <v>8445</v>
      </c>
      <c r="JUQ2" s="133" t="s">
        <v>8446</v>
      </c>
      <c r="JUR2" s="133" t="s">
        <v>8447</v>
      </c>
      <c r="JUS2" s="133" t="s">
        <v>8448</v>
      </c>
      <c r="JUT2" s="133" t="s">
        <v>8449</v>
      </c>
      <c r="JUU2" s="133" t="s">
        <v>8450</v>
      </c>
      <c r="JUV2" s="133" t="s">
        <v>8451</v>
      </c>
      <c r="JUW2" s="133" t="s">
        <v>8452</v>
      </c>
      <c r="JUX2" s="133" t="s">
        <v>8453</v>
      </c>
      <c r="JUY2" s="133" t="s">
        <v>8454</v>
      </c>
      <c r="JUZ2" s="133" t="s">
        <v>8455</v>
      </c>
      <c r="JVA2" s="133" t="s">
        <v>8456</v>
      </c>
      <c r="JVB2" s="133" t="s">
        <v>8457</v>
      </c>
      <c r="JVC2" s="133" t="s">
        <v>8458</v>
      </c>
      <c r="JVD2" s="133" t="s">
        <v>8459</v>
      </c>
      <c r="JVE2" s="133" t="s">
        <v>8460</v>
      </c>
      <c r="JVF2" s="133" t="s">
        <v>8461</v>
      </c>
      <c r="JVG2" s="133" t="s">
        <v>8462</v>
      </c>
      <c r="JVH2" s="133" t="s">
        <v>8463</v>
      </c>
      <c r="JVI2" s="133" t="s">
        <v>8464</v>
      </c>
      <c r="JVJ2" s="133" t="s">
        <v>8465</v>
      </c>
      <c r="JVK2" s="133" t="s">
        <v>8466</v>
      </c>
      <c r="JVL2" s="133" t="s">
        <v>8467</v>
      </c>
      <c r="JVM2" s="133" t="s">
        <v>8468</v>
      </c>
      <c r="JVN2" s="133" t="s">
        <v>8469</v>
      </c>
      <c r="JVO2" s="133" t="s">
        <v>8470</v>
      </c>
      <c r="JVP2" s="133" t="s">
        <v>8471</v>
      </c>
      <c r="JVQ2" s="133" t="s">
        <v>8472</v>
      </c>
      <c r="JVR2" s="133" t="s">
        <v>8473</v>
      </c>
      <c r="JVS2" s="133" t="s">
        <v>8474</v>
      </c>
      <c r="JVT2" s="133" t="s">
        <v>8475</v>
      </c>
      <c r="JVU2" s="133" t="s">
        <v>8476</v>
      </c>
      <c r="JVV2" s="133" t="s">
        <v>8477</v>
      </c>
      <c r="JVW2" s="133" t="s">
        <v>8478</v>
      </c>
      <c r="JVX2" s="133" t="s">
        <v>8479</v>
      </c>
      <c r="JVY2" s="133" t="s">
        <v>8480</v>
      </c>
      <c r="JVZ2" s="133" t="s">
        <v>8481</v>
      </c>
      <c r="JWA2" s="133" t="s">
        <v>8482</v>
      </c>
      <c r="JWB2" s="133" t="s">
        <v>8483</v>
      </c>
      <c r="JWC2" s="133" t="s">
        <v>8484</v>
      </c>
      <c r="JWD2" s="133" t="s">
        <v>8485</v>
      </c>
      <c r="JWE2" s="133" t="s">
        <v>8486</v>
      </c>
      <c r="JWF2" s="133" t="s">
        <v>8487</v>
      </c>
      <c r="JWG2" s="133" t="s">
        <v>8488</v>
      </c>
      <c r="JWH2" s="133" t="s">
        <v>8489</v>
      </c>
      <c r="JWI2" s="133" t="s">
        <v>8490</v>
      </c>
      <c r="JWJ2" s="133" t="s">
        <v>8491</v>
      </c>
      <c r="JWK2" s="133" t="s">
        <v>8492</v>
      </c>
      <c r="JWL2" s="133" t="s">
        <v>8493</v>
      </c>
      <c r="JWM2" s="133" t="s">
        <v>8494</v>
      </c>
      <c r="JWN2" s="133" t="s">
        <v>8495</v>
      </c>
      <c r="JWO2" s="133" t="s">
        <v>8496</v>
      </c>
      <c r="JWP2" s="133" t="s">
        <v>8497</v>
      </c>
      <c r="JWQ2" s="133" t="s">
        <v>8498</v>
      </c>
      <c r="JWR2" s="133" t="s">
        <v>8499</v>
      </c>
      <c r="JWS2" s="133" t="s">
        <v>8500</v>
      </c>
      <c r="JWT2" s="133" t="s">
        <v>8501</v>
      </c>
      <c r="JWU2" s="133" t="s">
        <v>8502</v>
      </c>
      <c r="JWV2" s="133" t="s">
        <v>8503</v>
      </c>
      <c r="JWW2" s="133" t="s">
        <v>8504</v>
      </c>
      <c r="JWX2" s="133" t="s">
        <v>8505</v>
      </c>
      <c r="JWY2" s="133" t="s">
        <v>8506</v>
      </c>
      <c r="JWZ2" s="133" t="s">
        <v>8507</v>
      </c>
      <c r="JXA2" s="133" t="s">
        <v>8508</v>
      </c>
      <c r="JXB2" s="133" t="s">
        <v>8509</v>
      </c>
      <c r="JXC2" s="133" t="s">
        <v>8510</v>
      </c>
      <c r="JXD2" s="133" t="s">
        <v>8511</v>
      </c>
      <c r="JXE2" s="133" t="s">
        <v>8512</v>
      </c>
      <c r="JXF2" s="133" t="s">
        <v>8513</v>
      </c>
      <c r="JXG2" s="133" t="s">
        <v>8514</v>
      </c>
      <c r="JXH2" s="133" t="s">
        <v>8515</v>
      </c>
      <c r="JXI2" s="133" t="s">
        <v>8516</v>
      </c>
      <c r="JXJ2" s="133" t="s">
        <v>8517</v>
      </c>
      <c r="JXK2" s="133" t="s">
        <v>8518</v>
      </c>
      <c r="JXL2" s="133" t="s">
        <v>8519</v>
      </c>
      <c r="JXM2" s="133" t="s">
        <v>8520</v>
      </c>
      <c r="JXN2" s="133" t="s">
        <v>8521</v>
      </c>
      <c r="JXO2" s="133" t="s">
        <v>8522</v>
      </c>
      <c r="JXP2" s="133" t="s">
        <v>8523</v>
      </c>
      <c r="JXQ2" s="133" t="s">
        <v>8524</v>
      </c>
      <c r="JXR2" s="133" t="s">
        <v>8525</v>
      </c>
      <c r="JXS2" s="133" t="s">
        <v>8526</v>
      </c>
      <c r="JXT2" s="133" t="s">
        <v>8527</v>
      </c>
      <c r="JXU2" s="133" t="s">
        <v>8528</v>
      </c>
      <c r="JXV2" s="133" t="s">
        <v>8529</v>
      </c>
      <c r="JXW2" s="133" t="s">
        <v>8530</v>
      </c>
      <c r="JXX2" s="133" t="s">
        <v>8531</v>
      </c>
      <c r="JXY2" s="133" t="s">
        <v>8532</v>
      </c>
      <c r="JXZ2" s="133" t="s">
        <v>8533</v>
      </c>
      <c r="JYA2" s="133" t="s">
        <v>8534</v>
      </c>
      <c r="JYB2" s="133" t="s">
        <v>8535</v>
      </c>
      <c r="JYC2" s="133" t="s">
        <v>8536</v>
      </c>
      <c r="JYD2" s="133" t="s">
        <v>8537</v>
      </c>
      <c r="JYE2" s="133" t="s">
        <v>8538</v>
      </c>
      <c r="JYF2" s="133" t="s">
        <v>8539</v>
      </c>
      <c r="JYG2" s="133" t="s">
        <v>8540</v>
      </c>
      <c r="JYH2" s="133" t="s">
        <v>8541</v>
      </c>
      <c r="JYI2" s="133" t="s">
        <v>8542</v>
      </c>
      <c r="JYJ2" s="133" t="s">
        <v>8543</v>
      </c>
      <c r="JYK2" s="133" t="s">
        <v>8544</v>
      </c>
      <c r="JYL2" s="133" t="s">
        <v>8545</v>
      </c>
      <c r="JYM2" s="133" t="s">
        <v>8546</v>
      </c>
      <c r="JYN2" s="133" t="s">
        <v>8547</v>
      </c>
      <c r="JYO2" s="133" t="s">
        <v>8548</v>
      </c>
      <c r="JYP2" s="133" t="s">
        <v>8549</v>
      </c>
      <c r="JYQ2" s="133" t="s">
        <v>8550</v>
      </c>
      <c r="JYR2" s="133" t="s">
        <v>8551</v>
      </c>
      <c r="JYS2" s="133" t="s">
        <v>8552</v>
      </c>
      <c r="JYT2" s="133" t="s">
        <v>8553</v>
      </c>
      <c r="JYU2" s="133" t="s">
        <v>8554</v>
      </c>
      <c r="JYV2" s="133" t="s">
        <v>8555</v>
      </c>
      <c r="JYW2" s="133" t="s">
        <v>8556</v>
      </c>
      <c r="JYX2" s="133" t="s">
        <v>8557</v>
      </c>
      <c r="JYY2" s="133" t="s">
        <v>8558</v>
      </c>
      <c r="JYZ2" s="133" t="s">
        <v>8559</v>
      </c>
      <c r="JZA2" s="133" t="s">
        <v>8560</v>
      </c>
      <c r="JZB2" s="133" t="s">
        <v>8561</v>
      </c>
      <c r="JZC2" s="133" t="s">
        <v>8562</v>
      </c>
      <c r="JZD2" s="133" t="s">
        <v>8563</v>
      </c>
      <c r="JZE2" s="133" t="s">
        <v>8564</v>
      </c>
      <c r="JZF2" s="133" t="s">
        <v>8565</v>
      </c>
      <c r="JZG2" s="133" t="s">
        <v>8566</v>
      </c>
      <c r="JZH2" s="133" t="s">
        <v>8567</v>
      </c>
      <c r="JZI2" s="133" t="s">
        <v>8568</v>
      </c>
      <c r="JZJ2" s="133" t="s">
        <v>8569</v>
      </c>
      <c r="JZK2" s="133" t="s">
        <v>8570</v>
      </c>
      <c r="JZL2" s="133" t="s">
        <v>8571</v>
      </c>
      <c r="JZM2" s="133" t="s">
        <v>8572</v>
      </c>
      <c r="JZN2" s="133" t="s">
        <v>8573</v>
      </c>
      <c r="JZO2" s="133" t="s">
        <v>8574</v>
      </c>
      <c r="JZP2" s="133" t="s">
        <v>8575</v>
      </c>
      <c r="JZQ2" s="133" t="s">
        <v>8576</v>
      </c>
      <c r="JZR2" s="133" t="s">
        <v>8577</v>
      </c>
      <c r="JZS2" s="133" t="s">
        <v>8578</v>
      </c>
      <c r="JZT2" s="133" t="s">
        <v>8579</v>
      </c>
      <c r="JZU2" s="133" t="s">
        <v>8580</v>
      </c>
      <c r="JZV2" s="133" t="s">
        <v>8581</v>
      </c>
      <c r="JZW2" s="133" t="s">
        <v>8582</v>
      </c>
      <c r="JZX2" s="133" t="s">
        <v>8583</v>
      </c>
      <c r="JZY2" s="133" t="s">
        <v>8584</v>
      </c>
      <c r="JZZ2" s="133" t="s">
        <v>8585</v>
      </c>
      <c r="KAA2" s="133" t="s">
        <v>8586</v>
      </c>
      <c r="KAB2" s="133" t="s">
        <v>8587</v>
      </c>
      <c r="KAC2" s="133" t="s">
        <v>8588</v>
      </c>
      <c r="KAD2" s="133" t="s">
        <v>8589</v>
      </c>
      <c r="KAE2" s="133" t="s">
        <v>8590</v>
      </c>
      <c r="KAF2" s="133" t="s">
        <v>8591</v>
      </c>
      <c r="KAG2" s="133" t="s">
        <v>8592</v>
      </c>
      <c r="KAH2" s="133" t="s">
        <v>8593</v>
      </c>
      <c r="KAI2" s="133" t="s">
        <v>8594</v>
      </c>
      <c r="KAJ2" s="133" t="s">
        <v>8595</v>
      </c>
      <c r="KAK2" s="133" t="s">
        <v>8596</v>
      </c>
      <c r="KAL2" s="133" t="s">
        <v>8597</v>
      </c>
      <c r="KAM2" s="133" t="s">
        <v>8598</v>
      </c>
      <c r="KAN2" s="133" t="s">
        <v>8599</v>
      </c>
      <c r="KAO2" s="133" t="s">
        <v>8600</v>
      </c>
      <c r="KAP2" s="133" t="s">
        <v>8601</v>
      </c>
      <c r="KAQ2" s="133" t="s">
        <v>8602</v>
      </c>
      <c r="KAR2" s="133" t="s">
        <v>8603</v>
      </c>
      <c r="KAS2" s="133" t="s">
        <v>8604</v>
      </c>
      <c r="KAT2" s="133" t="s">
        <v>8605</v>
      </c>
      <c r="KAU2" s="133" t="s">
        <v>8606</v>
      </c>
      <c r="KAV2" s="133" t="s">
        <v>8607</v>
      </c>
      <c r="KAW2" s="133" t="s">
        <v>8608</v>
      </c>
      <c r="KAX2" s="133" t="s">
        <v>8609</v>
      </c>
      <c r="KAY2" s="133" t="s">
        <v>8610</v>
      </c>
      <c r="KAZ2" s="133" t="s">
        <v>8611</v>
      </c>
      <c r="KBA2" s="133" t="s">
        <v>8612</v>
      </c>
      <c r="KBB2" s="133" t="s">
        <v>8613</v>
      </c>
      <c r="KBC2" s="133" t="s">
        <v>8614</v>
      </c>
      <c r="KBD2" s="133" t="s">
        <v>8615</v>
      </c>
      <c r="KBE2" s="133" t="s">
        <v>8616</v>
      </c>
      <c r="KBF2" s="133" t="s">
        <v>8617</v>
      </c>
      <c r="KBG2" s="133" t="s">
        <v>8618</v>
      </c>
      <c r="KBH2" s="133" t="s">
        <v>8619</v>
      </c>
      <c r="KBI2" s="133" t="s">
        <v>8620</v>
      </c>
      <c r="KBJ2" s="133" t="s">
        <v>8621</v>
      </c>
      <c r="KBK2" s="133" t="s">
        <v>8622</v>
      </c>
      <c r="KBL2" s="133" t="s">
        <v>8623</v>
      </c>
      <c r="KBM2" s="133" t="s">
        <v>8624</v>
      </c>
      <c r="KBN2" s="133" t="s">
        <v>8625</v>
      </c>
      <c r="KBO2" s="133" t="s">
        <v>8626</v>
      </c>
      <c r="KBP2" s="133" t="s">
        <v>8627</v>
      </c>
      <c r="KBQ2" s="133" t="s">
        <v>8628</v>
      </c>
      <c r="KBR2" s="133" t="s">
        <v>8629</v>
      </c>
      <c r="KBS2" s="133" t="s">
        <v>8630</v>
      </c>
      <c r="KBT2" s="133" t="s">
        <v>8631</v>
      </c>
      <c r="KBU2" s="133" t="s">
        <v>8632</v>
      </c>
      <c r="KBV2" s="133" t="s">
        <v>8633</v>
      </c>
      <c r="KBW2" s="133" t="s">
        <v>8634</v>
      </c>
      <c r="KBX2" s="133" t="s">
        <v>8635</v>
      </c>
      <c r="KBY2" s="133" t="s">
        <v>8636</v>
      </c>
      <c r="KBZ2" s="133" t="s">
        <v>8637</v>
      </c>
      <c r="KCA2" s="133" t="s">
        <v>8638</v>
      </c>
      <c r="KCB2" s="133" t="s">
        <v>8639</v>
      </c>
      <c r="KCC2" s="133" t="s">
        <v>8640</v>
      </c>
      <c r="KCD2" s="133" t="s">
        <v>8641</v>
      </c>
      <c r="KCE2" s="133" t="s">
        <v>8642</v>
      </c>
      <c r="KCF2" s="133" t="s">
        <v>8643</v>
      </c>
      <c r="KCG2" s="133" t="s">
        <v>8644</v>
      </c>
      <c r="KCH2" s="133" t="s">
        <v>8645</v>
      </c>
      <c r="KCI2" s="133" t="s">
        <v>8646</v>
      </c>
      <c r="KCJ2" s="133" t="s">
        <v>8647</v>
      </c>
      <c r="KCK2" s="133" t="s">
        <v>8648</v>
      </c>
      <c r="KCL2" s="133" t="s">
        <v>8649</v>
      </c>
      <c r="KCM2" s="133" t="s">
        <v>8650</v>
      </c>
      <c r="KCN2" s="133" t="s">
        <v>8651</v>
      </c>
      <c r="KCO2" s="133" t="s">
        <v>8652</v>
      </c>
      <c r="KCP2" s="133" t="s">
        <v>8653</v>
      </c>
      <c r="KCQ2" s="133" t="s">
        <v>8654</v>
      </c>
      <c r="KCR2" s="133" t="s">
        <v>8655</v>
      </c>
      <c r="KCS2" s="133" t="s">
        <v>8656</v>
      </c>
      <c r="KCT2" s="133" t="s">
        <v>8657</v>
      </c>
      <c r="KCU2" s="133" t="s">
        <v>8658</v>
      </c>
      <c r="KCV2" s="133" t="s">
        <v>8659</v>
      </c>
      <c r="KCW2" s="133" t="s">
        <v>8660</v>
      </c>
      <c r="KCX2" s="133" t="s">
        <v>8661</v>
      </c>
      <c r="KCY2" s="133" t="s">
        <v>8662</v>
      </c>
      <c r="KCZ2" s="133" t="s">
        <v>8663</v>
      </c>
      <c r="KDA2" s="133" t="s">
        <v>8664</v>
      </c>
      <c r="KDB2" s="133" t="s">
        <v>8665</v>
      </c>
      <c r="KDC2" s="133" t="s">
        <v>8666</v>
      </c>
      <c r="KDD2" s="133" t="s">
        <v>8667</v>
      </c>
      <c r="KDE2" s="133" t="s">
        <v>8668</v>
      </c>
      <c r="KDF2" s="133" t="s">
        <v>8669</v>
      </c>
      <c r="KDG2" s="133" t="s">
        <v>8670</v>
      </c>
      <c r="KDH2" s="133" t="s">
        <v>8671</v>
      </c>
      <c r="KDI2" s="133" t="s">
        <v>8672</v>
      </c>
      <c r="KDJ2" s="133" t="s">
        <v>8673</v>
      </c>
      <c r="KDK2" s="133" t="s">
        <v>8674</v>
      </c>
      <c r="KDL2" s="133" t="s">
        <v>8675</v>
      </c>
      <c r="KDM2" s="133" t="s">
        <v>8676</v>
      </c>
      <c r="KDN2" s="133" t="s">
        <v>8677</v>
      </c>
      <c r="KDO2" s="133" t="s">
        <v>8678</v>
      </c>
      <c r="KDP2" s="133" t="s">
        <v>8679</v>
      </c>
      <c r="KDQ2" s="133" t="s">
        <v>8680</v>
      </c>
      <c r="KDR2" s="133" t="s">
        <v>8681</v>
      </c>
      <c r="KDS2" s="133" t="s">
        <v>8682</v>
      </c>
      <c r="KDT2" s="133" t="s">
        <v>8683</v>
      </c>
      <c r="KDU2" s="133" t="s">
        <v>8684</v>
      </c>
      <c r="KDV2" s="133" t="s">
        <v>8685</v>
      </c>
      <c r="KDW2" s="133" t="s">
        <v>8686</v>
      </c>
      <c r="KDX2" s="133" t="s">
        <v>8687</v>
      </c>
      <c r="KDY2" s="133" t="s">
        <v>8688</v>
      </c>
      <c r="KDZ2" s="133" t="s">
        <v>8689</v>
      </c>
      <c r="KEA2" s="133" t="s">
        <v>8690</v>
      </c>
      <c r="KEB2" s="133" t="s">
        <v>8691</v>
      </c>
      <c r="KEC2" s="133" t="s">
        <v>8692</v>
      </c>
      <c r="KED2" s="133" t="s">
        <v>8693</v>
      </c>
      <c r="KEE2" s="133" t="s">
        <v>8694</v>
      </c>
      <c r="KEF2" s="133" t="s">
        <v>8695</v>
      </c>
      <c r="KEG2" s="133" t="s">
        <v>8696</v>
      </c>
      <c r="KEH2" s="133" t="s">
        <v>8697</v>
      </c>
      <c r="KEI2" s="133" t="s">
        <v>8698</v>
      </c>
      <c r="KEJ2" s="133" t="s">
        <v>8699</v>
      </c>
      <c r="KEK2" s="133" t="s">
        <v>8700</v>
      </c>
      <c r="KEL2" s="133" t="s">
        <v>8701</v>
      </c>
      <c r="KEM2" s="133" t="s">
        <v>8702</v>
      </c>
      <c r="KEN2" s="133" t="s">
        <v>8703</v>
      </c>
      <c r="KEO2" s="133" t="s">
        <v>8704</v>
      </c>
      <c r="KEP2" s="133" t="s">
        <v>8705</v>
      </c>
      <c r="KEQ2" s="133" t="s">
        <v>8706</v>
      </c>
      <c r="KER2" s="133" t="s">
        <v>8707</v>
      </c>
      <c r="KES2" s="133" t="s">
        <v>8708</v>
      </c>
      <c r="KET2" s="133" t="s">
        <v>8709</v>
      </c>
      <c r="KEU2" s="133" t="s">
        <v>8710</v>
      </c>
      <c r="KEV2" s="133" t="s">
        <v>8711</v>
      </c>
      <c r="KEW2" s="133" t="s">
        <v>8712</v>
      </c>
      <c r="KEX2" s="133" t="s">
        <v>8713</v>
      </c>
      <c r="KEY2" s="133" t="s">
        <v>8714</v>
      </c>
      <c r="KEZ2" s="133" t="s">
        <v>8715</v>
      </c>
      <c r="KFA2" s="133" t="s">
        <v>8716</v>
      </c>
      <c r="KFB2" s="133" t="s">
        <v>8717</v>
      </c>
      <c r="KFC2" s="133" t="s">
        <v>8718</v>
      </c>
      <c r="KFD2" s="133" t="s">
        <v>8719</v>
      </c>
      <c r="KFE2" s="133" t="s">
        <v>8720</v>
      </c>
      <c r="KFF2" s="133" t="s">
        <v>8721</v>
      </c>
      <c r="KFG2" s="133" t="s">
        <v>8722</v>
      </c>
      <c r="KFH2" s="133" t="s">
        <v>8723</v>
      </c>
      <c r="KFI2" s="133" t="s">
        <v>8724</v>
      </c>
      <c r="KFJ2" s="133" t="s">
        <v>8725</v>
      </c>
      <c r="KFK2" s="133" t="s">
        <v>8726</v>
      </c>
      <c r="KFL2" s="133" t="s">
        <v>8727</v>
      </c>
      <c r="KFM2" s="133" t="s">
        <v>8728</v>
      </c>
      <c r="KFN2" s="133" t="s">
        <v>8729</v>
      </c>
      <c r="KFO2" s="133" t="s">
        <v>8730</v>
      </c>
      <c r="KFP2" s="133" t="s">
        <v>8731</v>
      </c>
      <c r="KFQ2" s="133" t="s">
        <v>8732</v>
      </c>
      <c r="KFR2" s="133" t="s">
        <v>8733</v>
      </c>
      <c r="KFS2" s="133" t="s">
        <v>8734</v>
      </c>
      <c r="KFT2" s="133" t="s">
        <v>8735</v>
      </c>
      <c r="KFU2" s="133" t="s">
        <v>8736</v>
      </c>
      <c r="KFV2" s="133" t="s">
        <v>8737</v>
      </c>
      <c r="KFW2" s="133" t="s">
        <v>8738</v>
      </c>
      <c r="KFX2" s="133" t="s">
        <v>8739</v>
      </c>
      <c r="KFY2" s="133" t="s">
        <v>8740</v>
      </c>
      <c r="KFZ2" s="133" t="s">
        <v>8741</v>
      </c>
      <c r="KGA2" s="133" t="s">
        <v>8742</v>
      </c>
      <c r="KGB2" s="133" t="s">
        <v>8743</v>
      </c>
      <c r="KGC2" s="133" t="s">
        <v>8744</v>
      </c>
      <c r="KGD2" s="133" t="s">
        <v>8745</v>
      </c>
      <c r="KGE2" s="133" t="s">
        <v>8746</v>
      </c>
      <c r="KGF2" s="133" t="s">
        <v>8747</v>
      </c>
      <c r="KGG2" s="133" t="s">
        <v>8748</v>
      </c>
      <c r="KGH2" s="133" t="s">
        <v>8749</v>
      </c>
      <c r="KGI2" s="133" t="s">
        <v>8750</v>
      </c>
      <c r="KGJ2" s="133" t="s">
        <v>8751</v>
      </c>
      <c r="KGK2" s="133" t="s">
        <v>8752</v>
      </c>
      <c r="KGL2" s="133" t="s">
        <v>8753</v>
      </c>
      <c r="KGM2" s="133" t="s">
        <v>8754</v>
      </c>
      <c r="KGN2" s="133" t="s">
        <v>8755</v>
      </c>
      <c r="KGO2" s="133" t="s">
        <v>8756</v>
      </c>
      <c r="KGP2" s="133" t="s">
        <v>8757</v>
      </c>
      <c r="KGQ2" s="133" t="s">
        <v>8758</v>
      </c>
      <c r="KGR2" s="133" t="s">
        <v>8759</v>
      </c>
      <c r="KGS2" s="133" t="s">
        <v>8760</v>
      </c>
      <c r="KGT2" s="133" t="s">
        <v>8761</v>
      </c>
      <c r="KGU2" s="133" t="s">
        <v>8762</v>
      </c>
      <c r="KGV2" s="133" t="s">
        <v>8763</v>
      </c>
      <c r="KGW2" s="133" t="s">
        <v>8764</v>
      </c>
      <c r="KGX2" s="133" t="s">
        <v>8765</v>
      </c>
      <c r="KGY2" s="133" t="s">
        <v>8766</v>
      </c>
      <c r="KGZ2" s="133" t="s">
        <v>8767</v>
      </c>
      <c r="KHA2" s="133" t="s">
        <v>8768</v>
      </c>
      <c r="KHB2" s="133" t="s">
        <v>8769</v>
      </c>
      <c r="KHC2" s="133" t="s">
        <v>8770</v>
      </c>
      <c r="KHD2" s="133" t="s">
        <v>8771</v>
      </c>
      <c r="KHE2" s="133" t="s">
        <v>8772</v>
      </c>
      <c r="KHF2" s="133" t="s">
        <v>8773</v>
      </c>
      <c r="KHG2" s="133" t="s">
        <v>8774</v>
      </c>
      <c r="KHH2" s="133" t="s">
        <v>8775</v>
      </c>
      <c r="KHI2" s="133" t="s">
        <v>8776</v>
      </c>
      <c r="KHJ2" s="133" t="s">
        <v>8777</v>
      </c>
      <c r="KHK2" s="133" t="s">
        <v>8778</v>
      </c>
      <c r="KHL2" s="133" t="s">
        <v>8779</v>
      </c>
      <c r="KHM2" s="133" t="s">
        <v>8780</v>
      </c>
      <c r="KHN2" s="133" t="s">
        <v>8781</v>
      </c>
      <c r="KHO2" s="133" t="s">
        <v>8782</v>
      </c>
      <c r="KHP2" s="133" t="s">
        <v>8783</v>
      </c>
      <c r="KHQ2" s="133" t="s">
        <v>8784</v>
      </c>
      <c r="KHR2" s="133" t="s">
        <v>8785</v>
      </c>
      <c r="KHS2" s="133" t="s">
        <v>8786</v>
      </c>
      <c r="KHT2" s="133" t="s">
        <v>8787</v>
      </c>
      <c r="KHU2" s="133" t="s">
        <v>8788</v>
      </c>
      <c r="KHV2" s="133" t="s">
        <v>8789</v>
      </c>
      <c r="KHW2" s="133" t="s">
        <v>8790</v>
      </c>
      <c r="KHX2" s="133" t="s">
        <v>8791</v>
      </c>
      <c r="KHY2" s="133" t="s">
        <v>8792</v>
      </c>
      <c r="KHZ2" s="133" t="s">
        <v>8793</v>
      </c>
      <c r="KIA2" s="133" t="s">
        <v>8794</v>
      </c>
      <c r="KIB2" s="133" t="s">
        <v>8795</v>
      </c>
      <c r="KIC2" s="133" t="s">
        <v>8796</v>
      </c>
      <c r="KID2" s="133" t="s">
        <v>8797</v>
      </c>
      <c r="KIE2" s="133" t="s">
        <v>8798</v>
      </c>
      <c r="KIF2" s="133" t="s">
        <v>8799</v>
      </c>
      <c r="KIG2" s="133" t="s">
        <v>8800</v>
      </c>
      <c r="KIH2" s="133" t="s">
        <v>8801</v>
      </c>
      <c r="KII2" s="133" t="s">
        <v>8802</v>
      </c>
      <c r="KIJ2" s="133" t="s">
        <v>8803</v>
      </c>
      <c r="KIK2" s="133" t="s">
        <v>8804</v>
      </c>
      <c r="KIL2" s="133" t="s">
        <v>8805</v>
      </c>
      <c r="KIM2" s="133" t="s">
        <v>8806</v>
      </c>
      <c r="KIN2" s="133" t="s">
        <v>8807</v>
      </c>
      <c r="KIO2" s="133" t="s">
        <v>8808</v>
      </c>
      <c r="KIP2" s="133" t="s">
        <v>8809</v>
      </c>
      <c r="KIQ2" s="133" t="s">
        <v>8810</v>
      </c>
      <c r="KIR2" s="133" t="s">
        <v>8811</v>
      </c>
      <c r="KIS2" s="133" t="s">
        <v>8812</v>
      </c>
      <c r="KIT2" s="133" t="s">
        <v>8813</v>
      </c>
      <c r="KIU2" s="133" t="s">
        <v>8814</v>
      </c>
      <c r="KIV2" s="133" t="s">
        <v>8815</v>
      </c>
      <c r="KIW2" s="133" t="s">
        <v>8816</v>
      </c>
      <c r="KIX2" s="133" t="s">
        <v>8817</v>
      </c>
      <c r="KIY2" s="133" t="s">
        <v>8818</v>
      </c>
      <c r="KIZ2" s="133" t="s">
        <v>8819</v>
      </c>
      <c r="KJA2" s="133" t="s">
        <v>8820</v>
      </c>
      <c r="KJB2" s="133" t="s">
        <v>8821</v>
      </c>
      <c r="KJC2" s="133" t="s">
        <v>8822</v>
      </c>
      <c r="KJD2" s="133" t="s">
        <v>8823</v>
      </c>
      <c r="KJE2" s="133" t="s">
        <v>8824</v>
      </c>
      <c r="KJF2" s="133" t="s">
        <v>8825</v>
      </c>
      <c r="KJG2" s="133" t="s">
        <v>8826</v>
      </c>
      <c r="KJH2" s="133" t="s">
        <v>8827</v>
      </c>
      <c r="KJI2" s="133" t="s">
        <v>8828</v>
      </c>
      <c r="KJJ2" s="133" t="s">
        <v>8829</v>
      </c>
      <c r="KJK2" s="133" t="s">
        <v>8830</v>
      </c>
      <c r="KJL2" s="133" t="s">
        <v>8831</v>
      </c>
      <c r="KJM2" s="133" t="s">
        <v>8832</v>
      </c>
      <c r="KJN2" s="133" t="s">
        <v>8833</v>
      </c>
      <c r="KJO2" s="133" t="s">
        <v>8834</v>
      </c>
      <c r="KJP2" s="133" t="s">
        <v>8835</v>
      </c>
      <c r="KJQ2" s="133" t="s">
        <v>8836</v>
      </c>
      <c r="KJR2" s="133" t="s">
        <v>8837</v>
      </c>
      <c r="KJS2" s="133" t="s">
        <v>8838</v>
      </c>
      <c r="KJT2" s="133" t="s">
        <v>8839</v>
      </c>
      <c r="KJU2" s="133" t="s">
        <v>8840</v>
      </c>
      <c r="KJV2" s="133" t="s">
        <v>8841</v>
      </c>
      <c r="KJW2" s="133" t="s">
        <v>8842</v>
      </c>
      <c r="KJX2" s="133" t="s">
        <v>8843</v>
      </c>
      <c r="KJY2" s="133" t="s">
        <v>8844</v>
      </c>
      <c r="KJZ2" s="133" t="s">
        <v>8845</v>
      </c>
      <c r="KKA2" s="133" t="s">
        <v>8846</v>
      </c>
      <c r="KKB2" s="133" t="s">
        <v>8847</v>
      </c>
      <c r="KKC2" s="133" t="s">
        <v>8848</v>
      </c>
      <c r="KKD2" s="133" t="s">
        <v>8849</v>
      </c>
      <c r="KKE2" s="133" t="s">
        <v>8850</v>
      </c>
      <c r="KKF2" s="133" t="s">
        <v>8851</v>
      </c>
      <c r="KKG2" s="133" t="s">
        <v>8852</v>
      </c>
      <c r="KKH2" s="133" t="s">
        <v>8853</v>
      </c>
      <c r="KKI2" s="133" t="s">
        <v>8854</v>
      </c>
      <c r="KKJ2" s="133" t="s">
        <v>8855</v>
      </c>
      <c r="KKK2" s="133" t="s">
        <v>8856</v>
      </c>
      <c r="KKL2" s="133" t="s">
        <v>8857</v>
      </c>
      <c r="KKM2" s="133" t="s">
        <v>8858</v>
      </c>
      <c r="KKN2" s="133" t="s">
        <v>8859</v>
      </c>
      <c r="KKO2" s="133" t="s">
        <v>8860</v>
      </c>
      <c r="KKP2" s="133" t="s">
        <v>8861</v>
      </c>
      <c r="KKQ2" s="133" t="s">
        <v>8862</v>
      </c>
      <c r="KKR2" s="133" t="s">
        <v>8863</v>
      </c>
      <c r="KKS2" s="133" t="s">
        <v>8864</v>
      </c>
      <c r="KKT2" s="133" t="s">
        <v>8865</v>
      </c>
      <c r="KKU2" s="133" t="s">
        <v>8866</v>
      </c>
      <c r="KKV2" s="133" t="s">
        <v>8867</v>
      </c>
      <c r="KKW2" s="133" t="s">
        <v>8868</v>
      </c>
      <c r="KKX2" s="133" t="s">
        <v>8869</v>
      </c>
      <c r="KKY2" s="133" t="s">
        <v>8870</v>
      </c>
      <c r="KKZ2" s="133" t="s">
        <v>8871</v>
      </c>
      <c r="KLA2" s="133" t="s">
        <v>8872</v>
      </c>
      <c r="KLB2" s="133" t="s">
        <v>8873</v>
      </c>
      <c r="KLC2" s="133" t="s">
        <v>8874</v>
      </c>
      <c r="KLD2" s="133" t="s">
        <v>8875</v>
      </c>
      <c r="KLE2" s="133" t="s">
        <v>8876</v>
      </c>
      <c r="KLF2" s="133" t="s">
        <v>8877</v>
      </c>
      <c r="KLG2" s="133" t="s">
        <v>8878</v>
      </c>
      <c r="KLH2" s="133" t="s">
        <v>8879</v>
      </c>
      <c r="KLI2" s="133" t="s">
        <v>8880</v>
      </c>
      <c r="KLJ2" s="133" t="s">
        <v>8881</v>
      </c>
      <c r="KLK2" s="133" t="s">
        <v>8882</v>
      </c>
      <c r="KLL2" s="133" t="s">
        <v>8883</v>
      </c>
      <c r="KLM2" s="133" t="s">
        <v>8884</v>
      </c>
      <c r="KLN2" s="133" t="s">
        <v>8885</v>
      </c>
      <c r="KLO2" s="133" t="s">
        <v>8886</v>
      </c>
      <c r="KLP2" s="133" t="s">
        <v>8887</v>
      </c>
      <c r="KLQ2" s="133" t="s">
        <v>8888</v>
      </c>
      <c r="KLR2" s="133" t="s">
        <v>8889</v>
      </c>
      <c r="KLS2" s="133" t="s">
        <v>8890</v>
      </c>
      <c r="KLT2" s="133" t="s">
        <v>8891</v>
      </c>
      <c r="KLU2" s="133" t="s">
        <v>8892</v>
      </c>
      <c r="KLV2" s="133" t="s">
        <v>8893</v>
      </c>
      <c r="KLW2" s="133" t="s">
        <v>8894</v>
      </c>
      <c r="KLX2" s="133" t="s">
        <v>8895</v>
      </c>
      <c r="KLY2" s="133" t="s">
        <v>8896</v>
      </c>
      <c r="KLZ2" s="133" t="s">
        <v>8897</v>
      </c>
      <c r="KMA2" s="133" t="s">
        <v>8898</v>
      </c>
      <c r="KMB2" s="133" t="s">
        <v>8899</v>
      </c>
      <c r="KMC2" s="133" t="s">
        <v>8900</v>
      </c>
      <c r="KMD2" s="133" t="s">
        <v>8901</v>
      </c>
      <c r="KME2" s="133" t="s">
        <v>8902</v>
      </c>
      <c r="KMF2" s="133" t="s">
        <v>8903</v>
      </c>
      <c r="KMG2" s="133" t="s">
        <v>8904</v>
      </c>
      <c r="KMH2" s="133" t="s">
        <v>8905</v>
      </c>
      <c r="KMI2" s="133" t="s">
        <v>8906</v>
      </c>
      <c r="KMJ2" s="133" t="s">
        <v>8907</v>
      </c>
      <c r="KMK2" s="133" t="s">
        <v>8908</v>
      </c>
      <c r="KML2" s="133" t="s">
        <v>8909</v>
      </c>
      <c r="KMM2" s="133" t="s">
        <v>8910</v>
      </c>
      <c r="KMN2" s="133" t="s">
        <v>8911</v>
      </c>
      <c r="KMO2" s="133" t="s">
        <v>8912</v>
      </c>
      <c r="KMP2" s="133" t="s">
        <v>8913</v>
      </c>
      <c r="KMQ2" s="133" t="s">
        <v>8914</v>
      </c>
      <c r="KMR2" s="133" t="s">
        <v>8915</v>
      </c>
      <c r="KMS2" s="133" t="s">
        <v>8916</v>
      </c>
      <c r="KMT2" s="133" t="s">
        <v>8917</v>
      </c>
      <c r="KMU2" s="133" t="s">
        <v>8918</v>
      </c>
      <c r="KMV2" s="133" t="s">
        <v>8919</v>
      </c>
      <c r="KMW2" s="133" t="s">
        <v>8920</v>
      </c>
      <c r="KMX2" s="133" t="s">
        <v>8921</v>
      </c>
      <c r="KMY2" s="133" t="s">
        <v>8922</v>
      </c>
      <c r="KMZ2" s="133" t="s">
        <v>8923</v>
      </c>
      <c r="KNA2" s="133" t="s">
        <v>8924</v>
      </c>
      <c r="KNB2" s="133" t="s">
        <v>8925</v>
      </c>
      <c r="KNC2" s="133" t="s">
        <v>8926</v>
      </c>
      <c r="KND2" s="133" t="s">
        <v>8927</v>
      </c>
      <c r="KNE2" s="133" t="s">
        <v>8928</v>
      </c>
      <c r="KNF2" s="133" t="s">
        <v>8929</v>
      </c>
      <c r="KNG2" s="133" t="s">
        <v>8930</v>
      </c>
      <c r="KNH2" s="133" t="s">
        <v>8931</v>
      </c>
      <c r="KNI2" s="133" t="s">
        <v>8932</v>
      </c>
      <c r="KNJ2" s="133" t="s">
        <v>8933</v>
      </c>
      <c r="KNK2" s="133" t="s">
        <v>8934</v>
      </c>
      <c r="KNL2" s="133" t="s">
        <v>8935</v>
      </c>
      <c r="KNM2" s="133" t="s">
        <v>8936</v>
      </c>
      <c r="KNN2" s="133" t="s">
        <v>8937</v>
      </c>
      <c r="KNO2" s="133" t="s">
        <v>8938</v>
      </c>
      <c r="KNP2" s="133" t="s">
        <v>8939</v>
      </c>
      <c r="KNQ2" s="133" t="s">
        <v>8940</v>
      </c>
      <c r="KNR2" s="133" t="s">
        <v>8941</v>
      </c>
      <c r="KNS2" s="133" t="s">
        <v>8942</v>
      </c>
      <c r="KNT2" s="133" t="s">
        <v>8943</v>
      </c>
      <c r="KNU2" s="133" t="s">
        <v>8944</v>
      </c>
      <c r="KNV2" s="133" t="s">
        <v>8945</v>
      </c>
      <c r="KNW2" s="133" t="s">
        <v>8946</v>
      </c>
      <c r="KNX2" s="133" t="s">
        <v>8947</v>
      </c>
      <c r="KNY2" s="133" t="s">
        <v>8948</v>
      </c>
      <c r="KNZ2" s="133" t="s">
        <v>8949</v>
      </c>
      <c r="KOA2" s="133" t="s">
        <v>8950</v>
      </c>
      <c r="KOB2" s="133" t="s">
        <v>8951</v>
      </c>
      <c r="KOC2" s="133" t="s">
        <v>8952</v>
      </c>
      <c r="KOD2" s="133" t="s">
        <v>8953</v>
      </c>
      <c r="KOE2" s="133" t="s">
        <v>8954</v>
      </c>
      <c r="KOF2" s="133" t="s">
        <v>8955</v>
      </c>
      <c r="KOG2" s="133" t="s">
        <v>8956</v>
      </c>
      <c r="KOH2" s="133" t="s">
        <v>8957</v>
      </c>
      <c r="KOI2" s="133" t="s">
        <v>8958</v>
      </c>
      <c r="KOJ2" s="133" t="s">
        <v>8959</v>
      </c>
      <c r="KOK2" s="133" t="s">
        <v>8960</v>
      </c>
      <c r="KOL2" s="133" t="s">
        <v>8961</v>
      </c>
      <c r="KOM2" s="133" t="s">
        <v>8962</v>
      </c>
      <c r="KON2" s="133" t="s">
        <v>8963</v>
      </c>
      <c r="KOO2" s="133" t="s">
        <v>8964</v>
      </c>
      <c r="KOP2" s="133" t="s">
        <v>8965</v>
      </c>
      <c r="KOQ2" s="133" t="s">
        <v>8966</v>
      </c>
      <c r="KOR2" s="133" t="s">
        <v>8967</v>
      </c>
      <c r="KOS2" s="133" t="s">
        <v>8968</v>
      </c>
      <c r="KOT2" s="133" t="s">
        <v>8969</v>
      </c>
      <c r="KOU2" s="133" t="s">
        <v>8970</v>
      </c>
      <c r="KOV2" s="133" t="s">
        <v>8971</v>
      </c>
      <c r="KOW2" s="133" t="s">
        <v>8972</v>
      </c>
      <c r="KOX2" s="133" t="s">
        <v>8973</v>
      </c>
      <c r="KOY2" s="133" t="s">
        <v>8974</v>
      </c>
      <c r="KOZ2" s="133" t="s">
        <v>8975</v>
      </c>
      <c r="KPA2" s="133" t="s">
        <v>8976</v>
      </c>
      <c r="KPB2" s="133" t="s">
        <v>8977</v>
      </c>
      <c r="KPC2" s="133" t="s">
        <v>8978</v>
      </c>
      <c r="KPD2" s="133" t="s">
        <v>8979</v>
      </c>
      <c r="KPE2" s="133" t="s">
        <v>8980</v>
      </c>
      <c r="KPF2" s="133" t="s">
        <v>8981</v>
      </c>
      <c r="KPG2" s="133" t="s">
        <v>8982</v>
      </c>
      <c r="KPH2" s="133" t="s">
        <v>8983</v>
      </c>
      <c r="KPI2" s="133" t="s">
        <v>8984</v>
      </c>
      <c r="KPJ2" s="133" t="s">
        <v>8985</v>
      </c>
      <c r="KPK2" s="133" t="s">
        <v>8986</v>
      </c>
      <c r="KPL2" s="133" t="s">
        <v>8987</v>
      </c>
      <c r="KPM2" s="133" t="s">
        <v>8988</v>
      </c>
      <c r="KPN2" s="133" t="s">
        <v>8989</v>
      </c>
      <c r="KPO2" s="133" t="s">
        <v>8990</v>
      </c>
      <c r="KPP2" s="133" t="s">
        <v>8991</v>
      </c>
      <c r="KPQ2" s="133" t="s">
        <v>8992</v>
      </c>
      <c r="KPR2" s="133" t="s">
        <v>8993</v>
      </c>
      <c r="KPS2" s="133" t="s">
        <v>8994</v>
      </c>
      <c r="KPT2" s="133" t="s">
        <v>8995</v>
      </c>
      <c r="KPU2" s="133" t="s">
        <v>8996</v>
      </c>
      <c r="KPV2" s="133" t="s">
        <v>8997</v>
      </c>
      <c r="KPW2" s="133" t="s">
        <v>8998</v>
      </c>
      <c r="KPX2" s="133" t="s">
        <v>8999</v>
      </c>
      <c r="KPY2" s="133" t="s">
        <v>9000</v>
      </c>
      <c r="KPZ2" s="133" t="s">
        <v>9001</v>
      </c>
      <c r="KQA2" s="133" t="s">
        <v>9002</v>
      </c>
      <c r="KQB2" s="133" t="s">
        <v>9003</v>
      </c>
      <c r="KQC2" s="133" t="s">
        <v>9004</v>
      </c>
      <c r="KQD2" s="133" t="s">
        <v>9005</v>
      </c>
      <c r="KQE2" s="133" t="s">
        <v>9006</v>
      </c>
      <c r="KQF2" s="133" t="s">
        <v>9007</v>
      </c>
      <c r="KQG2" s="133" t="s">
        <v>9008</v>
      </c>
      <c r="KQH2" s="133" t="s">
        <v>9009</v>
      </c>
      <c r="KQI2" s="133" t="s">
        <v>9010</v>
      </c>
      <c r="KQJ2" s="133" t="s">
        <v>9011</v>
      </c>
      <c r="KQK2" s="133" t="s">
        <v>9012</v>
      </c>
      <c r="KQL2" s="133" t="s">
        <v>9013</v>
      </c>
      <c r="KQM2" s="133" t="s">
        <v>9014</v>
      </c>
      <c r="KQN2" s="133" t="s">
        <v>9015</v>
      </c>
      <c r="KQO2" s="133" t="s">
        <v>9016</v>
      </c>
      <c r="KQP2" s="133" t="s">
        <v>9017</v>
      </c>
      <c r="KQQ2" s="133" t="s">
        <v>9018</v>
      </c>
      <c r="KQR2" s="133" t="s">
        <v>9019</v>
      </c>
      <c r="KQS2" s="133" t="s">
        <v>9020</v>
      </c>
      <c r="KQT2" s="133" t="s">
        <v>9021</v>
      </c>
      <c r="KQU2" s="133" t="s">
        <v>9022</v>
      </c>
      <c r="KQV2" s="133" t="s">
        <v>9023</v>
      </c>
      <c r="KQW2" s="133" t="s">
        <v>9024</v>
      </c>
      <c r="KQX2" s="133" t="s">
        <v>9025</v>
      </c>
      <c r="KQY2" s="133" t="s">
        <v>9026</v>
      </c>
      <c r="KQZ2" s="133" t="s">
        <v>9027</v>
      </c>
      <c r="KRA2" s="133" t="s">
        <v>9028</v>
      </c>
      <c r="KRB2" s="133" t="s">
        <v>9029</v>
      </c>
      <c r="KRC2" s="133" t="s">
        <v>9030</v>
      </c>
      <c r="KRD2" s="133" t="s">
        <v>9031</v>
      </c>
      <c r="KRE2" s="133" t="s">
        <v>9032</v>
      </c>
      <c r="KRF2" s="133" t="s">
        <v>9033</v>
      </c>
      <c r="KRG2" s="133" t="s">
        <v>9034</v>
      </c>
      <c r="KRH2" s="133" t="s">
        <v>9035</v>
      </c>
      <c r="KRI2" s="133" t="s">
        <v>9036</v>
      </c>
      <c r="KRJ2" s="133" t="s">
        <v>9037</v>
      </c>
      <c r="KRK2" s="133" t="s">
        <v>9038</v>
      </c>
      <c r="KRL2" s="133" t="s">
        <v>9039</v>
      </c>
      <c r="KRM2" s="133" t="s">
        <v>9040</v>
      </c>
      <c r="KRN2" s="133" t="s">
        <v>9041</v>
      </c>
      <c r="KRO2" s="133" t="s">
        <v>9042</v>
      </c>
      <c r="KRP2" s="133" t="s">
        <v>9043</v>
      </c>
      <c r="KRQ2" s="133" t="s">
        <v>9044</v>
      </c>
      <c r="KRR2" s="133" t="s">
        <v>9045</v>
      </c>
      <c r="KRS2" s="133" t="s">
        <v>9046</v>
      </c>
      <c r="KRT2" s="133" t="s">
        <v>9047</v>
      </c>
      <c r="KRU2" s="133" t="s">
        <v>9048</v>
      </c>
      <c r="KRV2" s="133" t="s">
        <v>9049</v>
      </c>
      <c r="KRW2" s="133" t="s">
        <v>9050</v>
      </c>
      <c r="KRX2" s="133" t="s">
        <v>9051</v>
      </c>
      <c r="KRY2" s="133" t="s">
        <v>9052</v>
      </c>
      <c r="KRZ2" s="133" t="s">
        <v>9053</v>
      </c>
      <c r="KSA2" s="133" t="s">
        <v>9054</v>
      </c>
      <c r="KSB2" s="133" t="s">
        <v>9055</v>
      </c>
      <c r="KSC2" s="133" t="s">
        <v>9056</v>
      </c>
      <c r="KSD2" s="133" t="s">
        <v>9057</v>
      </c>
      <c r="KSE2" s="133" t="s">
        <v>9058</v>
      </c>
      <c r="KSF2" s="133" t="s">
        <v>9059</v>
      </c>
      <c r="KSG2" s="133" t="s">
        <v>9060</v>
      </c>
      <c r="KSH2" s="133" t="s">
        <v>9061</v>
      </c>
      <c r="KSI2" s="133" t="s">
        <v>9062</v>
      </c>
      <c r="KSJ2" s="133" t="s">
        <v>9063</v>
      </c>
      <c r="KSK2" s="133" t="s">
        <v>9064</v>
      </c>
      <c r="KSL2" s="133" t="s">
        <v>9065</v>
      </c>
      <c r="KSM2" s="133" t="s">
        <v>9066</v>
      </c>
      <c r="KSN2" s="133" t="s">
        <v>9067</v>
      </c>
      <c r="KSO2" s="133" t="s">
        <v>9068</v>
      </c>
      <c r="KSP2" s="133" t="s">
        <v>9069</v>
      </c>
      <c r="KSQ2" s="133" t="s">
        <v>9070</v>
      </c>
      <c r="KSR2" s="133" t="s">
        <v>9071</v>
      </c>
      <c r="KSS2" s="133" t="s">
        <v>9072</v>
      </c>
      <c r="KST2" s="133" t="s">
        <v>9073</v>
      </c>
      <c r="KSU2" s="133" t="s">
        <v>9074</v>
      </c>
      <c r="KSV2" s="133" t="s">
        <v>9075</v>
      </c>
      <c r="KSW2" s="133" t="s">
        <v>9076</v>
      </c>
      <c r="KSX2" s="133" t="s">
        <v>9077</v>
      </c>
      <c r="KSY2" s="133" t="s">
        <v>9078</v>
      </c>
      <c r="KSZ2" s="133" t="s">
        <v>9079</v>
      </c>
      <c r="KTA2" s="133" t="s">
        <v>9080</v>
      </c>
      <c r="KTB2" s="133" t="s">
        <v>9081</v>
      </c>
      <c r="KTC2" s="133" t="s">
        <v>9082</v>
      </c>
      <c r="KTD2" s="133" t="s">
        <v>9083</v>
      </c>
      <c r="KTE2" s="133" t="s">
        <v>9084</v>
      </c>
      <c r="KTF2" s="133" t="s">
        <v>9085</v>
      </c>
      <c r="KTG2" s="133" t="s">
        <v>9086</v>
      </c>
      <c r="KTH2" s="133" t="s">
        <v>9087</v>
      </c>
      <c r="KTI2" s="133" t="s">
        <v>9088</v>
      </c>
      <c r="KTJ2" s="133" t="s">
        <v>9089</v>
      </c>
      <c r="KTK2" s="133" t="s">
        <v>9090</v>
      </c>
      <c r="KTL2" s="133" t="s">
        <v>9091</v>
      </c>
      <c r="KTM2" s="133" t="s">
        <v>9092</v>
      </c>
      <c r="KTN2" s="133" t="s">
        <v>9093</v>
      </c>
      <c r="KTO2" s="133" t="s">
        <v>9094</v>
      </c>
      <c r="KTP2" s="133" t="s">
        <v>9095</v>
      </c>
      <c r="KTQ2" s="133" t="s">
        <v>9096</v>
      </c>
      <c r="KTR2" s="133" t="s">
        <v>9097</v>
      </c>
      <c r="KTS2" s="133" t="s">
        <v>9098</v>
      </c>
      <c r="KTT2" s="133" t="s">
        <v>9099</v>
      </c>
      <c r="KTU2" s="133" t="s">
        <v>9100</v>
      </c>
      <c r="KTV2" s="133" t="s">
        <v>9101</v>
      </c>
      <c r="KTW2" s="133" t="s">
        <v>9102</v>
      </c>
      <c r="KTX2" s="133" t="s">
        <v>9103</v>
      </c>
      <c r="KTY2" s="133" t="s">
        <v>9104</v>
      </c>
      <c r="KTZ2" s="133" t="s">
        <v>9105</v>
      </c>
      <c r="KUA2" s="133" t="s">
        <v>9106</v>
      </c>
      <c r="KUB2" s="133" t="s">
        <v>9107</v>
      </c>
      <c r="KUC2" s="133" t="s">
        <v>9108</v>
      </c>
      <c r="KUD2" s="133" t="s">
        <v>9109</v>
      </c>
      <c r="KUE2" s="133" t="s">
        <v>9110</v>
      </c>
      <c r="KUF2" s="133" t="s">
        <v>9111</v>
      </c>
      <c r="KUG2" s="133" t="s">
        <v>9112</v>
      </c>
      <c r="KUH2" s="133" t="s">
        <v>9113</v>
      </c>
      <c r="KUI2" s="133" t="s">
        <v>9114</v>
      </c>
      <c r="KUJ2" s="133" t="s">
        <v>9115</v>
      </c>
      <c r="KUK2" s="133" t="s">
        <v>9116</v>
      </c>
      <c r="KUL2" s="133" t="s">
        <v>9117</v>
      </c>
      <c r="KUM2" s="133" t="s">
        <v>9118</v>
      </c>
      <c r="KUN2" s="133" t="s">
        <v>9119</v>
      </c>
      <c r="KUO2" s="133" t="s">
        <v>9120</v>
      </c>
      <c r="KUP2" s="133" t="s">
        <v>9121</v>
      </c>
      <c r="KUQ2" s="133" t="s">
        <v>9122</v>
      </c>
      <c r="KUR2" s="133" t="s">
        <v>9123</v>
      </c>
      <c r="KUS2" s="133" t="s">
        <v>9124</v>
      </c>
      <c r="KUT2" s="133" t="s">
        <v>9125</v>
      </c>
      <c r="KUU2" s="133" t="s">
        <v>9126</v>
      </c>
      <c r="KUV2" s="133" t="s">
        <v>9127</v>
      </c>
      <c r="KUW2" s="133" t="s">
        <v>9128</v>
      </c>
      <c r="KUX2" s="133" t="s">
        <v>9129</v>
      </c>
      <c r="KUY2" s="133" t="s">
        <v>9130</v>
      </c>
      <c r="KUZ2" s="133" t="s">
        <v>9131</v>
      </c>
      <c r="KVA2" s="133" t="s">
        <v>9132</v>
      </c>
      <c r="KVB2" s="133" t="s">
        <v>9133</v>
      </c>
      <c r="KVC2" s="133" t="s">
        <v>9134</v>
      </c>
      <c r="KVD2" s="133" t="s">
        <v>9135</v>
      </c>
      <c r="KVE2" s="133" t="s">
        <v>9136</v>
      </c>
      <c r="KVF2" s="133" t="s">
        <v>9137</v>
      </c>
      <c r="KVG2" s="133" t="s">
        <v>9138</v>
      </c>
      <c r="KVH2" s="133" t="s">
        <v>9139</v>
      </c>
      <c r="KVI2" s="133" t="s">
        <v>9140</v>
      </c>
      <c r="KVJ2" s="133" t="s">
        <v>9141</v>
      </c>
      <c r="KVK2" s="133" t="s">
        <v>9142</v>
      </c>
      <c r="KVL2" s="133" t="s">
        <v>9143</v>
      </c>
      <c r="KVM2" s="133" t="s">
        <v>9144</v>
      </c>
      <c r="KVN2" s="133" t="s">
        <v>9145</v>
      </c>
      <c r="KVO2" s="133" t="s">
        <v>9146</v>
      </c>
      <c r="KVP2" s="133" t="s">
        <v>9147</v>
      </c>
      <c r="KVQ2" s="133" t="s">
        <v>9148</v>
      </c>
      <c r="KVR2" s="133" t="s">
        <v>9149</v>
      </c>
      <c r="KVS2" s="133" t="s">
        <v>9150</v>
      </c>
      <c r="KVT2" s="133" t="s">
        <v>9151</v>
      </c>
      <c r="KVU2" s="133" t="s">
        <v>9152</v>
      </c>
      <c r="KVV2" s="133" t="s">
        <v>9153</v>
      </c>
      <c r="KVW2" s="133" t="s">
        <v>9154</v>
      </c>
      <c r="KVX2" s="133" t="s">
        <v>9155</v>
      </c>
      <c r="KVY2" s="133" t="s">
        <v>9156</v>
      </c>
      <c r="KVZ2" s="133" t="s">
        <v>9157</v>
      </c>
      <c r="KWA2" s="133" t="s">
        <v>9158</v>
      </c>
      <c r="KWB2" s="133" t="s">
        <v>9159</v>
      </c>
      <c r="KWC2" s="133" t="s">
        <v>9160</v>
      </c>
      <c r="KWD2" s="133" t="s">
        <v>9161</v>
      </c>
      <c r="KWE2" s="133" t="s">
        <v>9162</v>
      </c>
      <c r="KWF2" s="133" t="s">
        <v>9163</v>
      </c>
      <c r="KWG2" s="133" t="s">
        <v>9164</v>
      </c>
      <c r="KWH2" s="133" t="s">
        <v>9165</v>
      </c>
      <c r="KWI2" s="133" t="s">
        <v>9166</v>
      </c>
      <c r="KWJ2" s="133" t="s">
        <v>9167</v>
      </c>
      <c r="KWK2" s="133" t="s">
        <v>9168</v>
      </c>
      <c r="KWL2" s="133" t="s">
        <v>9169</v>
      </c>
      <c r="KWM2" s="133" t="s">
        <v>9170</v>
      </c>
      <c r="KWN2" s="133" t="s">
        <v>9171</v>
      </c>
      <c r="KWO2" s="133" t="s">
        <v>9172</v>
      </c>
      <c r="KWP2" s="133" t="s">
        <v>9173</v>
      </c>
      <c r="KWQ2" s="133" t="s">
        <v>9174</v>
      </c>
      <c r="KWR2" s="133" t="s">
        <v>9175</v>
      </c>
      <c r="KWS2" s="133" t="s">
        <v>9176</v>
      </c>
      <c r="KWT2" s="133" t="s">
        <v>9177</v>
      </c>
      <c r="KWU2" s="133" t="s">
        <v>9178</v>
      </c>
      <c r="KWV2" s="133" t="s">
        <v>9179</v>
      </c>
      <c r="KWW2" s="133" t="s">
        <v>9180</v>
      </c>
      <c r="KWX2" s="133" t="s">
        <v>9181</v>
      </c>
      <c r="KWY2" s="133" t="s">
        <v>9182</v>
      </c>
      <c r="KWZ2" s="133" t="s">
        <v>9183</v>
      </c>
      <c r="KXA2" s="133" t="s">
        <v>9184</v>
      </c>
      <c r="KXB2" s="133" t="s">
        <v>9185</v>
      </c>
      <c r="KXC2" s="133" t="s">
        <v>9186</v>
      </c>
      <c r="KXD2" s="133" t="s">
        <v>9187</v>
      </c>
      <c r="KXE2" s="133" t="s">
        <v>9188</v>
      </c>
      <c r="KXF2" s="133" t="s">
        <v>9189</v>
      </c>
      <c r="KXG2" s="133" t="s">
        <v>9190</v>
      </c>
      <c r="KXH2" s="133" t="s">
        <v>9191</v>
      </c>
      <c r="KXI2" s="133" t="s">
        <v>9192</v>
      </c>
      <c r="KXJ2" s="133" t="s">
        <v>9193</v>
      </c>
      <c r="KXK2" s="133" t="s">
        <v>9194</v>
      </c>
      <c r="KXL2" s="133" t="s">
        <v>9195</v>
      </c>
      <c r="KXM2" s="133" t="s">
        <v>9196</v>
      </c>
      <c r="KXN2" s="133" t="s">
        <v>9197</v>
      </c>
      <c r="KXO2" s="133" t="s">
        <v>9198</v>
      </c>
      <c r="KXP2" s="133" t="s">
        <v>9199</v>
      </c>
      <c r="KXQ2" s="133" t="s">
        <v>9200</v>
      </c>
      <c r="KXR2" s="133" t="s">
        <v>9201</v>
      </c>
      <c r="KXS2" s="133" t="s">
        <v>9202</v>
      </c>
      <c r="KXT2" s="133" t="s">
        <v>9203</v>
      </c>
      <c r="KXU2" s="133" t="s">
        <v>9204</v>
      </c>
      <c r="KXV2" s="133" t="s">
        <v>9205</v>
      </c>
      <c r="KXW2" s="133" t="s">
        <v>9206</v>
      </c>
      <c r="KXX2" s="133" t="s">
        <v>9207</v>
      </c>
      <c r="KXY2" s="133" t="s">
        <v>9208</v>
      </c>
      <c r="KXZ2" s="133" t="s">
        <v>9209</v>
      </c>
      <c r="KYA2" s="133" t="s">
        <v>9210</v>
      </c>
      <c r="KYB2" s="133" t="s">
        <v>9211</v>
      </c>
      <c r="KYC2" s="133" t="s">
        <v>9212</v>
      </c>
      <c r="KYD2" s="133" t="s">
        <v>9213</v>
      </c>
      <c r="KYE2" s="133" t="s">
        <v>9214</v>
      </c>
      <c r="KYF2" s="133" t="s">
        <v>9215</v>
      </c>
      <c r="KYG2" s="133" t="s">
        <v>9216</v>
      </c>
      <c r="KYH2" s="133" t="s">
        <v>9217</v>
      </c>
      <c r="KYI2" s="133" t="s">
        <v>9218</v>
      </c>
      <c r="KYJ2" s="133" t="s">
        <v>9219</v>
      </c>
      <c r="KYK2" s="133" t="s">
        <v>9220</v>
      </c>
      <c r="KYL2" s="133" t="s">
        <v>9221</v>
      </c>
      <c r="KYM2" s="133" t="s">
        <v>9222</v>
      </c>
      <c r="KYN2" s="133" t="s">
        <v>9223</v>
      </c>
      <c r="KYO2" s="133" t="s">
        <v>9224</v>
      </c>
      <c r="KYP2" s="133" t="s">
        <v>9225</v>
      </c>
      <c r="KYQ2" s="133" t="s">
        <v>9226</v>
      </c>
      <c r="KYR2" s="133" t="s">
        <v>9227</v>
      </c>
      <c r="KYS2" s="133" t="s">
        <v>9228</v>
      </c>
      <c r="KYT2" s="133" t="s">
        <v>9229</v>
      </c>
      <c r="KYU2" s="133" t="s">
        <v>9230</v>
      </c>
      <c r="KYV2" s="133" t="s">
        <v>9231</v>
      </c>
      <c r="KYW2" s="133" t="s">
        <v>9232</v>
      </c>
      <c r="KYX2" s="133" t="s">
        <v>9233</v>
      </c>
      <c r="KYY2" s="133" t="s">
        <v>9234</v>
      </c>
      <c r="KYZ2" s="133" t="s">
        <v>9235</v>
      </c>
      <c r="KZA2" s="133" t="s">
        <v>9236</v>
      </c>
      <c r="KZB2" s="133" t="s">
        <v>9237</v>
      </c>
      <c r="KZC2" s="133" t="s">
        <v>9238</v>
      </c>
      <c r="KZD2" s="133" t="s">
        <v>9239</v>
      </c>
      <c r="KZE2" s="133" t="s">
        <v>9240</v>
      </c>
      <c r="KZF2" s="133" t="s">
        <v>9241</v>
      </c>
      <c r="KZG2" s="133" t="s">
        <v>9242</v>
      </c>
      <c r="KZH2" s="133" t="s">
        <v>9243</v>
      </c>
      <c r="KZI2" s="133" t="s">
        <v>9244</v>
      </c>
      <c r="KZJ2" s="133" t="s">
        <v>9245</v>
      </c>
      <c r="KZK2" s="133" t="s">
        <v>9246</v>
      </c>
      <c r="KZL2" s="133" t="s">
        <v>9247</v>
      </c>
      <c r="KZM2" s="133" t="s">
        <v>9248</v>
      </c>
      <c r="KZN2" s="133" t="s">
        <v>9249</v>
      </c>
      <c r="KZO2" s="133" t="s">
        <v>9250</v>
      </c>
      <c r="KZP2" s="133" t="s">
        <v>9251</v>
      </c>
      <c r="KZQ2" s="133" t="s">
        <v>9252</v>
      </c>
      <c r="KZR2" s="133" t="s">
        <v>9253</v>
      </c>
      <c r="KZS2" s="133" t="s">
        <v>9254</v>
      </c>
      <c r="KZT2" s="133" t="s">
        <v>9255</v>
      </c>
      <c r="KZU2" s="133" t="s">
        <v>9256</v>
      </c>
      <c r="KZV2" s="133" t="s">
        <v>9257</v>
      </c>
      <c r="KZW2" s="133" t="s">
        <v>9258</v>
      </c>
      <c r="KZX2" s="133" t="s">
        <v>9259</v>
      </c>
      <c r="KZY2" s="133" t="s">
        <v>9260</v>
      </c>
      <c r="KZZ2" s="133" t="s">
        <v>9261</v>
      </c>
      <c r="LAA2" s="133" t="s">
        <v>9262</v>
      </c>
      <c r="LAB2" s="133" t="s">
        <v>9263</v>
      </c>
      <c r="LAC2" s="133" t="s">
        <v>9264</v>
      </c>
      <c r="LAD2" s="133" t="s">
        <v>9265</v>
      </c>
      <c r="LAE2" s="133" t="s">
        <v>9266</v>
      </c>
      <c r="LAF2" s="133" t="s">
        <v>9267</v>
      </c>
      <c r="LAG2" s="133" t="s">
        <v>9268</v>
      </c>
      <c r="LAH2" s="133" t="s">
        <v>9269</v>
      </c>
      <c r="LAI2" s="133" t="s">
        <v>9270</v>
      </c>
      <c r="LAJ2" s="133" t="s">
        <v>9271</v>
      </c>
      <c r="LAK2" s="133" t="s">
        <v>9272</v>
      </c>
      <c r="LAL2" s="133" t="s">
        <v>9273</v>
      </c>
      <c r="LAM2" s="133" t="s">
        <v>9274</v>
      </c>
      <c r="LAN2" s="133" t="s">
        <v>9275</v>
      </c>
      <c r="LAO2" s="133" t="s">
        <v>9276</v>
      </c>
      <c r="LAP2" s="133" t="s">
        <v>9277</v>
      </c>
      <c r="LAQ2" s="133" t="s">
        <v>9278</v>
      </c>
      <c r="LAR2" s="133" t="s">
        <v>9279</v>
      </c>
      <c r="LAS2" s="133" t="s">
        <v>9280</v>
      </c>
      <c r="LAT2" s="133" t="s">
        <v>9281</v>
      </c>
      <c r="LAU2" s="133" t="s">
        <v>9282</v>
      </c>
      <c r="LAV2" s="133" t="s">
        <v>9283</v>
      </c>
      <c r="LAW2" s="133" t="s">
        <v>9284</v>
      </c>
      <c r="LAX2" s="133" t="s">
        <v>9285</v>
      </c>
      <c r="LAY2" s="133" t="s">
        <v>9286</v>
      </c>
      <c r="LAZ2" s="133" t="s">
        <v>9287</v>
      </c>
      <c r="LBA2" s="133" t="s">
        <v>9288</v>
      </c>
      <c r="LBB2" s="133" t="s">
        <v>9289</v>
      </c>
      <c r="LBC2" s="133" t="s">
        <v>9290</v>
      </c>
      <c r="LBD2" s="133" t="s">
        <v>9291</v>
      </c>
      <c r="LBE2" s="133" t="s">
        <v>9292</v>
      </c>
      <c r="LBF2" s="133" t="s">
        <v>9293</v>
      </c>
      <c r="LBG2" s="133" t="s">
        <v>9294</v>
      </c>
      <c r="LBH2" s="133" t="s">
        <v>9295</v>
      </c>
      <c r="LBI2" s="133" t="s">
        <v>9296</v>
      </c>
      <c r="LBJ2" s="133" t="s">
        <v>9297</v>
      </c>
      <c r="LBK2" s="133" t="s">
        <v>9298</v>
      </c>
      <c r="LBL2" s="133" t="s">
        <v>9299</v>
      </c>
      <c r="LBM2" s="133" t="s">
        <v>9300</v>
      </c>
      <c r="LBN2" s="133" t="s">
        <v>9301</v>
      </c>
      <c r="LBO2" s="133" t="s">
        <v>9302</v>
      </c>
      <c r="LBP2" s="133" t="s">
        <v>9303</v>
      </c>
      <c r="LBQ2" s="133" t="s">
        <v>9304</v>
      </c>
      <c r="LBR2" s="133" t="s">
        <v>9305</v>
      </c>
      <c r="LBS2" s="133" t="s">
        <v>9306</v>
      </c>
      <c r="LBT2" s="133" t="s">
        <v>9307</v>
      </c>
      <c r="LBU2" s="133" t="s">
        <v>9308</v>
      </c>
      <c r="LBV2" s="133" t="s">
        <v>9309</v>
      </c>
      <c r="LBW2" s="133" t="s">
        <v>9310</v>
      </c>
      <c r="LBX2" s="133" t="s">
        <v>9311</v>
      </c>
      <c r="LBY2" s="133" t="s">
        <v>9312</v>
      </c>
      <c r="LBZ2" s="133" t="s">
        <v>9313</v>
      </c>
      <c r="LCA2" s="133" t="s">
        <v>9314</v>
      </c>
      <c r="LCB2" s="133" t="s">
        <v>9315</v>
      </c>
      <c r="LCC2" s="133" t="s">
        <v>9316</v>
      </c>
      <c r="LCD2" s="133" t="s">
        <v>9317</v>
      </c>
      <c r="LCE2" s="133" t="s">
        <v>9318</v>
      </c>
      <c r="LCF2" s="133" t="s">
        <v>9319</v>
      </c>
      <c r="LCG2" s="133" t="s">
        <v>9320</v>
      </c>
      <c r="LCH2" s="133" t="s">
        <v>9321</v>
      </c>
      <c r="LCI2" s="133" t="s">
        <v>9322</v>
      </c>
      <c r="LCJ2" s="133" t="s">
        <v>9323</v>
      </c>
      <c r="LCK2" s="133" t="s">
        <v>9324</v>
      </c>
      <c r="LCL2" s="133" t="s">
        <v>9325</v>
      </c>
      <c r="LCM2" s="133" t="s">
        <v>9326</v>
      </c>
      <c r="LCN2" s="133" t="s">
        <v>9327</v>
      </c>
      <c r="LCO2" s="133" t="s">
        <v>9328</v>
      </c>
      <c r="LCP2" s="133" t="s">
        <v>9329</v>
      </c>
      <c r="LCQ2" s="133" t="s">
        <v>9330</v>
      </c>
      <c r="LCR2" s="133" t="s">
        <v>9331</v>
      </c>
      <c r="LCS2" s="133" t="s">
        <v>9332</v>
      </c>
      <c r="LCT2" s="133" t="s">
        <v>9333</v>
      </c>
      <c r="LCU2" s="133" t="s">
        <v>9334</v>
      </c>
      <c r="LCV2" s="133" t="s">
        <v>9335</v>
      </c>
      <c r="LCW2" s="133" t="s">
        <v>9336</v>
      </c>
      <c r="LCX2" s="133" t="s">
        <v>9337</v>
      </c>
      <c r="LCY2" s="133" t="s">
        <v>9338</v>
      </c>
      <c r="LCZ2" s="133" t="s">
        <v>9339</v>
      </c>
      <c r="LDA2" s="133" t="s">
        <v>9340</v>
      </c>
      <c r="LDB2" s="133" t="s">
        <v>9341</v>
      </c>
      <c r="LDC2" s="133" t="s">
        <v>9342</v>
      </c>
      <c r="LDD2" s="133" t="s">
        <v>9343</v>
      </c>
      <c r="LDE2" s="133" t="s">
        <v>9344</v>
      </c>
      <c r="LDF2" s="133" t="s">
        <v>9345</v>
      </c>
      <c r="LDG2" s="133" t="s">
        <v>9346</v>
      </c>
      <c r="LDH2" s="133" t="s">
        <v>9347</v>
      </c>
      <c r="LDI2" s="133" t="s">
        <v>9348</v>
      </c>
      <c r="LDJ2" s="133" t="s">
        <v>9349</v>
      </c>
      <c r="LDK2" s="133" t="s">
        <v>9350</v>
      </c>
      <c r="LDL2" s="133" t="s">
        <v>9351</v>
      </c>
      <c r="LDM2" s="133" t="s">
        <v>9352</v>
      </c>
      <c r="LDN2" s="133" t="s">
        <v>9353</v>
      </c>
      <c r="LDO2" s="133" t="s">
        <v>9354</v>
      </c>
      <c r="LDP2" s="133" t="s">
        <v>9355</v>
      </c>
      <c r="LDQ2" s="133" t="s">
        <v>9356</v>
      </c>
      <c r="LDR2" s="133" t="s">
        <v>9357</v>
      </c>
      <c r="LDS2" s="133" t="s">
        <v>9358</v>
      </c>
      <c r="LDT2" s="133" t="s">
        <v>9359</v>
      </c>
      <c r="LDU2" s="133" t="s">
        <v>9360</v>
      </c>
      <c r="LDV2" s="133" t="s">
        <v>9361</v>
      </c>
      <c r="LDW2" s="133" t="s">
        <v>9362</v>
      </c>
      <c r="LDX2" s="133" t="s">
        <v>9363</v>
      </c>
      <c r="LDY2" s="133" t="s">
        <v>9364</v>
      </c>
      <c r="LDZ2" s="133" t="s">
        <v>9365</v>
      </c>
      <c r="LEA2" s="133" t="s">
        <v>9366</v>
      </c>
      <c r="LEB2" s="133" t="s">
        <v>9367</v>
      </c>
      <c r="LEC2" s="133" t="s">
        <v>9368</v>
      </c>
      <c r="LED2" s="133" t="s">
        <v>9369</v>
      </c>
      <c r="LEE2" s="133" t="s">
        <v>9370</v>
      </c>
      <c r="LEF2" s="133" t="s">
        <v>9371</v>
      </c>
      <c r="LEG2" s="133" t="s">
        <v>9372</v>
      </c>
      <c r="LEH2" s="133" t="s">
        <v>9373</v>
      </c>
      <c r="LEI2" s="133" t="s">
        <v>9374</v>
      </c>
      <c r="LEJ2" s="133" t="s">
        <v>9375</v>
      </c>
      <c r="LEK2" s="133" t="s">
        <v>9376</v>
      </c>
      <c r="LEL2" s="133" t="s">
        <v>9377</v>
      </c>
      <c r="LEM2" s="133" t="s">
        <v>9378</v>
      </c>
      <c r="LEN2" s="133" t="s">
        <v>9379</v>
      </c>
      <c r="LEO2" s="133" t="s">
        <v>9380</v>
      </c>
      <c r="LEP2" s="133" t="s">
        <v>9381</v>
      </c>
      <c r="LEQ2" s="133" t="s">
        <v>9382</v>
      </c>
      <c r="LER2" s="133" t="s">
        <v>9383</v>
      </c>
      <c r="LES2" s="133" t="s">
        <v>9384</v>
      </c>
      <c r="LET2" s="133" t="s">
        <v>9385</v>
      </c>
      <c r="LEU2" s="133" t="s">
        <v>9386</v>
      </c>
      <c r="LEV2" s="133" t="s">
        <v>9387</v>
      </c>
      <c r="LEW2" s="133" t="s">
        <v>9388</v>
      </c>
      <c r="LEX2" s="133" t="s">
        <v>9389</v>
      </c>
      <c r="LEY2" s="133" t="s">
        <v>9390</v>
      </c>
      <c r="LEZ2" s="133" t="s">
        <v>9391</v>
      </c>
      <c r="LFA2" s="133" t="s">
        <v>9392</v>
      </c>
      <c r="LFB2" s="133" t="s">
        <v>9393</v>
      </c>
      <c r="LFC2" s="133" t="s">
        <v>9394</v>
      </c>
      <c r="LFD2" s="133" t="s">
        <v>9395</v>
      </c>
      <c r="LFE2" s="133" t="s">
        <v>9396</v>
      </c>
      <c r="LFF2" s="133" t="s">
        <v>9397</v>
      </c>
      <c r="LFG2" s="133" t="s">
        <v>9398</v>
      </c>
      <c r="LFH2" s="133" t="s">
        <v>9399</v>
      </c>
      <c r="LFI2" s="133" t="s">
        <v>9400</v>
      </c>
      <c r="LFJ2" s="133" t="s">
        <v>9401</v>
      </c>
      <c r="LFK2" s="133" t="s">
        <v>9402</v>
      </c>
      <c r="LFL2" s="133" t="s">
        <v>9403</v>
      </c>
      <c r="LFM2" s="133" t="s">
        <v>9404</v>
      </c>
      <c r="LFN2" s="133" t="s">
        <v>9405</v>
      </c>
      <c r="LFO2" s="133" t="s">
        <v>9406</v>
      </c>
      <c r="LFP2" s="133" t="s">
        <v>9407</v>
      </c>
      <c r="LFQ2" s="133" t="s">
        <v>9408</v>
      </c>
      <c r="LFR2" s="133" t="s">
        <v>9409</v>
      </c>
      <c r="LFS2" s="133" t="s">
        <v>9410</v>
      </c>
      <c r="LFT2" s="133" t="s">
        <v>9411</v>
      </c>
      <c r="LFU2" s="133" t="s">
        <v>9412</v>
      </c>
      <c r="LFV2" s="133" t="s">
        <v>9413</v>
      </c>
      <c r="LFW2" s="133" t="s">
        <v>9414</v>
      </c>
      <c r="LFX2" s="133" t="s">
        <v>9415</v>
      </c>
      <c r="LFY2" s="133" t="s">
        <v>9416</v>
      </c>
      <c r="LFZ2" s="133" t="s">
        <v>9417</v>
      </c>
      <c r="LGA2" s="133" t="s">
        <v>9418</v>
      </c>
      <c r="LGB2" s="133" t="s">
        <v>9419</v>
      </c>
      <c r="LGC2" s="133" t="s">
        <v>9420</v>
      </c>
      <c r="LGD2" s="133" t="s">
        <v>9421</v>
      </c>
      <c r="LGE2" s="133" t="s">
        <v>9422</v>
      </c>
      <c r="LGF2" s="133" t="s">
        <v>9423</v>
      </c>
      <c r="LGG2" s="133" t="s">
        <v>9424</v>
      </c>
      <c r="LGH2" s="133" t="s">
        <v>9425</v>
      </c>
      <c r="LGI2" s="133" t="s">
        <v>9426</v>
      </c>
      <c r="LGJ2" s="133" t="s">
        <v>9427</v>
      </c>
      <c r="LGK2" s="133" t="s">
        <v>9428</v>
      </c>
      <c r="LGL2" s="133" t="s">
        <v>9429</v>
      </c>
      <c r="LGM2" s="133" t="s">
        <v>9430</v>
      </c>
      <c r="LGN2" s="133" t="s">
        <v>9431</v>
      </c>
      <c r="LGO2" s="133" t="s">
        <v>9432</v>
      </c>
      <c r="LGP2" s="133" t="s">
        <v>9433</v>
      </c>
      <c r="LGQ2" s="133" t="s">
        <v>9434</v>
      </c>
      <c r="LGR2" s="133" t="s">
        <v>9435</v>
      </c>
      <c r="LGS2" s="133" t="s">
        <v>9436</v>
      </c>
      <c r="LGT2" s="133" t="s">
        <v>9437</v>
      </c>
      <c r="LGU2" s="133" t="s">
        <v>9438</v>
      </c>
      <c r="LGV2" s="133" t="s">
        <v>9439</v>
      </c>
      <c r="LGW2" s="133" t="s">
        <v>9440</v>
      </c>
      <c r="LGX2" s="133" t="s">
        <v>9441</v>
      </c>
      <c r="LGY2" s="133" t="s">
        <v>9442</v>
      </c>
      <c r="LGZ2" s="133" t="s">
        <v>9443</v>
      </c>
      <c r="LHA2" s="133" t="s">
        <v>9444</v>
      </c>
      <c r="LHB2" s="133" t="s">
        <v>9445</v>
      </c>
      <c r="LHC2" s="133" t="s">
        <v>9446</v>
      </c>
      <c r="LHD2" s="133" t="s">
        <v>9447</v>
      </c>
      <c r="LHE2" s="133" t="s">
        <v>9448</v>
      </c>
      <c r="LHF2" s="133" t="s">
        <v>9449</v>
      </c>
      <c r="LHG2" s="133" t="s">
        <v>9450</v>
      </c>
      <c r="LHH2" s="133" t="s">
        <v>9451</v>
      </c>
      <c r="LHI2" s="133" t="s">
        <v>9452</v>
      </c>
      <c r="LHJ2" s="133" t="s">
        <v>9453</v>
      </c>
      <c r="LHK2" s="133" t="s">
        <v>9454</v>
      </c>
      <c r="LHL2" s="133" t="s">
        <v>9455</v>
      </c>
      <c r="LHM2" s="133" t="s">
        <v>9456</v>
      </c>
      <c r="LHN2" s="133" t="s">
        <v>9457</v>
      </c>
      <c r="LHO2" s="133" t="s">
        <v>9458</v>
      </c>
      <c r="LHP2" s="133" t="s">
        <v>9459</v>
      </c>
      <c r="LHQ2" s="133" t="s">
        <v>9460</v>
      </c>
      <c r="LHR2" s="133" t="s">
        <v>9461</v>
      </c>
      <c r="LHS2" s="133" t="s">
        <v>9462</v>
      </c>
      <c r="LHT2" s="133" t="s">
        <v>9463</v>
      </c>
      <c r="LHU2" s="133" t="s">
        <v>9464</v>
      </c>
      <c r="LHV2" s="133" t="s">
        <v>9465</v>
      </c>
      <c r="LHW2" s="133" t="s">
        <v>9466</v>
      </c>
      <c r="LHX2" s="133" t="s">
        <v>9467</v>
      </c>
      <c r="LHY2" s="133" t="s">
        <v>9468</v>
      </c>
      <c r="LHZ2" s="133" t="s">
        <v>9469</v>
      </c>
      <c r="LIA2" s="133" t="s">
        <v>9470</v>
      </c>
      <c r="LIB2" s="133" t="s">
        <v>9471</v>
      </c>
      <c r="LIC2" s="133" t="s">
        <v>9472</v>
      </c>
      <c r="LID2" s="133" t="s">
        <v>9473</v>
      </c>
      <c r="LIE2" s="133" t="s">
        <v>9474</v>
      </c>
      <c r="LIF2" s="133" t="s">
        <v>9475</v>
      </c>
      <c r="LIG2" s="133" t="s">
        <v>9476</v>
      </c>
      <c r="LIH2" s="133" t="s">
        <v>9477</v>
      </c>
      <c r="LII2" s="133" t="s">
        <v>9478</v>
      </c>
      <c r="LIJ2" s="133" t="s">
        <v>9479</v>
      </c>
      <c r="LIK2" s="133" t="s">
        <v>9480</v>
      </c>
      <c r="LIL2" s="133" t="s">
        <v>9481</v>
      </c>
      <c r="LIM2" s="133" t="s">
        <v>9482</v>
      </c>
      <c r="LIN2" s="133" t="s">
        <v>9483</v>
      </c>
      <c r="LIO2" s="133" t="s">
        <v>9484</v>
      </c>
      <c r="LIP2" s="133" t="s">
        <v>9485</v>
      </c>
      <c r="LIQ2" s="133" t="s">
        <v>9486</v>
      </c>
      <c r="LIR2" s="133" t="s">
        <v>9487</v>
      </c>
      <c r="LIS2" s="133" t="s">
        <v>9488</v>
      </c>
      <c r="LIT2" s="133" t="s">
        <v>9489</v>
      </c>
      <c r="LIU2" s="133" t="s">
        <v>9490</v>
      </c>
      <c r="LIV2" s="133" t="s">
        <v>9491</v>
      </c>
      <c r="LIW2" s="133" t="s">
        <v>9492</v>
      </c>
      <c r="LIX2" s="133" t="s">
        <v>9493</v>
      </c>
      <c r="LIY2" s="133" t="s">
        <v>9494</v>
      </c>
      <c r="LIZ2" s="133" t="s">
        <v>9495</v>
      </c>
      <c r="LJA2" s="133" t="s">
        <v>9496</v>
      </c>
      <c r="LJB2" s="133" t="s">
        <v>9497</v>
      </c>
      <c r="LJC2" s="133" t="s">
        <v>9498</v>
      </c>
      <c r="LJD2" s="133" t="s">
        <v>9499</v>
      </c>
      <c r="LJE2" s="133" t="s">
        <v>9500</v>
      </c>
      <c r="LJF2" s="133" t="s">
        <v>9501</v>
      </c>
      <c r="LJG2" s="133" t="s">
        <v>9502</v>
      </c>
      <c r="LJH2" s="133" t="s">
        <v>9503</v>
      </c>
      <c r="LJI2" s="133" t="s">
        <v>9504</v>
      </c>
      <c r="LJJ2" s="133" t="s">
        <v>9505</v>
      </c>
      <c r="LJK2" s="133" t="s">
        <v>9506</v>
      </c>
      <c r="LJL2" s="133" t="s">
        <v>9507</v>
      </c>
      <c r="LJM2" s="133" t="s">
        <v>9508</v>
      </c>
      <c r="LJN2" s="133" t="s">
        <v>9509</v>
      </c>
      <c r="LJO2" s="133" t="s">
        <v>9510</v>
      </c>
      <c r="LJP2" s="133" t="s">
        <v>9511</v>
      </c>
      <c r="LJQ2" s="133" t="s">
        <v>9512</v>
      </c>
      <c r="LJR2" s="133" t="s">
        <v>9513</v>
      </c>
      <c r="LJS2" s="133" t="s">
        <v>9514</v>
      </c>
      <c r="LJT2" s="133" t="s">
        <v>9515</v>
      </c>
      <c r="LJU2" s="133" t="s">
        <v>9516</v>
      </c>
      <c r="LJV2" s="133" t="s">
        <v>9517</v>
      </c>
      <c r="LJW2" s="133" t="s">
        <v>9518</v>
      </c>
      <c r="LJX2" s="133" t="s">
        <v>9519</v>
      </c>
      <c r="LJY2" s="133" t="s">
        <v>9520</v>
      </c>
      <c r="LJZ2" s="133" t="s">
        <v>9521</v>
      </c>
      <c r="LKA2" s="133" t="s">
        <v>9522</v>
      </c>
      <c r="LKB2" s="133" t="s">
        <v>9523</v>
      </c>
      <c r="LKC2" s="133" t="s">
        <v>9524</v>
      </c>
      <c r="LKD2" s="133" t="s">
        <v>9525</v>
      </c>
      <c r="LKE2" s="133" t="s">
        <v>9526</v>
      </c>
      <c r="LKF2" s="133" t="s">
        <v>9527</v>
      </c>
      <c r="LKG2" s="133" t="s">
        <v>9528</v>
      </c>
      <c r="LKH2" s="133" t="s">
        <v>9529</v>
      </c>
      <c r="LKI2" s="133" t="s">
        <v>9530</v>
      </c>
      <c r="LKJ2" s="133" t="s">
        <v>9531</v>
      </c>
      <c r="LKK2" s="133" t="s">
        <v>9532</v>
      </c>
      <c r="LKL2" s="133" t="s">
        <v>9533</v>
      </c>
      <c r="LKM2" s="133" t="s">
        <v>9534</v>
      </c>
      <c r="LKN2" s="133" t="s">
        <v>9535</v>
      </c>
      <c r="LKO2" s="133" t="s">
        <v>9536</v>
      </c>
      <c r="LKP2" s="133" t="s">
        <v>9537</v>
      </c>
      <c r="LKQ2" s="133" t="s">
        <v>9538</v>
      </c>
      <c r="LKR2" s="133" t="s">
        <v>9539</v>
      </c>
      <c r="LKS2" s="133" t="s">
        <v>9540</v>
      </c>
      <c r="LKT2" s="133" t="s">
        <v>9541</v>
      </c>
      <c r="LKU2" s="133" t="s">
        <v>9542</v>
      </c>
      <c r="LKV2" s="133" t="s">
        <v>9543</v>
      </c>
      <c r="LKW2" s="133" t="s">
        <v>9544</v>
      </c>
      <c r="LKX2" s="133" t="s">
        <v>9545</v>
      </c>
      <c r="LKY2" s="133" t="s">
        <v>9546</v>
      </c>
      <c r="LKZ2" s="133" t="s">
        <v>9547</v>
      </c>
      <c r="LLA2" s="133" t="s">
        <v>9548</v>
      </c>
      <c r="LLB2" s="133" t="s">
        <v>9549</v>
      </c>
      <c r="LLC2" s="133" t="s">
        <v>9550</v>
      </c>
      <c r="LLD2" s="133" t="s">
        <v>9551</v>
      </c>
      <c r="LLE2" s="133" t="s">
        <v>9552</v>
      </c>
      <c r="LLF2" s="133" t="s">
        <v>9553</v>
      </c>
      <c r="LLG2" s="133" t="s">
        <v>9554</v>
      </c>
      <c r="LLH2" s="133" t="s">
        <v>9555</v>
      </c>
      <c r="LLI2" s="133" t="s">
        <v>9556</v>
      </c>
      <c r="LLJ2" s="133" t="s">
        <v>9557</v>
      </c>
      <c r="LLK2" s="133" t="s">
        <v>9558</v>
      </c>
      <c r="LLL2" s="133" t="s">
        <v>9559</v>
      </c>
      <c r="LLM2" s="133" t="s">
        <v>9560</v>
      </c>
      <c r="LLN2" s="133" t="s">
        <v>9561</v>
      </c>
      <c r="LLO2" s="133" t="s">
        <v>9562</v>
      </c>
      <c r="LLP2" s="133" t="s">
        <v>9563</v>
      </c>
      <c r="LLQ2" s="133" t="s">
        <v>9564</v>
      </c>
      <c r="LLR2" s="133" t="s">
        <v>9565</v>
      </c>
      <c r="LLS2" s="133" t="s">
        <v>9566</v>
      </c>
      <c r="LLT2" s="133" t="s">
        <v>9567</v>
      </c>
      <c r="LLU2" s="133" t="s">
        <v>9568</v>
      </c>
      <c r="LLV2" s="133" t="s">
        <v>9569</v>
      </c>
      <c r="LLW2" s="133" t="s">
        <v>9570</v>
      </c>
      <c r="LLX2" s="133" t="s">
        <v>9571</v>
      </c>
      <c r="LLY2" s="133" t="s">
        <v>9572</v>
      </c>
      <c r="LLZ2" s="133" t="s">
        <v>9573</v>
      </c>
      <c r="LMA2" s="133" t="s">
        <v>9574</v>
      </c>
      <c r="LMB2" s="133" t="s">
        <v>9575</v>
      </c>
      <c r="LMC2" s="133" t="s">
        <v>9576</v>
      </c>
      <c r="LMD2" s="133" t="s">
        <v>9577</v>
      </c>
      <c r="LME2" s="133" t="s">
        <v>9578</v>
      </c>
      <c r="LMF2" s="133" t="s">
        <v>9579</v>
      </c>
      <c r="LMG2" s="133" t="s">
        <v>9580</v>
      </c>
      <c r="LMH2" s="133" t="s">
        <v>9581</v>
      </c>
      <c r="LMI2" s="133" t="s">
        <v>9582</v>
      </c>
      <c r="LMJ2" s="133" t="s">
        <v>9583</v>
      </c>
      <c r="LMK2" s="133" t="s">
        <v>9584</v>
      </c>
      <c r="LML2" s="133" t="s">
        <v>9585</v>
      </c>
      <c r="LMM2" s="133" t="s">
        <v>9586</v>
      </c>
      <c r="LMN2" s="133" t="s">
        <v>9587</v>
      </c>
      <c r="LMO2" s="133" t="s">
        <v>9588</v>
      </c>
      <c r="LMP2" s="133" t="s">
        <v>9589</v>
      </c>
      <c r="LMQ2" s="133" t="s">
        <v>9590</v>
      </c>
      <c r="LMR2" s="133" t="s">
        <v>9591</v>
      </c>
      <c r="LMS2" s="133" t="s">
        <v>9592</v>
      </c>
      <c r="LMT2" s="133" t="s">
        <v>9593</v>
      </c>
      <c r="LMU2" s="133" t="s">
        <v>9594</v>
      </c>
      <c r="LMV2" s="133" t="s">
        <v>9595</v>
      </c>
      <c r="LMW2" s="133" t="s">
        <v>9596</v>
      </c>
      <c r="LMX2" s="133" t="s">
        <v>9597</v>
      </c>
      <c r="LMY2" s="133" t="s">
        <v>9598</v>
      </c>
      <c r="LMZ2" s="133" t="s">
        <v>9599</v>
      </c>
      <c r="LNA2" s="133" t="s">
        <v>9600</v>
      </c>
      <c r="LNB2" s="133" t="s">
        <v>9601</v>
      </c>
      <c r="LNC2" s="133" t="s">
        <v>9602</v>
      </c>
      <c r="LND2" s="133" t="s">
        <v>9603</v>
      </c>
      <c r="LNE2" s="133" t="s">
        <v>9604</v>
      </c>
      <c r="LNF2" s="133" t="s">
        <v>9605</v>
      </c>
      <c r="LNG2" s="133" t="s">
        <v>9606</v>
      </c>
      <c r="LNH2" s="133" t="s">
        <v>9607</v>
      </c>
      <c r="LNI2" s="133" t="s">
        <v>9608</v>
      </c>
      <c r="LNJ2" s="133" t="s">
        <v>9609</v>
      </c>
      <c r="LNK2" s="133" t="s">
        <v>9610</v>
      </c>
      <c r="LNL2" s="133" t="s">
        <v>9611</v>
      </c>
      <c r="LNM2" s="133" t="s">
        <v>9612</v>
      </c>
      <c r="LNN2" s="133" t="s">
        <v>9613</v>
      </c>
      <c r="LNO2" s="133" t="s">
        <v>9614</v>
      </c>
      <c r="LNP2" s="133" t="s">
        <v>9615</v>
      </c>
      <c r="LNQ2" s="133" t="s">
        <v>9616</v>
      </c>
      <c r="LNR2" s="133" t="s">
        <v>9617</v>
      </c>
      <c r="LNS2" s="133" t="s">
        <v>9618</v>
      </c>
      <c r="LNT2" s="133" t="s">
        <v>9619</v>
      </c>
      <c r="LNU2" s="133" t="s">
        <v>9620</v>
      </c>
      <c r="LNV2" s="133" t="s">
        <v>9621</v>
      </c>
      <c r="LNW2" s="133" t="s">
        <v>9622</v>
      </c>
      <c r="LNX2" s="133" t="s">
        <v>9623</v>
      </c>
      <c r="LNY2" s="133" t="s">
        <v>9624</v>
      </c>
      <c r="LNZ2" s="133" t="s">
        <v>9625</v>
      </c>
      <c r="LOA2" s="133" t="s">
        <v>9626</v>
      </c>
      <c r="LOB2" s="133" t="s">
        <v>9627</v>
      </c>
      <c r="LOC2" s="133" t="s">
        <v>9628</v>
      </c>
      <c r="LOD2" s="133" t="s">
        <v>9629</v>
      </c>
      <c r="LOE2" s="133" t="s">
        <v>9630</v>
      </c>
      <c r="LOF2" s="133" t="s">
        <v>9631</v>
      </c>
      <c r="LOG2" s="133" t="s">
        <v>9632</v>
      </c>
      <c r="LOH2" s="133" t="s">
        <v>9633</v>
      </c>
      <c r="LOI2" s="133" t="s">
        <v>9634</v>
      </c>
      <c r="LOJ2" s="133" t="s">
        <v>9635</v>
      </c>
      <c r="LOK2" s="133" t="s">
        <v>9636</v>
      </c>
      <c r="LOL2" s="133" t="s">
        <v>9637</v>
      </c>
      <c r="LOM2" s="133" t="s">
        <v>9638</v>
      </c>
      <c r="LON2" s="133" t="s">
        <v>9639</v>
      </c>
      <c r="LOO2" s="133" t="s">
        <v>9640</v>
      </c>
      <c r="LOP2" s="133" t="s">
        <v>9641</v>
      </c>
      <c r="LOQ2" s="133" t="s">
        <v>9642</v>
      </c>
      <c r="LOR2" s="133" t="s">
        <v>9643</v>
      </c>
      <c r="LOS2" s="133" t="s">
        <v>9644</v>
      </c>
      <c r="LOT2" s="133" t="s">
        <v>9645</v>
      </c>
      <c r="LOU2" s="133" t="s">
        <v>9646</v>
      </c>
      <c r="LOV2" s="133" t="s">
        <v>9647</v>
      </c>
      <c r="LOW2" s="133" t="s">
        <v>9648</v>
      </c>
      <c r="LOX2" s="133" t="s">
        <v>9649</v>
      </c>
      <c r="LOY2" s="133" t="s">
        <v>9650</v>
      </c>
      <c r="LOZ2" s="133" t="s">
        <v>9651</v>
      </c>
      <c r="LPA2" s="133" t="s">
        <v>9652</v>
      </c>
      <c r="LPB2" s="133" t="s">
        <v>9653</v>
      </c>
      <c r="LPC2" s="133" t="s">
        <v>9654</v>
      </c>
      <c r="LPD2" s="133" t="s">
        <v>9655</v>
      </c>
      <c r="LPE2" s="133" t="s">
        <v>9656</v>
      </c>
      <c r="LPF2" s="133" t="s">
        <v>9657</v>
      </c>
      <c r="LPG2" s="133" t="s">
        <v>9658</v>
      </c>
      <c r="LPH2" s="133" t="s">
        <v>9659</v>
      </c>
      <c r="LPI2" s="133" t="s">
        <v>9660</v>
      </c>
      <c r="LPJ2" s="133" t="s">
        <v>9661</v>
      </c>
      <c r="LPK2" s="133" t="s">
        <v>9662</v>
      </c>
      <c r="LPL2" s="133" t="s">
        <v>9663</v>
      </c>
      <c r="LPM2" s="133" t="s">
        <v>9664</v>
      </c>
      <c r="LPN2" s="133" t="s">
        <v>9665</v>
      </c>
      <c r="LPO2" s="133" t="s">
        <v>9666</v>
      </c>
      <c r="LPP2" s="133" t="s">
        <v>9667</v>
      </c>
      <c r="LPQ2" s="133" t="s">
        <v>9668</v>
      </c>
      <c r="LPR2" s="133" t="s">
        <v>9669</v>
      </c>
      <c r="LPS2" s="133" t="s">
        <v>9670</v>
      </c>
      <c r="LPT2" s="133" t="s">
        <v>9671</v>
      </c>
      <c r="LPU2" s="133" t="s">
        <v>9672</v>
      </c>
      <c r="LPV2" s="133" t="s">
        <v>9673</v>
      </c>
      <c r="LPW2" s="133" t="s">
        <v>9674</v>
      </c>
      <c r="LPX2" s="133" t="s">
        <v>9675</v>
      </c>
      <c r="LPY2" s="133" t="s">
        <v>9676</v>
      </c>
      <c r="LPZ2" s="133" t="s">
        <v>9677</v>
      </c>
      <c r="LQA2" s="133" t="s">
        <v>9678</v>
      </c>
      <c r="LQB2" s="133" t="s">
        <v>9679</v>
      </c>
      <c r="LQC2" s="133" t="s">
        <v>9680</v>
      </c>
      <c r="LQD2" s="133" t="s">
        <v>9681</v>
      </c>
      <c r="LQE2" s="133" t="s">
        <v>9682</v>
      </c>
      <c r="LQF2" s="133" t="s">
        <v>9683</v>
      </c>
      <c r="LQG2" s="133" t="s">
        <v>9684</v>
      </c>
      <c r="LQH2" s="133" t="s">
        <v>9685</v>
      </c>
      <c r="LQI2" s="133" t="s">
        <v>9686</v>
      </c>
      <c r="LQJ2" s="133" t="s">
        <v>9687</v>
      </c>
      <c r="LQK2" s="133" t="s">
        <v>9688</v>
      </c>
      <c r="LQL2" s="133" t="s">
        <v>9689</v>
      </c>
      <c r="LQM2" s="133" t="s">
        <v>9690</v>
      </c>
      <c r="LQN2" s="133" t="s">
        <v>9691</v>
      </c>
      <c r="LQO2" s="133" t="s">
        <v>9692</v>
      </c>
      <c r="LQP2" s="133" t="s">
        <v>9693</v>
      </c>
      <c r="LQQ2" s="133" t="s">
        <v>9694</v>
      </c>
      <c r="LQR2" s="133" t="s">
        <v>9695</v>
      </c>
      <c r="LQS2" s="133" t="s">
        <v>9696</v>
      </c>
      <c r="LQT2" s="133" t="s">
        <v>9697</v>
      </c>
      <c r="LQU2" s="133" t="s">
        <v>9698</v>
      </c>
      <c r="LQV2" s="133" t="s">
        <v>9699</v>
      </c>
      <c r="LQW2" s="133" t="s">
        <v>9700</v>
      </c>
      <c r="LQX2" s="133" t="s">
        <v>9701</v>
      </c>
      <c r="LQY2" s="133" t="s">
        <v>9702</v>
      </c>
      <c r="LQZ2" s="133" t="s">
        <v>9703</v>
      </c>
      <c r="LRA2" s="133" t="s">
        <v>9704</v>
      </c>
      <c r="LRB2" s="133" t="s">
        <v>9705</v>
      </c>
      <c r="LRC2" s="133" t="s">
        <v>9706</v>
      </c>
      <c r="LRD2" s="133" t="s">
        <v>9707</v>
      </c>
      <c r="LRE2" s="133" t="s">
        <v>9708</v>
      </c>
      <c r="LRF2" s="133" t="s">
        <v>9709</v>
      </c>
      <c r="LRG2" s="133" t="s">
        <v>9710</v>
      </c>
      <c r="LRH2" s="133" t="s">
        <v>9711</v>
      </c>
      <c r="LRI2" s="133" t="s">
        <v>9712</v>
      </c>
      <c r="LRJ2" s="133" t="s">
        <v>9713</v>
      </c>
      <c r="LRK2" s="133" t="s">
        <v>9714</v>
      </c>
      <c r="LRL2" s="133" t="s">
        <v>9715</v>
      </c>
      <c r="LRM2" s="133" t="s">
        <v>9716</v>
      </c>
      <c r="LRN2" s="133" t="s">
        <v>9717</v>
      </c>
      <c r="LRO2" s="133" t="s">
        <v>9718</v>
      </c>
      <c r="LRP2" s="133" t="s">
        <v>9719</v>
      </c>
      <c r="LRQ2" s="133" t="s">
        <v>9720</v>
      </c>
      <c r="LRR2" s="133" t="s">
        <v>9721</v>
      </c>
      <c r="LRS2" s="133" t="s">
        <v>9722</v>
      </c>
      <c r="LRT2" s="133" t="s">
        <v>9723</v>
      </c>
      <c r="LRU2" s="133" t="s">
        <v>9724</v>
      </c>
      <c r="LRV2" s="133" t="s">
        <v>9725</v>
      </c>
      <c r="LRW2" s="133" t="s">
        <v>9726</v>
      </c>
      <c r="LRX2" s="133" t="s">
        <v>9727</v>
      </c>
      <c r="LRY2" s="133" t="s">
        <v>9728</v>
      </c>
      <c r="LRZ2" s="133" t="s">
        <v>9729</v>
      </c>
      <c r="LSA2" s="133" t="s">
        <v>9730</v>
      </c>
      <c r="LSB2" s="133" t="s">
        <v>9731</v>
      </c>
      <c r="LSC2" s="133" t="s">
        <v>9732</v>
      </c>
      <c r="LSD2" s="133" t="s">
        <v>9733</v>
      </c>
      <c r="LSE2" s="133" t="s">
        <v>9734</v>
      </c>
      <c r="LSF2" s="133" t="s">
        <v>9735</v>
      </c>
      <c r="LSG2" s="133" t="s">
        <v>9736</v>
      </c>
      <c r="LSH2" s="133" t="s">
        <v>9737</v>
      </c>
      <c r="LSI2" s="133" t="s">
        <v>9738</v>
      </c>
      <c r="LSJ2" s="133" t="s">
        <v>9739</v>
      </c>
      <c r="LSK2" s="133" t="s">
        <v>9740</v>
      </c>
      <c r="LSL2" s="133" t="s">
        <v>9741</v>
      </c>
      <c r="LSM2" s="133" t="s">
        <v>9742</v>
      </c>
      <c r="LSN2" s="133" t="s">
        <v>9743</v>
      </c>
      <c r="LSO2" s="133" t="s">
        <v>9744</v>
      </c>
      <c r="LSP2" s="133" t="s">
        <v>9745</v>
      </c>
      <c r="LSQ2" s="133" t="s">
        <v>9746</v>
      </c>
      <c r="LSR2" s="133" t="s">
        <v>9747</v>
      </c>
      <c r="LSS2" s="133" t="s">
        <v>9748</v>
      </c>
      <c r="LST2" s="133" t="s">
        <v>9749</v>
      </c>
      <c r="LSU2" s="133" t="s">
        <v>9750</v>
      </c>
      <c r="LSV2" s="133" t="s">
        <v>9751</v>
      </c>
      <c r="LSW2" s="133" t="s">
        <v>9752</v>
      </c>
      <c r="LSX2" s="133" t="s">
        <v>9753</v>
      </c>
      <c r="LSY2" s="133" t="s">
        <v>9754</v>
      </c>
      <c r="LSZ2" s="133" t="s">
        <v>9755</v>
      </c>
      <c r="LTA2" s="133" t="s">
        <v>9756</v>
      </c>
      <c r="LTB2" s="133" t="s">
        <v>9757</v>
      </c>
      <c r="LTC2" s="133" t="s">
        <v>9758</v>
      </c>
      <c r="LTD2" s="133" t="s">
        <v>9759</v>
      </c>
      <c r="LTE2" s="133" t="s">
        <v>9760</v>
      </c>
      <c r="LTF2" s="133" t="s">
        <v>9761</v>
      </c>
      <c r="LTG2" s="133" t="s">
        <v>9762</v>
      </c>
      <c r="LTH2" s="133" t="s">
        <v>9763</v>
      </c>
      <c r="LTI2" s="133" t="s">
        <v>9764</v>
      </c>
      <c r="LTJ2" s="133" t="s">
        <v>9765</v>
      </c>
      <c r="LTK2" s="133" t="s">
        <v>9766</v>
      </c>
      <c r="LTL2" s="133" t="s">
        <v>9767</v>
      </c>
      <c r="LTM2" s="133" t="s">
        <v>9768</v>
      </c>
      <c r="LTN2" s="133" t="s">
        <v>9769</v>
      </c>
      <c r="LTO2" s="133" t="s">
        <v>9770</v>
      </c>
      <c r="LTP2" s="133" t="s">
        <v>9771</v>
      </c>
      <c r="LTQ2" s="133" t="s">
        <v>9772</v>
      </c>
      <c r="LTR2" s="133" t="s">
        <v>9773</v>
      </c>
      <c r="LTS2" s="133" t="s">
        <v>9774</v>
      </c>
      <c r="LTT2" s="133" t="s">
        <v>9775</v>
      </c>
      <c r="LTU2" s="133" t="s">
        <v>9776</v>
      </c>
      <c r="LTV2" s="133" t="s">
        <v>9777</v>
      </c>
      <c r="LTW2" s="133" t="s">
        <v>9778</v>
      </c>
      <c r="LTX2" s="133" t="s">
        <v>9779</v>
      </c>
      <c r="LTY2" s="133" t="s">
        <v>9780</v>
      </c>
      <c r="LTZ2" s="133" t="s">
        <v>9781</v>
      </c>
      <c r="LUA2" s="133" t="s">
        <v>9782</v>
      </c>
      <c r="LUB2" s="133" t="s">
        <v>9783</v>
      </c>
      <c r="LUC2" s="133" t="s">
        <v>9784</v>
      </c>
      <c r="LUD2" s="133" t="s">
        <v>9785</v>
      </c>
      <c r="LUE2" s="133" t="s">
        <v>9786</v>
      </c>
      <c r="LUF2" s="133" t="s">
        <v>9787</v>
      </c>
      <c r="LUG2" s="133" t="s">
        <v>9788</v>
      </c>
      <c r="LUH2" s="133" t="s">
        <v>9789</v>
      </c>
      <c r="LUI2" s="133" t="s">
        <v>9790</v>
      </c>
      <c r="LUJ2" s="133" t="s">
        <v>9791</v>
      </c>
      <c r="LUK2" s="133" t="s">
        <v>9792</v>
      </c>
      <c r="LUL2" s="133" t="s">
        <v>9793</v>
      </c>
      <c r="LUM2" s="133" t="s">
        <v>9794</v>
      </c>
      <c r="LUN2" s="133" t="s">
        <v>9795</v>
      </c>
      <c r="LUO2" s="133" t="s">
        <v>9796</v>
      </c>
      <c r="LUP2" s="133" t="s">
        <v>9797</v>
      </c>
      <c r="LUQ2" s="133" t="s">
        <v>9798</v>
      </c>
      <c r="LUR2" s="133" t="s">
        <v>9799</v>
      </c>
      <c r="LUS2" s="133" t="s">
        <v>9800</v>
      </c>
      <c r="LUT2" s="133" t="s">
        <v>9801</v>
      </c>
      <c r="LUU2" s="133" t="s">
        <v>9802</v>
      </c>
      <c r="LUV2" s="133" t="s">
        <v>9803</v>
      </c>
      <c r="LUW2" s="133" t="s">
        <v>9804</v>
      </c>
      <c r="LUX2" s="133" t="s">
        <v>9805</v>
      </c>
      <c r="LUY2" s="133" t="s">
        <v>9806</v>
      </c>
      <c r="LUZ2" s="133" t="s">
        <v>9807</v>
      </c>
      <c r="LVA2" s="133" t="s">
        <v>9808</v>
      </c>
      <c r="LVB2" s="133" t="s">
        <v>9809</v>
      </c>
      <c r="LVC2" s="133" t="s">
        <v>9810</v>
      </c>
      <c r="LVD2" s="133" t="s">
        <v>9811</v>
      </c>
      <c r="LVE2" s="133" t="s">
        <v>9812</v>
      </c>
      <c r="LVF2" s="133" t="s">
        <v>9813</v>
      </c>
      <c r="LVG2" s="133" t="s">
        <v>9814</v>
      </c>
      <c r="LVH2" s="133" t="s">
        <v>9815</v>
      </c>
      <c r="LVI2" s="133" t="s">
        <v>9816</v>
      </c>
      <c r="LVJ2" s="133" t="s">
        <v>9817</v>
      </c>
      <c r="LVK2" s="133" t="s">
        <v>9818</v>
      </c>
      <c r="LVL2" s="133" t="s">
        <v>9819</v>
      </c>
      <c r="LVM2" s="133" t="s">
        <v>9820</v>
      </c>
      <c r="LVN2" s="133" t="s">
        <v>9821</v>
      </c>
      <c r="LVO2" s="133" t="s">
        <v>9822</v>
      </c>
      <c r="LVP2" s="133" t="s">
        <v>9823</v>
      </c>
      <c r="LVQ2" s="133" t="s">
        <v>9824</v>
      </c>
      <c r="LVR2" s="133" t="s">
        <v>9825</v>
      </c>
      <c r="LVS2" s="133" t="s">
        <v>9826</v>
      </c>
      <c r="LVT2" s="133" t="s">
        <v>9827</v>
      </c>
      <c r="LVU2" s="133" t="s">
        <v>9828</v>
      </c>
      <c r="LVV2" s="133" t="s">
        <v>9829</v>
      </c>
      <c r="LVW2" s="133" t="s">
        <v>9830</v>
      </c>
      <c r="LVX2" s="133" t="s">
        <v>9831</v>
      </c>
      <c r="LVY2" s="133" t="s">
        <v>9832</v>
      </c>
      <c r="LVZ2" s="133" t="s">
        <v>9833</v>
      </c>
      <c r="LWA2" s="133" t="s">
        <v>9834</v>
      </c>
      <c r="LWB2" s="133" t="s">
        <v>9835</v>
      </c>
      <c r="LWC2" s="133" t="s">
        <v>9836</v>
      </c>
      <c r="LWD2" s="133" t="s">
        <v>9837</v>
      </c>
      <c r="LWE2" s="133" t="s">
        <v>9838</v>
      </c>
      <c r="LWF2" s="133" t="s">
        <v>9839</v>
      </c>
      <c r="LWG2" s="133" t="s">
        <v>9840</v>
      </c>
      <c r="LWH2" s="133" t="s">
        <v>9841</v>
      </c>
      <c r="LWI2" s="133" t="s">
        <v>9842</v>
      </c>
      <c r="LWJ2" s="133" t="s">
        <v>9843</v>
      </c>
      <c r="LWK2" s="133" t="s">
        <v>9844</v>
      </c>
      <c r="LWL2" s="133" t="s">
        <v>9845</v>
      </c>
      <c r="LWM2" s="133" t="s">
        <v>9846</v>
      </c>
      <c r="LWN2" s="133" t="s">
        <v>9847</v>
      </c>
      <c r="LWO2" s="133" t="s">
        <v>9848</v>
      </c>
      <c r="LWP2" s="133" t="s">
        <v>9849</v>
      </c>
      <c r="LWQ2" s="133" t="s">
        <v>9850</v>
      </c>
      <c r="LWR2" s="133" t="s">
        <v>9851</v>
      </c>
      <c r="LWS2" s="133" t="s">
        <v>9852</v>
      </c>
      <c r="LWT2" s="133" t="s">
        <v>9853</v>
      </c>
      <c r="LWU2" s="133" t="s">
        <v>9854</v>
      </c>
      <c r="LWV2" s="133" t="s">
        <v>9855</v>
      </c>
      <c r="LWW2" s="133" t="s">
        <v>9856</v>
      </c>
      <c r="LWX2" s="133" t="s">
        <v>9857</v>
      </c>
      <c r="LWY2" s="133" t="s">
        <v>9858</v>
      </c>
      <c r="LWZ2" s="133" t="s">
        <v>9859</v>
      </c>
      <c r="LXA2" s="133" t="s">
        <v>9860</v>
      </c>
      <c r="LXB2" s="133" t="s">
        <v>9861</v>
      </c>
      <c r="LXC2" s="133" t="s">
        <v>9862</v>
      </c>
      <c r="LXD2" s="133" t="s">
        <v>9863</v>
      </c>
      <c r="LXE2" s="133" t="s">
        <v>9864</v>
      </c>
      <c r="LXF2" s="133" t="s">
        <v>9865</v>
      </c>
      <c r="LXG2" s="133" t="s">
        <v>9866</v>
      </c>
      <c r="LXH2" s="133" t="s">
        <v>9867</v>
      </c>
      <c r="LXI2" s="133" t="s">
        <v>9868</v>
      </c>
      <c r="LXJ2" s="133" t="s">
        <v>9869</v>
      </c>
      <c r="LXK2" s="133" t="s">
        <v>9870</v>
      </c>
      <c r="LXL2" s="133" t="s">
        <v>9871</v>
      </c>
      <c r="LXM2" s="133" t="s">
        <v>9872</v>
      </c>
      <c r="LXN2" s="133" t="s">
        <v>9873</v>
      </c>
      <c r="LXO2" s="133" t="s">
        <v>9874</v>
      </c>
      <c r="LXP2" s="133" t="s">
        <v>9875</v>
      </c>
      <c r="LXQ2" s="133" t="s">
        <v>9876</v>
      </c>
      <c r="LXR2" s="133" t="s">
        <v>9877</v>
      </c>
      <c r="LXS2" s="133" t="s">
        <v>9878</v>
      </c>
      <c r="LXT2" s="133" t="s">
        <v>9879</v>
      </c>
      <c r="LXU2" s="133" t="s">
        <v>9880</v>
      </c>
      <c r="LXV2" s="133" t="s">
        <v>9881</v>
      </c>
      <c r="LXW2" s="133" t="s">
        <v>9882</v>
      </c>
      <c r="LXX2" s="133" t="s">
        <v>9883</v>
      </c>
      <c r="LXY2" s="133" t="s">
        <v>9884</v>
      </c>
      <c r="LXZ2" s="133" t="s">
        <v>9885</v>
      </c>
      <c r="LYA2" s="133" t="s">
        <v>9886</v>
      </c>
      <c r="LYB2" s="133" t="s">
        <v>9887</v>
      </c>
      <c r="LYC2" s="133" t="s">
        <v>9888</v>
      </c>
      <c r="LYD2" s="133" t="s">
        <v>9889</v>
      </c>
      <c r="LYE2" s="133" t="s">
        <v>9890</v>
      </c>
      <c r="LYF2" s="133" t="s">
        <v>9891</v>
      </c>
      <c r="LYG2" s="133" t="s">
        <v>9892</v>
      </c>
      <c r="LYH2" s="133" t="s">
        <v>9893</v>
      </c>
      <c r="LYI2" s="133" t="s">
        <v>9894</v>
      </c>
      <c r="LYJ2" s="133" t="s">
        <v>9895</v>
      </c>
      <c r="LYK2" s="133" t="s">
        <v>9896</v>
      </c>
      <c r="LYL2" s="133" t="s">
        <v>9897</v>
      </c>
      <c r="LYM2" s="133" t="s">
        <v>9898</v>
      </c>
      <c r="LYN2" s="133" t="s">
        <v>9899</v>
      </c>
      <c r="LYO2" s="133" t="s">
        <v>9900</v>
      </c>
      <c r="LYP2" s="133" t="s">
        <v>9901</v>
      </c>
      <c r="LYQ2" s="133" t="s">
        <v>9902</v>
      </c>
      <c r="LYR2" s="133" t="s">
        <v>9903</v>
      </c>
      <c r="LYS2" s="133" t="s">
        <v>9904</v>
      </c>
      <c r="LYT2" s="133" t="s">
        <v>9905</v>
      </c>
      <c r="LYU2" s="133" t="s">
        <v>9906</v>
      </c>
      <c r="LYV2" s="133" t="s">
        <v>9907</v>
      </c>
      <c r="LYW2" s="133" t="s">
        <v>9908</v>
      </c>
      <c r="LYX2" s="133" t="s">
        <v>9909</v>
      </c>
      <c r="LYY2" s="133" t="s">
        <v>9910</v>
      </c>
      <c r="LYZ2" s="133" t="s">
        <v>9911</v>
      </c>
      <c r="LZA2" s="133" t="s">
        <v>9912</v>
      </c>
      <c r="LZB2" s="133" t="s">
        <v>9913</v>
      </c>
      <c r="LZC2" s="133" t="s">
        <v>9914</v>
      </c>
      <c r="LZD2" s="133" t="s">
        <v>9915</v>
      </c>
      <c r="LZE2" s="133" t="s">
        <v>9916</v>
      </c>
      <c r="LZF2" s="133" t="s">
        <v>9917</v>
      </c>
      <c r="LZG2" s="133" t="s">
        <v>9918</v>
      </c>
      <c r="LZH2" s="133" t="s">
        <v>9919</v>
      </c>
      <c r="LZI2" s="133" t="s">
        <v>9920</v>
      </c>
      <c r="LZJ2" s="133" t="s">
        <v>9921</v>
      </c>
      <c r="LZK2" s="133" t="s">
        <v>9922</v>
      </c>
      <c r="LZL2" s="133" t="s">
        <v>9923</v>
      </c>
      <c r="LZM2" s="133" t="s">
        <v>9924</v>
      </c>
      <c r="LZN2" s="133" t="s">
        <v>9925</v>
      </c>
      <c r="LZO2" s="133" t="s">
        <v>9926</v>
      </c>
      <c r="LZP2" s="133" t="s">
        <v>9927</v>
      </c>
      <c r="LZQ2" s="133" t="s">
        <v>9928</v>
      </c>
      <c r="LZR2" s="133" t="s">
        <v>9929</v>
      </c>
      <c r="LZS2" s="133" t="s">
        <v>9930</v>
      </c>
      <c r="LZT2" s="133" t="s">
        <v>9931</v>
      </c>
      <c r="LZU2" s="133" t="s">
        <v>9932</v>
      </c>
      <c r="LZV2" s="133" t="s">
        <v>9933</v>
      </c>
      <c r="LZW2" s="133" t="s">
        <v>9934</v>
      </c>
      <c r="LZX2" s="133" t="s">
        <v>9935</v>
      </c>
      <c r="LZY2" s="133" t="s">
        <v>9936</v>
      </c>
      <c r="LZZ2" s="133" t="s">
        <v>9937</v>
      </c>
      <c r="MAA2" s="133" t="s">
        <v>9938</v>
      </c>
      <c r="MAB2" s="133" t="s">
        <v>9939</v>
      </c>
      <c r="MAC2" s="133" t="s">
        <v>9940</v>
      </c>
      <c r="MAD2" s="133" t="s">
        <v>9941</v>
      </c>
      <c r="MAE2" s="133" t="s">
        <v>9942</v>
      </c>
      <c r="MAF2" s="133" t="s">
        <v>9943</v>
      </c>
      <c r="MAG2" s="133" t="s">
        <v>9944</v>
      </c>
      <c r="MAH2" s="133" t="s">
        <v>9945</v>
      </c>
      <c r="MAI2" s="133" t="s">
        <v>9946</v>
      </c>
      <c r="MAJ2" s="133" t="s">
        <v>9947</v>
      </c>
      <c r="MAK2" s="133" t="s">
        <v>9948</v>
      </c>
      <c r="MAL2" s="133" t="s">
        <v>9949</v>
      </c>
      <c r="MAM2" s="133" t="s">
        <v>9950</v>
      </c>
      <c r="MAN2" s="133" t="s">
        <v>9951</v>
      </c>
      <c r="MAO2" s="133" t="s">
        <v>9952</v>
      </c>
      <c r="MAP2" s="133" t="s">
        <v>9953</v>
      </c>
      <c r="MAQ2" s="133" t="s">
        <v>9954</v>
      </c>
      <c r="MAR2" s="133" t="s">
        <v>9955</v>
      </c>
      <c r="MAS2" s="133" t="s">
        <v>9956</v>
      </c>
      <c r="MAT2" s="133" t="s">
        <v>9957</v>
      </c>
      <c r="MAU2" s="133" t="s">
        <v>9958</v>
      </c>
      <c r="MAV2" s="133" t="s">
        <v>9959</v>
      </c>
      <c r="MAW2" s="133" t="s">
        <v>9960</v>
      </c>
      <c r="MAX2" s="133" t="s">
        <v>9961</v>
      </c>
      <c r="MAY2" s="133" t="s">
        <v>9962</v>
      </c>
      <c r="MAZ2" s="133" t="s">
        <v>9963</v>
      </c>
      <c r="MBA2" s="133" t="s">
        <v>9964</v>
      </c>
      <c r="MBB2" s="133" t="s">
        <v>9965</v>
      </c>
      <c r="MBC2" s="133" t="s">
        <v>9966</v>
      </c>
      <c r="MBD2" s="133" t="s">
        <v>9967</v>
      </c>
      <c r="MBE2" s="133" t="s">
        <v>9968</v>
      </c>
      <c r="MBF2" s="133" t="s">
        <v>9969</v>
      </c>
      <c r="MBG2" s="133" t="s">
        <v>9970</v>
      </c>
      <c r="MBH2" s="133" t="s">
        <v>9971</v>
      </c>
      <c r="MBI2" s="133" t="s">
        <v>9972</v>
      </c>
      <c r="MBJ2" s="133" t="s">
        <v>9973</v>
      </c>
      <c r="MBK2" s="133" t="s">
        <v>9974</v>
      </c>
      <c r="MBL2" s="133" t="s">
        <v>9975</v>
      </c>
      <c r="MBM2" s="133" t="s">
        <v>9976</v>
      </c>
      <c r="MBN2" s="133" t="s">
        <v>9977</v>
      </c>
      <c r="MBO2" s="133" t="s">
        <v>9978</v>
      </c>
      <c r="MBP2" s="133" t="s">
        <v>9979</v>
      </c>
      <c r="MBQ2" s="133" t="s">
        <v>9980</v>
      </c>
      <c r="MBR2" s="133" t="s">
        <v>9981</v>
      </c>
      <c r="MBS2" s="133" t="s">
        <v>9982</v>
      </c>
      <c r="MBT2" s="133" t="s">
        <v>9983</v>
      </c>
      <c r="MBU2" s="133" t="s">
        <v>9984</v>
      </c>
      <c r="MBV2" s="133" t="s">
        <v>9985</v>
      </c>
      <c r="MBW2" s="133" t="s">
        <v>9986</v>
      </c>
      <c r="MBX2" s="133" t="s">
        <v>9987</v>
      </c>
      <c r="MBY2" s="133" t="s">
        <v>9988</v>
      </c>
      <c r="MBZ2" s="133" t="s">
        <v>9989</v>
      </c>
      <c r="MCA2" s="133" t="s">
        <v>9990</v>
      </c>
      <c r="MCB2" s="133" t="s">
        <v>9991</v>
      </c>
      <c r="MCC2" s="133" t="s">
        <v>9992</v>
      </c>
      <c r="MCD2" s="133" t="s">
        <v>9993</v>
      </c>
      <c r="MCE2" s="133" t="s">
        <v>9994</v>
      </c>
      <c r="MCF2" s="133" t="s">
        <v>9995</v>
      </c>
      <c r="MCG2" s="133" t="s">
        <v>9996</v>
      </c>
      <c r="MCH2" s="133" t="s">
        <v>9997</v>
      </c>
      <c r="MCI2" s="133" t="s">
        <v>9998</v>
      </c>
      <c r="MCJ2" s="133" t="s">
        <v>9999</v>
      </c>
      <c r="MCK2" s="133" t="s">
        <v>10000</v>
      </c>
      <c r="MCL2" s="133" t="s">
        <v>10001</v>
      </c>
      <c r="MCM2" s="133" t="s">
        <v>10002</v>
      </c>
      <c r="MCN2" s="133" t="s">
        <v>10003</v>
      </c>
      <c r="MCO2" s="133" t="s">
        <v>10004</v>
      </c>
      <c r="MCP2" s="133" t="s">
        <v>10005</v>
      </c>
      <c r="MCQ2" s="133" t="s">
        <v>10006</v>
      </c>
      <c r="MCR2" s="133" t="s">
        <v>10007</v>
      </c>
      <c r="MCS2" s="133" t="s">
        <v>10008</v>
      </c>
      <c r="MCT2" s="133" t="s">
        <v>10009</v>
      </c>
      <c r="MCU2" s="133" t="s">
        <v>10010</v>
      </c>
      <c r="MCV2" s="133" t="s">
        <v>10011</v>
      </c>
      <c r="MCW2" s="133" t="s">
        <v>10012</v>
      </c>
      <c r="MCX2" s="133" t="s">
        <v>10013</v>
      </c>
      <c r="MCY2" s="133" t="s">
        <v>10014</v>
      </c>
      <c r="MCZ2" s="133" t="s">
        <v>10015</v>
      </c>
      <c r="MDA2" s="133" t="s">
        <v>10016</v>
      </c>
      <c r="MDB2" s="133" t="s">
        <v>10017</v>
      </c>
      <c r="MDC2" s="133" t="s">
        <v>10018</v>
      </c>
      <c r="MDD2" s="133" t="s">
        <v>10019</v>
      </c>
      <c r="MDE2" s="133" t="s">
        <v>10020</v>
      </c>
      <c r="MDF2" s="133" t="s">
        <v>10021</v>
      </c>
      <c r="MDG2" s="133" t="s">
        <v>10022</v>
      </c>
      <c r="MDH2" s="133" t="s">
        <v>10023</v>
      </c>
      <c r="MDI2" s="133" t="s">
        <v>10024</v>
      </c>
      <c r="MDJ2" s="133" t="s">
        <v>10025</v>
      </c>
      <c r="MDK2" s="133" t="s">
        <v>10026</v>
      </c>
      <c r="MDL2" s="133" t="s">
        <v>10027</v>
      </c>
      <c r="MDM2" s="133" t="s">
        <v>10028</v>
      </c>
      <c r="MDN2" s="133" t="s">
        <v>10029</v>
      </c>
      <c r="MDO2" s="133" t="s">
        <v>10030</v>
      </c>
      <c r="MDP2" s="133" t="s">
        <v>10031</v>
      </c>
      <c r="MDQ2" s="133" t="s">
        <v>10032</v>
      </c>
      <c r="MDR2" s="133" t="s">
        <v>10033</v>
      </c>
      <c r="MDS2" s="133" t="s">
        <v>10034</v>
      </c>
      <c r="MDT2" s="133" t="s">
        <v>10035</v>
      </c>
      <c r="MDU2" s="133" t="s">
        <v>10036</v>
      </c>
      <c r="MDV2" s="133" t="s">
        <v>10037</v>
      </c>
      <c r="MDW2" s="133" t="s">
        <v>10038</v>
      </c>
      <c r="MDX2" s="133" t="s">
        <v>10039</v>
      </c>
      <c r="MDY2" s="133" t="s">
        <v>10040</v>
      </c>
      <c r="MDZ2" s="133" t="s">
        <v>10041</v>
      </c>
      <c r="MEA2" s="133" t="s">
        <v>10042</v>
      </c>
      <c r="MEB2" s="133" t="s">
        <v>10043</v>
      </c>
      <c r="MEC2" s="133" t="s">
        <v>10044</v>
      </c>
      <c r="MED2" s="133" t="s">
        <v>10045</v>
      </c>
      <c r="MEE2" s="133" t="s">
        <v>10046</v>
      </c>
      <c r="MEF2" s="133" t="s">
        <v>10047</v>
      </c>
      <c r="MEG2" s="133" t="s">
        <v>10048</v>
      </c>
      <c r="MEH2" s="133" t="s">
        <v>10049</v>
      </c>
      <c r="MEI2" s="133" t="s">
        <v>10050</v>
      </c>
      <c r="MEJ2" s="133" t="s">
        <v>10051</v>
      </c>
      <c r="MEK2" s="133" t="s">
        <v>10052</v>
      </c>
      <c r="MEL2" s="133" t="s">
        <v>10053</v>
      </c>
      <c r="MEM2" s="133" t="s">
        <v>10054</v>
      </c>
      <c r="MEN2" s="133" t="s">
        <v>10055</v>
      </c>
      <c r="MEO2" s="133" t="s">
        <v>10056</v>
      </c>
      <c r="MEP2" s="133" t="s">
        <v>10057</v>
      </c>
      <c r="MEQ2" s="133" t="s">
        <v>10058</v>
      </c>
      <c r="MER2" s="133" t="s">
        <v>10059</v>
      </c>
      <c r="MES2" s="133" t="s">
        <v>10060</v>
      </c>
      <c r="MET2" s="133" t="s">
        <v>10061</v>
      </c>
      <c r="MEU2" s="133" t="s">
        <v>10062</v>
      </c>
      <c r="MEV2" s="133" t="s">
        <v>10063</v>
      </c>
      <c r="MEW2" s="133" t="s">
        <v>10064</v>
      </c>
      <c r="MEX2" s="133" t="s">
        <v>10065</v>
      </c>
      <c r="MEY2" s="133" t="s">
        <v>10066</v>
      </c>
      <c r="MEZ2" s="133" t="s">
        <v>10067</v>
      </c>
      <c r="MFA2" s="133" t="s">
        <v>10068</v>
      </c>
      <c r="MFB2" s="133" t="s">
        <v>10069</v>
      </c>
      <c r="MFC2" s="133" t="s">
        <v>10070</v>
      </c>
      <c r="MFD2" s="133" t="s">
        <v>10071</v>
      </c>
      <c r="MFE2" s="133" t="s">
        <v>10072</v>
      </c>
      <c r="MFF2" s="133" t="s">
        <v>10073</v>
      </c>
      <c r="MFG2" s="133" t="s">
        <v>10074</v>
      </c>
      <c r="MFH2" s="133" t="s">
        <v>10075</v>
      </c>
      <c r="MFI2" s="133" t="s">
        <v>10076</v>
      </c>
      <c r="MFJ2" s="133" t="s">
        <v>10077</v>
      </c>
      <c r="MFK2" s="133" t="s">
        <v>10078</v>
      </c>
      <c r="MFL2" s="133" t="s">
        <v>10079</v>
      </c>
      <c r="MFM2" s="133" t="s">
        <v>10080</v>
      </c>
      <c r="MFN2" s="133" t="s">
        <v>10081</v>
      </c>
      <c r="MFO2" s="133" t="s">
        <v>10082</v>
      </c>
      <c r="MFP2" s="133" t="s">
        <v>10083</v>
      </c>
      <c r="MFQ2" s="133" t="s">
        <v>10084</v>
      </c>
      <c r="MFR2" s="133" t="s">
        <v>10085</v>
      </c>
      <c r="MFS2" s="133" t="s">
        <v>10086</v>
      </c>
      <c r="MFT2" s="133" t="s">
        <v>10087</v>
      </c>
      <c r="MFU2" s="133" t="s">
        <v>10088</v>
      </c>
      <c r="MFV2" s="133" t="s">
        <v>10089</v>
      </c>
      <c r="MFW2" s="133" t="s">
        <v>10090</v>
      </c>
      <c r="MFX2" s="133" t="s">
        <v>10091</v>
      </c>
      <c r="MFY2" s="133" t="s">
        <v>10092</v>
      </c>
      <c r="MFZ2" s="133" t="s">
        <v>10093</v>
      </c>
      <c r="MGA2" s="133" t="s">
        <v>10094</v>
      </c>
      <c r="MGB2" s="133" t="s">
        <v>10095</v>
      </c>
      <c r="MGC2" s="133" t="s">
        <v>10096</v>
      </c>
      <c r="MGD2" s="133" t="s">
        <v>10097</v>
      </c>
      <c r="MGE2" s="133" t="s">
        <v>10098</v>
      </c>
      <c r="MGF2" s="133" t="s">
        <v>10099</v>
      </c>
      <c r="MGG2" s="133" t="s">
        <v>10100</v>
      </c>
      <c r="MGH2" s="133" t="s">
        <v>10101</v>
      </c>
      <c r="MGI2" s="133" t="s">
        <v>10102</v>
      </c>
      <c r="MGJ2" s="133" t="s">
        <v>10103</v>
      </c>
      <c r="MGK2" s="133" t="s">
        <v>10104</v>
      </c>
      <c r="MGL2" s="133" t="s">
        <v>10105</v>
      </c>
      <c r="MGM2" s="133" t="s">
        <v>10106</v>
      </c>
      <c r="MGN2" s="133" t="s">
        <v>10107</v>
      </c>
      <c r="MGO2" s="133" t="s">
        <v>10108</v>
      </c>
      <c r="MGP2" s="133" t="s">
        <v>10109</v>
      </c>
      <c r="MGQ2" s="133" t="s">
        <v>10110</v>
      </c>
      <c r="MGR2" s="133" t="s">
        <v>10111</v>
      </c>
      <c r="MGS2" s="133" t="s">
        <v>10112</v>
      </c>
      <c r="MGT2" s="133" t="s">
        <v>10113</v>
      </c>
      <c r="MGU2" s="133" t="s">
        <v>10114</v>
      </c>
      <c r="MGV2" s="133" t="s">
        <v>10115</v>
      </c>
      <c r="MGW2" s="133" t="s">
        <v>10116</v>
      </c>
      <c r="MGX2" s="133" t="s">
        <v>10117</v>
      </c>
      <c r="MGY2" s="133" t="s">
        <v>10118</v>
      </c>
      <c r="MGZ2" s="133" t="s">
        <v>10119</v>
      </c>
      <c r="MHA2" s="133" t="s">
        <v>10120</v>
      </c>
      <c r="MHB2" s="133" t="s">
        <v>10121</v>
      </c>
      <c r="MHC2" s="133" t="s">
        <v>10122</v>
      </c>
      <c r="MHD2" s="133" t="s">
        <v>10123</v>
      </c>
      <c r="MHE2" s="133" t="s">
        <v>10124</v>
      </c>
      <c r="MHF2" s="133" t="s">
        <v>10125</v>
      </c>
      <c r="MHG2" s="133" t="s">
        <v>10126</v>
      </c>
      <c r="MHH2" s="133" t="s">
        <v>10127</v>
      </c>
      <c r="MHI2" s="133" t="s">
        <v>10128</v>
      </c>
      <c r="MHJ2" s="133" t="s">
        <v>10129</v>
      </c>
      <c r="MHK2" s="133" t="s">
        <v>10130</v>
      </c>
      <c r="MHL2" s="133" t="s">
        <v>10131</v>
      </c>
      <c r="MHM2" s="133" t="s">
        <v>10132</v>
      </c>
      <c r="MHN2" s="133" t="s">
        <v>10133</v>
      </c>
      <c r="MHO2" s="133" t="s">
        <v>10134</v>
      </c>
      <c r="MHP2" s="133" t="s">
        <v>10135</v>
      </c>
      <c r="MHQ2" s="133" t="s">
        <v>10136</v>
      </c>
      <c r="MHR2" s="133" t="s">
        <v>10137</v>
      </c>
      <c r="MHS2" s="133" t="s">
        <v>10138</v>
      </c>
      <c r="MHT2" s="133" t="s">
        <v>10139</v>
      </c>
      <c r="MHU2" s="133" t="s">
        <v>10140</v>
      </c>
      <c r="MHV2" s="133" t="s">
        <v>10141</v>
      </c>
      <c r="MHW2" s="133" t="s">
        <v>10142</v>
      </c>
      <c r="MHX2" s="133" t="s">
        <v>10143</v>
      </c>
      <c r="MHY2" s="133" t="s">
        <v>10144</v>
      </c>
      <c r="MHZ2" s="133" t="s">
        <v>10145</v>
      </c>
      <c r="MIA2" s="133" t="s">
        <v>10146</v>
      </c>
      <c r="MIB2" s="133" t="s">
        <v>10147</v>
      </c>
      <c r="MIC2" s="133" t="s">
        <v>10148</v>
      </c>
      <c r="MID2" s="133" t="s">
        <v>10149</v>
      </c>
      <c r="MIE2" s="133" t="s">
        <v>10150</v>
      </c>
      <c r="MIF2" s="133" t="s">
        <v>10151</v>
      </c>
      <c r="MIG2" s="133" t="s">
        <v>10152</v>
      </c>
      <c r="MIH2" s="133" t="s">
        <v>10153</v>
      </c>
      <c r="MII2" s="133" t="s">
        <v>10154</v>
      </c>
      <c r="MIJ2" s="133" t="s">
        <v>10155</v>
      </c>
      <c r="MIK2" s="133" t="s">
        <v>10156</v>
      </c>
      <c r="MIL2" s="133" t="s">
        <v>10157</v>
      </c>
      <c r="MIM2" s="133" t="s">
        <v>10158</v>
      </c>
      <c r="MIN2" s="133" t="s">
        <v>10159</v>
      </c>
      <c r="MIO2" s="133" t="s">
        <v>10160</v>
      </c>
      <c r="MIP2" s="133" t="s">
        <v>10161</v>
      </c>
      <c r="MIQ2" s="133" t="s">
        <v>10162</v>
      </c>
      <c r="MIR2" s="133" t="s">
        <v>10163</v>
      </c>
      <c r="MIS2" s="133" t="s">
        <v>10164</v>
      </c>
      <c r="MIT2" s="133" t="s">
        <v>10165</v>
      </c>
      <c r="MIU2" s="133" t="s">
        <v>10166</v>
      </c>
      <c r="MIV2" s="133" t="s">
        <v>10167</v>
      </c>
      <c r="MIW2" s="133" t="s">
        <v>10168</v>
      </c>
      <c r="MIX2" s="133" t="s">
        <v>10169</v>
      </c>
      <c r="MIY2" s="133" t="s">
        <v>10170</v>
      </c>
      <c r="MIZ2" s="133" t="s">
        <v>10171</v>
      </c>
      <c r="MJA2" s="133" t="s">
        <v>10172</v>
      </c>
      <c r="MJB2" s="133" t="s">
        <v>10173</v>
      </c>
      <c r="MJC2" s="133" t="s">
        <v>10174</v>
      </c>
      <c r="MJD2" s="133" t="s">
        <v>10175</v>
      </c>
      <c r="MJE2" s="133" t="s">
        <v>10176</v>
      </c>
      <c r="MJF2" s="133" t="s">
        <v>10177</v>
      </c>
      <c r="MJG2" s="133" t="s">
        <v>10178</v>
      </c>
      <c r="MJH2" s="133" t="s">
        <v>10179</v>
      </c>
      <c r="MJI2" s="133" t="s">
        <v>10180</v>
      </c>
      <c r="MJJ2" s="133" t="s">
        <v>10181</v>
      </c>
      <c r="MJK2" s="133" t="s">
        <v>10182</v>
      </c>
      <c r="MJL2" s="133" t="s">
        <v>10183</v>
      </c>
      <c r="MJM2" s="133" t="s">
        <v>10184</v>
      </c>
      <c r="MJN2" s="133" t="s">
        <v>10185</v>
      </c>
      <c r="MJO2" s="133" t="s">
        <v>10186</v>
      </c>
      <c r="MJP2" s="133" t="s">
        <v>10187</v>
      </c>
      <c r="MJQ2" s="133" t="s">
        <v>10188</v>
      </c>
      <c r="MJR2" s="133" t="s">
        <v>10189</v>
      </c>
      <c r="MJS2" s="133" t="s">
        <v>10190</v>
      </c>
      <c r="MJT2" s="133" t="s">
        <v>10191</v>
      </c>
      <c r="MJU2" s="133" t="s">
        <v>10192</v>
      </c>
      <c r="MJV2" s="133" t="s">
        <v>10193</v>
      </c>
      <c r="MJW2" s="133" t="s">
        <v>10194</v>
      </c>
      <c r="MJX2" s="133" t="s">
        <v>10195</v>
      </c>
      <c r="MJY2" s="133" t="s">
        <v>10196</v>
      </c>
      <c r="MJZ2" s="133" t="s">
        <v>10197</v>
      </c>
      <c r="MKA2" s="133" t="s">
        <v>10198</v>
      </c>
      <c r="MKB2" s="133" t="s">
        <v>10199</v>
      </c>
      <c r="MKC2" s="133" t="s">
        <v>10200</v>
      </c>
      <c r="MKD2" s="133" t="s">
        <v>10201</v>
      </c>
      <c r="MKE2" s="133" t="s">
        <v>10202</v>
      </c>
      <c r="MKF2" s="133" t="s">
        <v>10203</v>
      </c>
      <c r="MKG2" s="133" t="s">
        <v>10204</v>
      </c>
      <c r="MKH2" s="133" t="s">
        <v>10205</v>
      </c>
      <c r="MKI2" s="133" t="s">
        <v>10206</v>
      </c>
      <c r="MKJ2" s="133" t="s">
        <v>10207</v>
      </c>
      <c r="MKK2" s="133" t="s">
        <v>10208</v>
      </c>
      <c r="MKL2" s="133" t="s">
        <v>10209</v>
      </c>
      <c r="MKM2" s="133" t="s">
        <v>10210</v>
      </c>
      <c r="MKN2" s="133" t="s">
        <v>10211</v>
      </c>
      <c r="MKO2" s="133" t="s">
        <v>10212</v>
      </c>
      <c r="MKP2" s="133" t="s">
        <v>10213</v>
      </c>
      <c r="MKQ2" s="133" t="s">
        <v>10214</v>
      </c>
      <c r="MKR2" s="133" t="s">
        <v>10215</v>
      </c>
      <c r="MKS2" s="133" t="s">
        <v>10216</v>
      </c>
      <c r="MKT2" s="133" t="s">
        <v>10217</v>
      </c>
      <c r="MKU2" s="133" t="s">
        <v>10218</v>
      </c>
      <c r="MKV2" s="133" t="s">
        <v>10219</v>
      </c>
      <c r="MKW2" s="133" t="s">
        <v>10220</v>
      </c>
      <c r="MKX2" s="133" t="s">
        <v>10221</v>
      </c>
      <c r="MKY2" s="133" t="s">
        <v>10222</v>
      </c>
      <c r="MKZ2" s="133" t="s">
        <v>10223</v>
      </c>
      <c r="MLA2" s="133" t="s">
        <v>10224</v>
      </c>
      <c r="MLB2" s="133" t="s">
        <v>10225</v>
      </c>
      <c r="MLC2" s="133" t="s">
        <v>10226</v>
      </c>
      <c r="MLD2" s="133" t="s">
        <v>10227</v>
      </c>
      <c r="MLE2" s="133" t="s">
        <v>10228</v>
      </c>
      <c r="MLF2" s="133" t="s">
        <v>10229</v>
      </c>
      <c r="MLG2" s="133" t="s">
        <v>10230</v>
      </c>
      <c r="MLH2" s="133" t="s">
        <v>10231</v>
      </c>
      <c r="MLI2" s="133" t="s">
        <v>10232</v>
      </c>
      <c r="MLJ2" s="133" t="s">
        <v>10233</v>
      </c>
      <c r="MLK2" s="133" t="s">
        <v>10234</v>
      </c>
      <c r="MLL2" s="133" t="s">
        <v>10235</v>
      </c>
      <c r="MLM2" s="133" t="s">
        <v>10236</v>
      </c>
      <c r="MLN2" s="133" t="s">
        <v>10237</v>
      </c>
      <c r="MLO2" s="133" t="s">
        <v>10238</v>
      </c>
      <c r="MLP2" s="133" t="s">
        <v>10239</v>
      </c>
      <c r="MLQ2" s="133" t="s">
        <v>10240</v>
      </c>
      <c r="MLR2" s="133" t="s">
        <v>10241</v>
      </c>
      <c r="MLS2" s="133" t="s">
        <v>10242</v>
      </c>
      <c r="MLT2" s="133" t="s">
        <v>10243</v>
      </c>
      <c r="MLU2" s="133" t="s">
        <v>10244</v>
      </c>
      <c r="MLV2" s="133" t="s">
        <v>10245</v>
      </c>
      <c r="MLW2" s="133" t="s">
        <v>10246</v>
      </c>
      <c r="MLX2" s="133" t="s">
        <v>10247</v>
      </c>
      <c r="MLY2" s="133" t="s">
        <v>10248</v>
      </c>
      <c r="MLZ2" s="133" t="s">
        <v>10249</v>
      </c>
      <c r="MMA2" s="133" t="s">
        <v>10250</v>
      </c>
      <c r="MMB2" s="133" t="s">
        <v>10251</v>
      </c>
      <c r="MMC2" s="133" t="s">
        <v>10252</v>
      </c>
      <c r="MMD2" s="133" t="s">
        <v>10253</v>
      </c>
      <c r="MME2" s="133" t="s">
        <v>10254</v>
      </c>
      <c r="MMF2" s="133" t="s">
        <v>10255</v>
      </c>
      <c r="MMG2" s="133" t="s">
        <v>10256</v>
      </c>
      <c r="MMH2" s="133" t="s">
        <v>10257</v>
      </c>
      <c r="MMI2" s="133" t="s">
        <v>10258</v>
      </c>
      <c r="MMJ2" s="133" t="s">
        <v>10259</v>
      </c>
      <c r="MMK2" s="133" t="s">
        <v>10260</v>
      </c>
      <c r="MML2" s="133" t="s">
        <v>10261</v>
      </c>
      <c r="MMM2" s="133" t="s">
        <v>10262</v>
      </c>
      <c r="MMN2" s="133" t="s">
        <v>10263</v>
      </c>
      <c r="MMO2" s="133" t="s">
        <v>10264</v>
      </c>
      <c r="MMP2" s="133" t="s">
        <v>10265</v>
      </c>
      <c r="MMQ2" s="133" t="s">
        <v>10266</v>
      </c>
      <c r="MMR2" s="133" t="s">
        <v>10267</v>
      </c>
      <c r="MMS2" s="133" t="s">
        <v>10268</v>
      </c>
      <c r="MMT2" s="133" t="s">
        <v>10269</v>
      </c>
      <c r="MMU2" s="133" t="s">
        <v>10270</v>
      </c>
      <c r="MMV2" s="133" t="s">
        <v>10271</v>
      </c>
      <c r="MMW2" s="133" t="s">
        <v>10272</v>
      </c>
      <c r="MMX2" s="133" t="s">
        <v>10273</v>
      </c>
      <c r="MMY2" s="133" t="s">
        <v>10274</v>
      </c>
      <c r="MMZ2" s="133" t="s">
        <v>10275</v>
      </c>
      <c r="MNA2" s="133" t="s">
        <v>10276</v>
      </c>
      <c r="MNB2" s="133" t="s">
        <v>10277</v>
      </c>
      <c r="MNC2" s="133" t="s">
        <v>10278</v>
      </c>
      <c r="MND2" s="133" t="s">
        <v>10279</v>
      </c>
      <c r="MNE2" s="133" t="s">
        <v>10280</v>
      </c>
      <c r="MNF2" s="133" t="s">
        <v>10281</v>
      </c>
      <c r="MNG2" s="133" t="s">
        <v>10282</v>
      </c>
      <c r="MNH2" s="133" t="s">
        <v>10283</v>
      </c>
      <c r="MNI2" s="133" t="s">
        <v>10284</v>
      </c>
      <c r="MNJ2" s="133" t="s">
        <v>10285</v>
      </c>
      <c r="MNK2" s="133" t="s">
        <v>10286</v>
      </c>
      <c r="MNL2" s="133" t="s">
        <v>10287</v>
      </c>
      <c r="MNM2" s="133" t="s">
        <v>10288</v>
      </c>
      <c r="MNN2" s="133" t="s">
        <v>10289</v>
      </c>
      <c r="MNO2" s="133" t="s">
        <v>10290</v>
      </c>
      <c r="MNP2" s="133" t="s">
        <v>10291</v>
      </c>
      <c r="MNQ2" s="133" t="s">
        <v>10292</v>
      </c>
      <c r="MNR2" s="133" t="s">
        <v>10293</v>
      </c>
      <c r="MNS2" s="133" t="s">
        <v>10294</v>
      </c>
      <c r="MNT2" s="133" t="s">
        <v>10295</v>
      </c>
      <c r="MNU2" s="133" t="s">
        <v>10296</v>
      </c>
      <c r="MNV2" s="133" t="s">
        <v>10297</v>
      </c>
      <c r="MNW2" s="133" t="s">
        <v>10298</v>
      </c>
      <c r="MNX2" s="133" t="s">
        <v>10299</v>
      </c>
      <c r="MNY2" s="133" t="s">
        <v>10300</v>
      </c>
      <c r="MNZ2" s="133" t="s">
        <v>10301</v>
      </c>
      <c r="MOA2" s="133" t="s">
        <v>10302</v>
      </c>
      <c r="MOB2" s="133" t="s">
        <v>10303</v>
      </c>
      <c r="MOC2" s="133" t="s">
        <v>10304</v>
      </c>
      <c r="MOD2" s="133" t="s">
        <v>10305</v>
      </c>
      <c r="MOE2" s="133" t="s">
        <v>10306</v>
      </c>
      <c r="MOF2" s="133" t="s">
        <v>10307</v>
      </c>
      <c r="MOG2" s="133" t="s">
        <v>10308</v>
      </c>
      <c r="MOH2" s="133" t="s">
        <v>10309</v>
      </c>
      <c r="MOI2" s="133" t="s">
        <v>10310</v>
      </c>
      <c r="MOJ2" s="133" t="s">
        <v>10311</v>
      </c>
      <c r="MOK2" s="133" t="s">
        <v>10312</v>
      </c>
      <c r="MOL2" s="133" t="s">
        <v>10313</v>
      </c>
      <c r="MOM2" s="133" t="s">
        <v>10314</v>
      </c>
      <c r="MON2" s="133" t="s">
        <v>10315</v>
      </c>
      <c r="MOO2" s="133" t="s">
        <v>10316</v>
      </c>
      <c r="MOP2" s="133" t="s">
        <v>10317</v>
      </c>
      <c r="MOQ2" s="133" t="s">
        <v>10318</v>
      </c>
      <c r="MOR2" s="133" t="s">
        <v>10319</v>
      </c>
      <c r="MOS2" s="133" t="s">
        <v>10320</v>
      </c>
      <c r="MOT2" s="133" t="s">
        <v>10321</v>
      </c>
      <c r="MOU2" s="133" t="s">
        <v>10322</v>
      </c>
      <c r="MOV2" s="133" t="s">
        <v>10323</v>
      </c>
      <c r="MOW2" s="133" t="s">
        <v>10324</v>
      </c>
      <c r="MOX2" s="133" t="s">
        <v>10325</v>
      </c>
      <c r="MOY2" s="133" t="s">
        <v>10326</v>
      </c>
      <c r="MOZ2" s="133" t="s">
        <v>10327</v>
      </c>
      <c r="MPA2" s="133" t="s">
        <v>10328</v>
      </c>
      <c r="MPB2" s="133" t="s">
        <v>10329</v>
      </c>
      <c r="MPC2" s="133" t="s">
        <v>10330</v>
      </c>
      <c r="MPD2" s="133" t="s">
        <v>10331</v>
      </c>
      <c r="MPE2" s="133" t="s">
        <v>10332</v>
      </c>
      <c r="MPF2" s="133" t="s">
        <v>10333</v>
      </c>
      <c r="MPG2" s="133" t="s">
        <v>10334</v>
      </c>
      <c r="MPH2" s="133" t="s">
        <v>10335</v>
      </c>
      <c r="MPI2" s="133" t="s">
        <v>10336</v>
      </c>
      <c r="MPJ2" s="133" t="s">
        <v>10337</v>
      </c>
      <c r="MPK2" s="133" t="s">
        <v>10338</v>
      </c>
      <c r="MPL2" s="133" t="s">
        <v>10339</v>
      </c>
      <c r="MPM2" s="133" t="s">
        <v>10340</v>
      </c>
      <c r="MPN2" s="133" t="s">
        <v>10341</v>
      </c>
      <c r="MPO2" s="133" t="s">
        <v>10342</v>
      </c>
      <c r="MPP2" s="133" t="s">
        <v>10343</v>
      </c>
      <c r="MPQ2" s="133" t="s">
        <v>10344</v>
      </c>
      <c r="MPR2" s="133" t="s">
        <v>10345</v>
      </c>
      <c r="MPS2" s="133" t="s">
        <v>10346</v>
      </c>
      <c r="MPT2" s="133" t="s">
        <v>10347</v>
      </c>
      <c r="MPU2" s="133" t="s">
        <v>10348</v>
      </c>
      <c r="MPV2" s="133" t="s">
        <v>10349</v>
      </c>
      <c r="MPW2" s="133" t="s">
        <v>10350</v>
      </c>
      <c r="MPX2" s="133" t="s">
        <v>10351</v>
      </c>
      <c r="MPY2" s="133" t="s">
        <v>10352</v>
      </c>
      <c r="MPZ2" s="133" t="s">
        <v>10353</v>
      </c>
      <c r="MQA2" s="133" t="s">
        <v>10354</v>
      </c>
      <c r="MQB2" s="133" t="s">
        <v>10355</v>
      </c>
      <c r="MQC2" s="133" t="s">
        <v>10356</v>
      </c>
      <c r="MQD2" s="133" t="s">
        <v>10357</v>
      </c>
      <c r="MQE2" s="133" t="s">
        <v>10358</v>
      </c>
      <c r="MQF2" s="133" t="s">
        <v>10359</v>
      </c>
      <c r="MQG2" s="133" t="s">
        <v>10360</v>
      </c>
      <c r="MQH2" s="133" t="s">
        <v>10361</v>
      </c>
      <c r="MQI2" s="133" t="s">
        <v>10362</v>
      </c>
      <c r="MQJ2" s="133" t="s">
        <v>10363</v>
      </c>
      <c r="MQK2" s="133" t="s">
        <v>10364</v>
      </c>
      <c r="MQL2" s="133" t="s">
        <v>10365</v>
      </c>
      <c r="MQM2" s="133" t="s">
        <v>10366</v>
      </c>
      <c r="MQN2" s="133" t="s">
        <v>10367</v>
      </c>
      <c r="MQO2" s="133" t="s">
        <v>10368</v>
      </c>
      <c r="MQP2" s="133" t="s">
        <v>10369</v>
      </c>
      <c r="MQQ2" s="133" t="s">
        <v>10370</v>
      </c>
      <c r="MQR2" s="133" t="s">
        <v>10371</v>
      </c>
      <c r="MQS2" s="133" t="s">
        <v>10372</v>
      </c>
      <c r="MQT2" s="133" t="s">
        <v>10373</v>
      </c>
      <c r="MQU2" s="133" t="s">
        <v>10374</v>
      </c>
      <c r="MQV2" s="133" t="s">
        <v>10375</v>
      </c>
      <c r="MQW2" s="133" t="s">
        <v>10376</v>
      </c>
      <c r="MQX2" s="133" t="s">
        <v>10377</v>
      </c>
      <c r="MQY2" s="133" t="s">
        <v>10378</v>
      </c>
      <c r="MQZ2" s="133" t="s">
        <v>10379</v>
      </c>
      <c r="MRA2" s="133" t="s">
        <v>10380</v>
      </c>
      <c r="MRB2" s="133" t="s">
        <v>10381</v>
      </c>
      <c r="MRC2" s="133" t="s">
        <v>10382</v>
      </c>
      <c r="MRD2" s="133" t="s">
        <v>10383</v>
      </c>
      <c r="MRE2" s="133" t="s">
        <v>10384</v>
      </c>
      <c r="MRF2" s="133" t="s">
        <v>10385</v>
      </c>
      <c r="MRG2" s="133" t="s">
        <v>10386</v>
      </c>
      <c r="MRH2" s="133" t="s">
        <v>10387</v>
      </c>
      <c r="MRI2" s="133" t="s">
        <v>10388</v>
      </c>
      <c r="MRJ2" s="133" t="s">
        <v>10389</v>
      </c>
      <c r="MRK2" s="133" t="s">
        <v>10390</v>
      </c>
      <c r="MRL2" s="133" t="s">
        <v>10391</v>
      </c>
      <c r="MRM2" s="133" t="s">
        <v>10392</v>
      </c>
      <c r="MRN2" s="133" t="s">
        <v>10393</v>
      </c>
      <c r="MRO2" s="133" t="s">
        <v>10394</v>
      </c>
      <c r="MRP2" s="133" t="s">
        <v>10395</v>
      </c>
      <c r="MRQ2" s="133" t="s">
        <v>10396</v>
      </c>
      <c r="MRR2" s="133" t="s">
        <v>10397</v>
      </c>
      <c r="MRS2" s="133" t="s">
        <v>10398</v>
      </c>
      <c r="MRT2" s="133" t="s">
        <v>10399</v>
      </c>
      <c r="MRU2" s="133" t="s">
        <v>10400</v>
      </c>
      <c r="MRV2" s="133" t="s">
        <v>10401</v>
      </c>
      <c r="MRW2" s="133" t="s">
        <v>10402</v>
      </c>
      <c r="MRX2" s="133" t="s">
        <v>10403</v>
      </c>
      <c r="MRY2" s="133" t="s">
        <v>10404</v>
      </c>
      <c r="MRZ2" s="133" t="s">
        <v>10405</v>
      </c>
      <c r="MSA2" s="133" t="s">
        <v>10406</v>
      </c>
      <c r="MSB2" s="133" t="s">
        <v>10407</v>
      </c>
      <c r="MSC2" s="133" t="s">
        <v>10408</v>
      </c>
      <c r="MSD2" s="133" t="s">
        <v>10409</v>
      </c>
      <c r="MSE2" s="133" t="s">
        <v>10410</v>
      </c>
      <c r="MSF2" s="133" t="s">
        <v>10411</v>
      </c>
      <c r="MSG2" s="133" t="s">
        <v>10412</v>
      </c>
      <c r="MSH2" s="133" t="s">
        <v>10413</v>
      </c>
      <c r="MSI2" s="133" t="s">
        <v>10414</v>
      </c>
      <c r="MSJ2" s="133" t="s">
        <v>10415</v>
      </c>
      <c r="MSK2" s="133" t="s">
        <v>10416</v>
      </c>
      <c r="MSL2" s="133" t="s">
        <v>10417</v>
      </c>
      <c r="MSM2" s="133" t="s">
        <v>10418</v>
      </c>
      <c r="MSN2" s="133" t="s">
        <v>10419</v>
      </c>
      <c r="MSO2" s="133" t="s">
        <v>10420</v>
      </c>
      <c r="MSP2" s="133" t="s">
        <v>10421</v>
      </c>
      <c r="MSQ2" s="133" t="s">
        <v>10422</v>
      </c>
      <c r="MSR2" s="133" t="s">
        <v>10423</v>
      </c>
      <c r="MSS2" s="133" t="s">
        <v>10424</v>
      </c>
      <c r="MST2" s="133" t="s">
        <v>10425</v>
      </c>
      <c r="MSU2" s="133" t="s">
        <v>10426</v>
      </c>
      <c r="MSV2" s="133" t="s">
        <v>10427</v>
      </c>
      <c r="MSW2" s="133" t="s">
        <v>10428</v>
      </c>
      <c r="MSX2" s="133" t="s">
        <v>10429</v>
      </c>
      <c r="MSY2" s="133" t="s">
        <v>10430</v>
      </c>
      <c r="MSZ2" s="133" t="s">
        <v>10431</v>
      </c>
      <c r="MTA2" s="133" t="s">
        <v>10432</v>
      </c>
      <c r="MTB2" s="133" t="s">
        <v>10433</v>
      </c>
      <c r="MTC2" s="133" t="s">
        <v>10434</v>
      </c>
      <c r="MTD2" s="133" t="s">
        <v>10435</v>
      </c>
      <c r="MTE2" s="133" t="s">
        <v>10436</v>
      </c>
      <c r="MTF2" s="133" t="s">
        <v>10437</v>
      </c>
      <c r="MTG2" s="133" t="s">
        <v>10438</v>
      </c>
      <c r="MTH2" s="133" t="s">
        <v>10439</v>
      </c>
      <c r="MTI2" s="133" t="s">
        <v>10440</v>
      </c>
      <c r="MTJ2" s="133" t="s">
        <v>10441</v>
      </c>
      <c r="MTK2" s="133" t="s">
        <v>10442</v>
      </c>
      <c r="MTL2" s="133" t="s">
        <v>10443</v>
      </c>
      <c r="MTM2" s="133" t="s">
        <v>10444</v>
      </c>
      <c r="MTN2" s="133" t="s">
        <v>10445</v>
      </c>
      <c r="MTO2" s="133" t="s">
        <v>10446</v>
      </c>
      <c r="MTP2" s="133" t="s">
        <v>10447</v>
      </c>
      <c r="MTQ2" s="133" t="s">
        <v>10448</v>
      </c>
      <c r="MTR2" s="133" t="s">
        <v>10449</v>
      </c>
      <c r="MTS2" s="133" t="s">
        <v>10450</v>
      </c>
      <c r="MTT2" s="133" t="s">
        <v>10451</v>
      </c>
      <c r="MTU2" s="133" t="s">
        <v>10452</v>
      </c>
      <c r="MTV2" s="133" t="s">
        <v>10453</v>
      </c>
      <c r="MTW2" s="133" t="s">
        <v>10454</v>
      </c>
      <c r="MTX2" s="133" t="s">
        <v>10455</v>
      </c>
      <c r="MTY2" s="133" t="s">
        <v>10456</v>
      </c>
      <c r="MTZ2" s="133" t="s">
        <v>10457</v>
      </c>
      <c r="MUA2" s="133" t="s">
        <v>10458</v>
      </c>
      <c r="MUB2" s="133" t="s">
        <v>10459</v>
      </c>
      <c r="MUC2" s="133" t="s">
        <v>10460</v>
      </c>
      <c r="MUD2" s="133" t="s">
        <v>10461</v>
      </c>
      <c r="MUE2" s="133" t="s">
        <v>10462</v>
      </c>
      <c r="MUF2" s="133" t="s">
        <v>10463</v>
      </c>
      <c r="MUG2" s="133" t="s">
        <v>10464</v>
      </c>
      <c r="MUH2" s="133" t="s">
        <v>10465</v>
      </c>
      <c r="MUI2" s="133" t="s">
        <v>10466</v>
      </c>
      <c r="MUJ2" s="133" t="s">
        <v>10467</v>
      </c>
      <c r="MUK2" s="133" t="s">
        <v>10468</v>
      </c>
      <c r="MUL2" s="133" t="s">
        <v>10469</v>
      </c>
      <c r="MUM2" s="133" t="s">
        <v>10470</v>
      </c>
      <c r="MUN2" s="133" t="s">
        <v>10471</v>
      </c>
      <c r="MUO2" s="133" t="s">
        <v>10472</v>
      </c>
      <c r="MUP2" s="133" t="s">
        <v>10473</v>
      </c>
      <c r="MUQ2" s="133" t="s">
        <v>10474</v>
      </c>
      <c r="MUR2" s="133" t="s">
        <v>10475</v>
      </c>
      <c r="MUS2" s="133" t="s">
        <v>10476</v>
      </c>
      <c r="MUT2" s="133" t="s">
        <v>10477</v>
      </c>
      <c r="MUU2" s="133" t="s">
        <v>10478</v>
      </c>
      <c r="MUV2" s="133" t="s">
        <v>10479</v>
      </c>
      <c r="MUW2" s="133" t="s">
        <v>10480</v>
      </c>
      <c r="MUX2" s="133" t="s">
        <v>10481</v>
      </c>
      <c r="MUY2" s="133" t="s">
        <v>10482</v>
      </c>
      <c r="MUZ2" s="133" t="s">
        <v>10483</v>
      </c>
      <c r="MVA2" s="133" t="s">
        <v>10484</v>
      </c>
      <c r="MVB2" s="133" t="s">
        <v>10485</v>
      </c>
      <c r="MVC2" s="133" t="s">
        <v>10486</v>
      </c>
      <c r="MVD2" s="133" t="s">
        <v>10487</v>
      </c>
      <c r="MVE2" s="133" t="s">
        <v>10488</v>
      </c>
      <c r="MVF2" s="133" t="s">
        <v>10489</v>
      </c>
      <c r="MVG2" s="133" t="s">
        <v>10490</v>
      </c>
      <c r="MVH2" s="133" t="s">
        <v>10491</v>
      </c>
      <c r="MVI2" s="133" t="s">
        <v>10492</v>
      </c>
      <c r="MVJ2" s="133" t="s">
        <v>10493</v>
      </c>
      <c r="MVK2" s="133" t="s">
        <v>10494</v>
      </c>
      <c r="MVL2" s="133" t="s">
        <v>10495</v>
      </c>
      <c r="MVM2" s="133" t="s">
        <v>10496</v>
      </c>
      <c r="MVN2" s="133" t="s">
        <v>10497</v>
      </c>
      <c r="MVO2" s="133" t="s">
        <v>10498</v>
      </c>
      <c r="MVP2" s="133" t="s">
        <v>10499</v>
      </c>
      <c r="MVQ2" s="133" t="s">
        <v>10500</v>
      </c>
      <c r="MVR2" s="133" t="s">
        <v>10501</v>
      </c>
      <c r="MVS2" s="133" t="s">
        <v>10502</v>
      </c>
      <c r="MVT2" s="133" t="s">
        <v>10503</v>
      </c>
      <c r="MVU2" s="133" t="s">
        <v>10504</v>
      </c>
      <c r="MVV2" s="133" t="s">
        <v>10505</v>
      </c>
      <c r="MVW2" s="133" t="s">
        <v>10506</v>
      </c>
      <c r="MVX2" s="133" t="s">
        <v>10507</v>
      </c>
      <c r="MVY2" s="133" t="s">
        <v>10508</v>
      </c>
      <c r="MVZ2" s="133" t="s">
        <v>10509</v>
      </c>
      <c r="MWA2" s="133" t="s">
        <v>10510</v>
      </c>
      <c r="MWB2" s="133" t="s">
        <v>10511</v>
      </c>
      <c r="MWC2" s="133" t="s">
        <v>10512</v>
      </c>
      <c r="MWD2" s="133" t="s">
        <v>10513</v>
      </c>
      <c r="MWE2" s="133" t="s">
        <v>10514</v>
      </c>
      <c r="MWF2" s="133" t="s">
        <v>10515</v>
      </c>
      <c r="MWG2" s="133" t="s">
        <v>10516</v>
      </c>
      <c r="MWH2" s="133" t="s">
        <v>10517</v>
      </c>
      <c r="MWI2" s="133" t="s">
        <v>10518</v>
      </c>
      <c r="MWJ2" s="133" t="s">
        <v>10519</v>
      </c>
      <c r="MWK2" s="133" t="s">
        <v>10520</v>
      </c>
      <c r="MWL2" s="133" t="s">
        <v>10521</v>
      </c>
      <c r="MWM2" s="133" t="s">
        <v>10522</v>
      </c>
      <c r="MWN2" s="133" t="s">
        <v>10523</v>
      </c>
      <c r="MWO2" s="133" t="s">
        <v>10524</v>
      </c>
      <c r="MWP2" s="133" t="s">
        <v>10525</v>
      </c>
      <c r="MWQ2" s="133" t="s">
        <v>10526</v>
      </c>
      <c r="MWR2" s="133" t="s">
        <v>10527</v>
      </c>
      <c r="MWS2" s="133" t="s">
        <v>10528</v>
      </c>
      <c r="MWT2" s="133" t="s">
        <v>10529</v>
      </c>
      <c r="MWU2" s="133" t="s">
        <v>10530</v>
      </c>
      <c r="MWV2" s="133" t="s">
        <v>10531</v>
      </c>
      <c r="MWW2" s="133" t="s">
        <v>10532</v>
      </c>
      <c r="MWX2" s="133" t="s">
        <v>10533</v>
      </c>
      <c r="MWY2" s="133" t="s">
        <v>10534</v>
      </c>
      <c r="MWZ2" s="133" t="s">
        <v>10535</v>
      </c>
      <c r="MXA2" s="133" t="s">
        <v>10536</v>
      </c>
      <c r="MXB2" s="133" t="s">
        <v>10537</v>
      </c>
      <c r="MXC2" s="133" t="s">
        <v>10538</v>
      </c>
      <c r="MXD2" s="133" t="s">
        <v>10539</v>
      </c>
      <c r="MXE2" s="133" t="s">
        <v>10540</v>
      </c>
      <c r="MXF2" s="133" t="s">
        <v>10541</v>
      </c>
      <c r="MXG2" s="133" t="s">
        <v>10542</v>
      </c>
      <c r="MXH2" s="133" t="s">
        <v>10543</v>
      </c>
      <c r="MXI2" s="133" t="s">
        <v>10544</v>
      </c>
      <c r="MXJ2" s="133" t="s">
        <v>10545</v>
      </c>
      <c r="MXK2" s="133" t="s">
        <v>10546</v>
      </c>
      <c r="MXL2" s="133" t="s">
        <v>10547</v>
      </c>
      <c r="MXM2" s="133" t="s">
        <v>10548</v>
      </c>
      <c r="MXN2" s="133" t="s">
        <v>10549</v>
      </c>
      <c r="MXO2" s="133" t="s">
        <v>10550</v>
      </c>
      <c r="MXP2" s="133" t="s">
        <v>10551</v>
      </c>
      <c r="MXQ2" s="133" t="s">
        <v>10552</v>
      </c>
      <c r="MXR2" s="133" t="s">
        <v>10553</v>
      </c>
      <c r="MXS2" s="133" t="s">
        <v>10554</v>
      </c>
      <c r="MXT2" s="133" t="s">
        <v>10555</v>
      </c>
      <c r="MXU2" s="133" t="s">
        <v>10556</v>
      </c>
      <c r="MXV2" s="133" t="s">
        <v>10557</v>
      </c>
      <c r="MXW2" s="133" t="s">
        <v>10558</v>
      </c>
      <c r="MXX2" s="133" t="s">
        <v>10559</v>
      </c>
      <c r="MXY2" s="133" t="s">
        <v>10560</v>
      </c>
      <c r="MXZ2" s="133" t="s">
        <v>10561</v>
      </c>
      <c r="MYA2" s="133" t="s">
        <v>10562</v>
      </c>
      <c r="MYB2" s="133" t="s">
        <v>10563</v>
      </c>
      <c r="MYC2" s="133" t="s">
        <v>10564</v>
      </c>
      <c r="MYD2" s="133" t="s">
        <v>10565</v>
      </c>
      <c r="MYE2" s="133" t="s">
        <v>10566</v>
      </c>
      <c r="MYF2" s="133" t="s">
        <v>10567</v>
      </c>
      <c r="MYG2" s="133" t="s">
        <v>10568</v>
      </c>
      <c r="MYH2" s="133" t="s">
        <v>10569</v>
      </c>
      <c r="MYI2" s="133" t="s">
        <v>10570</v>
      </c>
      <c r="MYJ2" s="133" t="s">
        <v>10571</v>
      </c>
      <c r="MYK2" s="133" t="s">
        <v>10572</v>
      </c>
      <c r="MYL2" s="133" t="s">
        <v>10573</v>
      </c>
      <c r="MYM2" s="133" t="s">
        <v>10574</v>
      </c>
      <c r="MYN2" s="133" t="s">
        <v>10575</v>
      </c>
      <c r="MYO2" s="133" t="s">
        <v>10576</v>
      </c>
      <c r="MYP2" s="133" t="s">
        <v>10577</v>
      </c>
      <c r="MYQ2" s="133" t="s">
        <v>10578</v>
      </c>
      <c r="MYR2" s="133" t="s">
        <v>10579</v>
      </c>
      <c r="MYS2" s="133" t="s">
        <v>10580</v>
      </c>
      <c r="MYT2" s="133" t="s">
        <v>10581</v>
      </c>
      <c r="MYU2" s="133" t="s">
        <v>10582</v>
      </c>
      <c r="MYV2" s="133" t="s">
        <v>10583</v>
      </c>
      <c r="MYW2" s="133" t="s">
        <v>10584</v>
      </c>
      <c r="MYX2" s="133" t="s">
        <v>10585</v>
      </c>
      <c r="MYY2" s="133" t="s">
        <v>10586</v>
      </c>
      <c r="MYZ2" s="133" t="s">
        <v>10587</v>
      </c>
      <c r="MZA2" s="133" t="s">
        <v>10588</v>
      </c>
      <c r="MZB2" s="133" t="s">
        <v>10589</v>
      </c>
      <c r="MZC2" s="133" t="s">
        <v>10590</v>
      </c>
      <c r="MZD2" s="133" t="s">
        <v>10591</v>
      </c>
      <c r="MZE2" s="133" t="s">
        <v>10592</v>
      </c>
      <c r="MZF2" s="133" t="s">
        <v>10593</v>
      </c>
      <c r="MZG2" s="133" t="s">
        <v>10594</v>
      </c>
      <c r="MZH2" s="133" t="s">
        <v>10595</v>
      </c>
      <c r="MZI2" s="133" t="s">
        <v>10596</v>
      </c>
      <c r="MZJ2" s="133" t="s">
        <v>10597</v>
      </c>
      <c r="MZK2" s="133" t="s">
        <v>10598</v>
      </c>
      <c r="MZL2" s="133" t="s">
        <v>10599</v>
      </c>
      <c r="MZM2" s="133" t="s">
        <v>10600</v>
      </c>
      <c r="MZN2" s="133" t="s">
        <v>10601</v>
      </c>
      <c r="MZO2" s="133" t="s">
        <v>10602</v>
      </c>
      <c r="MZP2" s="133" t="s">
        <v>10603</v>
      </c>
      <c r="MZQ2" s="133" t="s">
        <v>10604</v>
      </c>
      <c r="MZR2" s="133" t="s">
        <v>10605</v>
      </c>
      <c r="MZS2" s="133" t="s">
        <v>10606</v>
      </c>
      <c r="MZT2" s="133" t="s">
        <v>10607</v>
      </c>
      <c r="MZU2" s="133" t="s">
        <v>10608</v>
      </c>
      <c r="MZV2" s="133" t="s">
        <v>10609</v>
      </c>
      <c r="MZW2" s="133" t="s">
        <v>10610</v>
      </c>
      <c r="MZX2" s="133" t="s">
        <v>10611</v>
      </c>
      <c r="MZY2" s="133" t="s">
        <v>10612</v>
      </c>
      <c r="MZZ2" s="133" t="s">
        <v>10613</v>
      </c>
      <c r="NAA2" s="133" t="s">
        <v>10614</v>
      </c>
      <c r="NAB2" s="133" t="s">
        <v>10615</v>
      </c>
      <c r="NAC2" s="133" t="s">
        <v>10616</v>
      </c>
      <c r="NAD2" s="133" t="s">
        <v>10617</v>
      </c>
      <c r="NAE2" s="133" t="s">
        <v>10618</v>
      </c>
      <c r="NAF2" s="133" t="s">
        <v>10619</v>
      </c>
      <c r="NAG2" s="133" t="s">
        <v>10620</v>
      </c>
      <c r="NAH2" s="133" t="s">
        <v>10621</v>
      </c>
      <c r="NAI2" s="133" t="s">
        <v>10622</v>
      </c>
      <c r="NAJ2" s="133" t="s">
        <v>10623</v>
      </c>
      <c r="NAK2" s="133" t="s">
        <v>10624</v>
      </c>
      <c r="NAL2" s="133" t="s">
        <v>10625</v>
      </c>
      <c r="NAM2" s="133" t="s">
        <v>10626</v>
      </c>
      <c r="NAN2" s="133" t="s">
        <v>10627</v>
      </c>
      <c r="NAO2" s="133" t="s">
        <v>10628</v>
      </c>
      <c r="NAP2" s="133" t="s">
        <v>10629</v>
      </c>
      <c r="NAQ2" s="133" t="s">
        <v>10630</v>
      </c>
      <c r="NAR2" s="133" t="s">
        <v>10631</v>
      </c>
      <c r="NAS2" s="133" t="s">
        <v>10632</v>
      </c>
      <c r="NAT2" s="133" t="s">
        <v>10633</v>
      </c>
      <c r="NAU2" s="133" t="s">
        <v>10634</v>
      </c>
      <c r="NAV2" s="133" t="s">
        <v>10635</v>
      </c>
      <c r="NAW2" s="133" t="s">
        <v>10636</v>
      </c>
      <c r="NAX2" s="133" t="s">
        <v>10637</v>
      </c>
      <c r="NAY2" s="133" t="s">
        <v>10638</v>
      </c>
      <c r="NAZ2" s="133" t="s">
        <v>10639</v>
      </c>
      <c r="NBA2" s="133" t="s">
        <v>10640</v>
      </c>
      <c r="NBB2" s="133" t="s">
        <v>10641</v>
      </c>
      <c r="NBC2" s="133" t="s">
        <v>10642</v>
      </c>
      <c r="NBD2" s="133" t="s">
        <v>10643</v>
      </c>
      <c r="NBE2" s="133" t="s">
        <v>10644</v>
      </c>
      <c r="NBF2" s="133" t="s">
        <v>10645</v>
      </c>
      <c r="NBG2" s="133" t="s">
        <v>10646</v>
      </c>
      <c r="NBH2" s="133" t="s">
        <v>10647</v>
      </c>
      <c r="NBI2" s="133" t="s">
        <v>10648</v>
      </c>
      <c r="NBJ2" s="133" t="s">
        <v>10649</v>
      </c>
      <c r="NBK2" s="133" t="s">
        <v>10650</v>
      </c>
      <c r="NBL2" s="133" t="s">
        <v>10651</v>
      </c>
      <c r="NBM2" s="133" t="s">
        <v>10652</v>
      </c>
      <c r="NBN2" s="133" t="s">
        <v>10653</v>
      </c>
      <c r="NBO2" s="133" t="s">
        <v>10654</v>
      </c>
      <c r="NBP2" s="133" t="s">
        <v>10655</v>
      </c>
      <c r="NBQ2" s="133" t="s">
        <v>10656</v>
      </c>
      <c r="NBR2" s="133" t="s">
        <v>10657</v>
      </c>
      <c r="NBS2" s="133" t="s">
        <v>10658</v>
      </c>
      <c r="NBT2" s="133" t="s">
        <v>10659</v>
      </c>
      <c r="NBU2" s="133" t="s">
        <v>10660</v>
      </c>
      <c r="NBV2" s="133" t="s">
        <v>10661</v>
      </c>
      <c r="NBW2" s="133" t="s">
        <v>10662</v>
      </c>
      <c r="NBX2" s="133" t="s">
        <v>10663</v>
      </c>
      <c r="NBY2" s="133" t="s">
        <v>10664</v>
      </c>
      <c r="NBZ2" s="133" t="s">
        <v>10665</v>
      </c>
      <c r="NCA2" s="133" t="s">
        <v>10666</v>
      </c>
      <c r="NCB2" s="133" t="s">
        <v>10667</v>
      </c>
      <c r="NCC2" s="133" t="s">
        <v>10668</v>
      </c>
      <c r="NCD2" s="133" t="s">
        <v>10669</v>
      </c>
      <c r="NCE2" s="133" t="s">
        <v>10670</v>
      </c>
      <c r="NCF2" s="133" t="s">
        <v>10671</v>
      </c>
      <c r="NCG2" s="133" t="s">
        <v>10672</v>
      </c>
      <c r="NCH2" s="133" t="s">
        <v>10673</v>
      </c>
      <c r="NCI2" s="133" t="s">
        <v>10674</v>
      </c>
      <c r="NCJ2" s="133" t="s">
        <v>10675</v>
      </c>
      <c r="NCK2" s="133" t="s">
        <v>10676</v>
      </c>
      <c r="NCL2" s="133" t="s">
        <v>10677</v>
      </c>
      <c r="NCM2" s="133" t="s">
        <v>10678</v>
      </c>
      <c r="NCN2" s="133" t="s">
        <v>10679</v>
      </c>
      <c r="NCO2" s="133" t="s">
        <v>10680</v>
      </c>
      <c r="NCP2" s="133" t="s">
        <v>10681</v>
      </c>
      <c r="NCQ2" s="133" t="s">
        <v>10682</v>
      </c>
      <c r="NCR2" s="133" t="s">
        <v>10683</v>
      </c>
      <c r="NCS2" s="133" t="s">
        <v>10684</v>
      </c>
      <c r="NCT2" s="133" t="s">
        <v>10685</v>
      </c>
      <c r="NCU2" s="133" t="s">
        <v>10686</v>
      </c>
      <c r="NCV2" s="133" t="s">
        <v>10687</v>
      </c>
      <c r="NCW2" s="133" t="s">
        <v>10688</v>
      </c>
      <c r="NCX2" s="133" t="s">
        <v>10689</v>
      </c>
      <c r="NCY2" s="133" t="s">
        <v>10690</v>
      </c>
      <c r="NCZ2" s="133" t="s">
        <v>10691</v>
      </c>
      <c r="NDA2" s="133" t="s">
        <v>10692</v>
      </c>
      <c r="NDB2" s="133" t="s">
        <v>10693</v>
      </c>
      <c r="NDC2" s="133" t="s">
        <v>10694</v>
      </c>
      <c r="NDD2" s="133" t="s">
        <v>10695</v>
      </c>
      <c r="NDE2" s="133" t="s">
        <v>10696</v>
      </c>
      <c r="NDF2" s="133" t="s">
        <v>10697</v>
      </c>
      <c r="NDG2" s="133" t="s">
        <v>10698</v>
      </c>
      <c r="NDH2" s="133" t="s">
        <v>10699</v>
      </c>
      <c r="NDI2" s="133" t="s">
        <v>10700</v>
      </c>
      <c r="NDJ2" s="133" t="s">
        <v>10701</v>
      </c>
      <c r="NDK2" s="133" t="s">
        <v>10702</v>
      </c>
      <c r="NDL2" s="133" t="s">
        <v>10703</v>
      </c>
      <c r="NDM2" s="133" t="s">
        <v>10704</v>
      </c>
      <c r="NDN2" s="133" t="s">
        <v>10705</v>
      </c>
      <c r="NDO2" s="133" t="s">
        <v>10706</v>
      </c>
      <c r="NDP2" s="133" t="s">
        <v>10707</v>
      </c>
      <c r="NDQ2" s="133" t="s">
        <v>10708</v>
      </c>
      <c r="NDR2" s="133" t="s">
        <v>10709</v>
      </c>
      <c r="NDS2" s="133" t="s">
        <v>10710</v>
      </c>
      <c r="NDT2" s="133" t="s">
        <v>10711</v>
      </c>
      <c r="NDU2" s="133" t="s">
        <v>10712</v>
      </c>
      <c r="NDV2" s="133" t="s">
        <v>10713</v>
      </c>
      <c r="NDW2" s="133" t="s">
        <v>10714</v>
      </c>
      <c r="NDX2" s="133" t="s">
        <v>10715</v>
      </c>
      <c r="NDY2" s="133" t="s">
        <v>10716</v>
      </c>
      <c r="NDZ2" s="133" t="s">
        <v>10717</v>
      </c>
      <c r="NEA2" s="133" t="s">
        <v>10718</v>
      </c>
      <c r="NEB2" s="133" t="s">
        <v>10719</v>
      </c>
      <c r="NEC2" s="133" t="s">
        <v>10720</v>
      </c>
      <c r="NED2" s="133" t="s">
        <v>10721</v>
      </c>
      <c r="NEE2" s="133" t="s">
        <v>10722</v>
      </c>
      <c r="NEF2" s="133" t="s">
        <v>10723</v>
      </c>
      <c r="NEG2" s="133" t="s">
        <v>10724</v>
      </c>
      <c r="NEH2" s="133" t="s">
        <v>10725</v>
      </c>
      <c r="NEI2" s="133" t="s">
        <v>10726</v>
      </c>
      <c r="NEJ2" s="133" t="s">
        <v>10727</v>
      </c>
      <c r="NEK2" s="133" t="s">
        <v>10728</v>
      </c>
      <c r="NEL2" s="133" t="s">
        <v>10729</v>
      </c>
      <c r="NEM2" s="133" t="s">
        <v>10730</v>
      </c>
      <c r="NEN2" s="133" t="s">
        <v>10731</v>
      </c>
      <c r="NEO2" s="133" t="s">
        <v>10732</v>
      </c>
      <c r="NEP2" s="133" t="s">
        <v>10733</v>
      </c>
      <c r="NEQ2" s="133" t="s">
        <v>10734</v>
      </c>
      <c r="NER2" s="133" t="s">
        <v>10735</v>
      </c>
      <c r="NES2" s="133" t="s">
        <v>10736</v>
      </c>
      <c r="NET2" s="133" t="s">
        <v>10737</v>
      </c>
      <c r="NEU2" s="133" t="s">
        <v>10738</v>
      </c>
      <c r="NEV2" s="133" t="s">
        <v>10739</v>
      </c>
      <c r="NEW2" s="133" t="s">
        <v>10740</v>
      </c>
      <c r="NEX2" s="133" t="s">
        <v>10741</v>
      </c>
      <c r="NEY2" s="133" t="s">
        <v>10742</v>
      </c>
      <c r="NEZ2" s="133" t="s">
        <v>10743</v>
      </c>
      <c r="NFA2" s="133" t="s">
        <v>10744</v>
      </c>
      <c r="NFB2" s="133" t="s">
        <v>10745</v>
      </c>
      <c r="NFC2" s="133" t="s">
        <v>10746</v>
      </c>
      <c r="NFD2" s="133" t="s">
        <v>10747</v>
      </c>
      <c r="NFE2" s="133" t="s">
        <v>10748</v>
      </c>
      <c r="NFF2" s="133" t="s">
        <v>10749</v>
      </c>
      <c r="NFG2" s="133" t="s">
        <v>10750</v>
      </c>
      <c r="NFH2" s="133" t="s">
        <v>10751</v>
      </c>
      <c r="NFI2" s="133" t="s">
        <v>10752</v>
      </c>
      <c r="NFJ2" s="133" t="s">
        <v>10753</v>
      </c>
      <c r="NFK2" s="133" t="s">
        <v>10754</v>
      </c>
      <c r="NFL2" s="133" t="s">
        <v>10755</v>
      </c>
      <c r="NFM2" s="133" t="s">
        <v>10756</v>
      </c>
      <c r="NFN2" s="133" t="s">
        <v>10757</v>
      </c>
      <c r="NFO2" s="133" t="s">
        <v>10758</v>
      </c>
      <c r="NFP2" s="133" t="s">
        <v>10759</v>
      </c>
      <c r="NFQ2" s="133" t="s">
        <v>10760</v>
      </c>
      <c r="NFR2" s="133" t="s">
        <v>10761</v>
      </c>
      <c r="NFS2" s="133" t="s">
        <v>10762</v>
      </c>
      <c r="NFT2" s="133" t="s">
        <v>10763</v>
      </c>
      <c r="NFU2" s="133" t="s">
        <v>10764</v>
      </c>
      <c r="NFV2" s="133" t="s">
        <v>10765</v>
      </c>
      <c r="NFW2" s="133" t="s">
        <v>10766</v>
      </c>
      <c r="NFX2" s="133" t="s">
        <v>10767</v>
      </c>
      <c r="NFY2" s="133" t="s">
        <v>10768</v>
      </c>
      <c r="NFZ2" s="133" t="s">
        <v>10769</v>
      </c>
      <c r="NGA2" s="133" t="s">
        <v>10770</v>
      </c>
      <c r="NGB2" s="133" t="s">
        <v>10771</v>
      </c>
      <c r="NGC2" s="133" t="s">
        <v>10772</v>
      </c>
      <c r="NGD2" s="133" t="s">
        <v>10773</v>
      </c>
      <c r="NGE2" s="133" t="s">
        <v>10774</v>
      </c>
      <c r="NGF2" s="133" t="s">
        <v>10775</v>
      </c>
      <c r="NGG2" s="133" t="s">
        <v>10776</v>
      </c>
      <c r="NGH2" s="133" t="s">
        <v>10777</v>
      </c>
      <c r="NGI2" s="133" t="s">
        <v>10778</v>
      </c>
      <c r="NGJ2" s="133" t="s">
        <v>10779</v>
      </c>
      <c r="NGK2" s="133" t="s">
        <v>10780</v>
      </c>
      <c r="NGL2" s="133" t="s">
        <v>10781</v>
      </c>
      <c r="NGM2" s="133" t="s">
        <v>10782</v>
      </c>
      <c r="NGN2" s="133" t="s">
        <v>10783</v>
      </c>
      <c r="NGO2" s="133" t="s">
        <v>10784</v>
      </c>
      <c r="NGP2" s="133" t="s">
        <v>10785</v>
      </c>
      <c r="NGQ2" s="133" t="s">
        <v>10786</v>
      </c>
      <c r="NGR2" s="133" t="s">
        <v>10787</v>
      </c>
      <c r="NGS2" s="133" t="s">
        <v>10788</v>
      </c>
      <c r="NGT2" s="133" t="s">
        <v>10789</v>
      </c>
      <c r="NGU2" s="133" t="s">
        <v>10790</v>
      </c>
      <c r="NGV2" s="133" t="s">
        <v>10791</v>
      </c>
      <c r="NGW2" s="133" t="s">
        <v>10792</v>
      </c>
      <c r="NGX2" s="133" t="s">
        <v>10793</v>
      </c>
      <c r="NGY2" s="133" t="s">
        <v>10794</v>
      </c>
      <c r="NGZ2" s="133" t="s">
        <v>10795</v>
      </c>
      <c r="NHA2" s="133" t="s">
        <v>10796</v>
      </c>
      <c r="NHB2" s="133" t="s">
        <v>10797</v>
      </c>
      <c r="NHC2" s="133" t="s">
        <v>10798</v>
      </c>
      <c r="NHD2" s="133" t="s">
        <v>10799</v>
      </c>
      <c r="NHE2" s="133" t="s">
        <v>10800</v>
      </c>
      <c r="NHF2" s="133" t="s">
        <v>10801</v>
      </c>
      <c r="NHG2" s="133" t="s">
        <v>10802</v>
      </c>
      <c r="NHH2" s="133" t="s">
        <v>10803</v>
      </c>
      <c r="NHI2" s="133" t="s">
        <v>10804</v>
      </c>
      <c r="NHJ2" s="133" t="s">
        <v>10805</v>
      </c>
      <c r="NHK2" s="133" t="s">
        <v>10806</v>
      </c>
      <c r="NHL2" s="133" t="s">
        <v>10807</v>
      </c>
      <c r="NHM2" s="133" t="s">
        <v>10808</v>
      </c>
      <c r="NHN2" s="133" t="s">
        <v>10809</v>
      </c>
      <c r="NHO2" s="133" t="s">
        <v>10810</v>
      </c>
      <c r="NHP2" s="133" t="s">
        <v>10811</v>
      </c>
      <c r="NHQ2" s="133" t="s">
        <v>10812</v>
      </c>
      <c r="NHR2" s="133" t="s">
        <v>10813</v>
      </c>
      <c r="NHS2" s="133" t="s">
        <v>10814</v>
      </c>
      <c r="NHT2" s="133" t="s">
        <v>10815</v>
      </c>
      <c r="NHU2" s="133" t="s">
        <v>10816</v>
      </c>
      <c r="NHV2" s="133" t="s">
        <v>10817</v>
      </c>
      <c r="NHW2" s="133" t="s">
        <v>10818</v>
      </c>
      <c r="NHX2" s="133" t="s">
        <v>10819</v>
      </c>
      <c r="NHY2" s="133" t="s">
        <v>10820</v>
      </c>
      <c r="NHZ2" s="133" t="s">
        <v>10821</v>
      </c>
      <c r="NIA2" s="133" t="s">
        <v>10822</v>
      </c>
      <c r="NIB2" s="133" t="s">
        <v>10823</v>
      </c>
      <c r="NIC2" s="133" t="s">
        <v>10824</v>
      </c>
      <c r="NID2" s="133" t="s">
        <v>10825</v>
      </c>
      <c r="NIE2" s="133" t="s">
        <v>10826</v>
      </c>
      <c r="NIF2" s="133" t="s">
        <v>10827</v>
      </c>
      <c r="NIG2" s="133" t="s">
        <v>10828</v>
      </c>
      <c r="NIH2" s="133" t="s">
        <v>10829</v>
      </c>
      <c r="NII2" s="133" t="s">
        <v>10830</v>
      </c>
      <c r="NIJ2" s="133" t="s">
        <v>10831</v>
      </c>
      <c r="NIK2" s="133" t="s">
        <v>10832</v>
      </c>
      <c r="NIL2" s="133" t="s">
        <v>10833</v>
      </c>
      <c r="NIM2" s="133" t="s">
        <v>10834</v>
      </c>
      <c r="NIN2" s="133" t="s">
        <v>10835</v>
      </c>
      <c r="NIO2" s="133" t="s">
        <v>10836</v>
      </c>
      <c r="NIP2" s="133" t="s">
        <v>10837</v>
      </c>
      <c r="NIQ2" s="133" t="s">
        <v>10838</v>
      </c>
      <c r="NIR2" s="133" t="s">
        <v>10839</v>
      </c>
      <c r="NIS2" s="133" t="s">
        <v>10840</v>
      </c>
      <c r="NIT2" s="133" t="s">
        <v>10841</v>
      </c>
      <c r="NIU2" s="133" t="s">
        <v>10842</v>
      </c>
      <c r="NIV2" s="133" t="s">
        <v>10843</v>
      </c>
      <c r="NIW2" s="133" t="s">
        <v>10844</v>
      </c>
      <c r="NIX2" s="133" t="s">
        <v>10845</v>
      </c>
      <c r="NIY2" s="133" t="s">
        <v>10846</v>
      </c>
      <c r="NIZ2" s="133" t="s">
        <v>10847</v>
      </c>
      <c r="NJA2" s="133" t="s">
        <v>10848</v>
      </c>
      <c r="NJB2" s="133" t="s">
        <v>10849</v>
      </c>
      <c r="NJC2" s="133" t="s">
        <v>10850</v>
      </c>
      <c r="NJD2" s="133" t="s">
        <v>10851</v>
      </c>
      <c r="NJE2" s="133" t="s">
        <v>10852</v>
      </c>
      <c r="NJF2" s="133" t="s">
        <v>10853</v>
      </c>
      <c r="NJG2" s="133" t="s">
        <v>10854</v>
      </c>
      <c r="NJH2" s="133" t="s">
        <v>10855</v>
      </c>
      <c r="NJI2" s="133" t="s">
        <v>10856</v>
      </c>
      <c r="NJJ2" s="133" t="s">
        <v>10857</v>
      </c>
      <c r="NJK2" s="133" t="s">
        <v>10858</v>
      </c>
      <c r="NJL2" s="133" t="s">
        <v>10859</v>
      </c>
      <c r="NJM2" s="133" t="s">
        <v>10860</v>
      </c>
      <c r="NJN2" s="133" t="s">
        <v>10861</v>
      </c>
      <c r="NJO2" s="133" t="s">
        <v>10862</v>
      </c>
      <c r="NJP2" s="133" t="s">
        <v>10863</v>
      </c>
      <c r="NJQ2" s="133" t="s">
        <v>10864</v>
      </c>
      <c r="NJR2" s="133" t="s">
        <v>10865</v>
      </c>
      <c r="NJS2" s="133" t="s">
        <v>10866</v>
      </c>
      <c r="NJT2" s="133" t="s">
        <v>10867</v>
      </c>
      <c r="NJU2" s="133" t="s">
        <v>10868</v>
      </c>
      <c r="NJV2" s="133" t="s">
        <v>10869</v>
      </c>
      <c r="NJW2" s="133" t="s">
        <v>10870</v>
      </c>
      <c r="NJX2" s="133" t="s">
        <v>10871</v>
      </c>
      <c r="NJY2" s="133" t="s">
        <v>10872</v>
      </c>
      <c r="NJZ2" s="133" t="s">
        <v>10873</v>
      </c>
      <c r="NKA2" s="133" t="s">
        <v>10874</v>
      </c>
      <c r="NKB2" s="133" t="s">
        <v>10875</v>
      </c>
      <c r="NKC2" s="133" t="s">
        <v>10876</v>
      </c>
      <c r="NKD2" s="133" t="s">
        <v>10877</v>
      </c>
      <c r="NKE2" s="133" t="s">
        <v>10878</v>
      </c>
      <c r="NKF2" s="133" t="s">
        <v>10879</v>
      </c>
      <c r="NKG2" s="133" t="s">
        <v>10880</v>
      </c>
      <c r="NKH2" s="133" t="s">
        <v>10881</v>
      </c>
      <c r="NKI2" s="133" t="s">
        <v>10882</v>
      </c>
      <c r="NKJ2" s="133" t="s">
        <v>10883</v>
      </c>
      <c r="NKK2" s="133" t="s">
        <v>10884</v>
      </c>
      <c r="NKL2" s="133" t="s">
        <v>10885</v>
      </c>
      <c r="NKM2" s="133" t="s">
        <v>10886</v>
      </c>
      <c r="NKN2" s="133" t="s">
        <v>10887</v>
      </c>
      <c r="NKO2" s="133" t="s">
        <v>10888</v>
      </c>
      <c r="NKP2" s="133" t="s">
        <v>10889</v>
      </c>
      <c r="NKQ2" s="133" t="s">
        <v>10890</v>
      </c>
      <c r="NKR2" s="133" t="s">
        <v>10891</v>
      </c>
      <c r="NKS2" s="133" t="s">
        <v>10892</v>
      </c>
      <c r="NKT2" s="133" t="s">
        <v>10893</v>
      </c>
      <c r="NKU2" s="133" t="s">
        <v>10894</v>
      </c>
      <c r="NKV2" s="133" t="s">
        <v>10895</v>
      </c>
      <c r="NKW2" s="133" t="s">
        <v>10896</v>
      </c>
      <c r="NKX2" s="133" t="s">
        <v>10897</v>
      </c>
      <c r="NKY2" s="133" t="s">
        <v>10898</v>
      </c>
      <c r="NKZ2" s="133" t="s">
        <v>10899</v>
      </c>
      <c r="NLA2" s="133" t="s">
        <v>10900</v>
      </c>
      <c r="NLB2" s="133" t="s">
        <v>10901</v>
      </c>
      <c r="NLC2" s="133" t="s">
        <v>10902</v>
      </c>
      <c r="NLD2" s="133" t="s">
        <v>10903</v>
      </c>
      <c r="NLE2" s="133" t="s">
        <v>10904</v>
      </c>
      <c r="NLF2" s="133" t="s">
        <v>10905</v>
      </c>
      <c r="NLG2" s="133" t="s">
        <v>10906</v>
      </c>
      <c r="NLH2" s="133" t="s">
        <v>10907</v>
      </c>
      <c r="NLI2" s="133" t="s">
        <v>10908</v>
      </c>
      <c r="NLJ2" s="133" t="s">
        <v>10909</v>
      </c>
      <c r="NLK2" s="133" t="s">
        <v>10910</v>
      </c>
      <c r="NLL2" s="133" t="s">
        <v>10911</v>
      </c>
      <c r="NLM2" s="133" t="s">
        <v>10912</v>
      </c>
      <c r="NLN2" s="133" t="s">
        <v>10913</v>
      </c>
      <c r="NLO2" s="133" t="s">
        <v>10914</v>
      </c>
      <c r="NLP2" s="133" t="s">
        <v>10915</v>
      </c>
      <c r="NLQ2" s="133" t="s">
        <v>10916</v>
      </c>
      <c r="NLR2" s="133" t="s">
        <v>10917</v>
      </c>
      <c r="NLS2" s="133" t="s">
        <v>10918</v>
      </c>
      <c r="NLT2" s="133" t="s">
        <v>10919</v>
      </c>
      <c r="NLU2" s="133" t="s">
        <v>10920</v>
      </c>
      <c r="NLV2" s="133" t="s">
        <v>10921</v>
      </c>
      <c r="NLW2" s="133" t="s">
        <v>10922</v>
      </c>
      <c r="NLX2" s="133" t="s">
        <v>10923</v>
      </c>
      <c r="NLY2" s="133" t="s">
        <v>10924</v>
      </c>
      <c r="NLZ2" s="133" t="s">
        <v>10925</v>
      </c>
      <c r="NMA2" s="133" t="s">
        <v>10926</v>
      </c>
      <c r="NMB2" s="133" t="s">
        <v>10927</v>
      </c>
      <c r="NMC2" s="133" t="s">
        <v>10928</v>
      </c>
      <c r="NMD2" s="133" t="s">
        <v>10929</v>
      </c>
      <c r="NME2" s="133" t="s">
        <v>10930</v>
      </c>
      <c r="NMF2" s="133" t="s">
        <v>10931</v>
      </c>
      <c r="NMG2" s="133" t="s">
        <v>10932</v>
      </c>
      <c r="NMH2" s="133" t="s">
        <v>10933</v>
      </c>
      <c r="NMI2" s="133" t="s">
        <v>10934</v>
      </c>
      <c r="NMJ2" s="133" t="s">
        <v>10935</v>
      </c>
      <c r="NMK2" s="133" t="s">
        <v>10936</v>
      </c>
      <c r="NML2" s="133" t="s">
        <v>10937</v>
      </c>
      <c r="NMM2" s="133" t="s">
        <v>10938</v>
      </c>
      <c r="NMN2" s="133" t="s">
        <v>10939</v>
      </c>
      <c r="NMO2" s="133" t="s">
        <v>10940</v>
      </c>
      <c r="NMP2" s="133" t="s">
        <v>10941</v>
      </c>
      <c r="NMQ2" s="133" t="s">
        <v>10942</v>
      </c>
      <c r="NMR2" s="133" t="s">
        <v>10943</v>
      </c>
      <c r="NMS2" s="133" t="s">
        <v>10944</v>
      </c>
      <c r="NMT2" s="133" t="s">
        <v>10945</v>
      </c>
      <c r="NMU2" s="133" t="s">
        <v>10946</v>
      </c>
      <c r="NMV2" s="133" t="s">
        <v>10947</v>
      </c>
      <c r="NMW2" s="133" t="s">
        <v>10948</v>
      </c>
      <c r="NMX2" s="133" t="s">
        <v>10949</v>
      </c>
      <c r="NMY2" s="133" t="s">
        <v>10950</v>
      </c>
      <c r="NMZ2" s="133" t="s">
        <v>10951</v>
      </c>
      <c r="NNA2" s="133" t="s">
        <v>10952</v>
      </c>
      <c r="NNB2" s="133" t="s">
        <v>10953</v>
      </c>
      <c r="NNC2" s="133" t="s">
        <v>10954</v>
      </c>
      <c r="NND2" s="133" t="s">
        <v>10955</v>
      </c>
      <c r="NNE2" s="133" t="s">
        <v>10956</v>
      </c>
      <c r="NNF2" s="133" t="s">
        <v>10957</v>
      </c>
      <c r="NNG2" s="133" t="s">
        <v>10958</v>
      </c>
      <c r="NNH2" s="133" t="s">
        <v>10959</v>
      </c>
      <c r="NNI2" s="133" t="s">
        <v>10960</v>
      </c>
      <c r="NNJ2" s="133" t="s">
        <v>10961</v>
      </c>
      <c r="NNK2" s="133" t="s">
        <v>10962</v>
      </c>
      <c r="NNL2" s="133" t="s">
        <v>10963</v>
      </c>
      <c r="NNM2" s="133" t="s">
        <v>10964</v>
      </c>
      <c r="NNN2" s="133" t="s">
        <v>10965</v>
      </c>
      <c r="NNO2" s="133" t="s">
        <v>10966</v>
      </c>
      <c r="NNP2" s="133" t="s">
        <v>10967</v>
      </c>
      <c r="NNQ2" s="133" t="s">
        <v>10968</v>
      </c>
      <c r="NNR2" s="133" t="s">
        <v>10969</v>
      </c>
      <c r="NNS2" s="133" t="s">
        <v>10970</v>
      </c>
      <c r="NNT2" s="133" t="s">
        <v>10971</v>
      </c>
      <c r="NNU2" s="133" t="s">
        <v>10972</v>
      </c>
      <c r="NNV2" s="133" t="s">
        <v>10973</v>
      </c>
      <c r="NNW2" s="133" t="s">
        <v>10974</v>
      </c>
      <c r="NNX2" s="133" t="s">
        <v>10975</v>
      </c>
      <c r="NNY2" s="133" t="s">
        <v>10976</v>
      </c>
      <c r="NNZ2" s="133" t="s">
        <v>10977</v>
      </c>
      <c r="NOA2" s="133" t="s">
        <v>10978</v>
      </c>
      <c r="NOB2" s="133" t="s">
        <v>10979</v>
      </c>
      <c r="NOC2" s="133" t="s">
        <v>10980</v>
      </c>
      <c r="NOD2" s="133" t="s">
        <v>10981</v>
      </c>
      <c r="NOE2" s="133" t="s">
        <v>10982</v>
      </c>
      <c r="NOF2" s="133" t="s">
        <v>10983</v>
      </c>
      <c r="NOG2" s="133" t="s">
        <v>10984</v>
      </c>
      <c r="NOH2" s="133" t="s">
        <v>10985</v>
      </c>
      <c r="NOI2" s="133" t="s">
        <v>10986</v>
      </c>
      <c r="NOJ2" s="133" t="s">
        <v>10987</v>
      </c>
      <c r="NOK2" s="133" t="s">
        <v>10988</v>
      </c>
      <c r="NOL2" s="133" t="s">
        <v>10989</v>
      </c>
      <c r="NOM2" s="133" t="s">
        <v>10990</v>
      </c>
      <c r="NON2" s="133" t="s">
        <v>10991</v>
      </c>
      <c r="NOO2" s="133" t="s">
        <v>10992</v>
      </c>
      <c r="NOP2" s="133" t="s">
        <v>10993</v>
      </c>
      <c r="NOQ2" s="133" t="s">
        <v>10994</v>
      </c>
      <c r="NOR2" s="133" t="s">
        <v>10995</v>
      </c>
      <c r="NOS2" s="133" t="s">
        <v>10996</v>
      </c>
      <c r="NOT2" s="133" t="s">
        <v>10997</v>
      </c>
      <c r="NOU2" s="133" t="s">
        <v>10998</v>
      </c>
      <c r="NOV2" s="133" t="s">
        <v>10999</v>
      </c>
      <c r="NOW2" s="133" t="s">
        <v>11000</v>
      </c>
      <c r="NOX2" s="133" t="s">
        <v>11001</v>
      </c>
      <c r="NOY2" s="133" t="s">
        <v>11002</v>
      </c>
      <c r="NOZ2" s="133" t="s">
        <v>11003</v>
      </c>
      <c r="NPA2" s="133" t="s">
        <v>11004</v>
      </c>
      <c r="NPB2" s="133" t="s">
        <v>11005</v>
      </c>
      <c r="NPC2" s="133" t="s">
        <v>11006</v>
      </c>
      <c r="NPD2" s="133" t="s">
        <v>11007</v>
      </c>
      <c r="NPE2" s="133" t="s">
        <v>11008</v>
      </c>
      <c r="NPF2" s="133" t="s">
        <v>11009</v>
      </c>
      <c r="NPG2" s="133" t="s">
        <v>11010</v>
      </c>
      <c r="NPH2" s="133" t="s">
        <v>11011</v>
      </c>
      <c r="NPI2" s="133" t="s">
        <v>11012</v>
      </c>
      <c r="NPJ2" s="133" t="s">
        <v>11013</v>
      </c>
      <c r="NPK2" s="133" t="s">
        <v>11014</v>
      </c>
      <c r="NPL2" s="133" t="s">
        <v>11015</v>
      </c>
      <c r="NPM2" s="133" t="s">
        <v>11016</v>
      </c>
      <c r="NPN2" s="133" t="s">
        <v>11017</v>
      </c>
      <c r="NPO2" s="133" t="s">
        <v>11018</v>
      </c>
      <c r="NPP2" s="133" t="s">
        <v>11019</v>
      </c>
      <c r="NPQ2" s="133" t="s">
        <v>11020</v>
      </c>
      <c r="NPR2" s="133" t="s">
        <v>11021</v>
      </c>
      <c r="NPS2" s="133" t="s">
        <v>11022</v>
      </c>
      <c r="NPT2" s="133" t="s">
        <v>11023</v>
      </c>
      <c r="NPU2" s="133" t="s">
        <v>11024</v>
      </c>
      <c r="NPV2" s="133" t="s">
        <v>11025</v>
      </c>
      <c r="NPW2" s="133" t="s">
        <v>11026</v>
      </c>
      <c r="NPX2" s="133" t="s">
        <v>11027</v>
      </c>
      <c r="NPY2" s="133" t="s">
        <v>11028</v>
      </c>
      <c r="NPZ2" s="133" t="s">
        <v>11029</v>
      </c>
      <c r="NQA2" s="133" t="s">
        <v>11030</v>
      </c>
      <c r="NQB2" s="133" t="s">
        <v>11031</v>
      </c>
      <c r="NQC2" s="133" t="s">
        <v>11032</v>
      </c>
      <c r="NQD2" s="133" t="s">
        <v>11033</v>
      </c>
      <c r="NQE2" s="133" t="s">
        <v>11034</v>
      </c>
      <c r="NQF2" s="133" t="s">
        <v>11035</v>
      </c>
      <c r="NQG2" s="133" t="s">
        <v>11036</v>
      </c>
      <c r="NQH2" s="133" t="s">
        <v>11037</v>
      </c>
      <c r="NQI2" s="133" t="s">
        <v>11038</v>
      </c>
      <c r="NQJ2" s="133" t="s">
        <v>11039</v>
      </c>
      <c r="NQK2" s="133" t="s">
        <v>11040</v>
      </c>
      <c r="NQL2" s="133" t="s">
        <v>11041</v>
      </c>
      <c r="NQM2" s="133" t="s">
        <v>11042</v>
      </c>
      <c r="NQN2" s="133" t="s">
        <v>11043</v>
      </c>
      <c r="NQO2" s="133" t="s">
        <v>11044</v>
      </c>
      <c r="NQP2" s="133" t="s">
        <v>11045</v>
      </c>
      <c r="NQQ2" s="133" t="s">
        <v>11046</v>
      </c>
      <c r="NQR2" s="133" t="s">
        <v>11047</v>
      </c>
      <c r="NQS2" s="133" t="s">
        <v>11048</v>
      </c>
      <c r="NQT2" s="133" t="s">
        <v>11049</v>
      </c>
      <c r="NQU2" s="133" t="s">
        <v>11050</v>
      </c>
      <c r="NQV2" s="133" t="s">
        <v>11051</v>
      </c>
      <c r="NQW2" s="133" t="s">
        <v>11052</v>
      </c>
      <c r="NQX2" s="133" t="s">
        <v>11053</v>
      </c>
      <c r="NQY2" s="133" t="s">
        <v>11054</v>
      </c>
      <c r="NQZ2" s="133" t="s">
        <v>11055</v>
      </c>
      <c r="NRA2" s="133" t="s">
        <v>11056</v>
      </c>
      <c r="NRB2" s="133" t="s">
        <v>11057</v>
      </c>
      <c r="NRC2" s="133" t="s">
        <v>11058</v>
      </c>
      <c r="NRD2" s="133" t="s">
        <v>11059</v>
      </c>
      <c r="NRE2" s="133" t="s">
        <v>11060</v>
      </c>
      <c r="NRF2" s="133" t="s">
        <v>11061</v>
      </c>
      <c r="NRG2" s="133" t="s">
        <v>11062</v>
      </c>
      <c r="NRH2" s="133" t="s">
        <v>11063</v>
      </c>
      <c r="NRI2" s="133" t="s">
        <v>11064</v>
      </c>
      <c r="NRJ2" s="133" t="s">
        <v>11065</v>
      </c>
      <c r="NRK2" s="133" t="s">
        <v>11066</v>
      </c>
      <c r="NRL2" s="133" t="s">
        <v>11067</v>
      </c>
      <c r="NRM2" s="133" t="s">
        <v>11068</v>
      </c>
      <c r="NRN2" s="133" t="s">
        <v>11069</v>
      </c>
      <c r="NRO2" s="133" t="s">
        <v>11070</v>
      </c>
      <c r="NRP2" s="133" t="s">
        <v>11071</v>
      </c>
      <c r="NRQ2" s="133" t="s">
        <v>11072</v>
      </c>
      <c r="NRR2" s="133" t="s">
        <v>11073</v>
      </c>
      <c r="NRS2" s="133" t="s">
        <v>11074</v>
      </c>
      <c r="NRT2" s="133" t="s">
        <v>11075</v>
      </c>
      <c r="NRU2" s="133" t="s">
        <v>11076</v>
      </c>
      <c r="NRV2" s="133" t="s">
        <v>11077</v>
      </c>
      <c r="NRW2" s="133" t="s">
        <v>11078</v>
      </c>
      <c r="NRX2" s="133" t="s">
        <v>11079</v>
      </c>
      <c r="NRY2" s="133" t="s">
        <v>11080</v>
      </c>
      <c r="NRZ2" s="133" t="s">
        <v>11081</v>
      </c>
      <c r="NSA2" s="133" t="s">
        <v>11082</v>
      </c>
      <c r="NSB2" s="133" t="s">
        <v>11083</v>
      </c>
      <c r="NSC2" s="133" t="s">
        <v>11084</v>
      </c>
      <c r="NSD2" s="133" t="s">
        <v>11085</v>
      </c>
      <c r="NSE2" s="133" t="s">
        <v>11086</v>
      </c>
      <c r="NSF2" s="133" t="s">
        <v>11087</v>
      </c>
      <c r="NSG2" s="133" t="s">
        <v>11088</v>
      </c>
      <c r="NSH2" s="133" t="s">
        <v>11089</v>
      </c>
      <c r="NSI2" s="133" t="s">
        <v>11090</v>
      </c>
      <c r="NSJ2" s="133" t="s">
        <v>11091</v>
      </c>
      <c r="NSK2" s="133" t="s">
        <v>11092</v>
      </c>
      <c r="NSL2" s="133" t="s">
        <v>11093</v>
      </c>
      <c r="NSM2" s="133" t="s">
        <v>11094</v>
      </c>
      <c r="NSN2" s="133" t="s">
        <v>11095</v>
      </c>
      <c r="NSO2" s="133" t="s">
        <v>11096</v>
      </c>
      <c r="NSP2" s="133" t="s">
        <v>11097</v>
      </c>
      <c r="NSQ2" s="133" t="s">
        <v>11098</v>
      </c>
      <c r="NSR2" s="133" t="s">
        <v>11099</v>
      </c>
      <c r="NSS2" s="133" t="s">
        <v>11100</v>
      </c>
      <c r="NST2" s="133" t="s">
        <v>11101</v>
      </c>
      <c r="NSU2" s="133" t="s">
        <v>11102</v>
      </c>
      <c r="NSV2" s="133" t="s">
        <v>11103</v>
      </c>
      <c r="NSW2" s="133" t="s">
        <v>11104</v>
      </c>
      <c r="NSX2" s="133" t="s">
        <v>11105</v>
      </c>
      <c r="NSY2" s="133" t="s">
        <v>11106</v>
      </c>
      <c r="NSZ2" s="133" t="s">
        <v>11107</v>
      </c>
      <c r="NTA2" s="133" t="s">
        <v>11108</v>
      </c>
      <c r="NTB2" s="133" t="s">
        <v>11109</v>
      </c>
      <c r="NTC2" s="133" t="s">
        <v>11110</v>
      </c>
      <c r="NTD2" s="133" t="s">
        <v>11111</v>
      </c>
      <c r="NTE2" s="133" t="s">
        <v>11112</v>
      </c>
      <c r="NTF2" s="133" t="s">
        <v>11113</v>
      </c>
      <c r="NTG2" s="133" t="s">
        <v>11114</v>
      </c>
      <c r="NTH2" s="133" t="s">
        <v>11115</v>
      </c>
      <c r="NTI2" s="133" t="s">
        <v>11116</v>
      </c>
      <c r="NTJ2" s="133" t="s">
        <v>11117</v>
      </c>
      <c r="NTK2" s="133" t="s">
        <v>11118</v>
      </c>
      <c r="NTL2" s="133" t="s">
        <v>11119</v>
      </c>
      <c r="NTM2" s="133" t="s">
        <v>11120</v>
      </c>
      <c r="NTN2" s="133" t="s">
        <v>11121</v>
      </c>
      <c r="NTO2" s="133" t="s">
        <v>11122</v>
      </c>
      <c r="NTP2" s="133" t="s">
        <v>11123</v>
      </c>
      <c r="NTQ2" s="133" t="s">
        <v>11124</v>
      </c>
      <c r="NTR2" s="133" t="s">
        <v>11125</v>
      </c>
      <c r="NTS2" s="133" t="s">
        <v>11126</v>
      </c>
      <c r="NTT2" s="133" t="s">
        <v>11127</v>
      </c>
      <c r="NTU2" s="133" t="s">
        <v>11128</v>
      </c>
      <c r="NTV2" s="133" t="s">
        <v>11129</v>
      </c>
      <c r="NTW2" s="133" t="s">
        <v>11130</v>
      </c>
      <c r="NTX2" s="133" t="s">
        <v>11131</v>
      </c>
      <c r="NTY2" s="133" t="s">
        <v>11132</v>
      </c>
      <c r="NTZ2" s="133" t="s">
        <v>11133</v>
      </c>
      <c r="NUA2" s="133" t="s">
        <v>11134</v>
      </c>
      <c r="NUB2" s="133" t="s">
        <v>11135</v>
      </c>
      <c r="NUC2" s="133" t="s">
        <v>11136</v>
      </c>
      <c r="NUD2" s="133" t="s">
        <v>11137</v>
      </c>
      <c r="NUE2" s="133" t="s">
        <v>11138</v>
      </c>
      <c r="NUF2" s="133" t="s">
        <v>11139</v>
      </c>
      <c r="NUG2" s="133" t="s">
        <v>11140</v>
      </c>
      <c r="NUH2" s="133" t="s">
        <v>11141</v>
      </c>
      <c r="NUI2" s="133" t="s">
        <v>11142</v>
      </c>
      <c r="NUJ2" s="133" t="s">
        <v>11143</v>
      </c>
      <c r="NUK2" s="133" t="s">
        <v>11144</v>
      </c>
      <c r="NUL2" s="133" t="s">
        <v>11145</v>
      </c>
      <c r="NUM2" s="133" t="s">
        <v>11146</v>
      </c>
      <c r="NUN2" s="133" t="s">
        <v>11147</v>
      </c>
      <c r="NUO2" s="133" t="s">
        <v>11148</v>
      </c>
      <c r="NUP2" s="133" t="s">
        <v>11149</v>
      </c>
      <c r="NUQ2" s="133" t="s">
        <v>11150</v>
      </c>
      <c r="NUR2" s="133" t="s">
        <v>11151</v>
      </c>
      <c r="NUS2" s="133" t="s">
        <v>11152</v>
      </c>
      <c r="NUT2" s="133" t="s">
        <v>11153</v>
      </c>
      <c r="NUU2" s="133" t="s">
        <v>11154</v>
      </c>
      <c r="NUV2" s="133" t="s">
        <v>11155</v>
      </c>
      <c r="NUW2" s="133" t="s">
        <v>11156</v>
      </c>
      <c r="NUX2" s="133" t="s">
        <v>11157</v>
      </c>
      <c r="NUY2" s="133" t="s">
        <v>11158</v>
      </c>
      <c r="NUZ2" s="133" t="s">
        <v>11159</v>
      </c>
      <c r="NVA2" s="133" t="s">
        <v>11160</v>
      </c>
      <c r="NVB2" s="133" t="s">
        <v>11161</v>
      </c>
      <c r="NVC2" s="133" t="s">
        <v>11162</v>
      </c>
      <c r="NVD2" s="133" t="s">
        <v>11163</v>
      </c>
      <c r="NVE2" s="133" t="s">
        <v>11164</v>
      </c>
      <c r="NVF2" s="133" t="s">
        <v>11165</v>
      </c>
      <c r="NVG2" s="133" t="s">
        <v>11166</v>
      </c>
      <c r="NVH2" s="133" t="s">
        <v>11167</v>
      </c>
      <c r="NVI2" s="133" t="s">
        <v>11168</v>
      </c>
      <c r="NVJ2" s="133" t="s">
        <v>11169</v>
      </c>
      <c r="NVK2" s="133" t="s">
        <v>11170</v>
      </c>
      <c r="NVL2" s="133" t="s">
        <v>11171</v>
      </c>
      <c r="NVM2" s="133" t="s">
        <v>11172</v>
      </c>
      <c r="NVN2" s="133" t="s">
        <v>11173</v>
      </c>
      <c r="NVO2" s="133" t="s">
        <v>11174</v>
      </c>
      <c r="NVP2" s="133" t="s">
        <v>11175</v>
      </c>
      <c r="NVQ2" s="133" t="s">
        <v>11176</v>
      </c>
      <c r="NVR2" s="133" t="s">
        <v>11177</v>
      </c>
      <c r="NVS2" s="133" t="s">
        <v>11178</v>
      </c>
      <c r="NVT2" s="133" t="s">
        <v>11179</v>
      </c>
      <c r="NVU2" s="133" t="s">
        <v>11180</v>
      </c>
      <c r="NVV2" s="133" t="s">
        <v>11181</v>
      </c>
      <c r="NVW2" s="133" t="s">
        <v>11182</v>
      </c>
      <c r="NVX2" s="133" t="s">
        <v>11183</v>
      </c>
      <c r="NVY2" s="133" t="s">
        <v>11184</v>
      </c>
      <c r="NVZ2" s="133" t="s">
        <v>11185</v>
      </c>
      <c r="NWA2" s="133" t="s">
        <v>11186</v>
      </c>
      <c r="NWB2" s="133" t="s">
        <v>11187</v>
      </c>
      <c r="NWC2" s="133" t="s">
        <v>11188</v>
      </c>
      <c r="NWD2" s="133" t="s">
        <v>11189</v>
      </c>
      <c r="NWE2" s="133" t="s">
        <v>11190</v>
      </c>
      <c r="NWF2" s="133" t="s">
        <v>11191</v>
      </c>
      <c r="NWG2" s="133" t="s">
        <v>11192</v>
      </c>
      <c r="NWH2" s="133" t="s">
        <v>11193</v>
      </c>
      <c r="NWI2" s="133" t="s">
        <v>11194</v>
      </c>
      <c r="NWJ2" s="133" t="s">
        <v>11195</v>
      </c>
      <c r="NWK2" s="133" t="s">
        <v>11196</v>
      </c>
      <c r="NWL2" s="133" t="s">
        <v>11197</v>
      </c>
      <c r="NWM2" s="133" t="s">
        <v>11198</v>
      </c>
      <c r="NWN2" s="133" t="s">
        <v>11199</v>
      </c>
      <c r="NWO2" s="133" t="s">
        <v>11200</v>
      </c>
      <c r="NWP2" s="133" t="s">
        <v>11201</v>
      </c>
      <c r="NWQ2" s="133" t="s">
        <v>11202</v>
      </c>
      <c r="NWR2" s="133" t="s">
        <v>11203</v>
      </c>
      <c r="NWS2" s="133" t="s">
        <v>11204</v>
      </c>
      <c r="NWT2" s="133" t="s">
        <v>11205</v>
      </c>
      <c r="NWU2" s="133" t="s">
        <v>11206</v>
      </c>
      <c r="NWV2" s="133" t="s">
        <v>11207</v>
      </c>
      <c r="NWW2" s="133" t="s">
        <v>11208</v>
      </c>
      <c r="NWX2" s="133" t="s">
        <v>11209</v>
      </c>
      <c r="NWY2" s="133" t="s">
        <v>11210</v>
      </c>
      <c r="NWZ2" s="133" t="s">
        <v>11211</v>
      </c>
      <c r="NXA2" s="133" t="s">
        <v>11212</v>
      </c>
      <c r="NXB2" s="133" t="s">
        <v>11213</v>
      </c>
      <c r="NXC2" s="133" t="s">
        <v>11214</v>
      </c>
      <c r="NXD2" s="133" t="s">
        <v>11215</v>
      </c>
      <c r="NXE2" s="133" t="s">
        <v>11216</v>
      </c>
      <c r="NXF2" s="133" t="s">
        <v>11217</v>
      </c>
      <c r="NXG2" s="133" t="s">
        <v>11218</v>
      </c>
      <c r="NXH2" s="133" t="s">
        <v>11219</v>
      </c>
      <c r="NXI2" s="133" t="s">
        <v>11220</v>
      </c>
      <c r="NXJ2" s="133" t="s">
        <v>11221</v>
      </c>
      <c r="NXK2" s="133" t="s">
        <v>11222</v>
      </c>
      <c r="NXL2" s="133" t="s">
        <v>11223</v>
      </c>
      <c r="NXM2" s="133" t="s">
        <v>11224</v>
      </c>
      <c r="NXN2" s="133" t="s">
        <v>11225</v>
      </c>
      <c r="NXO2" s="133" t="s">
        <v>11226</v>
      </c>
      <c r="NXP2" s="133" t="s">
        <v>11227</v>
      </c>
      <c r="NXQ2" s="133" t="s">
        <v>11228</v>
      </c>
      <c r="NXR2" s="133" t="s">
        <v>11229</v>
      </c>
      <c r="NXS2" s="133" t="s">
        <v>11230</v>
      </c>
      <c r="NXT2" s="133" t="s">
        <v>11231</v>
      </c>
      <c r="NXU2" s="133" t="s">
        <v>11232</v>
      </c>
      <c r="NXV2" s="133" t="s">
        <v>11233</v>
      </c>
      <c r="NXW2" s="133" t="s">
        <v>11234</v>
      </c>
      <c r="NXX2" s="133" t="s">
        <v>11235</v>
      </c>
      <c r="NXY2" s="133" t="s">
        <v>11236</v>
      </c>
      <c r="NXZ2" s="133" t="s">
        <v>11237</v>
      </c>
      <c r="NYA2" s="133" t="s">
        <v>11238</v>
      </c>
      <c r="NYB2" s="133" t="s">
        <v>11239</v>
      </c>
      <c r="NYC2" s="133" t="s">
        <v>11240</v>
      </c>
      <c r="NYD2" s="133" t="s">
        <v>11241</v>
      </c>
      <c r="NYE2" s="133" t="s">
        <v>11242</v>
      </c>
      <c r="NYF2" s="133" t="s">
        <v>11243</v>
      </c>
      <c r="NYG2" s="133" t="s">
        <v>11244</v>
      </c>
      <c r="NYH2" s="133" t="s">
        <v>11245</v>
      </c>
      <c r="NYI2" s="133" t="s">
        <v>11246</v>
      </c>
      <c r="NYJ2" s="133" t="s">
        <v>11247</v>
      </c>
      <c r="NYK2" s="133" t="s">
        <v>11248</v>
      </c>
      <c r="NYL2" s="133" t="s">
        <v>11249</v>
      </c>
      <c r="NYM2" s="133" t="s">
        <v>11250</v>
      </c>
      <c r="NYN2" s="133" t="s">
        <v>11251</v>
      </c>
      <c r="NYO2" s="133" t="s">
        <v>11252</v>
      </c>
      <c r="NYP2" s="133" t="s">
        <v>11253</v>
      </c>
      <c r="NYQ2" s="133" t="s">
        <v>11254</v>
      </c>
      <c r="NYR2" s="133" t="s">
        <v>11255</v>
      </c>
      <c r="NYS2" s="133" t="s">
        <v>11256</v>
      </c>
      <c r="NYT2" s="133" t="s">
        <v>11257</v>
      </c>
      <c r="NYU2" s="133" t="s">
        <v>11258</v>
      </c>
      <c r="NYV2" s="133" t="s">
        <v>11259</v>
      </c>
      <c r="NYW2" s="133" t="s">
        <v>11260</v>
      </c>
      <c r="NYX2" s="133" t="s">
        <v>11261</v>
      </c>
      <c r="NYY2" s="133" t="s">
        <v>11262</v>
      </c>
      <c r="NYZ2" s="133" t="s">
        <v>11263</v>
      </c>
      <c r="NZA2" s="133" t="s">
        <v>11264</v>
      </c>
      <c r="NZB2" s="133" t="s">
        <v>11265</v>
      </c>
      <c r="NZC2" s="133" t="s">
        <v>11266</v>
      </c>
      <c r="NZD2" s="133" t="s">
        <v>11267</v>
      </c>
      <c r="NZE2" s="133" t="s">
        <v>11268</v>
      </c>
      <c r="NZF2" s="133" t="s">
        <v>11269</v>
      </c>
      <c r="NZG2" s="133" t="s">
        <v>11270</v>
      </c>
      <c r="NZH2" s="133" t="s">
        <v>11271</v>
      </c>
      <c r="NZI2" s="133" t="s">
        <v>11272</v>
      </c>
      <c r="NZJ2" s="133" t="s">
        <v>11273</v>
      </c>
      <c r="NZK2" s="133" t="s">
        <v>11274</v>
      </c>
      <c r="NZL2" s="133" t="s">
        <v>11275</v>
      </c>
      <c r="NZM2" s="133" t="s">
        <v>11276</v>
      </c>
      <c r="NZN2" s="133" t="s">
        <v>11277</v>
      </c>
      <c r="NZO2" s="133" t="s">
        <v>11278</v>
      </c>
      <c r="NZP2" s="133" t="s">
        <v>11279</v>
      </c>
      <c r="NZQ2" s="133" t="s">
        <v>11280</v>
      </c>
      <c r="NZR2" s="133" t="s">
        <v>11281</v>
      </c>
      <c r="NZS2" s="133" t="s">
        <v>11282</v>
      </c>
      <c r="NZT2" s="133" t="s">
        <v>11283</v>
      </c>
      <c r="NZU2" s="133" t="s">
        <v>11284</v>
      </c>
      <c r="NZV2" s="133" t="s">
        <v>11285</v>
      </c>
      <c r="NZW2" s="133" t="s">
        <v>11286</v>
      </c>
      <c r="NZX2" s="133" t="s">
        <v>11287</v>
      </c>
      <c r="NZY2" s="133" t="s">
        <v>11288</v>
      </c>
      <c r="NZZ2" s="133" t="s">
        <v>11289</v>
      </c>
      <c r="OAA2" s="133" t="s">
        <v>11290</v>
      </c>
      <c r="OAB2" s="133" t="s">
        <v>11291</v>
      </c>
      <c r="OAC2" s="133" t="s">
        <v>11292</v>
      </c>
      <c r="OAD2" s="133" t="s">
        <v>11293</v>
      </c>
      <c r="OAE2" s="133" t="s">
        <v>11294</v>
      </c>
      <c r="OAF2" s="133" t="s">
        <v>11295</v>
      </c>
      <c r="OAG2" s="133" t="s">
        <v>11296</v>
      </c>
      <c r="OAH2" s="133" t="s">
        <v>11297</v>
      </c>
      <c r="OAI2" s="133" t="s">
        <v>11298</v>
      </c>
      <c r="OAJ2" s="133" t="s">
        <v>11299</v>
      </c>
      <c r="OAK2" s="133" t="s">
        <v>11300</v>
      </c>
      <c r="OAL2" s="133" t="s">
        <v>11301</v>
      </c>
      <c r="OAM2" s="133" t="s">
        <v>11302</v>
      </c>
      <c r="OAN2" s="133" t="s">
        <v>11303</v>
      </c>
      <c r="OAO2" s="133" t="s">
        <v>11304</v>
      </c>
      <c r="OAP2" s="133" t="s">
        <v>11305</v>
      </c>
      <c r="OAQ2" s="133" t="s">
        <v>11306</v>
      </c>
      <c r="OAR2" s="133" t="s">
        <v>11307</v>
      </c>
      <c r="OAS2" s="133" t="s">
        <v>11308</v>
      </c>
      <c r="OAT2" s="133" t="s">
        <v>11309</v>
      </c>
      <c r="OAU2" s="133" t="s">
        <v>11310</v>
      </c>
      <c r="OAV2" s="133" t="s">
        <v>11311</v>
      </c>
      <c r="OAW2" s="133" t="s">
        <v>11312</v>
      </c>
      <c r="OAX2" s="133" t="s">
        <v>11313</v>
      </c>
      <c r="OAY2" s="133" t="s">
        <v>11314</v>
      </c>
      <c r="OAZ2" s="133" t="s">
        <v>11315</v>
      </c>
      <c r="OBA2" s="133" t="s">
        <v>11316</v>
      </c>
      <c r="OBB2" s="133" t="s">
        <v>11317</v>
      </c>
      <c r="OBC2" s="133" t="s">
        <v>11318</v>
      </c>
      <c r="OBD2" s="133" t="s">
        <v>11319</v>
      </c>
      <c r="OBE2" s="133" t="s">
        <v>11320</v>
      </c>
      <c r="OBF2" s="133" t="s">
        <v>11321</v>
      </c>
      <c r="OBG2" s="133" t="s">
        <v>11322</v>
      </c>
      <c r="OBH2" s="133" t="s">
        <v>11323</v>
      </c>
      <c r="OBI2" s="133" t="s">
        <v>11324</v>
      </c>
      <c r="OBJ2" s="133" t="s">
        <v>11325</v>
      </c>
      <c r="OBK2" s="133" t="s">
        <v>11326</v>
      </c>
      <c r="OBL2" s="133" t="s">
        <v>11327</v>
      </c>
      <c r="OBM2" s="133" t="s">
        <v>11328</v>
      </c>
      <c r="OBN2" s="133" t="s">
        <v>11329</v>
      </c>
      <c r="OBO2" s="133" t="s">
        <v>11330</v>
      </c>
      <c r="OBP2" s="133" t="s">
        <v>11331</v>
      </c>
      <c r="OBQ2" s="133" t="s">
        <v>11332</v>
      </c>
      <c r="OBR2" s="133" t="s">
        <v>11333</v>
      </c>
      <c r="OBS2" s="133" t="s">
        <v>11334</v>
      </c>
      <c r="OBT2" s="133" t="s">
        <v>11335</v>
      </c>
      <c r="OBU2" s="133" t="s">
        <v>11336</v>
      </c>
      <c r="OBV2" s="133" t="s">
        <v>11337</v>
      </c>
      <c r="OBW2" s="133" t="s">
        <v>11338</v>
      </c>
      <c r="OBX2" s="133" t="s">
        <v>11339</v>
      </c>
      <c r="OBY2" s="133" t="s">
        <v>11340</v>
      </c>
      <c r="OBZ2" s="133" t="s">
        <v>11341</v>
      </c>
      <c r="OCA2" s="133" t="s">
        <v>11342</v>
      </c>
      <c r="OCB2" s="133" t="s">
        <v>11343</v>
      </c>
      <c r="OCC2" s="133" t="s">
        <v>11344</v>
      </c>
      <c r="OCD2" s="133" t="s">
        <v>11345</v>
      </c>
      <c r="OCE2" s="133" t="s">
        <v>11346</v>
      </c>
      <c r="OCF2" s="133" t="s">
        <v>11347</v>
      </c>
      <c r="OCG2" s="133" t="s">
        <v>11348</v>
      </c>
      <c r="OCH2" s="133" t="s">
        <v>11349</v>
      </c>
      <c r="OCI2" s="133" t="s">
        <v>11350</v>
      </c>
      <c r="OCJ2" s="133" t="s">
        <v>11351</v>
      </c>
      <c r="OCK2" s="133" t="s">
        <v>11352</v>
      </c>
      <c r="OCL2" s="133" t="s">
        <v>11353</v>
      </c>
      <c r="OCM2" s="133" t="s">
        <v>11354</v>
      </c>
      <c r="OCN2" s="133" t="s">
        <v>11355</v>
      </c>
      <c r="OCO2" s="133" t="s">
        <v>11356</v>
      </c>
      <c r="OCP2" s="133" t="s">
        <v>11357</v>
      </c>
      <c r="OCQ2" s="133" t="s">
        <v>11358</v>
      </c>
      <c r="OCR2" s="133" t="s">
        <v>11359</v>
      </c>
      <c r="OCS2" s="133" t="s">
        <v>11360</v>
      </c>
      <c r="OCT2" s="133" t="s">
        <v>11361</v>
      </c>
      <c r="OCU2" s="133" t="s">
        <v>11362</v>
      </c>
      <c r="OCV2" s="133" t="s">
        <v>11363</v>
      </c>
      <c r="OCW2" s="133" t="s">
        <v>11364</v>
      </c>
      <c r="OCX2" s="133" t="s">
        <v>11365</v>
      </c>
      <c r="OCY2" s="133" t="s">
        <v>11366</v>
      </c>
      <c r="OCZ2" s="133" t="s">
        <v>11367</v>
      </c>
      <c r="ODA2" s="133" t="s">
        <v>11368</v>
      </c>
      <c r="ODB2" s="133" t="s">
        <v>11369</v>
      </c>
      <c r="ODC2" s="133" t="s">
        <v>11370</v>
      </c>
      <c r="ODD2" s="133" t="s">
        <v>11371</v>
      </c>
      <c r="ODE2" s="133" t="s">
        <v>11372</v>
      </c>
      <c r="ODF2" s="133" t="s">
        <v>11373</v>
      </c>
      <c r="ODG2" s="133" t="s">
        <v>11374</v>
      </c>
      <c r="ODH2" s="133" t="s">
        <v>11375</v>
      </c>
      <c r="ODI2" s="133" t="s">
        <v>11376</v>
      </c>
      <c r="ODJ2" s="133" t="s">
        <v>11377</v>
      </c>
      <c r="ODK2" s="133" t="s">
        <v>11378</v>
      </c>
      <c r="ODL2" s="133" t="s">
        <v>11379</v>
      </c>
      <c r="ODM2" s="133" t="s">
        <v>11380</v>
      </c>
      <c r="ODN2" s="133" t="s">
        <v>11381</v>
      </c>
      <c r="ODO2" s="133" t="s">
        <v>11382</v>
      </c>
      <c r="ODP2" s="133" t="s">
        <v>11383</v>
      </c>
      <c r="ODQ2" s="133" t="s">
        <v>11384</v>
      </c>
      <c r="ODR2" s="133" t="s">
        <v>11385</v>
      </c>
      <c r="ODS2" s="133" t="s">
        <v>11386</v>
      </c>
      <c r="ODT2" s="133" t="s">
        <v>11387</v>
      </c>
      <c r="ODU2" s="133" t="s">
        <v>11388</v>
      </c>
      <c r="ODV2" s="133" t="s">
        <v>11389</v>
      </c>
      <c r="ODW2" s="133" t="s">
        <v>11390</v>
      </c>
      <c r="ODX2" s="133" t="s">
        <v>11391</v>
      </c>
      <c r="ODY2" s="133" t="s">
        <v>11392</v>
      </c>
      <c r="ODZ2" s="133" t="s">
        <v>11393</v>
      </c>
      <c r="OEA2" s="133" t="s">
        <v>11394</v>
      </c>
      <c r="OEB2" s="133" t="s">
        <v>11395</v>
      </c>
      <c r="OEC2" s="133" t="s">
        <v>11396</v>
      </c>
      <c r="OED2" s="133" t="s">
        <v>11397</v>
      </c>
      <c r="OEE2" s="133" t="s">
        <v>11398</v>
      </c>
      <c r="OEF2" s="133" t="s">
        <v>11399</v>
      </c>
      <c r="OEG2" s="133" t="s">
        <v>11400</v>
      </c>
      <c r="OEH2" s="133" t="s">
        <v>11401</v>
      </c>
      <c r="OEI2" s="133" t="s">
        <v>11402</v>
      </c>
      <c r="OEJ2" s="133" t="s">
        <v>11403</v>
      </c>
      <c r="OEK2" s="133" t="s">
        <v>11404</v>
      </c>
      <c r="OEL2" s="133" t="s">
        <v>11405</v>
      </c>
      <c r="OEM2" s="133" t="s">
        <v>11406</v>
      </c>
      <c r="OEN2" s="133" t="s">
        <v>11407</v>
      </c>
      <c r="OEO2" s="133" t="s">
        <v>11408</v>
      </c>
      <c r="OEP2" s="133" t="s">
        <v>11409</v>
      </c>
      <c r="OEQ2" s="133" t="s">
        <v>11410</v>
      </c>
      <c r="OER2" s="133" t="s">
        <v>11411</v>
      </c>
      <c r="OES2" s="133" t="s">
        <v>11412</v>
      </c>
      <c r="OET2" s="133" t="s">
        <v>11413</v>
      </c>
      <c r="OEU2" s="133" t="s">
        <v>11414</v>
      </c>
      <c r="OEV2" s="133" t="s">
        <v>11415</v>
      </c>
      <c r="OEW2" s="133" t="s">
        <v>11416</v>
      </c>
      <c r="OEX2" s="133" t="s">
        <v>11417</v>
      </c>
      <c r="OEY2" s="133" t="s">
        <v>11418</v>
      </c>
      <c r="OEZ2" s="133" t="s">
        <v>11419</v>
      </c>
      <c r="OFA2" s="133" t="s">
        <v>11420</v>
      </c>
      <c r="OFB2" s="133" t="s">
        <v>11421</v>
      </c>
      <c r="OFC2" s="133" t="s">
        <v>11422</v>
      </c>
      <c r="OFD2" s="133" t="s">
        <v>11423</v>
      </c>
      <c r="OFE2" s="133" t="s">
        <v>11424</v>
      </c>
      <c r="OFF2" s="133" t="s">
        <v>11425</v>
      </c>
      <c r="OFG2" s="133" t="s">
        <v>11426</v>
      </c>
      <c r="OFH2" s="133" t="s">
        <v>11427</v>
      </c>
      <c r="OFI2" s="133" t="s">
        <v>11428</v>
      </c>
      <c r="OFJ2" s="133" t="s">
        <v>11429</v>
      </c>
      <c r="OFK2" s="133" t="s">
        <v>11430</v>
      </c>
      <c r="OFL2" s="133" t="s">
        <v>11431</v>
      </c>
      <c r="OFM2" s="133" t="s">
        <v>11432</v>
      </c>
      <c r="OFN2" s="133" t="s">
        <v>11433</v>
      </c>
      <c r="OFO2" s="133" t="s">
        <v>11434</v>
      </c>
      <c r="OFP2" s="133" t="s">
        <v>11435</v>
      </c>
      <c r="OFQ2" s="133" t="s">
        <v>11436</v>
      </c>
      <c r="OFR2" s="133" t="s">
        <v>11437</v>
      </c>
      <c r="OFS2" s="133" t="s">
        <v>11438</v>
      </c>
      <c r="OFT2" s="133" t="s">
        <v>11439</v>
      </c>
      <c r="OFU2" s="133" t="s">
        <v>11440</v>
      </c>
      <c r="OFV2" s="133" t="s">
        <v>11441</v>
      </c>
      <c r="OFW2" s="133" t="s">
        <v>11442</v>
      </c>
      <c r="OFX2" s="133" t="s">
        <v>11443</v>
      </c>
      <c r="OFY2" s="133" t="s">
        <v>11444</v>
      </c>
      <c r="OFZ2" s="133" t="s">
        <v>11445</v>
      </c>
      <c r="OGA2" s="133" t="s">
        <v>11446</v>
      </c>
      <c r="OGB2" s="133" t="s">
        <v>11447</v>
      </c>
      <c r="OGC2" s="133" t="s">
        <v>11448</v>
      </c>
      <c r="OGD2" s="133" t="s">
        <v>11449</v>
      </c>
      <c r="OGE2" s="133" t="s">
        <v>11450</v>
      </c>
      <c r="OGF2" s="133" t="s">
        <v>11451</v>
      </c>
      <c r="OGG2" s="133" t="s">
        <v>11452</v>
      </c>
      <c r="OGH2" s="133" t="s">
        <v>11453</v>
      </c>
      <c r="OGI2" s="133" t="s">
        <v>11454</v>
      </c>
      <c r="OGJ2" s="133" t="s">
        <v>11455</v>
      </c>
      <c r="OGK2" s="133" t="s">
        <v>11456</v>
      </c>
      <c r="OGL2" s="133" t="s">
        <v>11457</v>
      </c>
      <c r="OGM2" s="133" t="s">
        <v>11458</v>
      </c>
      <c r="OGN2" s="133" t="s">
        <v>11459</v>
      </c>
      <c r="OGO2" s="133" t="s">
        <v>11460</v>
      </c>
      <c r="OGP2" s="133" t="s">
        <v>11461</v>
      </c>
      <c r="OGQ2" s="133" t="s">
        <v>11462</v>
      </c>
      <c r="OGR2" s="133" t="s">
        <v>11463</v>
      </c>
      <c r="OGS2" s="133" t="s">
        <v>11464</v>
      </c>
      <c r="OGT2" s="133" t="s">
        <v>11465</v>
      </c>
      <c r="OGU2" s="133" t="s">
        <v>11466</v>
      </c>
      <c r="OGV2" s="133" t="s">
        <v>11467</v>
      </c>
      <c r="OGW2" s="133" t="s">
        <v>11468</v>
      </c>
      <c r="OGX2" s="133" t="s">
        <v>11469</v>
      </c>
      <c r="OGY2" s="133" t="s">
        <v>11470</v>
      </c>
      <c r="OGZ2" s="133" t="s">
        <v>11471</v>
      </c>
      <c r="OHA2" s="133" t="s">
        <v>11472</v>
      </c>
      <c r="OHB2" s="133" t="s">
        <v>11473</v>
      </c>
      <c r="OHC2" s="133" t="s">
        <v>11474</v>
      </c>
      <c r="OHD2" s="133" t="s">
        <v>11475</v>
      </c>
      <c r="OHE2" s="133" t="s">
        <v>11476</v>
      </c>
      <c r="OHF2" s="133" t="s">
        <v>11477</v>
      </c>
      <c r="OHG2" s="133" t="s">
        <v>11478</v>
      </c>
      <c r="OHH2" s="133" t="s">
        <v>11479</v>
      </c>
      <c r="OHI2" s="133" t="s">
        <v>11480</v>
      </c>
      <c r="OHJ2" s="133" t="s">
        <v>11481</v>
      </c>
      <c r="OHK2" s="133" t="s">
        <v>11482</v>
      </c>
      <c r="OHL2" s="133" t="s">
        <v>11483</v>
      </c>
      <c r="OHM2" s="133" t="s">
        <v>11484</v>
      </c>
      <c r="OHN2" s="133" t="s">
        <v>11485</v>
      </c>
      <c r="OHO2" s="133" t="s">
        <v>11486</v>
      </c>
      <c r="OHP2" s="133" t="s">
        <v>11487</v>
      </c>
      <c r="OHQ2" s="133" t="s">
        <v>11488</v>
      </c>
      <c r="OHR2" s="133" t="s">
        <v>11489</v>
      </c>
      <c r="OHS2" s="133" t="s">
        <v>11490</v>
      </c>
      <c r="OHT2" s="133" t="s">
        <v>11491</v>
      </c>
      <c r="OHU2" s="133" t="s">
        <v>11492</v>
      </c>
      <c r="OHV2" s="133" t="s">
        <v>11493</v>
      </c>
      <c r="OHW2" s="133" t="s">
        <v>11494</v>
      </c>
      <c r="OHX2" s="133" t="s">
        <v>11495</v>
      </c>
      <c r="OHY2" s="133" t="s">
        <v>11496</v>
      </c>
      <c r="OHZ2" s="133" t="s">
        <v>11497</v>
      </c>
      <c r="OIA2" s="133" t="s">
        <v>11498</v>
      </c>
      <c r="OIB2" s="133" t="s">
        <v>11499</v>
      </c>
      <c r="OIC2" s="133" t="s">
        <v>11500</v>
      </c>
      <c r="OID2" s="133" t="s">
        <v>11501</v>
      </c>
      <c r="OIE2" s="133" t="s">
        <v>11502</v>
      </c>
      <c r="OIF2" s="133" t="s">
        <v>11503</v>
      </c>
      <c r="OIG2" s="133" t="s">
        <v>11504</v>
      </c>
      <c r="OIH2" s="133" t="s">
        <v>11505</v>
      </c>
      <c r="OII2" s="133" t="s">
        <v>11506</v>
      </c>
      <c r="OIJ2" s="133" t="s">
        <v>11507</v>
      </c>
      <c r="OIK2" s="133" t="s">
        <v>11508</v>
      </c>
      <c r="OIL2" s="133" t="s">
        <v>11509</v>
      </c>
      <c r="OIM2" s="133" t="s">
        <v>11510</v>
      </c>
      <c r="OIN2" s="133" t="s">
        <v>11511</v>
      </c>
      <c r="OIO2" s="133" t="s">
        <v>11512</v>
      </c>
      <c r="OIP2" s="133" t="s">
        <v>11513</v>
      </c>
      <c r="OIQ2" s="133" t="s">
        <v>11514</v>
      </c>
      <c r="OIR2" s="133" t="s">
        <v>11515</v>
      </c>
      <c r="OIS2" s="133" t="s">
        <v>11516</v>
      </c>
      <c r="OIT2" s="133" t="s">
        <v>11517</v>
      </c>
      <c r="OIU2" s="133" t="s">
        <v>11518</v>
      </c>
      <c r="OIV2" s="133" t="s">
        <v>11519</v>
      </c>
      <c r="OIW2" s="133" t="s">
        <v>11520</v>
      </c>
      <c r="OIX2" s="133" t="s">
        <v>11521</v>
      </c>
      <c r="OIY2" s="133" t="s">
        <v>11522</v>
      </c>
      <c r="OIZ2" s="133" t="s">
        <v>11523</v>
      </c>
      <c r="OJA2" s="133" t="s">
        <v>11524</v>
      </c>
      <c r="OJB2" s="133" t="s">
        <v>11525</v>
      </c>
      <c r="OJC2" s="133" t="s">
        <v>11526</v>
      </c>
      <c r="OJD2" s="133" t="s">
        <v>11527</v>
      </c>
      <c r="OJE2" s="133" t="s">
        <v>11528</v>
      </c>
      <c r="OJF2" s="133" t="s">
        <v>11529</v>
      </c>
      <c r="OJG2" s="133" t="s">
        <v>11530</v>
      </c>
      <c r="OJH2" s="133" t="s">
        <v>11531</v>
      </c>
      <c r="OJI2" s="133" t="s">
        <v>11532</v>
      </c>
      <c r="OJJ2" s="133" t="s">
        <v>11533</v>
      </c>
      <c r="OJK2" s="133" t="s">
        <v>11534</v>
      </c>
      <c r="OJL2" s="133" t="s">
        <v>11535</v>
      </c>
      <c r="OJM2" s="133" t="s">
        <v>11536</v>
      </c>
      <c r="OJN2" s="133" t="s">
        <v>11537</v>
      </c>
      <c r="OJO2" s="133" t="s">
        <v>11538</v>
      </c>
      <c r="OJP2" s="133" t="s">
        <v>11539</v>
      </c>
      <c r="OJQ2" s="133" t="s">
        <v>11540</v>
      </c>
      <c r="OJR2" s="133" t="s">
        <v>11541</v>
      </c>
      <c r="OJS2" s="133" t="s">
        <v>11542</v>
      </c>
      <c r="OJT2" s="133" t="s">
        <v>11543</v>
      </c>
      <c r="OJU2" s="133" t="s">
        <v>11544</v>
      </c>
      <c r="OJV2" s="133" t="s">
        <v>11545</v>
      </c>
      <c r="OJW2" s="133" t="s">
        <v>11546</v>
      </c>
      <c r="OJX2" s="133" t="s">
        <v>11547</v>
      </c>
      <c r="OJY2" s="133" t="s">
        <v>11548</v>
      </c>
      <c r="OJZ2" s="133" t="s">
        <v>11549</v>
      </c>
      <c r="OKA2" s="133" t="s">
        <v>11550</v>
      </c>
      <c r="OKB2" s="133" t="s">
        <v>11551</v>
      </c>
      <c r="OKC2" s="133" t="s">
        <v>11552</v>
      </c>
      <c r="OKD2" s="133" t="s">
        <v>11553</v>
      </c>
      <c r="OKE2" s="133" t="s">
        <v>11554</v>
      </c>
      <c r="OKF2" s="133" t="s">
        <v>11555</v>
      </c>
      <c r="OKG2" s="133" t="s">
        <v>11556</v>
      </c>
      <c r="OKH2" s="133" t="s">
        <v>11557</v>
      </c>
      <c r="OKI2" s="133" t="s">
        <v>11558</v>
      </c>
      <c r="OKJ2" s="133" t="s">
        <v>11559</v>
      </c>
      <c r="OKK2" s="133" t="s">
        <v>11560</v>
      </c>
      <c r="OKL2" s="133" t="s">
        <v>11561</v>
      </c>
      <c r="OKM2" s="133" t="s">
        <v>11562</v>
      </c>
      <c r="OKN2" s="133" t="s">
        <v>11563</v>
      </c>
      <c r="OKO2" s="133" t="s">
        <v>11564</v>
      </c>
      <c r="OKP2" s="133" t="s">
        <v>11565</v>
      </c>
      <c r="OKQ2" s="133" t="s">
        <v>11566</v>
      </c>
      <c r="OKR2" s="133" t="s">
        <v>11567</v>
      </c>
      <c r="OKS2" s="133" t="s">
        <v>11568</v>
      </c>
      <c r="OKT2" s="133" t="s">
        <v>11569</v>
      </c>
      <c r="OKU2" s="133" t="s">
        <v>11570</v>
      </c>
      <c r="OKV2" s="133" t="s">
        <v>11571</v>
      </c>
      <c r="OKW2" s="133" t="s">
        <v>11572</v>
      </c>
      <c r="OKX2" s="133" t="s">
        <v>11573</v>
      </c>
      <c r="OKY2" s="133" t="s">
        <v>11574</v>
      </c>
      <c r="OKZ2" s="133" t="s">
        <v>11575</v>
      </c>
      <c r="OLA2" s="133" t="s">
        <v>11576</v>
      </c>
      <c r="OLB2" s="133" t="s">
        <v>11577</v>
      </c>
      <c r="OLC2" s="133" t="s">
        <v>11578</v>
      </c>
      <c r="OLD2" s="133" t="s">
        <v>11579</v>
      </c>
      <c r="OLE2" s="133" t="s">
        <v>11580</v>
      </c>
      <c r="OLF2" s="133" t="s">
        <v>11581</v>
      </c>
      <c r="OLG2" s="133" t="s">
        <v>11582</v>
      </c>
      <c r="OLH2" s="133" t="s">
        <v>11583</v>
      </c>
      <c r="OLI2" s="133" t="s">
        <v>11584</v>
      </c>
      <c r="OLJ2" s="133" t="s">
        <v>11585</v>
      </c>
      <c r="OLK2" s="133" t="s">
        <v>11586</v>
      </c>
      <c r="OLL2" s="133" t="s">
        <v>11587</v>
      </c>
      <c r="OLM2" s="133" t="s">
        <v>11588</v>
      </c>
      <c r="OLN2" s="133" t="s">
        <v>11589</v>
      </c>
      <c r="OLO2" s="133" t="s">
        <v>11590</v>
      </c>
      <c r="OLP2" s="133" t="s">
        <v>11591</v>
      </c>
      <c r="OLQ2" s="133" t="s">
        <v>11592</v>
      </c>
      <c r="OLR2" s="133" t="s">
        <v>11593</v>
      </c>
      <c r="OLS2" s="133" t="s">
        <v>11594</v>
      </c>
      <c r="OLT2" s="133" t="s">
        <v>11595</v>
      </c>
      <c r="OLU2" s="133" t="s">
        <v>11596</v>
      </c>
      <c r="OLV2" s="133" t="s">
        <v>11597</v>
      </c>
      <c r="OLW2" s="133" t="s">
        <v>11598</v>
      </c>
      <c r="OLX2" s="133" t="s">
        <v>11599</v>
      </c>
      <c r="OLY2" s="133" t="s">
        <v>11600</v>
      </c>
      <c r="OLZ2" s="133" t="s">
        <v>11601</v>
      </c>
      <c r="OMA2" s="133" t="s">
        <v>11602</v>
      </c>
      <c r="OMB2" s="133" t="s">
        <v>11603</v>
      </c>
      <c r="OMC2" s="133" t="s">
        <v>11604</v>
      </c>
      <c r="OMD2" s="133" t="s">
        <v>11605</v>
      </c>
      <c r="OME2" s="133" t="s">
        <v>11606</v>
      </c>
      <c r="OMF2" s="133" t="s">
        <v>11607</v>
      </c>
      <c r="OMG2" s="133" t="s">
        <v>11608</v>
      </c>
      <c r="OMH2" s="133" t="s">
        <v>11609</v>
      </c>
      <c r="OMI2" s="133" t="s">
        <v>11610</v>
      </c>
      <c r="OMJ2" s="133" t="s">
        <v>11611</v>
      </c>
      <c r="OMK2" s="133" t="s">
        <v>11612</v>
      </c>
      <c r="OML2" s="133" t="s">
        <v>11613</v>
      </c>
      <c r="OMM2" s="133" t="s">
        <v>11614</v>
      </c>
      <c r="OMN2" s="133" t="s">
        <v>11615</v>
      </c>
      <c r="OMO2" s="133" t="s">
        <v>11616</v>
      </c>
      <c r="OMP2" s="133" t="s">
        <v>11617</v>
      </c>
      <c r="OMQ2" s="133" t="s">
        <v>11618</v>
      </c>
      <c r="OMR2" s="133" t="s">
        <v>11619</v>
      </c>
      <c r="OMS2" s="133" t="s">
        <v>11620</v>
      </c>
      <c r="OMT2" s="133" t="s">
        <v>11621</v>
      </c>
      <c r="OMU2" s="133" t="s">
        <v>11622</v>
      </c>
      <c r="OMV2" s="133" t="s">
        <v>11623</v>
      </c>
      <c r="OMW2" s="133" t="s">
        <v>11624</v>
      </c>
      <c r="OMX2" s="133" t="s">
        <v>11625</v>
      </c>
      <c r="OMY2" s="133" t="s">
        <v>11626</v>
      </c>
      <c r="OMZ2" s="133" t="s">
        <v>11627</v>
      </c>
      <c r="ONA2" s="133" t="s">
        <v>11628</v>
      </c>
      <c r="ONB2" s="133" t="s">
        <v>11629</v>
      </c>
      <c r="ONC2" s="133" t="s">
        <v>11630</v>
      </c>
      <c r="OND2" s="133" t="s">
        <v>11631</v>
      </c>
      <c r="ONE2" s="133" t="s">
        <v>11632</v>
      </c>
      <c r="ONF2" s="133" t="s">
        <v>11633</v>
      </c>
      <c r="ONG2" s="133" t="s">
        <v>11634</v>
      </c>
      <c r="ONH2" s="133" t="s">
        <v>11635</v>
      </c>
      <c r="ONI2" s="133" t="s">
        <v>11636</v>
      </c>
      <c r="ONJ2" s="133" t="s">
        <v>11637</v>
      </c>
      <c r="ONK2" s="133" t="s">
        <v>11638</v>
      </c>
      <c r="ONL2" s="133" t="s">
        <v>11639</v>
      </c>
      <c r="ONM2" s="133" t="s">
        <v>11640</v>
      </c>
      <c r="ONN2" s="133" t="s">
        <v>11641</v>
      </c>
      <c r="ONO2" s="133" t="s">
        <v>11642</v>
      </c>
      <c r="ONP2" s="133" t="s">
        <v>11643</v>
      </c>
      <c r="ONQ2" s="133" t="s">
        <v>11644</v>
      </c>
      <c r="ONR2" s="133" t="s">
        <v>11645</v>
      </c>
      <c r="ONS2" s="133" t="s">
        <v>11646</v>
      </c>
      <c r="ONT2" s="133" t="s">
        <v>11647</v>
      </c>
      <c r="ONU2" s="133" t="s">
        <v>11648</v>
      </c>
      <c r="ONV2" s="133" t="s">
        <v>11649</v>
      </c>
      <c r="ONW2" s="133" t="s">
        <v>11650</v>
      </c>
      <c r="ONX2" s="133" t="s">
        <v>11651</v>
      </c>
      <c r="ONY2" s="133" t="s">
        <v>11652</v>
      </c>
      <c r="ONZ2" s="133" t="s">
        <v>11653</v>
      </c>
      <c r="OOA2" s="133" t="s">
        <v>11654</v>
      </c>
      <c r="OOB2" s="133" t="s">
        <v>11655</v>
      </c>
      <c r="OOC2" s="133" t="s">
        <v>11656</v>
      </c>
      <c r="OOD2" s="133" t="s">
        <v>11657</v>
      </c>
      <c r="OOE2" s="133" t="s">
        <v>11658</v>
      </c>
      <c r="OOF2" s="133" t="s">
        <v>11659</v>
      </c>
      <c r="OOG2" s="133" t="s">
        <v>11660</v>
      </c>
      <c r="OOH2" s="133" t="s">
        <v>11661</v>
      </c>
      <c r="OOI2" s="133" t="s">
        <v>11662</v>
      </c>
      <c r="OOJ2" s="133" t="s">
        <v>11663</v>
      </c>
      <c r="OOK2" s="133" t="s">
        <v>11664</v>
      </c>
      <c r="OOL2" s="133" t="s">
        <v>11665</v>
      </c>
      <c r="OOM2" s="133" t="s">
        <v>11666</v>
      </c>
      <c r="OON2" s="133" t="s">
        <v>11667</v>
      </c>
      <c r="OOO2" s="133" t="s">
        <v>11668</v>
      </c>
      <c r="OOP2" s="133" t="s">
        <v>11669</v>
      </c>
      <c r="OOQ2" s="133" t="s">
        <v>11670</v>
      </c>
      <c r="OOR2" s="133" t="s">
        <v>11671</v>
      </c>
      <c r="OOS2" s="133" t="s">
        <v>11672</v>
      </c>
      <c r="OOT2" s="133" t="s">
        <v>11673</v>
      </c>
      <c r="OOU2" s="133" t="s">
        <v>11674</v>
      </c>
      <c r="OOV2" s="133" t="s">
        <v>11675</v>
      </c>
      <c r="OOW2" s="133" t="s">
        <v>11676</v>
      </c>
      <c r="OOX2" s="133" t="s">
        <v>11677</v>
      </c>
      <c r="OOY2" s="133" t="s">
        <v>11678</v>
      </c>
      <c r="OOZ2" s="133" t="s">
        <v>11679</v>
      </c>
      <c r="OPA2" s="133" t="s">
        <v>11680</v>
      </c>
      <c r="OPB2" s="133" t="s">
        <v>11681</v>
      </c>
      <c r="OPC2" s="133" t="s">
        <v>11682</v>
      </c>
      <c r="OPD2" s="133" t="s">
        <v>11683</v>
      </c>
      <c r="OPE2" s="133" t="s">
        <v>11684</v>
      </c>
      <c r="OPF2" s="133" t="s">
        <v>11685</v>
      </c>
      <c r="OPG2" s="133" t="s">
        <v>11686</v>
      </c>
      <c r="OPH2" s="133" t="s">
        <v>11687</v>
      </c>
      <c r="OPI2" s="133" t="s">
        <v>11688</v>
      </c>
      <c r="OPJ2" s="133" t="s">
        <v>11689</v>
      </c>
      <c r="OPK2" s="133" t="s">
        <v>11690</v>
      </c>
      <c r="OPL2" s="133" t="s">
        <v>11691</v>
      </c>
      <c r="OPM2" s="133" t="s">
        <v>11692</v>
      </c>
      <c r="OPN2" s="133" t="s">
        <v>11693</v>
      </c>
      <c r="OPO2" s="133" t="s">
        <v>11694</v>
      </c>
      <c r="OPP2" s="133" t="s">
        <v>11695</v>
      </c>
      <c r="OPQ2" s="133" t="s">
        <v>11696</v>
      </c>
      <c r="OPR2" s="133" t="s">
        <v>11697</v>
      </c>
      <c r="OPS2" s="133" t="s">
        <v>11698</v>
      </c>
      <c r="OPT2" s="133" t="s">
        <v>11699</v>
      </c>
      <c r="OPU2" s="133" t="s">
        <v>11700</v>
      </c>
      <c r="OPV2" s="133" t="s">
        <v>11701</v>
      </c>
      <c r="OPW2" s="133" t="s">
        <v>11702</v>
      </c>
      <c r="OPX2" s="133" t="s">
        <v>11703</v>
      </c>
      <c r="OPY2" s="133" t="s">
        <v>11704</v>
      </c>
      <c r="OPZ2" s="133" t="s">
        <v>11705</v>
      </c>
      <c r="OQA2" s="133" t="s">
        <v>11706</v>
      </c>
      <c r="OQB2" s="133" t="s">
        <v>11707</v>
      </c>
      <c r="OQC2" s="133" t="s">
        <v>11708</v>
      </c>
      <c r="OQD2" s="133" t="s">
        <v>11709</v>
      </c>
      <c r="OQE2" s="133" t="s">
        <v>11710</v>
      </c>
      <c r="OQF2" s="133" t="s">
        <v>11711</v>
      </c>
      <c r="OQG2" s="133" t="s">
        <v>11712</v>
      </c>
      <c r="OQH2" s="133" t="s">
        <v>11713</v>
      </c>
      <c r="OQI2" s="133" t="s">
        <v>11714</v>
      </c>
      <c r="OQJ2" s="133" t="s">
        <v>11715</v>
      </c>
      <c r="OQK2" s="133" t="s">
        <v>11716</v>
      </c>
      <c r="OQL2" s="133" t="s">
        <v>11717</v>
      </c>
      <c r="OQM2" s="133" t="s">
        <v>11718</v>
      </c>
      <c r="OQN2" s="133" t="s">
        <v>11719</v>
      </c>
      <c r="OQO2" s="133" t="s">
        <v>11720</v>
      </c>
      <c r="OQP2" s="133" t="s">
        <v>11721</v>
      </c>
      <c r="OQQ2" s="133" t="s">
        <v>11722</v>
      </c>
      <c r="OQR2" s="133" t="s">
        <v>11723</v>
      </c>
      <c r="OQS2" s="133" t="s">
        <v>11724</v>
      </c>
      <c r="OQT2" s="133" t="s">
        <v>11725</v>
      </c>
      <c r="OQU2" s="133" t="s">
        <v>11726</v>
      </c>
      <c r="OQV2" s="133" t="s">
        <v>11727</v>
      </c>
      <c r="OQW2" s="133" t="s">
        <v>11728</v>
      </c>
      <c r="OQX2" s="133" t="s">
        <v>11729</v>
      </c>
      <c r="OQY2" s="133" t="s">
        <v>11730</v>
      </c>
      <c r="OQZ2" s="133" t="s">
        <v>11731</v>
      </c>
      <c r="ORA2" s="133" t="s">
        <v>11732</v>
      </c>
      <c r="ORB2" s="133" t="s">
        <v>11733</v>
      </c>
      <c r="ORC2" s="133" t="s">
        <v>11734</v>
      </c>
      <c r="ORD2" s="133" t="s">
        <v>11735</v>
      </c>
      <c r="ORE2" s="133" t="s">
        <v>11736</v>
      </c>
      <c r="ORF2" s="133" t="s">
        <v>11737</v>
      </c>
      <c r="ORG2" s="133" t="s">
        <v>11738</v>
      </c>
      <c r="ORH2" s="133" t="s">
        <v>11739</v>
      </c>
      <c r="ORI2" s="133" t="s">
        <v>11740</v>
      </c>
      <c r="ORJ2" s="133" t="s">
        <v>11741</v>
      </c>
      <c r="ORK2" s="133" t="s">
        <v>11742</v>
      </c>
      <c r="ORL2" s="133" t="s">
        <v>11743</v>
      </c>
      <c r="ORM2" s="133" t="s">
        <v>11744</v>
      </c>
      <c r="ORN2" s="133" t="s">
        <v>11745</v>
      </c>
      <c r="ORO2" s="133" t="s">
        <v>11746</v>
      </c>
      <c r="ORP2" s="133" t="s">
        <v>11747</v>
      </c>
      <c r="ORQ2" s="133" t="s">
        <v>11748</v>
      </c>
      <c r="ORR2" s="133" t="s">
        <v>11749</v>
      </c>
      <c r="ORS2" s="133" t="s">
        <v>11750</v>
      </c>
      <c r="ORT2" s="133" t="s">
        <v>11751</v>
      </c>
      <c r="ORU2" s="133" t="s">
        <v>11752</v>
      </c>
      <c r="ORV2" s="133" t="s">
        <v>11753</v>
      </c>
      <c r="ORW2" s="133" t="s">
        <v>11754</v>
      </c>
      <c r="ORX2" s="133" t="s">
        <v>11755</v>
      </c>
      <c r="ORY2" s="133" t="s">
        <v>11756</v>
      </c>
      <c r="ORZ2" s="133" t="s">
        <v>11757</v>
      </c>
      <c r="OSA2" s="133" t="s">
        <v>11758</v>
      </c>
      <c r="OSB2" s="133" t="s">
        <v>11759</v>
      </c>
      <c r="OSC2" s="133" t="s">
        <v>11760</v>
      </c>
      <c r="OSD2" s="133" t="s">
        <v>11761</v>
      </c>
      <c r="OSE2" s="133" t="s">
        <v>11762</v>
      </c>
      <c r="OSF2" s="133" t="s">
        <v>11763</v>
      </c>
      <c r="OSG2" s="133" t="s">
        <v>11764</v>
      </c>
      <c r="OSH2" s="133" t="s">
        <v>11765</v>
      </c>
      <c r="OSI2" s="133" t="s">
        <v>11766</v>
      </c>
      <c r="OSJ2" s="133" t="s">
        <v>11767</v>
      </c>
      <c r="OSK2" s="133" t="s">
        <v>11768</v>
      </c>
      <c r="OSL2" s="133" t="s">
        <v>11769</v>
      </c>
      <c r="OSM2" s="133" t="s">
        <v>11770</v>
      </c>
      <c r="OSN2" s="133" t="s">
        <v>11771</v>
      </c>
      <c r="OSO2" s="133" t="s">
        <v>11772</v>
      </c>
      <c r="OSP2" s="133" t="s">
        <v>11773</v>
      </c>
      <c r="OSQ2" s="133" t="s">
        <v>11774</v>
      </c>
      <c r="OSR2" s="133" t="s">
        <v>11775</v>
      </c>
      <c r="OSS2" s="133" t="s">
        <v>11776</v>
      </c>
      <c r="OST2" s="133" t="s">
        <v>11777</v>
      </c>
      <c r="OSU2" s="133" t="s">
        <v>11778</v>
      </c>
      <c r="OSV2" s="133" t="s">
        <v>11779</v>
      </c>
      <c r="OSW2" s="133" t="s">
        <v>11780</v>
      </c>
      <c r="OSX2" s="133" t="s">
        <v>11781</v>
      </c>
      <c r="OSY2" s="133" t="s">
        <v>11782</v>
      </c>
      <c r="OSZ2" s="133" t="s">
        <v>11783</v>
      </c>
      <c r="OTA2" s="133" t="s">
        <v>11784</v>
      </c>
      <c r="OTB2" s="133" t="s">
        <v>11785</v>
      </c>
      <c r="OTC2" s="133" t="s">
        <v>11786</v>
      </c>
      <c r="OTD2" s="133" t="s">
        <v>11787</v>
      </c>
      <c r="OTE2" s="133" t="s">
        <v>11788</v>
      </c>
      <c r="OTF2" s="133" t="s">
        <v>11789</v>
      </c>
      <c r="OTG2" s="133" t="s">
        <v>11790</v>
      </c>
      <c r="OTH2" s="133" t="s">
        <v>11791</v>
      </c>
      <c r="OTI2" s="133" t="s">
        <v>11792</v>
      </c>
      <c r="OTJ2" s="133" t="s">
        <v>11793</v>
      </c>
      <c r="OTK2" s="133" t="s">
        <v>11794</v>
      </c>
      <c r="OTL2" s="133" t="s">
        <v>11795</v>
      </c>
      <c r="OTM2" s="133" t="s">
        <v>11796</v>
      </c>
      <c r="OTN2" s="133" t="s">
        <v>11797</v>
      </c>
      <c r="OTO2" s="133" t="s">
        <v>11798</v>
      </c>
      <c r="OTP2" s="133" t="s">
        <v>11799</v>
      </c>
      <c r="OTQ2" s="133" t="s">
        <v>11800</v>
      </c>
      <c r="OTR2" s="133" t="s">
        <v>11801</v>
      </c>
      <c r="OTS2" s="133" t="s">
        <v>11802</v>
      </c>
      <c r="OTT2" s="133" t="s">
        <v>11803</v>
      </c>
      <c r="OTU2" s="133" t="s">
        <v>11804</v>
      </c>
      <c r="OTV2" s="133" t="s">
        <v>11805</v>
      </c>
      <c r="OTW2" s="133" t="s">
        <v>11806</v>
      </c>
      <c r="OTX2" s="133" t="s">
        <v>11807</v>
      </c>
      <c r="OTY2" s="133" t="s">
        <v>11808</v>
      </c>
      <c r="OTZ2" s="133" t="s">
        <v>11809</v>
      </c>
      <c r="OUA2" s="133" t="s">
        <v>11810</v>
      </c>
      <c r="OUB2" s="133" t="s">
        <v>11811</v>
      </c>
      <c r="OUC2" s="133" t="s">
        <v>11812</v>
      </c>
      <c r="OUD2" s="133" t="s">
        <v>11813</v>
      </c>
      <c r="OUE2" s="133" t="s">
        <v>11814</v>
      </c>
      <c r="OUF2" s="133" t="s">
        <v>11815</v>
      </c>
      <c r="OUG2" s="133" t="s">
        <v>11816</v>
      </c>
      <c r="OUH2" s="133" t="s">
        <v>11817</v>
      </c>
      <c r="OUI2" s="133" t="s">
        <v>11818</v>
      </c>
      <c r="OUJ2" s="133" t="s">
        <v>11819</v>
      </c>
      <c r="OUK2" s="133" t="s">
        <v>11820</v>
      </c>
      <c r="OUL2" s="133" t="s">
        <v>11821</v>
      </c>
      <c r="OUM2" s="133" t="s">
        <v>11822</v>
      </c>
      <c r="OUN2" s="133" t="s">
        <v>11823</v>
      </c>
      <c r="OUO2" s="133" t="s">
        <v>11824</v>
      </c>
      <c r="OUP2" s="133" t="s">
        <v>11825</v>
      </c>
      <c r="OUQ2" s="133" t="s">
        <v>11826</v>
      </c>
      <c r="OUR2" s="133" t="s">
        <v>11827</v>
      </c>
      <c r="OUS2" s="133" t="s">
        <v>11828</v>
      </c>
      <c r="OUT2" s="133" t="s">
        <v>11829</v>
      </c>
      <c r="OUU2" s="133" t="s">
        <v>11830</v>
      </c>
      <c r="OUV2" s="133" t="s">
        <v>11831</v>
      </c>
      <c r="OUW2" s="133" t="s">
        <v>11832</v>
      </c>
      <c r="OUX2" s="133" t="s">
        <v>11833</v>
      </c>
      <c r="OUY2" s="133" t="s">
        <v>11834</v>
      </c>
      <c r="OUZ2" s="133" t="s">
        <v>11835</v>
      </c>
      <c r="OVA2" s="133" t="s">
        <v>11836</v>
      </c>
      <c r="OVB2" s="133" t="s">
        <v>11837</v>
      </c>
      <c r="OVC2" s="133" t="s">
        <v>11838</v>
      </c>
      <c r="OVD2" s="133" t="s">
        <v>11839</v>
      </c>
      <c r="OVE2" s="133" t="s">
        <v>11840</v>
      </c>
      <c r="OVF2" s="133" t="s">
        <v>11841</v>
      </c>
      <c r="OVG2" s="133" t="s">
        <v>11842</v>
      </c>
      <c r="OVH2" s="133" t="s">
        <v>11843</v>
      </c>
      <c r="OVI2" s="133" t="s">
        <v>11844</v>
      </c>
      <c r="OVJ2" s="133" t="s">
        <v>11845</v>
      </c>
      <c r="OVK2" s="133" t="s">
        <v>11846</v>
      </c>
      <c r="OVL2" s="133" t="s">
        <v>11847</v>
      </c>
      <c r="OVM2" s="133" t="s">
        <v>11848</v>
      </c>
      <c r="OVN2" s="133" t="s">
        <v>11849</v>
      </c>
      <c r="OVO2" s="133" t="s">
        <v>11850</v>
      </c>
      <c r="OVP2" s="133" t="s">
        <v>11851</v>
      </c>
      <c r="OVQ2" s="133" t="s">
        <v>11852</v>
      </c>
      <c r="OVR2" s="133" t="s">
        <v>11853</v>
      </c>
      <c r="OVS2" s="133" t="s">
        <v>11854</v>
      </c>
      <c r="OVT2" s="133" t="s">
        <v>11855</v>
      </c>
      <c r="OVU2" s="133" t="s">
        <v>11856</v>
      </c>
      <c r="OVV2" s="133" t="s">
        <v>11857</v>
      </c>
      <c r="OVW2" s="133" t="s">
        <v>11858</v>
      </c>
      <c r="OVX2" s="133" t="s">
        <v>11859</v>
      </c>
      <c r="OVY2" s="133" t="s">
        <v>11860</v>
      </c>
      <c r="OVZ2" s="133" t="s">
        <v>11861</v>
      </c>
      <c r="OWA2" s="133" t="s">
        <v>11862</v>
      </c>
      <c r="OWB2" s="133" t="s">
        <v>11863</v>
      </c>
      <c r="OWC2" s="133" t="s">
        <v>11864</v>
      </c>
      <c r="OWD2" s="133" t="s">
        <v>11865</v>
      </c>
      <c r="OWE2" s="133" t="s">
        <v>11866</v>
      </c>
      <c r="OWF2" s="133" t="s">
        <v>11867</v>
      </c>
      <c r="OWG2" s="133" t="s">
        <v>11868</v>
      </c>
      <c r="OWH2" s="133" t="s">
        <v>11869</v>
      </c>
      <c r="OWI2" s="133" t="s">
        <v>11870</v>
      </c>
      <c r="OWJ2" s="133" t="s">
        <v>11871</v>
      </c>
      <c r="OWK2" s="133" t="s">
        <v>11872</v>
      </c>
      <c r="OWL2" s="133" t="s">
        <v>11873</v>
      </c>
      <c r="OWM2" s="133" t="s">
        <v>11874</v>
      </c>
      <c r="OWN2" s="133" t="s">
        <v>11875</v>
      </c>
      <c r="OWO2" s="133" t="s">
        <v>11876</v>
      </c>
      <c r="OWP2" s="133" t="s">
        <v>11877</v>
      </c>
      <c r="OWQ2" s="133" t="s">
        <v>11878</v>
      </c>
      <c r="OWR2" s="133" t="s">
        <v>11879</v>
      </c>
      <c r="OWS2" s="133" t="s">
        <v>11880</v>
      </c>
      <c r="OWT2" s="133" t="s">
        <v>11881</v>
      </c>
      <c r="OWU2" s="133" t="s">
        <v>11882</v>
      </c>
      <c r="OWV2" s="133" t="s">
        <v>11883</v>
      </c>
      <c r="OWW2" s="133" t="s">
        <v>11884</v>
      </c>
      <c r="OWX2" s="133" t="s">
        <v>11885</v>
      </c>
      <c r="OWY2" s="133" t="s">
        <v>11886</v>
      </c>
      <c r="OWZ2" s="133" t="s">
        <v>11887</v>
      </c>
      <c r="OXA2" s="133" t="s">
        <v>11888</v>
      </c>
      <c r="OXB2" s="133" t="s">
        <v>11889</v>
      </c>
      <c r="OXC2" s="133" t="s">
        <v>11890</v>
      </c>
      <c r="OXD2" s="133" t="s">
        <v>11891</v>
      </c>
      <c r="OXE2" s="133" t="s">
        <v>11892</v>
      </c>
      <c r="OXF2" s="133" t="s">
        <v>11893</v>
      </c>
      <c r="OXG2" s="133" t="s">
        <v>11894</v>
      </c>
      <c r="OXH2" s="133" t="s">
        <v>11895</v>
      </c>
      <c r="OXI2" s="133" t="s">
        <v>11896</v>
      </c>
      <c r="OXJ2" s="133" t="s">
        <v>11897</v>
      </c>
      <c r="OXK2" s="133" t="s">
        <v>11898</v>
      </c>
      <c r="OXL2" s="133" t="s">
        <v>11899</v>
      </c>
      <c r="OXM2" s="133" t="s">
        <v>11900</v>
      </c>
      <c r="OXN2" s="133" t="s">
        <v>11901</v>
      </c>
      <c r="OXO2" s="133" t="s">
        <v>11902</v>
      </c>
      <c r="OXP2" s="133" t="s">
        <v>11903</v>
      </c>
      <c r="OXQ2" s="133" t="s">
        <v>11904</v>
      </c>
      <c r="OXR2" s="133" t="s">
        <v>11905</v>
      </c>
      <c r="OXS2" s="133" t="s">
        <v>11906</v>
      </c>
      <c r="OXT2" s="133" t="s">
        <v>11907</v>
      </c>
      <c r="OXU2" s="133" t="s">
        <v>11908</v>
      </c>
      <c r="OXV2" s="133" t="s">
        <v>11909</v>
      </c>
      <c r="OXW2" s="133" t="s">
        <v>11910</v>
      </c>
      <c r="OXX2" s="133" t="s">
        <v>11911</v>
      </c>
      <c r="OXY2" s="133" t="s">
        <v>11912</v>
      </c>
      <c r="OXZ2" s="133" t="s">
        <v>11913</v>
      </c>
      <c r="OYA2" s="133" t="s">
        <v>11914</v>
      </c>
      <c r="OYB2" s="133" t="s">
        <v>11915</v>
      </c>
      <c r="OYC2" s="133" t="s">
        <v>11916</v>
      </c>
      <c r="OYD2" s="133" t="s">
        <v>11917</v>
      </c>
      <c r="OYE2" s="133" t="s">
        <v>11918</v>
      </c>
      <c r="OYF2" s="133" t="s">
        <v>11919</v>
      </c>
      <c r="OYG2" s="133" t="s">
        <v>11920</v>
      </c>
      <c r="OYH2" s="133" t="s">
        <v>11921</v>
      </c>
      <c r="OYI2" s="133" t="s">
        <v>11922</v>
      </c>
      <c r="OYJ2" s="133" t="s">
        <v>11923</v>
      </c>
      <c r="OYK2" s="133" t="s">
        <v>11924</v>
      </c>
      <c r="OYL2" s="133" t="s">
        <v>11925</v>
      </c>
      <c r="OYM2" s="133" t="s">
        <v>11926</v>
      </c>
      <c r="OYN2" s="133" t="s">
        <v>11927</v>
      </c>
      <c r="OYO2" s="133" t="s">
        <v>11928</v>
      </c>
      <c r="OYP2" s="133" t="s">
        <v>11929</v>
      </c>
      <c r="OYQ2" s="133" t="s">
        <v>11930</v>
      </c>
      <c r="OYR2" s="133" t="s">
        <v>11931</v>
      </c>
      <c r="OYS2" s="133" t="s">
        <v>11932</v>
      </c>
      <c r="OYT2" s="133" t="s">
        <v>11933</v>
      </c>
      <c r="OYU2" s="133" t="s">
        <v>11934</v>
      </c>
      <c r="OYV2" s="133" t="s">
        <v>11935</v>
      </c>
      <c r="OYW2" s="133" t="s">
        <v>11936</v>
      </c>
      <c r="OYX2" s="133" t="s">
        <v>11937</v>
      </c>
      <c r="OYY2" s="133" t="s">
        <v>11938</v>
      </c>
      <c r="OYZ2" s="133" t="s">
        <v>11939</v>
      </c>
      <c r="OZA2" s="133" t="s">
        <v>11940</v>
      </c>
      <c r="OZB2" s="133" t="s">
        <v>11941</v>
      </c>
      <c r="OZC2" s="133" t="s">
        <v>11942</v>
      </c>
      <c r="OZD2" s="133" t="s">
        <v>11943</v>
      </c>
      <c r="OZE2" s="133" t="s">
        <v>11944</v>
      </c>
      <c r="OZF2" s="133" t="s">
        <v>11945</v>
      </c>
      <c r="OZG2" s="133" t="s">
        <v>11946</v>
      </c>
      <c r="OZH2" s="133" t="s">
        <v>11947</v>
      </c>
      <c r="OZI2" s="133" t="s">
        <v>11948</v>
      </c>
      <c r="OZJ2" s="133" t="s">
        <v>11949</v>
      </c>
      <c r="OZK2" s="133" t="s">
        <v>11950</v>
      </c>
      <c r="OZL2" s="133" t="s">
        <v>11951</v>
      </c>
      <c r="OZM2" s="133" t="s">
        <v>11952</v>
      </c>
      <c r="OZN2" s="133" t="s">
        <v>11953</v>
      </c>
      <c r="OZO2" s="133" t="s">
        <v>11954</v>
      </c>
      <c r="OZP2" s="133" t="s">
        <v>11955</v>
      </c>
      <c r="OZQ2" s="133" t="s">
        <v>11956</v>
      </c>
      <c r="OZR2" s="133" t="s">
        <v>11957</v>
      </c>
      <c r="OZS2" s="133" t="s">
        <v>11958</v>
      </c>
      <c r="OZT2" s="133" t="s">
        <v>11959</v>
      </c>
      <c r="OZU2" s="133" t="s">
        <v>11960</v>
      </c>
      <c r="OZV2" s="133" t="s">
        <v>11961</v>
      </c>
      <c r="OZW2" s="133" t="s">
        <v>11962</v>
      </c>
      <c r="OZX2" s="133" t="s">
        <v>11963</v>
      </c>
      <c r="OZY2" s="133" t="s">
        <v>11964</v>
      </c>
      <c r="OZZ2" s="133" t="s">
        <v>11965</v>
      </c>
      <c r="PAA2" s="133" t="s">
        <v>11966</v>
      </c>
      <c r="PAB2" s="133" t="s">
        <v>11967</v>
      </c>
      <c r="PAC2" s="133" t="s">
        <v>11968</v>
      </c>
      <c r="PAD2" s="133" t="s">
        <v>11969</v>
      </c>
      <c r="PAE2" s="133" t="s">
        <v>11970</v>
      </c>
      <c r="PAF2" s="133" t="s">
        <v>11971</v>
      </c>
      <c r="PAG2" s="133" t="s">
        <v>11972</v>
      </c>
      <c r="PAH2" s="133" t="s">
        <v>11973</v>
      </c>
      <c r="PAI2" s="133" t="s">
        <v>11974</v>
      </c>
      <c r="PAJ2" s="133" t="s">
        <v>11975</v>
      </c>
      <c r="PAK2" s="133" t="s">
        <v>11976</v>
      </c>
      <c r="PAL2" s="133" t="s">
        <v>11977</v>
      </c>
      <c r="PAM2" s="133" t="s">
        <v>11978</v>
      </c>
      <c r="PAN2" s="133" t="s">
        <v>11979</v>
      </c>
      <c r="PAO2" s="133" t="s">
        <v>11980</v>
      </c>
      <c r="PAP2" s="133" t="s">
        <v>11981</v>
      </c>
      <c r="PAQ2" s="133" t="s">
        <v>11982</v>
      </c>
      <c r="PAR2" s="133" t="s">
        <v>11983</v>
      </c>
      <c r="PAS2" s="133" t="s">
        <v>11984</v>
      </c>
      <c r="PAT2" s="133" t="s">
        <v>11985</v>
      </c>
      <c r="PAU2" s="133" t="s">
        <v>11986</v>
      </c>
      <c r="PAV2" s="133" t="s">
        <v>11987</v>
      </c>
      <c r="PAW2" s="133" t="s">
        <v>11988</v>
      </c>
      <c r="PAX2" s="133" t="s">
        <v>11989</v>
      </c>
      <c r="PAY2" s="133" t="s">
        <v>11990</v>
      </c>
      <c r="PAZ2" s="133" t="s">
        <v>11991</v>
      </c>
      <c r="PBA2" s="133" t="s">
        <v>11992</v>
      </c>
      <c r="PBB2" s="133" t="s">
        <v>11993</v>
      </c>
      <c r="PBC2" s="133" t="s">
        <v>11994</v>
      </c>
      <c r="PBD2" s="133" t="s">
        <v>11995</v>
      </c>
      <c r="PBE2" s="133" t="s">
        <v>11996</v>
      </c>
      <c r="PBF2" s="133" t="s">
        <v>11997</v>
      </c>
      <c r="PBG2" s="133" t="s">
        <v>11998</v>
      </c>
      <c r="PBH2" s="133" t="s">
        <v>11999</v>
      </c>
      <c r="PBI2" s="133" t="s">
        <v>12000</v>
      </c>
      <c r="PBJ2" s="133" t="s">
        <v>12001</v>
      </c>
      <c r="PBK2" s="133" t="s">
        <v>12002</v>
      </c>
      <c r="PBL2" s="133" t="s">
        <v>12003</v>
      </c>
      <c r="PBM2" s="133" t="s">
        <v>12004</v>
      </c>
      <c r="PBN2" s="133" t="s">
        <v>12005</v>
      </c>
      <c r="PBO2" s="133" t="s">
        <v>12006</v>
      </c>
      <c r="PBP2" s="133" t="s">
        <v>12007</v>
      </c>
      <c r="PBQ2" s="133" t="s">
        <v>12008</v>
      </c>
      <c r="PBR2" s="133" t="s">
        <v>12009</v>
      </c>
      <c r="PBS2" s="133" t="s">
        <v>12010</v>
      </c>
      <c r="PBT2" s="133" t="s">
        <v>12011</v>
      </c>
      <c r="PBU2" s="133" t="s">
        <v>12012</v>
      </c>
      <c r="PBV2" s="133" t="s">
        <v>12013</v>
      </c>
      <c r="PBW2" s="133" t="s">
        <v>12014</v>
      </c>
      <c r="PBX2" s="133" t="s">
        <v>12015</v>
      </c>
      <c r="PBY2" s="133" t="s">
        <v>12016</v>
      </c>
      <c r="PBZ2" s="133" t="s">
        <v>12017</v>
      </c>
      <c r="PCA2" s="133" t="s">
        <v>12018</v>
      </c>
      <c r="PCB2" s="133" t="s">
        <v>12019</v>
      </c>
      <c r="PCC2" s="133" t="s">
        <v>12020</v>
      </c>
      <c r="PCD2" s="133" t="s">
        <v>12021</v>
      </c>
      <c r="PCE2" s="133" t="s">
        <v>12022</v>
      </c>
      <c r="PCF2" s="133" t="s">
        <v>12023</v>
      </c>
      <c r="PCG2" s="133" t="s">
        <v>12024</v>
      </c>
      <c r="PCH2" s="133" t="s">
        <v>12025</v>
      </c>
      <c r="PCI2" s="133" t="s">
        <v>12026</v>
      </c>
      <c r="PCJ2" s="133" t="s">
        <v>12027</v>
      </c>
      <c r="PCK2" s="133" t="s">
        <v>12028</v>
      </c>
      <c r="PCL2" s="133" t="s">
        <v>12029</v>
      </c>
      <c r="PCM2" s="133" t="s">
        <v>12030</v>
      </c>
      <c r="PCN2" s="133" t="s">
        <v>12031</v>
      </c>
      <c r="PCO2" s="133" t="s">
        <v>12032</v>
      </c>
      <c r="PCP2" s="133" t="s">
        <v>12033</v>
      </c>
      <c r="PCQ2" s="133" t="s">
        <v>12034</v>
      </c>
      <c r="PCR2" s="133" t="s">
        <v>12035</v>
      </c>
      <c r="PCS2" s="133" t="s">
        <v>12036</v>
      </c>
      <c r="PCT2" s="133" t="s">
        <v>12037</v>
      </c>
      <c r="PCU2" s="133" t="s">
        <v>12038</v>
      </c>
      <c r="PCV2" s="133" t="s">
        <v>12039</v>
      </c>
      <c r="PCW2" s="133" t="s">
        <v>12040</v>
      </c>
      <c r="PCX2" s="133" t="s">
        <v>12041</v>
      </c>
      <c r="PCY2" s="133" t="s">
        <v>12042</v>
      </c>
      <c r="PCZ2" s="133" t="s">
        <v>12043</v>
      </c>
      <c r="PDA2" s="133" t="s">
        <v>12044</v>
      </c>
      <c r="PDB2" s="133" t="s">
        <v>12045</v>
      </c>
      <c r="PDC2" s="133" t="s">
        <v>12046</v>
      </c>
      <c r="PDD2" s="133" t="s">
        <v>12047</v>
      </c>
      <c r="PDE2" s="133" t="s">
        <v>12048</v>
      </c>
      <c r="PDF2" s="133" t="s">
        <v>12049</v>
      </c>
      <c r="PDG2" s="133" t="s">
        <v>12050</v>
      </c>
      <c r="PDH2" s="133" t="s">
        <v>12051</v>
      </c>
      <c r="PDI2" s="133" t="s">
        <v>12052</v>
      </c>
      <c r="PDJ2" s="133" t="s">
        <v>12053</v>
      </c>
      <c r="PDK2" s="133" t="s">
        <v>12054</v>
      </c>
      <c r="PDL2" s="133" t="s">
        <v>12055</v>
      </c>
      <c r="PDM2" s="133" t="s">
        <v>12056</v>
      </c>
      <c r="PDN2" s="133" t="s">
        <v>12057</v>
      </c>
      <c r="PDO2" s="133" t="s">
        <v>12058</v>
      </c>
      <c r="PDP2" s="133" t="s">
        <v>12059</v>
      </c>
      <c r="PDQ2" s="133" t="s">
        <v>12060</v>
      </c>
      <c r="PDR2" s="133" t="s">
        <v>12061</v>
      </c>
      <c r="PDS2" s="133" t="s">
        <v>12062</v>
      </c>
      <c r="PDT2" s="133" t="s">
        <v>12063</v>
      </c>
      <c r="PDU2" s="133" t="s">
        <v>12064</v>
      </c>
      <c r="PDV2" s="133" t="s">
        <v>12065</v>
      </c>
      <c r="PDW2" s="133" t="s">
        <v>12066</v>
      </c>
      <c r="PDX2" s="133" t="s">
        <v>12067</v>
      </c>
      <c r="PDY2" s="133" t="s">
        <v>12068</v>
      </c>
      <c r="PDZ2" s="133" t="s">
        <v>12069</v>
      </c>
      <c r="PEA2" s="133" t="s">
        <v>12070</v>
      </c>
      <c r="PEB2" s="133" t="s">
        <v>12071</v>
      </c>
      <c r="PEC2" s="133" t="s">
        <v>12072</v>
      </c>
      <c r="PED2" s="133" t="s">
        <v>12073</v>
      </c>
      <c r="PEE2" s="133" t="s">
        <v>12074</v>
      </c>
      <c r="PEF2" s="133" t="s">
        <v>12075</v>
      </c>
      <c r="PEG2" s="133" t="s">
        <v>12076</v>
      </c>
      <c r="PEH2" s="133" t="s">
        <v>12077</v>
      </c>
      <c r="PEI2" s="133" t="s">
        <v>12078</v>
      </c>
      <c r="PEJ2" s="133" t="s">
        <v>12079</v>
      </c>
      <c r="PEK2" s="133" t="s">
        <v>12080</v>
      </c>
      <c r="PEL2" s="133" t="s">
        <v>12081</v>
      </c>
      <c r="PEM2" s="133" t="s">
        <v>12082</v>
      </c>
      <c r="PEN2" s="133" t="s">
        <v>12083</v>
      </c>
      <c r="PEO2" s="133" t="s">
        <v>12084</v>
      </c>
      <c r="PEP2" s="133" t="s">
        <v>12085</v>
      </c>
      <c r="PEQ2" s="133" t="s">
        <v>12086</v>
      </c>
      <c r="PER2" s="133" t="s">
        <v>12087</v>
      </c>
      <c r="PES2" s="133" t="s">
        <v>12088</v>
      </c>
      <c r="PET2" s="133" t="s">
        <v>12089</v>
      </c>
      <c r="PEU2" s="133" t="s">
        <v>12090</v>
      </c>
      <c r="PEV2" s="133" t="s">
        <v>12091</v>
      </c>
      <c r="PEW2" s="133" t="s">
        <v>12092</v>
      </c>
      <c r="PEX2" s="133" t="s">
        <v>12093</v>
      </c>
      <c r="PEY2" s="133" t="s">
        <v>12094</v>
      </c>
      <c r="PEZ2" s="133" t="s">
        <v>12095</v>
      </c>
      <c r="PFA2" s="133" t="s">
        <v>12096</v>
      </c>
      <c r="PFB2" s="133" t="s">
        <v>12097</v>
      </c>
      <c r="PFC2" s="133" t="s">
        <v>12098</v>
      </c>
      <c r="PFD2" s="133" t="s">
        <v>12099</v>
      </c>
      <c r="PFE2" s="133" t="s">
        <v>12100</v>
      </c>
      <c r="PFF2" s="133" t="s">
        <v>12101</v>
      </c>
      <c r="PFG2" s="133" t="s">
        <v>12102</v>
      </c>
      <c r="PFH2" s="133" t="s">
        <v>12103</v>
      </c>
      <c r="PFI2" s="133" t="s">
        <v>12104</v>
      </c>
      <c r="PFJ2" s="133" t="s">
        <v>12105</v>
      </c>
      <c r="PFK2" s="133" t="s">
        <v>12106</v>
      </c>
      <c r="PFL2" s="133" t="s">
        <v>12107</v>
      </c>
      <c r="PFM2" s="133" t="s">
        <v>12108</v>
      </c>
      <c r="PFN2" s="133" t="s">
        <v>12109</v>
      </c>
      <c r="PFO2" s="133" t="s">
        <v>12110</v>
      </c>
      <c r="PFP2" s="133" t="s">
        <v>12111</v>
      </c>
      <c r="PFQ2" s="133" t="s">
        <v>12112</v>
      </c>
      <c r="PFR2" s="133" t="s">
        <v>12113</v>
      </c>
      <c r="PFS2" s="133" t="s">
        <v>12114</v>
      </c>
      <c r="PFT2" s="133" t="s">
        <v>12115</v>
      </c>
      <c r="PFU2" s="133" t="s">
        <v>12116</v>
      </c>
      <c r="PFV2" s="133" t="s">
        <v>12117</v>
      </c>
      <c r="PFW2" s="133" t="s">
        <v>12118</v>
      </c>
      <c r="PFX2" s="133" t="s">
        <v>12119</v>
      </c>
      <c r="PFY2" s="133" t="s">
        <v>12120</v>
      </c>
      <c r="PFZ2" s="133" t="s">
        <v>12121</v>
      </c>
      <c r="PGA2" s="133" t="s">
        <v>12122</v>
      </c>
      <c r="PGB2" s="133" t="s">
        <v>12123</v>
      </c>
      <c r="PGC2" s="133" t="s">
        <v>12124</v>
      </c>
      <c r="PGD2" s="133" t="s">
        <v>12125</v>
      </c>
      <c r="PGE2" s="133" t="s">
        <v>12126</v>
      </c>
      <c r="PGF2" s="133" t="s">
        <v>12127</v>
      </c>
      <c r="PGG2" s="133" t="s">
        <v>12128</v>
      </c>
      <c r="PGH2" s="133" t="s">
        <v>12129</v>
      </c>
      <c r="PGI2" s="133" t="s">
        <v>12130</v>
      </c>
      <c r="PGJ2" s="133" t="s">
        <v>12131</v>
      </c>
      <c r="PGK2" s="133" t="s">
        <v>12132</v>
      </c>
      <c r="PGL2" s="133" t="s">
        <v>12133</v>
      </c>
      <c r="PGM2" s="133" t="s">
        <v>12134</v>
      </c>
      <c r="PGN2" s="133" t="s">
        <v>12135</v>
      </c>
      <c r="PGO2" s="133" t="s">
        <v>12136</v>
      </c>
      <c r="PGP2" s="133" t="s">
        <v>12137</v>
      </c>
      <c r="PGQ2" s="133" t="s">
        <v>12138</v>
      </c>
      <c r="PGR2" s="133" t="s">
        <v>12139</v>
      </c>
      <c r="PGS2" s="133" t="s">
        <v>12140</v>
      </c>
      <c r="PGT2" s="133" t="s">
        <v>12141</v>
      </c>
      <c r="PGU2" s="133" t="s">
        <v>12142</v>
      </c>
      <c r="PGV2" s="133" t="s">
        <v>12143</v>
      </c>
      <c r="PGW2" s="133" t="s">
        <v>12144</v>
      </c>
      <c r="PGX2" s="133" t="s">
        <v>12145</v>
      </c>
      <c r="PGY2" s="133" t="s">
        <v>12146</v>
      </c>
      <c r="PGZ2" s="133" t="s">
        <v>12147</v>
      </c>
      <c r="PHA2" s="133" t="s">
        <v>12148</v>
      </c>
      <c r="PHB2" s="133" t="s">
        <v>12149</v>
      </c>
      <c r="PHC2" s="133" t="s">
        <v>12150</v>
      </c>
      <c r="PHD2" s="133" t="s">
        <v>12151</v>
      </c>
      <c r="PHE2" s="133" t="s">
        <v>12152</v>
      </c>
      <c r="PHF2" s="133" t="s">
        <v>12153</v>
      </c>
      <c r="PHG2" s="133" t="s">
        <v>12154</v>
      </c>
      <c r="PHH2" s="133" t="s">
        <v>12155</v>
      </c>
      <c r="PHI2" s="133" t="s">
        <v>12156</v>
      </c>
      <c r="PHJ2" s="133" t="s">
        <v>12157</v>
      </c>
      <c r="PHK2" s="133" t="s">
        <v>12158</v>
      </c>
      <c r="PHL2" s="133" t="s">
        <v>12159</v>
      </c>
      <c r="PHM2" s="133" t="s">
        <v>12160</v>
      </c>
      <c r="PHN2" s="133" t="s">
        <v>12161</v>
      </c>
      <c r="PHO2" s="133" t="s">
        <v>12162</v>
      </c>
      <c r="PHP2" s="133" t="s">
        <v>12163</v>
      </c>
      <c r="PHQ2" s="133" t="s">
        <v>12164</v>
      </c>
      <c r="PHR2" s="133" t="s">
        <v>12165</v>
      </c>
      <c r="PHS2" s="133" t="s">
        <v>12166</v>
      </c>
      <c r="PHT2" s="133" t="s">
        <v>12167</v>
      </c>
      <c r="PHU2" s="133" t="s">
        <v>12168</v>
      </c>
      <c r="PHV2" s="133" t="s">
        <v>12169</v>
      </c>
      <c r="PHW2" s="133" t="s">
        <v>12170</v>
      </c>
      <c r="PHX2" s="133" t="s">
        <v>12171</v>
      </c>
      <c r="PHY2" s="133" t="s">
        <v>12172</v>
      </c>
      <c r="PHZ2" s="133" t="s">
        <v>12173</v>
      </c>
      <c r="PIA2" s="133" t="s">
        <v>12174</v>
      </c>
      <c r="PIB2" s="133" t="s">
        <v>12175</v>
      </c>
      <c r="PIC2" s="133" t="s">
        <v>12176</v>
      </c>
      <c r="PID2" s="133" t="s">
        <v>12177</v>
      </c>
      <c r="PIE2" s="133" t="s">
        <v>12178</v>
      </c>
      <c r="PIF2" s="133" t="s">
        <v>12179</v>
      </c>
      <c r="PIG2" s="133" t="s">
        <v>12180</v>
      </c>
      <c r="PIH2" s="133" t="s">
        <v>12181</v>
      </c>
      <c r="PII2" s="133" t="s">
        <v>12182</v>
      </c>
      <c r="PIJ2" s="133" t="s">
        <v>12183</v>
      </c>
      <c r="PIK2" s="133" t="s">
        <v>12184</v>
      </c>
      <c r="PIL2" s="133" t="s">
        <v>12185</v>
      </c>
      <c r="PIM2" s="133" t="s">
        <v>12186</v>
      </c>
      <c r="PIN2" s="133" t="s">
        <v>12187</v>
      </c>
      <c r="PIO2" s="133" t="s">
        <v>12188</v>
      </c>
      <c r="PIP2" s="133" t="s">
        <v>12189</v>
      </c>
      <c r="PIQ2" s="133" t="s">
        <v>12190</v>
      </c>
      <c r="PIR2" s="133" t="s">
        <v>12191</v>
      </c>
      <c r="PIS2" s="133" t="s">
        <v>12192</v>
      </c>
      <c r="PIT2" s="133" t="s">
        <v>12193</v>
      </c>
      <c r="PIU2" s="133" t="s">
        <v>12194</v>
      </c>
      <c r="PIV2" s="133" t="s">
        <v>12195</v>
      </c>
      <c r="PIW2" s="133" t="s">
        <v>12196</v>
      </c>
      <c r="PIX2" s="133" t="s">
        <v>12197</v>
      </c>
      <c r="PIY2" s="133" t="s">
        <v>12198</v>
      </c>
      <c r="PIZ2" s="133" t="s">
        <v>12199</v>
      </c>
      <c r="PJA2" s="133" t="s">
        <v>12200</v>
      </c>
      <c r="PJB2" s="133" t="s">
        <v>12201</v>
      </c>
      <c r="PJC2" s="133" t="s">
        <v>12202</v>
      </c>
      <c r="PJD2" s="133" t="s">
        <v>12203</v>
      </c>
      <c r="PJE2" s="133" t="s">
        <v>12204</v>
      </c>
      <c r="PJF2" s="133" t="s">
        <v>12205</v>
      </c>
      <c r="PJG2" s="133" t="s">
        <v>12206</v>
      </c>
      <c r="PJH2" s="133" t="s">
        <v>12207</v>
      </c>
      <c r="PJI2" s="133" t="s">
        <v>12208</v>
      </c>
      <c r="PJJ2" s="133" t="s">
        <v>12209</v>
      </c>
      <c r="PJK2" s="133" t="s">
        <v>12210</v>
      </c>
      <c r="PJL2" s="133" t="s">
        <v>12211</v>
      </c>
      <c r="PJM2" s="133" t="s">
        <v>12212</v>
      </c>
      <c r="PJN2" s="133" t="s">
        <v>12213</v>
      </c>
      <c r="PJO2" s="133" t="s">
        <v>12214</v>
      </c>
      <c r="PJP2" s="133" t="s">
        <v>12215</v>
      </c>
      <c r="PJQ2" s="133" t="s">
        <v>12216</v>
      </c>
      <c r="PJR2" s="133" t="s">
        <v>12217</v>
      </c>
      <c r="PJS2" s="133" t="s">
        <v>12218</v>
      </c>
      <c r="PJT2" s="133" t="s">
        <v>12219</v>
      </c>
      <c r="PJU2" s="133" t="s">
        <v>12220</v>
      </c>
      <c r="PJV2" s="133" t="s">
        <v>12221</v>
      </c>
      <c r="PJW2" s="133" t="s">
        <v>12222</v>
      </c>
      <c r="PJX2" s="133" t="s">
        <v>12223</v>
      </c>
      <c r="PJY2" s="133" t="s">
        <v>12224</v>
      </c>
      <c r="PJZ2" s="133" t="s">
        <v>12225</v>
      </c>
      <c r="PKA2" s="133" t="s">
        <v>12226</v>
      </c>
      <c r="PKB2" s="133" t="s">
        <v>12227</v>
      </c>
      <c r="PKC2" s="133" t="s">
        <v>12228</v>
      </c>
      <c r="PKD2" s="133" t="s">
        <v>12229</v>
      </c>
      <c r="PKE2" s="133" t="s">
        <v>12230</v>
      </c>
      <c r="PKF2" s="133" t="s">
        <v>12231</v>
      </c>
      <c r="PKG2" s="133" t="s">
        <v>12232</v>
      </c>
      <c r="PKH2" s="133" t="s">
        <v>12233</v>
      </c>
      <c r="PKI2" s="133" t="s">
        <v>12234</v>
      </c>
      <c r="PKJ2" s="133" t="s">
        <v>12235</v>
      </c>
      <c r="PKK2" s="133" t="s">
        <v>12236</v>
      </c>
      <c r="PKL2" s="133" t="s">
        <v>12237</v>
      </c>
      <c r="PKM2" s="133" t="s">
        <v>12238</v>
      </c>
      <c r="PKN2" s="133" t="s">
        <v>12239</v>
      </c>
      <c r="PKO2" s="133" t="s">
        <v>12240</v>
      </c>
      <c r="PKP2" s="133" t="s">
        <v>12241</v>
      </c>
      <c r="PKQ2" s="133" t="s">
        <v>12242</v>
      </c>
      <c r="PKR2" s="133" t="s">
        <v>12243</v>
      </c>
      <c r="PKS2" s="133" t="s">
        <v>12244</v>
      </c>
      <c r="PKT2" s="133" t="s">
        <v>12245</v>
      </c>
      <c r="PKU2" s="133" t="s">
        <v>12246</v>
      </c>
      <c r="PKV2" s="133" t="s">
        <v>12247</v>
      </c>
      <c r="PKW2" s="133" t="s">
        <v>12248</v>
      </c>
      <c r="PKX2" s="133" t="s">
        <v>12249</v>
      </c>
      <c r="PKY2" s="133" t="s">
        <v>12250</v>
      </c>
      <c r="PKZ2" s="133" t="s">
        <v>12251</v>
      </c>
      <c r="PLA2" s="133" t="s">
        <v>12252</v>
      </c>
      <c r="PLB2" s="133" t="s">
        <v>12253</v>
      </c>
      <c r="PLC2" s="133" t="s">
        <v>12254</v>
      </c>
      <c r="PLD2" s="133" t="s">
        <v>12255</v>
      </c>
      <c r="PLE2" s="133" t="s">
        <v>12256</v>
      </c>
      <c r="PLF2" s="133" t="s">
        <v>12257</v>
      </c>
      <c r="PLG2" s="133" t="s">
        <v>12258</v>
      </c>
      <c r="PLH2" s="133" t="s">
        <v>12259</v>
      </c>
      <c r="PLI2" s="133" t="s">
        <v>12260</v>
      </c>
      <c r="PLJ2" s="133" t="s">
        <v>12261</v>
      </c>
      <c r="PLK2" s="133" t="s">
        <v>12262</v>
      </c>
      <c r="PLL2" s="133" t="s">
        <v>12263</v>
      </c>
      <c r="PLM2" s="133" t="s">
        <v>12264</v>
      </c>
      <c r="PLN2" s="133" t="s">
        <v>12265</v>
      </c>
      <c r="PLO2" s="133" t="s">
        <v>12266</v>
      </c>
      <c r="PLP2" s="133" t="s">
        <v>12267</v>
      </c>
      <c r="PLQ2" s="133" t="s">
        <v>12268</v>
      </c>
      <c r="PLR2" s="133" t="s">
        <v>12269</v>
      </c>
      <c r="PLS2" s="133" t="s">
        <v>12270</v>
      </c>
      <c r="PLT2" s="133" t="s">
        <v>12271</v>
      </c>
      <c r="PLU2" s="133" t="s">
        <v>12272</v>
      </c>
      <c r="PLV2" s="133" t="s">
        <v>12273</v>
      </c>
      <c r="PLW2" s="133" t="s">
        <v>12274</v>
      </c>
      <c r="PLX2" s="133" t="s">
        <v>12275</v>
      </c>
      <c r="PLY2" s="133" t="s">
        <v>12276</v>
      </c>
      <c r="PLZ2" s="133" t="s">
        <v>12277</v>
      </c>
      <c r="PMA2" s="133" t="s">
        <v>12278</v>
      </c>
      <c r="PMB2" s="133" t="s">
        <v>12279</v>
      </c>
      <c r="PMC2" s="133" t="s">
        <v>12280</v>
      </c>
      <c r="PMD2" s="133" t="s">
        <v>12281</v>
      </c>
      <c r="PME2" s="133" t="s">
        <v>12282</v>
      </c>
      <c r="PMF2" s="133" t="s">
        <v>12283</v>
      </c>
      <c r="PMG2" s="133" t="s">
        <v>12284</v>
      </c>
      <c r="PMH2" s="133" t="s">
        <v>12285</v>
      </c>
      <c r="PMI2" s="133" t="s">
        <v>12286</v>
      </c>
      <c r="PMJ2" s="133" t="s">
        <v>12287</v>
      </c>
      <c r="PMK2" s="133" t="s">
        <v>12288</v>
      </c>
      <c r="PML2" s="133" t="s">
        <v>12289</v>
      </c>
      <c r="PMM2" s="133" t="s">
        <v>12290</v>
      </c>
      <c r="PMN2" s="133" t="s">
        <v>12291</v>
      </c>
      <c r="PMO2" s="133" t="s">
        <v>12292</v>
      </c>
      <c r="PMP2" s="133" t="s">
        <v>12293</v>
      </c>
      <c r="PMQ2" s="133" t="s">
        <v>12294</v>
      </c>
      <c r="PMR2" s="133" t="s">
        <v>12295</v>
      </c>
      <c r="PMS2" s="133" t="s">
        <v>12296</v>
      </c>
      <c r="PMT2" s="133" t="s">
        <v>12297</v>
      </c>
      <c r="PMU2" s="133" t="s">
        <v>12298</v>
      </c>
      <c r="PMV2" s="133" t="s">
        <v>12299</v>
      </c>
      <c r="PMW2" s="133" t="s">
        <v>12300</v>
      </c>
      <c r="PMX2" s="133" t="s">
        <v>12301</v>
      </c>
      <c r="PMY2" s="133" t="s">
        <v>12302</v>
      </c>
      <c r="PMZ2" s="133" t="s">
        <v>12303</v>
      </c>
      <c r="PNA2" s="133" t="s">
        <v>12304</v>
      </c>
      <c r="PNB2" s="133" t="s">
        <v>12305</v>
      </c>
      <c r="PNC2" s="133" t="s">
        <v>12306</v>
      </c>
      <c r="PND2" s="133" t="s">
        <v>12307</v>
      </c>
      <c r="PNE2" s="133" t="s">
        <v>12308</v>
      </c>
      <c r="PNF2" s="133" t="s">
        <v>12309</v>
      </c>
      <c r="PNG2" s="133" t="s">
        <v>12310</v>
      </c>
      <c r="PNH2" s="133" t="s">
        <v>12311</v>
      </c>
      <c r="PNI2" s="133" t="s">
        <v>12312</v>
      </c>
      <c r="PNJ2" s="133" t="s">
        <v>12313</v>
      </c>
      <c r="PNK2" s="133" t="s">
        <v>12314</v>
      </c>
      <c r="PNL2" s="133" t="s">
        <v>12315</v>
      </c>
      <c r="PNM2" s="133" t="s">
        <v>12316</v>
      </c>
      <c r="PNN2" s="133" t="s">
        <v>12317</v>
      </c>
      <c r="PNO2" s="133" t="s">
        <v>12318</v>
      </c>
      <c r="PNP2" s="133" t="s">
        <v>12319</v>
      </c>
      <c r="PNQ2" s="133" t="s">
        <v>12320</v>
      </c>
      <c r="PNR2" s="133" t="s">
        <v>12321</v>
      </c>
      <c r="PNS2" s="133" t="s">
        <v>12322</v>
      </c>
      <c r="PNT2" s="133" t="s">
        <v>12323</v>
      </c>
      <c r="PNU2" s="133" t="s">
        <v>12324</v>
      </c>
      <c r="PNV2" s="133" t="s">
        <v>12325</v>
      </c>
      <c r="PNW2" s="133" t="s">
        <v>12326</v>
      </c>
      <c r="PNX2" s="133" t="s">
        <v>12327</v>
      </c>
      <c r="PNY2" s="133" t="s">
        <v>12328</v>
      </c>
      <c r="PNZ2" s="133" t="s">
        <v>12329</v>
      </c>
      <c r="POA2" s="133" t="s">
        <v>12330</v>
      </c>
      <c r="POB2" s="133" t="s">
        <v>12331</v>
      </c>
      <c r="POC2" s="133" t="s">
        <v>12332</v>
      </c>
      <c r="POD2" s="133" t="s">
        <v>12333</v>
      </c>
      <c r="POE2" s="133" t="s">
        <v>12334</v>
      </c>
      <c r="POF2" s="133" t="s">
        <v>12335</v>
      </c>
      <c r="POG2" s="133" t="s">
        <v>12336</v>
      </c>
      <c r="POH2" s="133" t="s">
        <v>12337</v>
      </c>
      <c r="POI2" s="133" t="s">
        <v>12338</v>
      </c>
      <c r="POJ2" s="133" t="s">
        <v>12339</v>
      </c>
      <c r="POK2" s="133" t="s">
        <v>12340</v>
      </c>
      <c r="POL2" s="133" t="s">
        <v>12341</v>
      </c>
      <c r="POM2" s="133" t="s">
        <v>12342</v>
      </c>
      <c r="PON2" s="133" t="s">
        <v>12343</v>
      </c>
      <c r="POO2" s="133" t="s">
        <v>12344</v>
      </c>
      <c r="POP2" s="133" t="s">
        <v>12345</v>
      </c>
      <c r="POQ2" s="133" t="s">
        <v>12346</v>
      </c>
      <c r="POR2" s="133" t="s">
        <v>12347</v>
      </c>
      <c r="POS2" s="133" t="s">
        <v>12348</v>
      </c>
      <c r="POT2" s="133" t="s">
        <v>12349</v>
      </c>
      <c r="POU2" s="133" t="s">
        <v>12350</v>
      </c>
      <c r="POV2" s="133" t="s">
        <v>12351</v>
      </c>
      <c r="POW2" s="133" t="s">
        <v>12352</v>
      </c>
      <c r="POX2" s="133" t="s">
        <v>12353</v>
      </c>
      <c r="POY2" s="133" t="s">
        <v>12354</v>
      </c>
      <c r="POZ2" s="133" t="s">
        <v>12355</v>
      </c>
      <c r="PPA2" s="133" t="s">
        <v>12356</v>
      </c>
      <c r="PPB2" s="133" t="s">
        <v>12357</v>
      </c>
      <c r="PPC2" s="133" t="s">
        <v>12358</v>
      </c>
      <c r="PPD2" s="133" t="s">
        <v>12359</v>
      </c>
      <c r="PPE2" s="133" t="s">
        <v>12360</v>
      </c>
      <c r="PPF2" s="133" t="s">
        <v>12361</v>
      </c>
      <c r="PPG2" s="133" t="s">
        <v>12362</v>
      </c>
      <c r="PPH2" s="133" t="s">
        <v>12363</v>
      </c>
      <c r="PPI2" s="133" t="s">
        <v>12364</v>
      </c>
      <c r="PPJ2" s="133" t="s">
        <v>12365</v>
      </c>
      <c r="PPK2" s="133" t="s">
        <v>12366</v>
      </c>
      <c r="PPL2" s="133" t="s">
        <v>12367</v>
      </c>
      <c r="PPM2" s="133" t="s">
        <v>12368</v>
      </c>
      <c r="PPN2" s="133" t="s">
        <v>12369</v>
      </c>
      <c r="PPO2" s="133" t="s">
        <v>12370</v>
      </c>
      <c r="PPP2" s="133" t="s">
        <v>12371</v>
      </c>
      <c r="PPQ2" s="133" t="s">
        <v>12372</v>
      </c>
      <c r="PPR2" s="133" t="s">
        <v>12373</v>
      </c>
      <c r="PPS2" s="133" t="s">
        <v>12374</v>
      </c>
      <c r="PPT2" s="133" t="s">
        <v>12375</v>
      </c>
      <c r="PPU2" s="133" t="s">
        <v>12376</v>
      </c>
      <c r="PPV2" s="133" t="s">
        <v>12377</v>
      </c>
      <c r="PPW2" s="133" t="s">
        <v>12378</v>
      </c>
      <c r="PPX2" s="133" t="s">
        <v>12379</v>
      </c>
      <c r="PPY2" s="133" t="s">
        <v>12380</v>
      </c>
      <c r="PPZ2" s="133" t="s">
        <v>12381</v>
      </c>
      <c r="PQA2" s="133" t="s">
        <v>12382</v>
      </c>
      <c r="PQB2" s="133" t="s">
        <v>12383</v>
      </c>
      <c r="PQC2" s="133" t="s">
        <v>12384</v>
      </c>
      <c r="PQD2" s="133" t="s">
        <v>12385</v>
      </c>
      <c r="PQE2" s="133" t="s">
        <v>12386</v>
      </c>
      <c r="PQF2" s="133" t="s">
        <v>12387</v>
      </c>
      <c r="PQG2" s="133" t="s">
        <v>12388</v>
      </c>
      <c r="PQH2" s="133" t="s">
        <v>12389</v>
      </c>
      <c r="PQI2" s="133" t="s">
        <v>12390</v>
      </c>
      <c r="PQJ2" s="133" t="s">
        <v>12391</v>
      </c>
      <c r="PQK2" s="133" t="s">
        <v>12392</v>
      </c>
      <c r="PQL2" s="133" t="s">
        <v>12393</v>
      </c>
      <c r="PQM2" s="133" t="s">
        <v>12394</v>
      </c>
      <c r="PQN2" s="133" t="s">
        <v>12395</v>
      </c>
      <c r="PQO2" s="133" t="s">
        <v>12396</v>
      </c>
      <c r="PQP2" s="133" t="s">
        <v>12397</v>
      </c>
      <c r="PQQ2" s="133" t="s">
        <v>12398</v>
      </c>
      <c r="PQR2" s="133" t="s">
        <v>12399</v>
      </c>
      <c r="PQS2" s="133" t="s">
        <v>12400</v>
      </c>
      <c r="PQT2" s="133" t="s">
        <v>12401</v>
      </c>
      <c r="PQU2" s="133" t="s">
        <v>12402</v>
      </c>
      <c r="PQV2" s="133" t="s">
        <v>12403</v>
      </c>
      <c r="PQW2" s="133" t="s">
        <v>12404</v>
      </c>
      <c r="PQX2" s="133" t="s">
        <v>12405</v>
      </c>
      <c r="PQY2" s="133" t="s">
        <v>12406</v>
      </c>
      <c r="PQZ2" s="133" t="s">
        <v>12407</v>
      </c>
      <c r="PRA2" s="133" t="s">
        <v>12408</v>
      </c>
      <c r="PRB2" s="133" t="s">
        <v>12409</v>
      </c>
      <c r="PRC2" s="133" t="s">
        <v>12410</v>
      </c>
      <c r="PRD2" s="133" t="s">
        <v>12411</v>
      </c>
      <c r="PRE2" s="133" t="s">
        <v>12412</v>
      </c>
      <c r="PRF2" s="133" t="s">
        <v>12413</v>
      </c>
      <c r="PRG2" s="133" t="s">
        <v>12414</v>
      </c>
      <c r="PRH2" s="133" t="s">
        <v>12415</v>
      </c>
      <c r="PRI2" s="133" t="s">
        <v>12416</v>
      </c>
      <c r="PRJ2" s="133" t="s">
        <v>12417</v>
      </c>
      <c r="PRK2" s="133" t="s">
        <v>12418</v>
      </c>
      <c r="PRL2" s="133" t="s">
        <v>12419</v>
      </c>
      <c r="PRM2" s="133" t="s">
        <v>12420</v>
      </c>
      <c r="PRN2" s="133" t="s">
        <v>12421</v>
      </c>
      <c r="PRO2" s="133" t="s">
        <v>12422</v>
      </c>
      <c r="PRP2" s="133" t="s">
        <v>12423</v>
      </c>
      <c r="PRQ2" s="133" t="s">
        <v>12424</v>
      </c>
      <c r="PRR2" s="133" t="s">
        <v>12425</v>
      </c>
      <c r="PRS2" s="133" t="s">
        <v>12426</v>
      </c>
      <c r="PRT2" s="133" t="s">
        <v>12427</v>
      </c>
      <c r="PRU2" s="133" t="s">
        <v>12428</v>
      </c>
      <c r="PRV2" s="133" t="s">
        <v>12429</v>
      </c>
      <c r="PRW2" s="133" t="s">
        <v>12430</v>
      </c>
      <c r="PRX2" s="133" t="s">
        <v>12431</v>
      </c>
      <c r="PRY2" s="133" t="s">
        <v>12432</v>
      </c>
      <c r="PRZ2" s="133" t="s">
        <v>12433</v>
      </c>
      <c r="PSA2" s="133" t="s">
        <v>12434</v>
      </c>
      <c r="PSB2" s="133" t="s">
        <v>12435</v>
      </c>
      <c r="PSC2" s="133" t="s">
        <v>12436</v>
      </c>
      <c r="PSD2" s="133" t="s">
        <v>12437</v>
      </c>
      <c r="PSE2" s="133" t="s">
        <v>12438</v>
      </c>
      <c r="PSF2" s="133" t="s">
        <v>12439</v>
      </c>
      <c r="PSG2" s="133" t="s">
        <v>12440</v>
      </c>
      <c r="PSH2" s="133" t="s">
        <v>12441</v>
      </c>
      <c r="PSI2" s="133" t="s">
        <v>12442</v>
      </c>
      <c r="PSJ2" s="133" t="s">
        <v>12443</v>
      </c>
      <c r="PSK2" s="133" t="s">
        <v>12444</v>
      </c>
      <c r="PSL2" s="133" t="s">
        <v>12445</v>
      </c>
      <c r="PSM2" s="133" t="s">
        <v>12446</v>
      </c>
      <c r="PSN2" s="133" t="s">
        <v>12447</v>
      </c>
      <c r="PSO2" s="133" t="s">
        <v>12448</v>
      </c>
      <c r="PSP2" s="133" t="s">
        <v>12449</v>
      </c>
      <c r="PSQ2" s="133" t="s">
        <v>12450</v>
      </c>
      <c r="PSR2" s="133" t="s">
        <v>12451</v>
      </c>
      <c r="PSS2" s="133" t="s">
        <v>12452</v>
      </c>
      <c r="PST2" s="133" t="s">
        <v>12453</v>
      </c>
      <c r="PSU2" s="133" t="s">
        <v>12454</v>
      </c>
      <c r="PSV2" s="133" t="s">
        <v>12455</v>
      </c>
      <c r="PSW2" s="133" t="s">
        <v>12456</v>
      </c>
      <c r="PSX2" s="133" t="s">
        <v>12457</v>
      </c>
      <c r="PSY2" s="133" t="s">
        <v>12458</v>
      </c>
      <c r="PSZ2" s="133" t="s">
        <v>12459</v>
      </c>
      <c r="PTA2" s="133" t="s">
        <v>12460</v>
      </c>
      <c r="PTB2" s="133" t="s">
        <v>12461</v>
      </c>
      <c r="PTC2" s="133" t="s">
        <v>12462</v>
      </c>
      <c r="PTD2" s="133" t="s">
        <v>12463</v>
      </c>
      <c r="PTE2" s="133" t="s">
        <v>12464</v>
      </c>
      <c r="PTF2" s="133" t="s">
        <v>12465</v>
      </c>
      <c r="PTG2" s="133" t="s">
        <v>12466</v>
      </c>
      <c r="PTH2" s="133" t="s">
        <v>12467</v>
      </c>
      <c r="PTI2" s="133" t="s">
        <v>12468</v>
      </c>
      <c r="PTJ2" s="133" t="s">
        <v>12469</v>
      </c>
      <c r="PTK2" s="133" t="s">
        <v>12470</v>
      </c>
      <c r="PTL2" s="133" t="s">
        <v>12471</v>
      </c>
      <c r="PTM2" s="133" t="s">
        <v>12472</v>
      </c>
      <c r="PTN2" s="133" t="s">
        <v>12473</v>
      </c>
      <c r="PTO2" s="133" t="s">
        <v>12474</v>
      </c>
      <c r="PTP2" s="133" t="s">
        <v>12475</v>
      </c>
      <c r="PTQ2" s="133" t="s">
        <v>12476</v>
      </c>
      <c r="PTR2" s="133" t="s">
        <v>12477</v>
      </c>
      <c r="PTS2" s="133" t="s">
        <v>12478</v>
      </c>
      <c r="PTT2" s="133" t="s">
        <v>12479</v>
      </c>
      <c r="PTU2" s="133" t="s">
        <v>12480</v>
      </c>
      <c r="PTV2" s="133" t="s">
        <v>12481</v>
      </c>
      <c r="PTW2" s="133" t="s">
        <v>12482</v>
      </c>
      <c r="PTX2" s="133" t="s">
        <v>12483</v>
      </c>
      <c r="PTY2" s="133" t="s">
        <v>12484</v>
      </c>
      <c r="PTZ2" s="133" t="s">
        <v>12485</v>
      </c>
      <c r="PUA2" s="133" t="s">
        <v>12486</v>
      </c>
      <c r="PUB2" s="133" t="s">
        <v>12487</v>
      </c>
      <c r="PUC2" s="133" t="s">
        <v>12488</v>
      </c>
      <c r="PUD2" s="133" t="s">
        <v>12489</v>
      </c>
      <c r="PUE2" s="133" t="s">
        <v>12490</v>
      </c>
      <c r="PUF2" s="133" t="s">
        <v>12491</v>
      </c>
      <c r="PUG2" s="133" t="s">
        <v>12492</v>
      </c>
      <c r="PUH2" s="133" t="s">
        <v>12493</v>
      </c>
      <c r="PUI2" s="133" t="s">
        <v>12494</v>
      </c>
      <c r="PUJ2" s="133" t="s">
        <v>12495</v>
      </c>
      <c r="PUK2" s="133" t="s">
        <v>12496</v>
      </c>
      <c r="PUL2" s="133" t="s">
        <v>12497</v>
      </c>
      <c r="PUM2" s="133" t="s">
        <v>12498</v>
      </c>
      <c r="PUN2" s="133" t="s">
        <v>12499</v>
      </c>
      <c r="PUO2" s="133" t="s">
        <v>12500</v>
      </c>
      <c r="PUP2" s="133" t="s">
        <v>12501</v>
      </c>
      <c r="PUQ2" s="133" t="s">
        <v>12502</v>
      </c>
      <c r="PUR2" s="133" t="s">
        <v>12503</v>
      </c>
      <c r="PUS2" s="133" t="s">
        <v>12504</v>
      </c>
      <c r="PUT2" s="133" t="s">
        <v>12505</v>
      </c>
      <c r="PUU2" s="133" t="s">
        <v>12506</v>
      </c>
      <c r="PUV2" s="133" t="s">
        <v>12507</v>
      </c>
      <c r="PUW2" s="133" t="s">
        <v>12508</v>
      </c>
      <c r="PUX2" s="133" t="s">
        <v>12509</v>
      </c>
      <c r="PUY2" s="133" t="s">
        <v>12510</v>
      </c>
      <c r="PUZ2" s="133" t="s">
        <v>12511</v>
      </c>
      <c r="PVA2" s="133" t="s">
        <v>12512</v>
      </c>
      <c r="PVB2" s="133" t="s">
        <v>12513</v>
      </c>
      <c r="PVC2" s="133" t="s">
        <v>12514</v>
      </c>
      <c r="PVD2" s="133" t="s">
        <v>12515</v>
      </c>
      <c r="PVE2" s="133" t="s">
        <v>12516</v>
      </c>
      <c r="PVF2" s="133" t="s">
        <v>12517</v>
      </c>
      <c r="PVG2" s="133" t="s">
        <v>12518</v>
      </c>
      <c r="PVH2" s="133" t="s">
        <v>12519</v>
      </c>
      <c r="PVI2" s="133" t="s">
        <v>12520</v>
      </c>
      <c r="PVJ2" s="133" t="s">
        <v>12521</v>
      </c>
      <c r="PVK2" s="133" t="s">
        <v>12522</v>
      </c>
      <c r="PVL2" s="133" t="s">
        <v>12523</v>
      </c>
      <c r="PVM2" s="133" t="s">
        <v>12524</v>
      </c>
      <c r="PVN2" s="133" t="s">
        <v>12525</v>
      </c>
      <c r="PVO2" s="133" t="s">
        <v>12526</v>
      </c>
      <c r="PVP2" s="133" t="s">
        <v>12527</v>
      </c>
      <c r="PVQ2" s="133" t="s">
        <v>12528</v>
      </c>
      <c r="PVR2" s="133" t="s">
        <v>12529</v>
      </c>
      <c r="PVS2" s="133" t="s">
        <v>12530</v>
      </c>
      <c r="PVT2" s="133" t="s">
        <v>12531</v>
      </c>
      <c r="PVU2" s="133" t="s">
        <v>12532</v>
      </c>
      <c r="PVV2" s="133" t="s">
        <v>12533</v>
      </c>
      <c r="PVW2" s="133" t="s">
        <v>12534</v>
      </c>
      <c r="PVX2" s="133" t="s">
        <v>12535</v>
      </c>
      <c r="PVY2" s="133" t="s">
        <v>12536</v>
      </c>
      <c r="PVZ2" s="133" t="s">
        <v>12537</v>
      </c>
      <c r="PWA2" s="133" t="s">
        <v>12538</v>
      </c>
      <c r="PWB2" s="133" t="s">
        <v>12539</v>
      </c>
      <c r="PWC2" s="133" t="s">
        <v>12540</v>
      </c>
      <c r="PWD2" s="133" t="s">
        <v>12541</v>
      </c>
      <c r="PWE2" s="133" t="s">
        <v>12542</v>
      </c>
      <c r="PWF2" s="133" t="s">
        <v>12543</v>
      </c>
      <c r="PWG2" s="133" t="s">
        <v>12544</v>
      </c>
      <c r="PWH2" s="133" t="s">
        <v>12545</v>
      </c>
      <c r="PWI2" s="133" t="s">
        <v>12546</v>
      </c>
      <c r="PWJ2" s="133" t="s">
        <v>12547</v>
      </c>
      <c r="PWK2" s="133" t="s">
        <v>12548</v>
      </c>
      <c r="PWL2" s="133" t="s">
        <v>12549</v>
      </c>
      <c r="PWM2" s="133" t="s">
        <v>12550</v>
      </c>
      <c r="PWN2" s="133" t="s">
        <v>12551</v>
      </c>
      <c r="PWO2" s="133" t="s">
        <v>12552</v>
      </c>
      <c r="PWP2" s="133" t="s">
        <v>12553</v>
      </c>
      <c r="PWQ2" s="133" t="s">
        <v>12554</v>
      </c>
      <c r="PWR2" s="133" t="s">
        <v>12555</v>
      </c>
      <c r="PWS2" s="133" t="s">
        <v>12556</v>
      </c>
      <c r="PWT2" s="133" t="s">
        <v>12557</v>
      </c>
      <c r="PWU2" s="133" t="s">
        <v>12558</v>
      </c>
      <c r="PWV2" s="133" t="s">
        <v>12559</v>
      </c>
      <c r="PWW2" s="133" t="s">
        <v>12560</v>
      </c>
      <c r="PWX2" s="133" t="s">
        <v>12561</v>
      </c>
      <c r="PWY2" s="133" t="s">
        <v>12562</v>
      </c>
      <c r="PWZ2" s="133" t="s">
        <v>12563</v>
      </c>
      <c r="PXA2" s="133" t="s">
        <v>12564</v>
      </c>
      <c r="PXB2" s="133" t="s">
        <v>12565</v>
      </c>
      <c r="PXC2" s="133" t="s">
        <v>12566</v>
      </c>
      <c r="PXD2" s="133" t="s">
        <v>12567</v>
      </c>
      <c r="PXE2" s="133" t="s">
        <v>12568</v>
      </c>
      <c r="PXF2" s="133" t="s">
        <v>12569</v>
      </c>
      <c r="PXG2" s="133" t="s">
        <v>12570</v>
      </c>
      <c r="PXH2" s="133" t="s">
        <v>12571</v>
      </c>
      <c r="PXI2" s="133" t="s">
        <v>12572</v>
      </c>
      <c r="PXJ2" s="133" t="s">
        <v>12573</v>
      </c>
      <c r="PXK2" s="133" t="s">
        <v>12574</v>
      </c>
      <c r="PXL2" s="133" t="s">
        <v>12575</v>
      </c>
      <c r="PXM2" s="133" t="s">
        <v>12576</v>
      </c>
      <c r="PXN2" s="133" t="s">
        <v>12577</v>
      </c>
      <c r="PXO2" s="133" t="s">
        <v>12578</v>
      </c>
      <c r="PXP2" s="133" t="s">
        <v>12579</v>
      </c>
      <c r="PXQ2" s="133" t="s">
        <v>12580</v>
      </c>
      <c r="PXR2" s="133" t="s">
        <v>12581</v>
      </c>
      <c r="PXS2" s="133" t="s">
        <v>12582</v>
      </c>
      <c r="PXT2" s="133" t="s">
        <v>12583</v>
      </c>
      <c r="PXU2" s="133" t="s">
        <v>12584</v>
      </c>
      <c r="PXV2" s="133" t="s">
        <v>12585</v>
      </c>
      <c r="PXW2" s="133" t="s">
        <v>12586</v>
      </c>
      <c r="PXX2" s="133" t="s">
        <v>12587</v>
      </c>
      <c r="PXY2" s="133" t="s">
        <v>12588</v>
      </c>
      <c r="PXZ2" s="133" t="s">
        <v>12589</v>
      </c>
      <c r="PYA2" s="133" t="s">
        <v>12590</v>
      </c>
      <c r="PYB2" s="133" t="s">
        <v>12591</v>
      </c>
      <c r="PYC2" s="133" t="s">
        <v>12592</v>
      </c>
      <c r="PYD2" s="133" t="s">
        <v>12593</v>
      </c>
      <c r="PYE2" s="133" t="s">
        <v>12594</v>
      </c>
      <c r="PYF2" s="133" t="s">
        <v>12595</v>
      </c>
      <c r="PYG2" s="133" t="s">
        <v>12596</v>
      </c>
      <c r="PYH2" s="133" t="s">
        <v>12597</v>
      </c>
      <c r="PYI2" s="133" t="s">
        <v>12598</v>
      </c>
      <c r="PYJ2" s="133" t="s">
        <v>12599</v>
      </c>
      <c r="PYK2" s="133" t="s">
        <v>12600</v>
      </c>
      <c r="PYL2" s="133" t="s">
        <v>12601</v>
      </c>
      <c r="PYM2" s="133" t="s">
        <v>12602</v>
      </c>
      <c r="PYN2" s="133" t="s">
        <v>12603</v>
      </c>
      <c r="PYO2" s="133" t="s">
        <v>12604</v>
      </c>
      <c r="PYP2" s="133" t="s">
        <v>12605</v>
      </c>
      <c r="PYQ2" s="133" t="s">
        <v>12606</v>
      </c>
      <c r="PYR2" s="133" t="s">
        <v>12607</v>
      </c>
      <c r="PYS2" s="133" t="s">
        <v>12608</v>
      </c>
      <c r="PYT2" s="133" t="s">
        <v>12609</v>
      </c>
      <c r="PYU2" s="133" t="s">
        <v>12610</v>
      </c>
      <c r="PYV2" s="133" t="s">
        <v>12611</v>
      </c>
      <c r="PYW2" s="133" t="s">
        <v>12612</v>
      </c>
      <c r="PYX2" s="133" t="s">
        <v>12613</v>
      </c>
      <c r="PYY2" s="133" t="s">
        <v>12614</v>
      </c>
      <c r="PYZ2" s="133" t="s">
        <v>12615</v>
      </c>
      <c r="PZA2" s="133" t="s">
        <v>12616</v>
      </c>
      <c r="PZB2" s="133" t="s">
        <v>12617</v>
      </c>
      <c r="PZC2" s="133" t="s">
        <v>12618</v>
      </c>
      <c r="PZD2" s="133" t="s">
        <v>12619</v>
      </c>
      <c r="PZE2" s="133" t="s">
        <v>12620</v>
      </c>
      <c r="PZF2" s="133" t="s">
        <v>12621</v>
      </c>
      <c r="PZG2" s="133" t="s">
        <v>12622</v>
      </c>
      <c r="PZH2" s="133" t="s">
        <v>12623</v>
      </c>
      <c r="PZI2" s="133" t="s">
        <v>12624</v>
      </c>
      <c r="PZJ2" s="133" t="s">
        <v>12625</v>
      </c>
      <c r="PZK2" s="133" t="s">
        <v>12626</v>
      </c>
      <c r="PZL2" s="133" t="s">
        <v>12627</v>
      </c>
      <c r="PZM2" s="133" t="s">
        <v>12628</v>
      </c>
      <c r="PZN2" s="133" t="s">
        <v>12629</v>
      </c>
      <c r="PZO2" s="133" t="s">
        <v>12630</v>
      </c>
      <c r="PZP2" s="133" t="s">
        <v>12631</v>
      </c>
      <c r="PZQ2" s="133" t="s">
        <v>12632</v>
      </c>
      <c r="PZR2" s="133" t="s">
        <v>12633</v>
      </c>
      <c r="PZS2" s="133" t="s">
        <v>12634</v>
      </c>
      <c r="PZT2" s="133" t="s">
        <v>12635</v>
      </c>
      <c r="PZU2" s="133" t="s">
        <v>12636</v>
      </c>
      <c r="PZV2" s="133" t="s">
        <v>12637</v>
      </c>
      <c r="PZW2" s="133" t="s">
        <v>12638</v>
      </c>
      <c r="PZX2" s="133" t="s">
        <v>12639</v>
      </c>
      <c r="PZY2" s="133" t="s">
        <v>12640</v>
      </c>
      <c r="PZZ2" s="133" t="s">
        <v>12641</v>
      </c>
      <c r="QAA2" s="133" t="s">
        <v>12642</v>
      </c>
      <c r="QAB2" s="133" t="s">
        <v>12643</v>
      </c>
      <c r="QAC2" s="133" t="s">
        <v>12644</v>
      </c>
      <c r="QAD2" s="133" t="s">
        <v>12645</v>
      </c>
      <c r="QAE2" s="133" t="s">
        <v>12646</v>
      </c>
      <c r="QAF2" s="133" t="s">
        <v>12647</v>
      </c>
      <c r="QAG2" s="133" t="s">
        <v>12648</v>
      </c>
      <c r="QAH2" s="133" t="s">
        <v>12649</v>
      </c>
      <c r="QAI2" s="133" t="s">
        <v>12650</v>
      </c>
      <c r="QAJ2" s="133" t="s">
        <v>12651</v>
      </c>
      <c r="QAK2" s="133" t="s">
        <v>12652</v>
      </c>
      <c r="QAL2" s="133" t="s">
        <v>12653</v>
      </c>
      <c r="QAM2" s="133" t="s">
        <v>12654</v>
      </c>
      <c r="QAN2" s="133" t="s">
        <v>12655</v>
      </c>
      <c r="QAO2" s="133" t="s">
        <v>12656</v>
      </c>
      <c r="QAP2" s="133" t="s">
        <v>12657</v>
      </c>
      <c r="QAQ2" s="133" t="s">
        <v>12658</v>
      </c>
      <c r="QAR2" s="133" t="s">
        <v>12659</v>
      </c>
      <c r="QAS2" s="133" t="s">
        <v>12660</v>
      </c>
      <c r="QAT2" s="133" t="s">
        <v>12661</v>
      </c>
      <c r="QAU2" s="133" t="s">
        <v>12662</v>
      </c>
      <c r="QAV2" s="133" t="s">
        <v>12663</v>
      </c>
      <c r="QAW2" s="133" t="s">
        <v>12664</v>
      </c>
      <c r="QAX2" s="133" t="s">
        <v>12665</v>
      </c>
      <c r="QAY2" s="133" t="s">
        <v>12666</v>
      </c>
      <c r="QAZ2" s="133" t="s">
        <v>12667</v>
      </c>
      <c r="QBA2" s="133" t="s">
        <v>12668</v>
      </c>
      <c r="QBB2" s="133" t="s">
        <v>12669</v>
      </c>
      <c r="QBC2" s="133" t="s">
        <v>12670</v>
      </c>
      <c r="QBD2" s="133" t="s">
        <v>12671</v>
      </c>
      <c r="QBE2" s="133" t="s">
        <v>12672</v>
      </c>
      <c r="QBF2" s="133" t="s">
        <v>12673</v>
      </c>
      <c r="QBG2" s="133" t="s">
        <v>12674</v>
      </c>
      <c r="QBH2" s="133" t="s">
        <v>12675</v>
      </c>
      <c r="QBI2" s="133" t="s">
        <v>12676</v>
      </c>
      <c r="QBJ2" s="133" t="s">
        <v>12677</v>
      </c>
      <c r="QBK2" s="133" t="s">
        <v>12678</v>
      </c>
      <c r="QBL2" s="133" t="s">
        <v>12679</v>
      </c>
      <c r="QBM2" s="133" t="s">
        <v>12680</v>
      </c>
      <c r="QBN2" s="133" t="s">
        <v>12681</v>
      </c>
      <c r="QBO2" s="133" t="s">
        <v>12682</v>
      </c>
      <c r="QBP2" s="133" t="s">
        <v>12683</v>
      </c>
      <c r="QBQ2" s="133" t="s">
        <v>12684</v>
      </c>
      <c r="QBR2" s="133" t="s">
        <v>12685</v>
      </c>
      <c r="QBS2" s="133" t="s">
        <v>12686</v>
      </c>
      <c r="QBT2" s="133" t="s">
        <v>12687</v>
      </c>
      <c r="QBU2" s="133" t="s">
        <v>12688</v>
      </c>
      <c r="QBV2" s="133" t="s">
        <v>12689</v>
      </c>
      <c r="QBW2" s="133" t="s">
        <v>12690</v>
      </c>
      <c r="QBX2" s="133" t="s">
        <v>12691</v>
      </c>
      <c r="QBY2" s="133" t="s">
        <v>12692</v>
      </c>
      <c r="QBZ2" s="133" t="s">
        <v>12693</v>
      </c>
      <c r="QCA2" s="133" t="s">
        <v>12694</v>
      </c>
      <c r="QCB2" s="133" t="s">
        <v>12695</v>
      </c>
      <c r="QCC2" s="133" t="s">
        <v>12696</v>
      </c>
      <c r="QCD2" s="133" t="s">
        <v>12697</v>
      </c>
      <c r="QCE2" s="133" t="s">
        <v>12698</v>
      </c>
      <c r="QCF2" s="133" t="s">
        <v>12699</v>
      </c>
      <c r="QCG2" s="133" t="s">
        <v>12700</v>
      </c>
      <c r="QCH2" s="133" t="s">
        <v>12701</v>
      </c>
      <c r="QCI2" s="133" t="s">
        <v>12702</v>
      </c>
      <c r="QCJ2" s="133" t="s">
        <v>12703</v>
      </c>
      <c r="QCK2" s="133" t="s">
        <v>12704</v>
      </c>
      <c r="QCL2" s="133" t="s">
        <v>12705</v>
      </c>
      <c r="QCM2" s="133" t="s">
        <v>12706</v>
      </c>
      <c r="QCN2" s="133" t="s">
        <v>12707</v>
      </c>
      <c r="QCO2" s="133" t="s">
        <v>12708</v>
      </c>
      <c r="QCP2" s="133" t="s">
        <v>12709</v>
      </c>
      <c r="QCQ2" s="133" t="s">
        <v>12710</v>
      </c>
      <c r="QCR2" s="133" t="s">
        <v>12711</v>
      </c>
      <c r="QCS2" s="133" t="s">
        <v>12712</v>
      </c>
      <c r="QCT2" s="133" t="s">
        <v>12713</v>
      </c>
      <c r="QCU2" s="133" t="s">
        <v>12714</v>
      </c>
      <c r="QCV2" s="133" t="s">
        <v>12715</v>
      </c>
      <c r="QCW2" s="133" t="s">
        <v>12716</v>
      </c>
      <c r="QCX2" s="133" t="s">
        <v>12717</v>
      </c>
      <c r="QCY2" s="133" t="s">
        <v>12718</v>
      </c>
      <c r="QCZ2" s="133" t="s">
        <v>12719</v>
      </c>
      <c r="QDA2" s="133" t="s">
        <v>12720</v>
      </c>
      <c r="QDB2" s="133" t="s">
        <v>12721</v>
      </c>
      <c r="QDC2" s="133" t="s">
        <v>12722</v>
      </c>
      <c r="QDD2" s="133" t="s">
        <v>12723</v>
      </c>
      <c r="QDE2" s="133" t="s">
        <v>12724</v>
      </c>
      <c r="QDF2" s="133" t="s">
        <v>12725</v>
      </c>
      <c r="QDG2" s="133" t="s">
        <v>12726</v>
      </c>
      <c r="QDH2" s="133" t="s">
        <v>12727</v>
      </c>
      <c r="QDI2" s="133" t="s">
        <v>12728</v>
      </c>
      <c r="QDJ2" s="133" t="s">
        <v>12729</v>
      </c>
      <c r="QDK2" s="133" t="s">
        <v>12730</v>
      </c>
      <c r="QDL2" s="133" t="s">
        <v>12731</v>
      </c>
      <c r="QDM2" s="133" t="s">
        <v>12732</v>
      </c>
      <c r="QDN2" s="133" t="s">
        <v>12733</v>
      </c>
      <c r="QDO2" s="133" t="s">
        <v>12734</v>
      </c>
      <c r="QDP2" s="133" t="s">
        <v>12735</v>
      </c>
      <c r="QDQ2" s="133" t="s">
        <v>12736</v>
      </c>
      <c r="QDR2" s="133" t="s">
        <v>12737</v>
      </c>
      <c r="QDS2" s="133" t="s">
        <v>12738</v>
      </c>
      <c r="QDT2" s="133" t="s">
        <v>12739</v>
      </c>
      <c r="QDU2" s="133" t="s">
        <v>12740</v>
      </c>
      <c r="QDV2" s="133" t="s">
        <v>12741</v>
      </c>
      <c r="QDW2" s="133" t="s">
        <v>12742</v>
      </c>
      <c r="QDX2" s="133" t="s">
        <v>12743</v>
      </c>
      <c r="QDY2" s="133" t="s">
        <v>12744</v>
      </c>
      <c r="QDZ2" s="133" t="s">
        <v>12745</v>
      </c>
      <c r="QEA2" s="133" t="s">
        <v>12746</v>
      </c>
      <c r="QEB2" s="133" t="s">
        <v>12747</v>
      </c>
      <c r="QEC2" s="133" t="s">
        <v>12748</v>
      </c>
      <c r="QED2" s="133" t="s">
        <v>12749</v>
      </c>
      <c r="QEE2" s="133" t="s">
        <v>12750</v>
      </c>
      <c r="QEF2" s="133" t="s">
        <v>12751</v>
      </c>
      <c r="QEG2" s="133" t="s">
        <v>12752</v>
      </c>
      <c r="QEH2" s="133" t="s">
        <v>12753</v>
      </c>
      <c r="QEI2" s="133" t="s">
        <v>12754</v>
      </c>
      <c r="QEJ2" s="133" t="s">
        <v>12755</v>
      </c>
      <c r="QEK2" s="133" t="s">
        <v>12756</v>
      </c>
      <c r="QEL2" s="133" t="s">
        <v>12757</v>
      </c>
      <c r="QEM2" s="133" t="s">
        <v>12758</v>
      </c>
      <c r="QEN2" s="133" t="s">
        <v>12759</v>
      </c>
      <c r="QEO2" s="133" t="s">
        <v>12760</v>
      </c>
      <c r="QEP2" s="133" t="s">
        <v>12761</v>
      </c>
      <c r="QEQ2" s="133" t="s">
        <v>12762</v>
      </c>
      <c r="QER2" s="133" t="s">
        <v>12763</v>
      </c>
      <c r="QES2" s="133" t="s">
        <v>12764</v>
      </c>
      <c r="QET2" s="133" t="s">
        <v>12765</v>
      </c>
      <c r="QEU2" s="133" t="s">
        <v>12766</v>
      </c>
      <c r="QEV2" s="133" t="s">
        <v>12767</v>
      </c>
      <c r="QEW2" s="133" t="s">
        <v>12768</v>
      </c>
      <c r="QEX2" s="133" t="s">
        <v>12769</v>
      </c>
      <c r="QEY2" s="133" t="s">
        <v>12770</v>
      </c>
      <c r="QEZ2" s="133" t="s">
        <v>12771</v>
      </c>
      <c r="QFA2" s="133" t="s">
        <v>12772</v>
      </c>
      <c r="QFB2" s="133" t="s">
        <v>12773</v>
      </c>
      <c r="QFC2" s="133" t="s">
        <v>12774</v>
      </c>
      <c r="QFD2" s="133" t="s">
        <v>12775</v>
      </c>
      <c r="QFE2" s="133" t="s">
        <v>12776</v>
      </c>
      <c r="QFF2" s="133" t="s">
        <v>12777</v>
      </c>
      <c r="QFG2" s="133" t="s">
        <v>12778</v>
      </c>
      <c r="QFH2" s="133" t="s">
        <v>12779</v>
      </c>
      <c r="QFI2" s="133" t="s">
        <v>12780</v>
      </c>
      <c r="QFJ2" s="133" t="s">
        <v>12781</v>
      </c>
      <c r="QFK2" s="133" t="s">
        <v>12782</v>
      </c>
      <c r="QFL2" s="133" t="s">
        <v>12783</v>
      </c>
      <c r="QFM2" s="133" t="s">
        <v>12784</v>
      </c>
      <c r="QFN2" s="133" t="s">
        <v>12785</v>
      </c>
      <c r="QFO2" s="133" t="s">
        <v>12786</v>
      </c>
      <c r="QFP2" s="133" t="s">
        <v>12787</v>
      </c>
      <c r="QFQ2" s="133" t="s">
        <v>12788</v>
      </c>
      <c r="QFR2" s="133" t="s">
        <v>12789</v>
      </c>
      <c r="QFS2" s="133" t="s">
        <v>12790</v>
      </c>
      <c r="QFT2" s="133" t="s">
        <v>12791</v>
      </c>
      <c r="QFU2" s="133" t="s">
        <v>12792</v>
      </c>
      <c r="QFV2" s="133" t="s">
        <v>12793</v>
      </c>
      <c r="QFW2" s="133" t="s">
        <v>12794</v>
      </c>
      <c r="QFX2" s="133" t="s">
        <v>12795</v>
      </c>
      <c r="QFY2" s="133" t="s">
        <v>12796</v>
      </c>
      <c r="QFZ2" s="133" t="s">
        <v>12797</v>
      </c>
      <c r="QGA2" s="133" t="s">
        <v>12798</v>
      </c>
      <c r="QGB2" s="133" t="s">
        <v>12799</v>
      </c>
      <c r="QGC2" s="133" t="s">
        <v>12800</v>
      </c>
      <c r="QGD2" s="133" t="s">
        <v>12801</v>
      </c>
      <c r="QGE2" s="133" t="s">
        <v>12802</v>
      </c>
      <c r="QGF2" s="133" t="s">
        <v>12803</v>
      </c>
      <c r="QGG2" s="133" t="s">
        <v>12804</v>
      </c>
      <c r="QGH2" s="133" t="s">
        <v>12805</v>
      </c>
      <c r="QGI2" s="133" t="s">
        <v>12806</v>
      </c>
      <c r="QGJ2" s="133" t="s">
        <v>12807</v>
      </c>
      <c r="QGK2" s="133" t="s">
        <v>12808</v>
      </c>
      <c r="QGL2" s="133" t="s">
        <v>12809</v>
      </c>
      <c r="QGM2" s="133" t="s">
        <v>12810</v>
      </c>
      <c r="QGN2" s="133" t="s">
        <v>12811</v>
      </c>
      <c r="QGO2" s="133" t="s">
        <v>12812</v>
      </c>
      <c r="QGP2" s="133" t="s">
        <v>12813</v>
      </c>
      <c r="QGQ2" s="133" t="s">
        <v>12814</v>
      </c>
      <c r="QGR2" s="133" t="s">
        <v>12815</v>
      </c>
      <c r="QGS2" s="133" t="s">
        <v>12816</v>
      </c>
      <c r="QGT2" s="133" t="s">
        <v>12817</v>
      </c>
      <c r="QGU2" s="133" t="s">
        <v>12818</v>
      </c>
      <c r="QGV2" s="133" t="s">
        <v>12819</v>
      </c>
      <c r="QGW2" s="133" t="s">
        <v>12820</v>
      </c>
      <c r="QGX2" s="133" t="s">
        <v>12821</v>
      </c>
      <c r="QGY2" s="133" t="s">
        <v>12822</v>
      </c>
      <c r="QGZ2" s="133" t="s">
        <v>12823</v>
      </c>
      <c r="QHA2" s="133" t="s">
        <v>12824</v>
      </c>
      <c r="QHB2" s="133" t="s">
        <v>12825</v>
      </c>
      <c r="QHC2" s="133" t="s">
        <v>12826</v>
      </c>
      <c r="QHD2" s="133" t="s">
        <v>12827</v>
      </c>
      <c r="QHE2" s="133" t="s">
        <v>12828</v>
      </c>
      <c r="QHF2" s="133" t="s">
        <v>12829</v>
      </c>
      <c r="QHG2" s="133" t="s">
        <v>12830</v>
      </c>
      <c r="QHH2" s="133" t="s">
        <v>12831</v>
      </c>
      <c r="QHI2" s="133" t="s">
        <v>12832</v>
      </c>
      <c r="QHJ2" s="133" t="s">
        <v>12833</v>
      </c>
      <c r="QHK2" s="133" t="s">
        <v>12834</v>
      </c>
      <c r="QHL2" s="133" t="s">
        <v>12835</v>
      </c>
      <c r="QHM2" s="133" t="s">
        <v>12836</v>
      </c>
      <c r="QHN2" s="133" t="s">
        <v>12837</v>
      </c>
      <c r="QHO2" s="133" t="s">
        <v>12838</v>
      </c>
      <c r="QHP2" s="133" t="s">
        <v>12839</v>
      </c>
      <c r="QHQ2" s="133" t="s">
        <v>12840</v>
      </c>
      <c r="QHR2" s="133" t="s">
        <v>12841</v>
      </c>
      <c r="QHS2" s="133" t="s">
        <v>12842</v>
      </c>
      <c r="QHT2" s="133" t="s">
        <v>12843</v>
      </c>
      <c r="QHU2" s="133" t="s">
        <v>12844</v>
      </c>
      <c r="QHV2" s="133" t="s">
        <v>12845</v>
      </c>
      <c r="QHW2" s="133" t="s">
        <v>12846</v>
      </c>
      <c r="QHX2" s="133" t="s">
        <v>12847</v>
      </c>
      <c r="QHY2" s="133" t="s">
        <v>12848</v>
      </c>
      <c r="QHZ2" s="133" t="s">
        <v>12849</v>
      </c>
      <c r="QIA2" s="133" t="s">
        <v>12850</v>
      </c>
      <c r="QIB2" s="133" t="s">
        <v>12851</v>
      </c>
      <c r="QIC2" s="133" t="s">
        <v>12852</v>
      </c>
      <c r="QID2" s="133" t="s">
        <v>12853</v>
      </c>
      <c r="QIE2" s="133" t="s">
        <v>12854</v>
      </c>
      <c r="QIF2" s="133" t="s">
        <v>12855</v>
      </c>
      <c r="QIG2" s="133" t="s">
        <v>12856</v>
      </c>
      <c r="QIH2" s="133" t="s">
        <v>12857</v>
      </c>
      <c r="QII2" s="133" t="s">
        <v>12858</v>
      </c>
      <c r="QIJ2" s="133" t="s">
        <v>12859</v>
      </c>
      <c r="QIK2" s="133" t="s">
        <v>12860</v>
      </c>
      <c r="QIL2" s="133" t="s">
        <v>12861</v>
      </c>
      <c r="QIM2" s="133" t="s">
        <v>12862</v>
      </c>
      <c r="QIN2" s="133" t="s">
        <v>12863</v>
      </c>
      <c r="QIO2" s="133" t="s">
        <v>12864</v>
      </c>
      <c r="QIP2" s="133" t="s">
        <v>12865</v>
      </c>
      <c r="QIQ2" s="133" t="s">
        <v>12866</v>
      </c>
      <c r="QIR2" s="133" t="s">
        <v>12867</v>
      </c>
      <c r="QIS2" s="133" t="s">
        <v>12868</v>
      </c>
      <c r="QIT2" s="133" t="s">
        <v>12869</v>
      </c>
      <c r="QIU2" s="133" t="s">
        <v>12870</v>
      </c>
      <c r="QIV2" s="133" t="s">
        <v>12871</v>
      </c>
      <c r="QIW2" s="133" t="s">
        <v>12872</v>
      </c>
      <c r="QIX2" s="133" t="s">
        <v>12873</v>
      </c>
      <c r="QIY2" s="133" t="s">
        <v>12874</v>
      </c>
      <c r="QIZ2" s="133" t="s">
        <v>12875</v>
      </c>
      <c r="QJA2" s="133" t="s">
        <v>12876</v>
      </c>
      <c r="QJB2" s="133" t="s">
        <v>12877</v>
      </c>
      <c r="QJC2" s="133" t="s">
        <v>12878</v>
      </c>
      <c r="QJD2" s="133" t="s">
        <v>12879</v>
      </c>
      <c r="QJE2" s="133" t="s">
        <v>12880</v>
      </c>
      <c r="QJF2" s="133" t="s">
        <v>12881</v>
      </c>
      <c r="QJG2" s="133" t="s">
        <v>12882</v>
      </c>
      <c r="QJH2" s="133" t="s">
        <v>12883</v>
      </c>
      <c r="QJI2" s="133" t="s">
        <v>12884</v>
      </c>
      <c r="QJJ2" s="133" t="s">
        <v>12885</v>
      </c>
      <c r="QJK2" s="133" t="s">
        <v>12886</v>
      </c>
      <c r="QJL2" s="133" t="s">
        <v>12887</v>
      </c>
      <c r="QJM2" s="133" t="s">
        <v>12888</v>
      </c>
      <c r="QJN2" s="133" t="s">
        <v>12889</v>
      </c>
      <c r="QJO2" s="133" t="s">
        <v>12890</v>
      </c>
      <c r="QJP2" s="133" t="s">
        <v>12891</v>
      </c>
      <c r="QJQ2" s="133" t="s">
        <v>12892</v>
      </c>
      <c r="QJR2" s="133" t="s">
        <v>12893</v>
      </c>
      <c r="QJS2" s="133" t="s">
        <v>12894</v>
      </c>
      <c r="QJT2" s="133" t="s">
        <v>12895</v>
      </c>
      <c r="QJU2" s="133" t="s">
        <v>12896</v>
      </c>
      <c r="QJV2" s="133" t="s">
        <v>12897</v>
      </c>
      <c r="QJW2" s="133" t="s">
        <v>12898</v>
      </c>
      <c r="QJX2" s="133" t="s">
        <v>12899</v>
      </c>
      <c r="QJY2" s="133" t="s">
        <v>12900</v>
      </c>
      <c r="QJZ2" s="133" t="s">
        <v>12901</v>
      </c>
      <c r="QKA2" s="133" t="s">
        <v>12902</v>
      </c>
      <c r="QKB2" s="133" t="s">
        <v>12903</v>
      </c>
      <c r="QKC2" s="133" t="s">
        <v>12904</v>
      </c>
      <c r="QKD2" s="133" t="s">
        <v>12905</v>
      </c>
      <c r="QKE2" s="133" t="s">
        <v>12906</v>
      </c>
      <c r="QKF2" s="133" t="s">
        <v>12907</v>
      </c>
      <c r="QKG2" s="133" t="s">
        <v>12908</v>
      </c>
      <c r="QKH2" s="133" t="s">
        <v>12909</v>
      </c>
      <c r="QKI2" s="133" t="s">
        <v>12910</v>
      </c>
      <c r="QKJ2" s="133" t="s">
        <v>12911</v>
      </c>
      <c r="QKK2" s="133" t="s">
        <v>12912</v>
      </c>
      <c r="QKL2" s="133" t="s">
        <v>12913</v>
      </c>
      <c r="QKM2" s="133" t="s">
        <v>12914</v>
      </c>
      <c r="QKN2" s="133" t="s">
        <v>12915</v>
      </c>
      <c r="QKO2" s="133" t="s">
        <v>12916</v>
      </c>
      <c r="QKP2" s="133" t="s">
        <v>12917</v>
      </c>
      <c r="QKQ2" s="133" t="s">
        <v>12918</v>
      </c>
      <c r="QKR2" s="133" t="s">
        <v>12919</v>
      </c>
      <c r="QKS2" s="133" t="s">
        <v>12920</v>
      </c>
      <c r="QKT2" s="133" t="s">
        <v>12921</v>
      </c>
      <c r="QKU2" s="133" t="s">
        <v>12922</v>
      </c>
      <c r="QKV2" s="133" t="s">
        <v>12923</v>
      </c>
      <c r="QKW2" s="133" t="s">
        <v>12924</v>
      </c>
      <c r="QKX2" s="133" t="s">
        <v>12925</v>
      </c>
      <c r="QKY2" s="133" t="s">
        <v>12926</v>
      </c>
      <c r="QKZ2" s="133" t="s">
        <v>12927</v>
      </c>
      <c r="QLA2" s="133" t="s">
        <v>12928</v>
      </c>
      <c r="QLB2" s="133" t="s">
        <v>12929</v>
      </c>
      <c r="QLC2" s="133" t="s">
        <v>12930</v>
      </c>
      <c r="QLD2" s="133" t="s">
        <v>12931</v>
      </c>
      <c r="QLE2" s="133" t="s">
        <v>12932</v>
      </c>
      <c r="QLF2" s="133" t="s">
        <v>12933</v>
      </c>
      <c r="QLG2" s="133" t="s">
        <v>12934</v>
      </c>
      <c r="QLH2" s="133" t="s">
        <v>12935</v>
      </c>
      <c r="QLI2" s="133" t="s">
        <v>12936</v>
      </c>
      <c r="QLJ2" s="133" t="s">
        <v>12937</v>
      </c>
      <c r="QLK2" s="133" t="s">
        <v>12938</v>
      </c>
      <c r="QLL2" s="133" t="s">
        <v>12939</v>
      </c>
      <c r="QLM2" s="133" t="s">
        <v>12940</v>
      </c>
      <c r="QLN2" s="133" t="s">
        <v>12941</v>
      </c>
      <c r="QLO2" s="133" t="s">
        <v>12942</v>
      </c>
      <c r="QLP2" s="133" t="s">
        <v>12943</v>
      </c>
      <c r="QLQ2" s="133" t="s">
        <v>12944</v>
      </c>
      <c r="QLR2" s="133" t="s">
        <v>12945</v>
      </c>
      <c r="QLS2" s="133" t="s">
        <v>12946</v>
      </c>
      <c r="QLT2" s="133" t="s">
        <v>12947</v>
      </c>
      <c r="QLU2" s="133" t="s">
        <v>12948</v>
      </c>
      <c r="QLV2" s="133" t="s">
        <v>12949</v>
      </c>
      <c r="QLW2" s="133" t="s">
        <v>12950</v>
      </c>
      <c r="QLX2" s="133" t="s">
        <v>12951</v>
      </c>
      <c r="QLY2" s="133" t="s">
        <v>12952</v>
      </c>
      <c r="QLZ2" s="133" t="s">
        <v>12953</v>
      </c>
      <c r="QMA2" s="133" t="s">
        <v>12954</v>
      </c>
      <c r="QMB2" s="133" t="s">
        <v>12955</v>
      </c>
      <c r="QMC2" s="133" t="s">
        <v>12956</v>
      </c>
      <c r="QMD2" s="133" t="s">
        <v>12957</v>
      </c>
      <c r="QME2" s="133" t="s">
        <v>12958</v>
      </c>
      <c r="QMF2" s="133" t="s">
        <v>12959</v>
      </c>
      <c r="QMG2" s="133" t="s">
        <v>12960</v>
      </c>
      <c r="QMH2" s="133" t="s">
        <v>12961</v>
      </c>
      <c r="QMI2" s="133" t="s">
        <v>12962</v>
      </c>
      <c r="QMJ2" s="133" t="s">
        <v>12963</v>
      </c>
      <c r="QMK2" s="133" t="s">
        <v>12964</v>
      </c>
      <c r="QML2" s="133" t="s">
        <v>12965</v>
      </c>
      <c r="QMM2" s="133" t="s">
        <v>12966</v>
      </c>
      <c r="QMN2" s="133" t="s">
        <v>12967</v>
      </c>
      <c r="QMO2" s="133" t="s">
        <v>12968</v>
      </c>
      <c r="QMP2" s="133" t="s">
        <v>12969</v>
      </c>
      <c r="QMQ2" s="133" t="s">
        <v>12970</v>
      </c>
      <c r="QMR2" s="133" t="s">
        <v>12971</v>
      </c>
      <c r="QMS2" s="133" t="s">
        <v>12972</v>
      </c>
      <c r="QMT2" s="133" t="s">
        <v>12973</v>
      </c>
      <c r="QMU2" s="133" t="s">
        <v>12974</v>
      </c>
      <c r="QMV2" s="133" t="s">
        <v>12975</v>
      </c>
      <c r="QMW2" s="133" t="s">
        <v>12976</v>
      </c>
      <c r="QMX2" s="133" t="s">
        <v>12977</v>
      </c>
      <c r="QMY2" s="133" t="s">
        <v>12978</v>
      </c>
      <c r="QMZ2" s="133" t="s">
        <v>12979</v>
      </c>
      <c r="QNA2" s="133" t="s">
        <v>12980</v>
      </c>
      <c r="QNB2" s="133" t="s">
        <v>12981</v>
      </c>
      <c r="QNC2" s="133" t="s">
        <v>12982</v>
      </c>
      <c r="QND2" s="133" t="s">
        <v>12983</v>
      </c>
      <c r="QNE2" s="133" t="s">
        <v>12984</v>
      </c>
      <c r="QNF2" s="133" t="s">
        <v>12985</v>
      </c>
      <c r="QNG2" s="133" t="s">
        <v>12986</v>
      </c>
      <c r="QNH2" s="133" t="s">
        <v>12987</v>
      </c>
      <c r="QNI2" s="133" t="s">
        <v>12988</v>
      </c>
      <c r="QNJ2" s="133" t="s">
        <v>12989</v>
      </c>
      <c r="QNK2" s="133" t="s">
        <v>12990</v>
      </c>
      <c r="QNL2" s="133" t="s">
        <v>12991</v>
      </c>
      <c r="QNM2" s="133" t="s">
        <v>12992</v>
      </c>
      <c r="QNN2" s="133" t="s">
        <v>12993</v>
      </c>
      <c r="QNO2" s="133" t="s">
        <v>12994</v>
      </c>
      <c r="QNP2" s="133" t="s">
        <v>12995</v>
      </c>
      <c r="QNQ2" s="133" t="s">
        <v>12996</v>
      </c>
      <c r="QNR2" s="133" t="s">
        <v>12997</v>
      </c>
      <c r="QNS2" s="133" t="s">
        <v>12998</v>
      </c>
      <c r="QNT2" s="133" t="s">
        <v>12999</v>
      </c>
      <c r="QNU2" s="133" t="s">
        <v>13000</v>
      </c>
      <c r="QNV2" s="133" t="s">
        <v>13001</v>
      </c>
      <c r="QNW2" s="133" t="s">
        <v>13002</v>
      </c>
      <c r="QNX2" s="133" t="s">
        <v>13003</v>
      </c>
      <c r="QNY2" s="133" t="s">
        <v>13004</v>
      </c>
      <c r="QNZ2" s="133" t="s">
        <v>13005</v>
      </c>
      <c r="QOA2" s="133" t="s">
        <v>13006</v>
      </c>
      <c r="QOB2" s="133" t="s">
        <v>13007</v>
      </c>
      <c r="QOC2" s="133" t="s">
        <v>13008</v>
      </c>
      <c r="QOD2" s="133" t="s">
        <v>13009</v>
      </c>
      <c r="QOE2" s="133" t="s">
        <v>13010</v>
      </c>
      <c r="QOF2" s="133" t="s">
        <v>13011</v>
      </c>
      <c r="QOG2" s="133" t="s">
        <v>13012</v>
      </c>
      <c r="QOH2" s="133" t="s">
        <v>13013</v>
      </c>
      <c r="QOI2" s="133" t="s">
        <v>13014</v>
      </c>
      <c r="QOJ2" s="133" t="s">
        <v>13015</v>
      </c>
      <c r="QOK2" s="133" t="s">
        <v>13016</v>
      </c>
      <c r="QOL2" s="133" t="s">
        <v>13017</v>
      </c>
      <c r="QOM2" s="133" t="s">
        <v>13018</v>
      </c>
      <c r="QON2" s="133" t="s">
        <v>13019</v>
      </c>
      <c r="QOO2" s="133" t="s">
        <v>13020</v>
      </c>
      <c r="QOP2" s="133" t="s">
        <v>13021</v>
      </c>
      <c r="QOQ2" s="133" t="s">
        <v>13022</v>
      </c>
      <c r="QOR2" s="133" t="s">
        <v>13023</v>
      </c>
      <c r="QOS2" s="133" t="s">
        <v>13024</v>
      </c>
      <c r="QOT2" s="133" t="s">
        <v>13025</v>
      </c>
      <c r="QOU2" s="133" t="s">
        <v>13026</v>
      </c>
      <c r="QOV2" s="133" t="s">
        <v>13027</v>
      </c>
      <c r="QOW2" s="133" t="s">
        <v>13028</v>
      </c>
      <c r="QOX2" s="133" t="s">
        <v>13029</v>
      </c>
      <c r="QOY2" s="133" t="s">
        <v>13030</v>
      </c>
      <c r="QOZ2" s="133" t="s">
        <v>13031</v>
      </c>
      <c r="QPA2" s="133" t="s">
        <v>13032</v>
      </c>
      <c r="QPB2" s="133" t="s">
        <v>13033</v>
      </c>
      <c r="QPC2" s="133" t="s">
        <v>13034</v>
      </c>
      <c r="QPD2" s="133" t="s">
        <v>13035</v>
      </c>
      <c r="QPE2" s="133" t="s">
        <v>13036</v>
      </c>
      <c r="QPF2" s="133" t="s">
        <v>13037</v>
      </c>
      <c r="QPG2" s="133" t="s">
        <v>13038</v>
      </c>
      <c r="QPH2" s="133" t="s">
        <v>13039</v>
      </c>
      <c r="QPI2" s="133" t="s">
        <v>13040</v>
      </c>
      <c r="QPJ2" s="133" t="s">
        <v>13041</v>
      </c>
      <c r="QPK2" s="133" t="s">
        <v>13042</v>
      </c>
      <c r="QPL2" s="133" t="s">
        <v>13043</v>
      </c>
      <c r="QPM2" s="133" t="s">
        <v>13044</v>
      </c>
      <c r="QPN2" s="133" t="s">
        <v>13045</v>
      </c>
      <c r="QPO2" s="133" t="s">
        <v>13046</v>
      </c>
      <c r="QPP2" s="133" t="s">
        <v>13047</v>
      </c>
      <c r="QPQ2" s="133" t="s">
        <v>13048</v>
      </c>
      <c r="QPR2" s="133" t="s">
        <v>13049</v>
      </c>
      <c r="QPS2" s="133" t="s">
        <v>13050</v>
      </c>
      <c r="QPT2" s="133" t="s">
        <v>13051</v>
      </c>
      <c r="QPU2" s="133" t="s">
        <v>13052</v>
      </c>
      <c r="QPV2" s="133" t="s">
        <v>13053</v>
      </c>
      <c r="QPW2" s="133" t="s">
        <v>13054</v>
      </c>
      <c r="QPX2" s="133" t="s">
        <v>13055</v>
      </c>
      <c r="QPY2" s="133" t="s">
        <v>13056</v>
      </c>
      <c r="QPZ2" s="133" t="s">
        <v>13057</v>
      </c>
      <c r="QQA2" s="133" t="s">
        <v>13058</v>
      </c>
      <c r="QQB2" s="133" t="s">
        <v>13059</v>
      </c>
      <c r="QQC2" s="133" t="s">
        <v>13060</v>
      </c>
      <c r="QQD2" s="133" t="s">
        <v>13061</v>
      </c>
      <c r="QQE2" s="133" t="s">
        <v>13062</v>
      </c>
      <c r="QQF2" s="133" t="s">
        <v>13063</v>
      </c>
      <c r="QQG2" s="133" t="s">
        <v>13064</v>
      </c>
      <c r="QQH2" s="133" t="s">
        <v>13065</v>
      </c>
      <c r="QQI2" s="133" t="s">
        <v>13066</v>
      </c>
      <c r="QQJ2" s="133" t="s">
        <v>13067</v>
      </c>
      <c r="QQK2" s="133" t="s">
        <v>13068</v>
      </c>
      <c r="QQL2" s="133" t="s">
        <v>13069</v>
      </c>
      <c r="QQM2" s="133" t="s">
        <v>13070</v>
      </c>
      <c r="QQN2" s="133" t="s">
        <v>13071</v>
      </c>
      <c r="QQO2" s="133" t="s">
        <v>13072</v>
      </c>
      <c r="QQP2" s="133" t="s">
        <v>13073</v>
      </c>
      <c r="QQQ2" s="133" t="s">
        <v>13074</v>
      </c>
      <c r="QQR2" s="133" t="s">
        <v>13075</v>
      </c>
      <c r="QQS2" s="133" t="s">
        <v>13076</v>
      </c>
      <c r="QQT2" s="133" t="s">
        <v>13077</v>
      </c>
      <c r="QQU2" s="133" t="s">
        <v>13078</v>
      </c>
      <c r="QQV2" s="133" t="s">
        <v>13079</v>
      </c>
      <c r="QQW2" s="133" t="s">
        <v>13080</v>
      </c>
      <c r="QQX2" s="133" t="s">
        <v>13081</v>
      </c>
      <c r="QQY2" s="133" t="s">
        <v>13082</v>
      </c>
      <c r="QQZ2" s="133" t="s">
        <v>13083</v>
      </c>
      <c r="QRA2" s="133" t="s">
        <v>13084</v>
      </c>
      <c r="QRB2" s="133" t="s">
        <v>13085</v>
      </c>
      <c r="QRC2" s="133" t="s">
        <v>13086</v>
      </c>
      <c r="QRD2" s="133" t="s">
        <v>13087</v>
      </c>
      <c r="QRE2" s="133" t="s">
        <v>13088</v>
      </c>
      <c r="QRF2" s="133" t="s">
        <v>13089</v>
      </c>
      <c r="QRG2" s="133" t="s">
        <v>13090</v>
      </c>
      <c r="QRH2" s="133" t="s">
        <v>13091</v>
      </c>
      <c r="QRI2" s="133" t="s">
        <v>13092</v>
      </c>
      <c r="QRJ2" s="133" t="s">
        <v>13093</v>
      </c>
      <c r="QRK2" s="133" t="s">
        <v>13094</v>
      </c>
      <c r="QRL2" s="133" t="s">
        <v>13095</v>
      </c>
      <c r="QRM2" s="133" t="s">
        <v>13096</v>
      </c>
      <c r="QRN2" s="133" t="s">
        <v>13097</v>
      </c>
      <c r="QRO2" s="133" t="s">
        <v>13098</v>
      </c>
      <c r="QRP2" s="133" t="s">
        <v>13099</v>
      </c>
      <c r="QRQ2" s="133" t="s">
        <v>13100</v>
      </c>
      <c r="QRR2" s="133" t="s">
        <v>13101</v>
      </c>
      <c r="QRS2" s="133" t="s">
        <v>13102</v>
      </c>
      <c r="QRT2" s="133" t="s">
        <v>13103</v>
      </c>
      <c r="QRU2" s="133" t="s">
        <v>13104</v>
      </c>
      <c r="QRV2" s="133" t="s">
        <v>13105</v>
      </c>
      <c r="QRW2" s="133" t="s">
        <v>13106</v>
      </c>
      <c r="QRX2" s="133" t="s">
        <v>13107</v>
      </c>
      <c r="QRY2" s="133" t="s">
        <v>13108</v>
      </c>
      <c r="QRZ2" s="133" t="s">
        <v>13109</v>
      </c>
      <c r="QSA2" s="133" t="s">
        <v>13110</v>
      </c>
      <c r="QSB2" s="133" t="s">
        <v>13111</v>
      </c>
      <c r="QSC2" s="133" t="s">
        <v>13112</v>
      </c>
      <c r="QSD2" s="133" t="s">
        <v>13113</v>
      </c>
      <c r="QSE2" s="133" t="s">
        <v>13114</v>
      </c>
      <c r="QSF2" s="133" t="s">
        <v>13115</v>
      </c>
      <c r="QSG2" s="133" t="s">
        <v>13116</v>
      </c>
      <c r="QSH2" s="133" t="s">
        <v>13117</v>
      </c>
      <c r="QSI2" s="133" t="s">
        <v>13118</v>
      </c>
      <c r="QSJ2" s="133" t="s">
        <v>13119</v>
      </c>
      <c r="QSK2" s="133" t="s">
        <v>13120</v>
      </c>
      <c r="QSL2" s="133" t="s">
        <v>13121</v>
      </c>
      <c r="QSM2" s="133" t="s">
        <v>13122</v>
      </c>
      <c r="QSN2" s="133" t="s">
        <v>13123</v>
      </c>
      <c r="QSO2" s="133" t="s">
        <v>13124</v>
      </c>
      <c r="QSP2" s="133" t="s">
        <v>13125</v>
      </c>
      <c r="QSQ2" s="133" t="s">
        <v>13126</v>
      </c>
      <c r="QSR2" s="133" t="s">
        <v>13127</v>
      </c>
      <c r="QSS2" s="133" t="s">
        <v>13128</v>
      </c>
      <c r="QST2" s="133" t="s">
        <v>13129</v>
      </c>
      <c r="QSU2" s="133" t="s">
        <v>13130</v>
      </c>
      <c r="QSV2" s="133" t="s">
        <v>13131</v>
      </c>
      <c r="QSW2" s="133" t="s">
        <v>13132</v>
      </c>
      <c r="QSX2" s="133" t="s">
        <v>13133</v>
      </c>
      <c r="QSY2" s="133" t="s">
        <v>13134</v>
      </c>
      <c r="QSZ2" s="133" t="s">
        <v>13135</v>
      </c>
      <c r="QTA2" s="133" t="s">
        <v>13136</v>
      </c>
      <c r="QTB2" s="133" t="s">
        <v>13137</v>
      </c>
      <c r="QTC2" s="133" t="s">
        <v>13138</v>
      </c>
      <c r="QTD2" s="133" t="s">
        <v>13139</v>
      </c>
      <c r="QTE2" s="133" t="s">
        <v>13140</v>
      </c>
      <c r="QTF2" s="133" t="s">
        <v>13141</v>
      </c>
      <c r="QTG2" s="133" t="s">
        <v>13142</v>
      </c>
      <c r="QTH2" s="133" t="s">
        <v>13143</v>
      </c>
      <c r="QTI2" s="133" t="s">
        <v>13144</v>
      </c>
      <c r="QTJ2" s="133" t="s">
        <v>13145</v>
      </c>
      <c r="QTK2" s="133" t="s">
        <v>13146</v>
      </c>
      <c r="QTL2" s="133" t="s">
        <v>13147</v>
      </c>
      <c r="QTM2" s="133" t="s">
        <v>13148</v>
      </c>
      <c r="QTN2" s="133" t="s">
        <v>13149</v>
      </c>
      <c r="QTO2" s="133" t="s">
        <v>13150</v>
      </c>
      <c r="QTP2" s="133" t="s">
        <v>13151</v>
      </c>
      <c r="QTQ2" s="133" t="s">
        <v>13152</v>
      </c>
      <c r="QTR2" s="133" t="s">
        <v>13153</v>
      </c>
      <c r="QTS2" s="133" t="s">
        <v>13154</v>
      </c>
      <c r="QTT2" s="133" t="s">
        <v>13155</v>
      </c>
      <c r="QTU2" s="133" t="s">
        <v>13156</v>
      </c>
      <c r="QTV2" s="133" t="s">
        <v>13157</v>
      </c>
      <c r="QTW2" s="133" t="s">
        <v>13158</v>
      </c>
      <c r="QTX2" s="133" t="s">
        <v>13159</v>
      </c>
      <c r="QTY2" s="133" t="s">
        <v>13160</v>
      </c>
      <c r="QTZ2" s="133" t="s">
        <v>13161</v>
      </c>
      <c r="QUA2" s="133" t="s">
        <v>13162</v>
      </c>
      <c r="QUB2" s="133" t="s">
        <v>13163</v>
      </c>
      <c r="QUC2" s="133" t="s">
        <v>13164</v>
      </c>
      <c r="QUD2" s="133" t="s">
        <v>13165</v>
      </c>
      <c r="QUE2" s="133" t="s">
        <v>13166</v>
      </c>
      <c r="QUF2" s="133" t="s">
        <v>13167</v>
      </c>
      <c r="QUG2" s="133" t="s">
        <v>13168</v>
      </c>
      <c r="QUH2" s="133" t="s">
        <v>13169</v>
      </c>
      <c r="QUI2" s="133" t="s">
        <v>13170</v>
      </c>
      <c r="QUJ2" s="133" t="s">
        <v>13171</v>
      </c>
      <c r="QUK2" s="133" t="s">
        <v>13172</v>
      </c>
      <c r="QUL2" s="133" t="s">
        <v>13173</v>
      </c>
      <c r="QUM2" s="133" t="s">
        <v>13174</v>
      </c>
      <c r="QUN2" s="133" t="s">
        <v>13175</v>
      </c>
      <c r="QUO2" s="133" t="s">
        <v>13176</v>
      </c>
      <c r="QUP2" s="133" t="s">
        <v>13177</v>
      </c>
      <c r="QUQ2" s="133" t="s">
        <v>13178</v>
      </c>
      <c r="QUR2" s="133" t="s">
        <v>13179</v>
      </c>
      <c r="QUS2" s="133" t="s">
        <v>13180</v>
      </c>
      <c r="QUT2" s="133" t="s">
        <v>13181</v>
      </c>
      <c r="QUU2" s="133" t="s">
        <v>13182</v>
      </c>
      <c r="QUV2" s="133" t="s">
        <v>13183</v>
      </c>
      <c r="QUW2" s="133" t="s">
        <v>13184</v>
      </c>
      <c r="QUX2" s="133" t="s">
        <v>13185</v>
      </c>
      <c r="QUY2" s="133" t="s">
        <v>13186</v>
      </c>
      <c r="QUZ2" s="133" t="s">
        <v>13187</v>
      </c>
      <c r="QVA2" s="133" t="s">
        <v>13188</v>
      </c>
      <c r="QVB2" s="133" t="s">
        <v>13189</v>
      </c>
      <c r="QVC2" s="133" t="s">
        <v>13190</v>
      </c>
      <c r="QVD2" s="133" t="s">
        <v>13191</v>
      </c>
      <c r="QVE2" s="133" t="s">
        <v>13192</v>
      </c>
      <c r="QVF2" s="133" t="s">
        <v>13193</v>
      </c>
      <c r="QVG2" s="133" t="s">
        <v>13194</v>
      </c>
      <c r="QVH2" s="133" t="s">
        <v>13195</v>
      </c>
      <c r="QVI2" s="133" t="s">
        <v>13196</v>
      </c>
      <c r="QVJ2" s="133" t="s">
        <v>13197</v>
      </c>
      <c r="QVK2" s="133" t="s">
        <v>13198</v>
      </c>
      <c r="QVL2" s="133" t="s">
        <v>13199</v>
      </c>
      <c r="QVM2" s="133" t="s">
        <v>13200</v>
      </c>
      <c r="QVN2" s="133" t="s">
        <v>13201</v>
      </c>
      <c r="QVO2" s="133" t="s">
        <v>13202</v>
      </c>
      <c r="QVP2" s="133" t="s">
        <v>13203</v>
      </c>
      <c r="QVQ2" s="133" t="s">
        <v>13204</v>
      </c>
      <c r="QVR2" s="133" t="s">
        <v>13205</v>
      </c>
      <c r="QVS2" s="133" t="s">
        <v>13206</v>
      </c>
      <c r="QVT2" s="133" t="s">
        <v>13207</v>
      </c>
      <c r="QVU2" s="133" t="s">
        <v>13208</v>
      </c>
      <c r="QVV2" s="133" t="s">
        <v>13209</v>
      </c>
      <c r="QVW2" s="133" t="s">
        <v>13210</v>
      </c>
      <c r="QVX2" s="133" t="s">
        <v>13211</v>
      </c>
      <c r="QVY2" s="133" t="s">
        <v>13212</v>
      </c>
      <c r="QVZ2" s="133" t="s">
        <v>13213</v>
      </c>
      <c r="QWA2" s="133" t="s">
        <v>13214</v>
      </c>
      <c r="QWB2" s="133" t="s">
        <v>13215</v>
      </c>
      <c r="QWC2" s="133" t="s">
        <v>13216</v>
      </c>
      <c r="QWD2" s="133" t="s">
        <v>13217</v>
      </c>
      <c r="QWE2" s="133" t="s">
        <v>13218</v>
      </c>
      <c r="QWF2" s="133" t="s">
        <v>13219</v>
      </c>
      <c r="QWG2" s="133" t="s">
        <v>13220</v>
      </c>
      <c r="QWH2" s="133" t="s">
        <v>13221</v>
      </c>
      <c r="QWI2" s="133" t="s">
        <v>13222</v>
      </c>
      <c r="QWJ2" s="133" t="s">
        <v>13223</v>
      </c>
      <c r="QWK2" s="133" t="s">
        <v>13224</v>
      </c>
      <c r="QWL2" s="133" t="s">
        <v>13225</v>
      </c>
      <c r="QWM2" s="133" t="s">
        <v>13226</v>
      </c>
      <c r="QWN2" s="133" t="s">
        <v>13227</v>
      </c>
      <c r="QWO2" s="133" t="s">
        <v>13228</v>
      </c>
      <c r="QWP2" s="133" t="s">
        <v>13229</v>
      </c>
      <c r="QWQ2" s="133" t="s">
        <v>13230</v>
      </c>
      <c r="QWR2" s="133" t="s">
        <v>13231</v>
      </c>
      <c r="QWS2" s="133" t="s">
        <v>13232</v>
      </c>
      <c r="QWT2" s="133" t="s">
        <v>13233</v>
      </c>
      <c r="QWU2" s="133" t="s">
        <v>13234</v>
      </c>
      <c r="QWV2" s="133" t="s">
        <v>13235</v>
      </c>
      <c r="QWW2" s="133" t="s">
        <v>13236</v>
      </c>
      <c r="QWX2" s="133" t="s">
        <v>13237</v>
      </c>
      <c r="QWY2" s="133" t="s">
        <v>13238</v>
      </c>
      <c r="QWZ2" s="133" t="s">
        <v>13239</v>
      </c>
      <c r="QXA2" s="133" t="s">
        <v>13240</v>
      </c>
      <c r="QXB2" s="133" t="s">
        <v>13241</v>
      </c>
      <c r="QXC2" s="133" t="s">
        <v>13242</v>
      </c>
      <c r="QXD2" s="133" t="s">
        <v>13243</v>
      </c>
      <c r="QXE2" s="133" t="s">
        <v>13244</v>
      </c>
      <c r="QXF2" s="133" t="s">
        <v>13245</v>
      </c>
      <c r="QXG2" s="133" t="s">
        <v>13246</v>
      </c>
      <c r="QXH2" s="133" t="s">
        <v>13247</v>
      </c>
      <c r="QXI2" s="133" t="s">
        <v>13248</v>
      </c>
      <c r="QXJ2" s="133" t="s">
        <v>13249</v>
      </c>
      <c r="QXK2" s="133" t="s">
        <v>13250</v>
      </c>
      <c r="QXL2" s="133" t="s">
        <v>13251</v>
      </c>
      <c r="QXM2" s="133" t="s">
        <v>13252</v>
      </c>
      <c r="QXN2" s="133" t="s">
        <v>13253</v>
      </c>
      <c r="QXO2" s="133" t="s">
        <v>13254</v>
      </c>
      <c r="QXP2" s="133" t="s">
        <v>13255</v>
      </c>
      <c r="QXQ2" s="133" t="s">
        <v>13256</v>
      </c>
      <c r="QXR2" s="133" t="s">
        <v>13257</v>
      </c>
      <c r="QXS2" s="133" t="s">
        <v>13258</v>
      </c>
      <c r="QXT2" s="133" t="s">
        <v>13259</v>
      </c>
      <c r="QXU2" s="133" t="s">
        <v>13260</v>
      </c>
      <c r="QXV2" s="133" t="s">
        <v>13261</v>
      </c>
      <c r="QXW2" s="133" t="s">
        <v>13262</v>
      </c>
      <c r="QXX2" s="133" t="s">
        <v>13263</v>
      </c>
      <c r="QXY2" s="133" t="s">
        <v>13264</v>
      </c>
      <c r="QXZ2" s="133" t="s">
        <v>13265</v>
      </c>
      <c r="QYA2" s="133" t="s">
        <v>13266</v>
      </c>
      <c r="QYB2" s="133" t="s">
        <v>13267</v>
      </c>
      <c r="QYC2" s="133" t="s">
        <v>13268</v>
      </c>
      <c r="QYD2" s="133" t="s">
        <v>13269</v>
      </c>
      <c r="QYE2" s="133" t="s">
        <v>13270</v>
      </c>
      <c r="QYF2" s="133" t="s">
        <v>13271</v>
      </c>
      <c r="QYG2" s="133" t="s">
        <v>13272</v>
      </c>
      <c r="QYH2" s="133" t="s">
        <v>13273</v>
      </c>
      <c r="QYI2" s="133" t="s">
        <v>13274</v>
      </c>
      <c r="QYJ2" s="133" t="s">
        <v>13275</v>
      </c>
      <c r="QYK2" s="133" t="s">
        <v>13276</v>
      </c>
      <c r="QYL2" s="133" t="s">
        <v>13277</v>
      </c>
      <c r="QYM2" s="133" t="s">
        <v>13278</v>
      </c>
      <c r="QYN2" s="133" t="s">
        <v>13279</v>
      </c>
      <c r="QYO2" s="133" t="s">
        <v>13280</v>
      </c>
      <c r="QYP2" s="133" t="s">
        <v>13281</v>
      </c>
      <c r="QYQ2" s="133" t="s">
        <v>13282</v>
      </c>
      <c r="QYR2" s="133" t="s">
        <v>13283</v>
      </c>
      <c r="QYS2" s="133" t="s">
        <v>13284</v>
      </c>
      <c r="QYT2" s="133" t="s">
        <v>13285</v>
      </c>
      <c r="QYU2" s="133" t="s">
        <v>13286</v>
      </c>
      <c r="QYV2" s="133" t="s">
        <v>13287</v>
      </c>
      <c r="QYW2" s="133" t="s">
        <v>13288</v>
      </c>
      <c r="QYX2" s="133" t="s">
        <v>13289</v>
      </c>
      <c r="QYY2" s="133" t="s">
        <v>13290</v>
      </c>
      <c r="QYZ2" s="133" t="s">
        <v>13291</v>
      </c>
      <c r="QZA2" s="133" t="s">
        <v>13292</v>
      </c>
      <c r="QZB2" s="133" t="s">
        <v>13293</v>
      </c>
      <c r="QZC2" s="133" t="s">
        <v>13294</v>
      </c>
      <c r="QZD2" s="133" t="s">
        <v>13295</v>
      </c>
      <c r="QZE2" s="133" t="s">
        <v>13296</v>
      </c>
      <c r="QZF2" s="133" t="s">
        <v>13297</v>
      </c>
      <c r="QZG2" s="133" t="s">
        <v>13298</v>
      </c>
      <c r="QZH2" s="133" t="s">
        <v>13299</v>
      </c>
      <c r="QZI2" s="133" t="s">
        <v>13300</v>
      </c>
      <c r="QZJ2" s="133" t="s">
        <v>13301</v>
      </c>
      <c r="QZK2" s="133" t="s">
        <v>13302</v>
      </c>
      <c r="QZL2" s="133" t="s">
        <v>13303</v>
      </c>
      <c r="QZM2" s="133" t="s">
        <v>13304</v>
      </c>
      <c r="QZN2" s="133" t="s">
        <v>13305</v>
      </c>
      <c r="QZO2" s="133" t="s">
        <v>13306</v>
      </c>
      <c r="QZP2" s="133" t="s">
        <v>13307</v>
      </c>
      <c r="QZQ2" s="133" t="s">
        <v>13308</v>
      </c>
      <c r="QZR2" s="133" t="s">
        <v>13309</v>
      </c>
      <c r="QZS2" s="133" t="s">
        <v>13310</v>
      </c>
      <c r="QZT2" s="133" t="s">
        <v>13311</v>
      </c>
      <c r="QZU2" s="133" t="s">
        <v>13312</v>
      </c>
      <c r="QZV2" s="133" t="s">
        <v>13313</v>
      </c>
      <c r="QZW2" s="133" t="s">
        <v>13314</v>
      </c>
      <c r="QZX2" s="133" t="s">
        <v>13315</v>
      </c>
      <c r="QZY2" s="133" t="s">
        <v>13316</v>
      </c>
      <c r="QZZ2" s="133" t="s">
        <v>13317</v>
      </c>
      <c r="RAA2" s="133" t="s">
        <v>13318</v>
      </c>
      <c r="RAB2" s="133" t="s">
        <v>13319</v>
      </c>
      <c r="RAC2" s="133" t="s">
        <v>13320</v>
      </c>
      <c r="RAD2" s="133" t="s">
        <v>13321</v>
      </c>
      <c r="RAE2" s="133" t="s">
        <v>13322</v>
      </c>
      <c r="RAF2" s="133" t="s">
        <v>13323</v>
      </c>
      <c r="RAG2" s="133" t="s">
        <v>13324</v>
      </c>
      <c r="RAH2" s="133" t="s">
        <v>13325</v>
      </c>
      <c r="RAI2" s="133" t="s">
        <v>13326</v>
      </c>
      <c r="RAJ2" s="133" t="s">
        <v>13327</v>
      </c>
      <c r="RAK2" s="133" t="s">
        <v>13328</v>
      </c>
      <c r="RAL2" s="133" t="s">
        <v>13329</v>
      </c>
      <c r="RAM2" s="133" t="s">
        <v>13330</v>
      </c>
      <c r="RAN2" s="133" t="s">
        <v>13331</v>
      </c>
      <c r="RAO2" s="133" t="s">
        <v>13332</v>
      </c>
      <c r="RAP2" s="133" t="s">
        <v>13333</v>
      </c>
      <c r="RAQ2" s="133" t="s">
        <v>13334</v>
      </c>
      <c r="RAR2" s="133" t="s">
        <v>13335</v>
      </c>
      <c r="RAS2" s="133" t="s">
        <v>13336</v>
      </c>
      <c r="RAT2" s="133" t="s">
        <v>13337</v>
      </c>
      <c r="RAU2" s="133" t="s">
        <v>13338</v>
      </c>
      <c r="RAV2" s="133" t="s">
        <v>13339</v>
      </c>
      <c r="RAW2" s="133" t="s">
        <v>13340</v>
      </c>
      <c r="RAX2" s="133" t="s">
        <v>13341</v>
      </c>
      <c r="RAY2" s="133" t="s">
        <v>13342</v>
      </c>
      <c r="RAZ2" s="133" t="s">
        <v>13343</v>
      </c>
      <c r="RBA2" s="133" t="s">
        <v>13344</v>
      </c>
      <c r="RBB2" s="133" t="s">
        <v>13345</v>
      </c>
      <c r="RBC2" s="133" t="s">
        <v>13346</v>
      </c>
      <c r="RBD2" s="133" t="s">
        <v>13347</v>
      </c>
      <c r="RBE2" s="133" t="s">
        <v>13348</v>
      </c>
      <c r="RBF2" s="133" t="s">
        <v>13349</v>
      </c>
      <c r="RBG2" s="133" t="s">
        <v>13350</v>
      </c>
      <c r="RBH2" s="133" t="s">
        <v>13351</v>
      </c>
      <c r="RBI2" s="133" t="s">
        <v>13352</v>
      </c>
      <c r="RBJ2" s="133" t="s">
        <v>13353</v>
      </c>
      <c r="RBK2" s="133" t="s">
        <v>13354</v>
      </c>
      <c r="RBL2" s="133" t="s">
        <v>13355</v>
      </c>
      <c r="RBM2" s="133" t="s">
        <v>13356</v>
      </c>
      <c r="RBN2" s="133" t="s">
        <v>13357</v>
      </c>
      <c r="RBO2" s="133" t="s">
        <v>13358</v>
      </c>
      <c r="RBP2" s="133" t="s">
        <v>13359</v>
      </c>
      <c r="RBQ2" s="133" t="s">
        <v>13360</v>
      </c>
      <c r="RBR2" s="133" t="s">
        <v>13361</v>
      </c>
      <c r="RBS2" s="133" t="s">
        <v>13362</v>
      </c>
      <c r="RBT2" s="133" t="s">
        <v>13363</v>
      </c>
      <c r="RBU2" s="133" t="s">
        <v>13364</v>
      </c>
      <c r="RBV2" s="133" t="s">
        <v>13365</v>
      </c>
      <c r="RBW2" s="133" t="s">
        <v>13366</v>
      </c>
      <c r="RBX2" s="133" t="s">
        <v>13367</v>
      </c>
      <c r="RBY2" s="133" t="s">
        <v>13368</v>
      </c>
      <c r="RBZ2" s="133" t="s">
        <v>13369</v>
      </c>
      <c r="RCA2" s="133" t="s">
        <v>13370</v>
      </c>
      <c r="RCB2" s="133" t="s">
        <v>13371</v>
      </c>
      <c r="RCC2" s="133" t="s">
        <v>13372</v>
      </c>
      <c r="RCD2" s="133" t="s">
        <v>13373</v>
      </c>
      <c r="RCE2" s="133" t="s">
        <v>13374</v>
      </c>
      <c r="RCF2" s="133" t="s">
        <v>13375</v>
      </c>
      <c r="RCG2" s="133" t="s">
        <v>13376</v>
      </c>
      <c r="RCH2" s="133" t="s">
        <v>13377</v>
      </c>
      <c r="RCI2" s="133" t="s">
        <v>13378</v>
      </c>
      <c r="RCJ2" s="133" t="s">
        <v>13379</v>
      </c>
      <c r="RCK2" s="133" t="s">
        <v>13380</v>
      </c>
      <c r="RCL2" s="133" t="s">
        <v>13381</v>
      </c>
      <c r="RCM2" s="133" t="s">
        <v>13382</v>
      </c>
      <c r="RCN2" s="133" t="s">
        <v>13383</v>
      </c>
      <c r="RCO2" s="133" t="s">
        <v>13384</v>
      </c>
      <c r="RCP2" s="133" t="s">
        <v>13385</v>
      </c>
      <c r="RCQ2" s="133" t="s">
        <v>13386</v>
      </c>
      <c r="RCR2" s="133" t="s">
        <v>13387</v>
      </c>
      <c r="RCS2" s="133" t="s">
        <v>13388</v>
      </c>
      <c r="RCT2" s="133" t="s">
        <v>13389</v>
      </c>
      <c r="RCU2" s="133" t="s">
        <v>13390</v>
      </c>
      <c r="RCV2" s="133" t="s">
        <v>13391</v>
      </c>
      <c r="RCW2" s="133" t="s">
        <v>13392</v>
      </c>
      <c r="RCX2" s="133" t="s">
        <v>13393</v>
      </c>
      <c r="RCY2" s="133" t="s">
        <v>13394</v>
      </c>
      <c r="RCZ2" s="133" t="s">
        <v>13395</v>
      </c>
      <c r="RDA2" s="133" t="s">
        <v>13396</v>
      </c>
      <c r="RDB2" s="133" t="s">
        <v>13397</v>
      </c>
      <c r="RDC2" s="133" t="s">
        <v>13398</v>
      </c>
      <c r="RDD2" s="133" t="s">
        <v>13399</v>
      </c>
      <c r="RDE2" s="133" t="s">
        <v>13400</v>
      </c>
      <c r="RDF2" s="133" t="s">
        <v>13401</v>
      </c>
      <c r="RDG2" s="133" t="s">
        <v>13402</v>
      </c>
      <c r="RDH2" s="133" t="s">
        <v>13403</v>
      </c>
      <c r="RDI2" s="133" t="s">
        <v>13404</v>
      </c>
      <c r="RDJ2" s="133" t="s">
        <v>13405</v>
      </c>
      <c r="RDK2" s="133" t="s">
        <v>13406</v>
      </c>
      <c r="RDL2" s="133" t="s">
        <v>13407</v>
      </c>
      <c r="RDM2" s="133" t="s">
        <v>13408</v>
      </c>
      <c r="RDN2" s="133" t="s">
        <v>13409</v>
      </c>
      <c r="RDO2" s="133" t="s">
        <v>13410</v>
      </c>
      <c r="RDP2" s="133" t="s">
        <v>13411</v>
      </c>
      <c r="RDQ2" s="133" t="s">
        <v>13412</v>
      </c>
      <c r="RDR2" s="133" t="s">
        <v>13413</v>
      </c>
      <c r="RDS2" s="133" t="s">
        <v>13414</v>
      </c>
      <c r="RDT2" s="133" t="s">
        <v>13415</v>
      </c>
      <c r="RDU2" s="133" t="s">
        <v>13416</v>
      </c>
      <c r="RDV2" s="133" t="s">
        <v>13417</v>
      </c>
      <c r="RDW2" s="133" t="s">
        <v>13418</v>
      </c>
      <c r="RDX2" s="133" t="s">
        <v>13419</v>
      </c>
      <c r="RDY2" s="133" t="s">
        <v>13420</v>
      </c>
      <c r="RDZ2" s="133" t="s">
        <v>13421</v>
      </c>
      <c r="REA2" s="133" t="s">
        <v>13422</v>
      </c>
      <c r="REB2" s="133" t="s">
        <v>13423</v>
      </c>
      <c r="REC2" s="133" t="s">
        <v>13424</v>
      </c>
      <c r="RED2" s="133" t="s">
        <v>13425</v>
      </c>
      <c r="REE2" s="133" t="s">
        <v>13426</v>
      </c>
      <c r="REF2" s="133" t="s">
        <v>13427</v>
      </c>
      <c r="REG2" s="133" t="s">
        <v>13428</v>
      </c>
      <c r="REH2" s="133" t="s">
        <v>13429</v>
      </c>
      <c r="REI2" s="133" t="s">
        <v>13430</v>
      </c>
      <c r="REJ2" s="133" t="s">
        <v>13431</v>
      </c>
      <c r="REK2" s="133" t="s">
        <v>13432</v>
      </c>
      <c r="REL2" s="133" t="s">
        <v>13433</v>
      </c>
      <c r="REM2" s="133" t="s">
        <v>13434</v>
      </c>
      <c r="REN2" s="133" t="s">
        <v>13435</v>
      </c>
      <c r="REO2" s="133" t="s">
        <v>13436</v>
      </c>
      <c r="REP2" s="133" t="s">
        <v>13437</v>
      </c>
      <c r="REQ2" s="133" t="s">
        <v>13438</v>
      </c>
      <c r="RER2" s="133" t="s">
        <v>13439</v>
      </c>
      <c r="RES2" s="133" t="s">
        <v>13440</v>
      </c>
      <c r="RET2" s="133" t="s">
        <v>13441</v>
      </c>
      <c r="REU2" s="133" t="s">
        <v>13442</v>
      </c>
      <c r="REV2" s="133" t="s">
        <v>13443</v>
      </c>
      <c r="REW2" s="133" t="s">
        <v>13444</v>
      </c>
      <c r="REX2" s="133" t="s">
        <v>13445</v>
      </c>
      <c r="REY2" s="133" t="s">
        <v>13446</v>
      </c>
      <c r="REZ2" s="133" t="s">
        <v>13447</v>
      </c>
      <c r="RFA2" s="133" t="s">
        <v>13448</v>
      </c>
      <c r="RFB2" s="133" t="s">
        <v>13449</v>
      </c>
      <c r="RFC2" s="133" t="s">
        <v>13450</v>
      </c>
      <c r="RFD2" s="133" t="s">
        <v>13451</v>
      </c>
      <c r="RFE2" s="133" t="s">
        <v>13452</v>
      </c>
      <c r="RFF2" s="133" t="s">
        <v>13453</v>
      </c>
      <c r="RFG2" s="133" t="s">
        <v>13454</v>
      </c>
      <c r="RFH2" s="133" t="s">
        <v>13455</v>
      </c>
      <c r="RFI2" s="133" t="s">
        <v>13456</v>
      </c>
      <c r="RFJ2" s="133" t="s">
        <v>13457</v>
      </c>
      <c r="RFK2" s="133" t="s">
        <v>13458</v>
      </c>
      <c r="RFL2" s="133" t="s">
        <v>13459</v>
      </c>
      <c r="RFM2" s="133" t="s">
        <v>13460</v>
      </c>
      <c r="RFN2" s="133" t="s">
        <v>13461</v>
      </c>
      <c r="RFO2" s="133" t="s">
        <v>13462</v>
      </c>
      <c r="RFP2" s="133" t="s">
        <v>13463</v>
      </c>
      <c r="RFQ2" s="133" t="s">
        <v>13464</v>
      </c>
      <c r="RFR2" s="133" t="s">
        <v>13465</v>
      </c>
      <c r="RFS2" s="133" t="s">
        <v>13466</v>
      </c>
      <c r="RFT2" s="133" t="s">
        <v>13467</v>
      </c>
      <c r="RFU2" s="133" t="s">
        <v>13468</v>
      </c>
      <c r="RFV2" s="133" t="s">
        <v>13469</v>
      </c>
      <c r="RFW2" s="133" t="s">
        <v>13470</v>
      </c>
      <c r="RFX2" s="133" t="s">
        <v>13471</v>
      </c>
      <c r="RFY2" s="133" t="s">
        <v>13472</v>
      </c>
      <c r="RFZ2" s="133" t="s">
        <v>13473</v>
      </c>
      <c r="RGA2" s="133" t="s">
        <v>13474</v>
      </c>
      <c r="RGB2" s="133" t="s">
        <v>13475</v>
      </c>
      <c r="RGC2" s="133" t="s">
        <v>13476</v>
      </c>
      <c r="RGD2" s="133" t="s">
        <v>13477</v>
      </c>
      <c r="RGE2" s="133" t="s">
        <v>13478</v>
      </c>
      <c r="RGF2" s="133" t="s">
        <v>13479</v>
      </c>
      <c r="RGG2" s="133" t="s">
        <v>13480</v>
      </c>
      <c r="RGH2" s="133" t="s">
        <v>13481</v>
      </c>
      <c r="RGI2" s="133" t="s">
        <v>13482</v>
      </c>
      <c r="RGJ2" s="133" t="s">
        <v>13483</v>
      </c>
      <c r="RGK2" s="133" t="s">
        <v>13484</v>
      </c>
      <c r="RGL2" s="133" t="s">
        <v>13485</v>
      </c>
      <c r="RGM2" s="133" t="s">
        <v>13486</v>
      </c>
      <c r="RGN2" s="133" t="s">
        <v>13487</v>
      </c>
      <c r="RGO2" s="133" t="s">
        <v>13488</v>
      </c>
      <c r="RGP2" s="133" t="s">
        <v>13489</v>
      </c>
      <c r="RGQ2" s="133" t="s">
        <v>13490</v>
      </c>
      <c r="RGR2" s="133" t="s">
        <v>13491</v>
      </c>
      <c r="RGS2" s="133" t="s">
        <v>13492</v>
      </c>
      <c r="RGT2" s="133" t="s">
        <v>13493</v>
      </c>
      <c r="RGU2" s="133" t="s">
        <v>13494</v>
      </c>
      <c r="RGV2" s="133" t="s">
        <v>13495</v>
      </c>
      <c r="RGW2" s="133" t="s">
        <v>13496</v>
      </c>
      <c r="RGX2" s="133" t="s">
        <v>13497</v>
      </c>
      <c r="RGY2" s="133" t="s">
        <v>13498</v>
      </c>
      <c r="RGZ2" s="133" t="s">
        <v>13499</v>
      </c>
      <c r="RHA2" s="133" t="s">
        <v>13500</v>
      </c>
      <c r="RHB2" s="133" t="s">
        <v>13501</v>
      </c>
      <c r="RHC2" s="133" t="s">
        <v>13502</v>
      </c>
      <c r="RHD2" s="133" t="s">
        <v>13503</v>
      </c>
      <c r="RHE2" s="133" t="s">
        <v>13504</v>
      </c>
      <c r="RHF2" s="133" t="s">
        <v>13505</v>
      </c>
      <c r="RHG2" s="133" t="s">
        <v>13506</v>
      </c>
      <c r="RHH2" s="133" t="s">
        <v>13507</v>
      </c>
      <c r="RHI2" s="133" t="s">
        <v>13508</v>
      </c>
      <c r="RHJ2" s="133" t="s">
        <v>13509</v>
      </c>
      <c r="RHK2" s="133" t="s">
        <v>13510</v>
      </c>
      <c r="RHL2" s="133" t="s">
        <v>13511</v>
      </c>
      <c r="RHM2" s="133" t="s">
        <v>13512</v>
      </c>
      <c r="RHN2" s="133" t="s">
        <v>13513</v>
      </c>
      <c r="RHO2" s="133" t="s">
        <v>13514</v>
      </c>
      <c r="RHP2" s="133" t="s">
        <v>13515</v>
      </c>
      <c r="RHQ2" s="133" t="s">
        <v>13516</v>
      </c>
      <c r="RHR2" s="133" t="s">
        <v>13517</v>
      </c>
      <c r="RHS2" s="133" t="s">
        <v>13518</v>
      </c>
      <c r="RHT2" s="133" t="s">
        <v>13519</v>
      </c>
      <c r="RHU2" s="133" t="s">
        <v>13520</v>
      </c>
      <c r="RHV2" s="133" t="s">
        <v>13521</v>
      </c>
      <c r="RHW2" s="133" t="s">
        <v>13522</v>
      </c>
      <c r="RHX2" s="133" t="s">
        <v>13523</v>
      </c>
      <c r="RHY2" s="133" t="s">
        <v>13524</v>
      </c>
      <c r="RHZ2" s="133" t="s">
        <v>13525</v>
      </c>
      <c r="RIA2" s="133" t="s">
        <v>13526</v>
      </c>
      <c r="RIB2" s="133" t="s">
        <v>13527</v>
      </c>
      <c r="RIC2" s="133" t="s">
        <v>13528</v>
      </c>
      <c r="RID2" s="133" t="s">
        <v>13529</v>
      </c>
      <c r="RIE2" s="133" t="s">
        <v>13530</v>
      </c>
      <c r="RIF2" s="133" t="s">
        <v>13531</v>
      </c>
      <c r="RIG2" s="133" t="s">
        <v>13532</v>
      </c>
      <c r="RIH2" s="133" t="s">
        <v>13533</v>
      </c>
      <c r="RII2" s="133" t="s">
        <v>13534</v>
      </c>
      <c r="RIJ2" s="133" t="s">
        <v>13535</v>
      </c>
      <c r="RIK2" s="133" t="s">
        <v>13536</v>
      </c>
      <c r="RIL2" s="133" t="s">
        <v>13537</v>
      </c>
      <c r="RIM2" s="133" t="s">
        <v>13538</v>
      </c>
      <c r="RIN2" s="133" t="s">
        <v>13539</v>
      </c>
      <c r="RIO2" s="133" t="s">
        <v>13540</v>
      </c>
      <c r="RIP2" s="133" t="s">
        <v>13541</v>
      </c>
      <c r="RIQ2" s="133" t="s">
        <v>13542</v>
      </c>
      <c r="RIR2" s="133" t="s">
        <v>13543</v>
      </c>
      <c r="RIS2" s="133" t="s">
        <v>13544</v>
      </c>
      <c r="RIT2" s="133" t="s">
        <v>13545</v>
      </c>
      <c r="RIU2" s="133" t="s">
        <v>13546</v>
      </c>
      <c r="RIV2" s="133" t="s">
        <v>13547</v>
      </c>
      <c r="RIW2" s="133" t="s">
        <v>13548</v>
      </c>
      <c r="RIX2" s="133" t="s">
        <v>13549</v>
      </c>
      <c r="RIY2" s="133" t="s">
        <v>13550</v>
      </c>
      <c r="RIZ2" s="133" t="s">
        <v>13551</v>
      </c>
      <c r="RJA2" s="133" t="s">
        <v>13552</v>
      </c>
      <c r="RJB2" s="133" t="s">
        <v>13553</v>
      </c>
      <c r="RJC2" s="133" t="s">
        <v>13554</v>
      </c>
      <c r="RJD2" s="133" t="s">
        <v>13555</v>
      </c>
      <c r="RJE2" s="133" t="s">
        <v>13556</v>
      </c>
      <c r="RJF2" s="133" t="s">
        <v>13557</v>
      </c>
      <c r="RJG2" s="133" t="s">
        <v>13558</v>
      </c>
      <c r="RJH2" s="133" t="s">
        <v>13559</v>
      </c>
      <c r="RJI2" s="133" t="s">
        <v>13560</v>
      </c>
      <c r="RJJ2" s="133" t="s">
        <v>13561</v>
      </c>
      <c r="RJK2" s="133" t="s">
        <v>13562</v>
      </c>
      <c r="RJL2" s="133" t="s">
        <v>13563</v>
      </c>
      <c r="RJM2" s="133" t="s">
        <v>13564</v>
      </c>
      <c r="RJN2" s="133" t="s">
        <v>13565</v>
      </c>
      <c r="RJO2" s="133" t="s">
        <v>13566</v>
      </c>
      <c r="RJP2" s="133" t="s">
        <v>13567</v>
      </c>
      <c r="RJQ2" s="133" t="s">
        <v>13568</v>
      </c>
      <c r="RJR2" s="133" t="s">
        <v>13569</v>
      </c>
      <c r="RJS2" s="133" t="s">
        <v>13570</v>
      </c>
      <c r="RJT2" s="133" t="s">
        <v>13571</v>
      </c>
      <c r="RJU2" s="133" t="s">
        <v>13572</v>
      </c>
      <c r="RJV2" s="133" t="s">
        <v>13573</v>
      </c>
      <c r="RJW2" s="133" t="s">
        <v>13574</v>
      </c>
      <c r="RJX2" s="133" t="s">
        <v>13575</v>
      </c>
      <c r="RJY2" s="133" t="s">
        <v>13576</v>
      </c>
      <c r="RJZ2" s="133" t="s">
        <v>13577</v>
      </c>
      <c r="RKA2" s="133" t="s">
        <v>13578</v>
      </c>
      <c r="RKB2" s="133" t="s">
        <v>13579</v>
      </c>
      <c r="RKC2" s="133" t="s">
        <v>13580</v>
      </c>
      <c r="RKD2" s="133" t="s">
        <v>13581</v>
      </c>
      <c r="RKE2" s="133" t="s">
        <v>13582</v>
      </c>
      <c r="RKF2" s="133" t="s">
        <v>13583</v>
      </c>
      <c r="RKG2" s="133" t="s">
        <v>13584</v>
      </c>
      <c r="RKH2" s="133" t="s">
        <v>13585</v>
      </c>
      <c r="RKI2" s="133" t="s">
        <v>13586</v>
      </c>
      <c r="RKJ2" s="133" t="s">
        <v>13587</v>
      </c>
      <c r="RKK2" s="133" t="s">
        <v>13588</v>
      </c>
      <c r="RKL2" s="133" t="s">
        <v>13589</v>
      </c>
      <c r="RKM2" s="133" t="s">
        <v>13590</v>
      </c>
      <c r="RKN2" s="133" t="s">
        <v>13591</v>
      </c>
      <c r="RKO2" s="133" t="s">
        <v>13592</v>
      </c>
      <c r="RKP2" s="133" t="s">
        <v>13593</v>
      </c>
      <c r="RKQ2" s="133" t="s">
        <v>13594</v>
      </c>
      <c r="RKR2" s="133" t="s">
        <v>13595</v>
      </c>
      <c r="RKS2" s="133" t="s">
        <v>13596</v>
      </c>
      <c r="RKT2" s="133" t="s">
        <v>13597</v>
      </c>
      <c r="RKU2" s="133" t="s">
        <v>13598</v>
      </c>
      <c r="RKV2" s="133" t="s">
        <v>13599</v>
      </c>
      <c r="RKW2" s="133" t="s">
        <v>13600</v>
      </c>
      <c r="RKX2" s="133" t="s">
        <v>13601</v>
      </c>
      <c r="RKY2" s="133" t="s">
        <v>13602</v>
      </c>
      <c r="RKZ2" s="133" t="s">
        <v>13603</v>
      </c>
      <c r="RLA2" s="133" t="s">
        <v>13604</v>
      </c>
      <c r="RLB2" s="133" t="s">
        <v>13605</v>
      </c>
      <c r="RLC2" s="133" t="s">
        <v>13606</v>
      </c>
      <c r="RLD2" s="133" t="s">
        <v>13607</v>
      </c>
      <c r="RLE2" s="133" t="s">
        <v>13608</v>
      </c>
      <c r="RLF2" s="133" t="s">
        <v>13609</v>
      </c>
      <c r="RLG2" s="133" t="s">
        <v>13610</v>
      </c>
      <c r="RLH2" s="133" t="s">
        <v>13611</v>
      </c>
      <c r="RLI2" s="133" t="s">
        <v>13612</v>
      </c>
      <c r="RLJ2" s="133" t="s">
        <v>13613</v>
      </c>
      <c r="RLK2" s="133" t="s">
        <v>13614</v>
      </c>
      <c r="RLL2" s="133" t="s">
        <v>13615</v>
      </c>
      <c r="RLM2" s="133" t="s">
        <v>13616</v>
      </c>
      <c r="RLN2" s="133" t="s">
        <v>13617</v>
      </c>
      <c r="RLO2" s="133" t="s">
        <v>13618</v>
      </c>
      <c r="RLP2" s="133" t="s">
        <v>13619</v>
      </c>
      <c r="RLQ2" s="133" t="s">
        <v>13620</v>
      </c>
      <c r="RLR2" s="133" t="s">
        <v>13621</v>
      </c>
      <c r="RLS2" s="133" t="s">
        <v>13622</v>
      </c>
      <c r="RLT2" s="133" t="s">
        <v>13623</v>
      </c>
      <c r="RLU2" s="133" t="s">
        <v>13624</v>
      </c>
      <c r="RLV2" s="133" t="s">
        <v>13625</v>
      </c>
      <c r="RLW2" s="133" t="s">
        <v>13626</v>
      </c>
      <c r="RLX2" s="133" t="s">
        <v>13627</v>
      </c>
      <c r="RLY2" s="133" t="s">
        <v>13628</v>
      </c>
      <c r="RLZ2" s="133" t="s">
        <v>13629</v>
      </c>
      <c r="RMA2" s="133" t="s">
        <v>13630</v>
      </c>
      <c r="RMB2" s="133" t="s">
        <v>13631</v>
      </c>
      <c r="RMC2" s="133" t="s">
        <v>13632</v>
      </c>
      <c r="RMD2" s="133" t="s">
        <v>13633</v>
      </c>
      <c r="RME2" s="133" t="s">
        <v>13634</v>
      </c>
      <c r="RMF2" s="133" t="s">
        <v>13635</v>
      </c>
      <c r="RMG2" s="133" t="s">
        <v>13636</v>
      </c>
      <c r="RMH2" s="133" t="s">
        <v>13637</v>
      </c>
      <c r="RMI2" s="133" t="s">
        <v>13638</v>
      </c>
      <c r="RMJ2" s="133" t="s">
        <v>13639</v>
      </c>
      <c r="RMK2" s="133" t="s">
        <v>13640</v>
      </c>
      <c r="RML2" s="133" t="s">
        <v>13641</v>
      </c>
      <c r="RMM2" s="133" t="s">
        <v>13642</v>
      </c>
      <c r="RMN2" s="133" t="s">
        <v>13643</v>
      </c>
      <c r="RMO2" s="133" t="s">
        <v>13644</v>
      </c>
      <c r="RMP2" s="133" t="s">
        <v>13645</v>
      </c>
      <c r="RMQ2" s="133" t="s">
        <v>13646</v>
      </c>
      <c r="RMR2" s="133" t="s">
        <v>13647</v>
      </c>
      <c r="RMS2" s="133" t="s">
        <v>13648</v>
      </c>
      <c r="RMT2" s="133" t="s">
        <v>13649</v>
      </c>
      <c r="RMU2" s="133" t="s">
        <v>13650</v>
      </c>
      <c r="RMV2" s="133" t="s">
        <v>13651</v>
      </c>
      <c r="RMW2" s="133" t="s">
        <v>13652</v>
      </c>
      <c r="RMX2" s="133" t="s">
        <v>13653</v>
      </c>
      <c r="RMY2" s="133" t="s">
        <v>13654</v>
      </c>
      <c r="RMZ2" s="133" t="s">
        <v>13655</v>
      </c>
      <c r="RNA2" s="133" t="s">
        <v>13656</v>
      </c>
      <c r="RNB2" s="133" t="s">
        <v>13657</v>
      </c>
      <c r="RNC2" s="133" t="s">
        <v>13658</v>
      </c>
      <c r="RND2" s="133" t="s">
        <v>13659</v>
      </c>
      <c r="RNE2" s="133" t="s">
        <v>13660</v>
      </c>
      <c r="RNF2" s="133" t="s">
        <v>13661</v>
      </c>
      <c r="RNG2" s="133" t="s">
        <v>13662</v>
      </c>
      <c r="RNH2" s="133" t="s">
        <v>13663</v>
      </c>
      <c r="RNI2" s="133" t="s">
        <v>13664</v>
      </c>
      <c r="RNJ2" s="133" t="s">
        <v>13665</v>
      </c>
      <c r="RNK2" s="133" t="s">
        <v>13666</v>
      </c>
      <c r="RNL2" s="133" t="s">
        <v>13667</v>
      </c>
      <c r="RNM2" s="133" t="s">
        <v>13668</v>
      </c>
      <c r="RNN2" s="133" t="s">
        <v>13669</v>
      </c>
      <c r="RNO2" s="133" t="s">
        <v>13670</v>
      </c>
      <c r="RNP2" s="133" t="s">
        <v>13671</v>
      </c>
      <c r="RNQ2" s="133" t="s">
        <v>13672</v>
      </c>
      <c r="RNR2" s="133" t="s">
        <v>13673</v>
      </c>
      <c r="RNS2" s="133" t="s">
        <v>13674</v>
      </c>
      <c r="RNT2" s="133" t="s">
        <v>13675</v>
      </c>
      <c r="RNU2" s="133" t="s">
        <v>13676</v>
      </c>
      <c r="RNV2" s="133" t="s">
        <v>13677</v>
      </c>
      <c r="RNW2" s="133" t="s">
        <v>13678</v>
      </c>
      <c r="RNX2" s="133" t="s">
        <v>13679</v>
      </c>
      <c r="RNY2" s="133" t="s">
        <v>13680</v>
      </c>
      <c r="RNZ2" s="133" t="s">
        <v>13681</v>
      </c>
      <c r="ROA2" s="133" t="s">
        <v>13682</v>
      </c>
      <c r="ROB2" s="133" t="s">
        <v>13683</v>
      </c>
      <c r="ROC2" s="133" t="s">
        <v>13684</v>
      </c>
      <c r="ROD2" s="133" t="s">
        <v>13685</v>
      </c>
      <c r="ROE2" s="133" t="s">
        <v>13686</v>
      </c>
      <c r="ROF2" s="133" t="s">
        <v>13687</v>
      </c>
      <c r="ROG2" s="133" t="s">
        <v>13688</v>
      </c>
      <c r="ROH2" s="133" t="s">
        <v>13689</v>
      </c>
      <c r="ROI2" s="133" t="s">
        <v>13690</v>
      </c>
      <c r="ROJ2" s="133" t="s">
        <v>13691</v>
      </c>
      <c r="ROK2" s="133" t="s">
        <v>13692</v>
      </c>
      <c r="ROL2" s="133" t="s">
        <v>13693</v>
      </c>
      <c r="ROM2" s="133" t="s">
        <v>13694</v>
      </c>
      <c r="RON2" s="133" t="s">
        <v>13695</v>
      </c>
      <c r="ROO2" s="133" t="s">
        <v>13696</v>
      </c>
      <c r="ROP2" s="133" t="s">
        <v>13697</v>
      </c>
      <c r="ROQ2" s="133" t="s">
        <v>13698</v>
      </c>
      <c r="ROR2" s="133" t="s">
        <v>13699</v>
      </c>
      <c r="ROS2" s="133" t="s">
        <v>13700</v>
      </c>
      <c r="ROT2" s="133" t="s">
        <v>13701</v>
      </c>
      <c r="ROU2" s="133" t="s">
        <v>13702</v>
      </c>
      <c r="ROV2" s="133" t="s">
        <v>13703</v>
      </c>
      <c r="ROW2" s="133" t="s">
        <v>13704</v>
      </c>
      <c r="ROX2" s="133" t="s">
        <v>13705</v>
      </c>
      <c r="ROY2" s="133" t="s">
        <v>13706</v>
      </c>
      <c r="ROZ2" s="133" t="s">
        <v>13707</v>
      </c>
      <c r="RPA2" s="133" t="s">
        <v>13708</v>
      </c>
      <c r="RPB2" s="133" t="s">
        <v>13709</v>
      </c>
      <c r="RPC2" s="133" t="s">
        <v>13710</v>
      </c>
      <c r="RPD2" s="133" t="s">
        <v>13711</v>
      </c>
      <c r="RPE2" s="133" t="s">
        <v>13712</v>
      </c>
      <c r="RPF2" s="133" t="s">
        <v>13713</v>
      </c>
      <c r="RPG2" s="133" t="s">
        <v>13714</v>
      </c>
      <c r="RPH2" s="133" t="s">
        <v>13715</v>
      </c>
      <c r="RPI2" s="133" t="s">
        <v>13716</v>
      </c>
      <c r="RPJ2" s="133" t="s">
        <v>13717</v>
      </c>
      <c r="RPK2" s="133" t="s">
        <v>13718</v>
      </c>
      <c r="RPL2" s="133" t="s">
        <v>13719</v>
      </c>
      <c r="RPM2" s="133" t="s">
        <v>13720</v>
      </c>
      <c r="RPN2" s="133" t="s">
        <v>13721</v>
      </c>
      <c r="RPO2" s="133" t="s">
        <v>13722</v>
      </c>
      <c r="RPP2" s="133" t="s">
        <v>13723</v>
      </c>
      <c r="RPQ2" s="133" t="s">
        <v>13724</v>
      </c>
      <c r="RPR2" s="133" t="s">
        <v>13725</v>
      </c>
      <c r="RPS2" s="133" t="s">
        <v>13726</v>
      </c>
      <c r="RPT2" s="133" t="s">
        <v>13727</v>
      </c>
      <c r="RPU2" s="133" t="s">
        <v>13728</v>
      </c>
      <c r="RPV2" s="133" t="s">
        <v>13729</v>
      </c>
      <c r="RPW2" s="133" t="s">
        <v>13730</v>
      </c>
      <c r="RPX2" s="133" t="s">
        <v>13731</v>
      </c>
      <c r="RPY2" s="133" t="s">
        <v>13732</v>
      </c>
      <c r="RPZ2" s="133" t="s">
        <v>13733</v>
      </c>
      <c r="RQA2" s="133" t="s">
        <v>13734</v>
      </c>
      <c r="RQB2" s="133" t="s">
        <v>13735</v>
      </c>
      <c r="RQC2" s="133" t="s">
        <v>13736</v>
      </c>
      <c r="RQD2" s="133" t="s">
        <v>13737</v>
      </c>
      <c r="RQE2" s="133" t="s">
        <v>13738</v>
      </c>
      <c r="RQF2" s="133" t="s">
        <v>13739</v>
      </c>
      <c r="RQG2" s="133" t="s">
        <v>13740</v>
      </c>
      <c r="RQH2" s="133" t="s">
        <v>13741</v>
      </c>
      <c r="RQI2" s="133" t="s">
        <v>13742</v>
      </c>
      <c r="RQJ2" s="133" t="s">
        <v>13743</v>
      </c>
      <c r="RQK2" s="133" t="s">
        <v>13744</v>
      </c>
      <c r="RQL2" s="133" t="s">
        <v>13745</v>
      </c>
      <c r="RQM2" s="133" t="s">
        <v>13746</v>
      </c>
      <c r="RQN2" s="133" t="s">
        <v>13747</v>
      </c>
      <c r="RQO2" s="133" t="s">
        <v>13748</v>
      </c>
      <c r="RQP2" s="133" t="s">
        <v>13749</v>
      </c>
      <c r="RQQ2" s="133" t="s">
        <v>13750</v>
      </c>
      <c r="RQR2" s="133" t="s">
        <v>13751</v>
      </c>
      <c r="RQS2" s="133" t="s">
        <v>13752</v>
      </c>
      <c r="RQT2" s="133" t="s">
        <v>13753</v>
      </c>
      <c r="RQU2" s="133" t="s">
        <v>13754</v>
      </c>
      <c r="RQV2" s="133" t="s">
        <v>13755</v>
      </c>
      <c r="RQW2" s="133" t="s">
        <v>13756</v>
      </c>
      <c r="RQX2" s="133" t="s">
        <v>13757</v>
      </c>
      <c r="RQY2" s="133" t="s">
        <v>13758</v>
      </c>
      <c r="RQZ2" s="133" t="s">
        <v>13759</v>
      </c>
      <c r="RRA2" s="133" t="s">
        <v>13760</v>
      </c>
      <c r="RRB2" s="133" t="s">
        <v>13761</v>
      </c>
      <c r="RRC2" s="133" t="s">
        <v>13762</v>
      </c>
      <c r="RRD2" s="133" t="s">
        <v>13763</v>
      </c>
      <c r="RRE2" s="133" t="s">
        <v>13764</v>
      </c>
      <c r="RRF2" s="133" t="s">
        <v>13765</v>
      </c>
      <c r="RRG2" s="133" t="s">
        <v>13766</v>
      </c>
      <c r="RRH2" s="133" t="s">
        <v>13767</v>
      </c>
      <c r="RRI2" s="133" t="s">
        <v>13768</v>
      </c>
      <c r="RRJ2" s="133" t="s">
        <v>13769</v>
      </c>
      <c r="RRK2" s="133" t="s">
        <v>13770</v>
      </c>
      <c r="RRL2" s="133" t="s">
        <v>13771</v>
      </c>
      <c r="RRM2" s="133" t="s">
        <v>13772</v>
      </c>
      <c r="RRN2" s="133" t="s">
        <v>13773</v>
      </c>
      <c r="RRO2" s="133" t="s">
        <v>13774</v>
      </c>
      <c r="RRP2" s="133" t="s">
        <v>13775</v>
      </c>
      <c r="RRQ2" s="133" t="s">
        <v>13776</v>
      </c>
      <c r="RRR2" s="133" t="s">
        <v>13777</v>
      </c>
      <c r="RRS2" s="133" t="s">
        <v>13778</v>
      </c>
      <c r="RRT2" s="133" t="s">
        <v>13779</v>
      </c>
      <c r="RRU2" s="133" t="s">
        <v>13780</v>
      </c>
      <c r="RRV2" s="133" t="s">
        <v>13781</v>
      </c>
      <c r="RRW2" s="133" t="s">
        <v>13782</v>
      </c>
      <c r="RRX2" s="133" t="s">
        <v>13783</v>
      </c>
      <c r="RRY2" s="133" t="s">
        <v>13784</v>
      </c>
      <c r="RRZ2" s="133" t="s">
        <v>13785</v>
      </c>
      <c r="RSA2" s="133" t="s">
        <v>13786</v>
      </c>
      <c r="RSB2" s="133" t="s">
        <v>13787</v>
      </c>
      <c r="RSC2" s="133" t="s">
        <v>13788</v>
      </c>
      <c r="RSD2" s="133" t="s">
        <v>13789</v>
      </c>
      <c r="RSE2" s="133" t="s">
        <v>13790</v>
      </c>
      <c r="RSF2" s="133" t="s">
        <v>13791</v>
      </c>
      <c r="RSG2" s="133" t="s">
        <v>13792</v>
      </c>
      <c r="RSH2" s="133" t="s">
        <v>13793</v>
      </c>
      <c r="RSI2" s="133" t="s">
        <v>13794</v>
      </c>
      <c r="RSJ2" s="133" t="s">
        <v>13795</v>
      </c>
      <c r="RSK2" s="133" t="s">
        <v>13796</v>
      </c>
      <c r="RSL2" s="133" t="s">
        <v>13797</v>
      </c>
      <c r="RSM2" s="133" t="s">
        <v>13798</v>
      </c>
      <c r="RSN2" s="133" t="s">
        <v>13799</v>
      </c>
      <c r="RSO2" s="133" t="s">
        <v>13800</v>
      </c>
      <c r="RSP2" s="133" t="s">
        <v>13801</v>
      </c>
      <c r="RSQ2" s="133" t="s">
        <v>13802</v>
      </c>
      <c r="RSR2" s="133" t="s">
        <v>13803</v>
      </c>
      <c r="RSS2" s="133" t="s">
        <v>13804</v>
      </c>
      <c r="RST2" s="133" t="s">
        <v>13805</v>
      </c>
      <c r="RSU2" s="133" t="s">
        <v>13806</v>
      </c>
      <c r="RSV2" s="133" t="s">
        <v>13807</v>
      </c>
      <c r="RSW2" s="133" t="s">
        <v>13808</v>
      </c>
      <c r="RSX2" s="133" t="s">
        <v>13809</v>
      </c>
      <c r="RSY2" s="133" t="s">
        <v>13810</v>
      </c>
      <c r="RSZ2" s="133" t="s">
        <v>13811</v>
      </c>
      <c r="RTA2" s="133" t="s">
        <v>13812</v>
      </c>
      <c r="RTB2" s="133" t="s">
        <v>13813</v>
      </c>
      <c r="RTC2" s="133" t="s">
        <v>13814</v>
      </c>
      <c r="RTD2" s="133" t="s">
        <v>13815</v>
      </c>
      <c r="RTE2" s="133" t="s">
        <v>13816</v>
      </c>
      <c r="RTF2" s="133" t="s">
        <v>13817</v>
      </c>
      <c r="RTG2" s="133" t="s">
        <v>13818</v>
      </c>
      <c r="RTH2" s="133" t="s">
        <v>13819</v>
      </c>
      <c r="RTI2" s="133" t="s">
        <v>13820</v>
      </c>
      <c r="RTJ2" s="133" t="s">
        <v>13821</v>
      </c>
      <c r="RTK2" s="133" t="s">
        <v>13822</v>
      </c>
      <c r="RTL2" s="133" t="s">
        <v>13823</v>
      </c>
      <c r="RTM2" s="133" t="s">
        <v>13824</v>
      </c>
      <c r="RTN2" s="133" t="s">
        <v>13825</v>
      </c>
      <c r="RTO2" s="133" t="s">
        <v>13826</v>
      </c>
      <c r="RTP2" s="133" t="s">
        <v>13827</v>
      </c>
      <c r="RTQ2" s="133" t="s">
        <v>13828</v>
      </c>
      <c r="RTR2" s="133" t="s">
        <v>13829</v>
      </c>
      <c r="RTS2" s="133" t="s">
        <v>13830</v>
      </c>
      <c r="RTT2" s="133" t="s">
        <v>13831</v>
      </c>
      <c r="RTU2" s="133" t="s">
        <v>13832</v>
      </c>
      <c r="RTV2" s="133" t="s">
        <v>13833</v>
      </c>
      <c r="RTW2" s="133" t="s">
        <v>13834</v>
      </c>
      <c r="RTX2" s="133" t="s">
        <v>13835</v>
      </c>
      <c r="RTY2" s="133" t="s">
        <v>13836</v>
      </c>
      <c r="RTZ2" s="133" t="s">
        <v>13837</v>
      </c>
      <c r="RUA2" s="133" t="s">
        <v>13838</v>
      </c>
      <c r="RUB2" s="133" t="s">
        <v>13839</v>
      </c>
      <c r="RUC2" s="133" t="s">
        <v>13840</v>
      </c>
      <c r="RUD2" s="133" t="s">
        <v>13841</v>
      </c>
      <c r="RUE2" s="133" t="s">
        <v>13842</v>
      </c>
      <c r="RUF2" s="133" t="s">
        <v>13843</v>
      </c>
      <c r="RUG2" s="133" t="s">
        <v>13844</v>
      </c>
      <c r="RUH2" s="133" t="s">
        <v>13845</v>
      </c>
      <c r="RUI2" s="133" t="s">
        <v>13846</v>
      </c>
      <c r="RUJ2" s="133" t="s">
        <v>13847</v>
      </c>
      <c r="RUK2" s="133" t="s">
        <v>13848</v>
      </c>
      <c r="RUL2" s="133" t="s">
        <v>13849</v>
      </c>
      <c r="RUM2" s="133" t="s">
        <v>13850</v>
      </c>
      <c r="RUN2" s="133" t="s">
        <v>13851</v>
      </c>
      <c r="RUO2" s="133" t="s">
        <v>13852</v>
      </c>
      <c r="RUP2" s="133" t="s">
        <v>13853</v>
      </c>
      <c r="RUQ2" s="133" t="s">
        <v>13854</v>
      </c>
      <c r="RUR2" s="133" t="s">
        <v>13855</v>
      </c>
      <c r="RUS2" s="133" t="s">
        <v>13856</v>
      </c>
      <c r="RUT2" s="133" t="s">
        <v>13857</v>
      </c>
      <c r="RUU2" s="133" t="s">
        <v>13858</v>
      </c>
      <c r="RUV2" s="133" t="s">
        <v>13859</v>
      </c>
      <c r="RUW2" s="133" t="s">
        <v>13860</v>
      </c>
      <c r="RUX2" s="133" t="s">
        <v>13861</v>
      </c>
      <c r="RUY2" s="133" t="s">
        <v>13862</v>
      </c>
      <c r="RUZ2" s="133" t="s">
        <v>13863</v>
      </c>
      <c r="RVA2" s="133" t="s">
        <v>13864</v>
      </c>
      <c r="RVB2" s="133" t="s">
        <v>13865</v>
      </c>
      <c r="RVC2" s="133" t="s">
        <v>13866</v>
      </c>
      <c r="RVD2" s="133" t="s">
        <v>13867</v>
      </c>
      <c r="RVE2" s="133" t="s">
        <v>13868</v>
      </c>
      <c r="RVF2" s="133" t="s">
        <v>13869</v>
      </c>
      <c r="RVG2" s="133" t="s">
        <v>13870</v>
      </c>
      <c r="RVH2" s="133" t="s">
        <v>13871</v>
      </c>
      <c r="RVI2" s="133" t="s">
        <v>13872</v>
      </c>
      <c r="RVJ2" s="133" t="s">
        <v>13873</v>
      </c>
      <c r="RVK2" s="133" t="s">
        <v>13874</v>
      </c>
      <c r="RVL2" s="133" t="s">
        <v>13875</v>
      </c>
      <c r="RVM2" s="133" t="s">
        <v>13876</v>
      </c>
      <c r="RVN2" s="133" t="s">
        <v>13877</v>
      </c>
      <c r="RVO2" s="133" t="s">
        <v>13878</v>
      </c>
      <c r="RVP2" s="133" t="s">
        <v>13879</v>
      </c>
      <c r="RVQ2" s="133" t="s">
        <v>13880</v>
      </c>
      <c r="RVR2" s="133" t="s">
        <v>13881</v>
      </c>
      <c r="RVS2" s="133" t="s">
        <v>13882</v>
      </c>
      <c r="RVT2" s="133" t="s">
        <v>13883</v>
      </c>
      <c r="RVU2" s="133" t="s">
        <v>13884</v>
      </c>
      <c r="RVV2" s="133" t="s">
        <v>13885</v>
      </c>
      <c r="RVW2" s="133" t="s">
        <v>13886</v>
      </c>
      <c r="RVX2" s="133" t="s">
        <v>13887</v>
      </c>
      <c r="RVY2" s="133" t="s">
        <v>13888</v>
      </c>
      <c r="RVZ2" s="133" t="s">
        <v>13889</v>
      </c>
      <c r="RWA2" s="133" t="s">
        <v>13890</v>
      </c>
      <c r="RWB2" s="133" t="s">
        <v>13891</v>
      </c>
      <c r="RWC2" s="133" t="s">
        <v>13892</v>
      </c>
      <c r="RWD2" s="133" t="s">
        <v>13893</v>
      </c>
      <c r="RWE2" s="133" t="s">
        <v>13894</v>
      </c>
      <c r="RWF2" s="133" t="s">
        <v>13895</v>
      </c>
      <c r="RWG2" s="133" t="s">
        <v>13896</v>
      </c>
      <c r="RWH2" s="133" t="s">
        <v>13897</v>
      </c>
      <c r="RWI2" s="133" t="s">
        <v>13898</v>
      </c>
      <c r="RWJ2" s="133" t="s">
        <v>13899</v>
      </c>
      <c r="RWK2" s="133" t="s">
        <v>13900</v>
      </c>
      <c r="RWL2" s="133" t="s">
        <v>13901</v>
      </c>
      <c r="RWM2" s="133" t="s">
        <v>13902</v>
      </c>
      <c r="RWN2" s="133" t="s">
        <v>13903</v>
      </c>
      <c r="RWO2" s="133" t="s">
        <v>13904</v>
      </c>
      <c r="RWP2" s="133" t="s">
        <v>13905</v>
      </c>
      <c r="RWQ2" s="133" t="s">
        <v>13906</v>
      </c>
      <c r="RWR2" s="133" t="s">
        <v>13907</v>
      </c>
      <c r="RWS2" s="133" t="s">
        <v>13908</v>
      </c>
      <c r="RWT2" s="133" t="s">
        <v>13909</v>
      </c>
      <c r="RWU2" s="133" t="s">
        <v>13910</v>
      </c>
      <c r="RWV2" s="133" t="s">
        <v>13911</v>
      </c>
      <c r="RWW2" s="133" t="s">
        <v>13912</v>
      </c>
      <c r="RWX2" s="133" t="s">
        <v>13913</v>
      </c>
      <c r="RWY2" s="133" t="s">
        <v>13914</v>
      </c>
      <c r="RWZ2" s="133" t="s">
        <v>13915</v>
      </c>
      <c r="RXA2" s="133" t="s">
        <v>13916</v>
      </c>
      <c r="RXB2" s="133" t="s">
        <v>13917</v>
      </c>
      <c r="RXC2" s="133" t="s">
        <v>13918</v>
      </c>
      <c r="RXD2" s="133" t="s">
        <v>13919</v>
      </c>
      <c r="RXE2" s="133" t="s">
        <v>13920</v>
      </c>
      <c r="RXF2" s="133" t="s">
        <v>13921</v>
      </c>
      <c r="RXG2" s="133" t="s">
        <v>13922</v>
      </c>
      <c r="RXH2" s="133" t="s">
        <v>13923</v>
      </c>
      <c r="RXI2" s="133" t="s">
        <v>13924</v>
      </c>
      <c r="RXJ2" s="133" t="s">
        <v>13925</v>
      </c>
      <c r="RXK2" s="133" t="s">
        <v>13926</v>
      </c>
      <c r="RXL2" s="133" t="s">
        <v>13927</v>
      </c>
      <c r="RXM2" s="133" t="s">
        <v>13928</v>
      </c>
      <c r="RXN2" s="133" t="s">
        <v>13929</v>
      </c>
      <c r="RXO2" s="133" t="s">
        <v>13930</v>
      </c>
      <c r="RXP2" s="133" t="s">
        <v>13931</v>
      </c>
      <c r="RXQ2" s="133" t="s">
        <v>13932</v>
      </c>
      <c r="RXR2" s="133" t="s">
        <v>13933</v>
      </c>
      <c r="RXS2" s="133" t="s">
        <v>13934</v>
      </c>
      <c r="RXT2" s="133" t="s">
        <v>13935</v>
      </c>
      <c r="RXU2" s="133" t="s">
        <v>13936</v>
      </c>
      <c r="RXV2" s="133" t="s">
        <v>13937</v>
      </c>
      <c r="RXW2" s="133" t="s">
        <v>13938</v>
      </c>
      <c r="RXX2" s="133" t="s">
        <v>13939</v>
      </c>
      <c r="RXY2" s="133" t="s">
        <v>13940</v>
      </c>
      <c r="RXZ2" s="133" t="s">
        <v>13941</v>
      </c>
      <c r="RYA2" s="133" t="s">
        <v>13942</v>
      </c>
      <c r="RYB2" s="133" t="s">
        <v>13943</v>
      </c>
      <c r="RYC2" s="133" t="s">
        <v>13944</v>
      </c>
      <c r="RYD2" s="133" t="s">
        <v>13945</v>
      </c>
      <c r="RYE2" s="133" t="s">
        <v>13946</v>
      </c>
      <c r="RYF2" s="133" t="s">
        <v>13947</v>
      </c>
      <c r="RYG2" s="133" t="s">
        <v>13948</v>
      </c>
      <c r="RYH2" s="133" t="s">
        <v>13949</v>
      </c>
      <c r="RYI2" s="133" t="s">
        <v>13950</v>
      </c>
      <c r="RYJ2" s="133" t="s">
        <v>13951</v>
      </c>
      <c r="RYK2" s="133" t="s">
        <v>13952</v>
      </c>
      <c r="RYL2" s="133" t="s">
        <v>13953</v>
      </c>
      <c r="RYM2" s="133" t="s">
        <v>13954</v>
      </c>
      <c r="RYN2" s="133" t="s">
        <v>13955</v>
      </c>
      <c r="RYO2" s="133" t="s">
        <v>13956</v>
      </c>
      <c r="RYP2" s="133" t="s">
        <v>13957</v>
      </c>
      <c r="RYQ2" s="133" t="s">
        <v>13958</v>
      </c>
      <c r="RYR2" s="133" t="s">
        <v>13959</v>
      </c>
      <c r="RYS2" s="133" t="s">
        <v>13960</v>
      </c>
      <c r="RYT2" s="133" t="s">
        <v>13961</v>
      </c>
      <c r="RYU2" s="133" t="s">
        <v>13962</v>
      </c>
      <c r="RYV2" s="133" t="s">
        <v>13963</v>
      </c>
      <c r="RYW2" s="133" t="s">
        <v>13964</v>
      </c>
      <c r="RYX2" s="133" t="s">
        <v>13965</v>
      </c>
      <c r="RYY2" s="133" t="s">
        <v>13966</v>
      </c>
      <c r="RYZ2" s="133" t="s">
        <v>13967</v>
      </c>
      <c r="RZA2" s="133" t="s">
        <v>13968</v>
      </c>
      <c r="RZB2" s="133" t="s">
        <v>13969</v>
      </c>
      <c r="RZC2" s="133" t="s">
        <v>13970</v>
      </c>
      <c r="RZD2" s="133" t="s">
        <v>13971</v>
      </c>
      <c r="RZE2" s="133" t="s">
        <v>13972</v>
      </c>
      <c r="RZF2" s="133" t="s">
        <v>13973</v>
      </c>
      <c r="RZG2" s="133" t="s">
        <v>13974</v>
      </c>
      <c r="RZH2" s="133" t="s">
        <v>13975</v>
      </c>
      <c r="RZI2" s="133" t="s">
        <v>13976</v>
      </c>
      <c r="RZJ2" s="133" t="s">
        <v>13977</v>
      </c>
      <c r="RZK2" s="133" t="s">
        <v>13978</v>
      </c>
      <c r="RZL2" s="133" t="s">
        <v>13979</v>
      </c>
      <c r="RZM2" s="133" t="s">
        <v>13980</v>
      </c>
      <c r="RZN2" s="133" t="s">
        <v>13981</v>
      </c>
      <c r="RZO2" s="133" t="s">
        <v>13982</v>
      </c>
      <c r="RZP2" s="133" t="s">
        <v>13983</v>
      </c>
      <c r="RZQ2" s="133" t="s">
        <v>13984</v>
      </c>
      <c r="RZR2" s="133" t="s">
        <v>13985</v>
      </c>
      <c r="RZS2" s="133" t="s">
        <v>13986</v>
      </c>
      <c r="RZT2" s="133" t="s">
        <v>13987</v>
      </c>
      <c r="RZU2" s="133" t="s">
        <v>13988</v>
      </c>
      <c r="RZV2" s="133" t="s">
        <v>13989</v>
      </c>
      <c r="RZW2" s="133" t="s">
        <v>13990</v>
      </c>
      <c r="RZX2" s="133" t="s">
        <v>13991</v>
      </c>
      <c r="RZY2" s="133" t="s">
        <v>13992</v>
      </c>
      <c r="RZZ2" s="133" t="s">
        <v>13993</v>
      </c>
      <c r="SAA2" s="133" t="s">
        <v>13994</v>
      </c>
      <c r="SAB2" s="133" t="s">
        <v>13995</v>
      </c>
      <c r="SAC2" s="133" t="s">
        <v>13996</v>
      </c>
      <c r="SAD2" s="133" t="s">
        <v>13997</v>
      </c>
      <c r="SAE2" s="133" t="s">
        <v>13998</v>
      </c>
      <c r="SAF2" s="133" t="s">
        <v>13999</v>
      </c>
      <c r="SAG2" s="133" t="s">
        <v>14000</v>
      </c>
      <c r="SAH2" s="133" t="s">
        <v>14001</v>
      </c>
      <c r="SAI2" s="133" t="s">
        <v>14002</v>
      </c>
      <c r="SAJ2" s="133" t="s">
        <v>14003</v>
      </c>
      <c r="SAK2" s="133" t="s">
        <v>14004</v>
      </c>
      <c r="SAL2" s="133" t="s">
        <v>14005</v>
      </c>
      <c r="SAM2" s="133" t="s">
        <v>14006</v>
      </c>
      <c r="SAN2" s="133" t="s">
        <v>14007</v>
      </c>
      <c r="SAO2" s="133" t="s">
        <v>14008</v>
      </c>
      <c r="SAP2" s="133" t="s">
        <v>14009</v>
      </c>
      <c r="SAQ2" s="133" t="s">
        <v>14010</v>
      </c>
      <c r="SAR2" s="133" t="s">
        <v>14011</v>
      </c>
      <c r="SAS2" s="133" t="s">
        <v>14012</v>
      </c>
      <c r="SAT2" s="133" t="s">
        <v>14013</v>
      </c>
      <c r="SAU2" s="133" t="s">
        <v>14014</v>
      </c>
      <c r="SAV2" s="133" t="s">
        <v>14015</v>
      </c>
      <c r="SAW2" s="133" t="s">
        <v>14016</v>
      </c>
      <c r="SAX2" s="133" t="s">
        <v>14017</v>
      </c>
      <c r="SAY2" s="133" t="s">
        <v>14018</v>
      </c>
      <c r="SAZ2" s="133" t="s">
        <v>14019</v>
      </c>
      <c r="SBA2" s="133" t="s">
        <v>14020</v>
      </c>
      <c r="SBB2" s="133" t="s">
        <v>14021</v>
      </c>
      <c r="SBC2" s="133" t="s">
        <v>14022</v>
      </c>
      <c r="SBD2" s="133" t="s">
        <v>14023</v>
      </c>
      <c r="SBE2" s="133" t="s">
        <v>14024</v>
      </c>
      <c r="SBF2" s="133" t="s">
        <v>14025</v>
      </c>
      <c r="SBG2" s="133" t="s">
        <v>14026</v>
      </c>
      <c r="SBH2" s="133" t="s">
        <v>14027</v>
      </c>
      <c r="SBI2" s="133" t="s">
        <v>14028</v>
      </c>
      <c r="SBJ2" s="133" t="s">
        <v>14029</v>
      </c>
      <c r="SBK2" s="133" t="s">
        <v>14030</v>
      </c>
      <c r="SBL2" s="133" t="s">
        <v>14031</v>
      </c>
      <c r="SBM2" s="133" t="s">
        <v>14032</v>
      </c>
      <c r="SBN2" s="133" t="s">
        <v>14033</v>
      </c>
      <c r="SBO2" s="133" t="s">
        <v>14034</v>
      </c>
      <c r="SBP2" s="133" t="s">
        <v>14035</v>
      </c>
      <c r="SBQ2" s="133" t="s">
        <v>14036</v>
      </c>
      <c r="SBR2" s="133" t="s">
        <v>14037</v>
      </c>
      <c r="SBS2" s="133" t="s">
        <v>14038</v>
      </c>
      <c r="SBT2" s="133" t="s">
        <v>14039</v>
      </c>
      <c r="SBU2" s="133" t="s">
        <v>14040</v>
      </c>
      <c r="SBV2" s="133" t="s">
        <v>14041</v>
      </c>
      <c r="SBW2" s="133" t="s">
        <v>14042</v>
      </c>
      <c r="SBX2" s="133" t="s">
        <v>14043</v>
      </c>
      <c r="SBY2" s="133" t="s">
        <v>14044</v>
      </c>
      <c r="SBZ2" s="133" t="s">
        <v>14045</v>
      </c>
      <c r="SCA2" s="133" t="s">
        <v>14046</v>
      </c>
      <c r="SCB2" s="133" t="s">
        <v>14047</v>
      </c>
      <c r="SCC2" s="133" t="s">
        <v>14048</v>
      </c>
      <c r="SCD2" s="133" t="s">
        <v>14049</v>
      </c>
      <c r="SCE2" s="133" t="s">
        <v>14050</v>
      </c>
      <c r="SCF2" s="133" t="s">
        <v>14051</v>
      </c>
      <c r="SCG2" s="133" t="s">
        <v>14052</v>
      </c>
      <c r="SCH2" s="133" t="s">
        <v>14053</v>
      </c>
      <c r="SCI2" s="133" t="s">
        <v>14054</v>
      </c>
      <c r="SCJ2" s="133" t="s">
        <v>14055</v>
      </c>
      <c r="SCK2" s="133" t="s">
        <v>14056</v>
      </c>
      <c r="SCL2" s="133" t="s">
        <v>14057</v>
      </c>
      <c r="SCM2" s="133" t="s">
        <v>14058</v>
      </c>
      <c r="SCN2" s="133" t="s">
        <v>14059</v>
      </c>
      <c r="SCO2" s="133" t="s">
        <v>14060</v>
      </c>
      <c r="SCP2" s="133" t="s">
        <v>14061</v>
      </c>
      <c r="SCQ2" s="133" t="s">
        <v>14062</v>
      </c>
      <c r="SCR2" s="133" t="s">
        <v>14063</v>
      </c>
      <c r="SCS2" s="133" t="s">
        <v>14064</v>
      </c>
      <c r="SCT2" s="133" t="s">
        <v>14065</v>
      </c>
      <c r="SCU2" s="133" t="s">
        <v>14066</v>
      </c>
      <c r="SCV2" s="133" t="s">
        <v>14067</v>
      </c>
      <c r="SCW2" s="133" t="s">
        <v>14068</v>
      </c>
      <c r="SCX2" s="133" t="s">
        <v>14069</v>
      </c>
      <c r="SCY2" s="133" t="s">
        <v>14070</v>
      </c>
      <c r="SCZ2" s="133" t="s">
        <v>14071</v>
      </c>
      <c r="SDA2" s="133" t="s">
        <v>14072</v>
      </c>
      <c r="SDB2" s="133" t="s">
        <v>14073</v>
      </c>
      <c r="SDC2" s="133" t="s">
        <v>14074</v>
      </c>
      <c r="SDD2" s="133" t="s">
        <v>14075</v>
      </c>
      <c r="SDE2" s="133" t="s">
        <v>14076</v>
      </c>
      <c r="SDF2" s="133" t="s">
        <v>14077</v>
      </c>
      <c r="SDG2" s="133" t="s">
        <v>14078</v>
      </c>
      <c r="SDH2" s="133" t="s">
        <v>14079</v>
      </c>
      <c r="SDI2" s="133" t="s">
        <v>14080</v>
      </c>
      <c r="SDJ2" s="133" t="s">
        <v>14081</v>
      </c>
      <c r="SDK2" s="133" t="s">
        <v>14082</v>
      </c>
      <c r="SDL2" s="133" t="s">
        <v>14083</v>
      </c>
      <c r="SDM2" s="133" t="s">
        <v>14084</v>
      </c>
      <c r="SDN2" s="133" t="s">
        <v>14085</v>
      </c>
      <c r="SDO2" s="133" t="s">
        <v>14086</v>
      </c>
      <c r="SDP2" s="133" t="s">
        <v>14087</v>
      </c>
      <c r="SDQ2" s="133" t="s">
        <v>14088</v>
      </c>
      <c r="SDR2" s="133" t="s">
        <v>14089</v>
      </c>
      <c r="SDS2" s="133" t="s">
        <v>14090</v>
      </c>
      <c r="SDT2" s="133" t="s">
        <v>14091</v>
      </c>
      <c r="SDU2" s="133" t="s">
        <v>14092</v>
      </c>
      <c r="SDV2" s="133" t="s">
        <v>14093</v>
      </c>
      <c r="SDW2" s="133" t="s">
        <v>14094</v>
      </c>
      <c r="SDX2" s="133" t="s">
        <v>14095</v>
      </c>
      <c r="SDY2" s="133" t="s">
        <v>14096</v>
      </c>
      <c r="SDZ2" s="133" t="s">
        <v>14097</v>
      </c>
      <c r="SEA2" s="133" t="s">
        <v>14098</v>
      </c>
      <c r="SEB2" s="133" t="s">
        <v>14099</v>
      </c>
      <c r="SEC2" s="133" t="s">
        <v>14100</v>
      </c>
      <c r="SED2" s="133" t="s">
        <v>14101</v>
      </c>
      <c r="SEE2" s="133" t="s">
        <v>14102</v>
      </c>
      <c r="SEF2" s="133" t="s">
        <v>14103</v>
      </c>
      <c r="SEG2" s="133" t="s">
        <v>14104</v>
      </c>
      <c r="SEH2" s="133" t="s">
        <v>14105</v>
      </c>
      <c r="SEI2" s="133" t="s">
        <v>14106</v>
      </c>
      <c r="SEJ2" s="133" t="s">
        <v>14107</v>
      </c>
      <c r="SEK2" s="133" t="s">
        <v>14108</v>
      </c>
      <c r="SEL2" s="133" t="s">
        <v>14109</v>
      </c>
      <c r="SEM2" s="133" t="s">
        <v>14110</v>
      </c>
      <c r="SEN2" s="133" t="s">
        <v>14111</v>
      </c>
      <c r="SEO2" s="133" t="s">
        <v>14112</v>
      </c>
      <c r="SEP2" s="133" t="s">
        <v>14113</v>
      </c>
      <c r="SEQ2" s="133" t="s">
        <v>14114</v>
      </c>
      <c r="SER2" s="133" t="s">
        <v>14115</v>
      </c>
      <c r="SES2" s="133" t="s">
        <v>14116</v>
      </c>
      <c r="SET2" s="133" t="s">
        <v>14117</v>
      </c>
      <c r="SEU2" s="133" t="s">
        <v>14118</v>
      </c>
      <c r="SEV2" s="133" t="s">
        <v>14119</v>
      </c>
      <c r="SEW2" s="133" t="s">
        <v>14120</v>
      </c>
      <c r="SEX2" s="133" t="s">
        <v>14121</v>
      </c>
      <c r="SEY2" s="133" t="s">
        <v>14122</v>
      </c>
      <c r="SEZ2" s="133" t="s">
        <v>14123</v>
      </c>
      <c r="SFA2" s="133" t="s">
        <v>14124</v>
      </c>
      <c r="SFB2" s="133" t="s">
        <v>14125</v>
      </c>
      <c r="SFC2" s="133" t="s">
        <v>14126</v>
      </c>
      <c r="SFD2" s="133" t="s">
        <v>14127</v>
      </c>
      <c r="SFE2" s="133" t="s">
        <v>14128</v>
      </c>
      <c r="SFF2" s="133" t="s">
        <v>14129</v>
      </c>
      <c r="SFG2" s="133" t="s">
        <v>14130</v>
      </c>
      <c r="SFH2" s="133" t="s">
        <v>14131</v>
      </c>
      <c r="SFI2" s="133" t="s">
        <v>14132</v>
      </c>
      <c r="SFJ2" s="133" t="s">
        <v>14133</v>
      </c>
      <c r="SFK2" s="133" t="s">
        <v>14134</v>
      </c>
      <c r="SFL2" s="133" t="s">
        <v>14135</v>
      </c>
      <c r="SFM2" s="133" t="s">
        <v>14136</v>
      </c>
      <c r="SFN2" s="133" t="s">
        <v>14137</v>
      </c>
      <c r="SFO2" s="133" t="s">
        <v>14138</v>
      </c>
      <c r="SFP2" s="133" t="s">
        <v>14139</v>
      </c>
      <c r="SFQ2" s="133" t="s">
        <v>14140</v>
      </c>
      <c r="SFR2" s="133" t="s">
        <v>14141</v>
      </c>
      <c r="SFS2" s="133" t="s">
        <v>14142</v>
      </c>
      <c r="SFT2" s="133" t="s">
        <v>14143</v>
      </c>
      <c r="SFU2" s="133" t="s">
        <v>14144</v>
      </c>
      <c r="SFV2" s="133" t="s">
        <v>14145</v>
      </c>
      <c r="SFW2" s="133" t="s">
        <v>14146</v>
      </c>
      <c r="SFX2" s="133" t="s">
        <v>14147</v>
      </c>
      <c r="SFY2" s="133" t="s">
        <v>14148</v>
      </c>
      <c r="SFZ2" s="133" t="s">
        <v>14149</v>
      </c>
      <c r="SGA2" s="133" t="s">
        <v>14150</v>
      </c>
      <c r="SGB2" s="133" t="s">
        <v>14151</v>
      </c>
      <c r="SGC2" s="133" t="s">
        <v>14152</v>
      </c>
      <c r="SGD2" s="133" t="s">
        <v>14153</v>
      </c>
      <c r="SGE2" s="133" t="s">
        <v>14154</v>
      </c>
      <c r="SGF2" s="133" t="s">
        <v>14155</v>
      </c>
      <c r="SGG2" s="133" t="s">
        <v>14156</v>
      </c>
      <c r="SGH2" s="133" t="s">
        <v>14157</v>
      </c>
      <c r="SGI2" s="133" t="s">
        <v>14158</v>
      </c>
      <c r="SGJ2" s="133" t="s">
        <v>14159</v>
      </c>
      <c r="SGK2" s="133" t="s">
        <v>14160</v>
      </c>
      <c r="SGL2" s="133" t="s">
        <v>14161</v>
      </c>
      <c r="SGM2" s="133" t="s">
        <v>14162</v>
      </c>
      <c r="SGN2" s="133" t="s">
        <v>14163</v>
      </c>
      <c r="SGO2" s="133" t="s">
        <v>14164</v>
      </c>
      <c r="SGP2" s="133" t="s">
        <v>14165</v>
      </c>
      <c r="SGQ2" s="133" t="s">
        <v>14166</v>
      </c>
      <c r="SGR2" s="133" t="s">
        <v>14167</v>
      </c>
      <c r="SGS2" s="133" t="s">
        <v>14168</v>
      </c>
      <c r="SGT2" s="133" t="s">
        <v>14169</v>
      </c>
      <c r="SGU2" s="133" t="s">
        <v>14170</v>
      </c>
      <c r="SGV2" s="133" t="s">
        <v>14171</v>
      </c>
      <c r="SGW2" s="133" t="s">
        <v>14172</v>
      </c>
      <c r="SGX2" s="133" t="s">
        <v>14173</v>
      </c>
      <c r="SGY2" s="133" t="s">
        <v>14174</v>
      </c>
      <c r="SGZ2" s="133" t="s">
        <v>14175</v>
      </c>
      <c r="SHA2" s="133" t="s">
        <v>14176</v>
      </c>
      <c r="SHB2" s="133" t="s">
        <v>14177</v>
      </c>
      <c r="SHC2" s="133" t="s">
        <v>14178</v>
      </c>
      <c r="SHD2" s="133" t="s">
        <v>14179</v>
      </c>
      <c r="SHE2" s="133" t="s">
        <v>14180</v>
      </c>
      <c r="SHF2" s="133" t="s">
        <v>14181</v>
      </c>
      <c r="SHG2" s="133" t="s">
        <v>14182</v>
      </c>
      <c r="SHH2" s="133" t="s">
        <v>14183</v>
      </c>
      <c r="SHI2" s="133" t="s">
        <v>14184</v>
      </c>
      <c r="SHJ2" s="133" t="s">
        <v>14185</v>
      </c>
      <c r="SHK2" s="133" t="s">
        <v>14186</v>
      </c>
      <c r="SHL2" s="133" t="s">
        <v>14187</v>
      </c>
      <c r="SHM2" s="133" t="s">
        <v>14188</v>
      </c>
      <c r="SHN2" s="133" t="s">
        <v>14189</v>
      </c>
      <c r="SHO2" s="133" t="s">
        <v>14190</v>
      </c>
      <c r="SHP2" s="133" t="s">
        <v>14191</v>
      </c>
      <c r="SHQ2" s="133" t="s">
        <v>14192</v>
      </c>
      <c r="SHR2" s="133" t="s">
        <v>14193</v>
      </c>
      <c r="SHS2" s="133" t="s">
        <v>14194</v>
      </c>
      <c r="SHT2" s="133" t="s">
        <v>14195</v>
      </c>
      <c r="SHU2" s="133" t="s">
        <v>14196</v>
      </c>
      <c r="SHV2" s="133" t="s">
        <v>14197</v>
      </c>
      <c r="SHW2" s="133" t="s">
        <v>14198</v>
      </c>
      <c r="SHX2" s="133" t="s">
        <v>14199</v>
      </c>
      <c r="SHY2" s="133" t="s">
        <v>14200</v>
      </c>
      <c r="SHZ2" s="133" t="s">
        <v>14201</v>
      </c>
      <c r="SIA2" s="133" t="s">
        <v>14202</v>
      </c>
      <c r="SIB2" s="133" t="s">
        <v>14203</v>
      </c>
      <c r="SIC2" s="133" t="s">
        <v>14204</v>
      </c>
      <c r="SID2" s="133" t="s">
        <v>14205</v>
      </c>
      <c r="SIE2" s="133" t="s">
        <v>14206</v>
      </c>
      <c r="SIF2" s="133" t="s">
        <v>14207</v>
      </c>
      <c r="SIG2" s="133" t="s">
        <v>14208</v>
      </c>
      <c r="SIH2" s="133" t="s">
        <v>14209</v>
      </c>
      <c r="SII2" s="133" t="s">
        <v>14210</v>
      </c>
      <c r="SIJ2" s="133" t="s">
        <v>14211</v>
      </c>
      <c r="SIK2" s="133" t="s">
        <v>14212</v>
      </c>
      <c r="SIL2" s="133" t="s">
        <v>14213</v>
      </c>
      <c r="SIM2" s="133" t="s">
        <v>14214</v>
      </c>
      <c r="SIN2" s="133" t="s">
        <v>14215</v>
      </c>
      <c r="SIO2" s="133" t="s">
        <v>14216</v>
      </c>
      <c r="SIP2" s="133" t="s">
        <v>14217</v>
      </c>
      <c r="SIQ2" s="133" t="s">
        <v>14218</v>
      </c>
      <c r="SIR2" s="133" t="s">
        <v>14219</v>
      </c>
      <c r="SIS2" s="133" t="s">
        <v>14220</v>
      </c>
      <c r="SIT2" s="133" t="s">
        <v>14221</v>
      </c>
      <c r="SIU2" s="133" t="s">
        <v>14222</v>
      </c>
      <c r="SIV2" s="133" t="s">
        <v>14223</v>
      </c>
      <c r="SIW2" s="133" t="s">
        <v>14224</v>
      </c>
      <c r="SIX2" s="133" t="s">
        <v>14225</v>
      </c>
      <c r="SIY2" s="133" t="s">
        <v>14226</v>
      </c>
      <c r="SIZ2" s="133" t="s">
        <v>14227</v>
      </c>
      <c r="SJA2" s="133" t="s">
        <v>14228</v>
      </c>
      <c r="SJB2" s="133" t="s">
        <v>14229</v>
      </c>
      <c r="SJC2" s="133" t="s">
        <v>14230</v>
      </c>
      <c r="SJD2" s="133" t="s">
        <v>14231</v>
      </c>
      <c r="SJE2" s="133" t="s">
        <v>14232</v>
      </c>
      <c r="SJF2" s="133" t="s">
        <v>14233</v>
      </c>
      <c r="SJG2" s="133" t="s">
        <v>14234</v>
      </c>
      <c r="SJH2" s="133" t="s">
        <v>14235</v>
      </c>
      <c r="SJI2" s="133" t="s">
        <v>14236</v>
      </c>
      <c r="SJJ2" s="133" t="s">
        <v>14237</v>
      </c>
      <c r="SJK2" s="133" t="s">
        <v>14238</v>
      </c>
      <c r="SJL2" s="133" t="s">
        <v>14239</v>
      </c>
      <c r="SJM2" s="133" t="s">
        <v>14240</v>
      </c>
      <c r="SJN2" s="133" t="s">
        <v>14241</v>
      </c>
      <c r="SJO2" s="133" t="s">
        <v>14242</v>
      </c>
      <c r="SJP2" s="133" t="s">
        <v>14243</v>
      </c>
      <c r="SJQ2" s="133" t="s">
        <v>14244</v>
      </c>
      <c r="SJR2" s="133" t="s">
        <v>14245</v>
      </c>
      <c r="SJS2" s="133" t="s">
        <v>14246</v>
      </c>
      <c r="SJT2" s="133" t="s">
        <v>14247</v>
      </c>
      <c r="SJU2" s="133" t="s">
        <v>14248</v>
      </c>
      <c r="SJV2" s="133" t="s">
        <v>14249</v>
      </c>
      <c r="SJW2" s="133" t="s">
        <v>14250</v>
      </c>
      <c r="SJX2" s="133" t="s">
        <v>14251</v>
      </c>
      <c r="SJY2" s="133" t="s">
        <v>14252</v>
      </c>
      <c r="SJZ2" s="133" t="s">
        <v>14253</v>
      </c>
      <c r="SKA2" s="133" t="s">
        <v>14254</v>
      </c>
      <c r="SKB2" s="133" t="s">
        <v>14255</v>
      </c>
      <c r="SKC2" s="133" t="s">
        <v>14256</v>
      </c>
      <c r="SKD2" s="133" t="s">
        <v>14257</v>
      </c>
      <c r="SKE2" s="133" t="s">
        <v>14258</v>
      </c>
      <c r="SKF2" s="133" t="s">
        <v>14259</v>
      </c>
      <c r="SKG2" s="133" t="s">
        <v>14260</v>
      </c>
      <c r="SKH2" s="133" t="s">
        <v>14261</v>
      </c>
      <c r="SKI2" s="133" t="s">
        <v>14262</v>
      </c>
      <c r="SKJ2" s="133" t="s">
        <v>14263</v>
      </c>
      <c r="SKK2" s="133" t="s">
        <v>14264</v>
      </c>
      <c r="SKL2" s="133" t="s">
        <v>14265</v>
      </c>
      <c r="SKM2" s="133" t="s">
        <v>14266</v>
      </c>
      <c r="SKN2" s="133" t="s">
        <v>14267</v>
      </c>
      <c r="SKO2" s="133" t="s">
        <v>14268</v>
      </c>
      <c r="SKP2" s="133" t="s">
        <v>14269</v>
      </c>
      <c r="SKQ2" s="133" t="s">
        <v>14270</v>
      </c>
      <c r="SKR2" s="133" t="s">
        <v>14271</v>
      </c>
      <c r="SKS2" s="133" t="s">
        <v>14272</v>
      </c>
      <c r="SKT2" s="133" t="s">
        <v>14273</v>
      </c>
      <c r="SKU2" s="133" t="s">
        <v>14274</v>
      </c>
      <c r="SKV2" s="133" t="s">
        <v>14275</v>
      </c>
      <c r="SKW2" s="133" t="s">
        <v>14276</v>
      </c>
      <c r="SKX2" s="133" t="s">
        <v>14277</v>
      </c>
      <c r="SKY2" s="133" t="s">
        <v>14278</v>
      </c>
      <c r="SKZ2" s="133" t="s">
        <v>14279</v>
      </c>
      <c r="SLA2" s="133" t="s">
        <v>14280</v>
      </c>
      <c r="SLB2" s="133" t="s">
        <v>14281</v>
      </c>
      <c r="SLC2" s="133" t="s">
        <v>14282</v>
      </c>
      <c r="SLD2" s="133" t="s">
        <v>14283</v>
      </c>
      <c r="SLE2" s="133" t="s">
        <v>14284</v>
      </c>
      <c r="SLF2" s="133" t="s">
        <v>14285</v>
      </c>
      <c r="SLG2" s="133" t="s">
        <v>14286</v>
      </c>
      <c r="SLH2" s="133" t="s">
        <v>14287</v>
      </c>
      <c r="SLI2" s="133" t="s">
        <v>14288</v>
      </c>
      <c r="SLJ2" s="133" t="s">
        <v>14289</v>
      </c>
      <c r="SLK2" s="133" t="s">
        <v>14290</v>
      </c>
      <c r="SLL2" s="133" t="s">
        <v>14291</v>
      </c>
      <c r="SLM2" s="133" t="s">
        <v>14292</v>
      </c>
      <c r="SLN2" s="133" t="s">
        <v>14293</v>
      </c>
      <c r="SLO2" s="133" t="s">
        <v>14294</v>
      </c>
      <c r="SLP2" s="133" t="s">
        <v>14295</v>
      </c>
      <c r="SLQ2" s="133" t="s">
        <v>14296</v>
      </c>
      <c r="SLR2" s="133" t="s">
        <v>14297</v>
      </c>
      <c r="SLS2" s="133" t="s">
        <v>14298</v>
      </c>
      <c r="SLT2" s="133" t="s">
        <v>14299</v>
      </c>
      <c r="SLU2" s="133" t="s">
        <v>14300</v>
      </c>
      <c r="SLV2" s="133" t="s">
        <v>14301</v>
      </c>
      <c r="SLW2" s="133" t="s">
        <v>14302</v>
      </c>
      <c r="SLX2" s="133" t="s">
        <v>14303</v>
      </c>
      <c r="SLY2" s="133" t="s">
        <v>14304</v>
      </c>
      <c r="SLZ2" s="133" t="s">
        <v>14305</v>
      </c>
      <c r="SMA2" s="133" t="s">
        <v>14306</v>
      </c>
      <c r="SMB2" s="133" t="s">
        <v>14307</v>
      </c>
      <c r="SMC2" s="133" t="s">
        <v>14308</v>
      </c>
      <c r="SMD2" s="133" t="s">
        <v>14309</v>
      </c>
      <c r="SME2" s="133" t="s">
        <v>14310</v>
      </c>
      <c r="SMF2" s="133" t="s">
        <v>14311</v>
      </c>
      <c r="SMG2" s="133" t="s">
        <v>14312</v>
      </c>
      <c r="SMH2" s="133" t="s">
        <v>14313</v>
      </c>
      <c r="SMI2" s="133" t="s">
        <v>14314</v>
      </c>
      <c r="SMJ2" s="133" t="s">
        <v>14315</v>
      </c>
      <c r="SMK2" s="133" t="s">
        <v>14316</v>
      </c>
      <c r="SML2" s="133" t="s">
        <v>14317</v>
      </c>
      <c r="SMM2" s="133" t="s">
        <v>14318</v>
      </c>
      <c r="SMN2" s="133" t="s">
        <v>14319</v>
      </c>
      <c r="SMO2" s="133" t="s">
        <v>14320</v>
      </c>
      <c r="SMP2" s="133" t="s">
        <v>14321</v>
      </c>
      <c r="SMQ2" s="133" t="s">
        <v>14322</v>
      </c>
      <c r="SMR2" s="133" t="s">
        <v>14323</v>
      </c>
      <c r="SMS2" s="133" t="s">
        <v>14324</v>
      </c>
      <c r="SMT2" s="133" t="s">
        <v>14325</v>
      </c>
      <c r="SMU2" s="133" t="s">
        <v>14326</v>
      </c>
      <c r="SMV2" s="133" t="s">
        <v>14327</v>
      </c>
      <c r="SMW2" s="133" t="s">
        <v>14328</v>
      </c>
      <c r="SMX2" s="133" t="s">
        <v>14329</v>
      </c>
      <c r="SMY2" s="133" t="s">
        <v>14330</v>
      </c>
      <c r="SMZ2" s="133" t="s">
        <v>14331</v>
      </c>
      <c r="SNA2" s="133" t="s">
        <v>14332</v>
      </c>
      <c r="SNB2" s="133" t="s">
        <v>14333</v>
      </c>
      <c r="SNC2" s="133" t="s">
        <v>14334</v>
      </c>
      <c r="SND2" s="133" t="s">
        <v>14335</v>
      </c>
      <c r="SNE2" s="133" t="s">
        <v>14336</v>
      </c>
      <c r="SNF2" s="133" t="s">
        <v>14337</v>
      </c>
      <c r="SNG2" s="133" t="s">
        <v>14338</v>
      </c>
      <c r="SNH2" s="133" t="s">
        <v>14339</v>
      </c>
      <c r="SNI2" s="133" t="s">
        <v>14340</v>
      </c>
      <c r="SNJ2" s="133" t="s">
        <v>14341</v>
      </c>
      <c r="SNK2" s="133" t="s">
        <v>14342</v>
      </c>
      <c r="SNL2" s="133" t="s">
        <v>14343</v>
      </c>
      <c r="SNM2" s="133" t="s">
        <v>14344</v>
      </c>
      <c r="SNN2" s="133" t="s">
        <v>14345</v>
      </c>
      <c r="SNO2" s="133" t="s">
        <v>14346</v>
      </c>
      <c r="SNP2" s="133" t="s">
        <v>14347</v>
      </c>
      <c r="SNQ2" s="133" t="s">
        <v>14348</v>
      </c>
      <c r="SNR2" s="133" t="s">
        <v>14349</v>
      </c>
      <c r="SNS2" s="133" t="s">
        <v>14350</v>
      </c>
      <c r="SNT2" s="133" t="s">
        <v>14351</v>
      </c>
      <c r="SNU2" s="133" t="s">
        <v>14352</v>
      </c>
      <c r="SNV2" s="133" t="s">
        <v>14353</v>
      </c>
      <c r="SNW2" s="133" t="s">
        <v>14354</v>
      </c>
      <c r="SNX2" s="133" t="s">
        <v>14355</v>
      </c>
      <c r="SNY2" s="133" t="s">
        <v>14356</v>
      </c>
      <c r="SNZ2" s="133" t="s">
        <v>14357</v>
      </c>
      <c r="SOA2" s="133" t="s">
        <v>14358</v>
      </c>
      <c r="SOB2" s="133" t="s">
        <v>14359</v>
      </c>
      <c r="SOC2" s="133" t="s">
        <v>14360</v>
      </c>
      <c r="SOD2" s="133" t="s">
        <v>14361</v>
      </c>
      <c r="SOE2" s="133" t="s">
        <v>14362</v>
      </c>
      <c r="SOF2" s="133" t="s">
        <v>14363</v>
      </c>
      <c r="SOG2" s="133" t="s">
        <v>14364</v>
      </c>
      <c r="SOH2" s="133" t="s">
        <v>14365</v>
      </c>
      <c r="SOI2" s="133" t="s">
        <v>14366</v>
      </c>
      <c r="SOJ2" s="133" t="s">
        <v>14367</v>
      </c>
      <c r="SOK2" s="133" t="s">
        <v>14368</v>
      </c>
      <c r="SOL2" s="133" t="s">
        <v>14369</v>
      </c>
      <c r="SOM2" s="133" t="s">
        <v>14370</v>
      </c>
      <c r="SON2" s="133" t="s">
        <v>14371</v>
      </c>
      <c r="SOO2" s="133" t="s">
        <v>14372</v>
      </c>
      <c r="SOP2" s="133" t="s">
        <v>14373</v>
      </c>
      <c r="SOQ2" s="133" t="s">
        <v>14374</v>
      </c>
      <c r="SOR2" s="133" t="s">
        <v>14375</v>
      </c>
      <c r="SOS2" s="133" t="s">
        <v>14376</v>
      </c>
      <c r="SOT2" s="133" t="s">
        <v>14377</v>
      </c>
      <c r="SOU2" s="133" t="s">
        <v>14378</v>
      </c>
      <c r="SOV2" s="133" t="s">
        <v>14379</v>
      </c>
      <c r="SOW2" s="133" t="s">
        <v>14380</v>
      </c>
      <c r="SOX2" s="133" t="s">
        <v>14381</v>
      </c>
      <c r="SOY2" s="133" t="s">
        <v>14382</v>
      </c>
      <c r="SOZ2" s="133" t="s">
        <v>14383</v>
      </c>
      <c r="SPA2" s="133" t="s">
        <v>14384</v>
      </c>
      <c r="SPB2" s="133" t="s">
        <v>14385</v>
      </c>
      <c r="SPC2" s="133" t="s">
        <v>14386</v>
      </c>
      <c r="SPD2" s="133" t="s">
        <v>14387</v>
      </c>
      <c r="SPE2" s="133" t="s">
        <v>14388</v>
      </c>
      <c r="SPF2" s="133" t="s">
        <v>14389</v>
      </c>
      <c r="SPG2" s="133" t="s">
        <v>14390</v>
      </c>
      <c r="SPH2" s="133" t="s">
        <v>14391</v>
      </c>
      <c r="SPI2" s="133" t="s">
        <v>14392</v>
      </c>
      <c r="SPJ2" s="133" t="s">
        <v>14393</v>
      </c>
      <c r="SPK2" s="133" t="s">
        <v>14394</v>
      </c>
      <c r="SPL2" s="133" t="s">
        <v>14395</v>
      </c>
      <c r="SPM2" s="133" t="s">
        <v>14396</v>
      </c>
      <c r="SPN2" s="133" t="s">
        <v>14397</v>
      </c>
      <c r="SPO2" s="133" t="s">
        <v>14398</v>
      </c>
      <c r="SPP2" s="133" t="s">
        <v>14399</v>
      </c>
      <c r="SPQ2" s="133" t="s">
        <v>14400</v>
      </c>
      <c r="SPR2" s="133" t="s">
        <v>14401</v>
      </c>
      <c r="SPS2" s="133" t="s">
        <v>14402</v>
      </c>
      <c r="SPT2" s="133" t="s">
        <v>14403</v>
      </c>
      <c r="SPU2" s="133" t="s">
        <v>14404</v>
      </c>
      <c r="SPV2" s="133" t="s">
        <v>14405</v>
      </c>
      <c r="SPW2" s="133" t="s">
        <v>14406</v>
      </c>
      <c r="SPX2" s="133" t="s">
        <v>14407</v>
      </c>
      <c r="SPY2" s="133" t="s">
        <v>14408</v>
      </c>
      <c r="SPZ2" s="133" t="s">
        <v>14409</v>
      </c>
      <c r="SQA2" s="133" t="s">
        <v>14410</v>
      </c>
      <c r="SQB2" s="133" t="s">
        <v>14411</v>
      </c>
      <c r="SQC2" s="133" t="s">
        <v>14412</v>
      </c>
      <c r="SQD2" s="133" t="s">
        <v>14413</v>
      </c>
      <c r="SQE2" s="133" t="s">
        <v>14414</v>
      </c>
      <c r="SQF2" s="133" t="s">
        <v>14415</v>
      </c>
      <c r="SQG2" s="133" t="s">
        <v>14416</v>
      </c>
      <c r="SQH2" s="133" t="s">
        <v>14417</v>
      </c>
      <c r="SQI2" s="133" t="s">
        <v>14418</v>
      </c>
      <c r="SQJ2" s="133" t="s">
        <v>14419</v>
      </c>
      <c r="SQK2" s="133" t="s">
        <v>14420</v>
      </c>
      <c r="SQL2" s="133" t="s">
        <v>14421</v>
      </c>
      <c r="SQM2" s="133" t="s">
        <v>14422</v>
      </c>
      <c r="SQN2" s="133" t="s">
        <v>14423</v>
      </c>
      <c r="SQO2" s="133" t="s">
        <v>14424</v>
      </c>
      <c r="SQP2" s="133" t="s">
        <v>14425</v>
      </c>
      <c r="SQQ2" s="133" t="s">
        <v>14426</v>
      </c>
      <c r="SQR2" s="133" t="s">
        <v>14427</v>
      </c>
      <c r="SQS2" s="133" t="s">
        <v>14428</v>
      </c>
      <c r="SQT2" s="133" t="s">
        <v>14429</v>
      </c>
      <c r="SQU2" s="133" t="s">
        <v>14430</v>
      </c>
      <c r="SQV2" s="133" t="s">
        <v>14431</v>
      </c>
      <c r="SQW2" s="133" t="s">
        <v>14432</v>
      </c>
      <c r="SQX2" s="133" t="s">
        <v>14433</v>
      </c>
      <c r="SQY2" s="133" t="s">
        <v>14434</v>
      </c>
      <c r="SQZ2" s="133" t="s">
        <v>14435</v>
      </c>
      <c r="SRA2" s="133" t="s">
        <v>14436</v>
      </c>
      <c r="SRB2" s="133" t="s">
        <v>14437</v>
      </c>
      <c r="SRC2" s="133" t="s">
        <v>14438</v>
      </c>
      <c r="SRD2" s="133" t="s">
        <v>14439</v>
      </c>
      <c r="SRE2" s="133" t="s">
        <v>14440</v>
      </c>
      <c r="SRF2" s="133" t="s">
        <v>14441</v>
      </c>
      <c r="SRG2" s="133" t="s">
        <v>14442</v>
      </c>
      <c r="SRH2" s="133" t="s">
        <v>14443</v>
      </c>
      <c r="SRI2" s="133" t="s">
        <v>14444</v>
      </c>
      <c r="SRJ2" s="133" t="s">
        <v>14445</v>
      </c>
      <c r="SRK2" s="133" t="s">
        <v>14446</v>
      </c>
      <c r="SRL2" s="133" t="s">
        <v>14447</v>
      </c>
      <c r="SRM2" s="133" t="s">
        <v>14448</v>
      </c>
      <c r="SRN2" s="133" t="s">
        <v>14449</v>
      </c>
      <c r="SRO2" s="133" t="s">
        <v>14450</v>
      </c>
      <c r="SRP2" s="133" t="s">
        <v>14451</v>
      </c>
      <c r="SRQ2" s="133" t="s">
        <v>14452</v>
      </c>
      <c r="SRR2" s="133" t="s">
        <v>14453</v>
      </c>
      <c r="SRS2" s="133" t="s">
        <v>14454</v>
      </c>
      <c r="SRT2" s="133" t="s">
        <v>14455</v>
      </c>
      <c r="SRU2" s="133" t="s">
        <v>14456</v>
      </c>
      <c r="SRV2" s="133" t="s">
        <v>14457</v>
      </c>
      <c r="SRW2" s="133" t="s">
        <v>14458</v>
      </c>
      <c r="SRX2" s="133" t="s">
        <v>14459</v>
      </c>
      <c r="SRY2" s="133" t="s">
        <v>14460</v>
      </c>
      <c r="SRZ2" s="133" t="s">
        <v>14461</v>
      </c>
      <c r="SSA2" s="133" t="s">
        <v>14462</v>
      </c>
      <c r="SSB2" s="133" t="s">
        <v>14463</v>
      </c>
      <c r="SSC2" s="133" t="s">
        <v>14464</v>
      </c>
      <c r="SSD2" s="133" t="s">
        <v>14465</v>
      </c>
      <c r="SSE2" s="133" t="s">
        <v>14466</v>
      </c>
      <c r="SSF2" s="133" t="s">
        <v>14467</v>
      </c>
      <c r="SSG2" s="133" t="s">
        <v>14468</v>
      </c>
      <c r="SSH2" s="133" t="s">
        <v>14469</v>
      </c>
      <c r="SSI2" s="133" t="s">
        <v>14470</v>
      </c>
      <c r="SSJ2" s="133" t="s">
        <v>14471</v>
      </c>
      <c r="SSK2" s="133" t="s">
        <v>14472</v>
      </c>
      <c r="SSL2" s="133" t="s">
        <v>14473</v>
      </c>
      <c r="SSM2" s="133" t="s">
        <v>14474</v>
      </c>
      <c r="SSN2" s="133" t="s">
        <v>14475</v>
      </c>
      <c r="SSO2" s="133" t="s">
        <v>14476</v>
      </c>
      <c r="SSP2" s="133" t="s">
        <v>14477</v>
      </c>
      <c r="SSQ2" s="133" t="s">
        <v>14478</v>
      </c>
      <c r="SSR2" s="133" t="s">
        <v>14479</v>
      </c>
      <c r="SSS2" s="133" t="s">
        <v>14480</v>
      </c>
      <c r="SST2" s="133" t="s">
        <v>14481</v>
      </c>
      <c r="SSU2" s="133" t="s">
        <v>14482</v>
      </c>
      <c r="SSV2" s="133" t="s">
        <v>14483</v>
      </c>
      <c r="SSW2" s="133" t="s">
        <v>14484</v>
      </c>
      <c r="SSX2" s="133" t="s">
        <v>14485</v>
      </c>
      <c r="SSY2" s="133" t="s">
        <v>14486</v>
      </c>
      <c r="SSZ2" s="133" t="s">
        <v>14487</v>
      </c>
      <c r="STA2" s="133" t="s">
        <v>14488</v>
      </c>
      <c r="STB2" s="133" t="s">
        <v>14489</v>
      </c>
      <c r="STC2" s="133" t="s">
        <v>14490</v>
      </c>
      <c r="STD2" s="133" t="s">
        <v>14491</v>
      </c>
      <c r="STE2" s="133" t="s">
        <v>14492</v>
      </c>
      <c r="STF2" s="133" t="s">
        <v>14493</v>
      </c>
      <c r="STG2" s="133" t="s">
        <v>14494</v>
      </c>
      <c r="STH2" s="133" t="s">
        <v>14495</v>
      </c>
      <c r="STI2" s="133" t="s">
        <v>14496</v>
      </c>
      <c r="STJ2" s="133" t="s">
        <v>14497</v>
      </c>
      <c r="STK2" s="133" t="s">
        <v>14498</v>
      </c>
      <c r="STL2" s="133" t="s">
        <v>14499</v>
      </c>
      <c r="STM2" s="133" t="s">
        <v>14500</v>
      </c>
      <c r="STN2" s="133" t="s">
        <v>14501</v>
      </c>
      <c r="STO2" s="133" t="s">
        <v>14502</v>
      </c>
      <c r="STP2" s="133" t="s">
        <v>14503</v>
      </c>
      <c r="STQ2" s="133" t="s">
        <v>14504</v>
      </c>
      <c r="STR2" s="133" t="s">
        <v>14505</v>
      </c>
      <c r="STS2" s="133" t="s">
        <v>14506</v>
      </c>
      <c r="STT2" s="133" t="s">
        <v>14507</v>
      </c>
      <c r="STU2" s="133" t="s">
        <v>14508</v>
      </c>
      <c r="STV2" s="133" t="s">
        <v>14509</v>
      </c>
      <c r="STW2" s="133" t="s">
        <v>14510</v>
      </c>
      <c r="STX2" s="133" t="s">
        <v>14511</v>
      </c>
      <c r="STY2" s="133" t="s">
        <v>14512</v>
      </c>
      <c r="STZ2" s="133" t="s">
        <v>14513</v>
      </c>
      <c r="SUA2" s="133" t="s">
        <v>14514</v>
      </c>
      <c r="SUB2" s="133" t="s">
        <v>14515</v>
      </c>
      <c r="SUC2" s="133" t="s">
        <v>14516</v>
      </c>
      <c r="SUD2" s="133" t="s">
        <v>14517</v>
      </c>
      <c r="SUE2" s="133" t="s">
        <v>14518</v>
      </c>
      <c r="SUF2" s="133" t="s">
        <v>14519</v>
      </c>
      <c r="SUG2" s="133" t="s">
        <v>14520</v>
      </c>
      <c r="SUH2" s="133" t="s">
        <v>14521</v>
      </c>
      <c r="SUI2" s="133" t="s">
        <v>14522</v>
      </c>
      <c r="SUJ2" s="133" t="s">
        <v>14523</v>
      </c>
      <c r="SUK2" s="133" t="s">
        <v>14524</v>
      </c>
      <c r="SUL2" s="133" t="s">
        <v>14525</v>
      </c>
      <c r="SUM2" s="133" t="s">
        <v>14526</v>
      </c>
      <c r="SUN2" s="133" t="s">
        <v>14527</v>
      </c>
      <c r="SUO2" s="133" t="s">
        <v>14528</v>
      </c>
      <c r="SUP2" s="133" t="s">
        <v>14529</v>
      </c>
      <c r="SUQ2" s="133" t="s">
        <v>14530</v>
      </c>
      <c r="SUR2" s="133" t="s">
        <v>14531</v>
      </c>
      <c r="SUS2" s="133" t="s">
        <v>14532</v>
      </c>
      <c r="SUT2" s="133" t="s">
        <v>14533</v>
      </c>
      <c r="SUU2" s="133" t="s">
        <v>14534</v>
      </c>
      <c r="SUV2" s="133" t="s">
        <v>14535</v>
      </c>
      <c r="SUW2" s="133" t="s">
        <v>14536</v>
      </c>
      <c r="SUX2" s="133" t="s">
        <v>14537</v>
      </c>
      <c r="SUY2" s="133" t="s">
        <v>14538</v>
      </c>
      <c r="SUZ2" s="133" t="s">
        <v>14539</v>
      </c>
      <c r="SVA2" s="133" t="s">
        <v>14540</v>
      </c>
      <c r="SVB2" s="133" t="s">
        <v>14541</v>
      </c>
      <c r="SVC2" s="133" t="s">
        <v>14542</v>
      </c>
      <c r="SVD2" s="133" t="s">
        <v>14543</v>
      </c>
      <c r="SVE2" s="133" t="s">
        <v>14544</v>
      </c>
      <c r="SVF2" s="133" t="s">
        <v>14545</v>
      </c>
      <c r="SVG2" s="133" t="s">
        <v>14546</v>
      </c>
      <c r="SVH2" s="133" t="s">
        <v>14547</v>
      </c>
      <c r="SVI2" s="133" t="s">
        <v>14548</v>
      </c>
      <c r="SVJ2" s="133" t="s">
        <v>14549</v>
      </c>
      <c r="SVK2" s="133" t="s">
        <v>14550</v>
      </c>
      <c r="SVL2" s="133" t="s">
        <v>14551</v>
      </c>
      <c r="SVM2" s="133" t="s">
        <v>14552</v>
      </c>
      <c r="SVN2" s="133" t="s">
        <v>14553</v>
      </c>
      <c r="SVO2" s="133" t="s">
        <v>14554</v>
      </c>
      <c r="SVP2" s="133" t="s">
        <v>14555</v>
      </c>
      <c r="SVQ2" s="133" t="s">
        <v>14556</v>
      </c>
      <c r="SVR2" s="133" t="s">
        <v>14557</v>
      </c>
      <c r="SVS2" s="133" t="s">
        <v>14558</v>
      </c>
      <c r="SVT2" s="133" t="s">
        <v>14559</v>
      </c>
      <c r="SVU2" s="133" t="s">
        <v>14560</v>
      </c>
      <c r="SVV2" s="133" t="s">
        <v>14561</v>
      </c>
      <c r="SVW2" s="133" t="s">
        <v>14562</v>
      </c>
      <c r="SVX2" s="133" t="s">
        <v>14563</v>
      </c>
      <c r="SVY2" s="133" t="s">
        <v>14564</v>
      </c>
      <c r="SVZ2" s="133" t="s">
        <v>14565</v>
      </c>
      <c r="SWA2" s="133" t="s">
        <v>14566</v>
      </c>
      <c r="SWB2" s="133" t="s">
        <v>14567</v>
      </c>
      <c r="SWC2" s="133" t="s">
        <v>14568</v>
      </c>
      <c r="SWD2" s="133" t="s">
        <v>14569</v>
      </c>
      <c r="SWE2" s="133" t="s">
        <v>14570</v>
      </c>
      <c r="SWF2" s="133" t="s">
        <v>14571</v>
      </c>
      <c r="SWG2" s="133" t="s">
        <v>14572</v>
      </c>
      <c r="SWH2" s="133" t="s">
        <v>14573</v>
      </c>
      <c r="SWI2" s="133" t="s">
        <v>14574</v>
      </c>
      <c r="SWJ2" s="133" t="s">
        <v>14575</v>
      </c>
      <c r="SWK2" s="133" t="s">
        <v>14576</v>
      </c>
      <c r="SWL2" s="133" t="s">
        <v>14577</v>
      </c>
      <c r="SWM2" s="133" t="s">
        <v>14578</v>
      </c>
      <c r="SWN2" s="133" t="s">
        <v>14579</v>
      </c>
      <c r="SWO2" s="133" t="s">
        <v>14580</v>
      </c>
      <c r="SWP2" s="133" t="s">
        <v>14581</v>
      </c>
      <c r="SWQ2" s="133" t="s">
        <v>14582</v>
      </c>
      <c r="SWR2" s="133" t="s">
        <v>14583</v>
      </c>
      <c r="SWS2" s="133" t="s">
        <v>14584</v>
      </c>
      <c r="SWT2" s="133" t="s">
        <v>14585</v>
      </c>
      <c r="SWU2" s="133" t="s">
        <v>14586</v>
      </c>
      <c r="SWV2" s="133" t="s">
        <v>14587</v>
      </c>
      <c r="SWW2" s="133" t="s">
        <v>14588</v>
      </c>
      <c r="SWX2" s="133" t="s">
        <v>14589</v>
      </c>
      <c r="SWY2" s="133" t="s">
        <v>14590</v>
      </c>
      <c r="SWZ2" s="133" t="s">
        <v>14591</v>
      </c>
      <c r="SXA2" s="133" t="s">
        <v>14592</v>
      </c>
      <c r="SXB2" s="133" t="s">
        <v>14593</v>
      </c>
      <c r="SXC2" s="133" t="s">
        <v>14594</v>
      </c>
      <c r="SXD2" s="133" t="s">
        <v>14595</v>
      </c>
      <c r="SXE2" s="133" t="s">
        <v>14596</v>
      </c>
      <c r="SXF2" s="133" t="s">
        <v>14597</v>
      </c>
      <c r="SXG2" s="133" t="s">
        <v>14598</v>
      </c>
      <c r="SXH2" s="133" t="s">
        <v>14599</v>
      </c>
      <c r="SXI2" s="133" t="s">
        <v>14600</v>
      </c>
      <c r="SXJ2" s="133" t="s">
        <v>14601</v>
      </c>
      <c r="SXK2" s="133" t="s">
        <v>14602</v>
      </c>
      <c r="SXL2" s="133" t="s">
        <v>14603</v>
      </c>
      <c r="SXM2" s="133" t="s">
        <v>14604</v>
      </c>
      <c r="SXN2" s="133" t="s">
        <v>14605</v>
      </c>
      <c r="SXO2" s="133" t="s">
        <v>14606</v>
      </c>
      <c r="SXP2" s="133" t="s">
        <v>14607</v>
      </c>
      <c r="SXQ2" s="133" t="s">
        <v>14608</v>
      </c>
      <c r="SXR2" s="133" t="s">
        <v>14609</v>
      </c>
      <c r="SXS2" s="133" t="s">
        <v>14610</v>
      </c>
      <c r="SXT2" s="133" t="s">
        <v>14611</v>
      </c>
      <c r="SXU2" s="133" t="s">
        <v>14612</v>
      </c>
      <c r="SXV2" s="133" t="s">
        <v>14613</v>
      </c>
      <c r="SXW2" s="133" t="s">
        <v>14614</v>
      </c>
      <c r="SXX2" s="133" t="s">
        <v>14615</v>
      </c>
      <c r="SXY2" s="133" t="s">
        <v>14616</v>
      </c>
      <c r="SXZ2" s="133" t="s">
        <v>14617</v>
      </c>
      <c r="SYA2" s="133" t="s">
        <v>14618</v>
      </c>
      <c r="SYB2" s="133" t="s">
        <v>14619</v>
      </c>
      <c r="SYC2" s="133" t="s">
        <v>14620</v>
      </c>
      <c r="SYD2" s="133" t="s">
        <v>14621</v>
      </c>
      <c r="SYE2" s="133" t="s">
        <v>14622</v>
      </c>
      <c r="SYF2" s="133" t="s">
        <v>14623</v>
      </c>
      <c r="SYG2" s="133" t="s">
        <v>14624</v>
      </c>
      <c r="SYH2" s="133" t="s">
        <v>14625</v>
      </c>
      <c r="SYI2" s="133" t="s">
        <v>14626</v>
      </c>
      <c r="SYJ2" s="133" t="s">
        <v>14627</v>
      </c>
      <c r="SYK2" s="133" t="s">
        <v>14628</v>
      </c>
      <c r="SYL2" s="133" t="s">
        <v>14629</v>
      </c>
      <c r="SYM2" s="133" t="s">
        <v>14630</v>
      </c>
      <c r="SYN2" s="133" t="s">
        <v>14631</v>
      </c>
      <c r="SYO2" s="133" t="s">
        <v>14632</v>
      </c>
      <c r="SYP2" s="133" t="s">
        <v>14633</v>
      </c>
      <c r="SYQ2" s="133" t="s">
        <v>14634</v>
      </c>
      <c r="SYR2" s="133" t="s">
        <v>14635</v>
      </c>
      <c r="SYS2" s="133" t="s">
        <v>14636</v>
      </c>
      <c r="SYT2" s="133" t="s">
        <v>14637</v>
      </c>
      <c r="SYU2" s="133" t="s">
        <v>14638</v>
      </c>
      <c r="SYV2" s="133" t="s">
        <v>14639</v>
      </c>
      <c r="SYW2" s="133" t="s">
        <v>14640</v>
      </c>
      <c r="SYX2" s="133" t="s">
        <v>14641</v>
      </c>
      <c r="SYY2" s="133" t="s">
        <v>14642</v>
      </c>
      <c r="SYZ2" s="133" t="s">
        <v>14643</v>
      </c>
      <c r="SZA2" s="133" t="s">
        <v>14644</v>
      </c>
      <c r="SZB2" s="133" t="s">
        <v>14645</v>
      </c>
      <c r="SZC2" s="133" t="s">
        <v>14646</v>
      </c>
      <c r="SZD2" s="133" t="s">
        <v>14647</v>
      </c>
      <c r="SZE2" s="133" t="s">
        <v>14648</v>
      </c>
      <c r="SZF2" s="133" t="s">
        <v>14649</v>
      </c>
      <c r="SZG2" s="133" t="s">
        <v>14650</v>
      </c>
      <c r="SZH2" s="133" t="s">
        <v>14651</v>
      </c>
      <c r="SZI2" s="133" t="s">
        <v>14652</v>
      </c>
      <c r="SZJ2" s="133" t="s">
        <v>14653</v>
      </c>
      <c r="SZK2" s="133" t="s">
        <v>14654</v>
      </c>
      <c r="SZL2" s="133" t="s">
        <v>14655</v>
      </c>
      <c r="SZM2" s="133" t="s">
        <v>14656</v>
      </c>
      <c r="SZN2" s="133" t="s">
        <v>14657</v>
      </c>
      <c r="SZO2" s="133" t="s">
        <v>14658</v>
      </c>
      <c r="SZP2" s="133" t="s">
        <v>14659</v>
      </c>
      <c r="SZQ2" s="133" t="s">
        <v>14660</v>
      </c>
      <c r="SZR2" s="133" t="s">
        <v>14661</v>
      </c>
      <c r="SZS2" s="133" t="s">
        <v>14662</v>
      </c>
      <c r="SZT2" s="133" t="s">
        <v>14663</v>
      </c>
      <c r="SZU2" s="133" t="s">
        <v>14664</v>
      </c>
      <c r="SZV2" s="133" t="s">
        <v>14665</v>
      </c>
      <c r="SZW2" s="133" t="s">
        <v>14666</v>
      </c>
      <c r="SZX2" s="133" t="s">
        <v>14667</v>
      </c>
      <c r="SZY2" s="133" t="s">
        <v>14668</v>
      </c>
      <c r="SZZ2" s="133" t="s">
        <v>14669</v>
      </c>
      <c r="TAA2" s="133" t="s">
        <v>14670</v>
      </c>
      <c r="TAB2" s="133" t="s">
        <v>14671</v>
      </c>
      <c r="TAC2" s="133" t="s">
        <v>14672</v>
      </c>
      <c r="TAD2" s="133" t="s">
        <v>14673</v>
      </c>
      <c r="TAE2" s="133" t="s">
        <v>14674</v>
      </c>
      <c r="TAF2" s="133" t="s">
        <v>14675</v>
      </c>
      <c r="TAG2" s="133" t="s">
        <v>14676</v>
      </c>
      <c r="TAH2" s="133" t="s">
        <v>14677</v>
      </c>
      <c r="TAI2" s="133" t="s">
        <v>14678</v>
      </c>
      <c r="TAJ2" s="133" t="s">
        <v>14679</v>
      </c>
      <c r="TAK2" s="133" t="s">
        <v>14680</v>
      </c>
      <c r="TAL2" s="133" t="s">
        <v>14681</v>
      </c>
      <c r="TAM2" s="133" t="s">
        <v>14682</v>
      </c>
      <c r="TAN2" s="133" t="s">
        <v>14683</v>
      </c>
      <c r="TAO2" s="133" t="s">
        <v>14684</v>
      </c>
      <c r="TAP2" s="133" t="s">
        <v>14685</v>
      </c>
      <c r="TAQ2" s="133" t="s">
        <v>14686</v>
      </c>
      <c r="TAR2" s="133" t="s">
        <v>14687</v>
      </c>
      <c r="TAS2" s="133" t="s">
        <v>14688</v>
      </c>
      <c r="TAT2" s="133" t="s">
        <v>14689</v>
      </c>
      <c r="TAU2" s="133" t="s">
        <v>14690</v>
      </c>
      <c r="TAV2" s="133" t="s">
        <v>14691</v>
      </c>
      <c r="TAW2" s="133" t="s">
        <v>14692</v>
      </c>
      <c r="TAX2" s="133" t="s">
        <v>14693</v>
      </c>
      <c r="TAY2" s="133" t="s">
        <v>14694</v>
      </c>
      <c r="TAZ2" s="133" t="s">
        <v>14695</v>
      </c>
      <c r="TBA2" s="133" t="s">
        <v>14696</v>
      </c>
      <c r="TBB2" s="133" t="s">
        <v>14697</v>
      </c>
      <c r="TBC2" s="133" t="s">
        <v>14698</v>
      </c>
      <c r="TBD2" s="133" t="s">
        <v>14699</v>
      </c>
      <c r="TBE2" s="133" t="s">
        <v>14700</v>
      </c>
      <c r="TBF2" s="133" t="s">
        <v>14701</v>
      </c>
      <c r="TBG2" s="133" t="s">
        <v>14702</v>
      </c>
      <c r="TBH2" s="133" t="s">
        <v>14703</v>
      </c>
      <c r="TBI2" s="133" t="s">
        <v>14704</v>
      </c>
      <c r="TBJ2" s="133" t="s">
        <v>14705</v>
      </c>
      <c r="TBK2" s="133" t="s">
        <v>14706</v>
      </c>
      <c r="TBL2" s="133" t="s">
        <v>14707</v>
      </c>
      <c r="TBM2" s="133" t="s">
        <v>14708</v>
      </c>
      <c r="TBN2" s="133" t="s">
        <v>14709</v>
      </c>
      <c r="TBO2" s="133" t="s">
        <v>14710</v>
      </c>
      <c r="TBP2" s="133" t="s">
        <v>14711</v>
      </c>
      <c r="TBQ2" s="133" t="s">
        <v>14712</v>
      </c>
      <c r="TBR2" s="133" t="s">
        <v>14713</v>
      </c>
      <c r="TBS2" s="133" t="s">
        <v>14714</v>
      </c>
      <c r="TBT2" s="133" t="s">
        <v>14715</v>
      </c>
      <c r="TBU2" s="133" t="s">
        <v>14716</v>
      </c>
      <c r="TBV2" s="133" t="s">
        <v>14717</v>
      </c>
      <c r="TBW2" s="133" t="s">
        <v>14718</v>
      </c>
      <c r="TBX2" s="133" t="s">
        <v>14719</v>
      </c>
      <c r="TBY2" s="133" t="s">
        <v>14720</v>
      </c>
      <c r="TBZ2" s="133" t="s">
        <v>14721</v>
      </c>
      <c r="TCA2" s="133" t="s">
        <v>14722</v>
      </c>
      <c r="TCB2" s="133" t="s">
        <v>14723</v>
      </c>
      <c r="TCC2" s="133" t="s">
        <v>14724</v>
      </c>
      <c r="TCD2" s="133" t="s">
        <v>14725</v>
      </c>
      <c r="TCE2" s="133" t="s">
        <v>14726</v>
      </c>
      <c r="TCF2" s="133" t="s">
        <v>14727</v>
      </c>
      <c r="TCG2" s="133" t="s">
        <v>14728</v>
      </c>
      <c r="TCH2" s="133" t="s">
        <v>14729</v>
      </c>
      <c r="TCI2" s="133" t="s">
        <v>14730</v>
      </c>
      <c r="TCJ2" s="133" t="s">
        <v>14731</v>
      </c>
      <c r="TCK2" s="133" t="s">
        <v>14732</v>
      </c>
      <c r="TCL2" s="133" t="s">
        <v>14733</v>
      </c>
      <c r="TCM2" s="133" t="s">
        <v>14734</v>
      </c>
      <c r="TCN2" s="133" t="s">
        <v>14735</v>
      </c>
      <c r="TCO2" s="133" t="s">
        <v>14736</v>
      </c>
      <c r="TCP2" s="133" t="s">
        <v>14737</v>
      </c>
      <c r="TCQ2" s="133" t="s">
        <v>14738</v>
      </c>
      <c r="TCR2" s="133" t="s">
        <v>14739</v>
      </c>
      <c r="TCS2" s="133" t="s">
        <v>14740</v>
      </c>
      <c r="TCT2" s="133" t="s">
        <v>14741</v>
      </c>
      <c r="TCU2" s="133" t="s">
        <v>14742</v>
      </c>
      <c r="TCV2" s="133" t="s">
        <v>14743</v>
      </c>
      <c r="TCW2" s="133" t="s">
        <v>14744</v>
      </c>
      <c r="TCX2" s="133" t="s">
        <v>14745</v>
      </c>
      <c r="TCY2" s="133" t="s">
        <v>14746</v>
      </c>
      <c r="TCZ2" s="133" t="s">
        <v>14747</v>
      </c>
      <c r="TDA2" s="133" t="s">
        <v>14748</v>
      </c>
      <c r="TDB2" s="133" t="s">
        <v>14749</v>
      </c>
      <c r="TDC2" s="133" t="s">
        <v>14750</v>
      </c>
      <c r="TDD2" s="133" t="s">
        <v>14751</v>
      </c>
      <c r="TDE2" s="133" t="s">
        <v>14752</v>
      </c>
      <c r="TDF2" s="133" t="s">
        <v>14753</v>
      </c>
      <c r="TDG2" s="133" t="s">
        <v>14754</v>
      </c>
      <c r="TDH2" s="133" t="s">
        <v>14755</v>
      </c>
      <c r="TDI2" s="133" t="s">
        <v>14756</v>
      </c>
      <c r="TDJ2" s="133" t="s">
        <v>14757</v>
      </c>
      <c r="TDK2" s="133" t="s">
        <v>14758</v>
      </c>
      <c r="TDL2" s="133" t="s">
        <v>14759</v>
      </c>
      <c r="TDM2" s="133" t="s">
        <v>14760</v>
      </c>
      <c r="TDN2" s="133" t="s">
        <v>14761</v>
      </c>
      <c r="TDO2" s="133" t="s">
        <v>14762</v>
      </c>
      <c r="TDP2" s="133" t="s">
        <v>14763</v>
      </c>
      <c r="TDQ2" s="133" t="s">
        <v>14764</v>
      </c>
      <c r="TDR2" s="133" t="s">
        <v>14765</v>
      </c>
      <c r="TDS2" s="133" t="s">
        <v>14766</v>
      </c>
      <c r="TDT2" s="133" t="s">
        <v>14767</v>
      </c>
      <c r="TDU2" s="133" t="s">
        <v>14768</v>
      </c>
      <c r="TDV2" s="133" t="s">
        <v>14769</v>
      </c>
      <c r="TDW2" s="133" t="s">
        <v>14770</v>
      </c>
      <c r="TDX2" s="133" t="s">
        <v>14771</v>
      </c>
      <c r="TDY2" s="133" t="s">
        <v>14772</v>
      </c>
      <c r="TDZ2" s="133" t="s">
        <v>14773</v>
      </c>
      <c r="TEA2" s="133" t="s">
        <v>14774</v>
      </c>
      <c r="TEB2" s="133" t="s">
        <v>14775</v>
      </c>
      <c r="TEC2" s="133" t="s">
        <v>14776</v>
      </c>
      <c r="TED2" s="133" t="s">
        <v>14777</v>
      </c>
      <c r="TEE2" s="133" t="s">
        <v>14778</v>
      </c>
      <c r="TEF2" s="133" t="s">
        <v>14779</v>
      </c>
      <c r="TEG2" s="133" t="s">
        <v>14780</v>
      </c>
      <c r="TEH2" s="133" t="s">
        <v>14781</v>
      </c>
      <c r="TEI2" s="133" t="s">
        <v>14782</v>
      </c>
      <c r="TEJ2" s="133" t="s">
        <v>14783</v>
      </c>
      <c r="TEK2" s="133" t="s">
        <v>14784</v>
      </c>
      <c r="TEL2" s="133" t="s">
        <v>14785</v>
      </c>
      <c r="TEM2" s="133" t="s">
        <v>14786</v>
      </c>
      <c r="TEN2" s="133" t="s">
        <v>14787</v>
      </c>
      <c r="TEO2" s="133" t="s">
        <v>14788</v>
      </c>
      <c r="TEP2" s="133" t="s">
        <v>14789</v>
      </c>
      <c r="TEQ2" s="133" t="s">
        <v>14790</v>
      </c>
      <c r="TER2" s="133" t="s">
        <v>14791</v>
      </c>
      <c r="TES2" s="133" t="s">
        <v>14792</v>
      </c>
      <c r="TET2" s="133" t="s">
        <v>14793</v>
      </c>
      <c r="TEU2" s="133" t="s">
        <v>14794</v>
      </c>
      <c r="TEV2" s="133" t="s">
        <v>14795</v>
      </c>
      <c r="TEW2" s="133" t="s">
        <v>14796</v>
      </c>
      <c r="TEX2" s="133" t="s">
        <v>14797</v>
      </c>
      <c r="TEY2" s="133" t="s">
        <v>14798</v>
      </c>
      <c r="TEZ2" s="133" t="s">
        <v>14799</v>
      </c>
      <c r="TFA2" s="133" t="s">
        <v>14800</v>
      </c>
      <c r="TFB2" s="133" t="s">
        <v>14801</v>
      </c>
      <c r="TFC2" s="133" t="s">
        <v>14802</v>
      </c>
      <c r="TFD2" s="133" t="s">
        <v>14803</v>
      </c>
      <c r="TFE2" s="133" t="s">
        <v>14804</v>
      </c>
      <c r="TFF2" s="133" t="s">
        <v>14805</v>
      </c>
      <c r="TFG2" s="133" t="s">
        <v>14806</v>
      </c>
      <c r="TFH2" s="133" t="s">
        <v>14807</v>
      </c>
      <c r="TFI2" s="133" t="s">
        <v>14808</v>
      </c>
      <c r="TFJ2" s="133" t="s">
        <v>14809</v>
      </c>
      <c r="TFK2" s="133" t="s">
        <v>14810</v>
      </c>
      <c r="TFL2" s="133" t="s">
        <v>14811</v>
      </c>
      <c r="TFM2" s="133" t="s">
        <v>14812</v>
      </c>
      <c r="TFN2" s="133" t="s">
        <v>14813</v>
      </c>
      <c r="TFO2" s="133" t="s">
        <v>14814</v>
      </c>
      <c r="TFP2" s="133" t="s">
        <v>14815</v>
      </c>
      <c r="TFQ2" s="133" t="s">
        <v>14816</v>
      </c>
      <c r="TFR2" s="133" t="s">
        <v>14817</v>
      </c>
      <c r="TFS2" s="133" t="s">
        <v>14818</v>
      </c>
      <c r="TFT2" s="133" t="s">
        <v>14819</v>
      </c>
      <c r="TFU2" s="133" t="s">
        <v>14820</v>
      </c>
      <c r="TFV2" s="133" t="s">
        <v>14821</v>
      </c>
      <c r="TFW2" s="133" t="s">
        <v>14822</v>
      </c>
      <c r="TFX2" s="133" t="s">
        <v>14823</v>
      </c>
      <c r="TFY2" s="133" t="s">
        <v>14824</v>
      </c>
      <c r="TFZ2" s="133" t="s">
        <v>14825</v>
      </c>
      <c r="TGA2" s="133" t="s">
        <v>14826</v>
      </c>
      <c r="TGB2" s="133" t="s">
        <v>14827</v>
      </c>
      <c r="TGC2" s="133" t="s">
        <v>14828</v>
      </c>
      <c r="TGD2" s="133" t="s">
        <v>14829</v>
      </c>
      <c r="TGE2" s="133" t="s">
        <v>14830</v>
      </c>
      <c r="TGF2" s="133" t="s">
        <v>14831</v>
      </c>
      <c r="TGG2" s="133" t="s">
        <v>14832</v>
      </c>
      <c r="TGH2" s="133" t="s">
        <v>14833</v>
      </c>
      <c r="TGI2" s="133" t="s">
        <v>14834</v>
      </c>
      <c r="TGJ2" s="133" t="s">
        <v>14835</v>
      </c>
      <c r="TGK2" s="133" t="s">
        <v>14836</v>
      </c>
      <c r="TGL2" s="133" t="s">
        <v>14837</v>
      </c>
      <c r="TGM2" s="133" t="s">
        <v>14838</v>
      </c>
      <c r="TGN2" s="133" t="s">
        <v>14839</v>
      </c>
      <c r="TGO2" s="133" t="s">
        <v>14840</v>
      </c>
      <c r="TGP2" s="133" t="s">
        <v>14841</v>
      </c>
      <c r="TGQ2" s="133" t="s">
        <v>14842</v>
      </c>
      <c r="TGR2" s="133" t="s">
        <v>14843</v>
      </c>
      <c r="TGS2" s="133" t="s">
        <v>14844</v>
      </c>
      <c r="TGT2" s="133" t="s">
        <v>14845</v>
      </c>
      <c r="TGU2" s="133" t="s">
        <v>14846</v>
      </c>
      <c r="TGV2" s="133" t="s">
        <v>14847</v>
      </c>
      <c r="TGW2" s="133" t="s">
        <v>14848</v>
      </c>
      <c r="TGX2" s="133" t="s">
        <v>14849</v>
      </c>
      <c r="TGY2" s="133" t="s">
        <v>14850</v>
      </c>
      <c r="TGZ2" s="133" t="s">
        <v>14851</v>
      </c>
      <c r="THA2" s="133" t="s">
        <v>14852</v>
      </c>
      <c r="THB2" s="133" t="s">
        <v>14853</v>
      </c>
      <c r="THC2" s="133" t="s">
        <v>14854</v>
      </c>
      <c r="THD2" s="133" t="s">
        <v>14855</v>
      </c>
      <c r="THE2" s="133" t="s">
        <v>14856</v>
      </c>
      <c r="THF2" s="133" t="s">
        <v>14857</v>
      </c>
      <c r="THG2" s="133" t="s">
        <v>14858</v>
      </c>
      <c r="THH2" s="133" t="s">
        <v>14859</v>
      </c>
      <c r="THI2" s="133" t="s">
        <v>14860</v>
      </c>
      <c r="THJ2" s="133" t="s">
        <v>14861</v>
      </c>
      <c r="THK2" s="133" t="s">
        <v>14862</v>
      </c>
      <c r="THL2" s="133" t="s">
        <v>14863</v>
      </c>
      <c r="THM2" s="133" t="s">
        <v>14864</v>
      </c>
      <c r="THN2" s="133" t="s">
        <v>14865</v>
      </c>
      <c r="THO2" s="133" t="s">
        <v>14866</v>
      </c>
      <c r="THP2" s="133" t="s">
        <v>14867</v>
      </c>
      <c r="THQ2" s="133" t="s">
        <v>14868</v>
      </c>
      <c r="THR2" s="133" t="s">
        <v>14869</v>
      </c>
      <c r="THS2" s="133" t="s">
        <v>14870</v>
      </c>
      <c r="THT2" s="133" t="s">
        <v>14871</v>
      </c>
      <c r="THU2" s="133" t="s">
        <v>14872</v>
      </c>
      <c r="THV2" s="133" t="s">
        <v>14873</v>
      </c>
      <c r="THW2" s="133" t="s">
        <v>14874</v>
      </c>
      <c r="THX2" s="133" t="s">
        <v>14875</v>
      </c>
      <c r="THY2" s="133" t="s">
        <v>14876</v>
      </c>
      <c r="THZ2" s="133" t="s">
        <v>14877</v>
      </c>
      <c r="TIA2" s="133" t="s">
        <v>14878</v>
      </c>
      <c r="TIB2" s="133" t="s">
        <v>14879</v>
      </c>
      <c r="TIC2" s="133" t="s">
        <v>14880</v>
      </c>
      <c r="TID2" s="133" t="s">
        <v>14881</v>
      </c>
      <c r="TIE2" s="133" t="s">
        <v>14882</v>
      </c>
      <c r="TIF2" s="133" t="s">
        <v>14883</v>
      </c>
      <c r="TIG2" s="133" t="s">
        <v>14884</v>
      </c>
      <c r="TIH2" s="133" t="s">
        <v>14885</v>
      </c>
      <c r="TII2" s="133" t="s">
        <v>14886</v>
      </c>
      <c r="TIJ2" s="133" t="s">
        <v>14887</v>
      </c>
      <c r="TIK2" s="133" t="s">
        <v>14888</v>
      </c>
      <c r="TIL2" s="133" t="s">
        <v>14889</v>
      </c>
      <c r="TIM2" s="133" t="s">
        <v>14890</v>
      </c>
      <c r="TIN2" s="133" t="s">
        <v>14891</v>
      </c>
      <c r="TIO2" s="133" t="s">
        <v>14892</v>
      </c>
      <c r="TIP2" s="133" t="s">
        <v>14893</v>
      </c>
      <c r="TIQ2" s="133" t="s">
        <v>14894</v>
      </c>
      <c r="TIR2" s="133" t="s">
        <v>14895</v>
      </c>
      <c r="TIS2" s="133" t="s">
        <v>14896</v>
      </c>
      <c r="TIT2" s="133" t="s">
        <v>14897</v>
      </c>
      <c r="TIU2" s="133" t="s">
        <v>14898</v>
      </c>
      <c r="TIV2" s="133" t="s">
        <v>14899</v>
      </c>
      <c r="TIW2" s="133" t="s">
        <v>14900</v>
      </c>
      <c r="TIX2" s="133" t="s">
        <v>14901</v>
      </c>
      <c r="TIY2" s="133" t="s">
        <v>14902</v>
      </c>
      <c r="TIZ2" s="133" t="s">
        <v>14903</v>
      </c>
      <c r="TJA2" s="133" t="s">
        <v>14904</v>
      </c>
      <c r="TJB2" s="133" t="s">
        <v>14905</v>
      </c>
      <c r="TJC2" s="133" t="s">
        <v>14906</v>
      </c>
      <c r="TJD2" s="133" t="s">
        <v>14907</v>
      </c>
      <c r="TJE2" s="133" t="s">
        <v>14908</v>
      </c>
      <c r="TJF2" s="133" t="s">
        <v>14909</v>
      </c>
      <c r="TJG2" s="133" t="s">
        <v>14910</v>
      </c>
      <c r="TJH2" s="133" t="s">
        <v>14911</v>
      </c>
      <c r="TJI2" s="133" t="s">
        <v>14912</v>
      </c>
      <c r="TJJ2" s="133" t="s">
        <v>14913</v>
      </c>
      <c r="TJK2" s="133" t="s">
        <v>14914</v>
      </c>
      <c r="TJL2" s="133" t="s">
        <v>14915</v>
      </c>
      <c r="TJM2" s="133" t="s">
        <v>14916</v>
      </c>
      <c r="TJN2" s="133" t="s">
        <v>14917</v>
      </c>
      <c r="TJO2" s="133" t="s">
        <v>14918</v>
      </c>
      <c r="TJP2" s="133" t="s">
        <v>14919</v>
      </c>
      <c r="TJQ2" s="133" t="s">
        <v>14920</v>
      </c>
      <c r="TJR2" s="133" t="s">
        <v>14921</v>
      </c>
      <c r="TJS2" s="133" t="s">
        <v>14922</v>
      </c>
      <c r="TJT2" s="133" t="s">
        <v>14923</v>
      </c>
      <c r="TJU2" s="133" t="s">
        <v>14924</v>
      </c>
      <c r="TJV2" s="133" t="s">
        <v>14925</v>
      </c>
      <c r="TJW2" s="133" t="s">
        <v>14926</v>
      </c>
      <c r="TJX2" s="133" t="s">
        <v>14927</v>
      </c>
      <c r="TJY2" s="133" t="s">
        <v>14928</v>
      </c>
      <c r="TJZ2" s="133" t="s">
        <v>14929</v>
      </c>
      <c r="TKA2" s="133" t="s">
        <v>14930</v>
      </c>
      <c r="TKB2" s="133" t="s">
        <v>14931</v>
      </c>
      <c r="TKC2" s="133" t="s">
        <v>14932</v>
      </c>
      <c r="TKD2" s="133" t="s">
        <v>14933</v>
      </c>
      <c r="TKE2" s="133" t="s">
        <v>14934</v>
      </c>
      <c r="TKF2" s="133" t="s">
        <v>14935</v>
      </c>
      <c r="TKG2" s="133" t="s">
        <v>14936</v>
      </c>
      <c r="TKH2" s="133" t="s">
        <v>14937</v>
      </c>
      <c r="TKI2" s="133" t="s">
        <v>14938</v>
      </c>
      <c r="TKJ2" s="133" t="s">
        <v>14939</v>
      </c>
      <c r="TKK2" s="133" t="s">
        <v>14940</v>
      </c>
      <c r="TKL2" s="133" t="s">
        <v>14941</v>
      </c>
      <c r="TKM2" s="133" t="s">
        <v>14942</v>
      </c>
      <c r="TKN2" s="133" t="s">
        <v>14943</v>
      </c>
      <c r="TKO2" s="133" t="s">
        <v>14944</v>
      </c>
      <c r="TKP2" s="133" t="s">
        <v>14945</v>
      </c>
      <c r="TKQ2" s="133" t="s">
        <v>14946</v>
      </c>
      <c r="TKR2" s="133" t="s">
        <v>14947</v>
      </c>
      <c r="TKS2" s="133" t="s">
        <v>14948</v>
      </c>
      <c r="TKT2" s="133" t="s">
        <v>14949</v>
      </c>
      <c r="TKU2" s="133" t="s">
        <v>14950</v>
      </c>
      <c r="TKV2" s="133" t="s">
        <v>14951</v>
      </c>
      <c r="TKW2" s="133" t="s">
        <v>14952</v>
      </c>
      <c r="TKX2" s="133" t="s">
        <v>14953</v>
      </c>
      <c r="TKY2" s="133" t="s">
        <v>14954</v>
      </c>
      <c r="TKZ2" s="133" t="s">
        <v>14955</v>
      </c>
      <c r="TLA2" s="133" t="s">
        <v>14956</v>
      </c>
      <c r="TLB2" s="133" t="s">
        <v>14957</v>
      </c>
      <c r="TLC2" s="133" t="s">
        <v>14958</v>
      </c>
      <c r="TLD2" s="133" t="s">
        <v>14959</v>
      </c>
      <c r="TLE2" s="133" t="s">
        <v>14960</v>
      </c>
      <c r="TLF2" s="133" t="s">
        <v>14961</v>
      </c>
      <c r="TLG2" s="133" t="s">
        <v>14962</v>
      </c>
      <c r="TLH2" s="133" t="s">
        <v>14963</v>
      </c>
      <c r="TLI2" s="133" t="s">
        <v>14964</v>
      </c>
      <c r="TLJ2" s="133" t="s">
        <v>14965</v>
      </c>
      <c r="TLK2" s="133" t="s">
        <v>14966</v>
      </c>
      <c r="TLL2" s="133" t="s">
        <v>14967</v>
      </c>
      <c r="TLM2" s="133" t="s">
        <v>14968</v>
      </c>
      <c r="TLN2" s="133" t="s">
        <v>14969</v>
      </c>
      <c r="TLO2" s="133" t="s">
        <v>14970</v>
      </c>
      <c r="TLP2" s="133" t="s">
        <v>14971</v>
      </c>
      <c r="TLQ2" s="133" t="s">
        <v>14972</v>
      </c>
      <c r="TLR2" s="133" t="s">
        <v>14973</v>
      </c>
      <c r="TLS2" s="133" t="s">
        <v>14974</v>
      </c>
      <c r="TLT2" s="133" t="s">
        <v>14975</v>
      </c>
      <c r="TLU2" s="133" t="s">
        <v>14976</v>
      </c>
      <c r="TLV2" s="133" t="s">
        <v>14977</v>
      </c>
      <c r="TLW2" s="133" t="s">
        <v>14978</v>
      </c>
      <c r="TLX2" s="133" t="s">
        <v>14979</v>
      </c>
      <c r="TLY2" s="133" t="s">
        <v>14980</v>
      </c>
      <c r="TLZ2" s="133" t="s">
        <v>14981</v>
      </c>
      <c r="TMA2" s="133" t="s">
        <v>14982</v>
      </c>
      <c r="TMB2" s="133" t="s">
        <v>14983</v>
      </c>
      <c r="TMC2" s="133" t="s">
        <v>14984</v>
      </c>
      <c r="TMD2" s="133" t="s">
        <v>14985</v>
      </c>
      <c r="TME2" s="133" t="s">
        <v>14986</v>
      </c>
      <c r="TMF2" s="133" t="s">
        <v>14987</v>
      </c>
      <c r="TMG2" s="133" t="s">
        <v>14988</v>
      </c>
      <c r="TMH2" s="133" t="s">
        <v>14989</v>
      </c>
      <c r="TMI2" s="133" t="s">
        <v>14990</v>
      </c>
      <c r="TMJ2" s="133" t="s">
        <v>14991</v>
      </c>
      <c r="TMK2" s="133" t="s">
        <v>14992</v>
      </c>
      <c r="TML2" s="133" t="s">
        <v>14993</v>
      </c>
      <c r="TMM2" s="133" t="s">
        <v>14994</v>
      </c>
      <c r="TMN2" s="133" t="s">
        <v>14995</v>
      </c>
      <c r="TMO2" s="133" t="s">
        <v>14996</v>
      </c>
      <c r="TMP2" s="133" t="s">
        <v>14997</v>
      </c>
      <c r="TMQ2" s="133" t="s">
        <v>14998</v>
      </c>
      <c r="TMR2" s="133" t="s">
        <v>14999</v>
      </c>
      <c r="TMS2" s="133" t="s">
        <v>15000</v>
      </c>
      <c r="TMT2" s="133" t="s">
        <v>15001</v>
      </c>
      <c r="TMU2" s="133" t="s">
        <v>15002</v>
      </c>
      <c r="TMV2" s="133" t="s">
        <v>15003</v>
      </c>
      <c r="TMW2" s="133" t="s">
        <v>15004</v>
      </c>
      <c r="TMX2" s="133" t="s">
        <v>15005</v>
      </c>
      <c r="TMY2" s="133" t="s">
        <v>15006</v>
      </c>
      <c r="TMZ2" s="133" t="s">
        <v>15007</v>
      </c>
      <c r="TNA2" s="133" t="s">
        <v>15008</v>
      </c>
      <c r="TNB2" s="133" t="s">
        <v>15009</v>
      </c>
      <c r="TNC2" s="133" t="s">
        <v>15010</v>
      </c>
      <c r="TND2" s="133" t="s">
        <v>15011</v>
      </c>
      <c r="TNE2" s="133" t="s">
        <v>15012</v>
      </c>
      <c r="TNF2" s="133" t="s">
        <v>15013</v>
      </c>
      <c r="TNG2" s="133" t="s">
        <v>15014</v>
      </c>
      <c r="TNH2" s="133" t="s">
        <v>15015</v>
      </c>
      <c r="TNI2" s="133" t="s">
        <v>15016</v>
      </c>
      <c r="TNJ2" s="133" t="s">
        <v>15017</v>
      </c>
      <c r="TNK2" s="133" t="s">
        <v>15018</v>
      </c>
      <c r="TNL2" s="133" t="s">
        <v>15019</v>
      </c>
      <c r="TNM2" s="133" t="s">
        <v>15020</v>
      </c>
      <c r="TNN2" s="133" t="s">
        <v>15021</v>
      </c>
      <c r="TNO2" s="133" t="s">
        <v>15022</v>
      </c>
      <c r="TNP2" s="133" t="s">
        <v>15023</v>
      </c>
      <c r="TNQ2" s="133" t="s">
        <v>15024</v>
      </c>
      <c r="TNR2" s="133" t="s">
        <v>15025</v>
      </c>
      <c r="TNS2" s="133" t="s">
        <v>15026</v>
      </c>
      <c r="TNT2" s="133" t="s">
        <v>15027</v>
      </c>
      <c r="TNU2" s="133" t="s">
        <v>15028</v>
      </c>
      <c r="TNV2" s="133" t="s">
        <v>15029</v>
      </c>
      <c r="TNW2" s="133" t="s">
        <v>15030</v>
      </c>
      <c r="TNX2" s="133" t="s">
        <v>15031</v>
      </c>
      <c r="TNY2" s="133" t="s">
        <v>15032</v>
      </c>
      <c r="TNZ2" s="133" t="s">
        <v>15033</v>
      </c>
      <c r="TOA2" s="133" t="s">
        <v>15034</v>
      </c>
      <c r="TOB2" s="133" t="s">
        <v>15035</v>
      </c>
      <c r="TOC2" s="133" t="s">
        <v>15036</v>
      </c>
      <c r="TOD2" s="133" t="s">
        <v>15037</v>
      </c>
      <c r="TOE2" s="133" t="s">
        <v>15038</v>
      </c>
      <c r="TOF2" s="133" t="s">
        <v>15039</v>
      </c>
      <c r="TOG2" s="133" t="s">
        <v>15040</v>
      </c>
      <c r="TOH2" s="133" t="s">
        <v>15041</v>
      </c>
      <c r="TOI2" s="133" t="s">
        <v>15042</v>
      </c>
      <c r="TOJ2" s="133" t="s">
        <v>15043</v>
      </c>
      <c r="TOK2" s="133" t="s">
        <v>15044</v>
      </c>
      <c r="TOL2" s="133" t="s">
        <v>15045</v>
      </c>
      <c r="TOM2" s="133" t="s">
        <v>15046</v>
      </c>
      <c r="TON2" s="133" t="s">
        <v>15047</v>
      </c>
      <c r="TOO2" s="133" t="s">
        <v>15048</v>
      </c>
      <c r="TOP2" s="133" t="s">
        <v>15049</v>
      </c>
      <c r="TOQ2" s="133" t="s">
        <v>15050</v>
      </c>
      <c r="TOR2" s="133" t="s">
        <v>15051</v>
      </c>
      <c r="TOS2" s="133" t="s">
        <v>15052</v>
      </c>
      <c r="TOT2" s="133" t="s">
        <v>15053</v>
      </c>
      <c r="TOU2" s="133" t="s">
        <v>15054</v>
      </c>
      <c r="TOV2" s="133" t="s">
        <v>15055</v>
      </c>
      <c r="TOW2" s="133" t="s">
        <v>15056</v>
      </c>
      <c r="TOX2" s="133" t="s">
        <v>15057</v>
      </c>
      <c r="TOY2" s="133" t="s">
        <v>15058</v>
      </c>
      <c r="TOZ2" s="133" t="s">
        <v>15059</v>
      </c>
      <c r="TPA2" s="133" t="s">
        <v>15060</v>
      </c>
      <c r="TPB2" s="133" t="s">
        <v>15061</v>
      </c>
      <c r="TPC2" s="133" t="s">
        <v>15062</v>
      </c>
      <c r="TPD2" s="133" t="s">
        <v>15063</v>
      </c>
      <c r="TPE2" s="133" t="s">
        <v>15064</v>
      </c>
      <c r="TPF2" s="133" t="s">
        <v>15065</v>
      </c>
      <c r="TPG2" s="133" t="s">
        <v>15066</v>
      </c>
      <c r="TPH2" s="133" t="s">
        <v>15067</v>
      </c>
      <c r="TPI2" s="133" t="s">
        <v>15068</v>
      </c>
      <c r="TPJ2" s="133" t="s">
        <v>15069</v>
      </c>
      <c r="TPK2" s="133" t="s">
        <v>15070</v>
      </c>
      <c r="TPL2" s="133" t="s">
        <v>15071</v>
      </c>
      <c r="TPM2" s="133" t="s">
        <v>15072</v>
      </c>
      <c r="TPN2" s="133" t="s">
        <v>15073</v>
      </c>
      <c r="TPO2" s="133" t="s">
        <v>15074</v>
      </c>
      <c r="TPP2" s="133" t="s">
        <v>15075</v>
      </c>
      <c r="TPQ2" s="133" t="s">
        <v>15076</v>
      </c>
      <c r="TPR2" s="133" t="s">
        <v>15077</v>
      </c>
      <c r="TPS2" s="133" t="s">
        <v>15078</v>
      </c>
      <c r="TPT2" s="133" t="s">
        <v>15079</v>
      </c>
      <c r="TPU2" s="133" t="s">
        <v>15080</v>
      </c>
      <c r="TPV2" s="133" t="s">
        <v>15081</v>
      </c>
      <c r="TPW2" s="133" t="s">
        <v>15082</v>
      </c>
      <c r="TPX2" s="133" t="s">
        <v>15083</v>
      </c>
      <c r="TPY2" s="133" t="s">
        <v>15084</v>
      </c>
      <c r="TPZ2" s="133" t="s">
        <v>15085</v>
      </c>
      <c r="TQA2" s="133" t="s">
        <v>15086</v>
      </c>
      <c r="TQB2" s="133" t="s">
        <v>15087</v>
      </c>
      <c r="TQC2" s="133" t="s">
        <v>15088</v>
      </c>
      <c r="TQD2" s="133" t="s">
        <v>15089</v>
      </c>
      <c r="TQE2" s="133" t="s">
        <v>15090</v>
      </c>
      <c r="TQF2" s="133" t="s">
        <v>15091</v>
      </c>
      <c r="TQG2" s="133" t="s">
        <v>15092</v>
      </c>
      <c r="TQH2" s="133" t="s">
        <v>15093</v>
      </c>
      <c r="TQI2" s="133" t="s">
        <v>15094</v>
      </c>
      <c r="TQJ2" s="133" t="s">
        <v>15095</v>
      </c>
      <c r="TQK2" s="133" t="s">
        <v>15096</v>
      </c>
      <c r="TQL2" s="133" t="s">
        <v>15097</v>
      </c>
      <c r="TQM2" s="133" t="s">
        <v>15098</v>
      </c>
      <c r="TQN2" s="133" t="s">
        <v>15099</v>
      </c>
      <c r="TQO2" s="133" t="s">
        <v>15100</v>
      </c>
      <c r="TQP2" s="133" t="s">
        <v>15101</v>
      </c>
      <c r="TQQ2" s="133" t="s">
        <v>15102</v>
      </c>
      <c r="TQR2" s="133" t="s">
        <v>15103</v>
      </c>
      <c r="TQS2" s="133" t="s">
        <v>15104</v>
      </c>
      <c r="TQT2" s="133" t="s">
        <v>15105</v>
      </c>
      <c r="TQU2" s="133" t="s">
        <v>15106</v>
      </c>
      <c r="TQV2" s="133" t="s">
        <v>15107</v>
      </c>
      <c r="TQW2" s="133" t="s">
        <v>15108</v>
      </c>
      <c r="TQX2" s="133" t="s">
        <v>15109</v>
      </c>
      <c r="TQY2" s="133" t="s">
        <v>15110</v>
      </c>
      <c r="TQZ2" s="133" t="s">
        <v>15111</v>
      </c>
      <c r="TRA2" s="133" t="s">
        <v>15112</v>
      </c>
      <c r="TRB2" s="133" t="s">
        <v>15113</v>
      </c>
      <c r="TRC2" s="133" t="s">
        <v>15114</v>
      </c>
      <c r="TRD2" s="133" t="s">
        <v>15115</v>
      </c>
      <c r="TRE2" s="133" t="s">
        <v>15116</v>
      </c>
      <c r="TRF2" s="133" t="s">
        <v>15117</v>
      </c>
      <c r="TRG2" s="133" t="s">
        <v>15118</v>
      </c>
      <c r="TRH2" s="133" t="s">
        <v>15119</v>
      </c>
      <c r="TRI2" s="133" t="s">
        <v>15120</v>
      </c>
      <c r="TRJ2" s="133" t="s">
        <v>15121</v>
      </c>
      <c r="TRK2" s="133" t="s">
        <v>15122</v>
      </c>
      <c r="TRL2" s="133" t="s">
        <v>15123</v>
      </c>
      <c r="TRM2" s="133" t="s">
        <v>15124</v>
      </c>
      <c r="TRN2" s="133" t="s">
        <v>15125</v>
      </c>
      <c r="TRO2" s="133" t="s">
        <v>15126</v>
      </c>
      <c r="TRP2" s="133" t="s">
        <v>15127</v>
      </c>
      <c r="TRQ2" s="133" t="s">
        <v>15128</v>
      </c>
      <c r="TRR2" s="133" t="s">
        <v>15129</v>
      </c>
      <c r="TRS2" s="133" t="s">
        <v>15130</v>
      </c>
      <c r="TRT2" s="133" t="s">
        <v>15131</v>
      </c>
      <c r="TRU2" s="133" t="s">
        <v>15132</v>
      </c>
      <c r="TRV2" s="133" t="s">
        <v>15133</v>
      </c>
      <c r="TRW2" s="133" t="s">
        <v>15134</v>
      </c>
      <c r="TRX2" s="133" t="s">
        <v>15135</v>
      </c>
      <c r="TRY2" s="133" t="s">
        <v>15136</v>
      </c>
      <c r="TRZ2" s="133" t="s">
        <v>15137</v>
      </c>
      <c r="TSA2" s="133" t="s">
        <v>15138</v>
      </c>
      <c r="TSB2" s="133" t="s">
        <v>15139</v>
      </c>
      <c r="TSC2" s="133" t="s">
        <v>15140</v>
      </c>
      <c r="TSD2" s="133" t="s">
        <v>15141</v>
      </c>
      <c r="TSE2" s="133" t="s">
        <v>15142</v>
      </c>
      <c r="TSF2" s="133" t="s">
        <v>15143</v>
      </c>
      <c r="TSG2" s="133" t="s">
        <v>15144</v>
      </c>
      <c r="TSH2" s="133" t="s">
        <v>15145</v>
      </c>
      <c r="TSI2" s="133" t="s">
        <v>15146</v>
      </c>
      <c r="TSJ2" s="133" t="s">
        <v>15147</v>
      </c>
      <c r="TSK2" s="133" t="s">
        <v>15148</v>
      </c>
      <c r="TSL2" s="133" t="s">
        <v>15149</v>
      </c>
      <c r="TSM2" s="133" t="s">
        <v>15150</v>
      </c>
      <c r="TSN2" s="133" t="s">
        <v>15151</v>
      </c>
      <c r="TSO2" s="133" t="s">
        <v>15152</v>
      </c>
      <c r="TSP2" s="133" t="s">
        <v>15153</v>
      </c>
      <c r="TSQ2" s="133" t="s">
        <v>15154</v>
      </c>
      <c r="TSR2" s="133" t="s">
        <v>15155</v>
      </c>
      <c r="TSS2" s="133" t="s">
        <v>15156</v>
      </c>
      <c r="TST2" s="133" t="s">
        <v>15157</v>
      </c>
      <c r="TSU2" s="133" t="s">
        <v>15158</v>
      </c>
      <c r="TSV2" s="133" t="s">
        <v>15159</v>
      </c>
      <c r="TSW2" s="133" t="s">
        <v>15160</v>
      </c>
      <c r="TSX2" s="133" t="s">
        <v>15161</v>
      </c>
      <c r="TSY2" s="133" t="s">
        <v>15162</v>
      </c>
      <c r="TSZ2" s="133" t="s">
        <v>15163</v>
      </c>
      <c r="TTA2" s="133" t="s">
        <v>15164</v>
      </c>
      <c r="TTB2" s="133" t="s">
        <v>15165</v>
      </c>
      <c r="TTC2" s="133" t="s">
        <v>15166</v>
      </c>
      <c r="TTD2" s="133" t="s">
        <v>15167</v>
      </c>
      <c r="TTE2" s="133" t="s">
        <v>15168</v>
      </c>
      <c r="TTF2" s="133" t="s">
        <v>15169</v>
      </c>
      <c r="TTG2" s="133" t="s">
        <v>15170</v>
      </c>
      <c r="TTH2" s="133" t="s">
        <v>15171</v>
      </c>
      <c r="TTI2" s="133" t="s">
        <v>15172</v>
      </c>
      <c r="TTJ2" s="133" t="s">
        <v>15173</v>
      </c>
      <c r="TTK2" s="133" t="s">
        <v>15174</v>
      </c>
      <c r="TTL2" s="133" t="s">
        <v>15175</v>
      </c>
      <c r="TTM2" s="133" t="s">
        <v>15176</v>
      </c>
      <c r="TTN2" s="133" t="s">
        <v>15177</v>
      </c>
      <c r="TTO2" s="133" t="s">
        <v>15178</v>
      </c>
      <c r="TTP2" s="133" t="s">
        <v>15179</v>
      </c>
      <c r="TTQ2" s="133" t="s">
        <v>15180</v>
      </c>
      <c r="TTR2" s="133" t="s">
        <v>15181</v>
      </c>
      <c r="TTS2" s="133" t="s">
        <v>15182</v>
      </c>
      <c r="TTT2" s="133" t="s">
        <v>15183</v>
      </c>
      <c r="TTU2" s="133" t="s">
        <v>15184</v>
      </c>
      <c r="TTV2" s="133" t="s">
        <v>15185</v>
      </c>
      <c r="TTW2" s="133" t="s">
        <v>15186</v>
      </c>
      <c r="TTX2" s="133" t="s">
        <v>15187</v>
      </c>
      <c r="TTY2" s="133" t="s">
        <v>15188</v>
      </c>
      <c r="TTZ2" s="133" t="s">
        <v>15189</v>
      </c>
      <c r="TUA2" s="133" t="s">
        <v>15190</v>
      </c>
      <c r="TUB2" s="133" t="s">
        <v>15191</v>
      </c>
      <c r="TUC2" s="133" t="s">
        <v>15192</v>
      </c>
      <c r="TUD2" s="133" t="s">
        <v>15193</v>
      </c>
      <c r="TUE2" s="133" t="s">
        <v>15194</v>
      </c>
      <c r="TUF2" s="133" t="s">
        <v>15195</v>
      </c>
      <c r="TUG2" s="133" t="s">
        <v>15196</v>
      </c>
      <c r="TUH2" s="133" t="s">
        <v>15197</v>
      </c>
      <c r="TUI2" s="133" t="s">
        <v>15198</v>
      </c>
      <c r="TUJ2" s="133" t="s">
        <v>15199</v>
      </c>
      <c r="TUK2" s="133" t="s">
        <v>15200</v>
      </c>
      <c r="TUL2" s="133" t="s">
        <v>15201</v>
      </c>
      <c r="TUM2" s="133" t="s">
        <v>15202</v>
      </c>
      <c r="TUN2" s="133" t="s">
        <v>15203</v>
      </c>
      <c r="TUO2" s="133" t="s">
        <v>15204</v>
      </c>
      <c r="TUP2" s="133" t="s">
        <v>15205</v>
      </c>
      <c r="TUQ2" s="133" t="s">
        <v>15206</v>
      </c>
      <c r="TUR2" s="133" t="s">
        <v>15207</v>
      </c>
      <c r="TUS2" s="133" t="s">
        <v>15208</v>
      </c>
      <c r="TUT2" s="133" t="s">
        <v>15209</v>
      </c>
      <c r="TUU2" s="133" t="s">
        <v>15210</v>
      </c>
      <c r="TUV2" s="133" t="s">
        <v>15211</v>
      </c>
      <c r="TUW2" s="133" t="s">
        <v>15212</v>
      </c>
      <c r="TUX2" s="133" t="s">
        <v>15213</v>
      </c>
      <c r="TUY2" s="133" t="s">
        <v>15214</v>
      </c>
      <c r="TUZ2" s="133" t="s">
        <v>15215</v>
      </c>
      <c r="TVA2" s="133" t="s">
        <v>15216</v>
      </c>
      <c r="TVB2" s="133" t="s">
        <v>15217</v>
      </c>
      <c r="TVC2" s="133" t="s">
        <v>15218</v>
      </c>
      <c r="TVD2" s="133" t="s">
        <v>15219</v>
      </c>
      <c r="TVE2" s="133" t="s">
        <v>15220</v>
      </c>
      <c r="TVF2" s="133" t="s">
        <v>15221</v>
      </c>
      <c r="TVG2" s="133" t="s">
        <v>15222</v>
      </c>
      <c r="TVH2" s="133" t="s">
        <v>15223</v>
      </c>
      <c r="TVI2" s="133" t="s">
        <v>15224</v>
      </c>
      <c r="TVJ2" s="133" t="s">
        <v>15225</v>
      </c>
      <c r="TVK2" s="133" t="s">
        <v>15226</v>
      </c>
      <c r="TVL2" s="133" t="s">
        <v>15227</v>
      </c>
      <c r="TVM2" s="133" t="s">
        <v>15228</v>
      </c>
      <c r="TVN2" s="133" t="s">
        <v>15229</v>
      </c>
      <c r="TVO2" s="133" t="s">
        <v>15230</v>
      </c>
      <c r="TVP2" s="133" t="s">
        <v>15231</v>
      </c>
      <c r="TVQ2" s="133" t="s">
        <v>15232</v>
      </c>
      <c r="TVR2" s="133" t="s">
        <v>15233</v>
      </c>
      <c r="TVS2" s="133" t="s">
        <v>15234</v>
      </c>
      <c r="TVT2" s="133" t="s">
        <v>15235</v>
      </c>
      <c r="TVU2" s="133" t="s">
        <v>15236</v>
      </c>
      <c r="TVV2" s="133" t="s">
        <v>15237</v>
      </c>
      <c r="TVW2" s="133" t="s">
        <v>15238</v>
      </c>
      <c r="TVX2" s="133" t="s">
        <v>15239</v>
      </c>
      <c r="TVY2" s="133" t="s">
        <v>15240</v>
      </c>
      <c r="TVZ2" s="133" t="s">
        <v>15241</v>
      </c>
      <c r="TWA2" s="133" t="s">
        <v>15242</v>
      </c>
      <c r="TWB2" s="133" t="s">
        <v>15243</v>
      </c>
      <c r="TWC2" s="133" t="s">
        <v>15244</v>
      </c>
      <c r="TWD2" s="133" t="s">
        <v>15245</v>
      </c>
      <c r="TWE2" s="133" t="s">
        <v>15246</v>
      </c>
      <c r="TWF2" s="133" t="s">
        <v>15247</v>
      </c>
      <c r="TWG2" s="133" t="s">
        <v>15248</v>
      </c>
      <c r="TWH2" s="133" t="s">
        <v>15249</v>
      </c>
      <c r="TWI2" s="133" t="s">
        <v>15250</v>
      </c>
      <c r="TWJ2" s="133" t="s">
        <v>15251</v>
      </c>
      <c r="TWK2" s="133" t="s">
        <v>15252</v>
      </c>
      <c r="TWL2" s="133" t="s">
        <v>15253</v>
      </c>
      <c r="TWM2" s="133" t="s">
        <v>15254</v>
      </c>
      <c r="TWN2" s="133" t="s">
        <v>15255</v>
      </c>
      <c r="TWO2" s="133" t="s">
        <v>15256</v>
      </c>
      <c r="TWP2" s="133" t="s">
        <v>15257</v>
      </c>
      <c r="TWQ2" s="133" t="s">
        <v>15258</v>
      </c>
      <c r="TWR2" s="133" t="s">
        <v>15259</v>
      </c>
      <c r="TWS2" s="133" t="s">
        <v>15260</v>
      </c>
      <c r="TWT2" s="133" t="s">
        <v>15261</v>
      </c>
      <c r="TWU2" s="133" t="s">
        <v>15262</v>
      </c>
      <c r="TWV2" s="133" t="s">
        <v>15263</v>
      </c>
      <c r="TWW2" s="133" t="s">
        <v>15264</v>
      </c>
      <c r="TWX2" s="133" t="s">
        <v>15265</v>
      </c>
      <c r="TWY2" s="133" t="s">
        <v>15266</v>
      </c>
      <c r="TWZ2" s="133" t="s">
        <v>15267</v>
      </c>
      <c r="TXA2" s="133" t="s">
        <v>15268</v>
      </c>
      <c r="TXB2" s="133" t="s">
        <v>15269</v>
      </c>
      <c r="TXC2" s="133" t="s">
        <v>15270</v>
      </c>
      <c r="TXD2" s="133" t="s">
        <v>15271</v>
      </c>
      <c r="TXE2" s="133" t="s">
        <v>15272</v>
      </c>
      <c r="TXF2" s="133" t="s">
        <v>15273</v>
      </c>
      <c r="TXG2" s="133" t="s">
        <v>15274</v>
      </c>
      <c r="TXH2" s="133" t="s">
        <v>15275</v>
      </c>
      <c r="TXI2" s="133" t="s">
        <v>15276</v>
      </c>
      <c r="TXJ2" s="133" t="s">
        <v>15277</v>
      </c>
      <c r="TXK2" s="133" t="s">
        <v>15278</v>
      </c>
      <c r="TXL2" s="133" t="s">
        <v>15279</v>
      </c>
      <c r="TXM2" s="133" t="s">
        <v>15280</v>
      </c>
      <c r="TXN2" s="133" t="s">
        <v>15281</v>
      </c>
      <c r="TXO2" s="133" t="s">
        <v>15282</v>
      </c>
      <c r="TXP2" s="133" t="s">
        <v>15283</v>
      </c>
      <c r="TXQ2" s="133" t="s">
        <v>15284</v>
      </c>
      <c r="TXR2" s="133" t="s">
        <v>15285</v>
      </c>
      <c r="TXS2" s="133" t="s">
        <v>15286</v>
      </c>
      <c r="TXT2" s="133" t="s">
        <v>15287</v>
      </c>
      <c r="TXU2" s="133" t="s">
        <v>15288</v>
      </c>
      <c r="TXV2" s="133" t="s">
        <v>15289</v>
      </c>
      <c r="TXW2" s="133" t="s">
        <v>15290</v>
      </c>
      <c r="TXX2" s="133" t="s">
        <v>15291</v>
      </c>
      <c r="TXY2" s="133" t="s">
        <v>15292</v>
      </c>
      <c r="TXZ2" s="133" t="s">
        <v>15293</v>
      </c>
      <c r="TYA2" s="133" t="s">
        <v>15294</v>
      </c>
      <c r="TYB2" s="133" t="s">
        <v>15295</v>
      </c>
      <c r="TYC2" s="133" t="s">
        <v>15296</v>
      </c>
      <c r="TYD2" s="133" t="s">
        <v>15297</v>
      </c>
      <c r="TYE2" s="133" t="s">
        <v>15298</v>
      </c>
      <c r="TYF2" s="133" t="s">
        <v>15299</v>
      </c>
      <c r="TYG2" s="133" t="s">
        <v>15300</v>
      </c>
      <c r="TYH2" s="133" t="s">
        <v>15301</v>
      </c>
      <c r="TYI2" s="133" t="s">
        <v>15302</v>
      </c>
      <c r="TYJ2" s="133" t="s">
        <v>15303</v>
      </c>
      <c r="TYK2" s="133" t="s">
        <v>15304</v>
      </c>
      <c r="TYL2" s="133" t="s">
        <v>15305</v>
      </c>
      <c r="TYM2" s="133" t="s">
        <v>15306</v>
      </c>
      <c r="TYN2" s="133" t="s">
        <v>15307</v>
      </c>
      <c r="TYO2" s="133" t="s">
        <v>15308</v>
      </c>
      <c r="TYP2" s="133" t="s">
        <v>15309</v>
      </c>
      <c r="TYQ2" s="133" t="s">
        <v>15310</v>
      </c>
      <c r="TYR2" s="133" t="s">
        <v>15311</v>
      </c>
      <c r="TYS2" s="133" t="s">
        <v>15312</v>
      </c>
      <c r="TYT2" s="133" t="s">
        <v>15313</v>
      </c>
      <c r="TYU2" s="133" t="s">
        <v>15314</v>
      </c>
      <c r="TYV2" s="133" t="s">
        <v>15315</v>
      </c>
      <c r="TYW2" s="133" t="s">
        <v>15316</v>
      </c>
      <c r="TYX2" s="133" t="s">
        <v>15317</v>
      </c>
      <c r="TYY2" s="133" t="s">
        <v>15318</v>
      </c>
      <c r="TYZ2" s="133" t="s">
        <v>15319</v>
      </c>
      <c r="TZA2" s="133" t="s">
        <v>15320</v>
      </c>
      <c r="TZB2" s="133" t="s">
        <v>15321</v>
      </c>
      <c r="TZC2" s="133" t="s">
        <v>15322</v>
      </c>
      <c r="TZD2" s="133" t="s">
        <v>15323</v>
      </c>
      <c r="TZE2" s="133" t="s">
        <v>15324</v>
      </c>
      <c r="TZF2" s="133" t="s">
        <v>15325</v>
      </c>
      <c r="TZG2" s="133" t="s">
        <v>15326</v>
      </c>
      <c r="TZH2" s="133" t="s">
        <v>15327</v>
      </c>
      <c r="TZI2" s="133" t="s">
        <v>15328</v>
      </c>
      <c r="TZJ2" s="133" t="s">
        <v>15329</v>
      </c>
      <c r="TZK2" s="133" t="s">
        <v>15330</v>
      </c>
      <c r="TZL2" s="133" t="s">
        <v>15331</v>
      </c>
      <c r="TZM2" s="133" t="s">
        <v>15332</v>
      </c>
      <c r="TZN2" s="133" t="s">
        <v>15333</v>
      </c>
      <c r="TZO2" s="133" t="s">
        <v>15334</v>
      </c>
      <c r="TZP2" s="133" t="s">
        <v>15335</v>
      </c>
      <c r="TZQ2" s="133" t="s">
        <v>15336</v>
      </c>
      <c r="TZR2" s="133" t="s">
        <v>15337</v>
      </c>
      <c r="TZS2" s="133" t="s">
        <v>15338</v>
      </c>
      <c r="TZT2" s="133" t="s">
        <v>15339</v>
      </c>
      <c r="TZU2" s="133" t="s">
        <v>15340</v>
      </c>
      <c r="TZV2" s="133" t="s">
        <v>15341</v>
      </c>
      <c r="TZW2" s="133" t="s">
        <v>15342</v>
      </c>
      <c r="TZX2" s="133" t="s">
        <v>15343</v>
      </c>
      <c r="TZY2" s="133" t="s">
        <v>15344</v>
      </c>
      <c r="TZZ2" s="133" t="s">
        <v>15345</v>
      </c>
      <c r="UAA2" s="133" t="s">
        <v>15346</v>
      </c>
      <c r="UAB2" s="133" t="s">
        <v>15347</v>
      </c>
      <c r="UAC2" s="133" t="s">
        <v>15348</v>
      </c>
      <c r="UAD2" s="133" t="s">
        <v>15349</v>
      </c>
      <c r="UAE2" s="133" t="s">
        <v>15350</v>
      </c>
      <c r="UAF2" s="133" t="s">
        <v>15351</v>
      </c>
      <c r="UAG2" s="133" t="s">
        <v>15352</v>
      </c>
      <c r="UAH2" s="133" t="s">
        <v>15353</v>
      </c>
      <c r="UAI2" s="133" t="s">
        <v>15354</v>
      </c>
      <c r="UAJ2" s="133" t="s">
        <v>15355</v>
      </c>
      <c r="UAK2" s="133" t="s">
        <v>15356</v>
      </c>
      <c r="UAL2" s="133" t="s">
        <v>15357</v>
      </c>
      <c r="UAM2" s="133" t="s">
        <v>15358</v>
      </c>
      <c r="UAN2" s="133" t="s">
        <v>15359</v>
      </c>
      <c r="UAO2" s="133" t="s">
        <v>15360</v>
      </c>
      <c r="UAP2" s="133" t="s">
        <v>15361</v>
      </c>
      <c r="UAQ2" s="133" t="s">
        <v>15362</v>
      </c>
      <c r="UAR2" s="133" t="s">
        <v>15363</v>
      </c>
      <c r="UAS2" s="133" t="s">
        <v>15364</v>
      </c>
      <c r="UAT2" s="133" t="s">
        <v>15365</v>
      </c>
      <c r="UAU2" s="133" t="s">
        <v>15366</v>
      </c>
      <c r="UAV2" s="133" t="s">
        <v>15367</v>
      </c>
      <c r="UAW2" s="133" t="s">
        <v>15368</v>
      </c>
      <c r="UAX2" s="133" t="s">
        <v>15369</v>
      </c>
      <c r="UAY2" s="133" t="s">
        <v>15370</v>
      </c>
      <c r="UAZ2" s="133" t="s">
        <v>15371</v>
      </c>
      <c r="UBA2" s="133" t="s">
        <v>15372</v>
      </c>
      <c r="UBB2" s="133" t="s">
        <v>15373</v>
      </c>
      <c r="UBC2" s="133" t="s">
        <v>15374</v>
      </c>
      <c r="UBD2" s="133" t="s">
        <v>15375</v>
      </c>
      <c r="UBE2" s="133" t="s">
        <v>15376</v>
      </c>
      <c r="UBF2" s="133" t="s">
        <v>15377</v>
      </c>
      <c r="UBG2" s="133" t="s">
        <v>15378</v>
      </c>
      <c r="UBH2" s="133" t="s">
        <v>15379</v>
      </c>
      <c r="UBI2" s="133" t="s">
        <v>15380</v>
      </c>
      <c r="UBJ2" s="133" t="s">
        <v>15381</v>
      </c>
      <c r="UBK2" s="133" t="s">
        <v>15382</v>
      </c>
      <c r="UBL2" s="133" t="s">
        <v>15383</v>
      </c>
      <c r="UBM2" s="133" t="s">
        <v>15384</v>
      </c>
      <c r="UBN2" s="133" t="s">
        <v>15385</v>
      </c>
      <c r="UBO2" s="133" t="s">
        <v>15386</v>
      </c>
      <c r="UBP2" s="133" t="s">
        <v>15387</v>
      </c>
      <c r="UBQ2" s="133" t="s">
        <v>15388</v>
      </c>
      <c r="UBR2" s="133" t="s">
        <v>15389</v>
      </c>
      <c r="UBS2" s="133" t="s">
        <v>15390</v>
      </c>
      <c r="UBT2" s="133" t="s">
        <v>15391</v>
      </c>
      <c r="UBU2" s="133" t="s">
        <v>15392</v>
      </c>
      <c r="UBV2" s="133" t="s">
        <v>15393</v>
      </c>
      <c r="UBW2" s="133" t="s">
        <v>15394</v>
      </c>
      <c r="UBX2" s="133" t="s">
        <v>15395</v>
      </c>
      <c r="UBY2" s="133" t="s">
        <v>15396</v>
      </c>
      <c r="UBZ2" s="133" t="s">
        <v>15397</v>
      </c>
      <c r="UCA2" s="133" t="s">
        <v>15398</v>
      </c>
      <c r="UCB2" s="133" t="s">
        <v>15399</v>
      </c>
      <c r="UCC2" s="133" t="s">
        <v>15400</v>
      </c>
      <c r="UCD2" s="133" t="s">
        <v>15401</v>
      </c>
      <c r="UCE2" s="133" t="s">
        <v>15402</v>
      </c>
      <c r="UCF2" s="133" t="s">
        <v>15403</v>
      </c>
      <c r="UCG2" s="133" t="s">
        <v>15404</v>
      </c>
      <c r="UCH2" s="133" t="s">
        <v>15405</v>
      </c>
      <c r="UCI2" s="133" t="s">
        <v>15406</v>
      </c>
      <c r="UCJ2" s="133" t="s">
        <v>15407</v>
      </c>
      <c r="UCK2" s="133" t="s">
        <v>15408</v>
      </c>
      <c r="UCL2" s="133" t="s">
        <v>15409</v>
      </c>
      <c r="UCM2" s="133" t="s">
        <v>15410</v>
      </c>
      <c r="UCN2" s="133" t="s">
        <v>15411</v>
      </c>
      <c r="UCO2" s="133" t="s">
        <v>15412</v>
      </c>
      <c r="UCP2" s="133" t="s">
        <v>15413</v>
      </c>
      <c r="UCQ2" s="133" t="s">
        <v>15414</v>
      </c>
      <c r="UCR2" s="133" t="s">
        <v>15415</v>
      </c>
      <c r="UCS2" s="133" t="s">
        <v>15416</v>
      </c>
      <c r="UCT2" s="133" t="s">
        <v>15417</v>
      </c>
      <c r="UCU2" s="133" t="s">
        <v>15418</v>
      </c>
      <c r="UCV2" s="133" t="s">
        <v>15419</v>
      </c>
      <c r="UCW2" s="133" t="s">
        <v>15420</v>
      </c>
      <c r="UCX2" s="133" t="s">
        <v>15421</v>
      </c>
      <c r="UCY2" s="133" t="s">
        <v>15422</v>
      </c>
      <c r="UCZ2" s="133" t="s">
        <v>15423</v>
      </c>
      <c r="UDA2" s="133" t="s">
        <v>15424</v>
      </c>
      <c r="UDB2" s="133" t="s">
        <v>15425</v>
      </c>
      <c r="UDC2" s="133" t="s">
        <v>15426</v>
      </c>
      <c r="UDD2" s="133" t="s">
        <v>15427</v>
      </c>
      <c r="UDE2" s="133" t="s">
        <v>15428</v>
      </c>
      <c r="UDF2" s="133" t="s">
        <v>15429</v>
      </c>
      <c r="UDG2" s="133" t="s">
        <v>15430</v>
      </c>
      <c r="UDH2" s="133" t="s">
        <v>15431</v>
      </c>
      <c r="UDI2" s="133" t="s">
        <v>15432</v>
      </c>
      <c r="UDJ2" s="133" t="s">
        <v>15433</v>
      </c>
      <c r="UDK2" s="133" t="s">
        <v>15434</v>
      </c>
      <c r="UDL2" s="133" t="s">
        <v>15435</v>
      </c>
      <c r="UDM2" s="133" t="s">
        <v>15436</v>
      </c>
      <c r="UDN2" s="133" t="s">
        <v>15437</v>
      </c>
      <c r="UDO2" s="133" t="s">
        <v>15438</v>
      </c>
      <c r="UDP2" s="133" t="s">
        <v>15439</v>
      </c>
      <c r="UDQ2" s="133" t="s">
        <v>15440</v>
      </c>
      <c r="UDR2" s="133" t="s">
        <v>15441</v>
      </c>
      <c r="UDS2" s="133" t="s">
        <v>15442</v>
      </c>
      <c r="UDT2" s="133" t="s">
        <v>15443</v>
      </c>
      <c r="UDU2" s="133" t="s">
        <v>15444</v>
      </c>
      <c r="UDV2" s="133" t="s">
        <v>15445</v>
      </c>
      <c r="UDW2" s="133" t="s">
        <v>15446</v>
      </c>
      <c r="UDX2" s="133" t="s">
        <v>15447</v>
      </c>
      <c r="UDY2" s="133" t="s">
        <v>15448</v>
      </c>
      <c r="UDZ2" s="133" t="s">
        <v>15449</v>
      </c>
      <c r="UEA2" s="133" t="s">
        <v>15450</v>
      </c>
      <c r="UEB2" s="133" t="s">
        <v>15451</v>
      </c>
      <c r="UEC2" s="133" t="s">
        <v>15452</v>
      </c>
      <c r="UED2" s="133" t="s">
        <v>15453</v>
      </c>
      <c r="UEE2" s="133" t="s">
        <v>15454</v>
      </c>
      <c r="UEF2" s="133" t="s">
        <v>15455</v>
      </c>
      <c r="UEG2" s="133" t="s">
        <v>15456</v>
      </c>
      <c r="UEH2" s="133" t="s">
        <v>15457</v>
      </c>
      <c r="UEI2" s="133" t="s">
        <v>15458</v>
      </c>
      <c r="UEJ2" s="133" t="s">
        <v>15459</v>
      </c>
      <c r="UEK2" s="133" t="s">
        <v>15460</v>
      </c>
      <c r="UEL2" s="133" t="s">
        <v>15461</v>
      </c>
      <c r="UEM2" s="133" t="s">
        <v>15462</v>
      </c>
      <c r="UEN2" s="133" t="s">
        <v>15463</v>
      </c>
      <c r="UEO2" s="133" t="s">
        <v>15464</v>
      </c>
      <c r="UEP2" s="133" t="s">
        <v>15465</v>
      </c>
      <c r="UEQ2" s="133" t="s">
        <v>15466</v>
      </c>
      <c r="UER2" s="133" t="s">
        <v>15467</v>
      </c>
      <c r="UES2" s="133" t="s">
        <v>15468</v>
      </c>
      <c r="UET2" s="133" t="s">
        <v>15469</v>
      </c>
      <c r="UEU2" s="133" t="s">
        <v>15470</v>
      </c>
      <c r="UEV2" s="133" t="s">
        <v>15471</v>
      </c>
      <c r="UEW2" s="133" t="s">
        <v>15472</v>
      </c>
      <c r="UEX2" s="133" t="s">
        <v>15473</v>
      </c>
      <c r="UEY2" s="133" t="s">
        <v>15474</v>
      </c>
      <c r="UEZ2" s="133" t="s">
        <v>15475</v>
      </c>
      <c r="UFA2" s="133" t="s">
        <v>15476</v>
      </c>
      <c r="UFB2" s="133" t="s">
        <v>15477</v>
      </c>
      <c r="UFC2" s="133" t="s">
        <v>15478</v>
      </c>
      <c r="UFD2" s="133" t="s">
        <v>15479</v>
      </c>
      <c r="UFE2" s="133" t="s">
        <v>15480</v>
      </c>
      <c r="UFF2" s="133" t="s">
        <v>15481</v>
      </c>
      <c r="UFG2" s="133" t="s">
        <v>15482</v>
      </c>
      <c r="UFH2" s="133" t="s">
        <v>15483</v>
      </c>
      <c r="UFI2" s="133" t="s">
        <v>15484</v>
      </c>
      <c r="UFJ2" s="133" t="s">
        <v>15485</v>
      </c>
      <c r="UFK2" s="133" t="s">
        <v>15486</v>
      </c>
      <c r="UFL2" s="133" t="s">
        <v>15487</v>
      </c>
      <c r="UFM2" s="133" t="s">
        <v>15488</v>
      </c>
      <c r="UFN2" s="133" t="s">
        <v>15489</v>
      </c>
      <c r="UFO2" s="133" t="s">
        <v>15490</v>
      </c>
      <c r="UFP2" s="133" t="s">
        <v>15491</v>
      </c>
      <c r="UFQ2" s="133" t="s">
        <v>15492</v>
      </c>
      <c r="UFR2" s="133" t="s">
        <v>15493</v>
      </c>
      <c r="UFS2" s="133" t="s">
        <v>15494</v>
      </c>
      <c r="UFT2" s="133" t="s">
        <v>15495</v>
      </c>
      <c r="UFU2" s="133" t="s">
        <v>15496</v>
      </c>
      <c r="UFV2" s="133" t="s">
        <v>15497</v>
      </c>
      <c r="UFW2" s="133" t="s">
        <v>15498</v>
      </c>
      <c r="UFX2" s="133" t="s">
        <v>15499</v>
      </c>
      <c r="UFY2" s="133" t="s">
        <v>15500</v>
      </c>
      <c r="UFZ2" s="133" t="s">
        <v>15501</v>
      </c>
      <c r="UGA2" s="133" t="s">
        <v>15502</v>
      </c>
      <c r="UGB2" s="133" t="s">
        <v>15503</v>
      </c>
      <c r="UGC2" s="133" t="s">
        <v>15504</v>
      </c>
      <c r="UGD2" s="133" t="s">
        <v>15505</v>
      </c>
      <c r="UGE2" s="133" t="s">
        <v>15506</v>
      </c>
      <c r="UGF2" s="133" t="s">
        <v>15507</v>
      </c>
      <c r="UGG2" s="133" t="s">
        <v>15508</v>
      </c>
      <c r="UGH2" s="133" t="s">
        <v>15509</v>
      </c>
      <c r="UGI2" s="133" t="s">
        <v>15510</v>
      </c>
      <c r="UGJ2" s="133" t="s">
        <v>15511</v>
      </c>
      <c r="UGK2" s="133" t="s">
        <v>15512</v>
      </c>
      <c r="UGL2" s="133" t="s">
        <v>15513</v>
      </c>
      <c r="UGM2" s="133" t="s">
        <v>15514</v>
      </c>
      <c r="UGN2" s="133" t="s">
        <v>15515</v>
      </c>
      <c r="UGO2" s="133" t="s">
        <v>15516</v>
      </c>
      <c r="UGP2" s="133" t="s">
        <v>15517</v>
      </c>
      <c r="UGQ2" s="133" t="s">
        <v>15518</v>
      </c>
      <c r="UGR2" s="133" t="s">
        <v>15519</v>
      </c>
      <c r="UGS2" s="133" t="s">
        <v>15520</v>
      </c>
      <c r="UGT2" s="133" t="s">
        <v>15521</v>
      </c>
      <c r="UGU2" s="133" t="s">
        <v>15522</v>
      </c>
      <c r="UGV2" s="133" t="s">
        <v>15523</v>
      </c>
      <c r="UGW2" s="133" t="s">
        <v>15524</v>
      </c>
      <c r="UGX2" s="133" t="s">
        <v>15525</v>
      </c>
      <c r="UGY2" s="133" t="s">
        <v>15526</v>
      </c>
      <c r="UGZ2" s="133" t="s">
        <v>15527</v>
      </c>
      <c r="UHA2" s="133" t="s">
        <v>15528</v>
      </c>
      <c r="UHB2" s="133" t="s">
        <v>15529</v>
      </c>
      <c r="UHC2" s="133" t="s">
        <v>15530</v>
      </c>
      <c r="UHD2" s="133" t="s">
        <v>15531</v>
      </c>
      <c r="UHE2" s="133" t="s">
        <v>15532</v>
      </c>
      <c r="UHF2" s="133" t="s">
        <v>15533</v>
      </c>
      <c r="UHG2" s="133" t="s">
        <v>15534</v>
      </c>
      <c r="UHH2" s="133" t="s">
        <v>15535</v>
      </c>
      <c r="UHI2" s="133" t="s">
        <v>15536</v>
      </c>
      <c r="UHJ2" s="133" t="s">
        <v>15537</v>
      </c>
      <c r="UHK2" s="133" t="s">
        <v>15538</v>
      </c>
      <c r="UHL2" s="133" t="s">
        <v>15539</v>
      </c>
      <c r="UHM2" s="133" t="s">
        <v>15540</v>
      </c>
      <c r="UHN2" s="133" t="s">
        <v>15541</v>
      </c>
      <c r="UHO2" s="133" t="s">
        <v>15542</v>
      </c>
      <c r="UHP2" s="133" t="s">
        <v>15543</v>
      </c>
      <c r="UHQ2" s="133" t="s">
        <v>15544</v>
      </c>
      <c r="UHR2" s="133" t="s">
        <v>15545</v>
      </c>
      <c r="UHS2" s="133" t="s">
        <v>15546</v>
      </c>
      <c r="UHT2" s="133" t="s">
        <v>15547</v>
      </c>
      <c r="UHU2" s="133" t="s">
        <v>15548</v>
      </c>
      <c r="UHV2" s="133" t="s">
        <v>15549</v>
      </c>
      <c r="UHW2" s="133" t="s">
        <v>15550</v>
      </c>
      <c r="UHX2" s="133" t="s">
        <v>15551</v>
      </c>
      <c r="UHY2" s="133" t="s">
        <v>15552</v>
      </c>
      <c r="UHZ2" s="133" t="s">
        <v>15553</v>
      </c>
      <c r="UIA2" s="133" t="s">
        <v>15554</v>
      </c>
      <c r="UIB2" s="133" t="s">
        <v>15555</v>
      </c>
      <c r="UIC2" s="133" t="s">
        <v>15556</v>
      </c>
      <c r="UID2" s="133" t="s">
        <v>15557</v>
      </c>
      <c r="UIE2" s="133" t="s">
        <v>15558</v>
      </c>
      <c r="UIF2" s="133" t="s">
        <v>15559</v>
      </c>
      <c r="UIG2" s="133" t="s">
        <v>15560</v>
      </c>
      <c r="UIH2" s="133" t="s">
        <v>15561</v>
      </c>
      <c r="UII2" s="133" t="s">
        <v>15562</v>
      </c>
      <c r="UIJ2" s="133" t="s">
        <v>15563</v>
      </c>
      <c r="UIK2" s="133" t="s">
        <v>15564</v>
      </c>
      <c r="UIL2" s="133" t="s">
        <v>15565</v>
      </c>
      <c r="UIM2" s="133" t="s">
        <v>15566</v>
      </c>
      <c r="UIN2" s="133" t="s">
        <v>15567</v>
      </c>
      <c r="UIO2" s="133" t="s">
        <v>15568</v>
      </c>
      <c r="UIP2" s="133" t="s">
        <v>15569</v>
      </c>
      <c r="UIQ2" s="133" t="s">
        <v>15570</v>
      </c>
      <c r="UIR2" s="133" t="s">
        <v>15571</v>
      </c>
      <c r="UIS2" s="133" t="s">
        <v>15572</v>
      </c>
      <c r="UIT2" s="133" t="s">
        <v>15573</v>
      </c>
      <c r="UIU2" s="133" t="s">
        <v>15574</v>
      </c>
      <c r="UIV2" s="133" t="s">
        <v>15575</v>
      </c>
      <c r="UIW2" s="133" t="s">
        <v>15576</v>
      </c>
      <c r="UIX2" s="133" t="s">
        <v>15577</v>
      </c>
      <c r="UIY2" s="133" t="s">
        <v>15578</v>
      </c>
      <c r="UIZ2" s="133" t="s">
        <v>15579</v>
      </c>
      <c r="UJA2" s="133" t="s">
        <v>15580</v>
      </c>
      <c r="UJB2" s="133" t="s">
        <v>15581</v>
      </c>
      <c r="UJC2" s="133" t="s">
        <v>15582</v>
      </c>
      <c r="UJD2" s="133" t="s">
        <v>15583</v>
      </c>
      <c r="UJE2" s="133" t="s">
        <v>15584</v>
      </c>
      <c r="UJF2" s="133" t="s">
        <v>15585</v>
      </c>
      <c r="UJG2" s="133" t="s">
        <v>15586</v>
      </c>
      <c r="UJH2" s="133" t="s">
        <v>15587</v>
      </c>
      <c r="UJI2" s="133" t="s">
        <v>15588</v>
      </c>
      <c r="UJJ2" s="133" t="s">
        <v>15589</v>
      </c>
      <c r="UJK2" s="133" t="s">
        <v>15590</v>
      </c>
      <c r="UJL2" s="133" t="s">
        <v>15591</v>
      </c>
      <c r="UJM2" s="133" t="s">
        <v>15592</v>
      </c>
      <c r="UJN2" s="133" t="s">
        <v>15593</v>
      </c>
      <c r="UJO2" s="133" t="s">
        <v>15594</v>
      </c>
      <c r="UJP2" s="133" t="s">
        <v>15595</v>
      </c>
      <c r="UJQ2" s="133" t="s">
        <v>15596</v>
      </c>
      <c r="UJR2" s="133" t="s">
        <v>15597</v>
      </c>
      <c r="UJS2" s="133" t="s">
        <v>15598</v>
      </c>
      <c r="UJT2" s="133" t="s">
        <v>15599</v>
      </c>
      <c r="UJU2" s="133" t="s">
        <v>15600</v>
      </c>
      <c r="UJV2" s="133" t="s">
        <v>15601</v>
      </c>
      <c r="UJW2" s="133" t="s">
        <v>15602</v>
      </c>
      <c r="UJX2" s="133" t="s">
        <v>15603</v>
      </c>
      <c r="UJY2" s="133" t="s">
        <v>15604</v>
      </c>
      <c r="UJZ2" s="133" t="s">
        <v>15605</v>
      </c>
      <c r="UKA2" s="133" t="s">
        <v>15606</v>
      </c>
      <c r="UKB2" s="133" t="s">
        <v>15607</v>
      </c>
      <c r="UKC2" s="133" t="s">
        <v>15608</v>
      </c>
      <c r="UKD2" s="133" t="s">
        <v>15609</v>
      </c>
      <c r="UKE2" s="133" t="s">
        <v>15610</v>
      </c>
      <c r="UKF2" s="133" t="s">
        <v>15611</v>
      </c>
      <c r="UKG2" s="133" t="s">
        <v>15612</v>
      </c>
      <c r="UKH2" s="133" t="s">
        <v>15613</v>
      </c>
      <c r="UKI2" s="133" t="s">
        <v>15614</v>
      </c>
      <c r="UKJ2" s="133" t="s">
        <v>15615</v>
      </c>
      <c r="UKK2" s="133" t="s">
        <v>15616</v>
      </c>
      <c r="UKL2" s="133" t="s">
        <v>15617</v>
      </c>
      <c r="UKM2" s="133" t="s">
        <v>15618</v>
      </c>
      <c r="UKN2" s="133" t="s">
        <v>15619</v>
      </c>
      <c r="UKO2" s="133" t="s">
        <v>15620</v>
      </c>
      <c r="UKP2" s="133" t="s">
        <v>15621</v>
      </c>
      <c r="UKQ2" s="133" t="s">
        <v>15622</v>
      </c>
      <c r="UKR2" s="133" t="s">
        <v>15623</v>
      </c>
      <c r="UKS2" s="133" t="s">
        <v>15624</v>
      </c>
      <c r="UKT2" s="133" t="s">
        <v>15625</v>
      </c>
      <c r="UKU2" s="133" t="s">
        <v>15626</v>
      </c>
      <c r="UKV2" s="133" t="s">
        <v>15627</v>
      </c>
      <c r="UKW2" s="133" t="s">
        <v>15628</v>
      </c>
      <c r="UKX2" s="133" t="s">
        <v>15629</v>
      </c>
      <c r="UKY2" s="133" t="s">
        <v>15630</v>
      </c>
      <c r="UKZ2" s="133" t="s">
        <v>15631</v>
      </c>
      <c r="ULA2" s="133" t="s">
        <v>15632</v>
      </c>
      <c r="ULB2" s="133" t="s">
        <v>15633</v>
      </c>
      <c r="ULC2" s="133" t="s">
        <v>15634</v>
      </c>
      <c r="ULD2" s="133" t="s">
        <v>15635</v>
      </c>
      <c r="ULE2" s="133" t="s">
        <v>15636</v>
      </c>
      <c r="ULF2" s="133" t="s">
        <v>15637</v>
      </c>
      <c r="ULG2" s="133" t="s">
        <v>15638</v>
      </c>
      <c r="ULH2" s="133" t="s">
        <v>15639</v>
      </c>
      <c r="ULI2" s="133" t="s">
        <v>15640</v>
      </c>
      <c r="ULJ2" s="133" t="s">
        <v>15641</v>
      </c>
      <c r="ULK2" s="133" t="s">
        <v>15642</v>
      </c>
      <c r="ULL2" s="133" t="s">
        <v>15643</v>
      </c>
      <c r="ULM2" s="133" t="s">
        <v>15644</v>
      </c>
      <c r="ULN2" s="133" t="s">
        <v>15645</v>
      </c>
      <c r="ULO2" s="133" t="s">
        <v>15646</v>
      </c>
      <c r="ULP2" s="133" t="s">
        <v>15647</v>
      </c>
      <c r="ULQ2" s="133" t="s">
        <v>15648</v>
      </c>
      <c r="ULR2" s="133" t="s">
        <v>15649</v>
      </c>
      <c r="ULS2" s="133" t="s">
        <v>15650</v>
      </c>
      <c r="ULT2" s="133" t="s">
        <v>15651</v>
      </c>
      <c r="ULU2" s="133" t="s">
        <v>15652</v>
      </c>
      <c r="ULV2" s="133" t="s">
        <v>15653</v>
      </c>
      <c r="ULW2" s="133" t="s">
        <v>15654</v>
      </c>
      <c r="ULX2" s="133" t="s">
        <v>15655</v>
      </c>
      <c r="ULY2" s="133" t="s">
        <v>15656</v>
      </c>
      <c r="ULZ2" s="133" t="s">
        <v>15657</v>
      </c>
      <c r="UMA2" s="133" t="s">
        <v>15658</v>
      </c>
      <c r="UMB2" s="133" t="s">
        <v>15659</v>
      </c>
      <c r="UMC2" s="133" t="s">
        <v>15660</v>
      </c>
      <c r="UMD2" s="133" t="s">
        <v>15661</v>
      </c>
      <c r="UME2" s="133" t="s">
        <v>15662</v>
      </c>
      <c r="UMF2" s="133" t="s">
        <v>15663</v>
      </c>
      <c r="UMG2" s="133" t="s">
        <v>15664</v>
      </c>
      <c r="UMH2" s="133" t="s">
        <v>15665</v>
      </c>
      <c r="UMI2" s="133" t="s">
        <v>15666</v>
      </c>
      <c r="UMJ2" s="133" t="s">
        <v>15667</v>
      </c>
      <c r="UMK2" s="133" t="s">
        <v>15668</v>
      </c>
      <c r="UML2" s="133" t="s">
        <v>15669</v>
      </c>
      <c r="UMM2" s="133" t="s">
        <v>15670</v>
      </c>
      <c r="UMN2" s="133" t="s">
        <v>15671</v>
      </c>
      <c r="UMO2" s="133" t="s">
        <v>15672</v>
      </c>
      <c r="UMP2" s="133" t="s">
        <v>15673</v>
      </c>
      <c r="UMQ2" s="133" t="s">
        <v>15674</v>
      </c>
      <c r="UMR2" s="133" t="s">
        <v>15675</v>
      </c>
      <c r="UMS2" s="133" t="s">
        <v>15676</v>
      </c>
      <c r="UMT2" s="133" t="s">
        <v>15677</v>
      </c>
      <c r="UMU2" s="133" t="s">
        <v>15678</v>
      </c>
      <c r="UMV2" s="133" t="s">
        <v>15679</v>
      </c>
      <c r="UMW2" s="133" t="s">
        <v>15680</v>
      </c>
      <c r="UMX2" s="133" t="s">
        <v>15681</v>
      </c>
      <c r="UMY2" s="133" t="s">
        <v>15682</v>
      </c>
      <c r="UMZ2" s="133" t="s">
        <v>15683</v>
      </c>
      <c r="UNA2" s="133" t="s">
        <v>15684</v>
      </c>
      <c r="UNB2" s="133" t="s">
        <v>15685</v>
      </c>
      <c r="UNC2" s="133" t="s">
        <v>15686</v>
      </c>
      <c r="UND2" s="133" t="s">
        <v>15687</v>
      </c>
      <c r="UNE2" s="133" t="s">
        <v>15688</v>
      </c>
      <c r="UNF2" s="133" t="s">
        <v>15689</v>
      </c>
      <c r="UNG2" s="133" t="s">
        <v>15690</v>
      </c>
      <c r="UNH2" s="133" t="s">
        <v>15691</v>
      </c>
      <c r="UNI2" s="133" t="s">
        <v>15692</v>
      </c>
      <c r="UNJ2" s="133" t="s">
        <v>15693</v>
      </c>
      <c r="UNK2" s="133" t="s">
        <v>15694</v>
      </c>
      <c r="UNL2" s="133" t="s">
        <v>15695</v>
      </c>
      <c r="UNM2" s="133" t="s">
        <v>15696</v>
      </c>
      <c r="UNN2" s="133" t="s">
        <v>15697</v>
      </c>
      <c r="UNO2" s="133" t="s">
        <v>15698</v>
      </c>
      <c r="UNP2" s="133" t="s">
        <v>15699</v>
      </c>
      <c r="UNQ2" s="133" t="s">
        <v>15700</v>
      </c>
      <c r="UNR2" s="133" t="s">
        <v>15701</v>
      </c>
      <c r="UNS2" s="133" t="s">
        <v>15702</v>
      </c>
      <c r="UNT2" s="133" t="s">
        <v>15703</v>
      </c>
      <c r="UNU2" s="133" t="s">
        <v>15704</v>
      </c>
      <c r="UNV2" s="133" t="s">
        <v>15705</v>
      </c>
      <c r="UNW2" s="133" t="s">
        <v>15706</v>
      </c>
      <c r="UNX2" s="133" t="s">
        <v>15707</v>
      </c>
      <c r="UNY2" s="133" t="s">
        <v>15708</v>
      </c>
      <c r="UNZ2" s="133" t="s">
        <v>15709</v>
      </c>
      <c r="UOA2" s="133" t="s">
        <v>15710</v>
      </c>
      <c r="UOB2" s="133" t="s">
        <v>15711</v>
      </c>
      <c r="UOC2" s="133" t="s">
        <v>15712</v>
      </c>
      <c r="UOD2" s="133" t="s">
        <v>15713</v>
      </c>
      <c r="UOE2" s="133" t="s">
        <v>15714</v>
      </c>
      <c r="UOF2" s="133" t="s">
        <v>15715</v>
      </c>
      <c r="UOG2" s="133" t="s">
        <v>15716</v>
      </c>
      <c r="UOH2" s="133" t="s">
        <v>15717</v>
      </c>
      <c r="UOI2" s="133" t="s">
        <v>15718</v>
      </c>
      <c r="UOJ2" s="133" t="s">
        <v>15719</v>
      </c>
      <c r="UOK2" s="133" t="s">
        <v>15720</v>
      </c>
      <c r="UOL2" s="133" t="s">
        <v>15721</v>
      </c>
      <c r="UOM2" s="133" t="s">
        <v>15722</v>
      </c>
      <c r="UON2" s="133" t="s">
        <v>15723</v>
      </c>
      <c r="UOO2" s="133" t="s">
        <v>15724</v>
      </c>
      <c r="UOP2" s="133" t="s">
        <v>15725</v>
      </c>
      <c r="UOQ2" s="133" t="s">
        <v>15726</v>
      </c>
      <c r="UOR2" s="133" t="s">
        <v>15727</v>
      </c>
      <c r="UOS2" s="133" t="s">
        <v>15728</v>
      </c>
      <c r="UOT2" s="133" t="s">
        <v>15729</v>
      </c>
      <c r="UOU2" s="133" t="s">
        <v>15730</v>
      </c>
      <c r="UOV2" s="133" t="s">
        <v>15731</v>
      </c>
      <c r="UOW2" s="133" t="s">
        <v>15732</v>
      </c>
      <c r="UOX2" s="133" t="s">
        <v>15733</v>
      </c>
      <c r="UOY2" s="133" t="s">
        <v>15734</v>
      </c>
      <c r="UOZ2" s="133" t="s">
        <v>15735</v>
      </c>
      <c r="UPA2" s="133" t="s">
        <v>15736</v>
      </c>
      <c r="UPB2" s="133" t="s">
        <v>15737</v>
      </c>
      <c r="UPC2" s="133" t="s">
        <v>15738</v>
      </c>
      <c r="UPD2" s="133" t="s">
        <v>15739</v>
      </c>
      <c r="UPE2" s="133" t="s">
        <v>15740</v>
      </c>
      <c r="UPF2" s="133" t="s">
        <v>15741</v>
      </c>
      <c r="UPG2" s="133" t="s">
        <v>15742</v>
      </c>
      <c r="UPH2" s="133" t="s">
        <v>15743</v>
      </c>
      <c r="UPI2" s="133" t="s">
        <v>15744</v>
      </c>
      <c r="UPJ2" s="133" t="s">
        <v>15745</v>
      </c>
      <c r="UPK2" s="133" t="s">
        <v>15746</v>
      </c>
      <c r="UPL2" s="133" t="s">
        <v>15747</v>
      </c>
      <c r="UPM2" s="133" t="s">
        <v>15748</v>
      </c>
      <c r="UPN2" s="133" t="s">
        <v>15749</v>
      </c>
      <c r="UPO2" s="133" t="s">
        <v>15750</v>
      </c>
      <c r="UPP2" s="133" t="s">
        <v>15751</v>
      </c>
      <c r="UPQ2" s="133" t="s">
        <v>15752</v>
      </c>
      <c r="UPR2" s="133" t="s">
        <v>15753</v>
      </c>
      <c r="UPS2" s="133" t="s">
        <v>15754</v>
      </c>
      <c r="UPT2" s="133" t="s">
        <v>15755</v>
      </c>
      <c r="UPU2" s="133" t="s">
        <v>15756</v>
      </c>
      <c r="UPV2" s="133" t="s">
        <v>15757</v>
      </c>
      <c r="UPW2" s="133" t="s">
        <v>15758</v>
      </c>
      <c r="UPX2" s="133" t="s">
        <v>15759</v>
      </c>
      <c r="UPY2" s="133" t="s">
        <v>15760</v>
      </c>
      <c r="UPZ2" s="133" t="s">
        <v>15761</v>
      </c>
      <c r="UQA2" s="133" t="s">
        <v>15762</v>
      </c>
      <c r="UQB2" s="133" t="s">
        <v>15763</v>
      </c>
      <c r="UQC2" s="133" t="s">
        <v>15764</v>
      </c>
      <c r="UQD2" s="133" t="s">
        <v>15765</v>
      </c>
      <c r="UQE2" s="133" t="s">
        <v>15766</v>
      </c>
      <c r="UQF2" s="133" t="s">
        <v>15767</v>
      </c>
      <c r="UQG2" s="133" t="s">
        <v>15768</v>
      </c>
      <c r="UQH2" s="133" t="s">
        <v>15769</v>
      </c>
      <c r="UQI2" s="133" t="s">
        <v>15770</v>
      </c>
      <c r="UQJ2" s="133" t="s">
        <v>15771</v>
      </c>
      <c r="UQK2" s="133" t="s">
        <v>15772</v>
      </c>
      <c r="UQL2" s="133" t="s">
        <v>15773</v>
      </c>
      <c r="UQM2" s="133" t="s">
        <v>15774</v>
      </c>
      <c r="UQN2" s="133" t="s">
        <v>15775</v>
      </c>
      <c r="UQO2" s="133" t="s">
        <v>15776</v>
      </c>
      <c r="UQP2" s="133" t="s">
        <v>15777</v>
      </c>
      <c r="UQQ2" s="133" t="s">
        <v>15778</v>
      </c>
      <c r="UQR2" s="133" t="s">
        <v>15779</v>
      </c>
      <c r="UQS2" s="133" t="s">
        <v>15780</v>
      </c>
      <c r="UQT2" s="133" t="s">
        <v>15781</v>
      </c>
      <c r="UQU2" s="133" t="s">
        <v>15782</v>
      </c>
      <c r="UQV2" s="133" t="s">
        <v>15783</v>
      </c>
      <c r="UQW2" s="133" t="s">
        <v>15784</v>
      </c>
      <c r="UQX2" s="133" t="s">
        <v>15785</v>
      </c>
      <c r="UQY2" s="133" t="s">
        <v>15786</v>
      </c>
      <c r="UQZ2" s="133" t="s">
        <v>15787</v>
      </c>
      <c r="URA2" s="133" t="s">
        <v>15788</v>
      </c>
      <c r="URB2" s="133" t="s">
        <v>15789</v>
      </c>
      <c r="URC2" s="133" t="s">
        <v>15790</v>
      </c>
      <c r="URD2" s="133" t="s">
        <v>15791</v>
      </c>
      <c r="URE2" s="133" t="s">
        <v>15792</v>
      </c>
      <c r="URF2" s="133" t="s">
        <v>15793</v>
      </c>
      <c r="URG2" s="133" t="s">
        <v>15794</v>
      </c>
      <c r="URH2" s="133" t="s">
        <v>15795</v>
      </c>
      <c r="URI2" s="133" t="s">
        <v>15796</v>
      </c>
      <c r="URJ2" s="133" t="s">
        <v>15797</v>
      </c>
      <c r="URK2" s="133" t="s">
        <v>15798</v>
      </c>
      <c r="URL2" s="133" t="s">
        <v>15799</v>
      </c>
      <c r="URM2" s="133" t="s">
        <v>15800</v>
      </c>
      <c r="URN2" s="133" t="s">
        <v>15801</v>
      </c>
      <c r="URO2" s="133" t="s">
        <v>15802</v>
      </c>
      <c r="URP2" s="133" t="s">
        <v>15803</v>
      </c>
      <c r="URQ2" s="133" t="s">
        <v>15804</v>
      </c>
      <c r="URR2" s="133" t="s">
        <v>15805</v>
      </c>
      <c r="URS2" s="133" t="s">
        <v>15806</v>
      </c>
      <c r="URT2" s="133" t="s">
        <v>15807</v>
      </c>
      <c r="URU2" s="133" t="s">
        <v>15808</v>
      </c>
      <c r="URV2" s="133" t="s">
        <v>15809</v>
      </c>
      <c r="URW2" s="133" t="s">
        <v>15810</v>
      </c>
      <c r="URX2" s="133" t="s">
        <v>15811</v>
      </c>
      <c r="URY2" s="133" t="s">
        <v>15812</v>
      </c>
      <c r="URZ2" s="133" t="s">
        <v>15813</v>
      </c>
      <c r="USA2" s="133" t="s">
        <v>15814</v>
      </c>
      <c r="USB2" s="133" t="s">
        <v>15815</v>
      </c>
      <c r="USC2" s="133" t="s">
        <v>15816</v>
      </c>
      <c r="USD2" s="133" t="s">
        <v>15817</v>
      </c>
      <c r="USE2" s="133" t="s">
        <v>15818</v>
      </c>
      <c r="USF2" s="133" t="s">
        <v>15819</v>
      </c>
      <c r="USG2" s="133" t="s">
        <v>15820</v>
      </c>
      <c r="USH2" s="133" t="s">
        <v>15821</v>
      </c>
      <c r="USI2" s="133" t="s">
        <v>15822</v>
      </c>
      <c r="USJ2" s="133" t="s">
        <v>15823</v>
      </c>
      <c r="USK2" s="133" t="s">
        <v>15824</v>
      </c>
      <c r="USL2" s="133" t="s">
        <v>15825</v>
      </c>
      <c r="USM2" s="133" t="s">
        <v>15826</v>
      </c>
      <c r="USN2" s="133" t="s">
        <v>15827</v>
      </c>
      <c r="USO2" s="133" t="s">
        <v>15828</v>
      </c>
      <c r="USP2" s="133" t="s">
        <v>15829</v>
      </c>
      <c r="USQ2" s="133" t="s">
        <v>15830</v>
      </c>
      <c r="USR2" s="133" t="s">
        <v>15831</v>
      </c>
      <c r="USS2" s="133" t="s">
        <v>15832</v>
      </c>
      <c r="UST2" s="133" t="s">
        <v>15833</v>
      </c>
      <c r="USU2" s="133" t="s">
        <v>15834</v>
      </c>
      <c r="USV2" s="133" t="s">
        <v>15835</v>
      </c>
      <c r="USW2" s="133" t="s">
        <v>15836</v>
      </c>
      <c r="USX2" s="133" t="s">
        <v>15837</v>
      </c>
      <c r="USY2" s="133" t="s">
        <v>15838</v>
      </c>
      <c r="USZ2" s="133" t="s">
        <v>15839</v>
      </c>
      <c r="UTA2" s="133" t="s">
        <v>15840</v>
      </c>
      <c r="UTB2" s="133" t="s">
        <v>15841</v>
      </c>
      <c r="UTC2" s="133" t="s">
        <v>15842</v>
      </c>
      <c r="UTD2" s="133" t="s">
        <v>15843</v>
      </c>
      <c r="UTE2" s="133" t="s">
        <v>15844</v>
      </c>
      <c r="UTF2" s="133" t="s">
        <v>15845</v>
      </c>
      <c r="UTG2" s="133" t="s">
        <v>15846</v>
      </c>
      <c r="UTH2" s="133" t="s">
        <v>15847</v>
      </c>
      <c r="UTI2" s="133" t="s">
        <v>15848</v>
      </c>
      <c r="UTJ2" s="133" t="s">
        <v>15849</v>
      </c>
      <c r="UTK2" s="133" t="s">
        <v>15850</v>
      </c>
      <c r="UTL2" s="133" t="s">
        <v>15851</v>
      </c>
      <c r="UTM2" s="133" t="s">
        <v>15852</v>
      </c>
      <c r="UTN2" s="133" t="s">
        <v>15853</v>
      </c>
      <c r="UTO2" s="133" t="s">
        <v>15854</v>
      </c>
      <c r="UTP2" s="133" t="s">
        <v>15855</v>
      </c>
      <c r="UTQ2" s="133" t="s">
        <v>15856</v>
      </c>
      <c r="UTR2" s="133" t="s">
        <v>15857</v>
      </c>
      <c r="UTS2" s="133" t="s">
        <v>15858</v>
      </c>
      <c r="UTT2" s="133" t="s">
        <v>15859</v>
      </c>
      <c r="UTU2" s="133" t="s">
        <v>15860</v>
      </c>
      <c r="UTV2" s="133" t="s">
        <v>15861</v>
      </c>
      <c r="UTW2" s="133" t="s">
        <v>15862</v>
      </c>
      <c r="UTX2" s="133" t="s">
        <v>15863</v>
      </c>
      <c r="UTY2" s="133" t="s">
        <v>15864</v>
      </c>
      <c r="UTZ2" s="133" t="s">
        <v>15865</v>
      </c>
      <c r="UUA2" s="133" t="s">
        <v>15866</v>
      </c>
      <c r="UUB2" s="133" t="s">
        <v>15867</v>
      </c>
      <c r="UUC2" s="133" t="s">
        <v>15868</v>
      </c>
      <c r="UUD2" s="133" t="s">
        <v>15869</v>
      </c>
      <c r="UUE2" s="133" t="s">
        <v>15870</v>
      </c>
      <c r="UUF2" s="133" t="s">
        <v>15871</v>
      </c>
      <c r="UUG2" s="133" t="s">
        <v>15872</v>
      </c>
      <c r="UUH2" s="133" t="s">
        <v>15873</v>
      </c>
      <c r="UUI2" s="133" t="s">
        <v>15874</v>
      </c>
      <c r="UUJ2" s="133" t="s">
        <v>15875</v>
      </c>
      <c r="UUK2" s="133" t="s">
        <v>15876</v>
      </c>
      <c r="UUL2" s="133" t="s">
        <v>15877</v>
      </c>
      <c r="UUM2" s="133" t="s">
        <v>15878</v>
      </c>
      <c r="UUN2" s="133" t="s">
        <v>15879</v>
      </c>
      <c r="UUO2" s="133" t="s">
        <v>15880</v>
      </c>
      <c r="UUP2" s="133" t="s">
        <v>15881</v>
      </c>
      <c r="UUQ2" s="133" t="s">
        <v>15882</v>
      </c>
      <c r="UUR2" s="133" t="s">
        <v>15883</v>
      </c>
      <c r="UUS2" s="133" t="s">
        <v>15884</v>
      </c>
      <c r="UUT2" s="133" t="s">
        <v>15885</v>
      </c>
      <c r="UUU2" s="133" t="s">
        <v>15886</v>
      </c>
      <c r="UUV2" s="133" t="s">
        <v>15887</v>
      </c>
      <c r="UUW2" s="133" t="s">
        <v>15888</v>
      </c>
      <c r="UUX2" s="133" t="s">
        <v>15889</v>
      </c>
      <c r="UUY2" s="133" t="s">
        <v>15890</v>
      </c>
      <c r="UUZ2" s="133" t="s">
        <v>15891</v>
      </c>
      <c r="UVA2" s="133" t="s">
        <v>15892</v>
      </c>
      <c r="UVB2" s="133" t="s">
        <v>15893</v>
      </c>
      <c r="UVC2" s="133" t="s">
        <v>15894</v>
      </c>
      <c r="UVD2" s="133" t="s">
        <v>15895</v>
      </c>
      <c r="UVE2" s="133" t="s">
        <v>15896</v>
      </c>
      <c r="UVF2" s="133" t="s">
        <v>15897</v>
      </c>
      <c r="UVG2" s="133" t="s">
        <v>15898</v>
      </c>
      <c r="UVH2" s="133" t="s">
        <v>15899</v>
      </c>
      <c r="UVI2" s="133" t="s">
        <v>15900</v>
      </c>
      <c r="UVJ2" s="133" t="s">
        <v>15901</v>
      </c>
      <c r="UVK2" s="133" t="s">
        <v>15902</v>
      </c>
      <c r="UVL2" s="133" t="s">
        <v>15903</v>
      </c>
      <c r="UVM2" s="133" t="s">
        <v>15904</v>
      </c>
      <c r="UVN2" s="133" t="s">
        <v>15905</v>
      </c>
      <c r="UVO2" s="133" t="s">
        <v>15906</v>
      </c>
      <c r="UVP2" s="133" t="s">
        <v>15907</v>
      </c>
      <c r="UVQ2" s="133" t="s">
        <v>15908</v>
      </c>
      <c r="UVR2" s="133" t="s">
        <v>15909</v>
      </c>
      <c r="UVS2" s="133" t="s">
        <v>15910</v>
      </c>
      <c r="UVT2" s="133" t="s">
        <v>15911</v>
      </c>
      <c r="UVU2" s="133" t="s">
        <v>15912</v>
      </c>
      <c r="UVV2" s="133" t="s">
        <v>15913</v>
      </c>
      <c r="UVW2" s="133" t="s">
        <v>15914</v>
      </c>
      <c r="UVX2" s="133" t="s">
        <v>15915</v>
      </c>
      <c r="UVY2" s="133" t="s">
        <v>15916</v>
      </c>
      <c r="UVZ2" s="133" t="s">
        <v>15917</v>
      </c>
      <c r="UWA2" s="133" t="s">
        <v>15918</v>
      </c>
      <c r="UWB2" s="133" t="s">
        <v>15919</v>
      </c>
      <c r="UWC2" s="133" t="s">
        <v>15920</v>
      </c>
      <c r="UWD2" s="133" t="s">
        <v>15921</v>
      </c>
      <c r="UWE2" s="133" t="s">
        <v>15922</v>
      </c>
      <c r="UWF2" s="133" t="s">
        <v>15923</v>
      </c>
      <c r="UWG2" s="133" t="s">
        <v>15924</v>
      </c>
      <c r="UWH2" s="133" t="s">
        <v>15925</v>
      </c>
      <c r="UWI2" s="133" t="s">
        <v>15926</v>
      </c>
      <c r="UWJ2" s="133" t="s">
        <v>15927</v>
      </c>
      <c r="UWK2" s="133" t="s">
        <v>15928</v>
      </c>
      <c r="UWL2" s="133" t="s">
        <v>15929</v>
      </c>
      <c r="UWM2" s="133" t="s">
        <v>15930</v>
      </c>
      <c r="UWN2" s="133" t="s">
        <v>15931</v>
      </c>
      <c r="UWO2" s="133" t="s">
        <v>15932</v>
      </c>
      <c r="UWP2" s="133" t="s">
        <v>15933</v>
      </c>
      <c r="UWQ2" s="133" t="s">
        <v>15934</v>
      </c>
      <c r="UWR2" s="133" t="s">
        <v>15935</v>
      </c>
      <c r="UWS2" s="133" t="s">
        <v>15936</v>
      </c>
      <c r="UWT2" s="133" t="s">
        <v>15937</v>
      </c>
      <c r="UWU2" s="133" t="s">
        <v>15938</v>
      </c>
      <c r="UWV2" s="133" t="s">
        <v>15939</v>
      </c>
      <c r="UWW2" s="133" t="s">
        <v>15940</v>
      </c>
      <c r="UWX2" s="133" t="s">
        <v>15941</v>
      </c>
      <c r="UWY2" s="133" t="s">
        <v>15942</v>
      </c>
      <c r="UWZ2" s="133" t="s">
        <v>15943</v>
      </c>
      <c r="UXA2" s="133" t="s">
        <v>15944</v>
      </c>
      <c r="UXB2" s="133" t="s">
        <v>15945</v>
      </c>
      <c r="UXC2" s="133" t="s">
        <v>15946</v>
      </c>
      <c r="UXD2" s="133" t="s">
        <v>15947</v>
      </c>
      <c r="UXE2" s="133" t="s">
        <v>15948</v>
      </c>
      <c r="UXF2" s="133" t="s">
        <v>15949</v>
      </c>
      <c r="UXG2" s="133" t="s">
        <v>15950</v>
      </c>
      <c r="UXH2" s="133" t="s">
        <v>15951</v>
      </c>
      <c r="UXI2" s="133" t="s">
        <v>15952</v>
      </c>
      <c r="UXJ2" s="133" t="s">
        <v>15953</v>
      </c>
      <c r="UXK2" s="133" t="s">
        <v>15954</v>
      </c>
      <c r="UXL2" s="133" t="s">
        <v>15955</v>
      </c>
      <c r="UXM2" s="133" t="s">
        <v>15956</v>
      </c>
      <c r="UXN2" s="133" t="s">
        <v>15957</v>
      </c>
      <c r="UXO2" s="133" t="s">
        <v>15958</v>
      </c>
      <c r="UXP2" s="133" t="s">
        <v>15959</v>
      </c>
      <c r="UXQ2" s="133" t="s">
        <v>15960</v>
      </c>
      <c r="UXR2" s="133" t="s">
        <v>15961</v>
      </c>
      <c r="UXS2" s="133" t="s">
        <v>15962</v>
      </c>
      <c r="UXT2" s="133" t="s">
        <v>15963</v>
      </c>
      <c r="UXU2" s="133" t="s">
        <v>15964</v>
      </c>
      <c r="UXV2" s="133" t="s">
        <v>15965</v>
      </c>
      <c r="UXW2" s="133" t="s">
        <v>15966</v>
      </c>
      <c r="UXX2" s="133" t="s">
        <v>15967</v>
      </c>
      <c r="UXY2" s="133" t="s">
        <v>15968</v>
      </c>
      <c r="UXZ2" s="133" t="s">
        <v>15969</v>
      </c>
      <c r="UYA2" s="133" t="s">
        <v>15970</v>
      </c>
      <c r="UYB2" s="133" t="s">
        <v>15971</v>
      </c>
      <c r="UYC2" s="133" t="s">
        <v>15972</v>
      </c>
      <c r="UYD2" s="133" t="s">
        <v>15973</v>
      </c>
      <c r="UYE2" s="133" t="s">
        <v>15974</v>
      </c>
      <c r="UYF2" s="133" t="s">
        <v>15975</v>
      </c>
      <c r="UYG2" s="133" t="s">
        <v>15976</v>
      </c>
      <c r="UYH2" s="133" t="s">
        <v>15977</v>
      </c>
      <c r="UYI2" s="133" t="s">
        <v>15978</v>
      </c>
      <c r="UYJ2" s="133" t="s">
        <v>15979</v>
      </c>
      <c r="UYK2" s="133" t="s">
        <v>15980</v>
      </c>
      <c r="UYL2" s="133" t="s">
        <v>15981</v>
      </c>
      <c r="UYM2" s="133" t="s">
        <v>15982</v>
      </c>
      <c r="UYN2" s="133" t="s">
        <v>15983</v>
      </c>
      <c r="UYO2" s="133" t="s">
        <v>15984</v>
      </c>
      <c r="UYP2" s="133" t="s">
        <v>15985</v>
      </c>
      <c r="UYQ2" s="133" t="s">
        <v>15986</v>
      </c>
      <c r="UYR2" s="133" t="s">
        <v>15987</v>
      </c>
      <c r="UYS2" s="133" t="s">
        <v>15988</v>
      </c>
      <c r="UYT2" s="133" t="s">
        <v>15989</v>
      </c>
      <c r="UYU2" s="133" t="s">
        <v>15990</v>
      </c>
      <c r="UYV2" s="133" t="s">
        <v>15991</v>
      </c>
      <c r="UYW2" s="133" t="s">
        <v>15992</v>
      </c>
      <c r="UYX2" s="133" t="s">
        <v>15993</v>
      </c>
      <c r="UYY2" s="133" t="s">
        <v>15994</v>
      </c>
      <c r="UYZ2" s="133" t="s">
        <v>15995</v>
      </c>
      <c r="UZA2" s="133" t="s">
        <v>15996</v>
      </c>
      <c r="UZB2" s="133" t="s">
        <v>15997</v>
      </c>
      <c r="UZC2" s="133" t="s">
        <v>15998</v>
      </c>
      <c r="UZD2" s="133" t="s">
        <v>15999</v>
      </c>
      <c r="UZE2" s="133" t="s">
        <v>16000</v>
      </c>
      <c r="UZF2" s="133" t="s">
        <v>16001</v>
      </c>
      <c r="UZG2" s="133" t="s">
        <v>16002</v>
      </c>
      <c r="UZH2" s="133" t="s">
        <v>16003</v>
      </c>
      <c r="UZI2" s="133" t="s">
        <v>16004</v>
      </c>
      <c r="UZJ2" s="133" t="s">
        <v>16005</v>
      </c>
      <c r="UZK2" s="133" t="s">
        <v>16006</v>
      </c>
      <c r="UZL2" s="133" t="s">
        <v>16007</v>
      </c>
      <c r="UZM2" s="133" t="s">
        <v>16008</v>
      </c>
      <c r="UZN2" s="133" t="s">
        <v>16009</v>
      </c>
      <c r="UZO2" s="133" t="s">
        <v>16010</v>
      </c>
      <c r="UZP2" s="133" t="s">
        <v>16011</v>
      </c>
      <c r="UZQ2" s="133" t="s">
        <v>16012</v>
      </c>
      <c r="UZR2" s="133" t="s">
        <v>16013</v>
      </c>
      <c r="UZS2" s="133" t="s">
        <v>16014</v>
      </c>
      <c r="UZT2" s="133" t="s">
        <v>16015</v>
      </c>
      <c r="UZU2" s="133" t="s">
        <v>16016</v>
      </c>
      <c r="UZV2" s="133" t="s">
        <v>16017</v>
      </c>
      <c r="UZW2" s="133" t="s">
        <v>16018</v>
      </c>
      <c r="UZX2" s="133" t="s">
        <v>16019</v>
      </c>
      <c r="UZY2" s="133" t="s">
        <v>16020</v>
      </c>
      <c r="UZZ2" s="133" t="s">
        <v>16021</v>
      </c>
      <c r="VAA2" s="133" t="s">
        <v>16022</v>
      </c>
      <c r="VAB2" s="133" t="s">
        <v>16023</v>
      </c>
      <c r="VAC2" s="133" t="s">
        <v>16024</v>
      </c>
      <c r="VAD2" s="133" t="s">
        <v>16025</v>
      </c>
      <c r="VAE2" s="133" t="s">
        <v>16026</v>
      </c>
      <c r="VAF2" s="133" t="s">
        <v>16027</v>
      </c>
      <c r="VAG2" s="133" t="s">
        <v>16028</v>
      </c>
      <c r="VAH2" s="133" t="s">
        <v>16029</v>
      </c>
      <c r="VAI2" s="133" t="s">
        <v>16030</v>
      </c>
      <c r="VAJ2" s="133" t="s">
        <v>16031</v>
      </c>
      <c r="VAK2" s="133" t="s">
        <v>16032</v>
      </c>
      <c r="VAL2" s="133" t="s">
        <v>16033</v>
      </c>
      <c r="VAM2" s="133" t="s">
        <v>16034</v>
      </c>
      <c r="VAN2" s="133" t="s">
        <v>16035</v>
      </c>
      <c r="VAO2" s="133" t="s">
        <v>16036</v>
      </c>
      <c r="VAP2" s="133" t="s">
        <v>16037</v>
      </c>
      <c r="VAQ2" s="133" t="s">
        <v>16038</v>
      </c>
      <c r="VAR2" s="133" t="s">
        <v>16039</v>
      </c>
      <c r="VAS2" s="133" t="s">
        <v>16040</v>
      </c>
      <c r="VAT2" s="133" t="s">
        <v>16041</v>
      </c>
      <c r="VAU2" s="133" t="s">
        <v>16042</v>
      </c>
      <c r="VAV2" s="133" t="s">
        <v>16043</v>
      </c>
      <c r="VAW2" s="133" t="s">
        <v>16044</v>
      </c>
      <c r="VAX2" s="133" t="s">
        <v>16045</v>
      </c>
      <c r="VAY2" s="133" t="s">
        <v>16046</v>
      </c>
      <c r="VAZ2" s="133" t="s">
        <v>16047</v>
      </c>
      <c r="VBA2" s="133" t="s">
        <v>16048</v>
      </c>
      <c r="VBB2" s="133" t="s">
        <v>16049</v>
      </c>
      <c r="VBC2" s="133" t="s">
        <v>16050</v>
      </c>
      <c r="VBD2" s="133" t="s">
        <v>16051</v>
      </c>
      <c r="VBE2" s="133" t="s">
        <v>16052</v>
      </c>
      <c r="VBF2" s="133" t="s">
        <v>16053</v>
      </c>
      <c r="VBG2" s="133" t="s">
        <v>16054</v>
      </c>
      <c r="VBH2" s="133" t="s">
        <v>16055</v>
      </c>
      <c r="VBI2" s="133" t="s">
        <v>16056</v>
      </c>
      <c r="VBJ2" s="133" t="s">
        <v>16057</v>
      </c>
      <c r="VBK2" s="133" t="s">
        <v>16058</v>
      </c>
      <c r="VBL2" s="133" t="s">
        <v>16059</v>
      </c>
      <c r="VBM2" s="133" t="s">
        <v>16060</v>
      </c>
      <c r="VBN2" s="133" t="s">
        <v>16061</v>
      </c>
      <c r="VBO2" s="133" t="s">
        <v>16062</v>
      </c>
      <c r="VBP2" s="133" t="s">
        <v>16063</v>
      </c>
      <c r="VBQ2" s="133" t="s">
        <v>16064</v>
      </c>
      <c r="VBR2" s="133" t="s">
        <v>16065</v>
      </c>
      <c r="VBS2" s="133" t="s">
        <v>16066</v>
      </c>
      <c r="VBT2" s="133" t="s">
        <v>16067</v>
      </c>
      <c r="VBU2" s="133" t="s">
        <v>16068</v>
      </c>
      <c r="VBV2" s="133" t="s">
        <v>16069</v>
      </c>
      <c r="VBW2" s="133" t="s">
        <v>16070</v>
      </c>
      <c r="VBX2" s="133" t="s">
        <v>16071</v>
      </c>
      <c r="VBY2" s="133" t="s">
        <v>16072</v>
      </c>
      <c r="VBZ2" s="133" t="s">
        <v>16073</v>
      </c>
      <c r="VCA2" s="133" t="s">
        <v>16074</v>
      </c>
      <c r="VCB2" s="133" t="s">
        <v>16075</v>
      </c>
      <c r="VCC2" s="133" t="s">
        <v>16076</v>
      </c>
      <c r="VCD2" s="133" t="s">
        <v>16077</v>
      </c>
      <c r="VCE2" s="133" t="s">
        <v>16078</v>
      </c>
      <c r="VCF2" s="133" t="s">
        <v>16079</v>
      </c>
      <c r="VCG2" s="133" t="s">
        <v>16080</v>
      </c>
      <c r="VCH2" s="133" t="s">
        <v>16081</v>
      </c>
      <c r="VCI2" s="133" t="s">
        <v>16082</v>
      </c>
      <c r="VCJ2" s="133" t="s">
        <v>16083</v>
      </c>
      <c r="VCK2" s="133" t="s">
        <v>16084</v>
      </c>
      <c r="VCL2" s="133" t="s">
        <v>16085</v>
      </c>
      <c r="VCM2" s="133" t="s">
        <v>16086</v>
      </c>
      <c r="VCN2" s="133" t="s">
        <v>16087</v>
      </c>
      <c r="VCO2" s="133" t="s">
        <v>16088</v>
      </c>
      <c r="VCP2" s="133" t="s">
        <v>16089</v>
      </c>
      <c r="VCQ2" s="133" t="s">
        <v>16090</v>
      </c>
      <c r="VCR2" s="133" t="s">
        <v>16091</v>
      </c>
      <c r="VCS2" s="133" t="s">
        <v>16092</v>
      </c>
      <c r="VCT2" s="133" t="s">
        <v>16093</v>
      </c>
      <c r="VCU2" s="133" t="s">
        <v>16094</v>
      </c>
      <c r="VCV2" s="133" t="s">
        <v>16095</v>
      </c>
      <c r="VCW2" s="133" t="s">
        <v>16096</v>
      </c>
      <c r="VCX2" s="133" t="s">
        <v>16097</v>
      </c>
      <c r="VCY2" s="133" t="s">
        <v>16098</v>
      </c>
      <c r="VCZ2" s="133" t="s">
        <v>16099</v>
      </c>
      <c r="VDA2" s="133" t="s">
        <v>16100</v>
      </c>
      <c r="VDB2" s="133" t="s">
        <v>16101</v>
      </c>
      <c r="VDC2" s="133" t="s">
        <v>16102</v>
      </c>
      <c r="VDD2" s="133" t="s">
        <v>16103</v>
      </c>
      <c r="VDE2" s="133" t="s">
        <v>16104</v>
      </c>
      <c r="VDF2" s="133" t="s">
        <v>16105</v>
      </c>
      <c r="VDG2" s="133" t="s">
        <v>16106</v>
      </c>
      <c r="VDH2" s="133" t="s">
        <v>16107</v>
      </c>
      <c r="VDI2" s="133" t="s">
        <v>16108</v>
      </c>
      <c r="VDJ2" s="133" t="s">
        <v>16109</v>
      </c>
      <c r="VDK2" s="133" t="s">
        <v>16110</v>
      </c>
      <c r="VDL2" s="133" t="s">
        <v>16111</v>
      </c>
      <c r="VDM2" s="133" t="s">
        <v>16112</v>
      </c>
      <c r="VDN2" s="133" t="s">
        <v>16113</v>
      </c>
      <c r="VDO2" s="133" t="s">
        <v>16114</v>
      </c>
      <c r="VDP2" s="133" t="s">
        <v>16115</v>
      </c>
      <c r="VDQ2" s="133" t="s">
        <v>16116</v>
      </c>
      <c r="VDR2" s="133" t="s">
        <v>16117</v>
      </c>
      <c r="VDS2" s="133" t="s">
        <v>16118</v>
      </c>
      <c r="VDT2" s="133" t="s">
        <v>16119</v>
      </c>
      <c r="VDU2" s="133" t="s">
        <v>16120</v>
      </c>
      <c r="VDV2" s="133" t="s">
        <v>16121</v>
      </c>
      <c r="VDW2" s="133" t="s">
        <v>16122</v>
      </c>
      <c r="VDX2" s="133" t="s">
        <v>16123</v>
      </c>
      <c r="VDY2" s="133" t="s">
        <v>16124</v>
      </c>
      <c r="VDZ2" s="133" t="s">
        <v>16125</v>
      </c>
      <c r="VEA2" s="133" t="s">
        <v>16126</v>
      </c>
      <c r="VEB2" s="133" t="s">
        <v>16127</v>
      </c>
      <c r="VEC2" s="133" t="s">
        <v>16128</v>
      </c>
      <c r="VED2" s="133" t="s">
        <v>16129</v>
      </c>
      <c r="VEE2" s="133" t="s">
        <v>16130</v>
      </c>
      <c r="VEF2" s="133" t="s">
        <v>16131</v>
      </c>
      <c r="VEG2" s="133" t="s">
        <v>16132</v>
      </c>
      <c r="VEH2" s="133" t="s">
        <v>16133</v>
      </c>
      <c r="VEI2" s="133" t="s">
        <v>16134</v>
      </c>
      <c r="VEJ2" s="133" t="s">
        <v>16135</v>
      </c>
      <c r="VEK2" s="133" t="s">
        <v>16136</v>
      </c>
      <c r="VEL2" s="133" t="s">
        <v>16137</v>
      </c>
      <c r="VEM2" s="133" t="s">
        <v>16138</v>
      </c>
      <c r="VEN2" s="133" t="s">
        <v>16139</v>
      </c>
      <c r="VEO2" s="133" t="s">
        <v>16140</v>
      </c>
      <c r="VEP2" s="133" t="s">
        <v>16141</v>
      </c>
      <c r="VEQ2" s="133" t="s">
        <v>16142</v>
      </c>
      <c r="VER2" s="133" t="s">
        <v>16143</v>
      </c>
      <c r="VES2" s="133" t="s">
        <v>16144</v>
      </c>
      <c r="VET2" s="133" t="s">
        <v>16145</v>
      </c>
      <c r="VEU2" s="133" t="s">
        <v>16146</v>
      </c>
      <c r="VEV2" s="133" t="s">
        <v>16147</v>
      </c>
      <c r="VEW2" s="133" t="s">
        <v>16148</v>
      </c>
      <c r="VEX2" s="133" t="s">
        <v>16149</v>
      </c>
      <c r="VEY2" s="133" t="s">
        <v>16150</v>
      </c>
      <c r="VEZ2" s="133" t="s">
        <v>16151</v>
      </c>
      <c r="VFA2" s="133" t="s">
        <v>16152</v>
      </c>
      <c r="VFB2" s="133" t="s">
        <v>16153</v>
      </c>
      <c r="VFC2" s="133" t="s">
        <v>16154</v>
      </c>
      <c r="VFD2" s="133" t="s">
        <v>16155</v>
      </c>
      <c r="VFE2" s="133" t="s">
        <v>16156</v>
      </c>
      <c r="VFF2" s="133" t="s">
        <v>16157</v>
      </c>
      <c r="VFG2" s="133" t="s">
        <v>16158</v>
      </c>
      <c r="VFH2" s="133" t="s">
        <v>16159</v>
      </c>
      <c r="VFI2" s="133" t="s">
        <v>16160</v>
      </c>
      <c r="VFJ2" s="133" t="s">
        <v>16161</v>
      </c>
      <c r="VFK2" s="133" t="s">
        <v>16162</v>
      </c>
      <c r="VFL2" s="133" t="s">
        <v>16163</v>
      </c>
      <c r="VFM2" s="133" t="s">
        <v>16164</v>
      </c>
      <c r="VFN2" s="133" t="s">
        <v>16165</v>
      </c>
      <c r="VFO2" s="133" t="s">
        <v>16166</v>
      </c>
      <c r="VFP2" s="133" t="s">
        <v>16167</v>
      </c>
      <c r="VFQ2" s="133" t="s">
        <v>16168</v>
      </c>
      <c r="VFR2" s="133" t="s">
        <v>16169</v>
      </c>
      <c r="VFS2" s="133" t="s">
        <v>16170</v>
      </c>
      <c r="VFT2" s="133" t="s">
        <v>16171</v>
      </c>
      <c r="VFU2" s="133" t="s">
        <v>16172</v>
      </c>
      <c r="VFV2" s="133" t="s">
        <v>16173</v>
      </c>
      <c r="VFW2" s="133" t="s">
        <v>16174</v>
      </c>
      <c r="VFX2" s="133" t="s">
        <v>16175</v>
      </c>
      <c r="VFY2" s="133" t="s">
        <v>16176</v>
      </c>
      <c r="VFZ2" s="133" t="s">
        <v>16177</v>
      </c>
      <c r="VGA2" s="133" t="s">
        <v>16178</v>
      </c>
      <c r="VGB2" s="133" t="s">
        <v>16179</v>
      </c>
      <c r="VGC2" s="133" t="s">
        <v>16180</v>
      </c>
      <c r="VGD2" s="133" t="s">
        <v>16181</v>
      </c>
      <c r="VGE2" s="133" t="s">
        <v>16182</v>
      </c>
      <c r="VGF2" s="133" t="s">
        <v>16183</v>
      </c>
      <c r="VGG2" s="133" t="s">
        <v>16184</v>
      </c>
      <c r="VGH2" s="133" t="s">
        <v>16185</v>
      </c>
      <c r="VGI2" s="133" t="s">
        <v>16186</v>
      </c>
      <c r="VGJ2" s="133" t="s">
        <v>16187</v>
      </c>
      <c r="VGK2" s="133" t="s">
        <v>16188</v>
      </c>
      <c r="VGL2" s="133" t="s">
        <v>16189</v>
      </c>
      <c r="VGM2" s="133" t="s">
        <v>16190</v>
      </c>
      <c r="VGN2" s="133" t="s">
        <v>16191</v>
      </c>
      <c r="VGO2" s="133" t="s">
        <v>16192</v>
      </c>
      <c r="VGP2" s="133" t="s">
        <v>16193</v>
      </c>
      <c r="VGQ2" s="133" t="s">
        <v>16194</v>
      </c>
      <c r="VGR2" s="133" t="s">
        <v>16195</v>
      </c>
      <c r="VGS2" s="133" t="s">
        <v>16196</v>
      </c>
      <c r="VGT2" s="133" t="s">
        <v>16197</v>
      </c>
      <c r="VGU2" s="133" t="s">
        <v>16198</v>
      </c>
      <c r="VGV2" s="133" t="s">
        <v>16199</v>
      </c>
      <c r="VGW2" s="133" t="s">
        <v>16200</v>
      </c>
      <c r="VGX2" s="133" t="s">
        <v>16201</v>
      </c>
      <c r="VGY2" s="133" t="s">
        <v>16202</v>
      </c>
      <c r="VGZ2" s="133" t="s">
        <v>16203</v>
      </c>
      <c r="VHA2" s="133" t="s">
        <v>16204</v>
      </c>
      <c r="VHB2" s="133" t="s">
        <v>16205</v>
      </c>
      <c r="VHC2" s="133" t="s">
        <v>16206</v>
      </c>
      <c r="VHD2" s="133" t="s">
        <v>16207</v>
      </c>
      <c r="VHE2" s="133" t="s">
        <v>16208</v>
      </c>
      <c r="VHF2" s="133" t="s">
        <v>16209</v>
      </c>
      <c r="VHG2" s="133" t="s">
        <v>16210</v>
      </c>
      <c r="VHH2" s="133" t="s">
        <v>16211</v>
      </c>
      <c r="VHI2" s="133" t="s">
        <v>16212</v>
      </c>
      <c r="VHJ2" s="133" t="s">
        <v>16213</v>
      </c>
      <c r="VHK2" s="133" t="s">
        <v>16214</v>
      </c>
      <c r="VHL2" s="133" t="s">
        <v>16215</v>
      </c>
      <c r="VHM2" s="133" t="s">
        <v>16216</v>
      </c>
      <c r="VHN2" s="133" t="s">
        <v>16217</v>
      </c>
      <c r="VHO2" s="133" t="s">
        <v>16218</v>
      </c>
      <c r="VHP2" s="133" t="s">
        <v>16219</v>
      </c>
      <c r="VHQ2" s="133" t="s">
        <v>16220</v>
      </c>
      <c r="VHR2" s="133" t="s">
        <v>16221</v>
      </c>
      <c r="VHS2" s="133" t="s">
        <v>16222</v>
      </c>
      <c r="VHT2" s="133" t="s">
        <v>16223</v>
      </c>
      <c r="VHU2" s="133" t="s">
        <v>16224</v>
      </c>
      <c r="VHV2" s="133" t="s">
        <v>16225</v>
      </c>
      <c r="VHW2" s="133" t="s">
        <v>16226</v>
      </c>
      <c r="VHX2" s="133" t="s">
        <v>16227</v>
      </c>
      <c r="VHY2" s="133" t="s">
        <v>16228</v>
      </c>
      <c r="VHZ2" s="133" t="s">
        <v>16229</v>
      </c>
      <c r="VIA2" s="133" t="s">
        <v>16230</v>
      </c>
      <c r="VIB2" s="133" t="s">
        <v>16231</v>
      </c>
      <c r="VIC2" s="133" t="s">
        <v>16232</v>
      </c>
      <c r="VID2" s="133" t="s">
        <v>16233</v>
      </c>
      <c r="VIE2" s="133" t="s">
        <v>16234</v>
      </c>
      <c r="VIF2" s="133" t="s">
        <v>16235</v>
      </c>
      <c r="VIG2" s="133" t="s">
        <v>16236</v>
      </c>
      <c r="VIH2" s="133" t="s">
        <v>16237</v>
      </c>
      <c r="VII2" s="133" t="s">
        <v>16238</v>
      </c>
      <c r="VIJ2" s="133" t="s">
        <v>16239</v>
      </c>
      <c r="VIK2" s="133" t="s">
        <v>16240</v>
      </c>
      <c r="VIL2" s="133" t="s">
        <v>16241</v>
      </c>
      <c r="VIM2" s="133" t="s">
        <v>16242</v>
      </c>
      <c r="VIN2" s="133" t="s">
        <v>16243</v>
      </c>
      <c r="VIO2" s="133" t="s">
        <v>16244</v>
      </c>
      <c r="VIP2" s="133" t="s">
        <v>16245</v>
      </c>
      <c r="VIQ2" s="133" t="s">
        <v>16246</v>
      </c>
      <c r="VIR2" s="133" t="s">
        <v>16247</v>
      </c>
      <c r="VIS2" s="133" t="s">
        <v>16248</v>
      </c>
      <c r="VIT2" s="133" t="s">
        <v>16249</v>
      </c>
      <c r="VIU2" s="133" t="s">
        <v>16250</v>
      </c>
      <c r="VIV2" s="133" t="s">
        <v>16251</v>
      </c>
      <c r="VIW2" s="133" t="s">
        <v>16252</v>
      </c>
      <c r="VIX2" s="133" t="s">
        <v>16253</v>
      </c>
      <c r="VIY2" s="133" t="s">
        <v>16254</v>
      </c>
      <c r="VIZ2" s="133" t="s">
        <v>16255</v>
      </c>
      <c r="VJA2" s="133" t="s">
        <v>16256</v>
      </c>
      <c r="VJB2" s="133" t="s">
        <v>16257</v>
      </c>
      <c r="VJC2" s="133" t="s">
        <v>16258</v>
      </c>
      <c r="VJD2" s="133" t="s">
        <v>16259</v>
      </c>
      <c r="VJE2" s="133" t="s">
        <v>16260</v>
      </c>
      <c r="VJF2" s="133" t="s">
        <v>16261</v>
      </c>
      <c r="VJG2" s="133" t="s">
        <v>16262</v>
      </c>
      <c r="VJH2" s="133" t="s">
        <v>16263</v>
      </c>
      <c r="VJI2" s="133" t="s">
        <v>16264</v>
      </c>
      <c r="VJJ2" s="133" t="s">
        <v>16265</v>
      </c>
      <c r="VJK2" s="133" t="s">
        <v>16266</v>
      </c>
      <c r="VJL2" s="133" t="s">
        <v>16267</v>
      </c>
      <c r="VJM2" s="133" t="s">
        <v>16268</v>
      </c>
      <c r="VJN2" s="133" t="s">
        <v>16269</v>
      </c>
      <c r="VJO2" s="133" t="s">
        <v>16270</v>
      </c>
      <c r="VJP2" s="133" t="s">
        <v>16271</v>
      </c>
      <c r="VJQ2" s="133" t="s">
        <v>16272</v>
      </c>
      <c r="VJR2" s="133" t="s">
        <v>16273</v>
      </c>
      <c r="VJS2" s="133" t="s">
        <v>16274</v>
      </c>
      <c r="VJT2" s="133" t="s">
        <v>16275</v>
      </c>
      <c r="VJU2" s="133" t="s">
        <v>16276</v>
      </c>
      <c r="VJV2" s="133" t="s">
        <v>16277</v>
      </c>
      <c r="VJW2" s="133" t="s">
        <v>16278</v>
      </c>
      <c r="VJX2" s="133" t="s">
        <v>16279</v>
      </c>
      <c r="VJY2" s="133" t="s">
        <v>16280</v>
      </c>
      <c r="VJZ2" s="133" t="s">
        <v>16281</v>
      </c>
      <c r="VKA2" s="133" t="s">
        <v>16282</v>
      </c>
      <c r="VKB2" s="133" t="s">
        <v>16283</v>
      </c>
      <c r="VKC2" s="133" t="s">
        <v>16284</v>
      </c>
      <c r="VKD2" s="133" t="s">
        <v>16285</v>
      </c>
      <c r="VKE2" s="133" t="s">
        <v>16286</v>
      </c>
      <c r="VKF2" s="133" t="s">
        <v>16287</v>
      </c>
      <c r="VKG2" s="133" t="s">
        <v>16288</v>
      </c>
      <c r="VKH2" s="133" t="s">
        <v>16289</v>
      </c>
      <c r="VKI2" s="133" t="s">
        <v>16290</v>
      </c>
      <c r="VKJ2" s="133" t="s">
        <v>16291</v>
      </c>
      <c r="VKK2" s="133" t="s">
        <v>16292</v>
      </c>
      <c r="VKL2" s="133" t="s">
        <v>16293</v>
      </c>
      <c r="VKM2" s="133" t="s">
        <v>16294</v>
      </c>
      <c r="VKN2" s="133" t="s">
        <v>16295</v>
      </c>
      <c r="VKO2" s="133" t="s">
        <v>16296</v>
      </c>
      <c r="VKP2" s="133" t="s">
        <v>16297</v>
      </c>
      <c r="VKQ2" s="133" t="s">
        <v>16298</v>
      </c>
      <c r="VKR2" s="133" t="s">
        <v>16299</v>
      </c>
      <c r="VKS2" s="133" t="s">
        <v>16300</v>
      </c>
      <c r="VKT2" s="133" t="s">
        <v>16301</v>
      </c>
      <c r="VKU2" s="133" t="s">
        <v>16302</v>
      </c>
      <c r="VKV2" s="133" t="s">
        <v>16303</v>
      </c>
      <c r="VKW2" s="133" t="s">
        <v>16304</v>
      </c>
      <c r="VKX2" s="133" t="s">
        <v>16305</v>
      </c>
      <c r="VKY2" s="133" t="s">
        <v>16306</v>
      </c>
      <c r="VKZ2" s="133" t="s">
        <v>16307</v>
      </c>
      <c r="VLA2" s="133" t="s">
        <v>16308</v>
      </c>
      <c r="VLB2" s="133" t="s">
        <v>16309</v>
      </c>
      <c r="VLC2" s="133" t="s">
        <v>16310</v>
      </c>
      <c r="VLD2" s="133" t="s">
        <v>16311</v>
      </c>
      <c r="VLE2" s="133" t="s">
        <v>16312</v>
      </c>
      <c r="VLF2" s="133" t="s">
        <v>16313</v>
      </c>
      <c r="VLG2" s="133" t="s">
        <v>16314</v>
      </c>
      <c r="VLH2" s="133" t="s">
        <v>16315</v>
      </c>
      <c r="VLI2" s="133" t="s">
        <v>16316</v>
      </c>
      <c r="VLJ2" s="133" t="s">
        <v>16317</v>
      </c>
      <c r="VLK2" s="133" t="s">
        <v>16318</v>
      </c>
      <c r="VLL2" s="133" t="s">
        <v>16319</v>
      </c>
      <c r="VLM2" s="133" t="s">
        <v>16320</v>
      </c>
      <c r="VLN2" s="133" t="s">
        <v>16321</v>
      </c>
      <c r="VLO2" s="133" t="s">
        <v>16322</v>
      </c>
      <c r="VLP2" s="133" t="s">
        <v>16323</v>
      </c>
      <c r="VLQ2" s="133" t="s">
        <v>16324</v>
      </c>
      <c r="VLR2" s="133" t="s">
        <v>16325</v>
      </c>
      <c r="VLS2" s="133" t="s">
        <v>16326</v>
      </c>
      <c r="VLT2" s="133" t="s">
        <v>16327</v>
      </c>
      <c r="VLU2" s="133" t="s">
        <v>16328</v>
      </c>
      <c r="VLV2" s="133" t="s">
        <v>16329</v>
      </c>
      <c r="VLW2" s="133" t="s">
        <v>16330</v>
      </c>
      <c r="VLX2" s="133" t="s">
        <v>16331</v>
      </c>
      <c r="VLY2" s="133" t="s">
        <v>16332</v>
      </c>
      <c r="VLZ2" s="133" t="s">
        <v>16333</v>
      </c>
      <c r="VMA2" s="133" t="s">
        <v>16334</v>
      </c>
      <c r="VMB2" s="133" t="s">
        <v>16335</v>
      </c>
      <c r="VMC2" s="133" t="s">
        <v>16336</v>
      </c>
      <c r="VMD2" s="133" t="s">
        <v>16337</v>
      </c>
      <c r="VME2" s="133" t="s">
        <v>16338</v>
      </c>
      <c r="VMF2" s="133" t="s">
        <v>16339</v>
      </c>
      <c r="VMG2" s="133" t="s">
        <v>16340</v>
      </c>
      <c r="VMH2" s="133" t="s">
        <v>16341</v>
      </c>
      <c r="VMI2" s="133" t="s">
        <v>16342</v>
      </c>
      <c r="VMJ2" s="133" t="s">
        <v>16343</v>
      </c>
      <c r="VMK2" s="133" t="s">
        <v>16344</v>
      </c>
      <c r="VML2" s="133" t="s">
        <v>16345</v>
      </c>
      <c r="VMM2" s="133" t="s">
        <v>16346</v>
      </c>
      <c r="VMN2" s="133" t="s">
        <v>16347</v>
      </c>
      <c r="VMO2" s="133" t="s">
        <v>16348</v>
      </c>
      <c r="VMP2" s="133" t="s">
        <v>16349</v>
      </c>
      <c r="VMQ2" s="133" t="s">
        <v>16350</v>
      </c>
      <c r="VMR2" s="133" t="s">
        <v>16351</v>
      </c>
      <c r="VMS2" s="133" t="s">
        <v>16352</v>
      </c>
      <c r="VMT2" s="133" t="s">
        <v>16353</v>
      </c>
      <c r="VMU2" s="133" t="s">
        <v>16354</v>
      </c>
      <c r="VMV2" s="133" t="s">
        <v>16355</v>
      </c>
      <c r="VMW2" s="133" t="s">
        <v>16356</v>
      </c>
      <c r="VMX2" s="133" t="s">
        <v>16357</v>
      </c>
      <c r="VMY2" s="133" t="s">
        <v>16358</v>
      </c>
      <c r="VMZ2" s="133" t="s">
        <v>16359</v>
      </c>
      <c r="VNA2" s="133" t="s">
        <v>16360</v>
      </c>
      <c r="VNB2" s="133" t="s">
        <v>16361</v>
      </c>
      <c r="VNC2" s="133" t="s">
        <v>16362</v>
      </c>
      <c r="VND2" s="133" t="s">
        <v>16363</v>
      </c>
      <c r="VNE2" s="133" t="s">
        <v>16364</v>
      </c>
      <c r="VNF2" s="133" t="s">
        <v>16365</v>
      </c>
      <c r="VNG2" s="133" t="s">
        <v>16366</v>
      </c>
      <c r="VNH2" s="133" t="s">
        <v>16367</v>
      </c>
      <c r="VNI2" s="133" t="s">
        <v>16368</v>
      </c>
      <c r="VNJ2" s="133" t="s">
        <v>16369</v>
      </c>
      <c r="VNK2" s="133" t="s">
        <v>16370</v>
      </c>
      <c r="VNL2" s="133" t="s">
        <v>16371</v>
      </c>
      <c r="VNM2" s="133" t="s">
        <v>16372</v>
      </c>
      <c r="VNN2" s="133" t="s">
        <v>16373</v>
      </c>
      <c r="VNO2" s="133" t="s">
        <v>16374</v>
      </c>
      <c r="VNP2" s="133" t="s">
        <v>16375</v>
      </c>
      <c r="VNQ2" s="133" t="s">
        <v>16376</v>
      </c>
      <c r="VNR2" s="133" t="s">
        <v>16377</v>
      </c>
      <c r="VNS2" s="133" t="s">
        <v>16378</v>
      </c>
      <c r="VNT2" s="133" t="s">
        <v>16379</v>
      </c>
      <c r="VNU2" s="133" t="s">
        <v>16380</v>
      </c>
      <c r="VNV2" s="133" t="s">
        <v>16381</v>
      </c>
      <c r="VNW2" s="133" t="s">
        <v>16382</v>
      </c>
      <c r="VNX2" s="133" t="s">
        <v>16383</v>
      </c>
      <c r="VNY2" s="133" t="s">
        <v>16384</v>
      </c>
      <c r="VNZ2" s="133" t="s">
        <v>16385</v>
      </c>
      <c r="VOA2" s="133" t="s">
        <v>16386</v>
      </c>
      <c r="VOB2" s="133" t="s">
        <v>16387</v>
      </c>
      <c r="VOC2" s="133" t="s">
        <v>16388</v>
      </c>
      <c r="VOD2" s="133" t="s">
        <v>16389</v>
      </c>
      <c r="VOE2" s="133" t="s">
        <v>16390</v>
      </c>
      <c r="VOF2" s="133" t="s">
        <v>16391</v>
      </c>
      <c r="VOG2" s="133" t="s">
        <v>16392</v>
      </c>
      <c r="VOH2" s="133" t="s">
        <v>16393</v>
      </c>
      <c r="VOI2" s="133" t="s">
        <v>16394</v>
      </c>
      <c r="VOJ2" s="133" t="s">
        <v>16395</v>
      </c>
      <c r="VOK2" s="133" t="s">
        <v>16396</v>
      </c>
      <c r="VOL2" s="133" t="s">
        <v>16397</v>
      </c>
      <c r="VOM2" s="133" t="s">
        <v>16398</v>
      </c>
      <c r="VON2" s="133" t="s">
        <v>16399</v>
      </c>
      <c r="VOO2" s="133" t="s">
        <v>16400</v>
      </c>
      <c r="VOP2" s="133" t="s">
        <v>16401</v>
      </c>
      <c r="VOQ2" s="133" t="s">
        <v>16402</v>
      </c>
      <c r="VOR2" s="133" t="s">
        <v>16403</v>
      </c>
      <c r="VOS2" s="133" t="s">
        <v>16404</v>
      </c>
      <c r="VOT2" s="133" t="s">
        <v>16405</v>
      </c>
      <c r="VOU2" s="133" t="s">
        <v>16406</v>
      </c>
      <c r="VOV2" s="133" t="s">
        <v>16407</v>
      </c>
      <c r="VOW2" s="133" t="s">
        <v>16408</v>
      </c>
      <c r="VOX2" s="133" t="s">
        <v>16409</v>
      </c>
      <c r="VOY2" s="133" t="s">
        <v>16410</v>
      </c>
      <c r="VOZ2" s="133" t="s">
        <v>16411</v>
      </c>
      <c r="VPA2" s="133" t="s">
        <v>16412</v>
      </c>
      <c r="VPB2" s="133" t="s">
        <v>16413</v>
      </c>
      <c r="VPC2" s="133" t="s">
        <v>16414</v>
      </c>
      <c r="VPD2" s="133" t="s">
        <v>16415</v>
      </c>
      <c r="VPE2" s="133" t="s">
        <v>16416</v>
      </c>
      <c r="VPF2" s="133" t="s">
        <v>16417</v>
      </c>
      <c r="VPG2" s="133" t="s">
        <v>16418</v>
      </c>
      <c r="VPH2" s="133" t="s">
        <v>16419</v>
      </c>
      <c r="VPI2" s="133" t="s">
        <v>16420</v>
      </c>
      <c r="VPJ2" s="133" t="s">
        <v>16421</v>
      </c>
      <c r="VPK2" s="133" t="s">
        <v>16422</v>
      </c>
      <c r="VPL2" s="133" t="s">
        <v>16423</v>
      </c>
      <c r="VPM2" s="133" t="s">
        <v>16424</v>
      </c>
      <c r="VPN2" s="133" t="s">
        <v>16425</v>
      </c>
      <c r="VPO2" s="133" t="s">
        <v>16426</v>
      </c>
      <c r="VPP2" s="133" t="s">
        <v>16427</v>
      </c>
      <c r="VPQ2" s="133" t="s">
        <v>16428</v>
      </c>
      <c r="VPR2" s="133" t="s">
        <v>16429</v>
      </c>
      <c r="VPS2" s="133" t="s">
        <v>16430</v>
      </c>
      <c r="VPT2" s="133" t="s">
        <v>16431</v>
      </c>
      <c r="VPU2" s="133" t="s">
        <v>16432</v>
      </c>
      <c r="VPV2" s="133" t="s">
        <v>16433</v>
      </c>
      <c r="VPW2" s="133" t="s">
        <v>16434</v>
      </c>
      <c r="VPX2" s="133" t="s">
        <v>16435</v>
      </c>
      <c r="VPY2" s="133" t="s">
        <v>16436</v>
      </c>
      <c r="VPZ2" s="133" t="s">
        <v>16437</v>
      </c>
      <c r="VQA2" s="133" t="s">
        <v>16438</v>
      </c>
      <c r="VQB2" s="133" t="s">
        <v>16439</v>
      </c>
      <c r="VQC2" s="133" t="s">
        <v>16440</v>
      </c>
      <c r="VQD2" s="133" t="s">
        <v>16441</v>
      </c>
      <c r="VQE2" s="133" t="s">
        <v>16442</v>
      </c>
      <c r="VQF2" s="133" t="s">
        <v>16443</v>
      </c>
      <c r="VQG2" s="133" t="s">
        <v>16444</v>
      </c>
      <c r="VQH2" s="133" t="s">
        <v>16445</v>
      </c>
      <c r="VQI2" s="133" t="s">
        <v>16446</v>
      </c>
      <c r="VQJ2" s="133" t="s">
        <v>16447</v>
      </c>
      <c r="VQK2" s="133" t="s">
        <v>16448</v>
      </c>
      <c r="VQL2" s="133" t="s">
        <v>16449</v>
      </c>
      <c r="VQM2" s="133" t="s">
        <v>16450</v>
      </c>
      <c r="VQN2" s="133" t="s">
        <v>16451</v>
      </c>
      <c r="VQO2" s="133" t="s">
        <v>16452</v>
      </c>
      <c r="VQP2" s="133" t="s">
        <v>16453</v>
      </c>
      <c r="VQQ2" s="133" t="s">
        <v>16454</v>
      </c>
      <c r="VQR2" s="133" t="s">
        <v>16455</v>
      </c>
      <c r="VQS2" s="133" t="s">
        <v>16456</v>
      </c>
      <c r="VQT2" s="133" t="s">
        <v>16457</v>
      </c>
      <c r="VQU2" s="133" t="s">
        <v>16458</v>
      </c>
      <c r="VQV2" s="133" t="s">
        <v>16459</v>
      </c>
      <c r="VQW2" s="133" t="s">
        <v>16460</v>
      </c>
      <c r="VQX2" s="133" t="s">
        <v>16461</v>
      </c>
      <c r="VQY2" s="133" t="s">
        <v>16462</v>
      </c>
      <c r="VQZ2" s="133" t="s">
        <v>16463</v>
      </c>
      <c r="VRA2" s="133" t="s">
        <v>16464</v>
      </c>
      <c r="VRB2" s="133" t="s">
        <v>16465</v>
      </c>
      <c r="VRC2" s="133" t="s">
        <v>16466</v>
      </c>
      <c r="VRD2" s="133" t="s">
        <v>16467</v>
      </c>
      <c r="VRE2" s="133" t="s">
        <v>16468</v>
      </c>
      <c r="VRF2" s="133" t="s">
        <v>16469</v>
      </c>
      <c r="VRG2" s="133" t="s">
        <v>16470</v>
      </c>
      <c r="VRH2" s="133" t="s">
        <v>16471</v>
      </c>
      <c r="VRI2" s="133" t="s">
        <v>16472</v>
      </c>
      <c r="VRJ2" s="133" t="s">
        <v>16473</v>
      </c>
      <c r="VRK2" s="133" t="s">
        <v>16474</v>
      </c>
      <c r="VRL2" s="133" t="s">
        <v>16475</v>
      </c>
      <c r="VRM2" s="133" t="s">
        <v>16476</v>
      </c>
      <c r="VRN2" s="133" t="s">
        <v>16477</v>
      </c>
      <c r="VRO2" s="133" t="s">
        <v>16478</v>
      </c>
      <c r="VRP2" s="133" t="s">
        <v>16479</v>
      </c>
      <c r="VRQ2" s="133" t="s">
        <v>16480</v>
      </c>
      <c r="VRR2" s="133" t="s">
        <v>16481</v>
      </c>
      <c r="VRS2" s="133" t="s">
        <v>16482</v>
      </c>
      <c r="VRT2" s="133" t="s">
        <v>16483</v>
      </c>
      <c r="VRU2" s="133" t="s">
        <v>16484</v>
      </c>
      <c r="VRV2" s="133" t="s">
        <v>16485</v>
      </c>
      <c r="VRW2" s="133" t="s">
        <v>16486</v>
      </c>
      <c r="VRX2" s="133" t="s">
        <v>16487</v>
      </c>
      <c r="VRY2" s="133" t="s">
        <v>16488</v>
      </c>
      <c r="VRZ2" s="133" t="s">
        <v>16489</v>
      </c>
      <c r="VSA2" s="133" t="s">
        <v>16490</v>
      </c>
      <c r="VSB2" s="133" t="s">
        <v>16491</v>
      </c>
      <c r="VSC2" s="133" t="s">
        <v>16492</v>
      </c>
      <c r="VSD2" s="133" t="s">
        <v>16493</v>
      </c>
      <c r="VSE2" s="133" t="s">
        <v>16494</v>
      </c>
      <c r="VSF2" s="133" t="s">
        <v>16495</v>
      </c>
      <c r="VSG2" s="133" t="s">
        <v>16496</v>
      </c>
      <c r="VSH2" s="133" t="s">
        <v>16497</v>
      </c>
      <c r="VSI2" s="133" t="s">
        <v>16498</v>
      </c>
      <c r="VSJ2" s="133" t="s">
        <v>16499</v>
      </c>
      <c r="VSK2" s="133" t="s">
        <v>16500</v>
      </c>
      <c r="VSL2" s="133" t="s">
        <v>16501</v>
      </c>
      <c r="VSM2" s="133" t="s">
        <v>16502</v>
      </c>
      <c r="VSN2" s="133" t="s">
        <v>16503</v>
      </c>
      <c r="VSO2" s="133" t="s">
        <v>16504</v>
      </c>
      <c r="VSP2" s="133" t="s">
        <v>16505</v>
      </c>
      <c r="VSQ2" s="133" t="s">
        <v>16506</v>
      </c>
      <c r="VSR2" s="133" t="s">
        <v>16507</v>
      </c>
      <c r="VSS2" s="133" t="s">
        <v>16508</v>
      </c>
      <c r="VST2" s="133" t="s">
        <v>16509</v>
      </c>
      <c r="VSU2" s="133" t="s">
        <v>16510</v>
      </c>
      <c r="VSV2" s="133" t="s">
        <v>16511</v>
      </c>
      <c r="VSW2" s="133" t="s">
        <v>16512</v>
      </c>
      <c r="VSX2" s="133" t="s">
        <v>16513</v>
      </c>
      <c r="VSY2" s="133" t="s">
        <v>16514</v>
      </c>
      <c r="VSZ2" s="133" t="s">
        <v>16515</v>
      </c>
      <c r="VTA2" s="133" t="s">
        <v>16516</v>
      </c>
      <c r="VTB2" s="133" t="s">
        <v>16517</v>
      </c>
      <c r="VTC2" s="133" t="s">
        <v>16518</v>
      </c>
      <c r="VTD2" s="133" t="s">
        <v>16519</v>
      </c>
      <c r="VTE2" s="133" t="s">
        <v>16520</v>
      </c>
      <c r="VTF2" s="133" t="s">
        <v>16521</v>
      </c>
      <c r="VTG2" s="133" t="s">
        <v>16522</v>
      </c>
      <c r="VTH2" s="133" t="s">
        <v>16523</v>
      </c>
      <c r="VTI2" s="133" t="s">
        <v>16524</v>
      </c>
      <c r="VTJ2" s="133" t="s">
        <v>16525</v>
      </c>
      <c r="VTK2" s="133" t="s">
        <v>16526</v>
      </c>
      <c r="VTL2" s="133" t="s">
        <v>16527</v>
      </c>
      <c r="VTM2" s="133" t="s">
        <v>16528</v>
      </c>
      <c r="VTN2" s="133" t="s">
        <v>16529</v>
      </c>
      <c r="VTO2" s="133" t="s">
        <v>16530</v>
      </c>
      <c r="VTP2" s="133" t="s">
        <v>16531</v>
      </c>
      <c r="VTQ2" s="133" t="s">
        <v>16532</v>
      </c>
      <c r="VTR2" s="133" t="s">
        <v>16533</v>
      </c>
      <c r="VTS2" s="133" t="s">
        <v>16534</v>
      </c>
      <c r="VTT2" s="133" t="s">
        <v>16535</v>
      </c>
      <c r="VTU2" s="133" t="s">
        <v>16536</v>
      </c>
      <c r="VTV2" s="133" t="s">
        <v>16537</v>
      </c>
      <c r="VTW2" s="133" t="s">
        <v>16538</v>
      </c>
      <c r="VTX2" s="133" t="s">
        <v>16539</v>
      </c>
      <c r="VTY2" s="133" t="s">
        <v>16540</v>
      </c>
      <c r="VTZ2" s="133" t="s">
        <v>16541</v>
      </c>
      <c r="VUA2" s="133" t="s">
        <v>16542</v>
      </c>
      <c r="VUB2" s="133" t="s">
        <v>16543</v>
      </c>
      <c r="VUC2" s="133" t="s">
        <v>16544</v>
      </c>
      <c r="VUD2" s="133" t="s">
        <v>16545</v>
      </c>
      <c r="VUE2" s="133" t="s">
        <v>16546</v>
      </c>
      <c r="VUF2" s="133" t="s">
        <v>16547</v>
      </c>
      <c r="VUG2" s="133" t="s">
        <v>16548</v>
      </c>
      <c r="VUH2" s="133" t="s">
        <v>16549</v>
      </c>
      <c r="VUI2" s="133" t="s">
        <v>16550</v>
      </c>
      <c r="VUJ2" s="133" t="s">
        <v>16551</v>
      </c>
      <c r="VUK2" s="133" t="s">
        <v>16552</v>
      </c>
      <c r="VUL2" s="133" t="s">
        <v>16553</v>
      </c>
      <c r="VUM2" s="133" t="s">
        <v>16554</v>
      </c>
      <c r="VUN2" s="133" t="s">
        <v>16555</v>
      </c>
      <c r="VUO2" s="133" t="s">
        <v>16556</v>
      </c>
      <c r="VUP2" s="133" t="s">
        <v>16557</v>
      </c>
      <c r="VUQ2" s="133" t="s">
        <v>16558</v>
      </c>
      <c r="VUR2" s="133" t="s">
        <v>16559</v>
      </c>
      <c r="VUS2" s="133" t="s">
        <v>16560</v>
      </c>
      <c r="VUT2" s="133" t="s">
        <v>16561</v>
      </c>
      <c r="VUU2" s="133" t="s">
        <v>16562</v>
      </c>
      <c r="VUV2" s="133" t="s">
        <v>16563</v>
      </c>
      <c r="VUW2" s="133" t="s">
        <v>16564</v>
      </c>
      <c r="VUX2" s="133" t="s">
        <v>16565</v>
      </c>
      <c r="VUY2" s="133" t="s">
        <v>16566</v>
      </c>
      <c r="VUZ2" s="133" t="s">
        <v>16567</v>
      </c>
      <c r="VVA2" s="133" t="s">
        <v>16568</v>
      </c>
      <c r="VVB2" s="133" t="s">
        <v>16569</v>
      </c>
      <c r="VVC2" s="133" t="s">
        <v>16570</v>
      </c>
      <c r="VVD2" s="133" t="s">
        <v>16571</v>
      </c>
      <c r="VVE2" s="133" t="s">
        <v>16572</v>
      </c>
      <c r="VVF2" s="133" t="s">
        <v>16573</v>
      </c>
      <c r="VVG2" s="133" t="s">
        <v>16574</v>
      </c>
      <c r="VVH2" s="133" t="s">
        <v>16575</v>
      </c>
      <c r="VVI2" s="133" t="s">
        <v>16576</v>
      </c>
      <c r="VVJ2" s="133" t="s">
        <v>16577</v>
      </c>
      <c r="VVK2" s="133" t="s">
        <v>16578</v>
      </c>
      <c r="VVL2" s="133" t="s">
        <v>16579</v>
      </c>
      <c r="VVM2" s="133" t="s">
        <v>16580</v>
      </c>
      <c r="VVN2" s="133" t="s">
        <v>16581</v>
      </c>
      <c r="VVO2" s="133" t="s">
        <v>16582</v>
      </c>
      <c r="VVP2" s="133" t="s">
        <v>16583</v>
      </c>
      <c r="VVQ2" s="133" t="s">
        <v>16584</v>
      </c>
      <c r="VVR2" s="133" t="s">
        <v>16585</v>
      </c>
      <c r="VVS2" s="133" t="s">
        <v>16586</v>
      </c>
      <c r="VVT2" s="133" t="s">
        <v>16587</v>
      </c>
      <c r="VVU2" s="133" t="s">
        <v>16588</v>
      </c>
      <c r="VVV2" s="133" t="s">
        <v>16589</v>
      </c>
      <c r="VVW2" s="133" t="s">
        <v>16590</v>
      </c>
      <c r="VVX2" s="133" t="s">
        <v>16591</v>
      </c>
      <c r="VVY2" s="133" t="s">
        <v>16592</v>
      </c>
      <c r="VVZ2" s="133" t="s">
        <v>16593</v>
      </c>
      <c r="VWA2" s="133" t="s">
        <v>16594</v>
      </c>
      <c r="VWB2" s="133" t="s">
        <v>16595</v>
      </c>
      <c r="VWC2" s="133" t="s">
        <v>16596</v>
      </c>
      <c r="VWD2" s="133" t="s">
        <v>16597</v>
      </c>
      <c r="VWE2" s="133" t="s">
        <v>16598</v>
      </c>
      <c r="VWF2" s="133" t="s">
        <v>16599</v>
      </c>
      <c r="VWG2" s="133" t="s">
        <v>16600</v>
      </c>
      <c r="VWH2" s="133" t="s">
        <v>16601</v>
      </c>
      <c r="VWI2" s="133" t="s">
        <v>16602</v>
      </c>
      <c r="VWJ2" s="133" t="s">
        <v>16603</v>
      </c>
      <c r="VWK2" s="133" t="s">
        <v>16604</v>
      </c>
      <c r="VWL2" s="133" t="s">
        <v>16605</v>
      </c>
      <c r="VWM2" s="133" t="s">
        <v>16606</v>
      </c>
      <c r="VWN2" s="133" t="s">
        <v>16607</v>
      </c>
      <c r="VWO2" s="133" t="s">
        <v>16608</v>
      </c>
      <c r="VWP2" s="133" t="s">
        <v>16609</v>
      </c>
      <c r="VWQ2" s="133" t="s">
        <v>16610</v>
      </c>
      <c r="VWR2" s="133" t="s">
        <v>16611</v>
      </c>
      <c r="VWS2" s="133" t="s">
        <v>16612</v>
      </c>
      <c r="VWT2" s="133" t="s">
        <v>16613</v>
      </c>
      <c r="VWU2" s="133" t="s">
        <v>16614</v>
      </c>
      <c r="VWV2" s="133" t="s">
        <v>16615</v>
      </c>
      <c r="VWW2" s="133" t="s">
        <v>16616</v>
      </c>
      <c r="VWX2" s="133" t="s">
        <v>16617</v>
      </c>
      <c r="VWY2" s="133" t="s">
        <v>16618</v>
      </c>
      <c r="VWZ2" s="133" t="s">
        <v>16619</v>
      </c>
      <c r="VXA2" s="133" t="s">
        <v>16620</v>
      </c>
      <c r="VXB2" s="133" t="s">
        <v>16621</v>
      </c>
      <c r="VXC2" s="133" t="s">
        <v>16622</v>
      </c>
      <c r="VXD2" s="133" t="s">
        <v>16623</v>
      </c>
      <c r="VXE2" s="133" t="s">
        <v>16624</v>
      </c>
      <c r="VXF2" s="133" t="s">
        <v>16625</v>
      </c>
      <c r="VXG2" s="133" t="s">
        <v>16626</v>
      </c>
      <c r="VXH2" s="133" t="s">
        <v>16627</v>
      </c>
      <c r="VXI2" s="133" t="s">
        <v>16628</v>
      </c>
      <c r="VXJ2" s="133" t="s">
        <v>16629</v>
      </c>
      <c r="VXK2" s="133" t="s">
        <v>16630</v>
      </c>
      <c r="VXL2" s="133" t="s">
        <v>16631</v>
      </c>
      <c r="VXM2" s="133" t="s">
        <v>16632</v>
      </c>
      <c r="VXN2" s="133" t="s">
        <v>16633</v>
      </c>
      <c r="VXO2" s="133" t="s">
        <v>16634</v>
      </c>
      <c r="VXP2" s="133" t="s">
        <v>16635</v>
      </c>
      <c r="VXQ2" s="133" t="s">
        <v>16636</v>
      </c>
      <c r="VXR2" s="133" t="s">
        <v>16637</v>
      </c>
      <c r="VXS2" s="133" t="s">
        <v>16638</v>
      </c>
      <c r="VXT2" s="133" t="s">
        <v>16639</v>
      </c>
      <c r="VXU2" s="133" t="s">
        <v>16640</v>
      </c>
      <c r="VXV2" s="133" t="s">
        <v>16641</v>
      </c>
      <c r="VXW2" s="133" t="s">
        <v>16642</v>
      </c>
      <c r="VXX2" s="133" t="s">
        <v>16643</v>
      </c>
      <c r="VXY2" s="133" t="s">
        <v>16644</v>
      </c>
      <c r="VXZ2" s="133" t="s">
        <v>16645</v>
      </c>
      <c r="VYA2" s="133" t="s">
        <v>16646</v>
      </c>
      <c r="VYB2" s="133" t="s">
        <v>16647</v>
      </c>
      <c r="VYC2" s="133" t="s">
        <v>16648</v>
      </c>
      <c r="VYD2" s="133" t="s">
        <v>16649</v>
      </c>
      <c r="VYE2" s="133" t="s">
        <v>16650</v>
      </c>
      <c r="VYF2" s="133" t="s">
        <v>16651</v>
      </c>
      <c r="VYG2" s="133" t="s">
        <v>16652</v>
      </c>
      <c r="VYH2" s="133" t="s">
        <v>16653</v>
      </c>
      <c r="VYI2" s="133" t="s">
        <v>16654</v>
      </c>
      <c r="VYJ2" s="133" t="s">
        <v>16655</v>
      </c>
      <c r="VYK2" s="133" t="s">
        <v>16656</v>
      </c>
      <c r="VYL2" s="133" t="s">
        <v>16657</v>
      </c>
      <c r="VYM2" s="133" t="s">
        <v>16658</v>
      </c>
      <c r="VYN2" s="133" t="s">
        <v>16659</v>
      </c>
      <c r="VYO2" s="133" t="s">
        <v>16660</v>
      </c>
      <c r="VYP2" s="133" t="s">
        <v>16661</v>
      </c>
      <c r="VYQ2" s="133" t="s">
        <v>16662</v>
      </c>
      <c r="VYR2" s="133" t="s">
        <v>16663</v>
      </c>
      <c r="VYS2" s="133" t="s">
        <v>16664</v>
      </c>
      <c r="VYT2" s="133" t="s">
        <v>16665</v>
      </c>
      <c r="VYU2" s="133" t="s">
        <v>16666</v>
      </c>
      <c r="VYV2" s="133" t="s">
        <v>16667</v>
      </c>
      <c r="VYW2" s="133" t="s">
        <v>16668</v>
      </c>
      <c r="VYX2" s="133" t="s">
        <v>16669</v>
      </c>
      <c r="VYY2" s="133" t="s">
        <v>16670</v>
      </c>
      <c r="VYZ2" s="133" t="s">
        <v>16671</v>
      </c>
      <c r="VZA2" s="133" t="s">
        <v>16672</v>
      </c>
      <c r="VZB2" s="133" t="s">
        <v>16673</v>
      </c>
      <c r="VZC2" s="133" t="s">
        <v>16674</v>
      </c>
      <c r="VZD2" s="133" t="s">
        <v>16675</v>
      </c>
      <c r="VZE2" s="133" t="s">
        <v>16676</v>
      </c>
      <c r="VZF2" s="133" t="s">
        <v>16677</v>
      </c>
      <c r="VZG2" s="133" t="s">
        <v>16678</v>
      </c>
      <c r="VZH2" s="133" t="s">
        <v>16679</v>
      </c>
      <c r="VZI2" s="133" t="s">
        <v>16680</v>
      </c>
      <c r="VZJ2" s="133" t="s">
        <v>16681</v>
      </c>
      <c r="VZK2" s="133" t="s">
        <v>16682</v>
      </c>
      <c r="VZL2" s="133" t="s">
        <v>16683</v>
      </c>
      <c r="VZM2" s="133" t="s">
        <v>16684</v>
      </c>
      <c r="VZN2" s="133" t="s">
        <v>16685</v>
      </c>
      <c r="VZO2" s="133" t="s">
        <v>16686</v>
      </c>
      <c r="VZP2" s="133" t="s">
        <v>16687</v>
      </c>
      <c r="VZQ2" s="133" t="s">
        <v>16688</v>
      </c>
      <c r="VZR2" s="133" t="s">
        <v>16689</v>
      </c>
      <c r="VZS2" s="133" t="s">
        <v>16690</v>
      </c>
      <c r="VZT2" s="133" t="s">
        <v>16691</v>
      </c>
      <c r="VZU2" s="133" t="s">
        <v>16692</v>
      </c>
      <c r="VZV2" s="133" t="s">
        <v>16693</v>
      </c>
      <c r="VZW2" s="133" t="s">
        <v>16694</v>
      </c>
      <c r="VZX2" s="133" t="s">
        <v>16695</v>
      </c>
      <c r="VZY2" s="133" t="s">
        <v>16696</v>
      </c>
      <c r="VZZ2" s="133" t="s">
        <v>16697</v>
      </c>
      <c r="WAA2" s="133" t="s">
        <v>16698</v>
      </c>
      <c r="WAB2" s="133" t="s">
        <v>16699</v>
      </c>
      <c r="WAC2" s="133" t="s">
        <v>16700</v>
      </c>
      <c r="WAD2" s="133" t="s">
        <v>16701</v>
      </c>
      <c r="WAE2" s="133" t="s">
        <v>16702</v>
      </c>
      <c r="WAF2" s="133" t="s">
        <v>16703</v>
      </c>
      <c r="WAG2" s="133" t="s">
        <v>16704</v>
      </c>
      <c r="WAH2" s="133" t="s">
        <v>16705</v>
      </c>
      <c r="WAI2" s="133" t="s">
        <v>16706</v>
      </c>
      <c r="WAJ2" s="133" t="s">
        <v>16707</v>
      </c>
      <c r="WAK2" s="133" t="s">
        <v>16708</v>
      </c>
      <c r="WAL2" s="133" t="s">
        <v>16709</v>
      </c>
      <c r="WAM2" s="133" t="s">
        <v>16710</v>
      </c>
      <c r="WAN2" s="133" t="s">
        <v>16711</v>
      </c>
      <c r="WAO2" s="133" t="s">
        <v>16712</v>
      </c>
      <c r="WAP2" s="133" t="s">
        <v>16713</v>
      </c>
      <c r="WAQ2" s="133" t="s">
        <v>16714</v>
      </c>
      <c r="WAR2" s="133" t="s">
        <v>16715</v>
      </c>
      <c r="WAS2" s="133" t="s">
        <v>16716</v>
      </c>
      <c r="WAT2" s="133" t="s">
        <v>16717</v>
      </c>
      <c r="WAU2" s="133" t="s">
        <v>16718</v>
      </c>
      <c r="WAV2" s="133" t="s">
        <v>16719</v>
      </c>
      <c r="WAW2" s="133" t="s">
        <v>16720</v>
      </c>
      <c r="WAX2" s="133" t="s">
        <v>16721</v>
      </c>
      <c r="WAY2" s="133" t="s">
        <v>16722</v>
      </c>
      <c r="WAZ2" s="133" t="s">
        <v>16723</v>
      </c>
      <c r="WBA2" s="133" t="s">
        <v>16724</v>
      </c>
      <c r="WBB2" s="133" t="s">
        <v>16725</v>
      </c>
      <c r="WBC2" s="133" t="s">
        <v>16726</v>
      </c>
      <c r="WBD2" s="133" t="s">
        <v>16727</v>
      </c>
      <c r="WBE2" s="133" t="s">
        <v>16728</v>
      </c>
      <c r="WBF2" s="133" t="s">
        <v>16729</v>
      </c>
      <c r="WBG2" s="133" t="s">
        <v>16730</v>
      </c>
      <c r="WBH2" s="133" t="s">
        <v>16731</v>
      </c>
      <c r="WBI2" s="133" t="s">
        <v>16732</v>
      </c>
      <c r="WBJ2" s="133" t="s">
        <v>16733</v>
      </c>
      <c r="WBK2" s="133" t="s">
        <v>16734</v>
      </c>
      <c r="WBL2" s="133" t="s">
        <v>16735</v>
      </c>
      <c r="WBM2" s="133" t="s">
        <v>16736</v>
      </c>
      <c r="WBN2" s="133" t="s">
        <v>16737</v>
      </c>
      <c r="WBO2" s="133" t="s">
        <v>16738</v>
      </c>
      <c r="WBP2" s="133" t="s">
        <v>16739</v>
      </c>
      <c r="WBQ2" s="133" t="s">
        <v>16740</v>
      </c>
      <c r="WBR2" s="133" t="s">
        <v>16741</v>
      </c>
      <c r="WBS2" s="133" t="s">
        <v>16742</v>
      </c>
      <c r="WBT2" s="133" t="s">
        <v>16743</v>
      </c>
      <c r="WBU2" s="133" t="s">
        <v>16744</v>
      </c>
      <c r="WBV2" s="133" t="s">
        <v>16745</v>
      </c>
      <c r="WBW2" s="133" t="s">
        <v>16746</v>
      </c>
      <c r="WBX2" s="133" t="s">
        <v>16747</v>
      </c>
      <c r="WBY2" s="133" t="s">
        <v>16748</v>
      </c>
      <c r="WBZ2" s="133" t="s">
        <v>16749</v>
      </c>
      <c r="WCA2" s="133" t="s">
        <v>16750</v>
      </c>
      <c r="WCB2" s="133" t="s">
        <v>16751</v>
      </c>
      <c r="WCC2" s="133" t="s">
        <v>16752</v>
      </c>
      <c r="WCD2" s="133" t="s">
        <v>16753</v>
      </c>
      <c r="WCE2" s="133" t="s">
        <v>16754</v>
      </c>
      <c r="WCF2" s="133" t="s">
        <v>16755</v>
      </c>
      <c r="WCG2" s="133" t="s">
        <v>16756</v>
      </c>
      <c r="WCH2" s="133" t="s">
        <v>16757</v>
      </c>
      <c r="WCI2" s="133" t="s">
        <v>16758</v>
      </c>
      <c r="WCJ2" s="133" t="s">
        <v>16759</v>
      </c>
      <c r="WCK2" s="133" t="s">
        <v>16760</v>
      </c>
      <c r="WCL2" s="133" t="s">
        <v>16761</v>
      </c>
      <c r="WCM2" s="133" t="s">
        <v>16762</v>
      </c>
      <c r="WCN2" s="133" t="s">
        <v>16763</v>
      </c>
      <c r="WCO2" s="133" t="s">
        <v>16764</v>
      </c>
      <c r="WCP2" s="133" t="s">
        <v>16765</v>
      </c>
      <c r="WCQ2" s="133" t="s">
        <v>16766</v>
      </c>
      <c r="WCR2" s="133" t="s">
        <v>16767</v>
      </c>
      <c r="WCS2" s="133" t="s">
        <v>16768</v>
      </c>
      <c r="WCT2" s="133" t="s">
        <v>16769</v>
      </c>
      <c r="WCU2" s="133" t="s">
        <v>16770</v>
      </c>
      <c r="WCV2" s="133" t="s">
        <v>16771</v>
      </c>
      <c r="WCW2" s="133" t="s">
        <v>16772</v>
      </c>
      <c r="WCX2" s="133" t="s">
        <v>16773</v>
      </c>
      <c r="WCY2" s="133" t="s">
        <v>16774</v>
      </c>
      <c r="WCZ2" s="133" t="s">
        <v>16775</v>
      </c>
      <c r="WDA2" s="133" t="s">
        <v>16776</v>
      </c>
      <c r="WDB2" s="133" t="s">
        <v>16777</v>
      </c>
      <c r="WDC2" s="133" t="s">
        <v>16778</v>
      </c>
      <c r="WDD2" s="133" t="s">
        <v>16779</v>
      </c>
      <c r="WDE2" s="133" t="s">
        <v>16780</v>
      </c>
      <c r="WDF2" s="133" t="s">
        <v>16781</v>
      </c>
      <c r="WDG2" s="133" t="s">
        <v>16782</v>
      </c>
      <c r="WDH2" s="133" t="s">
        <v>16783</v>
      </c>
      <c r="WDI2" s="133" t="s">
        <v>16784</v>
      </c>
      <c r="WDJ2" s="133" t="s">
        <v>16785</v>
      </c>
      <c r="WDK2" s="133" t="s">
        <v>16786</v>
      </c>
      <c r="WDL2" s="133" t="s">
        <v>16787</v>
      </c>
      <c r="WDM2" s="133" t="s">
        <v>16788</v>
      </c>
      <c r="WDN2" s="133" t="s">
        <v>16789</v>
      </c>
      <c r="WDO2" s="133" t="s">
        <v>16790</v>
      </c>
      <c r="WDP2" s="133" t="s">
        <v>16791</v>
      </c>
      <c r="WDQ2" s="133" t="s">
        <v>16792</v>
      </c>
      <c r="WDR2" s="133" t="s">
        <v>16793</v>
      </c>
      <c r="WDS2" s="133" t="s">
        <v>16794</v>
      </c>
      <c r="WDT2" s="133" t="s">
        <v>16795</v>
      </c>
      <c r="WDU2" s="133" t="s">
        <v>16796</v>
      </c>
      <c r="WDV2" s="133" t="s">
        <v>16797</v>
      </c>
      <c r="WDW2" s="133" t="s">
        <v>16798</v>
      </c>
      <c r="WDX2" s="133" t="s">
        <v>16799</v>
      </c>
      <c r="WDY2" s="133" t="s">
        <v>16800</v>
      </c>
      <c r="WDZ2" s="133" t="s">
        <v>16801</v>
      </c>
      <c r="WEA2" s="133" t="s">
        <v>16802</v>
      </c>
      <c r="WEB2" s="133" t="s">
        <v>16803</v>
      </c>
      <c r="WEC2" s="133" t="s">
        <v>16804</v>
      </c>
      <c r="WED2" s="133" t="s">
        <v>16805</v>
      </c>
      <c r="WEE2" s="133" t="s">
        <v>16806</v>
      </c>
      <c r="WEF2" s="133" t="s">
        <v>16807</v>
      </c>
      <c r="WEG2" s="133" t="s">
        <v>16808</v>
      </c>
      <c r="WEH2" s="133" t="s">
        <v>16809</v>
      </c>
      <c r="WEI2" s="133" t="s">
        <v>16810</v>
      </c>
      <c r="WEJ2" s="133" t="s">
        <v>16811</v>
      </c>
      <c r="WEK2" s="133" t="s">
        <v>16812</v>
      </c>
      <c r="WEL2" s="133" t="s">
        <v>16813</v>
      </c>
      <c r="WEM2" s="133" t="s">
        <v>16814</v>
      </c>
      <c r="WEN2" s="133" t="s">
        <v>16815</v>
      </c>
      <c r="WEO2" s="133" t="s">
        <v>16816</v>
      </c>
      <c r="WEP2" s="133" t="s">
        <v>16817</v>
      </c>
      <c r="WEQ2" s="133" t="s">
        <v>16818</v>
      </c>
      <c r="WER2" s="133" t="s">
        <v>16819</v>
      </c>
      <c r="WES2" s="133" t="s">
        <v>16820</v>
      </c>
      <c r="WET2" s="133" t="s">
        <v>16821</v>
      </c>
      <c r="WEU2" s="133" t="s">
        <v>16822</v>
      </c>
      <c r="WEV2" s="133" t="s">
        <v>16823</v>
      </c>
      <c r="WEW2" s="133" t="s">
        <v>16824</v>
      </c>
      <c r="WEX2" s="133" t="s">
        <v>16825</v>
      </c>
      <c r="WEY2" s="133" t="s">
        <v>16826</v>
      </c>
      <c r="WEZ2" s="133" t="s">
        <v>16827</v>
      </c>
      <c r="WFA2" s="133" t="s">
        <v>16828</v>
      </c>
      <c r="WFB2" s="133" t="s">
        <v>16829</v>
      </c>
      <c r="WFC2" s="133" t="s">
        <v>16830</v>
      </c>
      <c r="WFD2" s="133" t="s">
        <v>16831</v>
      </c>
      <c r="WFE2" s="133" t="s">
        <v>16832</v>
      </c>
      <c r="WFF2" s="133" t="s">
        <v>16833</v>
      </c>
      <c r="WFG2" s="133" t="s">
        <v>16834</v>
      </c>
      <c r="WFH2" s="133" t="s">
        <v>16835</v>
      </c>
      <c r="WFI2" s="133" t="s">
        <v>16836</v>
      </c>
      <c r="WFJ2" s="133" t="s">
        <v>16837</v>
      </c>
      <c r="WFK2" s="133" t="s">
        <v>16838</v>
      </c>
      <c r="WFL2" s="133" t="s">
        <v>16839</v>
      </c>
      <c r="WFM2" s="133" t="s">
        <v>16840</v>
      </c>
      <c r="WFN2" s="133" t="s">
        <v>16841</v>
      </c>
      <c r="WFO2" s="133" t="s">
        <v>16842</v>
      </c>
      <c r="WFP2" s="133" t="s">
        <v>16843</v>
      </c>
      <c r="WFQ2" s="133" t="s">
        <v>16844</v>
      </c>
      <c r="WFR2" s="133" t="s">
        <v>16845</v>
      </c>
      <c r="WFS2" s="133" t="s">
        <v>16846</v>
      </c>
      <c r="WFT2" s="133" t="s">
        <v>16847</v>
      </c>
      <c r="WFU2" s="133" t="s">
        <v>16848</v>
      </c>
      <c r="WFV2" s="133" t="s">
        <v>16849</v>
      </c>
      <c r="WFW2" s="133" t="s">
        <v>16850</v>
      </c>
      <c r="WFX2" s="133" t="s">
        <v>16851</v>
      </c>
      <c r="WFY2" s="133" t="s">
        <v>16852</v>
      </c>
      <c r="WFZ2" s="133" t="s">
        <v>16853</v>
      </c>
      <c r="WGA2" s="133" t="s">
        <v>16854</v>
      </c>
      <c r="WGB2" s="133" t="s">
        <v>16855</v>
      </c>
      <c r="WGC2" s="133" t="s">
        <v>16856</v>
      </c>
      <c r="WGD2" s="133" t="s">
        <v>16857</v>
      </c>
      <c r="WGE2" s="133" t="s">
        <v>16858</v>
      </c>
      <c r="WGF2" s="133" t="s">
        <v>16859</v>
      </c>
      <c r="WGG2" s="133" t="s">
        <v>16860</v>
      </c>
      <c r="WGH2" s="133" t="s">
        <v>16861</v>
      </c>
      <c r="WGI2" s="133" t="s">
        <v>16862</v>
      </c>
      <c r="WGJ2" s="133" t="s">
        <v>16863</v>
      </c>
      <c r="WGK2" s="133" t="s">
        <v>16864</v>
      </c>
      <c r="WGL2" s="133" t="s">
        <v>16865</v>
      </c>
      <c r="WGM2" s="133" t="s">
        <v>16866</v>
      </c>
      <c r="WGN2" s="133" t="s">
        <v>16867</v>
      </c>
      <c r="WGO2" s="133" t="s">
        <v>16868</v>
      </c>
      <c r="WGP2" s="133" t="s">
        <v>16869</v>
      </c>
      <c r="WGQ2" s="133" t="s">
        <v>16870</v>
      </c>
      <c r="WGR2" s="133" t="s">
        <v>16871</v>
      </c>
      <c r="WGS2" s="133" t="s">
        <v>16872</v>
      </c>
      <c r="WGT2" s="133" t="s">
        <v>16873</v>
      </c>
      <c r="WGU2" s="133" t="s">
        <v>16874</v>
      </c>
      <c r="WGV2" s="133" t="s">
        <v>16875</v>
      </c>
      <c r="WGW2" s="133" t="s">
        <v>16876</v>
      </c>
      <c r="WGX2" s="133" t="s">
        <v>16877</v>
      </c>
      <c r="WGY2" s="133" t="s">
        <v>16878</v>
      </c>
      <c r="WGZ2" s="133" t="s">
        <v>16879</v>
      </c>
      <c r="WHA2" s="133" t="s">
        <v>16880</v>
      </c>
      <c r="WHB2" s="133" t="s">
        <v>16881</v>
      </c>
      <c r="WHC2" s="133" t="s">
        <v>16882</v>
      </c>
      <c r="WHD2" s="133" t="s">
        <v>16883</v>
      </c>
      <c r="WHE2" s="133" t="s">
        <v>16884</v>
      </c>
      <c r="WHF2" s="133" t="s">
        <v>16885</v>
      </c>
      <c r="WHG2" s="133" t="s">
        <v>16886</v>
      </c>
      <c r="WHH2" s="133" t="s">
        <v>16887</v>
      </c>
      <c r="WHI2" s="133" t="s">
        <v>16888</v>
      </c>
      <c r="WHJ2" s="133" t="s">
        <v>16889</v>
      </c>
      <c r="WHK2" s="133" t="s">
        <v>16890</v>
      </c>
      <c r="WHL2" s="133" t="s">
        <v>16891</v>
      </c>
      <c r="WHM2" s="133" t="s">
        <v>16892</v>
      </c>
      <c r="WHN2" s="133" t="s">
        <v>16893</v>
      </c>
      <c r="WHO2" s="133" t="s">
        <v>16894</v>
      </c>
      <c r="WHP2" s="133" t="s">
        <v>16895</v>
      </c>
      <c r="WHQ2" s="133" t="s">
        <v>16896</v>
      </c>
      <c r="WHR2" s="133" t="s">
        <v>16897</v>
      </c>
      <c r="WHS2" s="133" t="s">
        <v>16898</v>
      </c>
      <c r="WHT2" s="133" t="s">
        <v>16899</v>
      </c>
      <c r="WHU2" s="133" t="s">
        <v>16900</v>
      </c>
      <c r="WHV2" s="133" t="s">
        <v>16901</v>
      </c>
      <c r="WHW2" s="133" t="s">
        <v>16902</v>
      </c>
      <c r="WHX2" s="133" t="s">
        <v>16903</v>
      </c>
      <c r="WHY2" s="133" t="s">
        <v>16904</v>
      </c>
      <c r="WHZ2" s="133" t="s">
        <v>16905</v>
      </c>
      <c r="WIA2" s="133" t="s">
        <v>16906</v>
      </c>
      <c r="WIB2" s="133" t="s">
        <v>16907</v>
      </c>
      <c r="WIC2" s="133" t="s">
        <v>16908</v>
      </c>
      <c r="WID2" s="133" t="s">
        <v>16909</v>
      </c>
      <c r="WIE2" s="133" t="s">
        <v>16910</v>
      </c>
      <c r="WIF2" s="133" t="s">
        <v>16911</v>
      </c>
      <c r="WIG2" s="133" t="s">
        <v>16912</v>
      </c>
      <c r="WIH2" s="133" t="s">
        <v>16913</v>
      </c>
      <c r="WII2" s="133" t="s">
        <v>16914</v>
      </c>
      <c r="WIJ2" s="133" t="s">
        <v>16915</v>
      </c>
      <c r="WIK2" s="133" t="s">
        <v>16916</v>
      </c>
      <c r="WIL2" s="133" t="s">
        <v>16917</v>
      </c>
      <c r="WIM2" s="133" t="s">
        <v>16918</v>
      </c>
      <c r="WIN2" s="133" t="s">
        <v>16919</v>
      </c>
      <c r="WIO2" s="133" t="s">
        <v>16920</v>
      </c>
      <c r="WIP2" s="133" t="s">
        <v>16921</v>
      </c>
      <c r="WIQ2" s="133" t="s">
        <v>16922</v>
      </c>
      <c r="WIR2" s="133" t="s">
        <v>16923</v>
      </c>
      <c r="WIS2" s="133" t="s">
        <v>16924</v>
      </c>
      <c r="WIT2" s="133" t="s">
        <v>16925</v>
      </c>
      <c r="WIU2" s="133" t="s">
        <v>16926</v>
      </c>
      <c r="WIV2" s="133" t="s">
        <v>16927</v>
      </c>
      <c r="WIW2" s="133" t="s">
        <v>16928</v>
      </c>
      <c r="WIX2" s="133" t="s">
        <v>16929</v>
      </c>
      <c r="WIY2" s="133" t="s">
        <v>16930</v>
      </c>
      <c r="WIZ2" s="133" t="s">
        <v>16931</v>
      </c>
      <c r="WJA2" s="133" t="s">
        <v>16932</v>
      </c>
      <c r="WJB2" s="133" t="s">
        <v>16933</v>
      </c>
      <c r="WJC2" s="133" t="s">
        <v>16934</v>
      </c>
      <c r="WJD2" s="133" t="s">
        <v>16935</v>
      </c>
      <c r="WJE2" s="133" t="s">
        <v>16936</v>
      </c>
      <c r="WJF2" s="133" t="s">
        <v>16937</v>
      </c>
      <c r="WJG2" s="133" t="s">
        <v>16938</v>
      </c>
      <c r="WJH2" s="133" t="s">
        <v>16939</v>
      </c>
      <c r="WJI2" s="133" t="s">
        <v>16940</v>
      </c>
      <c r="WJJ2" s="133" t="s">
        <v>16941</v>
      </c>
      <c r="WJK2" s="133" t="s">
        <v>16942</v>
      </c>
      <c r="WJL2" s="133" t="s">
        <v>16943</v>
      </c>
      <c r="WJM2" s="133" t="s">
        <v>16944</v>
      </c>
      <c r="WJN2" s="133" t="s">
        <v>16945</v>
      </c>
      <c r="WJO2" s="133" t="s">
        <v>16946</v>
      </c>
      <c r="WJP2" s="133" t="s">
        <v>16947</v>
      </c>
      <c r="WJQ2" s="133" t="s">
        <v>16948</v>
      </c>
      <c r="WJR2" s="133" t="s">
        <v>16949</v>
      </c>
      <c r="WJS2" s="133" t="s">
        <v>16950</v>
      </c>
      <c r="WJT2" s="133" t="s">
        <v>16951</v>
      </c>
      <c r="WJU2" s="133" t="s">
        <v>16952</v>
      </c>
      <c r="WJV2" s="133" t="s">
        <v>16953</v>
      </c>
      <c r="WJW2" s="133" t="s">
        <v>16954</v>
      </c>
      <c r="WJX2" s="133" t="s">
        <v>16955</v>
      </c>
      <c r="WJY2" s="133" t="s">
        <v>16956</v>
      </c>
      <c r="WJZ2" s="133" t="s">
        <v>16957</v>
      </c>
      <c r="WKA2" s="133" t="s">
        <v>16958</v>
      </c>
      <c r="WKB2" s="133" t="s">
        <v>16959</v>
      </c>
      <c r="WKC2" s="133" t="s">
        <v>16960</v>
      </c>
      <c r="WKD2" s="133" t="s">
        <v>16961</v>
      </c>
      <c r="WKE2" s="133" t="s">
        <v>16962</v>
      </c>
      <c r="WKF2" s="133" t="s">
        <v>16963</v>
      </c>
      <c r="WKG2" s="133" t="s">
        <v>16964</v>
      </c>
      <c r="WKH2" s="133" t="s">
        <v>16965</v>
      </c>
      <c r="WKI2" s="133" t="s">
        <v>16966</v>
      </c>
      <c r="WKJ2" s="133" t="s">
        <v>16967</v>
      </c>
      <c r="WKK2" s="133" t="s">
        <v>16968</v>
      </c>
      <c r="WKL2" s="133" t="s">
        <v>16969</v>
      </c>
      <c r="WKM2" s="133" t="s">
        <v>16970</v>
      </c>
      <c r="WKN2" s="133" t="s">
        <v>16971</v>
      </c>
      <c r="WKO2" s="133" t="s">
        <v>16972</v>
      </c>
      <c r="WKP2" s="133" t="s">
        <v>16973</v>
      </c>
      <c r="WKQ2" s="133" t="s">
        <v>16974</v>
      </c>
      <c r="WKR2" s="133" t="s">
        <v>16975</v>
      </c>
      <c r="WKS2" s="133" t="s">
        <v>16976</v>
      </c>
      <c r="WKT2" s="133" t="s">
        <v>16977</v>
      </c>
      <c r="WKU2" s="133" t="s">
        <v>16978</v>
      </c>
      <c r="WKV2" s="133" t="s">
        <v>16979</v>
      </c>
      <c r="WKW2" s="133" t="s">
        <v>16980</v>
      </c>
      <c r="WKX2" s="133" t="s">
        <v>16981</v>
      </c>
      <c r="WKY2" s="133" t="s">
        <v>16982</v>
      </c>
      <c r="WKZ2" s="133" t="s">
        <v>16983</v>
      </c>
      <c r="WLA2" s="133" t="s">
        <v>16984</v>
      </c>
      <c r="WLB2" s="133" t="s">
        <v>16985</v>
      </c>
      <c r="WLC2" s="133" t="s">
        <v>16986</v>
      </c>
      <c r="WLD2" s="133" t="s">
        <v>16987</v>
      </c>
      <c r="WLE2" s="133" t="s">
        <v>16988</v>
      </c>
      <c r="WLF2" s="133" t="s">
        <v>16989</v>
      </c>
      <c r="WLG2" s="133" t="s">
        <v>16990</v>
      </c>
      <c r="WLH2" s="133" t="s">
        <v>16991</v>
      </c>
      <c r="WLI2" s="133" t="s">
        <v>16992</v>
      </c>
      <c r="WLJ2" s="133" t="s">
        <v>16993</v>
      </c>
      <c r="WLK2" s="133" t="s">
        <v>16994</v>
      </c>
      <c r="WLL2" s="133" t="s">
        <v>16995</v>
      </c>
      <c r="WLM2" s="133" t="s">
        <v>16996</v>
      </c>
      <c r="WLN2" s="133" t="s">
        <v>16997</v>
      </c>
      <c r="WLO2" s="133" t="s">
        <v>16998</v>
      </c>
      <c r="WLP2" s="133" t="s">
        <v>16999</v>
      </c>
      <c r="WLQ2" s="133" t="s">
        <v>17000</v>
      </c>
      <c r="WLR2" s="133" t="s">
        <v>17001</v>
      </c>
      <c r="WLS2" s="133" t="s">
        <v>17002</v>
      </c>
      <c r="WLT2" s="133" t="s">
        <v>17003</v>
      </c>
      <c r="WLU2" s="133" t="s">
        <v>17004</v>
      </c>
      <c r="WLV2" s="133" t="s">
        <v>17005</v>
      </c>
      <c r="WLW2" s="133" t="s">
        <v>17006</v>
      </c>
      <c r="WLX2" s="133" t="s">
        <v>17007</v>
      </c>
      <c r="WLY2" s="133" t="s">
        <v>17008</v>
      </c>
      <c r="WLZ2" s="133" t="s">
        <v>17009</v>
      </c>
      <c r="WMA2" s="133" t="s">
        <v>17010</v>
      </c>
      <c r="WMB2" s="133" t="s">
        <v>17011</v>
      </c>
      <c r="WMC2" s="133" t="s">
        <v>17012</v>
      </c>
      <c r="WMD2" s="133" t="s">
        <v>17013</v>
      </c>
      <c r="WME2" s="133" t="s">
        <v>17014</v>
      </c>
      <c r="WMF2" s="133" t="s">
        <v>17015</v>
      </c>
      <c r="WMG2" s="133" t="s">
        <v>17016</v>
      </c>
      <c r="WMH2" s="133" t="s">
        <v>17017</v>
      </c>
      <c r="WMI2" s="133" t="s">
        <v>17018</v>
      </c>
      <c r="WMJ2" s="133" t="s">
        <v>17019</v>
      </c>
      <c r="WMK2" s="133" t="s">
        <v>17020</v>
      </c>
      <c r="WML2" s="133" t="s">
        <v>17021</v>
      </c>
      <c r="WMM2" s="133" t="s">
        <v>17022</v>
      </c>
      <c r="WMN2" s="133" t="s">
        <v>17023</v>
      </c>
      <c r="WMO2" s="133" t="s">
        <v>17024</v>
      </c>
      <c r="WMP2" s="133" t="s">
        <v>17025</v>
      </c>
      <c r="WMQ2" s="133" t="s">
        <v>17026</v>
      </c>
      <c r="WMR2" s="133" t="s">
        <v>17027</v>
      </c>
      <c r="WMS2" s="133" t="s">
        <v>17028</v>
      </c>
      <c r="WMT2" s="133" t="s">
        <v>17029</v>
      </c>
      <c r="WMU2" s="133" t="s">
        <v>17030</v>
      </c>
      <c r="WMV2" s="133" t="s">
        <v>17031</v>
      </c>
      <c r="WMW2" s="133" t="s">
        <v>17032</v>
      </c>
      <c r="WMX2" s="133" t="s">
        <v>17033</v>
      </c>
      <c r="WMY2" s="133" t="s">
        <v>17034</v>
      </c>
      <c r="WMZ2" s="133" t="s">
        <v>17035</v>
      </c>
      <c r="WNA2" s="133" t="s">
        <v>17036</v>
      </c>
      <c r="WNB2" s="133" t="s">
        <v>17037</v>
      </c>
      <c r="WNC2" s="133" t="s">
        <v>17038</v>
      </c>
      <c r="WND2" s="133" t="s">
        <v>17039</v>
      </c>
      <c r="WNE2" s="133" t="s">
        <v>17040</v>
      </c>
      <c r="WNF2" s="133" t="s">
        <v>17041</v>
      </c>
      <c r="WNG2" s="133" t="s">
        <v>17042</v>
      </c>
      <c r="WNH2" s="133" t="s">
        <v>17043</v>
      </c>
      <c r="WNI2" s="133" t="s">
        <v>17044</v>
      </c>
      <c r="WNJ2" s="133" t="s">
        <v>17045</v>
      </c>
      <c r="WNK2" s="133" t="s">
        <v>17046</v>
      </c>
      <c r="WNL2" s="133" t="s">
        <v>17047</v>
      </c>
      <c r="WNM2" s="133" t="s">
        <v>17048</v>
      </c>
      <c r="WNN2" s="133" t="s">
        <v>17049</v>
      </c>
      <c r="WNO2" s="133" t="s">
        <v>17050</v>
      </c>
      <c r="WNP2" s="133" t="s">
        <v>17051</v>
      </c>
      <c r="WNQ2" s="133" t="s">
        <v>17052</v>
      </c>
      <c r="WNR2" s="133" t="s">
        <v>17053</v>
      </c>
      <c r="WNS2" s="133" t="s">
        <v>17054</v>
      </c>
      <c r="WNT2" s="133" t="s">
        <v>17055</v>
      </c>
      <c r="WNU2" s="133" t="s">
        <v>17056</v>
      </c>
      <c r="WNV2" s="133" t="s">
        <v>17057</v>
      </c>
      <c r="WNW2" s="133" t="s">
        <v>17058</v>
      </c>
      <c r="WNX2" s="133" t="s">
        <v>17059</v>
      </c>
      <c r="WNY2" s="133" t="s">
        <v>17060</v>
      </c>
      <c r="WNZ2" s="133" t="s">
        <v>17061</v>
      </c>
      <c r="WOA2" s="133" t="s">
        <v>17062</v>
      </c>
      <c r="WOB2" s="133" t="s">
        <v>17063</v>
      </c>
      <c r="WOC2" s="133" t="s">
        <v>17064</v>
      </c>
      <c r="WOD2" s="133" t="s">
        <v>17065</v>
      </c>
      <c r="WOE2" s="133" t="s">
        <v>17066</v>
      </c>
      <c r="WOF2" s="133" t="s">
        <v>17067</v>
      </c>
      <c r="WOG2" s="133" t="s">
        <v>17068</v>
      </c>
      <c r="WOH2" s="133" t="s">
        <v>17069</v>
      </c>
      <c r="WOI2" s="133" t="s">
        <v>17070</v>
      </c>
      <c r="WOJ2" s="133" t="s">
        <v>17071</v>
      </c>
      <c r="WOK2" s="133" t="s">
        <v>17072</v>
      </c>
      <c r="WOL2" s="133" t="s">
        <v>17073</v>
      </c>
      <c r="WOM2" s="133" t="s">
        <v>17074</v>
      </c>
      <c r="WON2" s="133" t="s">
        <v>17075</v>
      </c>
      <c r="WOO2" s="133" t="s">
        <v>17076</v>
      </c>
      <c r="WOP2" s="133" t="s">
        <v>17077</v>
      </c>
      <c r="WOQ2" s="133" t="s">
        <v>17078</v>
      </c>
      <c r="WOR2" s="133" t="s">
        <v>17079</v>
      </c>
      <c r="WOS2" s="133" t="s">
        <v>17080</v>
      </c>
      <c r="WOT2" s="133" t="s">
        <v>17081</v>
      </c>
      <c r="WOU2" s="133" t="s">
        <v>17082</v>
      </c>
      <c r="WOV2" s="133" t="s">
        <v>17083</v>
      </c>
      <c r="WOW2" s="133" t="s">
        <v>17084</v>
      </c>
      <c r="WOX2" s="133" t="s">
        <v>17085</v>
      </c>
      <c r="WOY2" s="133" t="s">
        <v>17086</v>
      </c>
      <c r="WOZ2" s="133" t="s">
        <v>17087</v>
      </c>
      <c r="WPA2" s="133" t="s">
        <v>17088</v>
      </c>
      <c r="WPB2" s="133" t="s">
        <v>17089</v>
      </c>
      <c r="WPC2" s="133" t="s">
        <v>17090</v>
      </c>
      <c r="WPD2" s="133" t="s">
        <v>17091</v>
      </c>
      <c r="WPE2" s="133" t="s">
        <v>17092</v>
      </c>
      <c r="WPF2" s="133" t="s">
        <v>17093</v>
      </c>
      <c r="WPG2" s="133" t="s">
        <v>17094</v>
      </c>
      <c r="WPH2" s="133" t="s">
        <v>17095</v>
      </c>
      <c r="WPI2" s="133" t="s">
        <v>17096</v>
      </c>
      <c r="WPJ2" s="133" t="s">
        <v>17097</v>
      </c>
      <c r="WPK2" s="133" t="s">
        <v>17098</v>
      </c>
      <c r="WPL2" s="133" t="s">
        <v>17099</v>
      </c>
      <c r="WPM2" s="133" t="s">
        <v>17100</v>
      </c>
      <c r="WPN2" s="133" t="s">
        <v>17101</v>
      </c>
      <c r="WPO2" s="133" t="s">
        <v>17102</v>
      </c>
      <c r="WPP2" s="133" t="s">
        <v>17103</v>
      </c>
      <c r="WPQ2" s="133" t="s">
        <v>17104</v>
      </c>
      <c r="WPR2" s="133" t="s">
        <v>17105</v>
      </c>
      <c r="WPS2" s="133" t="s">
        <v>17106</v>
      </c>
      <c r="WPT2" s="133" t="s">
        <v>17107</v>
      </c>
      <c r="WPU2" s="133" t="s">
        <v>17108</v>
      </c>
      <c r="WPV2" s="133" t="s">
        <v>17109</v>
      </c>
      <c r="WPW2" s="133" t="s">
        <v>17110</v>
      </c>
      <c r="WPX2" s="133" t="s">
        <v>17111</v>
      </c>
      <c r="WPY2" s="133" t="s">
        <v>17112</v>
      </c>
      <c r="WPZ2" s="133" t="s">
        <v>17113</v>
      </c>
      <c r="WQA2" s="133" t="s">
        <v>17114</v>
      </c>
      <c r="WQB2" s="133" t="s">
        <v>17115</v>
      </c>
      <c r="WQC2" s="133" t="s">
        <v>17116</v>
      </c>
      <c r="WQD2" s="133" t="s">
        <v>17117</v>
      </c>
      <c r="WQE2" s="133" t="s">
        <v>17118</v>
      </c>
      <c r="WQF2" s="133" t="s">
        <v>17119</v>
      </c>
      <c r="WQG2" s="133" t="s">
        <v>17120</v>
      </c>
      <c r="WQH2" s="133" t="s">
        <v>17121</v>
      </c>
      <c r="WQI2" s="133" t="s">
        <v>17122</v>
      </c>
      <c r="WQJ2" s="133" t="s">
        <v>17123</v>
      </c>
      <c r="WQK2" s="133" t="s">
        <v>17124</v>
      </c>
      <c r="WQL2" s="133" t="s">
        <v>17125</v>
      </c>
      <c r="WQM2" s="133" t="s">
        <v>17126</v>
      </c>
      <c r="WQN2" s="133" t="s">
        <v>17127</v>
      </c>
      <c r="WQO2" s="133" t="s">
        <v>17128</v>
      </c>
      <c r="WQP2" s="133" t="s">
        <v>17129</v>
      </c>
      <c r="WQQ2" s="133" t="s">
        <v>17130</v>
      </c>
      <c r="WQR2" s="133" t="s">
        <v>17131</v>
      </c>
      <c r="WQS2" s="133" t="s">
        <v>17132</v>
      </c>
      <c r="WQT2" s="133" t="s">
        <v>17133</v>
      </c>
      <c r="WQU2" s="133" t="s">
        <v>17134</v>
      </c>
      <c r="WQV2" s="133" t="s">
        <v>17135</v>
      </c>
      <c r="WQW2" s="133" t="s">
        <v>17136</v>
      </c>
      <c r="WQX2" s="133" t="s">
        <v>17137</v>
      </c>
      <c r="WQY2" s="133" t="s">
        <v>17138</v>
      </c>
      <c r="WQZ2" s="133" t="s">
        <v>17139</v>
      </c>
      <c r="WRA2" s="133" t="s">
        <v>17140</v>
      </c>
      <c r="WRB2" s="133" t="s">
        <v>17141</v>
      </c>
      <c r="WRC2" s="133" t="s">
        <v>17142</v>
      </c>
      <c r="WRD2" s="133" t="s">
        <v>17143</v>
      </c>
      <c r="WRE2" s="133" t="s">
        <v>17144</v>
      </c>
      <c r="WRF2" s="133" t="s">
        <v>17145</v>
      </c>
      <c r="WRG2" s="133" t="s">
        <v>17146</v>
      </c>
      <c r="WRH2" s="133" t="s">
        <v>17147</v>
      </c>
      <c r="WRI2" s="133" t="s">
        <v>17148</v>
      </c>
      <c r="WRJ2" s="133" t="s">
        <v>17149</v>
      </c>
      <c r="WRK2" s="133" t="s">
        <v>17150</v>
      </c>
      <c r="WRL2" s="133" t="s">
        <v>17151</v>
      </c>
      <c r="WRM2" s="133" t="s">
        <v>17152</v>
      </c>
      <c r="WRN2" s="133" t="s">
        <v>17153</v>
      </c>
      <c r="WRO2" s="133" t="s">
        <v>17154</v>
      </c>
      <c r="WRP2" s="133" t="s">
        <v>17155</v>
      </c>
      <c r="WRQ2" s="133" t="s">
        <v>17156</v>
      </c>
      <c r="WRR2" s="133" t="s">
        <v>17157</v>
      </c>
      <c r="WRS2" s="133" t="s">
        <v>17158</v>
      </c>
      <c r="WRT2" s="133" t="s">
        <v>17159</v>
      </c>
      <c r="WRU2" s="133" t="s">
        <v>17160</v>
      </c>
      <c r="WRV2" s="133" t="s">
        <v>17161</v>
      </c>
      <c r="WRW2" s="133" t="s">
        <v>17162</v>
      </c>
      <c r="WRX2" s="133" t="s">
        <v>17163</v>
      </c>
      <c r="WRY2" s="133" t="s">
        <v>17164</v>
      </c>
      <c r="WRZ2" s="133" t="s">
        <v>17165</v>
      </c>
      <c r="WSA2" s="133" t="s">
        <v>17166</v>
      </c>
      <c r="WSB2" s="133" t="s">
        <v>17167</v>
      </c>
      <c r="WSC2" s="133" t="s">
        <v>17168</v>
      </c>
      <c r="WSD2" s="133" t="s">
        <v>17169</v>
      </c>
      <c r="WSE2" s="133" t="s">
        <v>17170</v>
      </c>
      <c r="WSF2" s="133" t="s">
        <v>17171</v>
      </c>
      <c r="WSG2" s="133" t="s">
        <v>17172</v>
      </c>
      <c r="WSH2" s="133" t="s">
        <v>17173</v>
      </c>
      <c r="WSI2" s="133" t="s">
        <v>17174</v>
      </c>
      <c r="WSJ2" s="133" t="s">
        <v>17175</v>
      </c>
      <c r="WSK2" s="133" t="s">
        <v>17176</v>
      </c>
      <c r="WSL2" s="133" t="s">
        <v>17177</v>
      </c>
      <c r="WSM2" s="133" t="s">
        <v>17178</v>
      </c>
      <c r="WSN2" s="133" t="s">
        <v>17179</v>
      </c>
      <c r="WSO2" s="133" t="s">
        <v>17180</v>
      </c>
      <c r="WSP2" s="133" t="s">
        <v>17181</v>
      </c>
      <c r="WSQ2" s="133" t="s">
        <v>17182</v>
      </c>
      <c r="WSR2" s="133" t="s">
        <v>17183</v>
      </c>
      <c r="WSS2" s="133" t="s">
        <v>17184</v>
      </c>
      <c r="WST2" s="133" t="s">
        <v>17185</v>
      </c>
      <c r="WSU2" s="133" t="s">
        <v>17186</v>
      </c>
      <c r="WSV2" s="133" t="s">
        <v>17187</v>
      </c>
      <c r="WSW2" s="133" t="s">
        <v>17188</v>
      </c>
      <c r="WSX2" s="133" t="s">
        <v>17189</v>
      </c>
      <c r="WSY2" s="133" t="s">
        <v>17190</v>
      </c>
      <c r="WSZ2" s="133" t="s">
        <v>17191</v>
      </c>
      <c r="WTA2" s="133" t="s">
        <v>17192</v>
      </c>
      <c r="WTB2" s="133" t="s">
        <v>17193</v>
      </c>
      <c r="WTC2" s="133" t="s">
        <v>17194</v>
      </c>
      <c r="WTD2" s="133" t="s">
        <v>17195</v>
      </c>
      <c r="WTE2" s="133" t="s">
        <v>17196</v>
      </c>
      <c r="WTF2" s="133" t="s">
        <v>17197</v>
      </c>
      <c r="WTG2" s="133" t="s">
        <v>17198</v>
      </c>
      <c r="WTH2" s="133" t="s">
        <v>17199</v>
      </c>
      <c r="WTI2" s="133" t="s">
        <v>17200</v>
      </c>
      <c r="WTJ2" s="133" t="s">
        <v>17201</v>
      </c>
      <c r="WTK2" s="133" t="s">
        <v>17202</v>
      </c>
      <c r="WTL2" s="133" t="s">
        <v>17203</v>
      </c>
      <c r="WTM2" s="133" t="s">
        <v>17204</v>
      </c>
      <c r="WTN2" s="133" t="s">
        <v>17205</v>
      </c>
      <c r="WTO2" s="133" t="s">
        <v>17206</v>
      </c>
      <c r="WTP2" s="133" t="s">
        <v>17207</v>
      </c>
      <c r="WTQ2" s="133" t="s">
        <v>17208</v>
      </c>
      <c r="WTR2" s="133" t="s">
        <v>17209</v>
      </c>
      <c r="WTS2" s="133" t="s">
        <v>17210</v>
      </c>
      <c r="WTT2" s="133" t="s">
        <v>17211</v>
      </c>
      <c r="WTU2" s="133" t="s">
        <v>17212</v>
      </c>
      <c r="WTV2" s="133" t="s">
        <v>17213</v>
      </c>
      <c r="WTW2" s="133" t="s">
        <v>17214</v>
      </c>
      <c r="WTX2" s="133" t="s">
        <v>17215</v>
      </c>
      <c r="WTY2" s="133" t="s">
        <v>17216</v>
      </c>
      <c r="WTZ2" s="133" t="s">
        <v>17217</v>
      </c>
      <c r="WUA2" s="133" t="s">
        <v>17218</v>
      </c>
      <c r="WUB2" s="133" t="s">
        <v>17219</v>
      </c>
      <c r="WUC2" s="133" t="s">
        <v>17220</v>
      </c>
      <c r="WUD2" s="133" t="s">
        <v>17221</v>
      </c>
      <c r="WUE2" s="133" t="s">
        <v>17222</v>
      </c>
      <c r="WUF2" s="133" t="s">
        <v>17223</v>
      </c>
      <c r="WUG2" s="133" t="s">
        <v>17224</v>
      </c>
      <c r="WUH2" s="133" t="s">
        <v>17225</v>
      </c>
      <c r="WUI2" s="133" t="s">
        <v>17226</v>
      </c>
      <c r="WUJ2" s="133" t="s">
        <v>17227</v>
      </c>
      <c r="WUK2" s="133" t="s">
        <v>17228</v>
      </c>
      <c r="WUL2" s="133" t="s">
        <v>17229</v>
      </c>
      <c r="WUM2" s="133" t="s">
        <v>17230</v>
      </c>
      <c r="WUN2" s="133" t="s">
        <v>17231</v>
      </c>
      <c r="WUO2" s="133" t="s">
        <v>17232</v>
      </c>
      <c r="WUP2" s="133" t="s">
        <v>17233</v>
      </c>
      <c r="WUQ2" s="133" t="s">
        <v>17234</v>
      </c>
      <c r="WUR2" s="133" t="s">
        <v>17235</v>
      </c>
      <c r="WUS2" s="133" t="s">
        <v>17236</v>
      </c>
      <c r="WUT2" s="133" t="s">
        <v>17237</v>
      </c>
      <c r="WUU2" s="133" t="s">
        <v>17238</v>
      </c>
      <c r="WUV2" s="133" t="s">
        <v>17239</v>
      </c>
      <c r="WUW2" s="133" t="s">
        <v>17240</v>
      </c>
      <c r="WUX2" s="133" t="s">
        <v>17241</v>
      </c>
      <c r="WUY2" s="133" t="s">
        <v>17242</v>
      </c>
      <c r="WUZ2" s="133" t="s">
        <v>17243</v>
      </c>
      <c r="WVA2" s="133" t="s">
        <v>17244</v>
      </c>
      <c r="WVB2" s="133" t="s">
        <v>17245</v>
      </c>
      <c r="WVC2" s="133" t="s">
        <v>17246</v>
      </c>
      <c r="WVD2" s="133" t="s">
        <v>17247</v>
      </c>
      <c r="WVE2" s="133" t="s">
        <v>17248</v>
      </c>
      <c r="WVF2" s="133" t="s">
        <v>17249</v>
      </c>
      <c r="WVG2" s="133" t="s">
        <v>17250</v>
      </c>
      <c r="WVH2" s="133" t="s">
        <v>17251</v>
      </c>
      <c r="WVI2" s="133" t="s">
        <v>17252</v>
      </c>
      <c r="WVJ2" s="133" t="s">
        <v>17253</v>
      </c>
      <c r="WVK2" s="133" t="s">
        <v>17254</v>
      </c>
      <c r="WVL2" s="133" t="s">
        <v>17255</v>
      </c>
      <c r="WVM2" s="133" t="s">
        <v>17256</v>
      </c>
      <c r="WVN2" s="133" t="s">
        <v>17257</v>
      </c>
      <c r="WVO2" s="133" t="s">
        <v>17258</v>
      </c>
      <c r="WVP2" s="133" t="s">
        <v>17259</v>
      </c>
      <c r="WVQ2" s="133" t="s">
        <v>17260</v>
      </c>
      <c r="WVR2" s="133" t="s">
        <v>17261</v>
      </c>
      <c r="WVS2" s="133" t="s">
        <v>17262</v>
      </c>
      <c r="WVT2" s="133" t="s">
        <v>17263</v>
      </c>
      <c r="WVU2" s="133" t="s">
        <v>17264</v>
      </c>
      <c r="WVV2" s="133" t="s">
        <v>17265</v>
      </c>
      <c r="WVW2" s="133" t="s">
        <v>17266</v>
      </c>
      <c r="WVX2" s="133" t="s">
        <v>17267</v>
      </c>
      <c r="WVY2" s="133" t="s">
        <v>17268</v>
      </c>
      <c r="WVZ2" s="133" t="s">
        <v>17269</v>
      </c>
      <c r="WWA2" s="133" t="s">
        <v>17270</v>
      </c>
      <c r="WWB2" s="133" t="s">
        <v>17271</v>
      </c>
      <c r="WWC2" s="133" t="s">
        <v>17272</v>
      </c>
      <c r="WWD2" s="133" t="s">
        <v>17273</v>
      </c>
      <c r="WWE2" s="133" t="s">
        <v>17274</v>
      </c>
      <c r="WWF2" s="133" t="s">
        <v>17275</v>
      </c>
      <c r="WWG2" s="133" t="s">
        <v>17276</v>
      </c>
      <c r="WWH2" s="133" t="s">
        <v>17277</v>
      </c>
      <c r="WWI2" s="133" t="s">
        <v>17278</v>
      </c>
      <c r="WWJ2" s="133" t="s">
        <v>17279</v>
      </c>
      <c r="WWK2" s="133" t="s">
        <v>17280</v>
      </c>
      <c r="WWL2" s="133" t="s">
        <v>17281</v>
      </c>
      <c r="WWM2" s="133" t="s">
        <v>17282</v>
      </c>
      <c r="WWN2" s="133" t="s">
        <v>17283</v>
      </c>
      <c r="WWO2" s="133" t="s">
        <v>17284</v>
      </c>
      <c r="WWP2" s="133" t="s">
        <v>17285</v>
      </c>
      <c r="WWQ2" s="133" t="s">
        <v>17286</v>
      </c>
      <c r="WWR2" s="133" t="s">
        <v>17287</v>
      </c>
      <c r="WWS2" s="133" t="s">
        <v>17288</v>
      </c>
      <c r="WWT2" s="133" t="s">
        <v>17289</v>
      </c>
      <c r="WWU2" s="133" t="s">
        <v>17290</v>
      </c>
      <c r="WWV2" s="133" t="s">
        <v>17291</v>
      </c>
      <c r="WWW2" s="133" t="s">
        <v>17292</v>
      </c>
      <c r="WWX2" s="133" t="s">
        <v>17293</v>
      </c>
      <c r="WWY2" s="133" t="s">
        <v>17294</v>
      </c>
      <c r="WWZ2" s="133" t="s">
        <v>17295</v>
      </c>
      <c r="WXA2" s="133" t="s">
        <v>17296</v>
      </c>
      <c r="WXB2" s="133" t="s">
        <v>17297</v>
      </c>
      <c r="WXC2" s="133" t="s">
        <v>17298</v>
      </c>
      <c r="WXD2" s="133" t="s">
        <v>17299</v>
      </c>
      <c r="WXE2" s="133" t="s">
        <v>17300</v>
      </c>
      <c r="WXF2" s="133" t="s">
        <v>17301</v>
      </c>
      <c r="WXG2" s="133" t="s">
        <v>17302</v>
      </c>
      <c r="WXH2" s="133" t="s">
        <v>17303</v>
      </c>
      <c r="WXI2" s="133" t="s">
        <v>17304</v>
      </c>
      <c r="WXJ2" s="133" t="s">
        <v>17305</v>
      </c>
      <c r="WXK2" s="133" t="s">
        <v>17306</v>
      </c>
      <c r="WXL2" s="133" t="s">
        <v>17307</v>
      </c>
      <c r="WXM2" s="133" t="s">
        <v>17308</v>
      </c>
      <c r="WXN2" s="133" t="s">
        <v>17309</v>
      </c>
      <c r="WXO2" s="133" t="s">
        <v>17310</v>
      </c>
      <c r="WXP2" s="133" t="s">
        <v>17311</v>
      </c>
      <c r="WXQ2" s="133" t="s">
        <v>17312</v>
      </c>
      <c r="WXR2" s="133" t="s">
        <v>17313</v>
      </c>
      <c r="WXS2" s="133" t="s">
        <v>17314</v>
      </c>
      <c r="WXT2" s="133" t="s">
        <v>17315</v>
      </c>
      <c r="WXU2" s="133" t="s">
        <v>17316</v>
      </c>
      <c r="WXV2" s="133" t="s">
        <v>17317</v>
      </c>
      <c r="WXW2" s="133" t="s">
        <v>17318</v>
      </c>
      <c r="WXX2" s="133" t="s">
        <v>17319</v>
      </c>
      <c r="WXY2" s="133" t="s">
        <v>17320</v>
      </c>
      <c r="WXZ2" s="133" t="s">
        <v>17321</v>
      </c>
      <c r="WYA2" s="133" t="s">
        <v>17322</v>
      </c>
      <c r="WYB2" s="133" t="s">
        <v>17323</v>
      </c>
      <c r="WYC2" s="133" t="s">
        <v>17324</v>
      </c>
      <c r="WYD2" s="133" t="s">
        <v>17325</v>
      </c>
      <c r="WYE2" s="133" t="s">
        <v>17326</v>
      </c>
      <c r="WYF2" s="133" t="s">
        <v>17327</v>
      </c>
      <c r="WYG2" s="133" t="s">
        <v>17328</v>
      </c>
      <c r="WYH2" s="133" t="s">
        <v>17329</v>
      </c>
      <c r="WYI2" s="133" t="s">
        <v>17330</v>
      </c>
      <c r="WYJ2" s="133" t="s">
        <v>17331</v>
      </c>
      <c r="WYK2" s="133" t="s">
        <v>17332</v>
      </c>
      <c r="WYL2" s="133" t="s">
        <v>17333</v>
      </c>
      <c r="WYM2" s="133" t="s">
        <v>17334</v>
      </c>
      <c r="WYN2" s="133" t="s">
        <v>17335</v>
      </c>
      <c r="WYO2" s="133" t="s">
        <v>17336</v>
      </c>
      <c r="WYP2" s="133" t="s">
        <v>17337</v>
      </c>
      <c r="WYQ2" s="133" t="s">
        <v>17338</v>
      </c>
      <c r="WYR2" s="133" t="s">
        <v>17339</v>
      </c>
      <c r="WYS2" s="133" t="s">
        <v>17340</v>
      </c>
      <c r="WYT2" s="133" t="s">
        <v>17341</v>
      </c>
      <c r="WYU2" s="133" t="s">
        <v>17342</v>
      </c>
      <c r="WYV2" s="133" t="s">
        <v>17343</v>
      </c>
      <c r="WYW2" s="133" t="s">
        <v>17344</v>
      </c>
      <c r="WYX2" s="133" t="s">
        <v>17345</v>
      </c>
      <c r="WYY2" s="133" t="s">
        <v>17346</v>
      </c>
      <c r="WYZ2" s="133" t="s">
        <v>17347</v>
      </c>
      <c r="WZA2" s="133" t="s">
        <v>17348</v>
      </c>
      <c r="WZB2" s="133" t="s">
        <v>17349</v>
      </c>
      <c r="WZC2" s="133" t="s">
        <v>17350</v>
      </c>
      <c r="WZD2" s="133" t="s">
        <v>17351</v>
      </c>
      <c r="WZE2" s="133" t="s">
        <v>17352</v>
      </c>
      <c r="WZF2" s="133" t="s">
        <v>17353</v>
      </c>
      <c r="WZG2" s="133" t="s">
        <v>17354</v>
      </c>
      <c r="WZH2" s="133" t="s">
        <v>17355</v>
      </c>
      <c r="WZI2" s="133" t="s">
        <v>17356</v>
      </c>
      <c r="WZJ2" s="133" t="s">
        <v>17357</v>
      </c>
      <c r="WZK2" s="133" t="s">
        <v>17358</v>
      </c>
      <c r="WZL2" s="133" t="s">
        <v>17359</v>
      </c>
      <c r="WZM2" s="133" t="s">
        <v>17360</v>
      </c>
      <c r="WZN2" s="133" t="s">
        <v>17361</v>
      </c>
      <c r="WZO2" s="133" t="s">
        <v>17362</v>
      </c>
      <c r="WZP2" s="133" t="s">
        <v>17363</v>
      </c>
      <c r="WZQ2" s="133" t="s">
        <v>17364</v>
      </c>
      <c r="WZR2" s="133" t="s">
        <v>17365</v>
      </c>
      <c r="WZS2" s="133" t="s">
        <v>17366</v>
      </c>
      <c r="WZT2" s="133" t="s">
        <v>17367</v>
      </c>
      <c r="WZU2" s="133" t="s">
        <v>17368</v>
      </c>
      <c r="WZV2" s="133" t="s">
        <v>17369</v>
      </c>
      <c r="WZW2" s="133" t="s">
        <v>17370</v>
      </c>
      <c r="WZX2" s="133" t="s">
        <v>17371</v>
      </c>
      <c r="WZY2" s="133" t="s">
        <v>17372</v>
      </c>
      <c r="WZZ2" s="133" t="s">
        <v>17373</v>
      </c>
      <c r="XAA2" s="133" t="s">
        <v>17374</v>
      </c>
      <c r="XAB2" s="133" t="s">
        <v>17375</v>
      </c>
      <c r="XAC2" s="133" t="s">
        <v>17376</v>
      </c>
      <c r="XAD2" s="133" t="s">
        <v>17377</v>
      </c>
      <c r="XAE2" s="133" t="s">
        <v>17378</v>
      </c>
      <c r="XAF2" s="133" t="s">
        <v>17379</v>
      </c>
      <c r="XAG2" s="133" t="s">
        <v>17380</v>
      </c>
      <c r="XAH2" s="133" t="s">
        <v>17381</v>
      </c>
      <c r="XAI2" s="133" t="s">
        <v>17382</v>
      </c>
      <c r="XAJ2" s="133" t="s">
        <v>17383</v>
      </c>
      <c r="XAK2" s="133" t="s">
        <v>17384</v>
      </c>
      <c r="XAL2" s="133" t="s">
        <v>17385</v>
      </c>
      <c r="XAM2" s="133" t="s">
        <v>17386</v>
      </c>
      <c r="XAN2" s="133" t="s">
        <v>17387</v>
      </c>
      <c r="XAO2" s="133" t="s">
        <v>17388</v>
      </c>
      <c r="XAP2" s="133" t="s">
        <v>17389</v>
      </c>
      <c r="XAQ2" s="133" t="s">
        <v>17390</v>
      </c>
      <c r="XAR2" s="133" t="s">
        <v>17391</v>
      </c>
      <c r="XAS2" s="133" t="s">
        <v>17392</v>
      </c>
      <c r="XAT2" s="133" t="s">
        <v>17393</v>
      </c>
      <c r="XAU2" s="133" t="s">
        <v>17394</v>
      </c>
      <c r="XAV2" s="133" t="s">
        <v>17395</v>
      </c>
      <c r="XAW2" s="133" t="s">
        <v>17396</v>
      </c>
      <c r="XAX2" s="133" t="s">
        <v>17397</v>
      </c>
      <c r="XAY2" s="133" t="s">
        <v>17398</v>
      </c>
      <c r="XAZ2" s="133" t="s">
        <v>17399</v>
      </c>
      <c r="XBA2" s="133" t="s">
        <v>17400</v>
      </c>
      <c r="XBB2" s="133" t="s">
        <v>17401</v>
      </c>
      <c r="XBC2" s="133" t="s">
        <v>17402</v>
      </c>
      <c r="XBD2" s="133" t="s">
        <v>17403</v>
      </c>
      <c r="XBE2" s="133" t="s">
        <v>17404</v>
      </c>
      <c r="XBF2" s="133" t="s">
        <v>17405</v>
      </c>
      <c r="XBG2" s="133" t="s">
        <v>17406</v>
      </c>
      <c r="XBH2" s="133" t="s">
        <v>17407</v>
      </c>
      <c r="XBI2" s="133" t="s">
        <v>17408</v>
      </c>
      <c r="XBJ2" s="133" t="s">
        <v>17409</v>
      </c>
      <c r="XBK2" s="133" t="s">
        <v>17410</v>
      </c>
      <c r="XBL2" s="133" t="s">
        <v>17411</v>
      </c>
      <c r="XBM2" s="133" t="s">
        <v>17412</v>
      </c>
      <c r="XBN2" s="133" t="s">
        <v>17413</v>
      </c>
      <c r="XBO2" s="133" t="s">
        <v>17414</v>
      </c>
      <c r="XBP2" s="133" t="s">
        <v>17415</v>
      </c>
      <c r="XBQ2" s="133" t="s">
        <v>17416</v>
      </c>
      <c r="XBR2" s="133" t="s">
        <v>17417</v>
      </c>
      <c r="XBS2" s="133" t="s">
        <v>17418</v>
      </c>
      <c r="XBT2" s="133" t="s">
        <v>17419</v>
      </c>
      <c r="XBU2" s="133" t="s">
        <v>17420</v>
      </c>
      <c r="XBV2" s="133" t="s">
        <v>17421</v>
      </c>
      <c r="XBW2" s="133" t="s">
        <v>17422</v>
      </c>
      <c r="XBX2" s="133" t="s">
        <v>17423</v>
      </c>
      <c r="XBY2" s="133" t="s">
        <v>17424</v>
      </c>
      <c r="XBZ2" s="133" t="s">
        <v>17425</v>
      </c>
      <c r="XCA2" s="133" t="s">
        <v>17426</v>
      </c>
      <c r="XCB2" s="133" t="s">
        <v>17427</v>
      </c>
      <c r="XCC2" s="133" t="s">
        <v>17428</v>
      </c>
      <c r="XCD2" s="133" t="s">
        <v>17429</v>
      </c>
      <c r="XCE2" s="133" t="s">
        <v>17430</v>
      </c>
      <c r="XCF2" s="133" t="s">
        <v>17431</v>
      </c>
      <c r="XCG2" s="133" t="s">
        <v>17432</v>
      </c>
      <c r="XCH2" s="133" t="s">
        <v>17433</v>
      </c>
      <c r="XCI2" s="133" t="s">
        <v>17434</v>
      </c>
      <c r="XCJ2" s="133" t="s">
        <v>17435</v>
      </c>
      <c r="XCK2" s="133" t="s">
        <v>17436</v>
      </c>
      <c r="XCL2" s="133" t="s">
        <v>17437</v>
      </c>
      <c r="XCM2" s="133" t="s">
        <v>17438</v>
      </c>
      <c r="XCN2" s="133" t="s">
        <v>17439</v>
      </c>
      <c r="XCO2" s="133" t="s">
        <v>17440</v>
      </c>
      <c r="XCP2" s="133" t="s">
        <v>17441</v>
      </c>
      <c r="XCQ2" s="133" t="s">
        <v>17442</v>
      </c>
      <c r="XCR2" s="133" t="s">
        <v>17443</v>
      </c>
      <c r="XCS2" s="133" t="s">
        <v>17444</v>
      </c>
      <c r="XCT2" s="133" t="s">
        <v>17445</v>
      </c>
      <c r="XCU2" s="133" t="s">
        <v>17446</v>
      </c>
      <c r="XCV2" s="133" t="s">
        <v>17447</v>
      </c>
      <c r="XCW2" s="133" t="s">
        <v>17448</v>
      </c>
      <c r="XCX2" s="133" t="s">
        <v>17449</v>
      </c>
      <c r="XCY2" s="133" t="s">
        <v>17450</v>
      </c>
      <c r="XCZ2" s="133" t="s">
        <v>17451</v>
      </c>
      <c r="XDA2" s="133" t="s">
        <v>17452</v>
      </c>
      <c r="XDB2" s="133" t="s">
        <v>17453</v>
      </c>
      <c r="XDC2" s="133" t="s">
        <v>17454</v>
      </c>
      <c r="XDD2" s="133" t="s">
        <v>17455</v>
      </c>
      <c r="XDE2" s="133" t="s">
        <v>17456</v>
      </c>
      <c r="XDF2" s="133" t="s">
        <v>17457</v>
      </c>
      <c r="XDG2" s="133" t="s">
        <v>17458</v>
      </c>
      <c r="XDH2" s="133" t="s">
        <v>17459</v>
      </c>
      <c r="XDI2" s="133" t="s">
        <v>17460</v>
      </c>
      <c r="XDJ2" s="133" t="s">
        <v>17461</v>
      </c>
      <c r="XDK2" s="133" t="s">
        <v>17462</v>
      </c>
      <c r="XDL2" s="133" t="s">
        <v>17463</v>
      </c>
      <c r="XDM2" s="133" t="s">
        <v>17464</v>
      </c>
      <c r="XDN2" s="133" t="s">
        <v>17465</v>
      </c>
      <c r="XDO2" s="133" t="s">
        <v>17466</v>
      </c>
      <c r="XDP2" s="133" t="s">
        <v>17467</v>
      </c>
      <c r="XDQ2" s="133" t="s">
        <v>17468</v>
      </c>
      <c r="XDR2" s="133" t="s">
        <v>17469</v>
      </c>
      <c r="XDS2" s="133" t="s">
        <v>17470</v>
      </c>
      <c r="XDT2" s="133" t="s">
        <v>17471</v>
      </c>
      <c r="XDU2" s="133" t="s">
        <v>17472</v>
      </c>
      <c r="XDV2" s="133" t="s">
        <v>17473</v>
      </c>
      <c r="XDW2" s="133" t="s">
        <v>17474</v>
      </c>
      <c r="XDX2" s="133" t="s">
        <v>17475</v>
      </c>
      <c r="XDY2" s="133" t="s">
        <v>17476</v>
      </c>
      <c r="XDZ2" s="133" t="s">
        <v>17477</v>
      </c>
      <c r="XEA2" s="133" t="s">
        <v>17478</v>
      </c>
      <c r="XEB2" s="133" t="s">
        <v>17479</v>
      </c>
      <c r="XEC2" s="133" t="s">
        <v>17480</v>
      </c>
      <c r="XED2" s="133" t="s">
        <v>17481</v>
      </c>
      <c r="XEE2" s="133" t="s">
        <v>17482</v>
      </c>
      <c r="XEF2" s="133" t="s">
        <v>17483</v>
      </c>
      <c r="XEG2" s="133" t="s">
        <v>17484</v>
      </c>
      <c r="XEH2" s="133" t="s">
        <v>17485</v>
      </c>
      <c r="XEI2" s="133" t="s">
        <v>17486</v>
      </c>
      <c r="XEJ2" s="133" t="s">
        <v>17487</v>
      </c>
      <c r="XEK2" s="133" t="s">
        <v>17488</v>
      </c>
      <c r="XEL2" s="133" t="s">
        <v>17489</v>
      </c>
      <c r="XEM2" s="133" t="s">
        <v>17490</v>
      </c>
      <c r="XEN2" s="133" t="s">
        <v>17491</v>
      </c>
      <c r="XEO2" s="133" t="s">
        <v>17492</v>
      </c>
      <c r="XEP2" s="133" t="s">
        <v>17493</v>
      </c>
      <c r="XEQ2" s="133" t="s">
        <v>17494</v>
      </c>
      <c r="XER2" s="133" t="s">
        <v>17495</v>
      </c>
      <c r="XES2" s="133" t="s">
        <v>17496</v>
      </c>
      <c r="XET2" s="133" t="s">
        <v>17497</v>
      </c>
      <c r="XEU2" s="133" t="s">
        <v>17498</v>
      </c>
      <c r="XEV2" s="133" t="s">
        <v>17499</v>
      </c>
      <c r="XEW2" s="133" t="s">
        <v>17500</v>
      </c>
      <c r="XEX2" s="133" t="s">
        <v>17501</v>
      </c>
      <c r="XEY2" s="133" t="s">
        <v>17502</v>
      </c>
      <c r="XEZ2" s="133" t="s">
        <v>17503</v>
      </c>
      <c r="XFA2" s="133" t="s">
        <v>17504</v>
      </c>
      <c r="XFB2" s="133" t="s">
        <v>17505</v>
      </c>
      <c r="XFC2" s="133" t="s">
        <v>17506</v>
      </c>
      <c r="XFD2" s="133" t="s">
        <v>17507</v>
      </c>
    </row>
    <row r="3" spans="1:16384" s="132" customFormat="1" ht="12.75" x14ac:dyDescent="0.25">
      <c r="A3" s="3" t="s">
        <v>21</v>
      </c>
      <c r="B3" s="4" t="s">
        <v>33</v>
      </c>
      <c r="C3" s="4" t="s">
        <v>34</v>
      </c>
      <c r="D3" s="4" t="s">
        <v>35</v>
      </c>
      <c r="E3" s="4" t="s">
        <v>25</v>
      </c>
      <c r="F3" s="4" t="s">
        <v>36</v>
      </c>
      <c r="G3" s="4"/>
      <c r="H3" s="4" t="s">
        <v>28</v>
      </c>
      <c r="I3" s="4" t="s">
        <v>37</v>
      </c>
      <c r="J3" s="51">
        <v>46021</v>
      </c>
      <c r="K3" s="51">
        <v>46019</v>
      </c>
      <c r="L3" s="51">
        <v>46021</v>
      </c>
      <c r="M3" s="51">
        <v>46022</v>
      </c>
      <c r="N3" s="51">
        <v>46025</v>
      </c>
      <c r="O3" s="4" t="s">
        <v>38</v>
      </c>
      <c r="P3" s="4" t="s">
        <v>32</v>
      </c>
      <c r="Q3" s="4"/>
      <c r="R3" s="5"/>
      <c r="S3" s="6"/>
      <c r="T3" s="6"/>
      <c r="U3" s="6"/>
    </row>
    <row r="4" spans="1:16384" s="22" customFormat="1" ht="12.75" x14ac:dyDescent="0.25">
      <c r="A4" s="3" t="s">
        <v>21</v>
      </c>
      <c r="B4" s="4" t="s">
        <v>22</v>
      </c>
      <c r="C4" s="4" t="s">
        <v>39</v>
      </c>
      <c r="D4" s="4" t="s">
        <v>40</v>
      </c>
      <c r="E4" s="4" t="s">
        <v>41</v>
      </c>
      <c r="F4" s="4" t="s">
        <v>42</v>
      </c>
      <c r="G4" s="4"/>
      <c r="H4" s="4" t="s">
        <v>43</v>
      </c>
      <c r="I4" s="4" t="s">
        <v>44</v>
      </c>
      <c r="J4" s="51">
        <v>46022</v>
      </c>
      <c r="K4" s="51">
        <v>46018</v>
      </c>
      <c r="L4" s="51" t="s">
        <v>45</v>
      </c>
      <c r="M4" s="51">
        <v>46024</v>
      </c>
      <c r="N4" s="51">
        <v>46024</v>
      </c>
      <c r="O4" s="4"/>
      <c r="P4" s="4"/>
      <c r="Q4" s="4"/>
      <c r="R4" s="4" t="s">
        <v>644</v>
      </c>
      <c r="S4" s="7" t="s">
        <v>645</v>
      </c>
      <c r="T4" s="7" t="s">
        <v>646</v>
      </c>
      <c r="U4" s="7" t="s">
        <v>647</v>
      </c>
    </row>
    <row r="5" spans="1:16384" s="22" customFormat="1" ht="12.75" x14ac:dyDescent="0.25">
      <c r="A5" s="3" t="s">
        <v>21</v>
      </c>
      <c r="B5" s="22" t="s">
        <v>22</v>
      </c>
      <c r="C5" s="22" t="s">
        <v>871</v>
      </c>
      <c r="D5" s="22" t="s">
        <v>870</v>
      </c>
      <c r="E5" s="22" t="s">
        <v>55</v>
      </c>
      <c r="H5" s="22" t="s">
        <v>57</v>
      </c>
      <c r="J5" s="52"/>
      <c r="K5" s="52"/>
      <c r="L5" s="52"/>
      <c r="M5" s="52">
        <v>46024</v>
      </c>
      <c r="N5" s="52">
        <v>46024</v>
      </c>
      <c r="R5" s="23" t="s">
        <v>872</v>
      </c>
      <c r="S5" s="6" t="s">
        <v>873</v>
      </c>
      <c r="T5" s="6" t="s">
        <v>874</v>
      </c>
      <c r="U5" s="6" t="s">
        <v>875</v>
      </c>
    </row>
    <row r="6" spans="1:16384" s="22" customFormat="1" ht="12.75" x14ac:dyDescent="0.25">
      <c r="A6" s="3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51">
        <v>46019</v>
      </c>
      <c r="K6" s="51">
        <v>46022</v>
      </c>
      <c r="L6" s="51">
        <v>46028</v>
      </c>
      <c r="M6" s="51">
        <v>46028</v>
      </c>
      <c r="N6" s="51">
        <v>46029</v>
      </c>
      <c r="O6" s="4" t="s">
        <v>31</v>
      </c>
      <c r="P6" s="4" t="s">
        <v>32</v>
      </c>
      <c r="Q6" s="4"/>
      <c r="R6" s="4" t="s">
        <v>648</v>
      </c>
      <c r="S6" s="7" t="s">
        <v>649</v>
      </c>
      <c r="T6" s="7" t="s">
        <v>650</v>
      </c>
      <c r="U6" s="7" t="s">
        <v>651</v>
      </c>
    </row>
    <row r="7" spans="1:16384" s="22" customFormat="1" ht="12.75" x14ac:dyDescent="0.25">
      <c r="A7" s="3" t="s">
        <v>21</v>
      </c>
      <c r="B7" s="4" t="s">
        <v>22</v>
      </c>
      <c r="C7" s="4" t="s">
        <v>46</v>
      </c>
      <c r="D7" s="4" t="s">
        <v>47</v>
      </c>
      <c r="E7" s="4" t="s">
        <v>41</v>
      </c>
      <c r="F7" s="4" t="s">
        <v>48</v>
      </c>
      <c r="G7" s="4"/>
      <c r="H7" s="4" t="s">
        <v>43</v>
      </c>
      <c r="I7" s="4" t="s">
        <v>49</v>
      </c>
      <c r="J7" s="51">
        <v>46028</v>
      </c>
      <c r="K7" s="51">
        <v>46026</v>
      </c>
      <c r="L7" s="51">
        <v>46028</v>
      </c>
      <c r="M7" s="51">
        <v>46030</v>
      </c>
      <c r="N7" s="51">
        <v>46030</v>
      </c>
      <c r="O7" s="4"/>
      <c r="P7" s="4"/>
      <c r="Q7" s="4"/>
      <c r="R7" s="4" t="s">
        <v>672</v>
      </c>
      <c r="S7" s="7" t="s">
        <v>673</v>
      </c>
      <c r="T7" s="7" t="s">
        <v>674</v>
      </c>
      <c r="U7" s="7" t="s">
        <v>675</v>
      </c>
    </row>
    <row r="8" spans="1:16384" s="22" customFormat="1" ht="12.75" x14ac:dyDescent="0.25">
      <c r="A8" s="3" t="s">
        <v>21</v>
      </c>
      <c r="B8" s="4" t="s">
        <v>22</v>
      </c>
      <c r="C8" s="4" t="s">
        <v>50</v>
      </c>
      <c r="D8" s="4" t="s">
        <v>51</v>
      </c>
      <c r="E8" s="4" t="s">
        <v>41</v>
      </c>
      <c r="F8" s="4" t="s">
        <v>52</v>
      </c>
      <c r="G8" s="4"/>
      <c r="H8" s="4" t="s">
        <v>43</v>
      </c>
      <c r="I8" s="4" t="s">
        <v>37</v>
      </c>
      <c r="J8" s="51">
        <v>46032</v>
      </c>
      <c r="K8" s="51">
        <v>46032</v>
      </c>
      <c r="L8" s="51">
        <v>45669</v>
      </c>
      <c r="M8" s="51">
        <v>46035</v>
      </c>
      <c r="N8" s="51">
        <v>46035</v>
      </c>
      <c r="O8" s="4"/>
      <c r="P8" s="4"/>
      <c r="Q8" s="4"/>
      <c r="R8" s="4" t="s">
        <v>668</v>
      </c>
      <c r="S8" s="7" t="s">
        <v>669</v>
      </c>
      <c r="T8" s="7" t="s">
        <v>670</v>
      </c>
      <c r="U8" s="7" t="s">
        <v>671</v>
      </c>
    </row>
    <row r="9" spans="1:16384" s="22" customFormat="1" ht="12.75" x14ac:dyDescent="0.25">
      <c r="A9" s="3" t="s">
        <v>21</v>
      </c>
      <c r="B9" s="4" t="s">
        <v>33</v>
      </c>
      <c r="C9" s="4" t="s">
        <v>53</v>
      </c>
      <c r="D9" s="4" t="s">
        <v>54</v>
      </c>
      <c r="E9" s="4" t="s">
        <v>55</v>
      </c>
      <c r="F9" s="4" t="s">
        <v>56</v>
      </c>
      <c r="G9" s="4"/>
      <c r="H9" s="4" t="s">
        <v>57</v>
      </c>
      <c r="I9" s="4" t="s">
        <v>37</v>
      </c>
      <c r="J9" s="51">
        <v>46032</v>
      </c>
      <c r="K9" s="51">
        <v>45669</v>
      </c>
      <c r="L9" s="51">
        <v>45669</v>
      </c>
      <c r="M9" s="51">
        <v>46036</v>
      </c>
      <c r="N9" s="51">
        <v>46036</v>
      </c>
      <c r="O9" s="4" t="s">
        <v>58</v>
      </c>
      <c r="P9" s="4" t="s">
        <v>32</v>
      </c>
      <c r="Q9" s="4"/>
      <c r="R9" s="4" t="s">
        <v>676</v>
      </c>
      <c r="S9" s="7" t="s">
        <v>677</v>
      </c>
      <c r="T9" s="7" t="s">
        <v>678</v>
      </c>
      <c r="U9" s="7" t="s">
        <v>679</v>
      </c>
    </row>
    <row r="10" spans="1:16384" s="22" customFormat="1" ht="12.75" x14ac:dyDescent="0.25">
      <c r="A10" s="3" t="s">
        <v>21</v>
      </c>
      <c r="B10" s="4" t="s">
        <v>22</v>
      </c>
      <c r="C10" s="4" t="s">
        <v>62</v>
      </c>
      <c r="D10" s="4" t="s">
        <v>63</v>
      </c>
      <c r="E10" s="4" t="s">
        <v>55</v>
      </c>
      <c r="F10" s="4" t="s">
        <v>56</v>
      </c>
      <c r="G10" s="4"/>
      <c r="H10" s="4" t="s">
        <v>64</v>
      </c>
      <c r="I10" s="4" t="s">
        <v>45</v>
      </c>
      <c r="J10" s="51">
        <v>46038</v>
      </c>
      <c r="K10" s="51">
        <v>46039</v>
      </c>
      <c r="L10" s="51" t="s">
        <v>45</v>
      </c>
      <c r="M10" s="51">
        <v>46039</v>
      </c>
      <c r="N10" s="51">
        <v>46039</v>
      </c>
      <c r="O10" s="4"/>
      <c r="P10" s="4"/>
      <c r="Q10" s="4"/>
      <c r="R10" s="4" t="s">
        <v>660</v>
      </c>
      <c r="S10" s="7" t="s">
        <v>661</v>
      </c>
      <c r="T10" s="7" t="s">
        <v>662</v>
      </c>
      <c r="U10" s="7" t="s">
        <v>663</v>
      </c>
    </row>
    <row r="11" spans="1:16384" s="22" customFormat="1" ht="12.75" x14ac:dyDescent="0.25">
      <c r="A11" s="3" t="s">
        <v>21</v>
      </c>
      <c r="B11" s="4" t="s">
        <v>22</v>
      </c>
      <c r="C11" s="4" t="s">
        <v>59</v>
      </c>
      <c r="D11" s="4" t="s">
        <v>60</v>
      </c>
      <c r="E11" s="4" t="s">
        <v>55</v>
      </c>
      <c r="F11" s="4" t="s">
        <v>56</v>
      </c>
      <c r="G11" s="4"/>
      <c r="H11" s="4" t="s">
        <v>57</v>
      </c>
      <c r="I11" s="4" t="s">
        <v>37</v>
      </c>
      <c r="J11" s="51">
        <v>46038</v>
      </c>
      <c r="K11" s="51">
        <v>46041</v>
      </c>
      <c r="L11" s="51">
        <v>46041</v>
      </c>
      <c r="M11" s="51">
        <v>46043</v>
      </c>
      <c r="N11" s="51">
        <v>46043</v>
      </c>
      <c r="O11" s="4" t="s">
        <v>61</v>
      </c>
      <c r="P11" s="4" t="s">
        <v>32</v>
      </c>
      <c r="Q11" s="4"/>
      <c r="R11" s="4" t="s">
        <v>664</v>
      </c>
      <c r="S11" s="7" t="s">
        <v>665</v>
      </c>
      <c r="T11" s="7" t="s">
        <v>666</v>
      </c>
      <c r="U11" s="7" t="s">
        <v>667</v>
      </c>
    </row>
    <row r="12" spans="1:16384" s="22" customFormat="1" ht="12.75" x14ac:dyDescent="0.25">
      <c r="A12" s="3" t="s">
        <v>21</v>
      </c>
      <c r="B12" s="4" t="s">
        <v>22</v>
      </c>
      <c r="C12" s="4" t="s">
        <v>65</v>
      </c>
      <c r="D12" s="4" t="s">
        <v>66</v>
      </c>
      <c r="E12" s="4" t="s">
        <v>25</v>
      </c>
      <c r="F12" s="4" t="s">
        <v>67</v>
      </c>
      <c r="G12" s="4"/>
      <c r="H12" s="4" t="s">
        <v>28</v>
      </c>
      <c r="I12" s="4" t="s">
        <v>37</v>
      </c>
      <c r="J12" s="51">
        <v>46043</v>
      </c>
      <c r="K12" s="51">
        <v>46043</v>
      </c>
      <c r="L12" s="51">
        <v>46044</v>
      </c>
      <c r="M12" s="51">
        <v>46045</v>
      </c>
      <c r="N12" s="51">
        <v>46045</v>
      </c>
      <c r="O12" s="4" t="s">
        <v>68</v>
      </c>
      <c r="P12" s="4" t="s">
        <v>32</v>
      </c>
      <c r="Q12" s="4"/>
      <c r="R12" s="4" t="s">
        <v>656</v>
      </c>
      <c r="S12" s="7" t="s">
        <v>657</v>
      </c>
      <c r="T12" s="7" t="s">
        <v>658</v>
      </c>
      <c r="U12" s="7" t="s">
        <v>659</v>
      </c>
    </row>
    <row r="13" spans="1:16384" s="22" customFormat="1" ht="12.75" x14ac:dyDescent="0.25">
      <c r="A13" s="3" t="s">
        <v>21</v>
      </c>
      <c r="B13" s="4" t="s">
        <v>22</v>
      </c>
      <c r="C13" s="4" t="s">
        <v>69</v>
      </c>
      <c r="D13" s="4" t="s">
        <v>70</v>
      </c>
      <c r="E13" s="4" t="s">
        <v>41</v>
      </c>
      <c r="F13" s="4" t="s">
        <v>71</v>
      </c>
      <c r="G13" s="4"/>
      <c r="H13" s="4" t="s">
        <v>43</v>
      </c>
      <c r="I13" s="4" t="s">
        <v>72</v>
      </c>
      <c r="J13" s="51">
        <v>46049</v>
      </c>
      <c r="K13" s="51">
        <v>46047</v>
      </c>
      <c r="L13" s="51">
        <v>46049</v>
      </c>
      <c r="M13" s="51">
        <v>46049</v>
      </c>
      <c r="N13" s="51">
        <v>46050</v>
      </c>
      <c r="O13" s="4"/>
      <c r="P13" s="4"/>
      <c r="Q13" s="4"/>
      <c r="R13" s="4" t="s">
        <v>652</v>
      </c>
      <c r="S13" s="7" t="s">
        <v>653</v>
      </c>
      <c r="T13" s="7" t="s">
        <v>654</v>
      </c>
      <c r="U13" s="7" t="s">
        <v>655</v>
      </c>
    </row>
    <row r="14" spans="1:16384" s="22" customFormat="1" ht="12.75" x14ac:dyDescent="0.25">
      <c r="A14" s="3" t="s">
        <v>73</v>
      </c>
      <c r="B14" s="4" t="s">
        <v>33</v>
      </c>
      <c r="C14" s="4" t="s">
        <v>74</v>
      </c>
      <c r="D14" s="4" t="s">
        <v>75</v>
      </c>
      <c r="E14" s="4" t="s">
        <v>55</v>
      </c>
      <c r="F14" s="4" t="s">
        <v>76</v>
      </c>
      <c r="G14" s="4" t="s">
        <v>77</v>
      </c>
      <c r="H14" s="4" t="s">
        <v>57</v>
      </c>
      <c r="I14" s="4" t="s">
        <v>37</v>
      </c>
      <c r="J14" s="51">
        <v>46052</v>
      </c>
      <c r="K14" s="51">
        <v>46055</v>
      </c>
      <c r="L14" s="51">
        <v>46055</v>
      </c>
      <c r="M14" s="51">
        <v>46055</v>
      </c>
      <c r="N14" s="51">
        <v>46055</v>
      </c>
      <c r="O14" s="4" t="s">
        <v>78</v>
      </c>
      <c r="P14" s="4" t="s">
        <v>79</v>
      </c>
      <c r="Q14" s="4"/>
      <c r="R14" s="4" t="s">
        <v>704</v>
      </c>
      <c r="S14" s="7" t="s">
        <v>706</v>
      </c>
      <c r="T14" s="7" t="s">
        <v>707</v>
      </c>
      <c r="U14" s="7" t="s">
        <v>708</v>
      </c>
    </row>
    <row r="15" spans="1:16384" s="22" customFormat="1" ht="12.75" x14ac:dyDescent="0.25">
      <c r="A15" s="3" t="s">
        <v>73</v>
      </c>
      <c r="B15" s="4" t="s">
        <v>33</v>
      </c>
      <c r="C15" s="4" t="s">
        <v>80</v>
      </c>
      <c r="D15" s="4" t="s">
        <v>81</v>
      </c>
      <c r="E15" s="4" t="s">
        <v>41</v>
      </c>
      <c r="F15" s="4" t="s">
        <v>82</v>
      </c>
      <c r="G15" s="4"/>
      <c r="H15" s="4" t="s">
        <v>43</v>
      </c>
      <c r="I15" s="4" t="s">
        <v>37</v>
      </c>
      <c r="J15" s="51">
        <v>46053</v>
      </c>
      <c r="K15" s="51">
        <v>46052</v>
      </c>
      <c r="L15" s="51">
        <v>46055</v>
      </c>
      <c r="M15" s="51">
        <v>46055</v>
      </c>
      <c r="N15" s="51">
        <v>46055</v>
      </c>
      <c r="O15" s="4"/>
      <c r="P15" s="4"/>
      <c r="Q15" s="4"/>
      <c r="R15" s="4" t="s">
        <v>705</v>
      </c>
      <c r="S15" s="7" t="s">
        <v>709</v>
      </c>
      <c r="T15" s="7" t="s">
        <v>710</v>
      </c>
      <c r="U15" s="7" t="s">
        <v>711</v>
      </c>
    </row>
    <row r="16" spans="1:16384" s="22" customFormat="1" ht="12.75" x14ac:dyDescent="0.25">
      <c r="A16" s="3" t="s">
        <v>73</v>
      </c>
      <c r="B16" s="4" t="s">
        <v>22</v>
      </c>
      <c r="C16" s="4" t="s">
        <v>83</v>
      </c>
      <c r="D16" s="4" t="s">
        <v>84</v>
      </c>
      <c r="E16" s="4" t="s">
        <v>25</v>
      </c>
      <c r="F16" s="4" t="s">
        <v>85</v>
      </c>
      <c r="G16" s="4" t="s">
        <v>86</v>
      </c>
      <c r="H16" s="4" t="s">
        <v>87</v>
      </c>
      <c r="I16" s="4" t="s">
        <v>37</v>
      </c>
      <c r="J16" s="51">
        <v>46056</v>
      </c>
      <c r="K16" s="51">
        <v>46055</v>
      </c>
      <c r="L16" s="51">
        <v>46056</v>
      </c>
      <c r="M16" s="51">
        <v>46057</v>
      </c>
      <c r="N16" s="51">
        <v>46057</v>
      </c>
      <c r="O16" s="4" t="s">
        <v>88</v>
      </c>
      <c r="P16" s="4" t="s">
        <v>89</v>
      </c>
      <c r="Q16" s="4"/>
      <c r="R16" s="4" t="s">
        <v>680</v>
      </c>
      <c r="S16" s="7" t="s">
        <v>686</v>
      </c>
      <c r="T16" s="7" t="s">
        <v>687</v>
      </c>
      <c r="U16" s="7" t="s">
        <v>688</v>
      </c>
    </row>
    <row r="17" spans="1:21" s="22" customFormat="1" ht="12.75" x14ac:dyDescent="0.25">
      <c r="A17" s="3" t="s">
        <v>73</v>
      </c>
      <c r="B17" s="4" t="s">
        <v>33</v>
      </c>
      <c r="C17" s="4" t="s">
        <v>90</v>
      </c>
      <c r="D17" s="4" t="s">
        <v>91</v>
      </c>
      <c r="E17" s="4" t="s">
        <v>25</v>
      </c>
      <c r="F17" s="4" t="s">
        <v>85</v>
      </c>
      <c r="G17" s="4" t="s">
        <v>86</v>
      </c>
      <c r="H17" s="4" t="s">
        <v>87</v>
      </c>
      <c r="I17" s="4" t="s">
        <v>37</v>
      </c>
      <c r="J17" s="51">
        <v>46056</v>
      </c>
      <c r="K17" s="51">
        <v>46055</v>
      </c>
      <c r="L17" s="51">
        <v>46056</v>
      </c>
      <c r="M17" s="51">
        <v>46057</v>
      </c>
      <c r="N17" s="51">
        <v>46057</v>
      </c>
      <c r="O17" s="4" t="s">
        <v>88</v>
      </c>
      <c r="P17" s="4" t="s">
        <v>89</v>
      </c>
      <c r="Q17" s="4"/>
      <c r="R17" s="4" t="s">
        <v>712</v>
      </c>
      <c r="S17" s="7" t="s">
        <v>713</v>
      </c>
      <c r="T17" s="7" t="s">
        <v>714</v>
      </c>
      <c r="U17" s="7" t="s">
        <v>715</v>
      </c>
    </row>
    <row r="18" spans="1:21" s="22" customFormat="1" ht="12.75" x14ac:dyDescent="0.25">
      <c r="A18" s="3" t="s">
        <v>73</v>
      </c>
      <c r="B18" s="4" t="s">
        <v>22</v>
      </c>
      <c r="C18" s="4" t="s">
        <v>92</v>
      </c>
      <c r="D18" s="4" t="s">
        <v>93</v>
      </c>
      <c r="E18" s="4" t="s">
        <v>55</v>
      </c>
      <c r="F18" s="4" t="s">
        <v>56</v>
      </c>
      <c r="G18" s="4"/>
      <c r="H18" s="4" t="s">
        <v>57</v>
      </c>
      <c r="I18" s="4" t="s">
        <v>37</v>
      </c>
      <c r="J18" s="51">
        <v>46060</v>
      </c>
      <c r="K18" s="51">
        <v>46062</v>
      </c>
      <c r="L18" s="51">
        <v>46062</v>
      </c>
      <c r="M18" s="51">
        <v>46063</v>
      </c>
      <c r="N18" s="51">
        <v>46063</v>
      </c>
      <c r="O18" s="4" t="s">
        <v>94</v>
      </c>
      <c r="P18" s="4" t="s">
        <v>32</v>
      </c>
      <c r="Q18" s="4"/>
      <c r="R18" s="4" t="s">
        <v>682</v>
      </c>
      <c r="S18" s="7" t="s">
        <v>692</v>
      </c>
      <c r="T18" s="7" t="s">
        <v>693</v>
      </c>
      <c r="U18" s="7" t="s">
        <v>694</v>
      </c>
    </row>
    <row r="19" spans="1:21" s="22" customFormat="1" ht="12.75" x14ac:dyDescent="0.25">
      <c r="A19" s="3" t="s">
        <v>73</v>
      </c>
      <c r="B19" s="4" t="s">
        <v>33</v>
      </c>
      <c r="C19" s="4" t="s">
        <v>95</v>
      </c>
      <c r="D19" s="4" t="s">
        <v>96</v>
      </c>
      <c r="E19" s="4" t="s">
        <v>55</v>
      </c>
      <c r="F19" s="4" t="s">
        <v>56</v>
      </c>
      <c r="G19" s="4"/>
      <c r="H19" s="4" t="s">
        <v>57</v>
      </c>
      <c r="I19" s="4" t="s">
        <v>37</v>
      </c>
      <c r="J19" s="51">
        <v>46060</v>
      </c>
      <c r="K19" s="51">
        <v>46062</v>
      </c>
      <c r="L19" s="51">
        <v>46062</v>
      </c>
      <c r="M19" s="51">
        <v>46063</v>
      </c>
      <c r="N19" s="51">
        <v>46063</v>
      </c>
      <c r="O19" s="4" t="s">
        <v>94</v>
      </c>
      <c r="P19" s="4" t="s">
        <v>32</v>
      </c>
      <c r="Q19" s="4"/>
      <c r="R19" s="4" t="s">
        <v>716</v>
      </c>
      <c r="S19" s="7" t="s">
        <v>717</v>
      </c>
      <c r="T19" s="7" t="s">
        <v>718</v>
      </c>
      <c r="U19" s="7" t="s">
        <v>719</v>
      </c>
    </row>
    <row r="20" spans="1:21" s="22" customFormat="1" ht="12.75" x14ac:dyDescent="0.25">
      <c r="A20" s="3" t="s">
        <v>73</v>
      </c>
      <c r="B20" s="4" t="s">
        <v>22</v>
      </c>
      <c r="C20" s="4" t="s">
        <v>97</v>
      </c>
      <c r="D20" s="4" t="s">
        <v>98</v>
      </c>
      <c r="E20" s="4" t="s">
        <v>41</v>
      </c>
      <c r="F20" s="4" t="s">
        <v>99</v>
      </c>
      <c r="G20" s="4"/>
      <c r="H20" s="4" t="s">
        <v>43</v>
      </c>
      <c r="I20" s="4" t="s">
        <v>100</v>
      </c>
      <c r="J20" s="51">
        <v>46060</v>
      </c>
      <c r="K20" s="51">
        <v>46060</v>
      </c>
      <c r="L20" s="51">
        <v>46062</v>
      </c>
      <c r="M20" s="51">
        <v>46063</v>
      </c>
      <c r="N20" s="51">
        <v>46063</v>
      </c>
      <c r="O20" s="4"/>
      <c r="P20" s="4"/>
      <c r="Q20" s="4"/>
      <c r="R20" s="4" t="s">
        <v>681</v>
      </c>
      <c r="S20" s="7" t="s">
        <v>689</v>
      </c>
      <c r="T20" s="7" t="s">
        <v>690</v>
      </c>
      <c r="U20" s="7" t="s">
        <v>691</v>
      </c>
    </row>
    <row r="21" spans="1:21" s="22" customFormat="1" ht="12.75" x14ac:dyDescent="0.25">
      <c r="A21" s="3" t="s">
        <v>73</v>
      </c>
      <c r="B21" s="4" t="s">
        <v>22</v>
      </c>
      <c r="C21" s="4" t="s">
        <v>101</v>
      </c>
      <c r="D21" s="4" t="s">
        <v>102</v>
      </c>
      <c r="E21" s="4" t="s">
        <v>25</v>
      </c>
      <c r="F21" s="4" t="s">
        <v>103</v>
      </c>
      <c r="G21" s="4" t="s">
        <v>104</v>
      </c>
      <c r="H21" s="4" t="s">
        <v>28</v>
      </c>
      <c r="I21" s="4" t="s">
        <v>37</v>
      </c>
      <c r="J21" s="51">
        <v>46070</v>
      </c>
      <c r="K21" s="51">
        <v>46068</v>
      </c>
      <c r="L21" s="51">
        <v>46071</v>
      </c>
      <c r="M21" s="51">
        <v>46071</v>
      </c>
      <c r="N21" s="51">
        <v>46072</v>
      </c>
      <c r="O21" s="4" t="s">
        <v>105</v>
      </c>
      <c r="P21" s="4" t="s">
        <v>32</v>
      </c>
      <c r="Q21" s="4"/>
      <c r="R21" s="4" t="s">
        <v>683</v>
      </c>
      <c r="S21" s="7" t="s">
        <v>695</v>
      </c>
      <c r="T21" s="7" t="s">
        <v>696</v>
      </c>
      <c r="U21" s="7" t="s">
        <v>697</v>
      </c>
    </row>
    <row r="22" spans="1:21" s="22" customFormat="1" ht="12.75" x14ac:dyDescent="0.25">
      <c r="A22" s="3" t="s">
        <v>73</v>
      </c>
      <c r="B22" s="4" t="s">
        <v>33</v>
      </c>
      <c r="C22" s="4" t="s">
        <v>106</v>
      </c>
      <c r="D22" s="4" t="s">
        <v>107</v>
      </c>
      <c r="E22" s="4" t="s">
        <v>25</v>
      </c>
      <c r="F22" s="4" t="s">
        <v>103</v>
      </c>
      <c r="G22" s="4" t="s">
        <v>104</v>
      </c>
      <c r="H22" s="4" t="s">
        <v>28</v>
      </c>
      <c r="I22" s="4" t="s">
        <v>37</v>
      </c>
      <c r="J22" s="51">
        <v>46070</v>
      </c>
      <c r="K22" s="51">
        <v>46068</v>
      </c>
      <c r="L22" s="51">
        <v>46071</v>
      </c>
      <c r="M22" s="51">
        <v>46071</v>
      </c>
      <c r="N22" s="51">
        <v>46072</v>
      </c>
      <c r="O22" s="4" t="s">
        <v>105</v>
      </c>
      <c r="P22" s="4" t="s">
        <v>32</v>
      </c>
      <c r="Q22" s="4"/>
      <c r="R22" s="4" t="s">
        <v>720</v>
      </c>
      <c r="S22" s="7" t="s">
        <v>721</v>
      </c>
      <c r="T22" s="7" t="s">
        <v>722</v>
      </c>
      <c r="U22" s="7" t="s">
        <v>723</v>
      </c>
    </row>
    <row r="23" spans="1:21" s="22" customFormat="1" ht="12.75" x14ac:dyDescent="0.25">
      <c r="A23" s="3" t="s">
        <v>73</v>
      </c>
      <c r="B23" s="4" t="s">
        <v>22</v>
      </c>
      <c r="C23" s="4" t="s">
        <v>108</v>
      </c>
      <c r="D23" s="4" t="s">
        <v>109</v>
      </c>
      <c r="E23" s="4" t="s">
        <v>25</v>
      </c>
      <c r="F23" s="4" t="s">
        <v>110</v>
      </c>
      <c r="G23" s="4" t="s">
        <v>111</v>
      </c>
      <c r="H23" s="4" t="s">
        <v>28</v>
      </c>
      <c r="I23" s="4" t="s">
        <v>112</v>
      </c>
      <c r="J23" s="51">
        <v>46070</v>
      </c>
      <c r="K23" s="51">
        <v>46069</v>
      </c>
      <c r="L23" s="51">
        <v>46071</v>
      </c>
      <c r="M23" s="51">
        <v>46073</v>
      </c>
      <c r="N23" s="51">
        <v>46074</v>
      </c>
      <c r="O23" s="4" t="s">
        <v>113</v>
      </c>
      <c r="P23" s="4" t="s">
        <v>32</v>
      </c>
      <c r="Q23" s="4"/>
      <c r="R23" s="4" t="s">
        <v>684</v>
      </c>
      <c r="S23" s="7" t="s">
        <v>698</v>
      </c>
      <c r="T23" s="7" t="s">
        <v>699</v>
      </c>
      <c r="U23" s="7" t="s">
        <v>700</v>
      </c>
    </row>
    <row r="24" spans="1:21" s="22" customFormat="1" ht="12.75" x14ac:dyDescent="0.25">
      <c r="A24" s="3" t="s">
        <v>73</v>
      </c>
      <c r="B24" s="4" t="s">
        <v>22</v>
      </c>
      <c r="C24" s="4" t="s">
        <v>114</v>
      </c>
      <c r="D24" s="4" t="s">
        <v>115</v>
      </c>
      <c r="E24" s="4" t="s">
        <v>25</v>
      </c>
      <c r="F24" s="4" t="s">
        <v>116</v>
      </c>
      <c r="G24" s="4" t="s">
        <v>104</v>
      </c>
      <c r="H24" s="4" t="s">
        <v>28</v>
      </c>
      <c r="I24" s="4" t="s">
        <v>37</v>
      </c>
      <c r="J24" s="51">
        <v>46078</v>
      </c>
      <c r="K24" s="51">
        <v>46078</v>
      </c>
      <c r="L24" s="51">
        <v>46080</v>
      </c>
      <c r="M24" s="51">
        <v>46081</v>
      </c>
      <c r="N24" s="51">
        <v>46083</v>
      </c>
      <c r="O24" s="4" t="s">
        <v>117</v>
      </c>
      <c r="P24" s="4" t="s">
        <v>32</v>
      </c>
      <c r="Q24" s="4"/>
      <c r="R24" s="4" t="s">
        <v>685</v>
      </c>
      <c r="S24" s="7" t="s">
        <v>701</v>
      </c>
      <c r="T24" s="7" t="s">
        <v>702</v>
      </c>
      <c r="U24" s="7" t="s">
        <v>703</v>
      </c>
    </row>
    <row r="25" spans="1:21" s="22" customFormat="1" ht="12.75" x14ac:dyDescent="0.25">
      <c r="A25" s="3" t="s">
        <v>73</v>
      </c>
      <c r="B25" s="4" t="s">
        <v>33</v>
      </c>
      <c r="C25" s="4" t="s">
        <v>118</v>
      </c>
      <c r="D25" s="4" t="s">
        <v>119</v>
      </c>
      <c r="E25" s="4" t="s">
        <v>25</v>
      </c>
      <c r="F25" s="4" t="s">
        <v>116</v>
      </c>
      <c r="G25" s="4" t="s">
        <v>104</v>
      </c>
      <c r="H25" s="4" t="s">
        <v>28</v>
      </c>
      <c r="I25" s="4" t="s">
        <v>37</v>
      </c>
      <c r="J25" s="51">
        <v>46078</v>
      </c>
      <c r="K25" s="51">
        <v>46078</v>
      </c>
      <c r="L25" s="51">
        <v>46080</v>
      </c>
      <c r="M25" s="51">
        <v>46081</v>
      </c>
      <c r="N25" s="51">
        <v>46083</v>
      </c>
      <c r="O25" s="4" t="s">
        <v>117</v>
      </c>
      <c r="P25" s="4" t="s">
        <v>32</v>
      </c>
      <c r="Q25" s="4"/>
      <c r="R25" s="4" t="s">
        <v>724</v>
      </c>
      <c r="S25" s="7" t="s">
        <v>725</v>
      </c>
      <c r="T25" s="7" t="s">
        <v>726</v>
      </c>
      <c r="U25" s="7" t="s">
        <v>727</v>
      </c>
    </row>
    <row r="26" spans="1:21" s="22" customFormat="1" ht="12.75" x14ac:dyDescent="0.25">
      <c r="A26" s="3" t="s">
        <v>120</v>
      </c>
      <c r="B26" s="4" t="s">
        <v>22</v>
      </c>
      <c r="C26" s="4" t="s">
        <v>121</v>
      </c>
      <c r="D26" s="4" t="s">
        <v>122</v>
      </c>
      <c r="E26" s="4" t="s">
        <v>41</v>
      </c>
      <c r="F26" s="4" t="s">
        <v>123</v>
      </c>
      <c r="G26" s="4"/>
      <c r="H26" s="4" t="s">
        <v>43</v>
      </c>
      <c r="I26" s="4" t="s">
        <v>124</v>
      </c>
      <c r="J26" s="51">
        <v>46087</v>
      </c>
      <c r="K26" s="51">
        <v>46089</v>
      </c>
      <c r="L26" s="51">
        <v>46087</v>
      </c>
      <c r="M26" s="51">
        <v>46090</v>
      </c>
      <c r="N26" s="51">
        <v>46090</v>
      </c>
      <c r="O26" s="4"/>
      <c r="P26" s="4"/>
      <c r="Q26" s="4"/>
      <c r="R26" s="4" t="s">
        <v>764</v>
      </c>
      <c r="S26" s="7" t="s">
        <v>805</v>
      </c>
      <c r="T26" s="7" t="s">
        <v>806</v>
      </c>
      <c r="U26" s="7" t="s">
        <v>807</v>
      </c>
    </row>
    <row r="27" spans="1:21" s="22" customFormat="1" ht="12.75" x14ac:dyDescent="0.25">
      <c r="A27" s="3" t="s">
        <v>120</v>
      </c>
      <c r="B27" s="4" t="s">
        <v>22</v>
      </c>
      <c r="C27" s="4" t="s">
        <v>125</v>
      </c>
      <c r="D27" s="4" t="s">
        <v>126</v>
      </c>
      <c r="E27" s="4" t="s">
        <v>41</v>
      </c>
      <c r="F27" s="4" t="s">
        <v>48</v>
      </c>
      <c r="G27" s="4"/>
      <c r="H27" s="4" t="s">
        <v>43</v>
      </c>
      <c r="I27" s="4" t="s">
        <v>37</v>
      </c>
      <c r="J27" s="51">
        <v>46088</v>
      </c>
      <c r="K27" s="51">
        <v>46087</v>
      </c>
      <c r="L27" s="51">
        <v>46088</v>
      </c>
      <c r="M27" s="51">
        <v>46090</v>
      </c>
      <c r="N27" s="51">
        <v>46090</v>
      </c>
      <c r="O27" s="4"/>
      <c r="P27" s="4"/>
      <c r="Q27" s="4"/>
      <c r="R27" s="4" t="s">
        <v>765</v>
      </c>
      <c r="S27" s="7" t="s">
        <v>802</v>
      </c>
      <c r="T27" s="7" t="s">
        <v>803</v>
      </c>
      <c r="U27" s="7" t="s">
        <v>804</v>
      </c>
    </row>
    <row r="28" spans="1:21" s="22" customFormat="1" ht="12.75" x14ac:dyDescent="0.25">
      <c r="A28" s="3" t="s">
        <v>120</v>
      </c>
      <c r="B28" s="4" t="s">
        <v>22</v>
      </c>
      <c r="C28" s="4" t="s">
        <v>127</v>
      </c>
      <c r="D28" s="4" t="s">
        <v>128</v>
      </c>
      <c r="E28" s="4" t="s">
        <v>55</v>
      </c>
      <c r="F28" s="4" t="s">
        <v>56</v>
      </c>
      <c r="G28" s="4"/>
      <c r="H28" s="4" t="s">
        <v>57</v>
      </c>
      <c r="I28" s="4" t="s">
        <v>37</v>
      </c>
      <c r="J28" s="51">
        <v>46088</v>
      </c>
      <c r="K28" s="51">
        <v>46090</v>
      </c>
      <c r="L28" s="51">
        <v>46090</v>
      </c>
      <c r="M28" s="51">
        <v>46091</v>
      </c>
      <c r="N28" s="51">
        <v>46091</v>
      </c>
      <c r="O28" s="4" t="s">
        <v>129</v>
      </c>
      <c r="P28" s="4" t="s">
        <v>130</v>
      </c>
      <c r="Q28" s="4"/>
      <c r="R28" s="4" t="s">
        <v>766</v>
      </c>
      <c r="S28" s="7" t="s">
        <v>799</v>
      </c>
      <c r="T28" s="7" t="s">
        <v>800</v>
      </c>
      <c r="U28" s="7" t="s">
        <v>801</v>
      </c>
    </row>
    <row r="29" spans="1:21" s="22" customFormat="1" ht="12.75" x14ac:dyDescent="0.25">
      <c r="A29" s="3" t="s">
        <v>120</v>
      </c>
      <c r="B29" s="4" t="s">
        <v>33</v>
      </c>
      <c r="C29" s="4" t="s">
        <v>131</v>
      </c>
      <c r="D29" s="4" t="s">
        <v>132</v>
      </c>
      <c r="E29" s="4" t="s">
        <v>55</v>
      </c>
      <c r="F29" s="4" t="s">
        <v>56</v>
      </c>
      <c r="G29" s="4"/>
      <c r="H29" s="4" t="s">
        <v>57</v>
      </c>
      <c r="I29" s="4" t="s">
        <v>37</v>
      </c>
      <c r="J29" s="51">
        <v>46088</v>
      </c>
      <c r="K29" s="51">
        <v>46090</v>
      </c>
      <c r="L29" s="51">
        <v>46090</v>
      </c>
      <c r="M29" s="51">
        <v>46091</v>
      </c>
      <c r="N29" s="51">
        <v>46091</v>
      </c>
      <c r="O29" s="4" t="s">
        <v>129</v>
      </c>
      <c r="P29" s="4" t="s">
        <v>133</v>
      </c>
      <c r="Q29" s="4"/>
      <c r="R29" s="4" t="s">
        <v>728</v>
      </c>
      <c r="S29" s="7" t="s">
        <v>729</v>
      </c>
      <c r="T29" s="7" t="s">
        <v>730</v>
      </c>
      <c r="U29" s="7" t="s">
        <v>731</v>
      </c>
    </row>
    <row r="30" spans="1:21" s="22" customFormat="1" ht="12.75" x14ac:dyDescent="0.25">
      <c r="A30" s="3" t="s">
        <v>120</v>
      </c>
      <c r="B30" s="4" t="s">
        <v>22</v>
      </c>
      <c r="C30" s="4" t="s">
        <v>148</v>
      </c>
      <c r="D30" s="4" t="s">
        <v>149</v>
      </c>
      <c r="E30" s="4" t="s">
        <v>41</v>
      </c>
      <c r="F30" s="4"/>
      <c r="G30" s="4"/>
      <c r="H30" s="4" t="s">
        <v>43</v>
      </c>
      <c r="I30" s="4" t="s">
        <v>37</v>
      </c>
      <c r="J30" s="51">
        <v>46092</v>
      </c>
      <c r="K30" s="51">
        <v>46092</v>
      </c>
      <c r="L30" s="51">
        <v>46092</v>
      </c>
      <c r="M30" s="51">
        <v>46093</v>
      </c>
      <c r="N30" s="51">
        <v>46094</v>
      </c>
      <c r="O30" s="4"/>
      <c r="P30" s="4"/>
      <c r="Q30" s="4"/>
      <c r="R30" s="4" t="s">
        <v>767</v>
      </c>
      <c r="S30" s="7" t="s">
        <v>793</v>
      </c>
      <c r="T30" s="7" t="s">
        <v>794</v>
      </c>
      <c r="U30" s="7" t="s">
        <v>795</v>
      </c>
    </row>
    <row r="31" spans="1:21" s="22" customFormat="1" ht="12.75" x14ac:dyDescent="0.25">
      <c r="A31" s="3" t="s">
        <v>120</v>
      </c>
      <c r="B31" s="4" t="s">
        <v>33</v>
      </c>
      <c r="C31" s="4" t="s">
        <v>134</v>
      </c>
      <c r="D31" s="4" t="s">
        <v>135</v>
      </c>
      <c r="E31" s="4" t="s">
        <v>25</v>
      </c>
      <c r="F31" s="4" t="s">
        <v>136</v>
      </c>
      <c r="G31" s="4" t="s">
        <v>137</v>
      </c>
      <c r="H31" s="4" t="s">
        <v>28</v>
      </c>
      <c r="I31" s="4" t="s">
        <v>37</v>
      </c>
      <c r="J31" s="51">
        <v>46090</v>
      </c>
      <c r="K31" s="51">
        <v>46090</v>
      </c>
      <c r="L31" s="51">
        <v>46092</v>
      </c>
      <c r="M31" s="51">
        <v>46094</v>
      </c>
      <c r="N31" s="51">
        <v>46095</v>
      </c>
      <c r="O31" s="4" t="s">
        <v>138</v>
      </c>
      <c r="P31" s="4" t="s">
        <v>139</v>
      </c>
      <c r="Q31" s="4"/>
      <c r="R31" s="4" t="s">
        <v>732</v>
      </c>
      <c r="S31" s="7" t="s">
        <v>733</v>
      </c>
      <c r="T31" s="7" t="s">
        <v>734</v>
      </c>
      <c r="U31" s="7" t="s">
        <v>735</v>
      </c>
    </row>
    <row r="32" spans="1:21" s="22" customFormat="1" ht="12.75" x14ac:dyDescent="0.25">
      <c r="A32" s="3" t="s">
        <v>120</v>
      </c>
      <c r="B32" s="4" t="s">
        <v>33</v>
      </c>
      <c r="C32" s="4" t="s">
        <v>140</v>
      </c>
      <c r="D32" s="4" t="s">
        <v>141</v>
      </c>
      <c r="E32" s="4" t="s">
        <v>25</v>
      </c>
      <c r="F32" s="4" t="s">
        <v>136</v>
      </c>
      <c r="G32" s="4" t="s">
        <v>137</v>
      </c>
      <c r="H32" s="4" t="s">
        <v>28</v>
      </c>
      <c r="I32" s="4" t="s">
        <v>37</v>
      </c>
      <c r="J32" s="51">
        <v>46090</v>
      </c>
      <c r="K32" s="51">
        <v>46090</v>
      </c>
      <c r="L32" s="51">
        <v>46092</v>
      </c>
      <c r="M32" s="51">
        <v>46094</v>
      </c>
      <c r="N32" s="51">
        <v>46095</v>
      </c>
      <c r="O32" s="4" t="s">
        <v>138</v>
      </c>
      <c r="P32" s="4" t="s">
        <v>139</v>
      </c>
      <c r="Q32" s="4"/>
      <c r="R32" s="4" t="s">
        <v>744</v>
      </c>
      <c r="S32" s="7" t="s">
        <v>745</v>
      </c>
      <c r="T32" s="7" t="s">
        <v>746</v>
      </c>
      <c r="U32" s="7" t="s">
        <v>747</v>
      </c>
    </row>
    <row r="33" spans="1:21" s="22" customFormat="1" ht="12.75" x14ac:dyDescent="0.25">
      <c r="A33" s="3" t="s">
        <v>120</v>
      </c>
      <c r="B33" s="4" t="s">
        <v>22</v>
      </c>
      <c r="C33" s="4" t="s">
        <v>150</v>
      </c>
      <c r="D33" s="4" t="s">
        <v>151</v>
      </c>
      <c r="E33" s="4" t="s">
        <v>25</v>
      </c>
      <c r="F33" s="4" t="s">
        <v>152</v>
      </c>
      <c r="G33" s="4" t="s">
        <v>144</v>
      </c>
      <c r="H33" s="4" t="s">
        <v>28</v>
      </c>
      <c r="I33" s="4" t="s">
        <v>37</v>
      </c>
      <c r="J33" s="51">
        <v>46092</v>
      </c>
      <c r="K33" s="51">
        <v>46093</v>
      </c>
      <c r="L33" s="51">
        <v>46094</v>
      </c>
      <c r="M33" s="51">
        <v>46095</v>
      </c>
      <c r="N33" s="51">
        <v>46097</v>
      </c>
      <c r="O33" s="4" t="s">
        <v>153</v>
      </c>
      <c r="P33" s="4" t="s">
        <v>133</v>
      </c>
      <c r="Q33" s="4"/>
      <c r="R33" s="4" t="s">
        <v>769</v>
      </c>
      <c r="S33" s="7" t="s">
        <v>790</v>
      </c>
      <c r="T33" s="7" t="s">
        <v>791</v>
      </c>
      <c r="U33" s="7" t="s">
        <v>792</v>
      </c>
    </row>
    <row r="34" spans="1:21" s="22" customFormat="1" ht="12.75" x14ac:dyDescent="0.25">
      <c r="A34" s="3" t="s">
        <v>120</v>
      </c>
      <c r="B34" s="4" t="s">
        <v>33</v>
      </c>
      <c r="C34" s="4" t="s">
        <v>154</v>
      </c>
      <c r="D34" s="4" t="s">
        <v>155</v>
      </c>
      <c r="E34" s="4" t="s">
        <v>25</v>
      </c>
      <c r="F34" s="4" t="s">
        <v>152</v>
      </c>
      <c r="G34" s="4" t="s">
        <v>144</v>
      </c>
      <c r="H34" s="4" t="s">
        <v>28</v>
      </c>
      <c r="I34" s="4" t="s">
        <v>37</v>
      </c>
      <c r="J34" s="51">
        <v>46092</v>
      </c>
      <c r="K34" s="51">
        <v>46093</v>
      </c>
      <c r="L34" s="51">
        <v>46094</v>
      </c>
      <c r="M34" s="51">
        <v>46095</v>
      </c>
      <c r="N34" s="51">
        <v>46097</v>
      </c>
      <c r="O34" s="4" t="s">
        <v>153</v>
      </c>
      <c r="P34" s="4" t="s">
        <v>133</v>
      </c>
      <c r="Q34" s="4"/>
      <c r="R34" s="4" t="s">
        <v>736</v>
      </c>
      <c r="S34" s="7" t="s">
        <v>737</v>
      </c>
      <c r="T34" s="7" t="s">
        <v>738</v>
      </c>
      <c r="U34" s="7" t="s">
        <v>739</v>
      </c>
    </row>
    <row r="35" spans="1:21" s="22" customFormat="1" ht="12.75" x14ac:dyDescent="0.25">
      <c r="A35" s="3" t="s">
        <v>120</v>
      </c>
      <c r="B35" s="4" t="s">
        <v>22</v>
      </c>
      <c r="C35" s="4" t="s">
        <v>142</v>
      </c>
      <c r="D35" s="4" t="s">
        <v>143</v>
      </c>
      <c r="E35" s="4" t="s">
        <v>25</v>
      </c>
      <c r="F35" s="4" t="s">
        <v>103</v>
      </c>
      <c r="G35" s="4" t="s">
        <v>144</v>
      </c>
      <c r="H35" s="4" t="s">
        <v>87</v>
      </c>
      <c r="I35" s="4" t="s">
        <v>37</v>
      </c>
      <c r="J35" s="51">
        <v>46091</v>
      </c>
      <c r="K35" s="51">
        <v>46091</v>
      </c>
      <c r="L35" s="51">
        <v>46092</v>
      </c>
      <c r="M35" s="51">
        <v>46097</v>
      </c>
      <c r="N35" s="51">
        <v>46097</v>
      </c>
      <c r="O35" s="4" t="s">
        <v>145</v>
      </c>
      <c r="P35" s="4" t="s">
        <v>139</v>
      </c>
      <c r="Q35" s="4"/>
      <c r="R35" s="4" t="s">
        <v>768</v>
      </c>
      <c r="S35" s="7" t="s">
        <v>796</v>
      </c>
      <c r="T35" s="7" t="s">
        <v>797</v>
      </c>
      <c r="U35" s="7" t="s">
        <v>798</v>
      </c>
    </row>
    <row r="36" spans="1:21" s="22" customFormat="1" ht="12.75" x14ac:dyDescent="0.25">
      <c r="A36" s="3" t="s">
        <v>120</v>
      </c>
      <c r="B36" s="4" t="s">
        <v>33</v>
      </c>
      <c r="C36" s="4" t="s">
        <v>146</v>
      </c>
      <c r="D36" s="4" t="s">
        <v>147</v>
      </c>
      <c r="E36" s="4" t="s">
        <v>25</v>
      </c>
      <c r="F36" s="4" t="s">
        <v>103</v>
      </c>
      <c r="G36" s="4" t="s">
        <v>144</v>
      </c>
      <c r="H36" s="4" t="s">
        <v>87</v>
      </c>
      <c r="I36" s="4" t="s">
        <v>37</v>
      </c>
      <c r="J36" s="51">
        <v>46091</v>
      </c>
      <c r="K36" s="51">
        <v>46091</v>
      </c>
      <c r="L36" s="51">
        <v>46092</v>
      </c>
      <c r="M36" s="51">
        <v>46097</v>
      </c>
      <c r="N36" s="51">
        <v>46097</v>
      </c>
      <c r="O36" s="4" t="s">
        <v>145</v>
      </c>
      <c r="P36" s="4" t="s">
        <v>139</v>
      </c>
      <c r="Q36" s="4"/>
      <c r="R36" s="9" t="s">
        <v>740</v>
      </c>
      <c r="S36" s="7" t="s">
        <v>741</v>
      </c>
      <c r="T36" s="7" t="s">
        <v>742</v>
      </c>
      <c r="U36" s="7" t="s">
        <v>743</v>
      </c>
    </row>
    <row r="37" spans="1:21" s="22" customFormat="1" ht="12.75" x14ac:dyDescent="0.25">
      <c r="A37" s="3" t="s">
        <v>120</v>
      </c>
      <c r="B37" s="4" t="s">
        <v>22</v>
      </c>
      <c r="C37" s="4" t="s">
        <v>156</v>
      </c>
      <c r="D37" s="4" t="s">
        <v>157</v>
      </c>
      <c r="E37" s="4" t="s">
        <v>25</v>
      </c>
      <c r="F37" s="4" t="s">
        <v>158</v>
      </c>
      <c r="G37" s="4" t="s">
        <v>137</v>
      </c>
      <c r="H37" s="4" t="s">
        <v>28</v>
      </c>
      <c r="I37" s="4" t="s">
        <v>112</v>
      </c>
      <c r="J37" s="51">
        <v>46097</v>
      </c>
      <c r="K37" s="51">
        <v>46097</v>
      </c>
      <c r="L37" s="51">
        <v>46098</v>
      </c>
      <c r="M37" s="51">
        <v>46100</v>
      </c>
      <c r="N37" s="51">
        <v>46101</v>
      </c>
      <c r="O37" s="4" t="s">
        <v>159</v>
      </c>
      <c r="P37" s="4" t="s">
        <v>139</v>
      </c>
      <c r="Q37" s="4"/>
      <c r="R37" s="4" t="s">
        <v>770</v>
      </c>
      <c r="S37" s="7" t="s">
        <v>787</v>
      </c>
      <c r="T37" s="7" t="s">
        <v>788</v>
      </c>
      <c r="U37" s="7" t="s">
        <v>789</v>
      </c>
    </row>
    <row r="38" spans="1:21" s="22" customFormat="1" ht="12.75" x14ac:dyDescent="0.25">
      <c r="A38" s="3" t="s">
        <v>120</v>
      </c>
      <c r="B38" s="4" t="s">
        <v>22</v>
      </c>
      <c r="C38" s="4" t="s">
        <v>160</v>
      </c>
      <c r="D38" s="4" t="s">
        <v>161</v>
      </c>
      <c r="E38" s="4" t="s">
        <v>25</v>
      </c>
      <c r="F38" s="4" t="s">
        <v>162</v>
      </c>
      <c r="G38" s="4" t="s">
        <v>163</v>
      </c>
      <c r="H38" s="4" t="s">
        <v>28</v>
      </c>
      <c r="I38" s="4" t="s">
        <v>37</v>
      </c>
      <c r="J38" s="51">
        <v>46097</v>
      </c>
      <c r="K38" s="51">
        <v>46098</v>
      </c>
      <c r="L38" s="51">
        <v>46098</v>
      </c>
      <c r="M38" s="51">
        <v>46100</v>
      </c>
      <c r="N38" s="51">
        <v>46101</v>
      </c>
      <c r="O38" s="4" t="s">
        <v>164</v>
      </c>
      <c r="P38" s="4" t="s">
        <v>139</v>
      </c>
      <c r="Q38" s="4"/>
      <c r="R38" s="4" t="s">
        <v>771</v>
      </c>
      <c r="S38" s="7" t="s">
        <v>784</v>
      </c>
      <c r="T38" s="7" t="s">
        <v>785</v>
      </c>
      <c r="U38" s="7" t="s">
        <v>786</v>
      </c>
    </row>
    <row r="39" spans="1:21" s="22" customFormat="1" ht="12.75" x14ac:dyDescent="0.25">
      <c r="A39" s="3" t="s">
        <v>120</v>
      </c>
      <c r="B39" s="4" t="s">
        <v>33</v>
      </c>
      <c r="C39" s="4" t="s">
        <v>165</v>
      </c>
      <c r="D39" s="4" t="s">
        <v>166</v>
      </c>
      <c r="E39" s="4" t="s">
        <v>25</v>
      </c>
      <c r="F39" s="4" t="s">
        <v>162</v>
      </c>
      <c r="G39" s="4" t="s">
        <v>163</v>
      </c>
      <c r="H39" s="4" t="s">
        <v>28</v>
      </c>
      <c r="I39" s="4" t="s">
        <v>37</v>
      </c>
      <c r="J39" s="51">
        <v>46097</v>
      </c>
      <c r="K39" s="51">
        <v>46098</v>
      </c>
      <c r="L39" s="51">
        <v>46098</v>
      </c>
      <c r="M39" s="51">
        <v>46100</v>
      </c>
      <c r="N39" s="51">
        <v>46101</v>
      </c>
      <c r="O39" s="4" t="s">
        <v>164</v>
      </c>
      <c r="P39" s="4" t="s">
        <v>139</v>
      </c>
      <c r="Q39" s="4"/>
      <c r="R39" s="4" t="s">
        <v>748</v>
      </c>
      <c r="S39" s="7" t="s">
        <v>750</v>
      </c>
      <c r="T39" s="7" t="s">
        <v>751</v>
      </c>
      <c r="U39" s="7" t="s">
        <v>752</v>
      </c>
    </row>
    <row r="40" spans="1:21" s="22" customFormat="1" ht="12.75" x14ac:dyDescent="0.25">
      <c r="A40" s="3" t="s">
        <v>120</v>
      </c>
      <c r="B40" s="4" t="s">
        <v>22</v>
      </c>
      <c r="C40" s="4" t="s">
        <v>167</v>
      </c>
      <c r="D40" s="4" t="s">
        <v>168</v>
      </c>
      <c r="E40" s="4" t="s">
        <v>41</v>
      </c>
      <c r="F40" s="4" t="s">
        <v>169</v>
      </c>
      <c r="G40" s="4"/>
      <c r="H40" s="4" t="s">
        <v>43</v>
      </c>
      <c r="I40" s="4" t="s">
        <v>37</v>
      </c>
      <c r="J40" s="51">
        <v>46104</v>
      </c>
      <c r="K40" s="51">
        <v>46104</v>
      </c>
      <c r="L40" s="51">
        <v>46104</v>
      </c>
      <c r="M40" s="51">
        <v>46104</v>
      </c>
      <c r="N40" s="51">
        <v>46104</v>
      </c>
      <c r="O40" s="4"/>
      <c r="P40" s="4"/>
      <c r="Q40" s="4"/>
      <c r="R40" s="4" t="s">
        <v>772</v>
      </c>
      <c r="S40" s="7" t="s">
        <v>781</v>
      </c>
      <c r="T40" s="7" t="s">
        <v>782</v>
      </c>
      <c r="U40" s="7" t="s">
        <v>783</v>
      </c>
    </row>
    <row r="41" spans="1:21" s="22" customFormat="1" ht="12.75" x14ac:dyDescent="0.25">
      <c r="A41" s="3" t="s">
        <v>120</v>
      </c>
      <c r="B41" s="4" t="s">
        <v>33</v>
      </c>
      <c r="C41" s="4" t="s">
        <v>170</v>
      </c>
      <c r="D41" s="4" t="s">
        <v>171</v>
      </c>
      <c r="E41" s="4" t="s">
        <v>55</v>
      </c>
      <c r="F41" s="4" t="s">
        <v>56</v>
      </c>
      <c r="G41" s="4"/>
      <c r="H41" s="4" t="s">
        <v>57</v>
      </c>
      <c r="I41" s="4" t="s">
        <v>37</v>
      </c>
      <c r="J41" s="51">
        <v>46104</v>
      </c>
      <c r="K41" s="51">
        <v>46104</v>
      </c>
      <c r="L41" s="51">
        <v>46104</v>
      </c>
      <c r="M41" s="51">
        <v>46105</v>
      </c>
      <c r="N41" s="51">
        <v>46105</v>
      </c>
      <c r="O41" s="4" t="s">
        <v>172</v>
      </c>
      <c r="P41" s="4" t="s">
        <v>139</v>
      </c>
      <c r="Q41" s="4"/>
      <c r="R41" s="4" t="s">
        <v>753</v>
      </c>
      <c r="S41" s="7" t="s">
        <v>754</v>
      </c>
      <c r="T41" s="7" t="s">
        <v>755</v>
      </c>
      <c r="U41" s="7" t="s">
        <v>756</v>
      </c>
    </row>
    <row r="42" spans="1:21" s="22" customFormat="1" ht="12.75" x14ac:dyDescent="0.25">
      <c r="A42" s="3" t="s">
        <v>120</v>
      </c>
      <c r="B42" s="4" t="s">
        <v>22</v>
      </c>
      <c r="C42" s="4" t="s">
        <v>173</v>
      </c>
      <c r="D42" s="4" t="s">
        <v>174</v>
      </c>
      <c r="E42" s="4" t="s">
        <v>25</v>
      </c>
      <c r="F42" s="4" t="s">
        <v>175</v>
      </c>
      <c r="G42" s="4" t="s">
        <v>176</v>
      </c>
      <c r="H42" s="4" t="s">
        <v>28</v>
      </c>
      <c r="I42" s="4" t="s">
        <v>37</v>
      </c>
      <c r="J42" s="51">
        <v>46104</v>
      </c>
      <c r="K42" s="51">
        <v>46104</v>
      </c>
      <c r="L42" s="51">
        <v>46105</v>
      </c>
      <c r="M42" s="51">
        <v>46107</v>
      </c>
      <c r="N42" s="51">
        <v>46108</v>
      </c>
      <c r="O42" s="4" t="s">
        <v>177</v>
      </c>
      <c r="P42" s="4" t="s">
        <v>139</v>
      </c>
      <c r="Q42" s="4"/>
      <c r="R42" s="4" t="s">
        <v>773</v>
      </c>
      <c r="S42" s="7" t="s">
        <v>778</v>
      </c>
      <c r="T42" s="7" t="s">
        <v>779</v>
      </c>
      <c r="U42" s="7" t="s">
        <v>780</v>
      </c>
    </row>
    <row r="43" spans="1:21" s="22" customFormat="1" ht="12.75" x14ac:dyDescent="0.25">
      <c r="A43" s="3" t="s">
        <v>120</v>
      </c>
      <c r="B43" s="4" t="s">
        <v>22</v>
      </c>
      <c r="C43" s="4" t="s">
        <v>183</v>
      </c>
      <c r="D43" s="4" t="s">
        <v>184</v>
      </c>
      <c r="E43" s="4" t="s">
        <v>25</v>
      </c>
      <c r="F43" s="4" t="s">
        <v>180</v>
      </c>
      <c r="G43" s="4" t="s">
        <v>185</v>
      </c>
      <c r="H43" s="4" t="s">
        <v>87</v>
      </c>
      <c r="I43" s="4" t="s">
        <v>37</v>
      </c>
      <c r="J43" s="51">
        <v>46105</v>
      </c>
      <c r="K43" s="51">
        <v>46105</v>
      </c>
      <c r="L43" s="51">
        <v>46106</v>
      </c>
      <c r="M43" s="51">
        <v>46109</v>
      </c>
      <c r="N43" s="51">
        <v>46109</v>
      </c>
      <c r="O43" s="4" t="s">
        <v>186</v>
      </c>
      <c r="P43" s="4" t="s">
        <v>139</v>
      </c>
      <c r="Q43" s="4"/>
      <c r="R43" s="4" t="s">
        <v>774</v>
      </c>
      <c r="S43" s="7" t="s">
        <v>775</v>
      </c>
      <c r="T43" s="7" t="s">
        <v>776</v>
      </c>
      <c r="U43" s="7" t="s">
        <v>777</v>
      </c>
    </row>
    <row r="44" spans="1:21" s="22" customFormat="1" ht="12.75" x14ac:dyDescent="0.25">
      <c r="A44" s="3" t="s">
        <v>120</v>
      </c>
      <c r="B44" s="4" t="s">
        <v>33</v>
      </c>
      <c r="C44" s="4" t="s">
        <v>187</v>
      </c>
      <c r="D44" s="4" t="s">
        <v>188</v>
      </c>
      <c r="E44" s="4" t="s">
        <v>25</v>
      </c>
      <c r="F44" s="4" t="s">
        <v>180</v>
      </c>
      <c r="G44" s="4" t="s">
        <v>185</v>
      </c>
      <c r="H44" s="4" t="s">
        <v>87</v>
      </c>
      <c r="I44" s="4" t="s">
        <v>37</v>
      </c>
      <c r="J44" s="51">
        <v>46105</v>
      </c>
      <c r="K44" s="51">
        <v>46105</v>
      </c>
      <c r="L44" s="51">
        <v>46106</v>
      </c>
      <c r="M44" s="51">
        <v>46109</v>
      </c>
      <c r="N44" s="51">
        <v>46109</v>
      </c>
      <c r="O44" s="4" t="s">
        <v>186</v>
      </c>
      <c r="P44" s="4" t="s">
        <v>139</v>
      </c>
      <c r="Q44" s="4"/>
      <c r="R44" s="4" t="s">
        <v>758</v>
      </c>
      <c r="S44" s="7" t="s">
        <v>759</v>
      </c>
      <c r="T44" s="7" t="s">
        <v>760</v>
      </c>
      <c r="U44" s="7" t="s">
        <v>749</v>
      </c>
    </row>
    <row r="45" spans="1:21" s="22" customFormat="1" ht="12.75" x14ac:dyDescent="0.25">
      <c r="A45" s="3" t="s">
        <v>120</v>
      </c>
      <c r="B45" s="4" t="s">
        <v>33</v>
      </c>
      <c r="C45" s="4" t="s">
        <v>178</v>
      </c>
      <c r="D45" s="4" t="s">
        <v>179</v>
      </c>
      <c r="E45" s="4" t="s">
        <v>25</v>
      </c>
      <c r="F45" s="4" t="s">
        <v>180</v>
      </c>
      <c r="G45" s="4" t="s">
        <v>181</v>
      </c>
      <c r="H45" s="4" t="s">
        <v>28</v>
      </c>
      <c r="I45" s="4" t="s">
        <v>37</v>
      </c>
      <c r="J45" s="51">
        <v>46104</v>
      </c>
      <c r="K45" s="51">
        <v>46105</v>
      </c>
      <c r="L45" s="51">
        <v>46105</v>
      </c>
      <c r="M45" s="51">
        <v>46112</v>
      </c>
      <c r="N45" s="51">
        <v>46112</v>
      </c>
      <c r="O45" s="4" t="s">
        <v>182</v>
      </c>
      <c r="P45" s="4" t="s">
        <v>139</v>
      </c>
      <c r="Q45" s="4"/>
      <c r="R45" s="4" t="s">
        <v>757</v>
      </c>
      <c r="S45" s="7" t="s">
        <v>761</v>
      </c>
      <c r="T45" s="7" t="s">
        <v>762</v>
      </c>
      <c r="U45" s="7" t="s">
        <v>763</v>
      </c>
    </row>
    <row r="46" spans="1:21" s="22" customFormat="1" ht="12.75" x14ac:dyDescent="0.25">
      <c r="A46" s="3" t="s">
        <v>189</v>
      </c>
      <c r="B46" s="4" t="s">
        <v>22</v>
      </c>
      <c r="C46" s="4" t="s">
        <v>190</v>
      </c>
      <c r="D46" s="4" t="s">
        <v>191</v>
      </c>
      <c r="E46" s="4" t="s">
        <v>25</v>
      </c>
      <c r="F46" s="4" t="s">
        <v>36</v>
      </c>
      <c r="G46" s="4" t="s">
        <v>144</v>
      </c>
      <c r="H46" s="4" t="s">
        <v>28</v>
      </c>
      <c r="I46" s="4" t="s">
        <v>37</v>
      </c>
      <c r="J46" s="51">
        <v>46108</v>
      </c>
      <c r="K46" s="51">
        <v>46109</v>
      </c>
      <c r="L46" s="51">
        <v>46112</v>
      </c>
      <c r="M46" s="51">
        <v>46113</v>
      </c>
      <c r="N46" s="51">
        <v>46114</v>
      </c>
      <c r="O46" s="4" t="s">
        <v>192</v>
      </c>
      <c r="P46" s="4" t="s">
        <v>139</v>
      </c>
      <c r="Q46" s="4" t="s">
        <v>193</v>
      </c>
      <c r="R46" s="4" t="s">
        <v>836</v>
      </c>
      <c r="S46" s="7" t="s">
        <v>837</v>
      </c>
      <c r="T46" s="7" t="s">
        <v>838</v>
      </c>
      <c r="U46" s="7" t="s">
        <v>839</v>
      </c>
    </row>
    <row r="47" spans="1:21" s="22" customFormat="1" ht="12.75" x14ac:dyDescent="0.25">
      <c r="A47" s="3" t="s">
        <v>189</v>
      </c>
      <c r="B47" s="4" t="s">
        <v>33</v>
      </c>
      <c r="C47" s="4" t="s">
        <v>194</v>
      </c>
      <c r="D47" s="4" t="s">
        <v>195</v>
      </c>
      <c r="E47" s="4" t="s">
        <v>41</v>
      </c>
      <c r="F47" s="4" t="s">
        <v>196</v>
      </c>
      <c r="G47" s="4"/>
      <c r="H47" s="4" t="s">
        <v>43</v>
      </c>
      <c r="I47" s="4" t="s">
        <v>197</v>
      </c>
      <c r="J47" s="51">
        <v>46116</v>
      </c>
      <c r="K47" s="51">
        <v>46113</v>
      </c>
      <c r="L47" s="51">
        <v>46118</v>
      </c>
      <c r="M47" s="51">
        <v>46119</v>
      </c>
      <c r="N47" s="51">
        <v>46120</v>
      </c>
      <c r="O47" s="4"/>
      <c r="P47" s="4"/>
      <c r="Q47" s="4" t="s">
        <v>1002</v>
      </c>
      <c r="R47" s="4" t="s">
        <v>808</v>
      </c>
      <c r="S47" s="7" t="s">
        <v>809</v>
      </c>
      <c r="T47" s="7" t="s">
        <v>810</v>
      </c>
      <c r="U47" s="7" t="s">
        <v>811</v>
      </c>
    </row>
    <row r="48" spans="1:21" s="22" customFormat="1" ht="12.75" x14ac:dyDescent="0.25">
      <c r="A48" s="3" t="s">
        <v>189</v>
      </c>
      <c r="B48" s="4" t="s">
        <v>33</v>
      </c>
      <c r="C48" s="4" t="s">
        <v>62</v>
      </c>
      <c r="D48" s="4" t="s">
        <v>198</v>
      </c>
      <c r="E48" s="4" t="s">
        <v>41</v>
      </c>
      <c r="F48" s="4" t="s">
        <v>199</v>
      </c>
      <c r="G48" s="4"/>
      <c r="H48" s="4" t="s">
        <v>43</v>
      </c>
      <c r="I48" s="4" t="s">
        <v>200</v>
      </c>
      <c r="J48" s="51">
        <v>46120</v>
      </c>
      <c r="K48" s="51">
        <v>46119</v>
      </c>
      <c r="L48" s="51">
        <v>46121</v>
      </c>
      <c r="M48" s="51">
        <v>46121</v>
      </c>
      <c r="N48" s="51">
        <v>46121</v>
      </c>
      <c r="O48" s="4"/>
      <c r="P48" s="4"/>
      <c r="Q48" s="4"/>
      <c r="R48" s="4" t="s">
        <v>812</v>
      </c>
      <c r="S48" s="7" t="s">
        <v>813</v>
      </c>
      <c r="T48" s="7" t="s">
        <v>814</v>
      </c>
      <c r="U48" s="7" t="s">
        <v>815</v>
      </c>
    </row>
    <row r="49" spans="1:21" s="22" customFormat="1" ht="12.75" x14ac:dyDescent="0.25">
      <c r="A49" s="3" t="s">
        <v>189</v>
      </c>
      <c r="B49" s="4" t="s">
        <v>33</v>
      </c>
      <c r="C49" s="4" t="s">
        <v>206</v>
      </c>
      <c r="D49" s="4" t="s">
        <v>207</v>
      </c>
      <c r="E49" s="4" t="s">
        <v>55</v>
      </c>
      <c r="F49" s="4" t="s">
        <v>56</v>
      </c>
      <c r="G49" s="4"/>
      <c r="H49" s="4"/>
      <c r="I49" s="4" t="s">
        <v>37</v>
      </c>
      <c r="J49" s="51">
        <v>46122</v>
      </c>
      <c r="K49" s="51">
        <v>46125</v>
      </c>
      <c r="L49" s="51">
        <v>46130</v>
      </c>
      <c r="M49" s="51">
        <v>46132</v>
      </c>
      <c r="N49" s="51">
        <v>46132</v>
      </c>
      <c r="O49" s="4" t="s">
        <v>208</v>
      </c>
      <c r="P49" s="4" t="s">
        <v>139</v>
      </c>
      <c r="Q49" s="4"/>
      <c r="R49" s="4" t="s">
        <v>820</v>
      </c>
      <c r="S49" s="7" t="s">
        <v>821</v>
      </c>
      <c r="T49" s="7" t="s">
        <v>822</v>
      </c>
      <c r="U49" s="7" t="s">
        <v>823</v>
      </c>
    </row>
    <row r="50" spans="1:21" s="22" customFormat="1" ht="12.75" x14ac:dyDescent="0.25">
      <c r="A50" s="3" t="s">
        <v>189</v>
      </c>
      <c r="B50" s="4" t="s">
        <v>33</v>
      </c>
      <c r="C50" s="4" t="s">
        <v>201</v>
      </c>
      <c r="D50" s="4" t="s">
        <v>202</v>
      </c>
      <c r="E50" s="4" t="s">
        <v>25</v>
      </c>
      <c r="F50" s="4" t="s">
        <v>203</v>
      </c>
      <c r="G50" s="4" t="s">
        <v>204</v>
      </c>
      <c r="H50" s="4" t="s">
        <v>28</v>
      </c>
      <c r="I50" s="4" t="s">
        <v>37</v>
      </c>
      <c r="J50" s="51">
        <v>46120</v>
      </c>
      <c r="K50" s="51">
        <v>46119</v>
      </c>
      <c r="L50" s="51">
        <v>46122</v>
      </c>
      <c r="M50" s="51">
        <v>46132</v>
      </c>
      <c r="N50" s="51">
        <v>46133</v>
      </c>
      <c r="O50" s="4" t="s">
        <v>205</v>
      </c>
      <c r="P50" s="4" t="s">
        <v>139</v>
      </c>
      <c r="Q50" s="4"/>
      <c r="R50" s="4" t="s">
        <v>816</v>
      </c>
      <c r="S50" s="7" t="s">
        <v>817</v>
      </c>
      <c r="T50" s="7" t="s">
        <v>818</v>
      </c>
      <c r="U50" s="7" t="s">
        <v>819</v>
      </c>
    </row>
    <row r="51" spans="1:21" s="22" customFormat="1" ht="12.75" x14ac:dyDescent="0.25">
      <c r="A51" s="3" t="s">
        <v>189</v>
      </c>
      <c r="B51" s="4" t="s">
        <v>22</v>
      </c>
      <c r="C51" s="4" t="s">
        <v>209</v>
      </c>
      <c r="D51" s="4" t="s">
        <v>210</v>
      </c>
      <c r="E51" s="4" t="s">
        <v>25</v>
      </c>
      <c r="F51" s="4" t="s">
        <v>211</v>
      </c>
      <c r="G51" s="4" t="s">
        <v>212</v>
      </c>
      <c r="H51" s="4" t="s">
        <v>28</v>
      </c>
      <c r="I51" s="4" t="s">
        <v>37</v>
      </c>
      <c r="J51" s="51">
        <v>46132</v>
      </c>
      <c r="K51" s="51">
        <v>46129</v>
      </c>
      <c r="L51" s="51">
        <v>46132</v>
      </c>
      <c r="M51" s="51">
        <v>46132</v>
      </c>
      <c r="N51" s="51">
        <v>46136</v>
      </c>
      <c r="O51" s="4" t="s">
        <v>213</v>
      </c>
      <c r="P51" s="4" t="s">
        <v>214</v>
      </c>
      <c r="Q51" s="4"/>
      <c r="R51" s="4" t="s">
        <v>840</v>
      </c>
      <c r="S51" s="7" t="s">
        <v>842</v>
      </c>
      <c r="T51" s="7" t="s">
        <v>843</v>
      </c>
      <c r="U51" s="7" t="s">
        <v>844</v>
      </c>
    </row>
    <row r="52" spans="1:21" s="22" customFormat="1" ht="12.75" x14ac:dyDescent="0.25">
      <c r="A52" s="3" t="s">
        <v>189</v>
      </c>
      <c r="B52" s="4" t="s">
        <v>22</v>
      </c>
      <c r="C52" s="4" t="s">
        <v>215</v>
      </c>
      <c r="D52" s="4" t="s">
        <v>216</v>
      </c>
      <c r="E52" s="4" t="s">
        <v>25</v>
      </c>
      <c r="F52" s="4" t="s">
        <v>217</v>
      </c>
      <c r="G52" s="4" t="s">
        <v>218</v>
      </c>
      <c r="H52" s="4" t="s">
        <v>28</v>
      </c>
      <c r="I52" s="4" t="s">
        <v>219</v>
      </c>
      <c r="J52" s="51">
        <v>46132</v>
      </c>
      <c r="K52" s="51">
        <v>46128</v>
      </c>
      <c r="L52" s="51">
        <v>46133</v>
      </c>
      <c r="M52" s="51">
        <v>46132</v>
      </c>
      <c r="N52" s="51">
        <v>46136</v>
      </c>
      <c r="O52" s="4" t="s">
        <v>220</v>
      </c>
      <c r="P52" s="4" t="s">
        <v>139</v>
      </c>
      <c r="Q52" s="4"/>
      <c r="R52" s="4" t="s">
        <v>841</v>
      </c>
      <c r="S52" s="7" t="s">
        <v>845</v>
      </c>
      <c r="T52" s="7" t="s">
        <v>846</v>
      </c>
      <c r="U52" s="7" t="s">
        <v>847</v>
      </c>
    </row>
    <row r="53" spans="1:21" s="22" customFormat="1" ht="12.75" x14ac:dyDescent="0.25">
      <c r="A53" s="3" t="s">
        <v>189</v>
      </c>
      <c r="B53" s="4" t="s">
        <v>22</v>
      </c>
      <c r="C53" s="4" t="s">
        <v>221</v>
      </c>
      <c r="D53" s="4" t="s">
        <v>222</v>
      </c>
      <c r="E53" s="4" t="s">
        <v>223</v>
      </c>
      <c r="F53" s="4" t="s">
        <v>82</v>
      </c>
      <c r="G53" s="4"/>
      <c r="H53" s="4" t="s">
        <v>43</v>
      </c>
      <c r="I53" s="4" t="s">
        <v>49</v>
      </c>
      <c r="J53" s="51">
        <v>46132</v>
      </c>
      <c r="K53" s="51">
        <v>46129</v>
      </c>
      <c r="L53" s="51">
        <v>46132</v>
      </c>
      <c r="M53" s="51">
        <v>46133</v>
      </c>
      <c r="N53" s="51">
        <v>46134</v>
      </c>
      <c r="O53" s="4"/>
      <c r="P53" s="4"/>
      <c r="Q53" s="4"/>
      <c r="R53" s="7" t="s">
        <v>848</v>
      </c>
      <c r="S53" s="7" t="s">
        <v>849</v>
      </c>
      <c r="T53" s="7" t="s">
        <v>850</v>
      </c>
      <c r="U53" s="7" t="s">
        <v>851</v>
      </c>
    </row>
    <row r="54" spans="1:21" s="22" customFormat="1" ht="12.75" x14ac:dyDescent="0.25">
      <c r="A54" s="3" t="s">
        <v>189</v>
      </c>
      <c r="B54" s="4" t="s">
        <v>22</v>
      </c>
      <c r="C54" s="4" t="s">
        <v>224</v>
      </c>
      <c r="D54" s="4" t="s">
        <v>225</v>
      </c>
      <c r="E54" s="4" t="s">
        <v>25</v>
      </c>
      <c r="F54" s="4" t="s">
        <v>226</v>
      </c>
      <c r="G54" s="4" t="s">
        <v>227</v>
      </c>
      <c r="H54" s="4" t="s">
        <v>87</v>
      </c>
      <c r="I54" s="4" t="s">
        <v>37</v>
      </c>
      <c r="J54" s="51">
        <v>46134</v>
      </c>
      <c r="K54" s="51">
        <v>46132</v>
      </c>
      <c r="L54" s="51">
        <v>46134</v>
      </c>
      <c r="M54" s="51">
        <v>46134</v>
      </c>
      <c r="N54" s="51">
        <v>46137</v>
      </c>
      <c r="O54" s="4" t="s">
        <v>228</v>
      </c>
      <c r="P54" s="4" t="s">
        <v>139</v>
      </c>
      <c r="Q54" s="4"/>
      <c r="R54" s="4" t="s">
        <v>852</v>
      </c>
      <c r="S54" s="7" t="s">
        <v>853</v>
      </c>
      <c r="T54" s="7" t="s">
        <v>854</v>
      </c>
      <c r="U54" s="7" t="s">
        <v>855</v>
      </c>
    </row>
    <row r="55" spans="1:21" s="22" customFormat="1" ht="12.75" x14ac:dyDescent="0.25">
      <c r="A55" s="3" t="s">
        <v>189</v>
      </c>
      <c r="B55" s="4" t="s">
        <v>33</v>
      </c>
      <c r="C55" s="4" t="s">
        <v>229</v>
      </c>
      <c r="D55" s="4" t="s">
        <v>230</v>
      </c>
      <c r="E55" s="4" t="s">
        <v>25</v>
      </c>
      <c r="F55" s="4" t="s">
        <v>226</v>
      </c>
      <c r="G55" s="4" t="s">
        <v>227</v>
      </c>
      <c r="H55" s="4" t="s">
        <v>87</v>
      </c>
      <c r="I55" s="4" t="s">
        <v>37</v>
      </c>
      <c r="J55" s="51">
        <v>46134</v>
      </c>
      <c r="K55" s="51">
        <v>46132</v>
      </c>
      <c r="L55" s="51">
        <v>46134</v>
      </c>
      <c r="M55" s="51">
        <v>46134</v>
      </c>
      <c r="N55" s="51">
        <v>46137</v>
      </c>
      <c r="O55" s="4" t="s">
        <v>228</v>
      </c>
      <c r="P55" s="4" t="s">
        <v>139</v>
      </c>
      <c r="Q55" s="4"/>
      <c r="R55" s="4" t="s">
        <v>824</v>
      </c>
      <c r="S55" s="7" t="s">
        <v>825</v>
      </c>
      <c r="T55" s="7" t="s">
        <v>826</v>
      </c>
      <c r="U55" s="7" t="s">
        <v>827</v>
      </c>
    </row>
    <row r="56" spans="1:21" s="22" customFormat="1" ht="12.75" x14ac:dyDescent="0.25">
      <c r="A56" s="3" t="s">
        <v>189</v>
      </c>
      <c r="B56" s="4" t="s">
        <v>22</v>
      </c>
      <c r="C56" s="4" t="s">
        <v>125</v>
      </c>
      <c r="D56" s="4" t="s">
        <v>231</v>
      </c>
      <c r="E56" s="4" t="s">
        <v>41</v>
      </c>
      <c r="F56" s="4" t="s">
        <v>232</v>
      </c>
      <c r="G56" s="4"/>
      <c r="H56" s="4" t="s">
        <v>43</v>
      </c>
      <c r="I56" s="4" t="s">
        <v>45</v>
      </c>
      <c r="J56" s="51">
        <v>46134</v>
      </c>
      <c r="K56" s="51">
        <v>46130</v>
      </c>
      <c r="L56" s="51" t="s">
        <v>45</v>
      </c>
      <c r="M56" s="51">
        <v>46135</v>
      </c>
      <c r="N56" s="51">
        <v>46135</v>
      </c>
      <c r="O56" s="4"/>
      <c r="P56" s="4"/>
      <c r="Q56" s="4"/>
      <c r="R56" s="4" t="s">
        <v>856</v>
      </c>
      <c r="S56" s="7" t="s">
        <v>857</v>
      </c>
      <c r="T56" s="7" t="s">
        <v>858</v>
      </c>
      <c r="U56" s="7" t="s">
        <v>859</v>
      </c>
    </row>
    <row r="57" spans="1:21" s="22" customFormat="1" ht="12.75" x14ac:dyDescent="0.25">
      <c r="A57" s="3" t="s">
        <v>189</v>
      </c>
      <c r="B57" s="4" t="s">
        <v>22</v>
      </c>
      <c r="C57" s="4" t="s">
        <v>233</v>
      </c>
      <c r="D57" s="4" t="s">
        <v>234</v>
      </c>
      <c r="E57" s="4" t="s">
        <v>55</v>
      </c>
      <c r="F57" s="4" t="s">
        <v>56</v>
      </c>
      <c r="G57" s="4"/>
      <c r="H57" s="4" t="s">
        <v>64</v>
      </c>
      <c r="I57" s="4" t="s">
        <v>45</v>
      </c>
      <c r="J57" s="51">
        <v>46136</v>
      </c>
      <c r="K57" s="51">
        <v>46136</v>
      </c>
      <c r="L57" s="51" t="s">
        <v>45</v>
      </c>
      <c r="M57" s="51">
        <v>46137</v>
      </c>
      <c r="N57" s="51">
        <v>46137</v>
      </c>
      <c r="O57" s="4"/>
      <c r="P57" s="4"/>
      <c r="Q57" s="4"/>
      <c r="R57" s="4" t="s">
        <v>860</v>
      </c>
      <c r="S57" s="7" t="s">
        <v>861</v>
      </c>
      <c r="T57" s="7" t="s">
        <v>862</v>
      </c>
      <c r="U57" s="7" t="s">
        <v>863</v>
      </c>
    </row>
    <row r="58" spans="1:21" s="22" customFormat="1" ht="12.75" x14ac:dyDescent="0.25">
      <c r="A58" s="3" t="s">
        <v>189</v>
      </c>
      <c r="B58" s="4" t="s">
        <v>33</v>
      </c>
      <c r="C58" s="4" t="s">
        <v>240</v>
      </c>
      <c r="D58" s="4" t="s">
        <v>241</v>
      </c>
      <c r="E58" s="4" t="s">
        <v>41</v>
      </c>
      <c r="F58" s="4" t="s">
        <v>242</v>
      </c>
      <c r="G58" s="4"/>
      <c r="H58" s="4" t="s">
        <v>43</v>
      </c>
      <c r="I58" s="4" t="s">
        <v>37</v>
      </c>
      <c r="J58" s="51">
        <v>46137</v>
      </c>
      <c r="K58" s="51">
        <v>46136</v>
      </c>
      <c r="L58" s="51">
        <v>46139</v>
      </c>
      <c r="M58" s="51">
        <v>46139</v>
      </c>
      <c r="N58" s="51">
        <v>46139</v>
      </c>
      <c r="O58" s="4"/>
      <c r="P58" s="4"/>
      <c r="Q58" s="4"/>
      <c r="R58" s="4" t="s">
        <v>829</v>
      </c>
      <c r="S58" s="7" t="s">
        <v>830</v>
      </c>
      <c r="T58" s="7" t="s">
        <v>831</v>
      </c>
      <c r="U58" s="7" t="s">
        <v>832</v>
      </c>
    </row>
    <row r="59" spans="1:21" s="22" customFormat="1" ht="12.75" x14ac:dyDescent="0.25">
      <c r="A59" s="3" t="s">
        <v>189</v>
      </c>
      <c r="B59" s="4" t="s">
        <v>33</v>
      </c>
      <c r="C59" s="4" t="s">
        <v>235</v>
      </c>
      <c r="D59" s="4" t="s">
        <v>236</v>
      </c>
      <c r="E59" s="4" t="s">
        <v>25</v>
      </c>
      <c r="F59" s="4" t="s">
        <v>237</v>
      </c>
      <c r="G59" s="4" t="s">
        <v>238</v>
      </c>
      <c r="H59" s="4" t="s">
        <v>28</v>
      </c>
      <c r="I59" s="4" t="s">
        <v>37</v>
      </c>
      <c r="J59" s="51">
        <v>46137</v>
      </c>
      <c r="K59" s="51">
        <v>46138</v>
      </c>
      <c r="L59" s="51">
        <v>46139</v>
      </c>
      <c r="M59" s="51">
        <v>46141</v>
      </c>
      <c r="N59" s="51">
        <v>46143</v>
      </c>
      <c r="O59" s="4" t="s">
        <v>239</v>
      </c>
      <c r="P59" s="4" t="s">
        <v>32</v>
      </c>
      <c r="Q59" s="4"/>
      <c r="R59" s="4" t="s">
        <v>828</v>
      </c>
      <c r="S59" s="7" t="s">
        <v>833</v>
      </c>
      <c r="T59" s="7" t="s">
        <v>834</v>
      </c>
      <c r="U59" s="7" t="s">
        <v>835</v>
      </c>
    </row>
    <row r="60" spans="1:21" s="22" customFormat="1" ht="12.75" x14ac:dyDescent="0.25">
      <c r="A60" s="3" t="s">
        <v>189</v>
      </c>
      <c r="B60" s="4" t="s">
        <v>22</v>
      </c>
      <c r="C60" s="4" t="s">
        <v>167</v>
      </c>
      <c r="D60" s="4" t="s">
        <v>243</v>
      </c>
      <c r="E60" s="4" t="s">
        <v>25</v>
      </c>
      <c r="F60" s="4" t="s">
        <v>244</v>
      </c>
      <c r="G60" s="4" t="s">
        <v>245</v>
      </c>
      <c r="H60" s="4" t="s">
        <v>28</v>
      </c>
      <c r="I60" s="4" t="s">
        <v>37</v>
      </c>
      <c r="J60" s="51">
        <v>46140</v>
      </c>
      <c r="K60" s="51">
        <v>46140</v>
      </c>
      <c r="L60" s="51">
        <v>46140</v>
      </c>
      <c r="M60" s="51">
        <v>46141</v>
      </c>
      <c r="N60" s="51">
        <v>46146</v>
      </c>
      <c r="O60" s="4" t="s">
        <v>246</v>
      </c>
      <c r="P60" s="4"/>
      <c r="Q60" s="4"/>
      <c r="R60" s="4"/>
      <c r="S60" s="7"/>
      <c r="T60" s="7"/>
      <c r="U60" s="7"/>
    </row>
    <row r="61" spans="1:21" s="22" customFormat="1" ht="12.75" x14ac:dyDescent="0.25">
      <c r="A61" s="3" t="s">
        <v>247</v>
      </c>
      <c r="B61" s="4" t="s">
        <v>33</v>
      </c>
      <c r="C61" s="4" t="s">
        <v>260</v>
      </c>
      <c r="D61" s="4" t="s">
        <v>261</v>
      </c>
      <c r="E61" s="4" t="s">
        <v>41</v>
      </c>
      <c r="F61" s="4" t="s">
        <v>262</v>
      </c>
      <c r="G61" s="4"/>
      <c r="H61" s="4" t="s">
        <v>43</v>
      </c>
      <c r="I61" s="4" t="s">
        <v>45</v>
      </c>
      <c r="J61" s="51">
        <v>46142</v>
      </c>
      <c r="K61" s="51">
        <v>46142</v>
      </c>
      <c r="L61" s="51" t="s">
        <v>45</v>
      </c>
      <c r="M61" s="51">
        <v>46144</v>
      </c>
      <c r="N61" s="51">
        <v>46144</v>
      </c>
      <c r="O61" s="4"/>
      <c r="P61" s="4"/>
      <c r="Q61" s="4"/>
      <c r="R61" s="4" t="s">
        <v>626</v>
      </c>
      <c r="S61" s="7" t="s">
        <v>600</v>
      </c>
      <c r="T61" s="7" t="s">
        <v>601</v>
      </c>
      <c r="U61" s="7" t="s">
        <v>602</v>
      </c>
    </row>
    <row r="62" spans="1:21" s="22" customFormat="1" ht="12.75" x14ac:dyDescent="0.25">
      <c r="A62" s="3" t="s">
        <v>247</v>
      </c>
      <c r="B62" s="4" t="s">
        <v>33</v>
      </c>
      <c r="C62" s="4" t="s">
        <v>253</v>
      </c>
      <c r="D62" s="4" t="s">
        <v>254</v>
      </c>
      <c r="E62" s="4" t="s">
        <v>25</v>
      </c>
      <c r="F62" s="4" t="s">
        <v>250</v>
      </c>
      <c r="G62" s="4" t="s">
        <v>251</v>
      </c>
      <c r="H62" s="4" t="s">
        <v>87</v>
      </c>
      <c r="I62" s="4" t="s">
        <v>37</v>
      </c>
      <c r="J62" s="51">
        <v>46141</v>
      </c>
      <c r="K62" s="51">
        <v>46142</v>
      </c>
      <c r="L62" s="51">
        <v>46145</v>
      </c>
      <c r="M62" s="51">
        <v>46149</v>
      </c>
      <c r="N62" s="51">
        <v>46149</v>
      </c>
      <c r="O62" s="4" t="s">
        <v>252</v>
      </c>
      <c r="P62" s="4" t="s">
        <v>32</v>
      </c>
      <c r="Q62" s="4"/>
      <c r="R62" s="4" t="s">
        <v>626</v>
      </c>
      <c r="S62" s="7" t="s">
        <v>612</v>
      </c>
      <c r="T62" s="7" t="s">
        <v>613</v>
      </c>
      <c r="U62" s="7" t="s">
        <v>614</v>
      </c>
    </row>
    <row r="63" spans="1:21" s="22" customFormat="1" ht="12.75" x14ac:dyDescent="0.25">
      <c r="A63" s="3" t="s">
        <v>247</v>
      </c>
      <c r="B63" s="4" t="s">
        <v>33</v>
      </c>
      <c r="C63" s="4" t="s">
        <v>255</v>
      </c>
      <c r="D63" s="4" t="s">
        <v>256</v>
      </c>
      <c r="E63" s="4" t="s">
        <v>25</v>
      </c>
      <c r="F63" s="4" t="s">
        <v>257</v>
      </c>
      <c r="G63" s="4" t="s">
        <v>258</v>
      </c>
      <c r="H63" s="4" t="s">
        <v>28</v>
      </c>
      <c r="I63" s="4" t="s">
        <v>37</v>
      </c>
      <c r="J63" s="51">
        <v>46142</v>
      </c>
      <c r="K63" s="51">
        <v>46144</v>
      </c>
      <c r="L63" s="51">
        <v>46146</v>
      </c>
      <c r="M63" s="51">
        <v>46149</v>
      </c>
      <c r="N63" s="51">
        <v>46149</v>
      </c>
      <c r="O63" s="4" t="s">
        <v>259</v>
      </c>
      <c r="P63" s="4" t="s">
        <v>32</v>
      </c>
      <c r="Q63" s="4"/>
      <c r="R63" s="4" t="s">
        <v>625</v>
      </c>
      <c r="S63" s="7" t="s">
        <v>603</v>
      </c>
      <c r="T63" s="7" t="s">
        <v>604</v>
      </c>
      <c r="U63" s="7" t="s">
        <v>605</v>
      </c>
    </row>
    <row r="64" spans="1:21" s="22" customFormat="1" ht="12.75" x14ac:dyDescent="0.25">
      <c r="A64" s="3" t="s">
        <v>247</v>
      </c>
      <c r="B64" s="4" t="s">
        <v>33</v>
      </c>
      <c r="C64" s="4" t="s">
        <v>263</v>
      </c>
      <c r="D64" s="4" t="s">
        <v>264</v>
      </c>
      <c r="E64" s="4" t="s">
        <v>25</v>
      </c>
      <c r="F64" s="4" t="s">
        <v>265</v>
      </c>
      <c r="G64" s="4" t="s">
        <v>212</v>
      </c>
      <c r="H64" s="4" t="s">
        <v>28</v>
      </c>
      <c r="I64" s="4" t="s">
        <v>37</v>
      </c>
      <c r="J64" s="51">
        <v>46146</v>
      </c>
      <c r="K64" s="51">
        <v>46146</v>
      </c>
      <c r="L64" s="51" t="s">
        <v>30</v>
      </c>
      <c r="M64" s="51">
        <v>46149</v>
      </c>
      <c r="N64" s="51">
        <v>46153</v>
      </c>
      <c r="O64" s="4" t="s">
        <v>266</v>
      </c>
      <c r="P64" s="4" t="s">
        <v>267</v>
      </c>
      <c r="Q64" s="4"/>
      <c r="R64" s="4" t="s">
        <v>625</v>
      </c>
      <c r="S64" s="7" t="s">
        <v>606</v>
      </c>
      <c r="T64" s="7" t="s">
        <v>607</v>
      </c>
      <c r="U64" s="7" t="s">
        <v>608</v>
      </c>
    </row>
    <row r="65" spans="1:21" s="22" customFormat="1" ht="12.75" x14ac:dyDescent="0.25">
      <c r="A65" s="3" t="s">
        <v>247</v>
      </c>
      <c r="B65" s="4" t="s">
        <v>22</v>
      </c>
      <c r="C65" s="4" t="s">
        <v>268</v>
      </c>
      <c r="D65" s="4" t="s">
        <v>269</v>
      </c>
      <c r="E65" s="4" t="s">
        <v>25</v>
      </c>
      <c r="F65" s="4" t="s">
        <v>265</v>
      </c>
      <c r="G65" s="4" t="s">
        <v>212</v>
      </c>
      <c r="H65" s="4" t="s">
        <v>28</v>
      </c>
      <c r="I65" s="4" t="s">
        <v>37</v>
      </c>
      <c r="J65" s="51">
        <v>46146</v>
      </c>
      <c r="K65" s="51">
        <v>46146</v>
      </c>
      <c r="L65" s="51" t="s">
        <v>30</v>
      </c>
      <c r="M65" s="51">
        <v>46149</v>
      </c>
      <c r="N65" s="51">
        <v>46153</v>
      </c>
      <c r="O65" s="4" t="s">
        <v>266</v>
      </c>
      <c r="P65" s="4" t="s">
        <v>267</v>
      </c>
      <c r="Q65" s="4"/>
      <c r="R65" s="4" t="s">
        <v>626</v>
      </c>
      <c r="S65" s="7" t="s">
        <v>632</v>
      </c>
      <c r="T65" s="7" t="s">
        <v>633</v>
      </c>
      <c r="U65" s="7" t="s">
        <v>634</v>
      </c>
    </row>
    <row r="66" spans="1:21" s="22" customFormat="1" ht="12.75" x14ac:dyDescent="0.25">
      <c r="A66" s="3" t="s">
        <v>247</v>
      </c>
      <c r="B66" s="4" t="s">
        <v>22</v>
      </c>
      <c r="C66" s="4" t="s">
        <v>248</v>
      </c>
      <c r="D66" s="4" t="s">
        <v>249</v>
      </c>
      <c r="E66" s="4" t="s">
        <v>25</v>
      </c>
      <c r="F66" s="4" t="s">
        <v>250</v>
      </c>
      <c r="G66" s="4" t="s">
        <v>251</v>
      </c>
      <c r="H66" s="4" t="s">
        <v>87</v>
      </c>
      <c r="I66" s="4" t="s">
        <v>37</v>
      </c>
      <c r="J66" s="51">
        <v>46141</v>
      </c>
      <c r="K66" s="51">
        <v>46142</v>
      </c>
      <c r="L66" s="51">
        <v>46145</v>
      </c>
      <c r="M66" s="51">
        <v>46150</v>
      </c>
      <c r="N66" s="51">
        <v>46150</v>
      </c>
      <c r="O66" s="4" t="s">
        <v>252</v>
      </c>
      <c r="P66" s="4" t="s">
        <v>32</v>
      </c>
      <c r="Q66" s="4"/>
      <c r="R66" s="4" t="s">
        <v>625</v>
      </c>
      <c r="S66" s="7" t="s">
        <v>630</v>
      </c>
      <c r="T66" s="7" t="s">
        <v>624</v>
      </c>
      <c r="U66" s="7" t="s">
        <v>631</v>
      </c>
    </row>
    <row r="67" spans="1:21" s="22" customFormat="1" ht="12.75" x14ac:dyDescent="0.25">
      <c r="A67" s="3" t="s">
        <v>247</v>
      </c>
      <c r="B67" s="4" t="s">
        <v>22</v>
      </c>
      <c r="C67" s="4" t="s">
        <v>270</v>
      </c>
      <c r="D67" s="4" t="s">
        <v>271</v>
      </c>
      <c r="E67" s="4" t="s">
        <v>55</v>
      </c>
      <c r="F67" s="4" t="s">
        <v>272</v>
      </c>
      <c r="G67" s="4"/>
      <c r="H67" s="4" t="s">
        <v>273</v>
      </c>
      <c r="I67" s="4" t="s">
        <v>37</v>
      </c>
      <c r="J67" s="51">
        <v>46151</v>
      </c>
      <c r="K67" s="51">
        <v>46153</v>
      </c>
      <c r="L67" s="51" t="s">
        <v>30</v>
      </c>
      <c r="M67" s="51">
        <v>46154</v>
      </c>
      <c r="N67" s="51">
        <v>46154</v>
      </c>
      <c r="O67" s="4" t="s">
        <v>274</v>
      </c>
      <c r="P67" s="4" t="s">
        <v>267</v>
      </c>
      <c r="Q67" s="4"/>
      <c r="R67" s="4" t="s">
        <v>627</v>
      </c>
      <c r="S67" s="7" t="s">
        <v>635</v>
      </c>
      <c r="T67" s="7" t="s">
        <v>636</v>
      </c>
      <c r="U67" s="7" t="s">
        <v>637</v>
      </c>
    </row>
    <row r="68" spans="1:21" s="22" customFormat="1" ht="12.75" x14ac:dyDescent="0.25">
      <c r="A68" s="3" t="s">
        <v>247</v>
      </c>
      <c r="B68" s="4" t="s">
        <v>33</v>
      </c>
      <c r="C68" s="4" t="s">
        <v>275</v>
      </c>
      <c r="D68" s="4" t="s">
        <v>276</v>
      </c>
      <c r="E68" s="4" t="s">
        <v>55</v>
      </c>
      <c r="F68" s="4" t="s">
        <v>272</v>
      </c>
      <c r="G68" s="4"/>
      <c r="H68" s="4" t="s">
        <v>273</v>
      </c>
      <c r="I68" s="4" t="s">
        <v>37</v>
      </c>
      <c r="J68" s="51">
        <v>46151</v>
      </c>
      <c r="K68" s="51">
        <v>46153</v>
      </c>
      <c r="L68" s="51" t="s">
        <v>30</v>
      </c>
      <c r="M68" s="51">
        <v>46154</v>
      </c>
      <c r="N68" s="51">
        <v>46154</v>
      </c>
      <c r="O68" s="4" t="s">
        <v>274</v>
      </c>
      <c r="P68" s="4" t="s">
        <v>267</v>
      </c>
      <c r="Q68" s="4"/>
      <c r="R68" s="4" t="s">
        <v>609</v>
      </c>
      <c r="S68" s="7" t="s">
        <v>615</v>
      </c>
      <c r="T68" s="7" t="s">
        <v>616</v>
      </c>
      <c r="U68" s="7" t="s">
        <v>617</v>
      </c>
    </row>
    <row r="69" spans="1:21" s="22" customFormat="1" ht="12.75" x14ac:dyDescent="0.25">
      <c r="A69" s="3" t="s">
        <v>247</v>
      </c>
      <c r="B69" s="4" t="s">
        <v>33</v>
      </c>
      <c r="C69" s="4" t="s">
        <v>150</v>
      </c>
      <c r="D69" s="4" t="s">
        <v>277</v>
      </c>
      <c r="E69" s="4" t="s">
        <v>25</v>
      </c>
      <c r="F69" s="4" t="s">
        <v>278</v>
      </c>
      <c r="G69" s="4" t="s">
        <v>279</v>
      </c>
      <c r="H69" s="4" t="s">
        <v>87</v>
      </c>
      <c r="I69" s="4" t="s">
        <v>37</v>
      </c>
      <c r="J69" s="51">
        <v>46155</v>
      </c>
      <c r="K69" s="51">
        <v>46155</v>
      </c>
      <c r="L69" s="51">
        <v>46162</v>
      </c>
      <c r="M69" s="51">
        <v>46160</v>
      </c>
      <c r="N69" s="51">
        <v>46160</v>
      </c>
      <c r="O69" s="4" t="s">
        <v>280</v>
      </c>
      <c r="P69" s="4" t="s">
        <v>267</v>
      </c>
      <c r="Q69" s="4"/>
      <c r="R69" s="4" t="s">
        <v>610</v>
      </c>
      <c r="S69" s="7" t="s">
        <v>618</v>
      </c>
      <c r="T69" s="7" t="s">
        <v>619</v>
      </c>
      <c r="U69" s="7" t="s">
        <v>620</v>
      </c>
    </row>
    <row r="70" spans="1:21" s="22" customFormat="1" ht="12.75" x14ac:dyDescent="0.25">
      <c r="A70" s="3" t="s">
        <v>247</v>
      </c>
      <c r="B70" s="4" t="s">
        <v>22</v>
      </c>
      <c r="C70" s="4" t="s">
        <v>281</v>
      </c>
      <c r="D70" s="4" t="s">
        <v>282</v>
      </c>
      <c r="E70" s="4" t="s">
        <v>25</v>
      </c>
      <c r="F70" s="4" t="s">
        <v>278</v>
      </c>
      <c r="G70" s="4" t="s">
        <v>279</v>
      </c>
      <c r="H70" s="4" t="s">
        <v>87</v>
      </c>
      <c r="I70" s="4" t="s">
        <v>37</v>
      </c>
      <c r="J70" s="51">
        <v>46155</v>
      </c>
      <c r="K70" s="51">
        <v>46155</v>
      </c>
      <c r="L70" s="51">
        <v>46162</v>
      </c>
      <c r="M70" s="51">
        <v>46160</v>
      </c>
      <c r="N70" s="51">
        <v>46160</v>
      </c>
      <c r="O70" s="4" t="s">
        <v>280</v>
      </c>
      <c r="P70" s="4" t="s">
        <v>267</v>
      </c>
      <c r="Q70" s="4"/>
      <c r="R70" s="4" t="s">
        <v>628</v>
      </c>
      <c r="S70" s="7" t="s">
        <v>638</v>
      </c>
      <c r="T70" s="7" t="s">
        <v>639</v>
      </c>
      <c r="U70" s="7" t="s">
        <v>640</v>
      </c>
    </row>
    <row r="71" spans="1:21" s="22" customFormat="1" ht="12.75" x14ac:dyDescent="0.25">
      <c r="A71" s="3" t="s">
        <v>247</v>
      </c>
      <c r="B71" s="4" t="s">
        <v>22</v>
      </c>
      <c r="C71" s="4" t="s">
        <v>281</v>
      </c>
      <c r="D71" s="4" t="s">
        <v>283</v>
      </c>
      <c r="E71" s="4" t="s">
        <v>25</v>
      </c>
      <c r="F71" s="4" t="s">
        <v>237</v>
      </c>
      <c r="G71" s="4" t="s">
        <v>284</v>
      </c>
      <c r="H71" s="4" t="s">
        <v>28</v>
      </c>
      <c r="I71" s="4" t="s">
        <v>37</v>
      </c>
      <c r="J71" s="51">
        <v>46161</v>
      </c>
      <c r="K71" s="51">
        <v>46159</v>
      </c>
      <c r="L71" s="51">
        <v>46162</v>
      </c>
      <c r="M71" s="51">
        <v>46163</v>
      </c>
      <c r="N71" s="51">
        <v>46198</v>
      </c>
      <c r="O71" s="4" t="s">
        <v>285</v>
      </c>
      <c r="P71" s="4" t="s">
        <v>32</v>
      </c>
      <c r="Q71" s="4"/>
      <c r="R71" s="4" t="s">
        <v>629</v>
      </c>
      <c r="S71" s="7" t="s">
        <v>641</v>
      </c>
      <c r="T71" s="7" t="s">
        <v>642</v>
      </c>
      <c r="U71" s="7" t="s">
        <v>643</v>
      </c>
    </row>
    <row r="72" spans="1:21" s="22" customFormat="1" ht="12.75" x14ac:dyDescent="0.25">
      <c r="A72" s="3" t="s">
        <v>247</v>
      </c>
      <c r="B72" s="4" t="s">
        <v>33</v>
      </c>
      <c r="C72" s="4" t="s">
        <v>150</v>
      </c>
      <c r="D72" s="4" t="s">
        <v>286</v>
      </c>
      <c r="E72" s="4" t="s">
        <v>25</v>
      </c>
      <c r="F72" s="4" t="s">
        <v>237</v>
      </c>
      <c r="G72" s="4" t="s">
        <v>284</v>
      </c>
      <c r="H72" s="4" t="s">
        <v>28</v>
      </c>
      <c r="I72" s="4" t="s">
        <v>37</v>
      </c>
      <c r="J72" s="51">
        <v>46161</v>
      </c>
      <c r="K72" s="51">
        <v>46159</v>
      </c>
      <c r="L72" s="51">
        <v>46162</v>
      </c>
      <c r="M72" s="51">
        <v>46163</v>
      </c>
      <c r="N72" s="51">
        <v>46198</v>
      </c>
      <c r="O72" s="4" t="s">
        <v>285</v>
      </c>
      <c r="P72" s="4" t="s">
        <v>32</v>
      </c>
      <c r="Q72" s="4"/>
      <c r="R72" s="4" t="s">
        <v>611</v>
      </c>
      <c r="S72" s="7" t="s">
        <v>621</v>
      </c>
      <c r="T72" s="7" t="s">
        <v>622</v>
      </c>
      <c r="U72" s="7" t="s">
        <v>623</v>
      </c>
    </row>
    <row r="73" spans="1:21" s="22" customFormat="1" ht="12.75" x14ac:dyDescent="0.25">
      <c r="A73" s="3" t="s">
        <v>287</v>
      </c>
      <c r="B73" s="4" t="s">
        <v>33</v>
      </c>
      <c r="C73" s="4" t="s">
        <v>288</v>
      </c>
      <c r="D73" s="4" t="s">
        <v>289</v>
      </c>
      <c r="E73" s="4" t="s">
        <v>25</v>
      </c>
      <c r="F73" s="4" t="s">
        <v>290</v>
      </c>
      <c r="G73" s="4" t="s">
        <v>291</v>
      </c>
      <c r="H73" s="4" t="s">
        <v>87</v>
      </c>
      <c r="I73" s="4" t="s">
        <v>37</v>
      </c>
      <c r="J73" s="51">
        <v>46167</v>
      </c>
      <c r="K73" s="51">
        <v>46168</v>
      </c>
      <c r="L73" s="51">
        <v>46174</v>
      </c>
      <c r="M73" s="51">
        <v>46174</v>
      </c>
      <c r="N73" s="51">
        <v>46175</v>
      </c>
      <c r="O73" s="4" t="s">
        <v>292</v>
      </c>
      <c r="P73" s="4" t="s">
        <v>32</v>
      </c>
      <c r="Q73" s="4"/>
      <c r="R73" s="4" t="s">
        <v>553</v>
      </c>
      <c r="S73" s="7" t="s">
        <v>467</v>
      </c>
      <c r="T73" s="7" t="s">
        <v>554</v>
      </c>
      <c r="U73" s="7" t="s">
        <v>555</v>
      </c>
    </row>
    <row r="74" spans="1:21" s="22" customFormat="1" ht="12.75" x14ac:dyDescent="0.25">
      <c r="A74" s="3" t="s">
        <v>287</v>
      </c>
      <c r="B74" s="4" t="s">
        <v>22</v>
      </c>
      <c r="C74" s="4" t="s">
        <v>293</v>
      </c>
      <c r="D74" s="4" t="s">
        <v>294</v>
      </c>
      <c r="E74" s="4" t="s">
        <v>25</v>
      </c>
      <c r="F74" s="4" t="s">
        <v>290</v>
      </c>
      <c r="G74" s="4" t="s">
        <v>291</v>
      </c>
      <c r="H74" s="4" t="s">
        <v>87</v>
      </c>
      <c r="I74" s="4" t="s">
        <v>37</v>
      </c>
      <c r="J74" s="51">
        <v>46167</v>
      </c>
      <c r="K74" s="51">
        <v>46168</v>
      </c>
      <c r="L74" s="51">
        <v>46174</v>
      </c>
      <c r="M74" s="51">
        <v>46188</v>
      </c>
      <c r="N74" s="51">
        <v>46175</v>
      </c>
      <c r="O74" s="4" t="s">
        <v>292</v>
      </c>
      <c r="P74" s="4" t="s">
        <v>32</v>
      </c>
      <c r="Q74" s="4"/>
      <c r="R74" s="4" t="s">
        <v>572</v>
      </c>
      <c r="S74" s="7" t="s">
        <v>585</v>
      </c>
      <c r="T74" s="7" t="s">
        <v>586</v>
      </c>
      <c r="U74" s="7" t="s">
        <v>587</v>
      </c>
    </row>
    <row r="75" spans="1:21" s="22" customFormat="1" ht="12.75" x14ac:dyDescent="0.25">
      <c r="A75" s="3" t="s">
        <v>287</v>
      </c>
      <c r="B75" s="4" t="s">
        <v>33</v>
      </c>
      <c r="C75" s="4" t="s">
        <v>263</v>
      </c>
      <c r="D75" s="4" t="s">
        <v>295</v>
      </c>
      <c r="E75" s="4" t="s">
        <v>25</v>
      </c>
      <c r="F75" s="4" t="s">
        <v>296</v>
      </c>
      <c r="G75" s="4" t="s">
        <v>297</v>
      </c>
      <c r="H75" s="4" t="s">
        <v>28</v>
      </c>
      <c r="I75" s="4" t="s">
        <v>37</v>
      </c>
      <c r="J75" s="51">
        <v>46184</v>
      </c>
      <c r="K75" s="51">
        <v>46183</v>
      </c>
      <c r="L75" s="51">
        <v>46186</v>
      </c>
      <c r="M75" s="51">
        <v>46188</v>
      </c>
      <c r="N75" s="51">
        <v>46189</v>
      </c>
      <c r="O75" s="4" t="s">
        <v>298</v>
      </c>
      <c r="P75" s="4" t="s">
        <v>32</v>
      </c>
      <c r="Q75" s="4"/>
      <c r="R75" s="4" t="s">
        <v>556</v>
      </c>
      <c r="S75" s="7" t="s">
        <v>557</v>
      </c>
      <c r="T75" s="7" t="s">
        <v>558</v>
      </c>
      <c r="U75" s="7" t="s">
        <v>559</v>
      </c>
    </row>
    <row r="76" spans="1:21" s="22" customFormat="1" ht="12.75" x14ac:dyDescent="0.25">
      <c r="A76" s="3" t="s">
        <v>287</v>
      </c>
      <c r="B76" s="4" t="s">
        <v>33</v>
      </c>
      <c r="C76" s="4" t="s">
        <v>299</v>
      </c>
      <c r="D76" s="4" t="s">
        <v>300</v>
      </c>
      <c r="E76" s="4" t="s">
        <v>25</v>
      </c>
      <c r="F76" s="4" t="s">
        <v>301</v>
      </c>
      <c r="G76" s="4" t="s">
        <v>302</v>
      </c>
      <c r="H76" s="4" t="s">
        <v>87</v>
      </c>
      <c r="I76" s="4" t="s">
        <v>37</v>
      </c>
      <c r="J76" s="51">
        <v>46189</v>
      </c>
      <c r="K76" s="51">
        <v>46189</v>
      </c>
      <c r="L76" s="51">
        <v>46195</v>
      </c>
      <c r="M76" s="51">
        <v>46196</v>
      </c>
      <c r="N76" s="51">
        <v>46196</v>
      </c>
      <c r="O76" s="4" t="s">
        <v>303</v>
      </c>
      <c r="P76" s="4" t="s">
        <v>32</v>
      </c>
      <c r="Q76" s="4"/>
      <c r="R76" s="4" t="s">
        <v>560</v>
      </c>
      <c r="S76" s="7" t="s">
        <v>561</v>
      </c>
      <c r="T76" s="7" t="s">
        <v>562</v>
      </c>
      <c r="U76" s="7" t="s">
        <v>563</v>
      </c>
    </row>
    <row r="77" spans="1:21" s="22" customFormat="1" ht="12.75" x14ac:dyDescent="0.25">
      <c r="A77" s="3" t="s">
        <v>287</v>
      </c>
      <c r="B77" s="4" t="s">
        <v>33</v>
      </c>
      <c r="C77" s="4" t="s">
        <v>304</v>
      </c>
      <c r="D77" s="4" t="s">
        <v>305</v>
      </c>
      <c r="E77" s="4" t="s">
        <v>25</v>
      </c>
      <c r="F77" s="4" t="s">
        <v>175</v>
      </c>
      <c r="G77" s="4" t="s">
        <v>297</v>
      </c>
      <c r="H77" s="4" t="s">
        <v>28</v>
      </c>
      <c r="I77" s="4" t="s">
        <v>37</v>
      </c>
      <c r="J77" s="51">
        <v>46190</v>
      </c>
      <c r="K77" s="51">
        <v>46191</v>
      </c>
      <c r="L77" s="51">
        <v>46198</v>
      </c>
      <c r="M77" s="51">
        <v>46196</v>
      </c>
      <c r="N77" s="51">
        <v>46198</v>
      </c>
      <c r="O77" s="4" t="s">
        <v>306</v>
      </c>
      <c r="P77" s="4" t="s">
        <v>32</v>
      </c>
      <c r="Q77" s="4"/>
      <c r="R77" s="4" t="s">
        <v>564</v>
      </c>
      <c r="S77" s="7" t="s">
        <v>579</v>
      </c>
      <c r="T77" s="7" t="s">
        <v>580</v>
      </c>
      <c r="U77" s="7" t="s">
        <v>581</v>
      </c>
    </row>
    <row r="78" spans="1:21" s="22" customFormat="1" ht="12.75" x14ac:dyDescent="0.25">
      <c r="A78" s="3" t="s">
        <v>287</v>
      </c>
      <c r="B78" s="4" t="s">
        <v>22</v>
      </c>
      <c r="C78" s="4" t="s">
        <v>307</v>
      </c>
      <c r="D78" s="4" t="s">
        <v>308</v>
      </c>
      <c r="E78" s="4" t="s">
        <v>25</v>
      </c>
      <c r="F78" s="4" t="s">
        <v>175</v>
      </c>
      <c r="G78" s="4" t="s">
        <v>297</v>
      </c>
      <c r="H78" s="4" t="s">
        <v>28</v>
      </c>
      <c r="I78" s="4" t="s">
        <v>37</v>
      </c>
      <c r="J78" s="51">
        <v>46190</v>
      </c>
      <c r="K78" s="51">
        <v>46191</v>
      </c>
      <c r="L78" s="51">
        <v>46198</v>
      </c>
      <c r="M78" s="51">
        <v>46196</v>
      </c>
      <c r="N78" s="51">
        <v>46198</v>
      </c>
      <c r="O78" s="4" t="s">
        <v>306</v>
      </c>
      <c r="P78" s="4" t="s">
        <v>32</v>
      </c>
      <c r="Q78" s="4"/>
      <c r="R78" s="4" t="s">
        <v>573</v>
      </c>
      <c r="S78" s="7" t="s">
        <v>588</v>
      </c>
      <c r="T78" s="7" t="s">
        <v>589</v>
      </c>
      <c r="U78" s="7" t="s">
        <v>590</v>
      </c>
    </row>
    <row r="79" spans="1:21" s="22" customFormat="1" ht="12.75" x14ac:dyDescent="0.25">
      <c r="A79" s="3" t="s">
        <v>287</v>
      </c>
      <c r="B79" s="4" t="s">
        <v>33</v>
      </c>
      <c r="C79" s="4" t="s">
        <v>313</v>
      </c>
      <c r="D79" s="4" t="s">
        <v>314</v>
      </c>
      <c r="E79" s="4" t="s">
        <v>25</v>
      </c>
      <c r="F79" s="4" t="s">
        <v>110</v>
      </c>
      <c r="G79" s="4" t="s">
        <v>315</v>
      </c>
      <c r="H79" s="4" t="s">
        <v>28</v>
      </c>
      <c r="I79" s="4" t="s">
        <v>37</v>
      </c>
      <c r="J79" s="51">
        <v>46192</v>
      </c>
      <c r="K79" s="51">
        <v>46192</v>
      </c>
      <c r="L79" s="51">
        <v>46196</v>
      </c>
      <c r="M79" s="51">
        <v>46196</v>
      </c>
      <c r="N79" s="51">
        <v>46202</v>
      </c>
      <c r="O79" s="4" t="s">
        <v>316</v>
      </c>
      <c r="P79" s="4" t="s">
        <v>32</v>
      </c>
      <c r="Q79" s="4"/>
      <c r="R79" s="4" t="s">
        <v>565</v>
      </c>
      <c r="S79" s="7" t="s">
        <v>566</v>
      </c>
      <c r="T79" s="7" t="s">
        <v>567</v>
      </c>
      <c r="U79" s="7" t="s">
        <v>568</v>
      </c>
    </row>
    <row r="80" spans="1:21" s="22" customFormat="1" ht="12.75" x14ac:dyDescent="0.25">
      <c r="A80" s="3" t="s">
        <v>287</v>
      </c>
      <c r="B80" s="4" t="s">
        <v>22</v>
      </c>
      <c r="C80" s="4" t="s">
        <v>46</v>
      </c>
      <c r="D80" s="4" t="s">
        <v>309</v>
      </c>
      <c r="E80" s="4" t="s">
        <v>55</v>
      </c>
      <c r="F80" s="4" t="s">
        <v>272</v>
      </c>
      <c r="G80" s="4"/>
      <c r="H80" s="4" t="s">
        <v>310</v>
      </c>
      <c r="I80" s="4" t="s">
        <v>37</v>
      </c>
      <c r="J80" s="51">
        <v>46192</v>
      </c>
      <c r="K80" s="51">
        <v>46195</v>
      </c>
      <c r="L80" s="51">
        <v>46193</v>
      </c>
      <c r="M80" s="51">
        <v>46197</v>
      </c>
      <c r="N80" s="51">
        <v>46197</v>
      </c>
      <c r="O80" s="4" t="s">
        <v>311</v>
      </c>
      <c r="P80" s="4" t="s">
        <v>32</v>
      </c>
      <c r="Q80" s="4"/>
      <c r="R80" s="4" t="s">
        <v>569</v>
      </c>
      <c r="S80" s="7" t="s">
        <v>591</v>
      </c>
      <c r="T80" s="7" t="s">
        <v>592</v>
      </c>
      <c r="U80" s="7" t="s">
        <v>593</v>
      </c>
    </row>
    <row r="81" spans="1:21" s="22" customFormat="1" ht="12.75" x14ac:dyDescent="0.25">
      <c r="A81" s="3" t="s">
        <v>287</v>
      </c>
      <c r="B81" s="4" t="s">
        <v>33</v>
      </c>
      <c r="C81" s="4" t="s">
        <v>101</v>
      </c>
      <c r="D81" s="4" t="s">
        <v>312</v>
      </c>
      <c r="E81" s="4" t="s">
        <v>55</v>
      </c>
      <c r="F81" s="4" t="s">
        <v>272</v>
      </c>
      <c r="G81" s="4"/>
      <c r="H81" s="4" t="s">
        <v>310</v>
      </c>
      <c r="I81" s="4" t="s">
        <v>37</v>
      </c>
      <c r="J81" s="51">
        <v>46192</v>
      </c>
      <c r="K81" s="51">
        <v>46195</v>
      </c>
      <c r="L81" s="51">
        <v>46193</v>
      </c>
      <c r="M81" s="51">
        <v>46197</v>
      </c>
      <c r="N81" s="51">
        <v>46197</v>
      </c>
      <c r="O81" s="4" t="s">
        <v>311</v>
      </c>
      <c r="P81" s="4" t="s">
        <v>32</v>
      </c>
      <c r="Q81" s="4"/>
      <c r="R81" s="4" t="s">
        <v>571</v>
      </c>
      <c r="S81" s="7" t="s">
        <v>576</v>
      </c>
      <c r="T81" s="7" t="s">
        <v>577</v>
      </c>
      <c r="U81" s="7" t="s">
        <v>578</v>
      </c>
    </row>
    <row r="82" spans="1:21" s="22" customFormat="1" ht="12.75" x14ac:dyDescent="0.25">
      <c r="A82" s="3" t="s">
        <v>287</v>
      </c>
      <c r="B82" s="4" t="s">
        <v>33</v>
      </c>
      <c r="C82" s="4" t="s">
        <v>39</v>
      </c>
      <c r="D82" s="3" t="s">
        <v>322</v>
      </c>
      <c r="E82" s="4" t="s">
        <v>41</v>
      </c>
      <c r="F82" s="4" t="s">
        <v>52</v>
      </c>
      <c r="G82" s="4"/>
      <c r="H82" s="4" t="s">
        <v>43</v>
      </c>
      <c r="I82" s="4" t="s">
        <v>200</v>
      </c>
      <c r="J82" s="51">
        <v>46197</v>
      </c>
      <c r="K82" s="51">
        <v>46196</v>
      </c>
      <c r="L82" s="51">
        <v>46197</v>
      </c>
      <c r="M82" s="51">
        <v>46198</v>
      </c>
      <c r="N82" s="51">
        <v>46199</v>
      </c>
      <c r="O82" s="4"/>
      <c r="P82" s="4"/>
      <c r="Q82" s="4"/>
      <c r="R82" s="4" t="s">
        <v>570</v>
      </c>
      <c r="S82" s="7" t="s">
        <v>582</v>
      </c>
      <c r="T82" s="7" t="s">
        <v>583</v>
      </c>
      <c r="U82" s="7" t="s">
        <v>584</v>
      </c>
    </row>
    <row r="83" spans="1:21" s="22" customFormat="1" ht="12.75" x14ac:dyDescent="0.25">
      <c r="A83" s="3" t="s">
        <v>287</v>
      </c>
      <c r="B83" s="4" t="s">
        <v>22</v>
      </c>
      <c r="C83" s="4" t="s">
        <v>317</v>
      </c>
      <c r="D83" s="4" t="s">
        <v>318</v>
      </c>
      <c r="E83" s="4" t="s">
        <v>25</v>
      </c>
      <c r="F83" s="4" t="s">
        <v>319</v>
      </c>
      <c r="G83" s="4" t="s">
        <v>320</v>
      </c>
      <c r="H83" s="4" t="s">
        <v>28</v>
      </c>
      <c r="I83" s="4" t="s">
        <v>37</v>
      </c>
      <c r="J83" s="51">
        <v>46197</v>
      </c>
      <c r="K83" s="51">
        <v>46196</v>
      </c>
      <c r="L83" s="51">
        <v>46198</v>
      </c>
      <c r="M83" s="51">
        <v>46199</v>
      </c>
      <c r="N83" s="51">
        <v>46202</v>
      </c>
      <c r="O83" s="4" t="s">
        <v>321</v>
      </c>
      <c r="P83" s="4" t="s">
        <v>32</v>
      </c>
      <c r="Q83" s="4"/>
      <c r="R83" s="4" t="s">
        <v>574</v>
      </c>
      <c r="S83" s="7" t="s">
        <v>594</v>
      </c>
      <c r="T83" s="7" t="s">
        <v>595</v>
      </c>
      <c r="U83" s="7" t="s">
        <v>596</v>
      </c>
    </row>
    <row r="84" spans="1:21" s="22" customFormat="1" ht="12.75" x14ac:dyDescent="0.25">
      <c r="A84" s="3" t="s">
        <v>287</v>
      </c>
      <c r="B84" s="4" t="s">
        <v>22</v>
      </c>
      <c r="C84" s="4" t="s">
        <v>39</v>
      </c>
      <c r="D84" s="4" t="s">
        <v>323</v>
      </c>
      <c r="E84" s="4" t="s">
        <v>25</v>
      </c>
      <c r="F84" s="4" t="s">
        <v>324</v>
      </c>
      <c r="G84" s="4" t="s">
        <v>291</v>
      </c>
      <c r="H84" s="4" t="s">
        <v>28</v>
      </c>
      <c r="I84" s="4" t="s">
        <v>37</v>
      </c>
      <c r="J84" s="51">
        <v>46192</v>
      </c>
      <c r="K84" s="51">
        <v>46199</v>
      </c>
      <c r="L84" s="51">
        <v>46203</v>
      </c>
      <c r="M84" s="51">
        <v>46203</v>
      </c>
      <c r="N84" s="51">
        <v>46204</v>
      </c>
      <c r="O84" s="4" t="s">
        <v>325</v>
      </c>
      <c r="P84" s="4" t="s">
        <v>32</v>
      </c>
      <c r="Q84" s="4"/>
      <c r="R84" s="4" t="s">
        <v>575</v>
      </c>
      <c r="S84" s="7" t="s">
        <v>597</v>
      </c>
      <c r="T84" s="7" t="s">
        <v>598</v>
      </c>
      <c r="U84" s="7" t="s">
        <v>599</v>
      </c>
    </row>
    <row r="85" spans="1:21" s="22" customFormat="1" ht="12.75" x14ac:dyDescent="0.25">
      <c r="A85" s="3" t="s">
        <v>326</v>
      </c>
      <c r="B85" s="4" t="s">
        <v>33</v>
      </c>
      <c r="C85" s="4" t="s">
        <v>337</v>
      </c>
      <c r="D85" s="4" t="s">
        <v>338</v>
      </c>
      <c r="E85" s="4" t="s">
        <v>25</v>
      </c>
      <c r="F85" s="4" t="s">
        <v>339</v>
      </c>
      <c r="G85" s="4"/>
      <c r="H85" s="4" t="s">
        <v>28</v>
      </c>
      <c r="I85" s="4" t="s">
        <v>37</v>
      </c>
      <c r="J85" s="51">
        <v>46203</v>
      </c>
      <c r="K85" s="51">
        <v>46200</v>
      </c>
      <c r="L85" s="51">
        <v>46204</v>
      </c>
      <c r="M85" s="51">
        <v>46204</v>
      </c>
      <c r="N85" s="51">
        <v>46206</v>
      </c>
      <c r="O85" s="4" t="s">
        <v>340</v>
      </c>
      <c r="P85" s="4" t="s">
        <v>32</v>
      </c>
      <c r="Q85" s="4"/>
      <c r="R85" s="4" t="s">
        <v>497</v>
      </c>
      <c r="S85" s="7" t="s">
        <v>494</v>
      </c>
      <c r="T85" s="7" t="s">
        <v>495</v>
      </c>
      <c r="U85" s="7" t="s">
        <v>496</v>
      </c>
    </row>
    <row r="86" spans="1:21" s="22" customFormat="1" ht="12.75" x14ac:dyDescent="0.25">
      <c r="A86" s="3" t="s">
        <v>326</v>
      </c>
      <c r="B86" s="4" t="s">
        <v>33</v>
      </c>
      <c r="C86" s="4" t="s">
        <v>341</v>
      </c>
      <c r="D86" s="4" t="s">
        <v>342</v>
      </c>
      <c r="E86" s="4" t="s">
        <v>25</v>
      </c>
      <c r="F86" s="4" t="s">
        <v>335</v>
      </c>
      <c r="G86" s="4" t="s">
        <v>336</v>
      </c>
      <c r="H86" s="4" t="s">
        <v>28</v>
      </c>
      <c r="I86" s="4" t="s">
        <v>37</v>
      </c>
      <c r="J86" s="51">
        <v>46203</v>
      </c>
      <c r="K86" s="51">
        <v>46202</v>
      </c>
      <c r="L86" s="51">
        <v>46205</v>
      </c>
      <c r="M86" s="51">
        <v>46205</v>
      </c>
      <c r="N86" s="51">
        <v>46210</v>
      </c>
      <c r="O86" s="4" t="s">
        <v>343</v>
      </c>
      <c r="P86" s="4" t="s">
        <v>32</v>
      </c>
      <c r="Q86" s="4"/>
      <c r="R86" s="4" t="s">
        <v>460</v>
      </c>
      <c r="S86" s="7" t="s">
        <v>461</v>
      </c>
      <c r="T86" s="7" t="s">
        <v>462</v>
      </c>
      <c r="U86" s="7" t="s">
        <v>463</v>
      </c>
    </row>
    <row r="87" spans="1:21" s="22" customFormat="1" ht="12.75" x14ac:dyDescent="0.25">
      <c r="A87" s="3" t="s">
        <v>326</v>
      </c>
      <c r="B87" s="4" t="s">
        <v>22</v>
      </c>
      <c r="C87" s="4" t="s">
        <v>344</v>
      </c>
      <c r="D87" s="4" t="s">
        <v>345</v>
      </c>
      <c r="E87" s="4" t="s">
        <v>41</v>
      </c>
      <c r="F87" s="4" t="s">
        <v>346</v>
      </c>
      <c r="G87" s="4"/>
      <c r="H87" s="4" t="s">
        <v>43</v>
      </c>
      <c r="I87" s="4" t="s">
        <v>45</v>
      </c>
      <c r="J87" s="51">
        <v>46205</v>
      </c>
      <c r="K87" s="51">
        <v>46204</v>
      </c>
      <c r="L87" s="51" t="s">
        <v>45</v>
      </c>
      <c r="M87" s="51">
        <v>46206</v>
      </c>
      <c r="N87" s="51">
        <v>46206</v>
      </c>
      <c r="O87" s="4"/>
      <c r="P87" s="4"/>
      <c r="Q87" s="4"/>
      <c r="R87" s="4" t="s">
        <v>549</v>
      </c>
      <c r="S87" s="7" t="s">
        <v>550</v>
      </c>
      <c r="T87" s="7" t="s">
        <v>551</v>
      </c>
      <c r="U87" s="7" t="s">
        <v>517</v>
      </c>
    </row>
    <row r="88" spans="1:21" s="22" customFormat="1" ht="12.75" x14ac:dyDescent="0.25">
      <c r="A88" s="3" t="s">
        <v>326</v>
      </c>
      <c r="B88" s="4" t="s">
        <v>22</v>
      </c>
      <c r="C88" s="4" t="s">
        <v>142</v>
      </c>
      <c r="D88" s="4" t="s">
        <v>327</v>
      </c>
      <c r="E88" s="4" t="s">
        <v>25</v>
      </c>
      <c r="F88" s="4" t="s">
        <v>328</v>
      </c>
      <c r="G88" s="4" t="s">
        <v>329</v>
      </c>
      <c r="H88" s="4" t="s">
        <v>87</v>
      </c>
      <c r="I88" s="4" t="s">
        <v>37</v>
      </c>
      <c r="J88" s="51">
        <v>46202</v>
      </c>
      <c r="K88" s="51">
        <v>46200</v>
      </c>
      <c r="L88" s="51" t="s">
        <v>30</v>
      </c>
      <c r="M88" s="51">
        <v>46207</v>
      </c>
      <c r="N88" s="51">
        <v>46207</v>
      </c>
      <c r="O88" s="4" t="s">
        <v>330</v>
      </c>
      <c r="P88" s="4" t="s">
        <v>267</v>
      </c>
      <c r="Q88" s="4"/>
      <c r="R88" s="4" t="s">
        <v>541</v>
      </c>
      <c r="S88" s="7" t="s">
        <v>542</v>
      </c>
      <c r="T88" s="7" t="s">
        <v>543</v>
      </c>
      <c r="U88" s="7" t="s">
        <v>544</v>
      </c>
    </row>
    <row r="89" spans="1:21" s="22" customFormat="1" ht="12.75" x14ac:dyDescent="0.25">
      <c r="A89" s="3" t="s">
        <v>326</v>
      </c>
      <c r="B89" s="4" t="s">
        <v>33</v>
      </c>
      <c r="C89" s="4" t="s">
        <v>331</v>
      </c>
      <c r="D89" s="4" t="s">
        <v>332</v>
      </c>
      <c r="E89" s="4" t="s">
        <v>25</v>
      </c>
      <c r="F89" s="4" t="s">
        <v>328</v>
      </c>
      <c r="G89" s="4" t="s">
        <v>329</v>
      </c>
      <c r="H89" s="4" t="s">
        <v>87</v>
      </c>
      <c r="I89" s="4" t="s">
        <v>37</v>
      </c>
      <c r="J89" s="51">
        <v>46202</v>
      </c>
      <c r="K89" s="51">
        <v>46200</v>
      </c>
      <c r="L89" s="51" t="s">
        <v>30</v>
      </c>
      <c r="M89" s="51">
        <v>46207</v>
      </c>
      <c r="N89" s="51">
        <v>46207</v>
      </c>
      <c r="O89" s="4" t="s">
        <v>330</v>
      </c>
      <c r="P89" s="4" t="s">
        <v>267</v>
      </c>
      <c r="Q89" s="4"/>
      <c r="R89" s="4" t="s">
        <v>464</v>
      </c>
      <c r="S89" s="7" t="s">
        <v>465</v>
      </c>
      <c r="T89" s="7" t="s">
        <v>468</v>
      </c>
      <c r="U89" s="7" t="s">
        <v>469</v>
      </c>
    </row>
    <row r="90" spans="1:21" s="22" customFormat="1" ht="12.75" x14ac:dyDescent="0.25">
      <c r="A90" s="3" t="s">
        <v>326</v>
      </c>
      <c r="B90" s="4" t="s">
        <v>22</v>
      </c>
      <c r="C90" s="4" t="s">
        <v>333</v>
      </c>
      <c r="D90" s="4" t="s">
        <v>334</v>
      </c>
      <c r="E90" s="4" t="s">
        <v>25</v>
      </c>
      <c r="F90" s="4" t="s">
        <v>335</v>
      </c>
      <c r="G90" s="4" t="s">
        <v>336</v>
      </c>
      <c r="H90" s="4" t="s">
        <v>28</v>
      </c>
      <c r="I90" s="4" t="s">
        <v>112</v>
      </c>
      <c r="J90" s="51">
        <v>46202</v>
      </c>
      <c r="K90" s="51">
        <v>46202</v>
      </c>
      <c r="L90" s="51">
        <v>46204</v>
      </c>
      <c r="M90" s="51">
        <v>46209</v>
      </c>
      <c r="N90" s="51">
        <v>46210</v>
      </c>
      <c r="O90" s="4"/>
      <c r="P90" s="4"/>
      <c r="Q90" s="4"/>
      <c r="R90" s="4" t="s">
        <v>545</v>
      </c>
      <c r="S90" s="7" t="s">
        <v>546</v>
      </c>
      <c r="T90" s="7" t="s">
        <v>547</v>
      </c>
      <c r="U90" s="7" t="s">
        <v>548</v>
      </c>
    </row>
    <row r="91" spans="1:21" s="22" customFormat="1" ht="12.75" x14ac:dyDescent="0.25">
      <c r="A91" s="3" t="s">
        <v>326</v>
      </c>
      <c r="B91" s="4" t="s">
        <v>33</v>
      </c>
      <c r="C91" s="4" t="s">
        <v>347</v>
      </c>
      <c r="D91" s="4" t="s">
        <v>348</v>
      </c>
      <c r="E91" s="4" t="s">
        <v>55</v>
      </c>
      <c r="F91" s="4"/>
      <c r="G91" s="4"/>
      <c r="H91" s="4" t="s">
        <v>310</v>
      </c>
      <c r="I91" s="4" t="s">
        <v>37</v>
      </c>
      <c r="J91" s="51">
        <v>46207</v>
      </c>
      <c r="K91" s="51">
        <v>46209</v>
      </c>
      <c r="L91" s="51">
        <v>46211</v>
      </c>
      <c r="M91" s="51">
        <v>46211</v>
      </c>
      <c r="N91" s="51">
        <v>46211</v>
      </c>
      <c r="O91" s="4"/>
      <c r="P91" s="4"/>
      <c r="Q91" s="4"/>
      <c r="R91" s="4" t="s">
        <v>470</v>
      </c>
      <c r="S91" s="7" t="s">
        <v>477</v>
      </c>
      <c r="T91" s="7" t="s">
        <v>471</v>
      </c>
      <c r="U91" s="7" t="s">
        <v>472</v>
      </c>
    </row>
    <row r="92" spans="1:21" s="22" customFormat="1" ht="12.75" x14ac:dyDescent="0.25">
      <c r="A92" s="3" t="s">
        <v>326</v>
      </c>
      <c r="B92" s="4" t="s">
        <v>22</v>
      </c>
      <c r="C92" s="4" t="s">
        <v>349</v>
      </c>
      <c r="D92" s="4" t="s">
        <v>350</v>
      </c>
      <c r="E92" s="4" t="s">
        <v>55</v>
      </c>
      <c r="F92" s="4"/>
      <c r="G92" s="4"/>
      <c r="H92" s="4" t="s">
        <v>310</v>
      </c>
      <c r="I92" s="4" t="s">
        <v>37</v>
      </c>
      <c r="J92" s="51">
        <v>46207</v>
      </c>
      <c r="K92" s="51">
        <v>46209</v>
      </c>
      <c r="L92" s="51">
        <v>46211</v>
      </c>
      <c r="M92" s="51">
        <v>46211</v>
      </c>
      <c r="N92" s="51">
        <v>46211</v>
      </c>
      <c r="O92" s="4"/>
      <c r="P92" s="4"/>
      <c r="Q92" s="4"/>
      <c r="R92" s="4" t="s">
        <v>518</v>
      </c>
      <c r="S92" s="7" t="s">
        <v>519</v>
      </c>
      <c r="T92" s="7" t="s">
        <v>520</v>
      </c>
      <c r="U92" s="7" t="s">
        <v>521</v>
      </c>
    </row>
    <row r="93" spans="1:21" s="22" customFormat="1" ht="12.75" x14ac:dyDescent="0.25">
      <c r="A93" s="3" t="s">
        <v>326</v>
      </c>
      <c r="B93" s="4" t="s">
        <v>22</v>
      </c>
      <c r="C93" s="4" t="s">
        <v>351</v>
      </c>
      <c r="D93" s="4" t="s">
        <v>352</v>
      </c>
      <c r="E93" s="4" t="s">
        <v>41</v>
      </c>
      <c r="F93" s="4" t="s">
        <v>353</v>
      </c>
      <c r="G93" s="4"/>
      <c r="H93" s="4" t="s">
        <v>43</v>
      </c>
      <c r="I93" s="4" t="s">
        <v>45</v>
      </c>
      <c r="J93" s="51">
        <v>46210</v>
      </c>
      <c r="K93" s="51">
        <v>46208</v>
      </c>
      <c r="L93" s="51">
        <v>46211</v>
      </c>
      <c r="M93" s="51">
        <v>46211</v>
      </c>
      <c r="N93" s="51">
        <v>46211</v>
      </c>
      <c r="O93" s="4"/>
      <c r="P93" s="4"/>
      <c r="Q93" s="4"/>
      <c r="R93" s="4" t="s">
        <v>510</v>
      </c>
      <c r="S93" s="7" t="s">
        <v>466</v>
      </c>
      <c r="T93" s="7" t="s">
        <v>511</v>
      </c>
      <c r="U93" s="7" t="s">
        <v>512</v>
      </c>
    </row>
    <row r="94" spans="1:21" s="22" customFormat="1" ht="12.75" x14ac:dyDescent="0.25">
      <c r="A94" s="3" t="s">
        <v>326</v>
      </c>
      <c r="B94" s="4" t="s">
        <v>22</v>
      </c>
      <c r="C94" s="4" t="s">
        <v>114</v>
      </c>
      <c r="D94" s="4" t="s">
        <v>354</v>
      </c>
      <c r="E94" s="4" t="s">
        <v>25</v>
      </c>
      <c r="F94" s="4" t="s">
        <v>152</v>
      </c>
      <c r="G94" s="4" t="s">
        <v>302</v>
      </c>
      <c r="H94" s="4" t="s">
        <v>28</v>
      </c>
      <c r="I94" s="4" t="s">
        <v>37</v>
      </c>
      <c r="J94" s="51">
        <v>46209</v>
      </c>
      <c r="K94" s="51">
        <v>46209</v>
      </c>
      <c r="L94" s="51">
        <v>46210</v>
      </c>
      <c r="M94" s="51">
        <v>46211</v>
      </c>
      <c r="N94" s="51">
        <v>46213</v>
      </c>
      <c r="O94" s="4"/>
      <c r="P94" s="4"/>
      <c r="Q94" s="4"/>
      <c r="R94" s="4" t="s">
        <v>513</v>
      </c>
      <c r="S94" s="7" t="s">
        <v>514</v>
      </c>
      <c r="T94" s="7" t="s">
        <v>515</v>
      </c>
      <c r="U94" s="7" t="s">
        <v>516</v>
      </c>
    </row>
    <row r="95" spans="1:21" s="22" customFormat="1" ht="12.75" x14ac:dyDescent="0.25">
      <c r="A95" s="3" t="s">
        <v>326</v>
      </c>
      <c r="B95" s="4" t="s">
        <v>22</v>
      </c>
      <c r="C95" s="4" t="s">
        <v>360</v>
      </c>
      <c r="D95" s="4" t="s">
        <v>361</v>
      </c>
      <c r="E95" s="4"/>
      <c r="F95" s="4"/>
      <c r="G95" s="4" t="s">
        <v>48</v>
      </c>
      <c r="H95" s="4" t="s">
        <v>43</v>
      </c>
      <c r="I95" s="4" t="s">
        <v>37</v>
      </c>
      <c r="J95" s="51">
        <v>46216</v>
      </c>
      <c r="K95" s="51">
        <v>46215</v>
      </c>
      <c r="L95" s="51">
        <v>46216</v>
      </c>
      <c r="M95" s="51">
        <v>46217</v>
      </c>
      <c r="N95" s="51">
        <v>46217</v>
      </c>
      <c r="O95" s="4"/>
      <c r="P95" s="4"/>
      <c r="Q95" s="4"/>
      <c r="R95" s="4" t="s">
        <v>506</v>
      </c>
      <c r="S95" s="7" t="s">
        <v>507</v>
      </c>
      <c r="T95" s="7" t="s">
        <v>508</v>
      </c>
      <c r="U95" s="7" t="s">
        <v>509</v>
      </c>
    </row>
    <row r="96" spans="1:21" s="22" customFormat="1" ht="12.75" x14ac:dyDescent="0.25">
      <c r="A96" s="3" t="s">
        <v>326</v>
      </c>
      <c r="B96" s="4" t="s">
        <v>33</v>
      </c>
      <c r="C96" s="4" t="s">
        <v>355</v>
      </c>
      <c r="D96" s="4" t="s">
        <v>356</v>
      </c>
      <c r="E96" s="4" t="s">
        <v>25</v>
      </c>
      <c r="F96" s="4" t="s">
        <v>301</v>
      </c>
      <c r="G96" s="4" t="s">
        <v>357</v>
      </c>
      <c r="H96" s="4" t="s">
        <v>87</v>
      </c>
      <c r="I96" s="4" t="s">
        <v>37</v>
      </c>
      <c r="J96" s="51">
        <v>46212</v>
      </c>
      <c r="K96" s="51">
        <v>46211</v>
      </c>
      <c r="L96" s="51">
        <v>46213</v>
      </c>
      <c r="M96" s="51">
        <v>46218</v>
      </c>
      <c r="N96" s="51">
        <v>46218</v>
      </c>
      <c r="O96" s="4"/>
      <c r="P96" s="4"/>
      <c r="Q96" s="4"/>
      <c r="R96" s="4" t="s">
        <v>473</v>
      </c>
      <c r="S96" s="7" t="s">
        <v>479</v>
      </c>
      <c r="T96" s="7" t="s">
        <v>474</v>
      </c>
      <c r="U96" s="7" t="s">
        <v>475</v>
      </c>
    </row>
    <row r="97" spans="1:21" s="22" customFormat="1" ht="12.75" x14ac:dyDescent="0.25">
      <c r="A97" s="3" t="s">
        <v>326</v>
      </c>
      <c r="B97" s="4" t="s">
        <v>22</v>
      </c>
      <c r="C97" s="4" t="s">
        <v>358</v>
      </c>
      <c r="D97" s="4" t="s">
        <v>359</v>
      </c>
      <c r="E97" s="4" t="s">
        <v>25</v>
      </c>
      <c r="F97" s="4" t="s">
        <v>301</v>
      </c>
      <c r="G97" s="4" t="s">
        <v>357</v>
      </c>
      <c r="H97" s="4" t="s">
        <v>87</v>
      </c>
      <c r="I97" s="4" t="s">
        <v>37</v>
      </c>
      <c r="J97" s="51">
        <v>46212</v>
      </c>
      <c r="K97" s="51">
        <v>46211</v>
      </c>
      <c r="L97" s="51">
        <v>46213</v>
      </c>
      <c r="M97" s="51">
        <v>46218</v>
      </c>
      <c r="N97" s="51">
        <v>46218</v>
      </c>
      <c r="O97" s="4"/>
      <c r="P97" s="4"/>
      <c r="Q97" s="4"/>
      <c r="R97" s="4" t="s">
        <v>502</v>
      </c>
      <c r="S97" s="7" t="s">
        <v>503</v>
      </c>
      <c r="T97" s="7" t="s">
        <v>504</v>
      </c>
      <c r="U97" s="7" t="s">
        <v>505</v>
      </c>
    </row>
    <row r="98" spans="1:21" s="22" customFormat="1" ht="12.75" x14ac:dyDescent="0.25">
      <c r="A98" s="3" t="s">
        <v>326</v>
      </c>
      <c r="B98" s="4" t="s">
        <v>22</v>
      </c>
      <c r="C98" s="4" t="s">
        <v>235</v>
      </c>
      <c r="D98" s="4" t="s">
        <v>362</v>
      </c>
      <c r="E98" s="4" t="s">
        <v>25</v>
      </c>
      <c r="F98" s="4" t="s">
        <v>319</v>
      </c>
      <c r="G98" s="4" t="s">
        <v>363</v>
      </c>
      <c r="H98" s="4" t="s">
        <v>28</v>
      </c>
      <c r="I98" s="4" t="s">
        <v>37</v>
      </c>
      <c r="J98" s="51">
        <v>46217</v>
      </c>
      <c r="K98" s="51">
        <v>46217</v>
      </c>
      <c r="L98" s="51">
        <v>46218</v>
      </c>
      <c r="M98" s="51">
        <v>46219</v>
      </c>
      <c r="N98" s="51">
        <v>46220</v>
      </c>
      <c r="O98" s="4"/>
      <c r="P98" s="4"/>
      <c r="Q98" s="4"/>
      <c r="R98" s="4" t="s">
        <v>498</v>
      </c>
      <c r="S98" s="7" t="s">
        <v>499</v>
      </c>
      <c r="T98" s="7" t="s">
        <v>500</v>
      </c>
      <c r="U98" s="7" t="s">
        <v>501</v>
      </c>
    </row>
    <row r="99" spans="1:21" s="22" customFormat="1" ht="12.75" x14ac:dyDescent="0.25">
      <c r="A99" s="3" t="s">
        <v>326</v>
      </c>
      <c r="B99" s="4" t="s">
        <v>33</v>
      </c>
      <c r="C99" s="4" t="s">
        <v>364</v>
      </c>
      <c r="D99" s="4" t="s">
        <v>365</v>
      </c>
      <c r="E99" s="4" t="s">
        <v>25</v>
      </c>
      <c r="F99" s="4" t="s">
        <v>319</v>
      </c>
      <c r="G99" s="4" t="s">
        <v>363</v>
      </c>
      <c r="H99" s="4" t="s">
        <v>28</v>
      </c>
      <c r="I99" s="4" t="s">
        <v>37</v>
      </c>
      <c r="J99" s="51">
        <v>46217</v>
      </c>
      <c r="K99" s="51">
        <v>46217</v>
      </c>
      <c r="L99" s="51">
        <v>46218</v>
      </c>
      <c r="M99" s="51">
        <v>46219</v>
      </c>
      <c r="N99" s="51">
        <v>46220</v>
      </c>
      <c r="O99" s="4"/>
      <c r="P99" s="4"/>
      <c r="Q99" s="4"/>
      <c r="R99" s="4" t="s">
        <v>476</v>
      </c>
      <c r="S99" s="7" t="s">
        <v>478</v>
      </c>
      <c r="T99" s="7" t="s">
        <v>480</v>
      </c>
      <c r="U99" s="7" t="s">
        <v>481</v>
      </c>
    </row>
    <row r="100" spans="1:21" s="22" customFormat="1" ht="12.75" x14ac:dyDescent="0.25">
      <c r="A100" s="3" t="s">
        <v>326</v>
      </c>
      <c r="B100" s="4" t="s">
        <v>22</v>
      </c>
      <c r="C100" s="4" t="s">
        <v>370</v>
      </c>
      <c r="D100" s="4" t="s">
        <v>371</v>
      </c>
      <c r="E100" s="4" t="s">
        <v>55</v>
      </c>
      <c r="F100" s="4"/>
      <c r="G100" s="4"/>
      <c r="H100" s="4" t="s">
        <v>57</v>
      </c>
      <c r="I100" s="4" t="s">
        <v>37</v>
      </c>
      <c r="J100" s="51">
        <v>46221</v>
      </c>
      <c r="K100" s="51">
        <v>46223</v>
      </c>
      <c r="L100" s="51">
        <v>46223</v>
      </c>
      <c r="M100" s="51">
        <v>46223</v>
      </c>
      <c r="N100" s="51">
        <v>46223</v>
      </c>
      <c r="O100" s="4" t="s">
        <v>369</v>
      </c>
      <c r="P100" s="4" t="s">
        <v>32</v>
      </c>
      <c r="Q100" s="4"/>
      <c r="R100" s="4" t="s">
        <v>530</v>
      </c>
      <c r="S100" s="7" t="s">
        <v>531</v>
      </c>
      <c r="T100" s="7" t="s">
        <v>532</v>
      </c>
      <c r="U100" s="7" t="s">
        <v>533</v>
      </c>
    </row>
    <row r="101" spans="1:21" s="22" customFormat="1" ht="12.75" x14ac:dyDescent="0.25">
      <c r="A101" s="3" t="s">
        <v>326</v>
      </c>
      <c r="B101" s="4" t="s">
        <v>22</v>
      </c>
      <c r="C101" s="4" t="s">
        <v>372</v>
      </c>
      <c r="D101" s="4" t="s">
        <v>373</v>
      </c>
      <c r="E101" s="4" t="s">
        <v>41</v>
      </c>
      <c r="F101" s="4" t="s">
        <v>48</v>
      </c>
      <c r="G101" s="4"/>
      <c r="H101" s="4" t="s">
        <v>43</v>
      </c>
      <c r="I101" s="4" t="s">
        <v>37</v>
      </c>
      <c r="J101" s="51">
        <v>46221</v>
      </c>
      <c r="K101" s="51">
        <v>46222</v>
      </c>
      <c r="L101" s="51">
        <v>46223</v>
      </c>
      <c r="M101" s="51">
        <v>46223</v>
      </c>
      <c r="N101" s="51">
        <v>46223</v>
      </c>
      <c r="O101" s="4"/>
      <c r="P101" s="4"/>
      <c r="Q101" s="4"/>
      <c r="R101" s="4" t="s">
        <v>527</v>
      </c>
      <c r="S101" s="7" t="s">
        <v>528</v>
      </c>
      <c r="T101" s="7" t="s">
        <v>529</v>
      </c>
      <c r="U101" s="7" t="s">
        <v>552</v>
      </c>
    </row>
    <row r="102" spans="1:21" s="22" customFormat="1" ht="12.75" x14ac:dyDescent="0.25">
      <c r="A102" s="3" t="s">
        <v>326</v>
      </c>
      <c r="B102" s="4" t="s">
        <v>22</v>
      </c>
      <c r="C102" s="4" t="s">
        <v>374</v>
      </c>
      <c r="D102" s="4" t="s">
        <v>375</v>
      </c>
      <c r="E102" s="4" t="s">
        <v>41</v>
      </c>
      <c r="F102" s="4" t="s">
        <v>169</v>
      </c>
      <c r="G102" s="4"/>
      <c r="H102" s="4" t="s">
        <v>43</v>
      </c>
      <c r="I102" s="4" t="s">
        <v>376</v>
      </c>
      <c r="J102" s="51">
        <v>46223</v>
      </c>
      <c r="K102" s="51">
        <v>46222</v>
      </c>
      <c r="L102" s="51">
        <v>46223</v>
      </c>
      <c r="M102" s="51">
        <v>46223</v>
      </c>
      <c r="N102" s="51">
        <v>46223</v>
      </c>
      <c r="O102" s="4"/>
      <c r="P102" s="4"/>
      <c r="Q102" s="4"/>
      <c r="R102" s="4" t="s">
        <v>523</v>
      </c>
      <c r="S102" s="7" t="s">
        <v>524</v>
      </c>
      <c r="T102" s="7" t="s">
        <v>525</v>
      </c>
      <c r="U102" s="7" t="s">
        <v>526</v>
      </c>
    </row>
    <row r="103" spans="1:21" s="22" customFormat="1" ht="12.75" x14ac:dyDescent="0.25">
      <c r="A103" s="3" t="s">
        <v>326</v>
      </c>
      <c r="B103" s="4" t="s">
        <v>33</v>
      </c>
      <c r="C103" s="4" t="s">
        <v>366</v>
      </c>
      <c r="D103" s="4" t="s">
        <v>367</v>
      </c>
      <c r="E103" s="4" t="s">
        <v>55</v>
      </c>
      <c r="F103" s="4"/>
      <c r="G103" s="4"/>
      <c r="H103" s="4" t="s">
        <v>368</v>
      </c>
      <c r="I103" s="4" t="s">
        <v>37</v>
      </c>
      <c r="J103" s="51">
        <v>46221</v>
      </c>
      <c r="K103" s="51">
        <v>46223</v>
      </c>
      <c r="L103" s="51">
        <v>46223</v>
      </c>
      <c r="M103" s="51">
        <v>46224</v>
      </c>
      <c r="N103" s="51">
        <v>46224</v>
      </c>
      <c r="O103" s="4" t="s">
        <v>369</v>
      </c>
      <c r="P103" s="4" t="s">
        <v>32</v>
      </c>
      <c r="Q103" s="4"/>
      <c r="R103" s="4" t="s">
        <v>482</v>
      </c>
      <c r="S103" s="7" t="s">
        <v>483</v>
      </c>
      <c r="T103" s="7" t="s">
        <v>484</v>
      </c>
      <c r="U103" s="7" t="s">
        <v>485</v>
      </c>
    </row>
    <row r="104" spans="1:21" s="22" customFormat="1" ht="12.75" x14ac:dyDescent="0.25">
      <c r="A104" s="3" t="s">
        <v>326</v>
      </c>
      <c r="B104" s="4" t="s">
        <v>33</v>
      </c>
      <c r="C104" s="4" t="s">
        <v>377</v>
      </c>
      <c r="D104" s="4" t="s">
        <v>378</v>
      </c>
      <c r="E104" s="4" t="s">
        <v>25</v>
      </c>
      <c r="F104" s="4" t="s">
        <v>180</v>
      </c>
      <c r="G104" s="4" t="s">
        <v>379</v>
      </c>
      <c r="H104" s="4" t="s">
        <v>87</v>
      </c>
      <c r="I104" s="4" t="s">
        <v>37</v>
      </c>
      <c r="J104" s="51">
        <v>46226</v>
      </c>
      <c r="K104" s="51">
        <v>46227</v>
      </c>
      <c r="L104" s="51">
        <v>46226</v>
      </c>
      <c r="M104" s="51">
        <v>46230</v>
      </c>
      <c r="N104" s="51">
        <v>46231</v>
      </c>
      <c r="O104" s="4" t="s">
        <v>380</v>
      </c>
      <c r="P104" s="4" t="s">
        <v>267</v>
      </c>
      <c r="Q104" s="4"/>
      <c r="R104" s="4" t="s">
        <v>486</v>
      </c>
      <c r="S104" s="7" t="s">
        <v>487</v>
      </c>
      <c r="T104" s="7" t="s">
        <v>488</v>
      </c>
      <c r="U104" s="7" t="s">
        <v>489</v>
      </c>
    </row>
    <row r="105" spans="1:21" s="22" customFormat="1" ht="12.75" x14ac:dyDescent="0.25">
      <c r="A105" s="3" t="s">
        <v>326</v>
      </c>
      <c r="B105" s="4" t="s">
        <v>22</v>
      </c>
      <c r="C105" s="4" t="s">
        <v>381</v>
      </c>
      <c r="D105" s="4" t="s">
        <v>382</v>
      </c>
      <c r="E105" s="4" t="s">
        <v>25</v>
      </c>
      <c r="F105" s="4" t="s">
        <v>180</v>
      </c>
      <c r="G105" s="4" t="s">
        <v>379</v>
      </c>
      <c r="H105" s="4" t="s">
        <v>87</v>
      </c>
      <c r="I105" s="4" t="s">
        <v>37</v>
      </c>
      <c r="J105" s="51">
        <v>46226</v>
      </c>
      <c r="K105" s="51">
        <v>46227</v>
      </c>
      <c r="L105" s="51">
        <v>46226</v>
      </c>
      <c r="M105" s="51">
        <v>46230</v>
      </c>
      <c r="N105" s="51">
        <v>46231</v>
      </c>
      <c r="O105" s="4" t="s">
        <v>380</v>
      </c>
      <c r="P105" s="4" t="s">
        <v>267</v>
      </c>
      <c r="Q105" s="4"/>
      <c r="R105" s="4" t="s">
        <v>534</v>
      </c>
      <c r="S105" s="7" t="s">
        <v>535</v>
      </c>
      <c r="T105" s="7" t="s">
        <v>536</v>
      </c>
      <c r="U105" s="7" t="s">
        <v>522</v>
      </c>
    </row>
    <row r="106" spans="1:21" s="22" customFormat="1" ht="12.75" x14ac:dyDescent="0.25">
      <c r="A106" s="3" t="s">
        <v>326</v>
      </c>
      <c r="B106" s="4" t="s">
        <v>22</v>
      </c>
      <c r="C106" s="4" t="s">
        <v>383</v>
      </c>
      <c r="D106" s="4" t="s">
        <v>384</v>
      </c>
      <c r="E106" s="4" t="s">
        <v>41</v>
      </c>
      <c r="F106" s="4" t="s">
        <v>48</v>
      </c>
      <c r="G106" s="4"/>
      <c r="H106" s="4" t="s">
        <v>43</v>
      </c>
      <c r="I106" s="4" t="s">
        <v>37</v>
      </c>
      <c r="J106" s="51">
        <v>46230</v>
      </c>
      <c r="K106" s="51">
        <v>46229</v>
      </c>
      <c r="L106" s="51">
        <v>46231</v>
      </c>
      <c r="M106" s="51">
        <v>46231</v>
      </c>
      <c r="N106" s="51">
        <v>46231</v>
      </c>
      <c r="O106" s="4"/>
      <c r="P106" s="4"/>
      <c r="Q106" s="4"/>
      <c r="R106" s="4" t="s">
        <v>537</v>
      </c>
      <c r="S106" s="7" t="s">
        <v>538</v>
      </c>
      <c r="T106" s="7" t="s">
        <v>539</v>
      </c>
      <c r="U106" s="7" t="s">
        <v>540</v>
      </c>
    </row>
    <row r="107" spans="1:21" s="22" customFormat="1" ht="12.75" x14ac:dyDescent="0.25">
      <c r="A107" s="3" t="s">
        <v>326</v>
      </c>
      <c r="B107" s="4" t="s">
        <v>33</v>
      </c>
      <c r="C107" s="4" t="s">
        <v>46</v>
      </c>
      <c r="D107" s="4" t="s">
        <v>385</v>
      </c>
      <c r="E107" s="4" t="s">
        <v>386</v>
      </c>
      <c r="F107" s="4" t="s">
        <v>48</v>
      </c>
      <c r="G107" s="4"/>
      <c r="H107" s="4" t="s">
        <v>43</v>
      </c>
      <c r="I107" s="4" t="s">
        <v>37</v>
      </c>
      <c r="J107" s="51">
        <v>46233</v>
      </c>
      <c r="K107" s="51">
        <v>46232</v>
      </c>
      <c r="L107" s="51">
        <v>46233</v>
      </c>
      <c r="M107" s="51">
        <v>46234</v>
      </c>
      <c r="N107" s="51">
        <v>46234</v>
      </c>
      <c r="O107" s="4"/>
      <c r="P107" s="4"/>
      <c r="Q107" s="4"/>
      <c r="R107" s="4" t="s">
        <v>490</v>
      </c>
      <c r="S107" s="7" t="s">
        <v>491</v>
      </c>
      <c r="T107" s="7" t="s">
        <v>492</v>
      </c>
      <c r="U107" s="7" t="s">
        <v>493</v>
      </c>
    </row>
    <row r="108" spans="1:21" s="22" customFormat="1" ht="12.75" x14ac:dyDescent="0.25">
      <c r="A108" s="8" t="s">
        <v>387</v>
      </c>
      <c r="B108" s="9" t="s">
        <v>22</v>
      </c>
      <c r="C108" s="9" t="s">
        <v>388</v>
      </c>
      <c r="D108" s="9" t="s">
        <v>389</v>
      </c>
      <c r="E108" s="9" t="s">
        <v>25</v>
      </c>
      <c r="F108" s="9" t="s">
        <v>136</v>
      </c>
      <c r="G108" s="9" t="s">
        <v>357</v>
      </c>
      <c r="H108" s="9" t="s">
        <v>28</v>
      </c>
      <c r="I108" s="9" t="s">
        <v>37</v>
      </c>
      <c r="J108" s="53">
        <v>46233</v>
      </c>
      <c r="K108" s="53">
        <v>46232</v>
      </c>
      <c r="L108" s="53">
        <v>46234</v>
      </c>
      <c r="M108" s="51">
        <v>46235</v>
      </c>
      <c r="N108" s="51">
        <v>46235</v>
      </c>
      <c r="O108" s="9" t="s">
        <v>390</v>
      </c>
      <c r="P108" s="9" t="s">
        <v>32</v>
      </c>
      <c r="Q108" s="9"/>
      <c r="R108" s="9" t="s">
        <v>889</v>
      </c>
      <c r="S108" s="7" t="s">
        <v>391</v>
      </c>
      <c r="T108" s="7" t="s">
        <v>392</v>
      </c>
      <c r="U108" s="7" t="s">
        <v>393</v>
      </c>
    </row>
    <row r="109" spans="1:21" s="22" customFormat="1" ht="12.75" x14ac:dyDescent="0.25">
      <c r="A109" s="8" t="s">
        <v>387</v>
      </c>
      <c r="B109" s="4" t="s">
        <v>33</v>
      </c>
      <c r="C109" s="4" t="s">
        <v>394</v>
      </c>
      <c r="D109" s="9" t="s">
        <v>395</v>
      </c>
      <c r="E109" s="4" t="s">
        <v>55</v>
      </c>
      <c r="F109" s="4" t="s">
        <v>272</v>
      </c>
      <c r="G109" s="4"/>
      <c r="H109" s="4" t="s">
        <v>57</v>
      </c>
      <c r="I109" s="9" t="s">
        <v>37</v>
      </c>
      <c r="J109" s="51">
        <v>46235</v>
      </c>
      <c r="K109" s="51">
        <v>46237</v>
      </c>
      <c r="L109" s="51">
        <v>46238</v>
      </c>
      <c r="M109" s="51">
        <v>46238</v>
      </c>
      <c r="N109" s="51">
        <v>46238</v>
      </c>
      <c r="O109" s="4"/>
      <c r="P109" s="4"/>
      <c r="Q109" s="4"/>
      <c r="R109" s="4" t="s">
        <v>890</v>
      </c>
      <c r="S109" s="7" t="s">
        <v>396</v>
      </c>
      <c r="T109" s="7" t="s">
        <v>397</v>
      </c>
      <c r="U109" s="7" t="s">
        <v>398</v>
      </c>
    </row>
    <row r="110" spans="1:21" s="22" customFormat="1" ht="12.75" x14ac:dyDescent="0.25">
      <c r="A110" s="3" t="s">
        <v>387</v>
      </c>
      <c r="B110" s="4" t="s">
        <v>22</v>
      </c>
      <c r="C110" s="4" t="s">
        <v>83</v>
      </c>
      <c r="D110" s="4" t="s">
        <v>399</v>
      </c>
      <c r="E110" s="4" t="s">
        <v>55</v>
      </c>
      <c r="F110" s="4" t="s">
        <v>272</v>
      </c>
      <c r="G110" s="4"/>
      <c r="H110" s="4" t="s">
        <v>57</v>
      </c>
      <c r="I110" s="4" t="s">
        <v>37</v>
      </c>
      <c r="J110" s="51">
        <v>46235</v>
      </c>
      <c r="K110" s="51">
        <v>46237</v>
      </c>
      <c r="L110" s="51">
        <v>46238</v>
      </c>
      <c r="M110" s="51">
        <v>46238</v>
      </c>
      <c r="N110" s="51">
        <v>46238</v>
      </c>
      <c r="O110" s="4"/>
      <c r="P110" s="4"/>
      <c r="Q110" s="4"/>
      <c r="R110" s="4" t="s">
        <v>887</v>
      </c>
      <c r="S110" s="7" t="s">
        <v>400</v>
      </c>
      <c r="T110" s="7" t="s">
        <v>401</v>
      </c>
      <c r="U110" s="7" t="s">
        <v>402</v>
      </c>
    </row>
    <row r="111" spans="1:21" s="22" customFormat="1" ht="12.75" x14ac:dyDescent="0.25">
      <c r="A111" s="8" t="s">
        <v>387</v>
      </c>
      <c r="B111" s="9" t="s">
        <v>22</v>
      </c>
      <c r="C111" s="9" t="s">
        <v>408</v>
      </c>
      <c r="D111" s="9" t="s">
        <v>409</v>
      </c>
      <c r="E111" s="9" t="s">
        <v>41</v>
      </c>
      <c r="F111" s="9" t="s">
        <v>410</v>
      </c>
      <c r="G111" s="9"/>
      <c r="H111" s="9" t="s">
        <v>43</v>
      </c>
      <c r="I111" s="9" t="s">
        <v>411</v>
      </c>
      <c r="J111" s="51">
        <v>46237</v>
      </c>
      <c r="K111" s="51">
        <v>46237</v>
      </c>
      <c r="L111" s="53">
        <v>46238</v>
      </c>
      <c r="M111" s="53">
        <v>46238</v>
      </c>
      <c r="N111" s="53">
        <v>46239</v>
      </c>
      <c r="O111" s="9"/>
      <c r="P111" s="9"/>
      <c r="Q111" s="9"/>
      <c r="R111" s="9" t="s">
        <v>888</v>
      </c>
      <c r="S111" s="7" t="s">
        <v>412</v>
      </c>
      <c r="T111" s="7" t="s">
        <v>413</v>
      </c>
      <c r="U111" s="7" t="s">
        <v>414</v>
      </c>
    </row>
    <row r="112" spans="1:21" s="22" customFormat="1" ht="12.75" x14ac:dyDescent="0.25">
      <c r="A112" s="3" t="s">
        <v>387</v>
      </c>
      <c r="B112" s="9" t="s">
        <v>33</v>
      </c>
      <c r="C112" s="9" t="s">
        <v>403</v>
      </c>
      <c r="D112" s="4" t="s">
        <v>404</v>
      </c>
      <c r="E112" s="4" t="s">
        <v>41</v>
      </c>
      <c r="F112" s="4" t="s">
        <v>169</v>
      </c>
      <c r="G112" s="4"/>
      <c r="H112" s="4" t="s">
        <v>43</v>
      </c>
      <c r="I112" s="4" t="s">
        <v>37</v>
      </c>
      <c r="J112" s="51">
        <v>46234</v>
      </c>
      <c r="K112" s="51">
        <v>46234</v>
      </c>
      <c r="L112" s="51">
        <v>46234</v>
      </c>
      <c r="M112" s="53">
        <v>46239</v>
      </c>
      <c r="N112" s="53">
        <v>46239</v>
      </c>
      <c r="O112" s="9"/>
      <c r="P112" s="9"/>
      <c r="Q112" s="9"/>
      <c r="R112" s="9" t="s">
        <v>891</v>
      </c>
      <c r="S112" s="7" t="s">
        <v>405</v>
      </c>
      <c r="T112" s="7" t="s">
        <v>406</v>
      </c>
      <c r="U112" s="7" t="s">
        <v>407</v>
      </c>
    </row>
    <row r="113" spans="1:21" s="22" customFormat="1" ht="12.75" x14ac:dyDescent="0.25">
      <c r="A113" s="3" t="s">
        <v>387</v>
      </c>
      <c r="B113" s="4" t="s">
        <v>22</v>
      </c>
      <c r="C113" s="4" t="s">
        <v>415</v>
      </c>
      <c r="D113" s="3" t="s">
        <v>416</v>
      </c>
      <c r="E113" s="4" t="s">
        <v>41</v>
      </c>
      <c r="F113" s="4" t="s">
        <v>417</v>
      </c>
      <c r="G113" s="4"/>
      <c r="H113" s="4" t="s">
        <v>43</v>
      </c>
      <c r="I113" s="4" t="s">
        <v>45</v>
      </c>
      <c r="J113" s="51">
        <v>46239</v>
      </c>
      <c r="K113" s="51">
        <v>46239</v>
      </c>
      <c r="L113" s="51" t="s">
        <v>45</v>
      </c>
      <c r="M113" s="53">
        <v>46239</v>
      </c>
      <c r="N113" s="53">
        <v>46239</v>
      </c>
      <c r="O113" s="4"/>
      <c r="P113" s="4"/>
      <c r="Q113" s="4"/>
      <c r="R113" s="9" t="s">
        <v>418</v>
      </c>
      <c r="S113" s="7" t="s">
        <v>419</v>
      </c>
      <c r="T113" s="7" t="s">
        <v>420</v>
      </c>
      <c r="U113" s="7" t="s">
        <v>421</v>
      </c>
    </row>
    <row r="114" spans="1:21" s="22" customFormat="1" ht="12.75" x14ac:dyDescent="0.2">
      <c r="A114" s="3" t="s">
        <v>387</v>
      </c>
      <c r="B114" s="4" t="s">
        <v>33</v>
      </c>
      <c r="C114" s="4" t="s">
        <v>422</v>
      </c>
      <c r="D114" s="140" t="s">
        <v>423</v>
      </c>
      <c r="E114" s="4" t="s">
        <v>25</v>
      </c>
      <c r="F114" s="27" t="s">
        <v>869</v>
      </c>
      <c r="G114" s="4" t="s">
        <v>357</v>
      </c>
      <c r="H114" s="4" t="s">
        <v>87</v>
      </c>
      <c r="I114" s="4" t="s">
        <v>37</v>
      </c>
      <c r="J114" s="51">
        <v>46239</v>
      </c>
      <c r="K114" s="51">
        <v>46240</v>
      </c>
      <c r="L114" s="51">
        <v>46241</v>
      </c>
      <c r="M114" s="51">
        <v>46242</v>
      </c>
      <c r="N114" s="51">
        <v>46244</v>
      </c>
      <c r="O114" s="4"/>
      <c r="P114" s="4"/>
      <c r="Q114" s="4"/>
      <c r="R114" s="24" t="s">
        <v>892</v>
      </c>
      <c r="S114" s="7" t="s">
        <v>903</v>
      </c>
      <c r="T114" s="7" t="s">
        <v>904</v>
      </c>
      <c r="U114" s="7" t="s">
        <v>905</v>
      </c>
    </row>
    <row r="115" spans="1:21" s="22" customFormat="1" ht="12.75" x14ac:dyDescent="0.25">
      <c r="A115" s="3" t="s">
        <v>387</v>
      </c>
      <c r="B115" s="4" t="s">
        <v>22</v>
      </c>
      <c r="C115" s="4" t="s">
        <v>108</v>
      </c>
      <c r="D115" s="4" t="s">
        <v>424</v>
      </c>
      <c r="E115" s="4" t="s">
        <v>25</v>
      </c>
      <c r="F115" s="4" t="s">
        <v>869</v>
      </c>
      <c r="G115" s="4" t="s">
        <v>357</v>
      </c>
      <c r="H115" s="4" t="s">
        <v>87</v>
      </c>
      <c r="I115" s="4" t="s">
        <v>37</v>
      </c>
      <c r="J115" s="51">
        <v>46239</v>
      </c>
      <c r="K115" s="51">
        <v>46240</v>
      </c>
      <c r="L115" s="51">
        <v>46241</v>
      </c>
      <c r="M115" s="51">
        <v>46242</v>
      </c>
      <c r="N115" s="51">
        <v>46244</v>
      </c>
      <c r="O115" s="4"/>
      <c r="P115" s="4"/>
      <c r="Q115" s="4"/>
      <c r="R115" s="24" t="s">
        <v>895</v>
      </c>
      <c r="S115" s="7" t="s">
        <v>906</v>
      </c>
      <c r="T115" s="7" t="s">
        <v>907</v>
      </c>
      <c r="U115" s="7" t="s">
        <v>908</v>
      </c>
    </row>
    <row r="116" spans="1:21" s="22" customFormat="1" ht="12.75" x14ac:dyDescent="0.25">
      <c r="A116" s="3" t="s">
        <v>387</v>
      </c>
      <c r="B116" s="4" t="s">
        <v>22</v>
      </c>
      <c r="C116" s="4" t="s">
        <v>131</v>
      </c>
      <c r="D116" s="4" t="s">
        <v>425</v>
      </c>
      <c r="E116" s="4" t="s">
        <v>55</v>
      </c>
      <c r="F116" s="4" t="s">
        <v>56</v>
      </c>
      <c r="G116" s="4"/>
      <c r="H116" s="4" t="s">
        <v>64</v>
      </c>
      <c r="I116" s="4" t="s">
        <v>45</v>
      </c>
      <c r="J116" s="51">
        <v>46239</v>
      </c>
      <c r="K116" s="51">
        <v>46242</v>
      </c>
      <c r="L116" s="51" t="s">
        <v>45</v>
      </c>
      <c r="M116" s="51">
        <v>46242</v>
      </c>
      <c r="N116" s="51">
        <v>46244</v>
      </c>
      <c r="O116" s="4"/>
      <c r="P116" s="4"/>
      <c r="Q116" s="4"/>
      <c r="R116" s="7" t="s">
        <v>894</v>
      </c>
      <c r="S116" s="7" t="s">
        <v>909</v>
      </c>
      <c r="T116" s="7" t="s">
        <v>910</v>
      </c>
      <c r="U116" s="7" t="s">
        <v>911</v>
      </c>
    </row>
    <row r="117" spans="1:21" s="22" customFormat="1" ht="12.75" x14ac:dyDescent="0.25">
      <c r="A117" s="3" t="s">
        <v>387</v>
      </c>
      <c r="B117" s="4" t="s">
        <v>22</v>
      </c>
      <c r="C117" s="7" t="s">
        <v>426</v>
      </c>
      <c r="D117" s="146" t="s">
        <v>427</v>
      </c>
      <c r="E117" s="7" t="s">
        <v>25</v>
      </c>
      <c r="F117" s="7" t="s">
        <v>454</v>
      </c>
      <c r="G117" s="7" t="s">
        <v>455</v>
      </c>
      <c r="H117" s="7" t="s">
        <v>28</v>
      </c>
      <c r="I117" s="7" t="s">
        <v>37</v>
      </c>
      <c r="J117" s="54">
        <v>46244</v>
      </c>
      <c r="K117" s="54">
        <v>46243</v>
      </c>
      <c r="L117" s="54">
        <v>46246</v>
      </c>
      <c r="M117" s="54">
        <v>46246</v>
      </c>
      <c r="N117" s="54">
        <v>46247</v>
      </c>
      <c r="O117" s="7" t="s">
        <v>456</v>
      </c>
      <c r="P117" s="7" t="s">
        <v>32</v>
      </c>
      <c r="Q117" s="7"/>
      <c r="R117" s="7" t="s">
        <v>428</v>
      </c>
      <c r="S117" s="7" t="s">
        <v>912</v>
      </c>
      <c r="T117" s="7" t="s">
        <v>913</v>
      </c>
      <c r="U117" s="7" t="s">
        <v>914</v>
      </c>
    </row>
    <row r="118" spans="1:21" s="22" customFormat="1" ht="12.75" x14ac:dyDescent="0.25">
      <c r="A118" s="3" t="s">
        <v>387</v>
      </c>
      <c r="B118" s="7" t="s">
        <v>22</v>
      </c>
      <c r="C118" s="7" t="s">
        <v>884</v>
      </c>
      <c r="D118" s="7" t="s">
        <v>885</v>
      </c>
      <c r="E118" s="7" t="s">
        <v>55</v>
      </c>
      <c r="F118" s="7"/>
      <c r="G118" s="7"/>
      <c r="H118" s="7" t="s">
        <v>57</v>
      </c>
      <c r="I118" s="7" t="s">
        <v>37</v>
      </c>
      <c r="J118" s="54">
        <v>46248</v>
      </c>
      <c r="K118" s="54">
        <v>46249</v>
      </c>
      <c r="L118" s="54">
        <v>46249</v>
      </c>
      <c r="M118" s="54">
        <v>46252</v>
      </c>
      <c r="N118" s="54">
        <v>46252</v>
      </c>
      <c r="O118" s="7" t="s">
        <v>886</v>
      </c>
      <c r="P118" s="7" t="s">
        <v>32</v>
      </c>
      <c r="Q118" s="7"/>
      <c r="R118" s="4" t="s">
        <v>922</v>
      </c>
      <c r="S118" s="7" t="s">
        <v>935</v>
      </c>
      <c r="T118" s="7" t="s">
        <v>936</v>
      </c>
      <c r="U118" s="7" t="s">
        <v>937</v>
      </c>
    </row>
    <row r="119" spans="1:21" s="22" customFormat="1" ht="12.75" x14ac:dyDescent="0.25">
      <c r="A119" s="3" t="s">
        <v>387</v>
      </c>
      <c r="B119" s="22" t="s">
        <v>22</v>
      </c>
      <c r="C119" s="22" t="s">
        <v>917</v>
      </c>
      <c r="D119" s="22" t="s">
        <v>916</v>
      </c>
      <c r="E119" s="22" t="s">
        <v>25</v>
      </c>
      <c r="F119" s="22" t="s">
        <v>301</v>
      </c>
      <c r="G119" s="22" t="s">
        <v>918</v>
      </c>
      <c r="H119" s="22" t="s">
        <v>87</v>
      </c>
      <c r="I119" s="22" t="s">
        <v>37</v>
      </c>
      <c r="J119" s="52">
        <v>46253</v>
      </c>
      <c r="K119" s="52">
        <v>46254</v>
      </c>
      <c r="L119" s="52">
        <v>46254</v>
      </c>
      <c r="M119" s="52">
        <v>46258</v>
      </c>
      <c r="N119" s="52">
        <v>46258</v>
      </c>
      <c r="O119" s="22" t="s">
        <v>919</v>
      </c>
      <c r="P119" s="22" t="s">
        <v>267</v>
      </c>
      <c r="R119" s="143" t="s">
        <v>961</v>
      </c>
      <c r="S119" s="143" t="s">
        <v>955</v>
      </c>
      <c r="T119" s="143" t="s">
        <v>956</v>
      </c>
      <c r="U119" s="143" t="s">
        <v>957</v>
      </c>
    </row>
    <row r="120" spans="1:21" s="22" customFormat="1" ht="12.75" x14ac:dyDescent="0.25">
      <c r="A120" s="3" t="s">
        <v>387</v>
      </c>
      <c r="B120" s="22" t="s">
        <v>22</v>
      </c>
      <c r="C120" s="22" t="s">
        <v>928</v>
      </c>
      <c r="D120" s="26" t="s">
        <v>929</v>
      </c>
      <c r="E120" s="22" t="s">
        <v>41</v>
      </c>
      <c r="F120" s="22" t="s">
        <v>930</v>
      </c>
      <c r="H120" s="22" t="s">
        <v>43</v>
      </c>
      <c r="I120" s="22" t="s">
        <v>45</v>
      </c>
      <c r="J120" s="52">
        <v>46259</v>
      </c>
      <c r="K120" s="52">
        <v>46257</v>
      </c>
      <c r="L120" s="52" t="s">
        <v>45</v>
      </c>
      <c r="M120" s="52">
        <v>46259</v>
      </c>
      <c r="N120" s="52">
        <v>46259</v>
      </c>
      <c r="R120" s="143" t="s">
        <v>962</v>
      </c>
      <c r="S120" s="143" t="s">
        <v>952</v>
      </c>
      <c r="T120" s="143" t="s">
        <v>953</v>
      </c>
      <c r="U120" s="143" t="s">
        <v>954</v>
      </c>
    </row>
    <row r="121" spans="1:21" s="22" customFormat="1" ht="12.75" x14ac:dyDescent="0.25">
      <c r="A121" s="3" t="s">
        <v>387</v>
      </c>
      <c r="B121" s="60" t="s">
        <v>22</v>
      </c>
      <c r="C121" s="60" t="s">
        <v>931</v>
      </c>
      <c r="D121" s="60" t="s">
        <v>923</v>
      </c>
      <c r="E121" s="60" t="s">
        <v>25</v>
      </c>
      <c r="F121" s="60" t="s">
        <v>924</v>
      </c>
      <c r="G121" s="60" t="s">
        <v>925</v>
      </c>
      <c r="H121" s="60" t="s">
        <v>28</v>
      </c>
      <c r="I121" s="60" t="s">
        <v>37</v>
      </c>
      <c r="J121" s="61">
        <v>46258</v>
      </c>
      <c r="K121" s="61">
        <v>46257</v>
      </c>
      <c r="L121" s="61">
        <v>46259</v>
      </c>
      <c r="M121" s="61">
        <v>46262</v>
      </c>
      <c r="N121" s="61">
        <v>46263</v>
      </c>
      <c r="O121" s="60" t="s">
        <v>926</v>
      </c>
      <c r="P121" s="60" t="s">
        <v>267</v>
      </c>
      <c r="Q121" s="60"/>
      <c r="R121" s="23" t="s">
        <v>938</v>
      </c>
      <c r="S121" s="23" t="s">
        <v>958</v>
      </c>
      <c r="T121" s="23" t="s">
        <v>959</v>
      </c>
      <c r="U121" s="23" t="s">
        <v>960</v>
      </c>
    </row>
    <row r="122" spans="1:21" s="22" customFormat="1" ht="12.75" x14ac:dyDescent="0.25">
      <c r="A122" s="3" t="s">
        <v>945</v>
      </c>
      <c r="B122" s="22" t="s">
        <v>22</v>
      </c>
      <c r="C122" s="22" t="s">
        <v>947</v>
      </c>
      <c r="D122" s="26" t="s">
        <v>948</v>
      </c>
      <c r="E122" s="22" t="s">
        <v>41</v>
      </c>
      <c r="F122" s="22" t="s">
        <v>949</v>
      </c>
      <c r="H122" s="22" t="s">
        <v>43</v>
      </c>
      <c r="I122" s="22" t="s">
        <v>45</v>
      </c>
      <c r="J122" s="52">
        <v>46266</v>
      </c>
      <c r="K122" s="52">
        <v>46266</v>
      </c>
      <c r="L122" s="54" t="s">
        <v>45</v>
      </c>
      <c r="M122" s="54">
        <v>46267</v>
      </c>
      <c r="N122" s="54">
        <v>46267</v>
      </c>
      <c r="R122" s="23" t="s">
        <v>1010</v>
      </c>
      <c r="S122" s="23" t="s">
        <v>1032</v>
      </c>
      <c r="T122" s="23" t="s">
        <v>1033</v>
      </c>
      <c r="U122" s="60" t="s">
        <v>1034</v>
      </c>
    </row>
    <row r="123" spans="1:21" s="22" customFormat="1" ht="12.75" x14ac:dyDescent="0.25">
      <c r="A123" s="3" t="s">
        <v>945</v>
      </c>
      <c r="B123" s="22" t="s">
        <v>22</v>
      </c>
      <c r="C123" s="22" t="s">
        <v>967</v>
      </c>
      <c r="D123" s="26" t="s">
        <v>966</v>
      </c>
      <c r="E123" s="22" t="s">
        <v>25</v>
      </c>
      <c r="F123" s="22" t="s">
        <v>180</v>
      </c>
      <c r="G123" s="22" t="s">
        <v>968</v>
      </c>
      <c r="H123" s="22" t="s">
        <v>969</v>
      </c>
      <c r="I123" s="22" t="s">
        <v>37</v>
      </c>
      <c r="J123" s="52">
        <v>46268</v>
      </c>
      <c r="K123" s="52">
        <v>46269</v>
      </c>
      <c r="L123" s="52">
        <v>46272</v>
      </c>
      <c r="M123" s="52">
        <v>46272</v>
      </c>
      <c r="N123" s="52">
        <v>46272</v>
      </c>
      <c r="R123" s="23" t="s">
        <v>1011</v>
      </c>
      <c r="S123" s="23" t="s">
        <v>1035</v>
      </c>
      <c r="T123" s="23" t="s">
        <v>1036</v>
      </c>
      <c r="U123" s="60" t="s">
        <v>1026</v>
      </c>
    </row>
    <row r="124" spans="1:21" s="22" customFormat="1" ht="12.75" x14ac:dyDescent="0.25">
      <c r="A124" s="3" t="s">
        <v>945</v>
      </c>
      <c r="B124" s="22" t="s">
        <v>33</v>
      </c>
      <c r="C124" s="22" t="s">
        <v>971</v>
      </c>
      <c r="D124" s="26" t="s">
        <v>970</v>
      </c>
      <c r="E124" s="22" t="s">
        <v>25</v>
      </c>
      <c r="F124" s="22" t="s">
        <v>180</v>
      </c>
      <c r="G124" s="22" t="s">
        <v>968</v>
      </c>
      <c r="H124" s="22" t="s">
        <v>969</v>
      </c>
      <c r="I124" s="22" t="s">
        <v>37</v>
      </c>
      <c r="J124" s="52">
        <v>46268</v>
      </c>
      <c r="K124" s="52">
        <v>46269</v>
      </c>
      <c r="L124" s="52">
        <v>46272</v>
      </c>
      <c r="M124" s="52">
        <v>46272</v>
      </c>
      <c r="N124" s="52">
        <v>46273</v>
      </c>
      <c r="R124" s="23" t="s">
        <v>1012</v>
      </c>
      <c r="S124" s="23" t="s">
        <v>1037</v>
      </c>
      <c r="T124" s="23" t="s">
        <v>1038</v>
      </c>
      <c r="U124" s="60" t="s">
        <v>1039</v>
      </c>
    </row>
    <row r="125" spans="1:21" s="22" customFormat="1" ht="12.75" x14ac:dyDescent="0.25">
      <c r="A125" s="26" t="s">
        <v>945</v>
      </c>
      <c r="B125" s="22" t="s">
        <v>22</v>
      </c>
      <c r="C125" s="22" t="s">
        <v>977</v>
      </c>
      <c r="D125" s="22" t="s">
        <v>978</v>
      </c>
      <c r="E125" s="22" t="s">
        <v>25</v>
      </c>
      <c r="F125" s="22" t="s">
        <v>203</v>
      </c>
      <c r="G125" s="22" t="s">
        <v>979</v>
      </c>
      <c r="H125" s="22" t="s">
        <v>28</v>
      </c>
      <c r="I125" s="22" t="s">
        <v>112</v>
      </c>
      <c r="J125" s="52">
        <v>46269</v>
      </c>
      <c r="K125" s="52">
        <v>46269</v>
      </c>
      <c r="L125" s="52">
        <v>46270</v>
      </c>
      <c r="M125" s="52">
        <v>46272</v>
      </c>
      <c r="N125" s="52">
        <v>46273</v>
      </c>
      <c r="O125" s="22" t="s">
        <v>981</v>
      </c>
      <c r="P125" s="22" t="s">
        <v>980</v>
      </c>
      <c r="R125" s="143" t="s">
        <v>986</v>
      </c>
      <c r="S125" s="22" t="s">
        <v>1030</v>
      </c>
      <c r="T125" s="22" t="s">
        <v>1031</v>
      </c>
      <c r="U125" s="22" t="s">
        <v>1027</v>
      </c>
    </row>
    <row r="126" spans="1:21" s="22" customFormat="1" ht="12.75" x14ac:dyDescent="0.25">
      <c r="A126" s="26" t="s">
        <v>945</v>
      </c>
      <c r="B126" s="22" t="s">
        <v>22</v>
      </c>
      <c r="C126" s="22" t="s">
        <v>983</v>
      </c>
      <c r="D126" s="22" t="s">
        <v>984</v>
      </c>
      <c r="E126" s="22" t="s">
        <v>25</v>
      </c>
      <c r="F126" s="22" t="s">
        <v>985</v>
      </c>
      <c r="G126" s="22" t="s">
        <v>918</v>
      </c>
      <c r="H126" s="22" t="s">
        <v>28</v>
      </c>
      <c r="I126" s="22" t="s">
        <v>37</v>
      </c>
      <c r="J126" s="52">
        <v>46272</v>
      </c>
      <c r="K126" s="52">
        <v>46272</v>
      </c>
      <c r="L126" s="52">
        <v>46274</v>
      </c>
      <c r="M126" s="52">
        <v>46274</v>
      </c>
      <c r="N126" s="52">
        <v>46276</v>
      </c>
      <c r="O126" s="22" t="s">
        <v>994</v>
      </c>
      <c r="P126" s="22" t="s">
        <v>980</v>
      </c>
      <c r="R126" s="60" t="s">
        <v>998</v>
      </c>
      <c r="S126" s="60" t="s">
        <v>1022</v>
      </c>
      <c r="T126" s="60" t="s">
        <v>1025</v>
      </c>
      <c r="U126" s="60" t="s">
        <v>1028</v>
      </c>
    </row>
    <row r="127" spans="1:21" s="22" customFormat="1" ht="12.75" x14ac:dyDescent="0.25">
      <c r="A127" s="26" t="s">
        <v>945</v>
      </c>
      <c r="B127" s="22" t="s">
        <v>22</v>
      </c>
      <c r="C127" s="22" t="s">
        <v>999</v>
      </c>
      <c r="D127" s="26" t="s">
        <v>1000</v>
      </c>
      <c r="E127" s="22" t="s">
        <v>41</v>
      </c>
      <c r="F127" s="22" t="s">
        <v>1001</v>
      </c>
      <c r="H127" s="22" t="s">
        <v>43</v>
      </c>
      <c r="I127" s="22" t="s">
        <v>45</v>
      </c>
      <c r="J127" s="52">
        <v>46275</v>
      </c>
      <c r="K127" s="52">
        <v>46275</v>
      </c>
      <c r="L127" s="52" t="s">
        <v>45</v>
      </c>
      <c r="M127" s="61">
        <v>46276</v>
      </c>
      <c r="N127" s="61">
        <v>46276</v>
      </c>
      <c r="Q127" s="22" t="s">
        <v>1003</v>
      </c>
      <c r="R127" s="60" t="s">
        <v>1013</v>
      </c>
      <c r="S127" s="60" t="s">
        <v>1019</v>
      </c>
      <c r="T127" s="60" t="s">
        <v>1020</v>
      </c>
      <c r="U127" s="60" t="s">
        <v>1021</v>
      </c>
    </row>
    <row r="128" spans="1:21" s="22" customFormat="1" ht="12.75" x14ac:dyDescent="0.25">
      <c r="A128" s="26" t="s">
        <v>945</v>
      </c>
      <c r="B128" s="22" t="s">
        <v>33</v>
      </c>
      <c r="C128" s="22" t="s">
        <v>160</v>
      </c>
      <c r="D128" s="26" t="s">
        <v>1006</v>
      </c>
      <c r="E128" s="22" t="s">
        <v>25</v>
      </c>
      <c r="F128" s="22" t="s">
        <v>103</v>
      </c>
      <c r="G128" s="22" t="s">
        <v>1007</v>
      </c>
      <c r="H128" s="22" t="s">
        <v>28</v>
      </c>
      <c r="I128" s="22" t="s">
        <v>112</v>
      </c>
      <c r="J128" s="52">
        <v>46276</v>
      </c>
      <c r="K128" s="52">
        <v>46275</v>
      </c>
      <c r="L128" s="52">
        <v>46276</v>
      </c>
      <c r="M128" s="61">
        <v>46277</v>
      </c>
      <c r="N128" s="61">
        <v>46280</v>
      </c>
      <c r="O128" s="22" t="s">
        <v>1008</v>
      </c>
      <c r="P128" s="22" t="s">
        <v>980</v>
      </c>
      <c r="R128" s="60" t="s">
        <v>1009</v>
      </c>
      <c r="S128" s="60" t="s">
        <v>1023</v>
      </c>
      <c r="T128" s="60" t="s">
        <v>1024</v>
      </c>
      <c r="U128" s="60" t="s">
        <v>1040</v>
      </c>
    </row>
    <row r="129" spans="1:16384" s="22" customFormat="1" ht="12.75" x14ac:dyDescent="0.25">
      <c r="A129" s="59" t="s">
        <v>945</v>
      </c>
      <c r="B129" s="60" t="s">
        <v>22</v>
      </c>
      <c r="C129" s="60" t="s">
        <v>131</v>
      </c>
      <c r="D129" s="59" t="s">
        <v>1051</v>
      </c>
      <c r="E129" s="60" t="s">
        <v>55</v>
      </c>
      <c r="F129" s="60"/>
      <c r="G129" s="60"/>
      <c r="H129" s="60"/>
      <c r="I129" s="60" t="s">
        <v>45</v>
      </c>
      <c r="J129" s="61">
        <v>46280</v>
      </c>
      <c r="K129" s="61">
        <v>46282</v>
      </c>
      <c r="L129" s="61" t="s">
        <v>45</v>
      </c>
      <c r="M129" s="61">
        <v>46281</v>
      </c>
      <c r="N129" s="61">
        <v>46282</v>
      </c>
      <c r="O129" s="60"/>
      <c r="P129" s="60"/>
      <c r="Q129" s="60"/>
      <c r="R129" s="60" t="s">
        <v>30</v>
      </c>
      <c r="S129" s="60" t="s">
        <v>1104</v>
      </c>
      <c r="T129" s="60" t="s">
        <v>1105</v>
      </c>
      <c r="U129" s="60" t="s">
        <v>1060</v>
      </c>
    </row>
    <row r="130" spans="1:16384" s="22" customFormat="1" ht="12.75" x14ac:dyDescent="0.25">
      <c r="A130" s="59" t="s">
        <v>945</v>
      </c>
      <c r="B130" s="60" t="s">
        <v>22</v>
      </c>
      <c r="C130" s="60" t="s">
        <v>1056</v>
      </c>
      <c r="D130" s="60" t="s">
        <v>1057</v>
      </c>
      <c r="E130" s="60" t="s">
        <v>25</v>
      </c>
      <c r="F130" s="60" t="s">
        <v>869</v>
      </c>
      <c r="G130" s="60" t="s">
        <v>918</v>
      </c>
      <c r="H130" s="60" t="s">
        <v>87</v>
      </c>
      <c r="I130" s="60" t="s">
        <v>37</v>
      </c>
      <c r="J130" s="61">
        <v>46280</v>
      </c>
      <c r="K130" s="61">
        <v>46280</v>
      </c>
      <c r="L130" s="61">
        <v>46282</v>
      </c>
      <c r="M130" s="61">
        <v>46282</v>
      </c>
      <c r="N130" s="52">
        <v>46286</v>
      </c>
      <c r="O130" s="60" t="s">
        <v>1058</v>
      </c>
      <c r="P130" s="60" t="s">
        <v>1059</v>
      </c>
      <c r="Q130" s="60"/>
      <c r="R130" s="60" t="s">
        <v>1131</v>
      </c>
      <c r="S130" s="60" t="s">
        <v>1106</v>
      </c>
      <c r="T130" s="60" t="s">
        <v>1107</v>
      </c>
      <c r="U130" s="60" t="s">
        <v>1061</v>
      </c>
    </row>
    <row r="131" spans="1:16384" s="22" customFormat="1" x14ac:dyDescent="0.25">
      <c r="A131" s="59" t="s">
        <v>945</v>
      </c>
      <c r="B131" s="60" t="s">
        <v>33</v>
      </c>
      <c r="C131" s="22" t="s">
        <v>1055</v>
      </c>
      <c r="D131" s="22" t="s">
        <v>1054</v>
      </c>
      <c r="E131" s="22" t="s">
        <v>25</v>
      </c>
      <c r="F131" s="141" t="s">
        <v>869</v>
      </c>
      <c r="G131" s="22" t="s">
        <v>918</v>
      </c>
      <c r="H131" s="22" t="s">
        <v>87</v>
      </c>
      <c r="I131" s="22" t="s">
        <v>37</v>
      </c>
      <c r="J131" s="52">
        <v>46280</v>
      </c>
      <c r="K131" s="52">
        <v>46280</v>
      </c>
      <c r="L131" s="52">
        <v>46282</v>
      </c>
      <c r="M131" s="52">
        <v>46282</v>
      </c>
      <c r="N131" s="52">
        <v>46286</v>
      </c>
      <c r="O131" s="22" t="s">
        <v>1058</v>
      </c>
      <c r="P131" s="22" t="s">
        <v>1059</v>
      </c>
      <c r="R131" s="60" t="s">
        <v>1114</v>
      </c>
      <c r="S131" s="60" t="s">
        <v>1115</v>
      </c>
      <c r="T131" s="60" t="s">
        <v>1116</v>
      </c>
      <c r="U131" s="60" t="s">
        <v>1117</v>
      </c>
    </row>
    <row r="132" spans="1:16384" s="22" customFormat="1" ht="12.75" x14ac:dyDescent="0.25">
      <c r="A132" s="59" t="s">
        <v>945</v>
      </c>
      <c r="B132" s="22" t="s">
        <v>33</v>
      </c>
      <c r="C132" s="22" t="s">
        <v>1066</v>
      </c>
      <c r="D132" s="22" t="s">
        <v>1065</v>
      </c>
      <c r="E132" s="22" t="s">
        <v>55</v>
      </c>
      <c r="F132" s="22" t="s">
        <v>272</v>
      </c>
      <c r="G132" s="22" t="s">
        <v>1069</v>
      </c>
      <c r="H132" s="22" t="s">
        <v>57</v>
      </c>
      <c r="I132" s="22" t="s">
        <v>37</v>
      </c>
      <c r="J132" s="52">
        <v>46284</v>
      </c>
      <c r="K132" s="52">
        <v>46286</v>
      </c>
      <c r="L132" s="52">
        <v>46286</v>
      </c>
      <c r="M132" s="52">
        <v>46287</v>
      </c>
      <c r="N132" s="52">
        <v>46287</v>
      </c>
      <c r="R132" s="23" t="s">
        <v>1118</v>
      </c>
      <c r="S132" s="60" t="s">
        <v>1119</v>
      </c>
      <c r="T132" s="60" t="s">
        <v>1120</v>
      </c>
      <c r="U132" s="60" t="s">
        <v>1121</v>
      </c>
    </row>
    <row r="133" spans="1:16384" s="22" customFormat="1" ht="12.75" x14ac:dyDescent="0.25">
      <c r="A133" s="59" t="s">
        <v>945</v>
      </c>
      <c r="B133" s="22" t="s">
        <v>22</v>
      </c>
      <c r="C133" s="22" t="s">
        <v>1067</v>
      </c>
      <c r="D133" s="22" t="s">
        <v>1068</v>
      </c>
      <c r="E133" s="22" t="s">
        <v>55</v>
      </c>
      <c r="F133" s="22" t="s">
        <v>272</v>
      </c>
      <c r="G133" s="22" t="s">
        <v>1069</v>
      </c>
      <c r="H133" s="22" t="s">
        <v>57</v>
      </c>
      <c r="I133" s="22" t="s">
        <v>37</v>
      </c>
      <c r="J133" s="52">
        <v>46284</v>
      </c>
      <c r="K133" s="52">
        <v>46286</v>
      </c>
      <c r="L133" s="52">
        <v>46286</v>
      </c>
      <c r="M133" s="52">
        <v>46287</v>
      </c>
      <c r="N133" s="52">
        <v>46287</v>
      </c>
      <c r="R133" s="23" t="s">
        <v>1132</v>
      </c>
      <c r="S133" s="60" t="s">
        <v>1101</v>
      </c>
      <c r="T133" s="60" t="s">
        <v>1102</v>
      </c>
      <c r="U133" s="60" t="s">
        <v>1103</v>
      </c>
    </row>
    <row r="134" spans="1:16384" s="22" customFormat="1" ht="12.75" x14ac:dyDescent="0.25">
      <c r="A134" s="60" t="s">
        <v>945</v>
      </c>
      <c r="B134" s="22" t="s">
        <v>22</v>
      </c>
      <c r="C134" s="22" t="s">
        <v>1080</v>
      </c>
      <c r="D134" s="22" t="s">
        <v>1081</v>
      </c>
      <c r="E134" s="22" t="s">
        <v>25</v>
      </c>
      <c r="F134" s="22" t="s">
        <v>36</v>
      </c>
      <c r="G134" s="22" t="s">
        <v>1082</v>
      </c>
      <c r="H134" s="22" t="s">
        <v>28</v>
      </c>
      <c r="I134" s="22" t="s">
        <v>37</v>
      </c>
      <c r="J134" s="52">
        <v>46290</v>
      </c>
      <c r="K134" s="52">
        <v>46288</v>
      </c>
      <c r="L134" s="52">
        <v>46293</v>
      </c>
      <c r="M134" s="52">
        <v>46290</v>
      </c>
      <c r="N134" s="61">
        <v>46294</v>
      </c>
      <c r="R134" s="23" t="s">
        <v>1097</v>
      </c>
      <c r="S134" s="60" t="s">
        <v>1098</v>
      </c>
      <c r="T134" s="60" t="s">
        <v>1099</v>
      </c>
      <c r="U134" s="60" t="s">
        <v>1100</v>
      </c>
    </row>
    <row r="135" spans="1:16384" s="22" customFormat="1" ht="12.75" x14ac:dyDescent="0.25">
      <c r="A135" s="60" t="s">
        <v>945</v>
      </c>
      <c r="B135" s="22" t="s">
        <v>33</v>
      </c>
      <c r="C135" s="22" t="s">
        <v>1086</v>
      </c>
      <c r="D135" s="22" t="s">
        <v>1085</v>
      </c>
      <c r="E135" s="22" t="s">
        <v>25</v>
      </c>
      <c r="F135" s="144" t="s">
        <v>1087</v>
      </c>
      <c r="G135" s="22" t="s">
        <v>1088</v>
      </c>
      <c r="H135" s="22" t="s">
        <v>28</v>
      </c>
      <c r="I135" s="22" t="s">
        <v>37</v>
      </c>
      <c r="J135" s="52">
        <v>46293</v>
      </c>
      <c r="K135" s="52">
        <v>46293</v>
      </c>
      <c r="L135" s="52">
        <v>46294</v>
      </c>
      <c r="M135" s="52">
        <v>46294</v>
      </c>
      <c r="N135" s="61" t="s">
        <v>30</v>
      </c>
      <c r="R135" s="23" t="s">
        <v>17516</v>
      </c>
      <c r="S135" s="60" t="s">
        <v>1122</v>
      </c>
      <c r="T135" s="60" t="s">
        <v>1123</v>
      </c>
      <c r="U135" s="60" t="s">
        <v>1124</v>
      </c>
    </row>
    <row r="136" spans="1:16384" s="22" customFormat="1" ht="12.75" x14ac:dyDescent="0.25">
      <c r="A136" s="60" t="s">
        <v>945</v>
      </c>
      <c r="B136" s="60" t="s">
        <v>22</v>
      </c>
      <c r="C136" s="60" t="s">
        <v>1090</v>
      </c>
      <c r="D136" s="60" t="s">
        <v>1089</v>
      </c>
      <c r="E136" s="60" t="s">
        <v>25</v>
      </c>
      <c r="F136" s="60" t="s">
        <v>180</v>
      </c>
      <c r="G136" s="60" t="s">
        <v>1091</v>
      </c>
      <c r="H136" s="60" t="s">
        <v>28</v>
      </c>
      <c r="I136" s="60" t="s">
        <v>37</v>
      </c>
      <c r="J136" s="61">
        <v>46293</v>
      </c>
      <c r="K136" s="61">
        <v>46293</v>
      </c>
      <c r="L136" s="61">
        <v>46294</v>
      </c>
      <c r="M136" s="61">
        <v>46294</v>
      </c>
      <c r="N136" s="61" t="s">
        <v>1092</v>
      </c>
      <c r="O136" s="60"/>
      <c r="P136" s="60"/>
      <c r="Q136" s="60"/>
      <c r="R136" s="23" t="s">
        <v>1093</v>
      </c>
      <c r="S136" s="60" t="s">
        <v>1094</v>
      </c>
      <c r="T136" s="60" t="s">
        <v>1095</v>
      </c>
      <c r="U136" s="60" t="s">
        <v>1096</v>
      </c>
    </row>
    <row r="137" spans="1:16384" s="22" customFormat="1" ht="12.75" x14ac:dyDescent="0.25">
      <c r="A137" s="59" t="s">
        <v>1130</v>
      </c>
      <c r="B137" s="22" t="s">
        <v>22</v>
      </c>
      <c r="C137" s="22" t="s">
        <v>1139</v>
      </c>
      <c r="D137" s="22" t="s">
        <v>1138</v>
      </c>
      <c r="E137" s="22" t="s">
        <v>25</v>
      </c>
      <c r="F137" s="22" t="s">
        <v>1140</v>
      </c>
      <c r="G137" s="22" t="s">
        <v>1141</v>
      </c>
      <c r="H137" s="22" t="s">
        <v>28</v>
      </c>
      <c r="I137" s="22" t="s">
        <v>37</v>
      </c>
      <c r="J137" s="52">
        <v>46297</v>
      </c>
      <c r="K137" s="52">
        <v>46296</v>
      </c>
      <c r="L137" s="52">
        <v>46300</v>
      </c>
      <c r="M137" s="61">
        <v>46297</v>
      </c>
      <c r="N137" s="61">
        <v>46301</v>
      </c>
      <c r="O137" s="22" t="s">
        <v>1142</v>
      </c>
      <c r="R137" s="23" t="s">
        <v>17517</v>
      </c>
      <c r="S137" s="22" t="s">
        <v>30</v>
      </c>
      <c r="T137" s="22" t="s">
        <v>30</v>
      </c>
      <c r="U137" s="22" t="s">
        <v>30</v>
      </c>
    </row>
    <row r="138" spans="1:16384" s="22" customFormat="1" ht="12.75" x14ac:dyDescent="0.25">
      <c r="A138" s="60" t="s">
        <v>1130</v>
      </c>
      <c r="B138" s="60" t="s">
        <v>33</v>
      </c>
      <c r="C138" s="60" t="s">
        <v>1144</v>
      </c>
      <c r="D138" s="60" t="s">
        <v>1143</v>
      </c>
      <c r="E138" s="60" t="s">
        <v>25</v>
      </c>
      <c r="F138" s="60" t="s">
        <v>1140</v>
      </c>
      <c r="G138" s="60" t="s">
        <v>1141</v>
      </c>
      <c r="H138" s="60" t="s">
        <v>28</v>
      </c>
      <c r="I138" s="60" t="s">
        <v>37</v>
      </c>
      <c r="J138" s="61">
        <v>46297</v>
      </c>
      <c r="K138" s="61">
        <v>46296</v>
      </c>
      <c r="L138" s="61">
        <v>46300</v>
      </c>
      <c r="M138" s="61">
        <v>46297</v>
      </c>
      <c r="N138" s="61">
        <v>46301</v>
      </c>
      <c r="O138" s="60" t="s">
        <v>1142</v>
      </c>
      <c r="P138" s="60"/>
      <c r="Q138" s="60"/>
      <c r="R138" s="23" t="s">
        <v>17519</v>
      </c>
      <c r="S138" s="60" t="s">
        <v>30</v>
      </c>
      <c r="T138" s="60" t="s">
        <v>30</v>
      </c>
      <c r="U138" s="60" t="s">
        <v>30</v>
      </c>
    </row>
    <row r="139" spans="1:16384" s="22" customFormat="1" ht="12.75" x14ac:dyDescent="0.25">
      <c r="A139" s="22" t="s">
        <v>1130</v>
      </c>
      <c r="B139" s="22" t="s">
        <v>33</v>
      </c>
      <c r="C139" s="22" t="s">
        <v>394</v>
      </c>
      <c r="D139" s="22" t="s">
        <v>17508</v>
      </c>
      <c r="E139" s="22" t="s">
        <v>25</v>
      </c>
      <c r="F139" s="22" t="s">
        <v>301</v>
      </c>
      <c r="G139" s="22" t="s">
        <v>17509</v>
      </c>
      <c r="H139" s="22" t="s">
        <v>28</v>
      </c>
      <c r="I139" s="22" t="s">
        <v>37</v>
      </c>
      <c r="J139" s="52">
        <v>46297</v>
      </c>
      <c r="K139" s="52">
        <v>46296</v>
      </c>
      <c r="L139" s="52">
        <v>46297</v>
      </c>
      <c r="M139" s="52">
        <v>46297</v>
      </c>
      <c r="N139" s="52">
        <v>46301</v>
      </c>
      <c r="O139" s="22" t="s">
        <v>17510</v>
      </c>
      <c r="R139" s="23" t="s">
        <v>17518</v>
      </c>
      <c r="S139" s="22" t="s">
        <v>30</v>
      </c>
      <c r="T139" s="22" t="s">
        <v>30</v>
      </c>
      <c r="U139" s="22" t="s">
        <v>30</v>
      </c>
    </row>
    <row r="140" spans="1:16384" s="22" customFormat="1" ht="12.75" x14ac:dyDescent="0.25">
      <c r="A140" s="60" t="s">
        <v>1130</v>
      </c>
      <c r="B140" s="60" t="s">
        <v>22</v>
      </c>
      <c r="C140" s="60" t="s">
        <v>17513</v>
      </c>
      <c r="D140" s="60" t="s">
        <v>17511</v>
      </c>
      <c r="E140" s="22" t="s">
        <v>25</v>
      </c>
      <c r="F140" s="22" t="s">
        <v>924</v>
      </c>
      <c r="G140" s="22" t="s">
        <v>17512</v>
      </c>
      <c r="H140" s="22" t="s">
        <v>28</v>
      </c>
      <c r="I140" s="22" t="s">
        <v>37</v>
      </c>
      <c r="J140" s="61">
        <v>46297</v>
      </c>
      <c r="K140" s="61">
        <v>46299</v>
      </c>
      <c r="L140" s="52">
        <v>46298</v>
      </c>
      <c r="M140" s="61">
        <v>46300</v>
      </c>
      <c r="N140" s="61">
        <v>46302</v>
      </c>
      <c r="O140" s="60"/>
      <c r="P140" s="60"/>
      <c r="Q140" s="60"/>
      <c r="R140" s="23" t="s">
        <v>17520</v>
      </c>
      <c r="S140" s="60" t="s">
        <v>30</v>
      </c>
      <c r="T140" s="60" t="s">
        <v>30</v>
      </c>
      <c r="U140" s="60" t="s">
        <v>30</v>
      </c>
    </row>
    <row r="141" spans="1:16384" s="145" customFormat="1" x14ac:dyDescent="0.25">
      <c r="A141" s="22" t="s">
        <v>1130</v>
      </c>
      <c r="B141" s="22" t="s">
        <v>22</v>
      </c>
      <c r="C141" s="22" t="s">
        <v>125</v>
      </c>
      <c r="D141" s="22" t="s">
        <v>17514</v>
      </c>
      <c r="E141" s="22" t="s">
        <v>55</v>
      </c>
      <c r="F141" s="22" t="s">
        <v>17515</v>
      </c>
      <c r="G141" s="22"/>
      <c r="H141" s="22" t="s">
        <v>57</v>
      </c>
      <c r="I141" s="22" t="s">
        <v>37</v>
      </c>
      <c r="J141" s="52">
        <v>46298</v>
      </c>
      <c r="K141" s="52">
        <v>46300</v>
      </c>
      <c r="L141" s="52">
        <v>46300</v>
      </c>
      <c r="M141" s="52">
        <v>46301</v>
      </c>
      <c r="N141" s="52">
        <v>46301</v>
      </c>
      <c r="O141" s="22"/>
      <c r="P141" s="22"/>
      <c r="Q141" s="22"/>
      <c r="R141" s="143" t="s">
        <v>30</v>
      </c>
      <c r="S141" s="143" t="s">
        <v>30</v>
      </c>
      <c r="T141" s="143" t="s">
        <v>30</v>
      </c>
      <c r="U141" s="143" t="s">
        <v>30</v>
      </c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  <c r="IZ141" s="22"/>
      <c r="JA141" s="22"/>
      <c r="JB141" s="22"/>
      <c r="JC141" s="22"/>
      <c r="JD141" s="22"/>
      <c r="JE141" s="22"/>
      <c r="JF141" s="22"/>
      <c r="JG141" s="22"/>
      <c r="JH141" s="22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2"/>
      <c r="LK141" s="22"/>
      <c r="LL141" s="22"/>
      <c r="LM141" s="22"/>
      <c r="LN141" s="22"/>
      <c r="LO141" s="22"/>
      <c r="LP141" s="22"/>
      <c r="LQ141" s="22"/>
      <c r="LR141" s="22"/>
      <c r="LS141" s="22"/>
      <c r="LT141" s="22"/>
      <c r="LU141" s="22"/>
      <c r="LV141" s="22"/>
      <c r="LW141" s="22"/>
      <c r="LX141" s="22"/>
      <c r="LY141" s="22"/>
      <c r="LZ141" s="22"/>
      <c r="MA141" s="22"/>
      <c r="MB141" s="22"/>
      <c r="MC141" s="22"/>
      <c r="MD141" s="22"/>
      <c r="ME141" s="22"/>
      <c r="MF141" s="22"/>
      <c r="MG141" s="22"/>
      <c r="MH141" s="22"/>
      <c r="MI141" s="22"/>
      <c r="MJ141" s="22"/>
      <c r="MK141" s="22"/>
      <c r="ML141" s="22"/>
      <c r="MM141" s="22"/>
      <c r="MN141" s="22"/>
      <c r="MO141" s="22"/>
      <c r="MP141" s="22"/>
      <c r="MQ141" s="22"/>
      <c r="MR141" s="22"/>
      <c r="MS141" s="22"/>
      <c r="MT141" s="22"/>
      <c r="MU141" s="22"/>
      <c r="MV141" s="22"/>
      <c r="MW141" s="22"/>
      <c r="MX141" s="22"/>
      <c r="MY141" s="22"/>
      <c r="MZ141" s="22"/>
      <c r="NA141" s="22"/>
      <c r="NB141" s="22"/>
      <c r="NC141" s="22"/>
      <c r="ND141" s="22"/>
      <c r="NE141" s="22"/>
      <c r="NF141" s="22"/>
      <c r="NG141" s="22"/>
      <c r="NH141" s="22"/>
      <c r="NI141" s="22"/>
      <c r="NJ141" s="22"/>
      <c r="NK141" s="22"/>
      <c r="NL141" s="22"/>
      <c r="NM141" s="22"/>
      <c r="NN141" s="22"/>
      <c r="NO141" s="22"/>
      <c r="NP141" s="22"/>
      <c r="NQ141" s="22"/>
      <c r="NR141" s="22"/>
      <c r="NS141" s="22"/>
      <c r="NT141" s="22"/>
      <c r="NU141" s="22"/>
      <c r="NV141" s="22"/>
      <c r="NW141" s="22"/>
      <c r="NX141" s="22"/>
      <c r="NY141" s="22"/>
      <c r="NZ141" s="22"/>
      <c r="OA141" s="22"/>
      <c r="OB141" s="22"/>
      <c r="OC141" s="22"/>
      <c r="OD141" s="22"/>
      <c r="OE141" s="22"/>
      <c r="OF141" s="22"/>
      <c r="OG141" s="22"/>
      <c r="OH141" s="22"/>
      <c r="OI141" s="22"/>
      <c r="OJ141" s="22"/>
      <c r="OK141" s="22"/>
      <c r="OL141" s="22"/>
      <c r="OM141" s="22"/>
      <c r="ON141" s="22"/>
      <c r="OO141" s="22"/>
      <c r="OP141" s="22"/>
      <c r="OQ141" s="22"/>
      <c r="OR141" s="22"/>
      <c r="OS141" s="22"/>
      <c r="OT141" s="22"/>
      <c r="OU141" s="22"/>
      <c r="OV141" s="22"/>
      <c r="OW141" s="22"/>
      <c r="OX141" s="22"/>
      <c r="OY141" s="22"/>
      <c r="OZ141" s="22"/>
      <c r="PA141" s="22"/>
      <c r="PB141" s="22"/>
      <c r="PC141" s="22"/>
      <c r="PD141" s="22"/>
      <c r="PE141" s="22"/>
      <c r="PF141" s="22"/>
      <c r="PG141" s="22"/>
      <c r="PH141" s="22"/>
      <c r="PI141" s="22"/>
      <c r="PJ141" s="22"/>
      <c r="PK141" s="22"/>
      <c r="PL141" s="22"/>
      <c r="PM141" s="22"/>
      <c r="PN141" s="22"/>
      <c r="PO141" s="22"/>
      <c r="PP141" s="22"/>
      <c r="PQ141" s="22"/>
      <c r="PR141" s="22"/>
      <c r="PS141" s="22"/>
      <c r="PT141" s="22"/>
      <c r="PU141" s="22"/>
      <c r="PV141" s="22"/>
      <c r="PW141" s="22"/>
      <c r="PX141" s="22"/>
      <c r="PY141" s="22"/>
      <c r="PZ141" s="22"/>
      <c r="QA141" s="22"/>
      <c r="QB141" s="22"/>
      <c r="QC141" s="22"/>
      <c r="QD141" s="22"/>
      <c r="QE141" s="22"/>
      <c r="QF141" s="22"/>
      <c r="QG141" s="22"/>
      <c r="QH141" s="22"/>
      <c r="QI141" s="22"/>
      <c r="QJ141" s="22"/>
      <c r="QK141" s="22"/>
      <c r="QL141" s="22"/>
      <c r="QM141" s="22"/>
      <c r="QN141" s="22"/>
      <c r="QO141" s="22"/>
      <c r="QP141" s="22"/>
      <c r="QQ141" s="22"/>
      <c r="QR141" s="22"/>
      <c r="QS141" s="22"/>
      <c r="QT141" s="22"/>
      <c r="QU141" s="22"/>
      <c r="QV141" s="22"/>
      <c r="QW141" s="22"/>
      <c r="QX141" s="22"/>
      <c r="QY141" s="22"/>
      <c r="QZ141" s="22"/>
      <c r="RA141" s="22"/>
      <c r="RB141" s="22"/>
      <c r="RC141" s="22"/>
      <c r="RD141" s="22"/>
      <c r="RE141" s="22"/>
      <c r="RF141" s="22"/>
      <c r="RG141" s="22"/>
      <c r="RH141" s="22"/>
      <c r="RI141" s="22"/>
      <c r="RJ141" s="22"/>
      <c r="RK141" s="22"/>
      <c r="RL141" s="22"/>
      <c r="RM141" s="22"/>
      <c r="RN141" s="22"/>
      <c r="RO141" s="22"/>
      <c r="RP141" s="22"/>
      <c r="RQ141" s="22"/>
      <c r="RR141" s="22"/>
      <c r="RS141" s="22"/>
      <c r="RT141" s="22"/>
      <c r="RU141" s="22"/>
      <c r="RV141" s="22"/>
      <c r="RW141" s="22"/>
      <c r="RX141" s="22"/>
      <c r="RY141" s="22"/>
      <c r="RZ141" s="22"/>
      <c r="SA141" s="22"/>
      <c r="SB141" s="22"/>
      <c r="SC141" s="22"/>
      <c r="SD141" s="22"/>
      <c r="SE141" s="22"/>
      <c r="SF141" s="22"/>
      <c r="SG141" s="22"/>
      <c r="SH141" s="22"/>
      <c r="SI141" s="22"/>
      <c r="SJ141" s="22"/>
      <c r="SK141" s="22"/>
      <c r="SL141" s="22"/>
      <c r="SM141" s="22"/>
      <c r="SN141" s="22"/>
      <c r="SO141" s="22"/>
      <c r="SP141" s="22"/>
      <c r="SQ141" s="22"/>
      <c r="SR141" s="22"/>
      <c r="SS141" s="22"/>
      <c r="ST141" s="22"/>
      <c r="SU141" s="22"/>
      <c r="SV141" s="22"/>
      <c r="SW141" s="22"/>
      <c r="SX141" s="22"/>
      <c r="SY141" s="22"/>
      <c r="SZ141" s="22"/>
      <c r="TA141" s="22"/>
      <c r="TB141" s="22"/>
      <c r="TC141" s="22"/>
      <c r="TD141" s="22"/>
      <c r="TE141" s="22"/>
      <c r="TF141" s="22"/>
      <c r="TG141" s="22"/>
      <c r="TH141" s="22"/>
      <c r="TI141" s="22"/>
      <c r="TJ141" s="22"/>
      <c r="TK141" s="22"/>
      <c r="TL141" s="22"/>
      <c r="TM141" s="22"/>
      <c r="TN141" s="22"/>
      <c r="TO141" s="22"/>
      <c r="TP141" s="22"/>
      <c r="TQ141" s="22"/>
      <c r="TR141" s="22"/>
      <c r="TS141" s="22"/>
      <c r="TT141" s="22"/>
      <c r="TU141" s="22"/>
      <c r="TV141" s="22"/>
      <c r="TW141" s="22"/>
      <c r="TX141" s="22"/>
      <c r="TY141" s="22"/>
      <c r="TZ141" s="22"/>
      <c r="UA141" s="22"/>
      <c r="UB141" s="22"/>
      <c r="UC141" s="22"/>
      <c r="UD141" s="22"/>
      <c r="UE141" s="22"/>
      <c r="UF141" s="22"/>
      <c r="UG141" s="22"/>
      <c r="UH141" s="22"/>
      <c r="UI141" s="22"/>
      <c r="UJ141" s="22"/>
      <c r="UK141" s="22"/>
      <c r="UL141" s="22"/>
      <c r="UM141" s="22"/>
      <c r="UN141" s="22"/>
      <c r="UO141" s="22"/>
      <c r="UP141" s="22"/>
      <c r="UQ141" s="22"/>
      <c r="UR141" s="22"/>
      <c r="US141" s="22"/>
      <c r="UT141" s="22"/>
      <c r="UU141" s="22"/>
      <c r="UV141" s="22"/>
      <c r="UW141" s="22"/>
      <c r="UX141" s="22"/>
      <c r="UY141" s="22"/>
      <c r="UZ141" s="22"/>
      <c r="VA141" s="22"/>
      <c r="VB141" s="22"/>
      <c r="VC141" s="22"/>
      <c r="VD141" s="22"/>
      <c r="VE141" s="22"/>
      <c r="VF141" s="22"/>
      <c r="VG141" s="22"/>
      <c r="VH141" s="22"/>
      <c r="VI141" s="22"/>
      <c r="VJ141" s="22"/>
      <c r="VK141" s="22"/>
      <c r="VL141" s="22"/>
      <c r="VM141" s="22"/>
      <c r="VN141" s="22"/>
      <c r="VO141" s="22"/>
      <c r="VP141" s="22"/>
      <c r="VQ141" s="22"/>
      <c r="VR141" s="22"/>
      <c r="VS141" s="22"/>
      <c r="VT141" s="22"/>
      <c r="VU141" s="22"/>
      <c r="VV141" s="22"/>
      <c r="VW141" s="22"/>
      <c r="VX141" s="22"/>
      <c r="VY141" s="22"/>
      <c r="VZ141" s="22"/>
      <c r="WA141" s="22"/>
      <c r="WB141" s="22"/>
      <c r="WC141" s="22"/>
      <c r="WD141" s="22"/>
      <c r="WE141" s="22"/>
      <c r="WF141" s="22"/>
      <c r="WG141" s="22"/>
      <c r="WH141" s="22"/>
      <c r="WI141" s="22"/>
      <c r="WJ141" s="22"/>
      <c r="WK141" s="22"/>
      <c r="WL141" s="22"/>
      <c r="WM141" s="22"/>
      <c r="WN141" s="22"/>
      <c r="WO141" s="22"/>
      <c r="WP141" s="22"/>
      <c r="WQ141" s="22"/>
      <c r="WR141" s="22"/>
      <c r="WS141" s="22"/>
      <c r="WT141" s="22"/>
      <c r="WU141" s="22"/>
      <c r="WV141" s="22"/>
      <c r="WW141" s="22"/>
      <c r="WX141" s="22"/>
      <c r="WY141" s="22"/>
      <c r="WZ141" s="22"/>
      <c r="XA141" s="22"/>
      <c r="XB141" s="22"/>
      <c r="XC141" s="22"/>
      <c r="XD141" s="22"/>
      <c r="XE141" s="22"/>
      <c r="XF141" s="22"/>
      <c r="XG141" s="22"/>
      <c r="XH141" s="22"/>
      <c r="XI141" s="22"/>
      <c r="XJ141" s="22"/>
      <c r="XK141" s="22"/>
      <c r="XL141" s="22"/>
      <c r="XM141" s="22"/>
      <c r="XN141" s="22"/>
      <c r="XO141" s="22"/>
      <c r="XP141" s="22"/>
      <c r="XQ141" s="22"/>
      <c r="XR141" s="22"/>
      <c r="XS141" s="22"/>
      <c r="XT141" s="22"/>
      <c r="XU141" s="22"/>
      <c r="XV141" s="22"/>
      <c r="XW141" s="22"/>
      <c r="XX141" s="22"/>
      <c r="XY141" s="22"/>
      <c r="XZ141" s="22"/>
      <c r="YA141" s="22"/>
      <c r="YB141" s="22"/>
      <c r="YC141" s="22"/>
      <c r="YD141" s="22"/>
      <c r="YE141" s="22"/>
      <c r="YF141" s="22"/>
      <c r="YG141" s="22"/>
      <c r="YH141" s="22"/>
      <c r="YI141" s="22"/>
      <c r="YJ141" s="22"/>
      <c r="YK141" s="22"/>
      <c r="YL141" s="22"/>
      <c r="YM141" s="22"/>
      <c r="YN141" s="22"/>
      <c r="YO141" s="22"/>
      <c r="YP141" s="22"/>
      <c r="YQ141" s="22"/>
      <c r="YR141" s="22"/>
      <c r="YS141" s="22"/>
      <c r="YT141" s="22"/>
      <c r="YU141" s="22"/>
      <c r="YV141" s="22"/>
      <c r="YW141" s="22"/>
      <c r="YX141" s="22"/>
      <c r="YY141" s="22"/>
      <c r="YZ141" s="22"/>
      <c r="ZA141" s="22"/>
      <c r="ZB141" s="22"/>
      <c r="ZC141" s="22"/>
      <c r="ZD141" s="22"/>
      <c r="ZE141" s="22"/>
      <c r="ZF141" s="22"/>
      <c r="ZG141" s="22"/>
      <c r="ZH141" s="22"/>
      <c r="ZI141" s="22"/>
      <c r="ZJ141" s="22"/>
      <c r="ZK141" s="22"/>
      <c r="ZL141" s="22"/>
      <c r="ZM141" s="22"/>
      <c r="ZN141" s="22"/>
      <c r="ZO141" s="22"/>
      <c r="ZP141" s="22"/>
      <c r="ZQ141" s="22"/>
      <c r="ZR141" s="22"/>
      <c r="ZS141" s="22"/>
      <c r="ZT141" s="22"/>
      <c r="ZU141" s="22"/>
      <c r="ZV141" s="22"/>
      <c r="ZW141" s="22"/>
      <c r="ZX141" s="22"/>
      <c r="ZY141" s="22"/>
      <c r="ZZ141" s="22"/>
      <c r="AAA141" s="22"/>
      <c r="AAB141" s="22"/>
      <c r="AAC141" s="22"/>
      <c r="AAD141" s="22"/>
      <c r="AAE141" s="22"/>
      <c r="AAF141" s="22"/>
      <c r="AAG141" s="22"/>
      <c r="AAH141" s="22"/>
      <c r="AAI141" s="22"/>
      <c r="AAJ141" s="22"/>
      <c r="AAK141" s="22"/>
      <c r="AAL141" s="22"/>
      <c r="AAM141" s="22"/>
      <c r="AAN141" s="22"/>
      <c r="AAO141" s="22"/>
      <c r="AAP141" s="22"/>
      <c r="AAQ141" s="22"/>
      <c r="AAR141" s="22"/>
      <c r="AAS141" s="22"/>
      <c r="AAT141" s="22"/>
      <c r="AAU141" s="22"/>
      <c r="AAV141" s="22"/>
      <c r="AAW141" s="22"/>
      <c r="AAX141" s="22"/>
      <c r="AAY141" s="22"/>
      <c r="AAZ141" s="22"/>
      <c r="ABA141" s="22"/>
      <c r="ABB141" s="22"/>
      <c r="ABC141" s="22"/>
      <c r="ABD141" s="22"/>
      <c r="ABE141" s="22"/>
      <c r="ABF141" s="22"/>
      <c r="ABG141" s="22"/>
      <c r="ABH141" s="22"/>
      <c r="ABI141" s="22"/>
      <c r="ABJ141" s="22"/>
      <c r="ABK141" s="22"/>
      <c r="ABL141" s="22"/>
      <c r="ABM141" s="22"/>
      <c r="ABN141" s="22"/>
      <c r="ABO141" s="22"/>
      <c r="ABP141" s="22"/>
      <c r="ABQ141" s="22"/>
      <c r="ABR141" s="22"/>
      <c r="ABS141" s="22"/>
      <c r="ABT141" s="22"/>
      <c r="ABU141" s="22"/>
      <c r="ABV141" s="22"/>
      <c r="ABW141" s="22"/>
      <c r="ABX141" s="22"/>
      <c r="ABY141" s="22"/>
      <c r="ABZ141" s="22"/>
      <c r="ACA141" s="22"/>
      <c r="ACB141" s="22"/>
      <c r="ACC141" s="22"/>
      <c r="ACD141" s="22"/>
      <c r="ACE141" s="22"/>
      <c r="ACF141" s="22"/>
      <c r="ACG141" s="22"/>
      <c r="ACH141" s="22"/>
      <c r="ACI141" s="22"/>
      <c r="ACJ141" s="22"/>
      <c r="ACK141" s="22"/>
      <c r="ACL141" s="22"/>
      <c r="ACM141" s="22"/>
      <c r="ACN141" s="22"/>
      <c r="ACO141" s="22"/>
      <c r="ACP141" s="22"/>
      <c r="ACQ141" s="22"/>
      <c r="ACR141" s="22"/>
      <c r="ACS141" s="22"/>
      <c r="ACT141" s="22"/>
      <c r="ACU141" s="22"/>
      <c r="ACV141" s="22"/>
      <c r="ACW141" s="22"/>
      <c r="ACX141" s="22"/>
      <c r="ACY141" s="22"/>
      <c r="ACZ141" s="22"/>
      <c r="ADA141" s="22"/>
      <c r="ADB141" s="22"/>
      <c r="ADC141" s="22"/>
      <c r="ADD141" s="22"/>
      <c r="ADE141" s="22"/>
      <c r="ADF141" s="22"/>
      <c r="ADG141" s="22"/>
      <c r="ADH141" s="22"/>
      <c r="ADI141" s="22"/>
      <c r="ADJ141" s="22"/>
      <c r="ADK141" s="22"/>
      <c r="ADL141" s="22"/>
      <c r="ADM141" s="22"/>
      <c r="ADN141" s="22"/>
      <c r="ADO141" s="22"/>
      <c r="ADP141" s="22"/>
      <c r="ADQ141" s="22"/>
      <c r="ADR141" s="22"/>
      <c r="ADS141" s="22"/>
      <c r="ADT141" s="22"/>
      <c r="ADU141" s="22"/>
      <c r="ADV141" s="22"/>
      <c r="ADW141" s="22"/>
      <c r="ADX141" s="22"/>
      <c r="ADY141" s="22"/>
      <c r="ADZ141" s="22"/>
      <c r="AEA141" s="22"/>
      <c r="AEB141" s="22"/>
      <c r="AEC141" s="22"/>
      <c r="AED141" s="22"/>
      <c r="AEE141" s="22"/>
      <c r="AEF141" s="22"/>
      <c r="AEG141" s="22"/>
      <c r="AEH141" s="22"/>
      <c r="AEI141" s="22"/>
      <c r="AEJ141" s="22"/>
      <c r="AEK141" s="22"/>
      <c r="AEL141" s="22"/>
      <c r="AEM141" s="22"/>
      <c r="AEN141" s="22"/>
      <c r="AEO141" s="22"/>
      <c r="AEP141" s="22"/>
      <c r="AEQ141" s="22"/>
      <c r="AER141" s="22"/>
      <c r="AES141" s="22"/>
      <c r="AET141" s="22"/>
      <c r="AEU141" s="22"/>
      <c r="AEV141" s="22"/>
      <c r="AEW141" s="22"/>
      <c r="AEX141" s="22"/>
      <c r="AEY141" s="22"/>
      <c r="AEZ141" s="22"/>
      <c r="AFA141" s="22"/>
      <c r="AFB141" s="22"/>
      <c r="AFC141" s="22"/>
      <c r="AFD141" s="22"/>
      <c r="AFE141" s="22"/>
      <c r="AFF141" s="22"/>
      <c r="AFG141" s="22"/>
      <c r="AFH141" s="22"/>
      <c r="AFI141" s="22"/>
      <c r="AFJ141" s="22"/>
      <c r="AFK141" s="22"/>
      <c r="AFL141" s="22"/>
      <c r="AFM141" s="22"/>
      <c r="AFN141" s="22"/>
      <c r="AFO141" s="22"/>
      <c r="AFP141" s="22"/>
      <c r="AFQ141" s="22"/>
      <c r="AFR141" s="22"/>
      <c r="AFS141" s="22"/>
      <c r="AFT141" s="22"/>
      <c r="AFU141" s="22"/>
      <c r="AFV141" s="22"/>
      <c r="AFW141" s="22"/>
      <c r="AFX141" s="22"/>
      <c r="AFY141" s="22"/>
      <c r="AFZ141" s="22"/>
      <c r="AGA141" s="22"/>
      <c r="AGB141" s="22"/>
      <c r="AGC141" s="22"/>
      <c r="AGD141" s="22"/>
      <c r="AGE141" s="22"/>
      <c r="AGF141" s="22"/>
      <c r="AGG141" s="22"/>
      <c r="AGH141" s="22"/>
      <c r="AGI141" s="22"/>
      <c r="AGJ141" s="22"/>
      <c r="AGK141" s="22"/>
      <c r="AGL141" s="22"/>
      <c r="AGM141" s="22"/>
      <c r="AGN141" s="22"/>
      <c r="AGO141" s="22"/>
      <c r="AGP141" s="22"/>
      <c r="AGQ141" s="22"/>
      <c r="AGR141" s="22"/>
      <c r="AGS141" s="22"/>
      <c r="AGT141" s="22"/>
      <c r="AGU141" s="22"/>
      <c r="AGV141" s="22"/>
      <c r="AGW141" s="22"/>
      <c r="AGX141" s="22"/>
      <c r="AGY141" s="22"/>
      <c r="AGZ141" s="22"/>
      <c r="AHA141" s="22"/>
      <c r="AHB141" s="22"/>
      <c r="AHC141" s="22"/>
      <c r="AHD141" s="22"/>
      <c r="AHE141" s="22"/>
      <c r="AHF141" s="22"/>
      <c r="AHG141" s="22"/>
      <c r="AHH141" s="22"/>
      <c r="AHI141" s="22"/>
      <c r="AHJ141" s="22"/>
      <c r="AHK141" s="22"/>
      <c r="AHL141" s="22"/>
      <c r="AHM141" s="22"/>
      <c r="AHN141" s="22"/>
      <c r="AHO141" s="22"/>
      <c r="AHP141" s="22"/>
      <c r="AHQ141" s="22"/>
      <c r="AHR141" s="22"/>
      <c r="AHS141" s="22"/>
      <c r="AHT141" s="22"/>
      <c r="AHU141" s="22"/>
      <c r="AHV141" s="22"/>
      <c r="AHW141" s="22"/>
      <c r="AHX141" s="22"/>
      <c r="AHY141" s="22"/>
      <c r="AHZ141" s="22"/>
      <c r="AIA141" s="22"/>
      <c r="AIB141" s="22"/>
      <c r="AIC141" s="22"/>
      <c r="AID141" s="22"/>
      <c r="AIE141" s="22"/>
      <c r="AIF141" s="22"/>
      <c r="AIG141" s="22"/>
      <c r="AIH141" s="22"/>
      <c r="AII141" s="22"/>
      <c r="AIJ141" s="22"/>
      <c r="AIK141" s="22"/>
      <c r="AIL141" s="22"/>
      <c r="AIM141" s="22"/>
      <c r="AIN141" s="22"/>
      <c r="AIO141" s="22"/>
      <c r="AIP141" s="22"/>
      <c r="AIQ141" s="22"/>
      <c r="AIR141" s="22"/>
      <c r="AIS141" s="22"/>
      <c r="AIT141" s="22"/>
      <c r="AIU141" s="22"/>
      <c r="AIV141" s="22"/>
      <c r="AIW141" s="22"/>
      <c r="AIX141" s="22"/>
      <c r="AIY141" s="22"/>
      <c r="AIZ141" s="22"/>
      <c r="AJA141" s="22"/>
      <c r="AJB141" s="22"/>
      <c r="AJC141" s="22"/>
      <c r="AJD141" s="22"/>
      <c r="AJE141" s="22"/>
      <c r="AJF141" s="22"/>
      <c r="AJG141" s="22"/>
      <c r="AJH141" s="22"/>
      <c r="AJI141" s="22"/>
      <c r="AJJ141" s="22"/>
      <c r="AJK141" s="22"/>
      <c r="AJL141" s="22"/>
      <c r="AJM141" s="22"/>
      <c r="AJN141" s="22"/>
      <c r="AJO141" s="22"/>
      <c r="AJP141" s="22"/>
      <c r="AJQ141" s="22"/>
      <c r="AJR141" s="22"/>
      <c r="AJS141" s="22"/>
      <c r="AJT141" s="22"/>
      <c r="AJU141" s="22"/>
      <c r="AJV141" s="22"/>
      <c r="AJW141" s="22"/>
      <c r="AJX141" s="22"/>
      <c r="AJY141" s="22"/>
      <c r="AJZ141" s="22"/>
      <c r="AKA141" s="22"/>
      <c r="AKB141" s="22"/>
      <c r="AKC141" s="22"/>
      <c r="AKD141" s="22"/>
      <c r="AKE141" s="22"/>
      <c r="AKF141" s="22"/>
      <c r="AKG141" s="22"/>
      <c r="AKH141" s="22"/>
      <c r="AKI141" s="22"/>
      <c r="AKJ141" s="22"/>
      <c r="AKK141" s="22"/>
      <c r="AKL141" s="22"/>
      <c r="AKM141" s="22"/>
      <c r="AKN141" s="22"/>
      <c r="AKO141" s="22"/>
      <c r="AKP141" s="22"/>
      <c r="AKQ141" s="22"/>
      <c r="AKR141" s="22"/>
      <c r="AKS141" s="22"/>
      <c r="AKT141" s="22"/>
      <c r="AKU141" s="22"/>
      <c r="AKV141" s="22"/>
      <c r="AKW141" s="22"/>
      <c r="AKX141" s="22"/>
      <c r="AKY141" s="22"/>
      <c r="AKZ141" s="22"/>
      <c r="ALA141" s="22"/>
      <c r="ALB141" s="22"/>
      <c r="ALC141" s="22"/>
      <c r="ALD141" s="22"/>
      <c r="ALE141" s="22"/>
      <c r="ALF141" s="22"/>
      <c r="ALG141" s="22"/>
      <c r="ALH141" s="22"/>
      <c r="ALI141" s="22"/>
      <c r="ALJ141" s="22"/>
      <c r="ALK141" s="22"/>
      <c r="ALL141" s="22"/>
      <c r="ALM141" s="22"/>
      <c r="ALN141" s="22"/>
      <c r="ALO141" s="22"/>
      <c r="ALP141" s="22"/>
      <c r="ALQ141" s="22"/>
      <c r="ALR141" s="22"/>
      <c r="ALS141" s="22"/>
      <c r="ALT141" s="22"/>
      <c r="ALU141" s="22"/>
      <c r="ALV141" s="22"/>
      <c r="ALW141" s="22"/>
      <c r="ALX141" s="22"/>
      <c r="ALY141" s="22"/>
      <c r="ALZ141" s="22"/>
      <c r="AMA141" s="22"/>
      <c r="AMB141" s="22"/>
      <c r="AMC141" s="22"/>
      <c r="AMD141" s="22"/>
      <c r="AME141" s="22"/>
      <c r="AMF141" s="22"/>
      <c r="AMG141" s="22"/>
      <c r="AMH141" s="22"/>
      <c r="AMI141" s="22"/>
      <c r="AMJ141" s="22"/>
      <c r="AMK141" s="22"/>
      <c r="AML141" s="22"/>
      <c r="AMM141" s="22"/>
      <c r="AMN141" s="22"/>
      <c r="AMO141" s="22"/>
      <c r="AMP141" s="22"/>
      <c r="AMQ141" s="22"/>
      <c r="AMR141" s="22"/>
      <c r="AMS141" s="22"/>
      <c r="AMT141" s="22"/>
      <c r="AMU141" s="22"/>
      <c r="AMV141" s="22"/>
      <c r="AMW141" s="22"/>
      <c r="AMX141" s="22"/>
      <c r="AMY141" s="22"/>
      <c r="AMZ141" s="22"/>
      <c r="ANA141" s="22"/>
      <c r="ANB141" s="22"/>
      <c r="ANC141" s="22"/>
      <c r="AND141" s="22"/>
      <c r="ANE141" s="22"/>
      <c r="ANF141" s="22"/>
      <c r="ANG141" s="22"/>
      <c r="ANH141" s="22"/>
      <c r="ANI141" s="22"/>
      <c r="ANJ141" s="22"/>
      <c r="ANK141" s="22"/>
      <c r="ANL141" s="22"/>
      <c r="ANM141" s="22"/>
      <c r="ANN141" s="22"/>
      <c r="ANO141" s="22"/>
      <c r="ANP141" s="22"/>
      <c r="ANQ141" s="22"/>
      <c r="ANR141" s="22"/>
      <c r="ANS141" s="22"/>
      <c r="ANT141" s="22"/>
      <c r="ANU141" s="22"/>
      <c r="ANV141" s="22"/>
      <c r="ANW141" s="22"/>
      <c r="ANX141" s="22"/>
      <c r="ANY141" s="22"/>
      <c r="ANZ141" s="22"/>
      <c r="AOA141" s="22"/>
      <c r="AOB141" s="22"/>
      <c r="AOC141" s="22"/>
      <c r="AOD141" s="22"/>
      <c r="AOE141" s="22"/>
      <c r="AOF141" s="22"/>
      <c r="AOG141" s="22"/>
      <c r="AOH141" s="22"/>
      <c r="AOI141" s="22"/>
      <c r="AOJ141" s="22"/>
      <c r="AOK141" s="22"/>
      <c r="AOL141" s="22"/>
      <c r="AOM141" s="22"/>
      <c r="AON141" s="22"/>
      <c r="AOO141" s="22"/>
      <c r="AOP141" s="22"/>
      <c r="AOQ141" s="22"/>
      <c r="AOR141" s="22"/>
      <c r="AOS141" s="22"/>
      <c r="AOT141" s="22"/>
      <c r="AOU141" s="22"/>
      <c r="AOV141" s="22"/>
      <c r="AOW141" s="22"/>
      <c r="AOX141" s="22"/>
      <c r="AOY141" s="22"/>
      <c r="AOZ141" s="22"/>
      <c r="APA141" s="22"/>
      <c r="APB141" s="22"/>
      <c r="APC141" s="22"/>
      <c r="APD141" s="22"/>
      <c r="APE141" s="22"/>
      <c r="APF141" s="22"/>
      <c r="APG141" s="22"/>
      <c r="APH141" s="22"/>
      <c r="API141" s="22"/>
      <c r="APJ141" s="22"/>
      <c r="APK141" s="22"/>
      <c r="APL141" s="22"/>
      <c r="APM141" s="22"/>
      <c r="APN141" s="22"/>
      <c r="APO141" s="22"/>
      <c r="APP141" s="22"/>
      <c r="APQ141" s="22"/>
      <c r="APR141" s="22"/>
      <c r="APS141" s="22"/>
      <c r="APT141" s="22"/>
      <c r="APU141" s="22"/>
      <c r="APV141" s="22"/>
      <c r="APW141" s="22"/>
      <c r="APX141" s="22"/>
      <c r="APY141" s="22"/>
      <c r="APZ141" s="22"/>
      <c r="AQA141" s="22"/>
      <c r="AQB141" s="22"/>
      <c r="AQC141" s="22"/>
      <c r="AQD141" s="22"/>
      <c r="AQE141" s="22"/>
      <c r="AQF141" s="22"/>
      <c r="AQG141" s="22"/>
      <c r="AQH141" s="22"/>
      <c r="AQI141" s="22"/>
      <c r="AQJ141" s="22"/>
      <c r="AQK141" s="22"/>
      <c r="AQL141" s="22"/>
      <c r="AQM141" s="22"/>
      <c r="AQN141" s="22"/>
      <c r="AQO141" s="22"/>
      <c r="AQP141" s="22"/>
      <c r="AQQ141" s="22"/>
      <c r="AQR141" s="22"/>
      <c r="AQS141" s="22"/>
      <c r="AQT141" s="22"/>
      <c r="AQU141" s="22"/>
      <c r="AQV141" s="22"/>
      <c r="AQW141" s="22"/>
      <c r="AQX141" s="22"/>
      <c r="AQY141" s="22"/>
      <c r="AQZ141" s="22"/>
      <c r="ARA141" s="22"/>
      <c r="ARB141" s="22"/>
      <c r="ARC141" s="22"/>
      <c r="ARD141" s="22"/>
      <c r="ARE141" s="22"/>
      <c r="ARF141" s="22"/>
      <c r="ARG141" s="22"/>
      <c r="ARH141" s="22"/>
      <c r="ARI141" s="22"/>
      <c r="ARJ141" s="22"/>
      <c r="ARK141" s="22"/>
      <c r="ARL141" s="22"/>
      <c r="ARM141" s="22"/>
      <c r="ARN141" s="22"/>
      <c r="ARO141" s="22"/>
      <c r="ARP141" s="22"/>
      <c r="ARQ141" s="22"/>
      <c r="ARR141" s="22"/>
      <c r="ARS141" s="22"/>
      <c r="ART141" s="22"/>
      <c r="ARU141" s="22"/>
      <c r="ARV141" s="22"/>
      <c r="ARW141" s="22"/>
      <c r="ARX141" s="22"/>
      <c r="ARY141" s="22"/>
      <c r="ARZ141" s="22"/>
      <c r="ASA141" s="22"/>
      <c r="ASB141" s="22"/>
      <c r="ASC141" s="22"/>
      <c r="ASD141" s="22"/>
      <c r="ASE141" s="22"/>
      <c r="ASF141" s="22"/>
      <c r="ASG141" s="22"/>
      <c r="ASH141" s="22"/>
      <c r="ASI141" s="22"/>
      <c r="ASJ141" s="22"/>
      <c r="ASK141" s="22"/>
      <c r="ASL141" s="22"/>
      <c r="ASM141" s="22"/>
      <c r="ASN141" s="22"/>
      <c r="ASO141" s="22"/>
      <c r="ASP141" s="22"/>
      <c r="ASQ141" s="22"/>
      <c r="ASR141" s="22"/>
      <c r="ASS141" s="22"/>
      <c r="AST141" s="22"/>
      <c r="ASU141" s="22"/>
      <c r="ASV141" s="22"/>
      <c r="ASW141" s="22"/>
      <c r="ASX141" s="22"/>
      <c r="ASY141" s="22"/>
      <c r="ASZ141" s="22"/>
      <c r="ATA141" s="22"/>
      <c r="ATB141" s="22"/>
      <c r="ATC141" s="22"/>
      <c r="ATD141" s="22"/>
      <c r="ATE141" s="22"/>
      <c r="ATF141" s="22"/>
      <c r="ATG141" s="22"/>
      <c r="ATH141" s="22"/>
      <c r="ATI141" s="22"/>
      <c r="ATJ141" s="22"/>
      <c r="ATK141" s="22"/>
      <c r="ATL141" s="22"/>
      <c r="ATM141" s="22"/>
      <c r="ATN141" s="22"/>
      <c r="ATO141" s="22"/>
      <c r="ATP141" s="22"/>
      <c r="ATQ141" s="22"/>
      <c r="ATR141" s="22"/>
      <c r="ATS141" s="22"/>
      <c r="ATT141" s="22"/>
      <c r="ATU141" s="22"/>
      <c r="ATV141" s="22"/>
      <c r="ATW141" s="22"/>
      <c r="ATX141" s="22"/>
      <c r="ATY141" s="22"/>
      <c r="ATZ141" s="22"/>
      <c r="AUA141" s="22"/>
      <c r="AUB141" s="22"/>
      <c r="AUC141" s="22"/>
      <c r="AUD141" s="22"/>
      <c r="AUE141" s="22"/>
      <c r="AUF141" s="22"/>
      <c r="AUG141" s="22"/>
      <c r="AUH141" s="22"/>
      <c r="AUI141" s="22"/>
      <c r="AUJ141" s="22"/>
      <c r="AUK141" s="22"/>
      <c r="AUL141" s="22"/>
      <c r="AUM141" s="22"/>
      <c r="AUN141" s="22"/>
      <c r="AUO141" s="22"/>
      <c r="AUP141" s="22"/>
      <c r="AUQ141" s="22"/>
      <c r="AUR141" s="22"/>
      <c r="AUS141" s="22"/>
      <c r="AUT141" s="22"/>
      <c r="AUU141" s="22"/>
      <c r="AUV141" s="22"/>
      <c r="AUW141" s="22"/>
      <c r="AUX141" s="22"/>
      <c r="AUY141" s="22"/>
      <c r="AUZ141" s="22"/>
      <c r="AVA141" s="22"/>
      <c r="AVB141" s="22"/>
      <c r="AVC141" s="22"/>
      <c r="AVD141" s="22"/>
      <c r="AVE141" s="22"/>
      <c r="AVF141" s="22"/>
      <c r="AVG141" s="22"/>
      <c r="AVH141" s="22"/>
      <c r="AVI141" s="22"/>
      <c r="AVJ141" s="22"/>
      <c r="AVK141" s="22"/>
      <c r="AVL141" s="22"/>
      <c r="AVM141" s="22"/>
      <c r="AVN141" s="22"/>
      <c r="AVO141" s="22"/>
      <c r="AVP141" s="22"/>
      <c r="AVQ141" s="22"/>
      <c r="AVR141" s="22"/>
      <c r="AVS141" s="22"/>
      <c r="AVT141" s="22"/>
      <c r="AVU141" s="22"/>
      <c r="AVV141" s="22"/>
      <c r="AVW141" s="22"/>
      <c r="AVX141" s="22"/>
      <c r="AVY141" s="22"/>
      <c r="AVZ141" s="22"/>
      <c r="AWA141" s="22"/>
      <c r="AWB141" s="22"/>
      <c r="AWC141" s="22"/>
      <c r="AWD141" s="22"/>
      <c r="AWE141" s="22"/>
      <c r="AWF141" s="22"/>
      <c r="AWG141" s="22"/>
      <c r="AWH141" s="22"/>
      <c r="AWI141" s="22"/>
      <c r="AWJ141" s="22"/>
      <c r="AWK141" s="22"/>
      <c r="AWL141" s="22"/>
      <c r="AWM141" s="22"/>
      <c r="AWN141" s="22"/>
      <c r="AWO141" s="22"/>
      <c r="AWP141" s="22"/>
      <c r="AWQ141" s="22"/>
      <c r="AWR141" s="22"/>
      <c r="AWS141" s="22"/>
      <c r="AWT141" s="22"/>
      <c r="AWU141" s="22"/>
      <c r="AWV141" s="22"/>
      <c r="AWW141" s="22"/>
      <c r="AWX141" s="22"/>
      <c r="AWY141" s="22"/>
      <c r="AWZ141" s="22"/>
      <c r="AXA141" s="22"/>
      <c r="AXB141" s="22"/>
      <c r="AXC141" s="22"/>
      <c r="AXD141" s="22"/>
      <c r="AXE141" s="22"/>
      <c r="AXF141" s="22"/>
      <c r="AXG141" s="22"/>
      <c r="AXH141" s="22"/>
      <c r="AXI141" s="22"/>
      <c r="AXJ141" s="22"/>
      <c r="AXK141" s="22"/>
      <c r="AXL141" s="22"/>
      <c r="AXM141" s="22"/>
      <c r="AXN141" s="22"/>
      <c r="AXO141" s="22"/>
      <c r="AXP141" s="22"/>
      <c r="AXQ141" s="22"/>
      <c r="AXR141" s="22"/>
      <c r="AXS141" s="22"/>
      <c r="AXT141" s="22"/>
      <c r="AXU141" s="22"/>
      <c r="AXV141" s="22"/>
      <c r="AXW141" s="22"/>
      <c r="AXX141" s="22"/>
      <c r="AXY141" s="22"/>
      <c r="AXZ141" s="22"/>
      <c r="AYA141" s="22"/>
      <c r="AYB141" s="22"/>
      <c r="AYC141" s="22"/>
      <c r="AYD141" s="22"/>
      <c r="AYE141" s="22"/>
      <c r="AYF141" s="22"/>
      <c r="AYG141" s="22"/>
      <c r="AYH141" s="22"/>
      <c r="AYI141" s="22"/>
      <c r="AYJ141" s="22"/>
      <c r="AYK141" s="22"/>
      <c r="AYL141" s="22"/>
      <c r="AYM141" s="22"/>
      <c r="AYN141" s="22"/>
      <c r="AYO141" s="22"/>
      <c r="AYP141" s="22"/>
      <c r="AYQ141" s="22"/>
      <c r="AYR141" s="22"/>
      <c r="AYS141" s="22"/>
      <c r="AYT141" s="22"/>
      <c r="AYU141" s="22"/>
      <c r="AYV141" s="22"/>
      <c r="AYW141" s="22"/>
      <c r="AYX141" s="22"/>
      <c r="AYY141" s="22"/>
      <c r="AYZ141" s="22"/>
      <c r="AZA141" s="22"/>
      <c r="AZB141" s="22"/>
      <c r="AZC141" s="22"/>
      <c r="AZD141" s="22"/>
      <c r="AZE141" s="22"/>
      <c r="AZF141" s="22"/>
      <c r="AZG141" s="22"/>
      <c r="AZH141" s="22"/>
      <c r="AZI141" s="22"/>
      <c r="AZJ141" s="22"/>
      <c r="AZK141" s="22"/>
      <c r="AZL141" s="22"/>
      <c r="AZM141" s="22"/>
      <c r="AZN141" s="22"/>
      <c r="AZO141" s="22"/>
      <c r="AZP141" s="22"/>
      <c r="AZQ141" s="22"/>
      <c r="AZR141" s="22"/>
      <c r="AZS141" s="22"/>
      <c r="AZT141" s="22"/>
      <c r="AZU141" s="22"/>
      <c r="AZV141" s="22"/>
      <c r="AZW141" s="22"/>
      <c r="AZX141" s="22"/>
      <c r="AZY141" s="22"/>
      <c r="AZZ141" s="22"/>
      <c r="BAA141" s="22"/>
      <c r="BAB141" s="22"/>
      <c r="BAC141" s="22"/>
      <c r="BAD141" s="22"/>
      <c r="BAE141" s="22"/>
      <c r="BAF141" s="22"/>
      <c r="BAG141" s="22"/>
      <c r="BAH141" s="22"/>
      <c r="BAI141" s="22"/>
      <c r="BAJ141" s="22"/>
      <c r="BAK141" s="22"/>
      <c r="BAL141" s="22"/>
      <c r="BAM141" s="22"/>
      <c r="BAN141" s="22"/>
      <c r="BAO141" s="22"/>
      <c r="BAP141" s="22"/>
      <c r="BAQ141" s="22"/>
      <c r="BAR141" s="22"/>
      <c r="BAS141" s="22"/>
      <c r="BAT141" s="22"/>
      <c r="BAU141" s="22"/>
      <c r="BAV141" s="22"/>
      <c r="BAW141" s="22"/>
      <c r="BAX141" s="22"/>
      <c r="BAY141" s="22"/>
      <c r="BAZ141" s="22"/>
      <c r="BBA141" s="22"/>
      <c r="BBB141" s="22"/>
      <c r="BBC141" s="22"/>
      <c r="BBD141" s="22"/>
      <c r="BBE141" s="22"/>
      <c r="BBF141" s="22"/>
      <c r="BBG141" s="22"/>
      <c r="BBH141" s="22"/>
      <c r="BBI141" s="22"/>
      <c r="BBJ141" s="22"/>
      <c r="BBK141" s="22"/>
      <c r="BBL141" s="22"/>
      <c r="BBM141" s="22"/>
      <c r="BBN141" s="22"/>
      <c r="BBO141" s="22"/>
      <c r="BBP141" s="22"/>
      <c r="BBQ141" s="22"/>
      <c r="BBR141" s="22"/>
      <c r="BBS141" s="22"/>
      <c r="BBT141" s="22"/>
      <c r="BBU141" s="22"/>
      <c r="BBV141" s="22"/>
      <c r="BBW141" s="22"/>
      <c r="BBX141" s="22"/>
      <c r="BBY141" s="22"/>
      <c r="BBZ141" s="22"/>
      <c r="BCA141" s="22"/>
      <c r="BCB141" s="22"/>
      <c r="BCC141" s="22"/>
      <c r="BCD141" s="22"/>
      <c r="BCE141" s="22"/>
      <c r="BCF141" s="22"/>
      <c r="BCG141" s="22"/>
      <c r="BCH141" s="22"/>
      <c r="BCI141" s="22"/>
      <c r="BCJ141" s="22"/>
      <c r="BCK141" s="22"/>
      <c r="BCL141" s="22"/>
      <c r="BCM141" s="22"/>
      <c r="BCN141" s="22"/>
      <c r="BCO141" s="22"/>
      <c r="BCP141" s="22"/>
      <c r="BCQ141" s="22"/>
      <c r="BCR141" s="22"/>
      <c r="BCS141" s="22"/>
      <c r="BCT141" s="22"/>
      <c r="BCU141" s="22"/>
      <c r="BCV141" s="22"/>
      <c r="BCW141" s="22"/>
      <c r="BCX141" s="22"/>
      <c r="BCY141" s="22"/>
      <c r="BCZ141" s="22"/>
      <c r="BDA141" s="22"/>
      <c r="BDB141" s="22"/>
      <c r="BDC141" s="22"/>
      <c r="BDD141" s="22"/>
      <c r="BDE141" s="22"/>
      <c r="BDF141" s="22"/>
      <c r="BDG141" s="22"/>
      <c r="BDH141" s="22"/>
      <c r="BDI141" s="22"/>
      <c r="BDJ141" s="22"/>
      <c r="BDK141" s="22"/>
      <c r="BDL141" s="22"/>
      <c r="BDM141" s="22"/>
      <c r="BDN141" s="22"/>
      <c r="BDO141" s="22"/>
      <c r="BDP141" s="22"/>
      <c r="BDQ141" s="22"/>
      <c r="BDR141" s="22"/>
      <c r="BDS141" s="22"/>
      <c r="BDT141" s="22"/>
      <c r="BDU141" s="22"/>
      <c r="BDV141" s="22"/>
      <c r="BDW141" s="22"/>
      <c r="BDX141" s="22"/>
      <c r="BDY141" s="22"/>
      <c r="BDZ141" s="22"/>
      <c r="BEA141" s="22"/>
      <c r="BEB141" s="22"/>
      <c r="BEC141" s="22"/>
      <c r="BED141" s="22"/>
      <c r="BEE141" s="22"/>
      <c r="BEF141" s="22"/>
      <c r="BEG141" s="22"/>
      <c r="BEH141" s="22"/>
      <c r="BEI141" s="22"/>
      <c r="BEJ141" s="22"/>
      <c r="BEK141" s="22"/>
      <c r="BEL141" s="22"/>
      <c r="BEM141" s="22"/>
      <c r="BEN141" s="22"/>
      <c r="BEO141" s="22"/>
      <c r="BEP141" s="22"/>
      <c r="BEQ141" s="22"/>
      <c r="BER141" s="22"/>
      <c r="BES141" s="22"/>
      <c r="BET141" s="22"/>
      <c r="BEU141" s="22"/>
      <c r="BEV141" s="22"/>
      <c r="BEW141" s="22"/>
      <c r="BEX141" s="22"/>
      <c r="BEY141" s="22"/>
      <c r="BEZ141" s="22"/>
      <c r="BFA141" s="22"/>
      <c r="BFB141" s="22"/>
      <c r="BFC141" s="22"/>
      <c r="BFD141" s="22"/>
      <c r="BFE141" s="22"/>
      <c r="BFF141" s="22"/>
      <c r="BFG141" s="22"/>
      <c r="BFH141" s="22"/>
      <c r="BFI141" s="22"/>
      <c r="BFJ141" s="22"/>
      <c r="BFK141" s="22"/>
      <c r="BFL141" s="22"/>
      <c r="BFM141" s="22"/>
      <c r="BFN141" s="22"/>
      <c r="BFO141" s="22"/>
      <c r="BFP141" s="22"/>
      <c r="BFQ141" s="22"/>
      <c r="BFR141" s="22"/>
      <c r="BFS141" s="22"/>
      <c r="BFT141" s="22"/>
      <c r="BFU141" s="22"/>
      <c r="BFV141" s="22"/>
      <c r="BFW141" s="22"/>
      <c r="BFX141" s="22"/>
      <c r="BFY141" s="22"/>
      <c r="BFZ141" s="22"/>
      <c r="BGA141" s="22"/>
      <c r="BGB141" s="22"/>
      <c r="BGC141" s="22"/>
      <c r="BGD141" s="22"/>
      <c r="BGE141" s="22"/>
      <c r="BGF141" s="22"/>
      <c r="BGG141" s="22"/>
      <c r="BGH141" s="22"/>
      <c r="BGI141" s="22"/>
      <c r="BGJ141" s="22"/>
      <c r="BGK141" s="22"/>
      <c r="BGL141" s="22"/>
      <c r="BGM141" s="22"/>
      <c r="BGN141" s="22"/>
      <c r="BGO141" s="22"/>
      <c r="BGP141" s="22"/>
      <c r="BGQ141" s="22"/>
      <c r="BGR141" s="22"/>
      <c r="BGS141" s="22"/>
      <c r="BGT141" s="22"/>
      <c r="BGU141" s="22"/>
      <c r="BGV141" s="22"/>
      <c r="BGW141" s="22"/>
      <c r="BGX141" s="22"/>
      <c r="BGY141" s="22"/>
      <c r="BGZ141" s="22"/>
      <c r="BHA141" s="22"/>
      <c r="BHB141" s="22"/>
      <c r="BHC141" s="22"/>
      <c r="BHD141" s="22"/>
      <c r="BHE141" s="22"/>
      <c r="BHF141" s="22"/>
      <c r="BHG141" s="22"/>
      <c r="BHH141" s="22"/>
      <c r="BHI141" s="22"/>
      <c r="BHJ141" s="22"/>
      <c r="BHK141" s="22"/>
      <c r="BHL141" s="22"/>
      <c r="BHM141" s="22"/>
      <c r="BHN141" s="22"/>
      <c r="BHO141" s="22"/>
      <c r="BHP141" s="22"/>
      <c r="BHQ141" s="22"/>
      <c r="BHR141" s="22"/>
      <c r="BHS141" s="22"/>
      <c r="BHT141" s="22"/>
      <c r="BHU141" s="22"/>
      <c r="BHV141" s="22"/>
      <c r="BHW141" s="22"/>
      <c r="BHX141" s="22"/>
      <c r="BHY141" s="22"/>
      <c r="BHZ141" s="22"/>
      <c r="BIA141" s="22"/>
      <c r="BIB141" s="22"/>
      <c r="BIC141" s="22"/>
      <c r="BID141" s="22"/>
      <c r="BIE141" s="22"/>
      <c r="BIF141" s="22"/>
      <c r="BIG141" s="22"/>
      <c r="BIH141" s="22"/>
      <c r="BII141" s="22"/>
      <c r="BIJ141" s="22"/>
      <c r="BIK141" s="22"/>
      <c r="BIL141" s="22"/>
      <c r="BIM141" s="22"/>
      <c r="BIN141" s="22"/>
      <c r="BIO141" s="22"/>
      <c r="BIP141" s="22"/>
      <c r="BIQ141" s="22"/>
      <c r="BIR141" s="22"/>
      <c r="BIS141" s="22"/>
      <c r="BIT141" s="22"/>
      <c r="BIU141" s="22"/>
      <c r="BIV141" s="22"/>
      <c r="BIW141" s="22"/>
      <c r="BIX141" s="22"/>
      <c r="BIY141" s="22"/>
      <c r="BIZ141" s="22"/>
      <c r="BJA141" s="22"/>
      <c r="BJB141" s="22"/>
      <c r="BJC141" s="22"/>
      <c r="BJD141" s="22"/>
      <c r="BJE141" s="22"/>
      <c r="BJF141" s="22"/>
      <c r="BJG141" s="22"/>
      <c r="BJH141" s="22"/>
      <c r="BJI141" s="22"/>
      <c r="BJJ141" s="22"/>
      <c r="BJK141" s="22"/>
      <c r="BJL141" s="22"/>
      <c r="BJM141" s="22"/>
      <c r="BJN141" s="22"/>
      <c r="BJO141" s="22"/>
      <c r="BJP141" s="22"/>
      <c r="BJQ141" s="22"/>
      <c r="BJR141" s="22"/>
      <c r="BJS141" s="22"/>
      <c r="BJT141" s="22"/>
      <c r="BJU141" s="22"/>
      <c r="BJV141" s="22"/>
      <c r="BJW141" s="22"/>
      <c r="BJX141" s="22"/>
      <c r="BJY141" s="22"/>
      <c r="BJZ141" s="22"/>
      <c r="BKA141" s="22"/>
      <c r="BKB141" s="22"/>
      <c r="BKC141" s="22"/>
      <c r="BKD141" s="22"/>
      <c r="BKE141" s="22"/>
      <c r="BKF141" s="22"/>
      <c r="BKG141" s="22"/>
      <c r="BKH141" s="22"/>
      <c r="BKI141" s="22"/>
      <c r="BKJ141" s="22"/>
      <c r="BKK141" s="22"/>
      <c r="BKL141" s="22"/>
      <c r="BKM141" s="22"/>
      <c r="BKN141" s="22"/>
      <c r="BKO141" s="22"/>
      <c r="BKP141" s="22"/>
      <c r="BKQ141" s="22"/>
      <c r="BKR141" s="22"/>
      <c r="BKS141" s="22"/>
      <c r="BKT141" s="22"/>
      <c r="BKU141" s="22"/>
      <c r="BKV141" s="22"/>
      <c r="BKW141" s="22"/>
      <c r="BKX141" s="22"/>
      <c r="BKY141" s="22"/>
      <c r="BKZ141" s="22"/>
      <c r="BLA141" s="22"/>
      <c r="BLB141" s="22"/>
      <c r="BLC141" s="22"/>
      <c r="BLD141" s="22"/>
      <c r="BLE141" s="22"/>
      <c r="BLF141" s="22"/>
      <c r="BLG141" s="22"/>
      <c r="BLH141" s="22"/>
      <c r="BLI141" s="22"/>
      <c r="BLJ141" s="22"/>
      <c r="BLK141" s="22"/>
      <c r="BLL141" s="22"/>
      <c r="BLM141" s="22"/>
      <c r="BLN141" s="22"/>
      <c r="BLO141" s="22"/>
      <c r="BLP141" s="22"/>
      <c r="BLQ141" s="22"/>
      <c r="BLR141" s="22"/>
      <c r="BLS141" s="22"/>
      <c r="BLT141" s="22"/>
      <c r="BLU141" s="22"/>
      <c r="BLV141" s="22"/>
      <c r="BLW141" s="22"/>
      <c r="BLX141" s="22"/>
      <c r="BLY141" s="22"/>
      <c r="BLZ141" s="22"/>
      <c r="BMA141" s="22"/>
      <c r="BMB141" s="22"/>
      <c r="BMC141" s="22"/>
      <c r="BMD141" s="22"/>
      <c r="BME141" s="22"/>
      <c r="BMF141" s="22"/>
      <c r="BMG141" s="22"/>
      <c r="BMH141" s="22"/>
      <c r="BMI141" s="22"/>
      <c r="BMJ141" s="22"/>
      <c r="BMK141" s="22"/>
      <c r="BML141" s="22"/>
      <c r="BMM141" s="22"/>
      <c r="BMN141" s="22"/>
      <c r="BMO141" s="22"/>
      <c r="BMP141" s="22"/>
      <c r="BMQ141" s="22"/>
      <c r="BMR141" s="22"/>
      <c r="BMS141" s="22"/>
      <c r="BMT141" s="22"/>
      <c r="BMU141" s="22"/>
      <c r="BMV141" s="22"/>
      <c r="BMW141" s="22"/>
      <c r="BMX141" s="22"/>
      <c r="BMY141" s="22"/>
      <c r="BMZ141" s="22"/>
      <c r="BNA141" s="22"/>
      <c r="BNB141" s="22"/>
      <c r="BNC141" s="22"/>
      <c r="BND141" s="22"/>
      <c r="BNE141" s="22"/>
      <c r="BNF141" s="22"/>
      <c r="BNG141" s="22"/>
      <c r="BNH141" s="22"/>
      <c r="BNI141" s="22"/>
      <c r="BNJ141" s="22"/>
      <c r="BNK141" s="22"/>
      <c r="BNL141" s="22"/>
      <c r="BNM141" s="22"/>
      <c r="BNN141" s="22"/>
      <c r="BNO141" s="22"/>
      <c r="BNP141" s="22"/>
      <c r="BNQ141" s="22"/>
      <c r="BNR141" s="22"/>
      <c r="BNS141" s="22"/>
      <c r="BNT141" s="22"/>
      <c r="BNU141" s="22"/>
      <c r="BNV141" s="22"/>
      <c r="BNW141" s="22"/>
      <c r="BNX141" s="22"/>
      <c r="BNY141" s="22"/>
      <c r="BNZ141" s="22"/>
      <c r="BOA141" s="22"/>
      <c r="BOB141" s="22"/>
      <c r="BOC141" s="22"/>
      <c r="BOD141" s="22"/>
      <c r="BOE141" s="22"/>
      <c r="BOF141" s="22"/>
      <c r="BOG141" s="22"/>
      <c r="BOH141" s="22"/>
      <c r="BOI141" s="22"/>
      <c r="BOJ141" s="22"/>
      <c r="BOK141" s="22"/>
      <c r="BOL141" s="22"/>
      <c r="BOM141" s="22"/>
      <c r="BON141" s="22"/>
      <c r="BOO141" s="22"/>
      <c r="BOP141" s="22"/>
      <c r="BOQ141" s="22"/>
      <c r="BOR141" s="22"/>
      <c r="BOS141" s="22"/>
      <c r="BOT141" s="22"/>
      <c r="BOU141" s="22"/>
      <c r="BOV141" s="22"/>
      <c r="BOW141" s="22"/>
      <c r="BOX141" s="22"/>
      <c r="BOY141" s="22"/>
      <c r="BOZ141" s="22"/>
      <c r="BPA141" s="22"/>
      <c r="BPB141" s="22"/>
      <c r="BPC141" s="22"/>
      <c r="BPD141" s="22"/>
      <c r="BPE141" s="22"/>
      <c r="BPF141" s="22"/>
      <c r="BPG141" s="22"/>
      <c r="BPH141" s="22"/>
      <c r="BPI141" s="22"/>
      <c r="BPJ141" s="22"/>
      <c r="BPK141" s="22"/>
      <c r="BPL141" s="22"/>
      <c r="BPM141" s="22"/>
      <c r="BPN141" s="22"/>
      <c r="BPO141" s="22"/>
      <c r="BPP141" s="22"/>
      <c r="BPQ141" s="22"/>
      <c r="BPR141" s="22"/>
      <c r="BPS141" s="22"/>
      <c r="BPT141" s="22"/>
      <c r="BPU141" s="22"/>
      <c r="BPV141" s="22"/>
      <c r="BPW141" s="22"/>
      <c r="BPX141" s="22"/>
      <c r="BPY141" s="22"/>
      <c r="BPZ141" s="22"/>
      <c r="BQA141" s="22"/>
      <c r="BQB141" s="22"/>
      <c r="BQC141" s="22"/>
      <c r="BQD141" s="22"/>
      <c r="BQE141" s="22"/>
      <c r="BQF141" s="22"/>
      <c r="BQG141" s="22"/>
      <c r="BQH141" s="22"/>
      <c r="BQI141" s="22"/>
      <c r="BQJ141" s="22"/>
      <c r="BQK141" s="22"/>
      <c r="BQL141" s="22"/>
      <c r="BQM141" s="22"/>
      <c r="BQN141" s="22"/>
      <c r="BQO141" s="22"/>
      <c r="BQP141" s="22"/>
      <c r="BQQ141" s="22"/>
      <c r="BQR141" s="22"/>
      <c r="BQS141" s="22"/>
      <c r="BQT141" s="22"/>
      <c r="BQU141" s="22"/>
      <c r="BQV141" s="22"/>
      <c r="BQW141" s="22"/>
      <c r="BQX141" s="22"/>
      <c r="BQY141" s="22"/>
      <c r="BQZ141" s="22"/>
      <c r="BRA141" s="22"/>
      <c r="BRB141" s="22"/>
      <c r="BRC141" s="22"/>
      <c r="BRD141" s="22"/>
      <c r="BRE141" s="22"/>
      <c r="BRF141" s="22"/>
      <c r="BRG141" s="22"/>
      <c r="BRH141" s="22"/>
      <c r="BRI141" s="22"/>
      <c r="BRJ141" s="22"/>
      <c r="BRK141" s="22"/>
      <c r="BRL141" s="22"/>
      <c r="BRM141" s="22"/>
      <c r="BRN141" s="22"/>
      <c r="BRO141" s="22"/>
      <c r="BRP141" s="22"/>
      <c r="BRQ141" s="22"/>
      <c r="BRR141" s="22"/>
      <c r="BRS141" s="22"/>
      <c r="BRT141" s="22"/>
      <c r="BRU141" s="22"/>
      <c r="BRV141" s="22"/>
      <c r="BRW141" s="22"/>
      <c r="BRX141" s="22"/>
      <c r="BRY141" s="22"/>
      <c r="BRZ141" s="22"/>
      <c r="BSA141" s="22"/>
      <c r="BSB141" s="22"/>
      <c r="BSC141" s="22"/>
      <c r="BSD141" s="22"/>
      <c r="BSE141" s="22"/>
      <c r="BSF141" s="22"/>
      <c r="BSG141" s="22"/>
      <c r="BSH141" s="22"/>
      <c r="BSI141" s="22"/>
      <c r="BSJ141" s="22"/>
      <c r="BSK141" s="22"/>
      <c r="BSL141" s="22"/>
      <c r="BSM141" s="22"/>
      <c r="BSN141" s="22"/>
      <c r="BSO141" s="22"/>
      <c r="BSP141" s="22"/>
      <c r="BSQ141" s="22"/>
      <c r="BSR141" s="22"/>
      <c r="BSS141" s="22"/>
      <c r="BST141" s="22"/>
      <c r="BSU141" s="22"/>
      <c r="BSV141" s="22"/>
      <c r="BSW141" s="22"/>
      <c r="BSX141" s="22"/>
      <c r="BSY141" s="22"/>
      <c r="BSZ141" s="22"/>
      <c r="BTA141" s="22"/>
      <c r="BTB141" s="22"/>
      <c r="BTC141" s="22"/>
      <c r="BTD141" s="22"/>
      <c r="BTE141" s="22"/>
      <c r="BTF141" s="22"/>
      <c r="BTG141" s="22"/>
      <c r="BTH141" s="22"/>
      <c r="BTI141" s="22"/>
      <c r="BTJ141" s="22"/>
      <c r="BTK141" s="22"/>
      <c r="BTL141" s="22"/>
      <c r="BTM141" s="22"/>
      <c r="BTN141" s="22"/>
      <c r="BTO141" s="22"/>
      <c r="BTP141" s="22"/>
      <c r="BTQ141" s="22"/>
      <c r="BTR141" s="22"/>
      <c r="BTS141" s="22"/>
      <c r="BTT141" s="22"/>
      <c r="BTU141" s="22"/>
      <c r="BTV141" s="22"/>
      <c r="BTW141" s="22"/>
      <c r="BTX141" s="22"/>
      <c r="BTY141" s="22"/>
      <c r="BTZ141" s="22"/>
      <c r="BUA141" s="22"/>
      <c r="BUB141" s="22"/>
      <c r="BUC141" s="22"/>
      <c r="BUD141" s="22"/>
      <c r="BUE141" s="22"/>
      <c r="BUF141" s="22"/>
      <c r="BUG141" s="22"/>
      <c r="BUH141" s="22"/>
      <c r="BUI141" s="22"/>
      <c r="BUJ141" s="22"/>
      <c r="BUK141" s="22"/>
      <c r="BUL141" s="22"/>
      <c r="BUM141" s="22"/>
      <c r="BUN141" s="22"/>
      <c r="BUO141" s="22"/>
      <c r="BUP141" s="22"/>
      <c r="BUQ141" s="22"/>
      <c r="BUR141" s="22"/>
      <c r="BUS141" s="22"/>
      <c r="BUT141" s="22"/>
      <c r="BUU141" s="22"/>
      <c r="BUV141" s="22"/>
      <c r="BUW141" s="22"/>
      <c r="BUX141" s="22"/>
      <c r="BUY141" s="22"/>
      <c r="BUZ141" s="22"/>
      <c r="BVA141" s="22"/>
      <c r="BVB141" s="22"/>
      <c r="BVC141" s="22"/>
      <c r="BVD141" s="22"/>
      <c r="BVE141" s="22"/>
      <c r="BVF141" s="22"/>
      <c r="BVG141" s="22"/>
      <c r="BVH141" s="22"/>
      <c r="BVI141" s="22"/>
      <c r="BVJ141" s="22"/>
      <c r="BVK141" s="22"/>
      <c r="BVL141" s="22"/>
      <c r="BVM141" s="22"/>
      <c r="BVN141" s="22"/>
      <c r="BVO141" s="22"/>
      <c r="BVP141" s="22"/>
      <c r="BVQ141" s="22"/>
      <c r="BVR141" s="22"/>
      <c r="BVS141" s="22"/>
      <c r="BVT141" s="22"/>
      <c r="BVU141" s="22"/>
      <c r="BVV141" s="22"/>
      <c r="BVW141" s="22"/>
      <c r="BVX141" s="22"/>
      <c r="BVY141" s="22"/>
      <c r="BVZ141" s="22"/>
      <c r="BWA141" s="22"/>
      <c r="BWB141" s="22"/>
      <c r="BWC141" s="22"/>
      <c r="BWD141" s="22"/>
      <c r="BWE141" s="22"/>
      <c r="BWF141" s="22"/>
      <c r="BWG141" s="22"/>
      <c r="BWH141" s="22"/>
      <c r="BWI141" s="22"/>
      <c r="BWJ141" s="22"/>
      <c r="BWK141" s="22"/>
      <c r="BWL141" s="22"/>
      <c r="BWM141" s="22"/>
      <c r="BWN141" s="22"/>
      <c r="BWO141" s="22"/>
      <c r="BWP141" s="22"/>
      <c r="BWQ141" s="22"/>
      <c r="BWR141" s="22"/>
      <c r="BWS141" s="22"/>
      <c r="BWT141" s="22"/>
      <c r="BWU141" s="22"/>
      <c r="BWV141" s="22"/>
      <c r="BWW141" s="22"/>
      <c r="BWX141" s="22"/>
      <c r="BWY141" s="22"/>
      <c r="BWZ141" s="22"/>
      <c r="BXA141" s="22"/>
      <c r="BXB141" s="22"/>
      <c r="BXC141" s="22"/>
      <c r="BXD141" s="22"/>
      <c r="BXE141" s="22"/>
      <c r="BXF141" s="22"/>
      <c r="BXG141" s="22"/>
      <c r="BXH141" s="22"/>
      <c r="BXI141" s="22"/>
      <c r="BXJ141" s="22"/>
      <c r="BXK141" s="22"/>
      <c r="BXL141" s="22"/>
      <c r="BXM141" s="22"/>
      <c r="BXN141" s="22"/>
      <c r="BXO141" s="22"/>
      <c r="BXP141" s="22"/>
      <c r="BXQ141" s="22"/>
      <c r="BXR141" s="22"/>
      <c r="BXS141" s="22"/>
      <c r="BXT141" s="22"/>
      <c r="BXU141" s="22"/>
      <c r="BXV141" s="22"/>
      <c r="BXW141" s="22"/>
      <c r="BXX141" s="22"/>
      <c r="BXY141" s="22"/>
      <c r="BXZ141" s="22"/>
      <c r="BYA141" s="22"/>
      <c r="BYB141" s="22"/>
      <c r="BYC141" s="22"/>
      <c r="BYD141" s="22"/>
      <c r="BYE141" s="22"/>
      <c r="BYF141" s="22"/>
      <c r="BYG141" s="22"/>
      <c r="BYH141" s="22"/>
      <c r="BYI141" s="22"/>
      <c r="BYJ141" s="22"/>
      <c r="BYK141" s="22"/>
      <c r="BYL141" s="22"/>
      <c r="BYM141" s="22"/>
      <c r="BYN141" s="22"/>
      <c r="BYO141" s="22"/>
      <c r="BYP141" s="22"/>
      <c r="BYQ141" s="22"/>
      <c r="BYR141" s="22"/>
      <c r="BYS141" s="22"/>
      <c r="BYT141" s="22"/>
      <c r="BYU141" s="22"/>
      <c r="BYV141" s="22"/>
      <c r="BYW141" s="22"/>
      <c r="BYX141" s="22"/>
      <c r="BYY141" s="22"/>
      <c r="BYZ141" s="22"/>
      <c r="BZA141" s="22"/>
      <c r="BZB141" s="22"/>
      <c r="BZC141" s="22"/>
      <c r="BZD141" s="22"/>
      <c r="BZE141" s="22"/>
      <c r="BZF141" s="22"/>
      <c r="BZG141" s="22"/>
      <c r="BZH141" s="22"/>
      <c r="BZI141" s="22"/>
      <c r="BZJ141" s="22"/>
      <c r="BZK141" s="22"/>
      <c r="BZL141" s="22"/>
      <c r="BZM141" s="22"/>
      <c r="BZN141" s="22"/>
      <c r="BZO141" s="22"/>
      <c r="BZP141" s="22"/>
      <c r="BZQ141" s="22"/>
      <c r="BZR141" s="22"/>
      <c r="BZS141" s="22"/>
      <c r="BZT141" s="22"/>
      <c r="BZU141" s="22"/>
      <c r="BZV141" s="22"/>
      <c r="BZW141" s="22"/>
      <c r="BZX141" s="22"/>
      <c r="BZY141" s="22"/>
      <c r="BZZ141" s="22"/>
      <c r="CAA141" s="22"/>
      <c r="CAB141" s="22"/>
      <c r="CAC141" s="22"/>
      <c r="CAD141" s="22"/>
      <c r="CAE141" s="22"/>
      <c r="CAF141" s="22"/>
      <c r="CAG141" s="22"/>
      <c r="CAH141" s="22"/>
      <c r="CAI141" s="22"/>
      <c r="CAJ141" s="22"/>
      <c r="CAK141" s="22"/>
      <c r="CAL141" s="22"/>
      <c r="CAM141" s="22"/>
      <c r="CAN141" s="22"/>
      <c r="CAO141" s="22"/>
      <c r="CAP141" s="22"/>
      <c r="CAQ141" s="22"/>
      <c r="CAR141" s="22"/>
      <c r="CAS141" s="22"/>
      <c r="CAT141" s="22"/>
      <c r="CAU141" s="22"/>
      <c r="CAV141" s="22"/>
      <c r="CAW141" s="22"/>
      <c r="CAX141" s="22"/>
      <c r="CAY141" s="22"/>
      <c r="CAZ141" s="22"/>
      <c r="CBA141" s="22"/>
      <c r="CBB141" s="22"/>
      <c r="CBC141" s="22"/>
      <c r="CBD141" s="22"/>
      <c r="CBE141" s="22"/>
      <c r="CBF141" s="22"/>
      <c r="CBG141" s="22"/>
      <c r="CBH141" s="22"/>
      <c r="CBI141" s="22"/>
      <c r="CBJ141" s="22"/>
      <c r="CBK141" s="22"/>
      <c r="CBL141" s="22"/>
      <c r="CBM141" s="22"/>
      <c r="CBN141" s="22"/>
      <c r="CBO141" s="22"/>
      <c r="CBP141" s="22"/>
      <c r="CBQ141" s="22"/>
      <c r="CBR141" s="22"/>
      <c r="CBS141" s="22"/>
      <c r="CBT141" s="22"/>
      <c r="CBU141" s="22"/>
      <c r="CBV141" s="22"/>
      <c r="CBW141" s="22"/>
      <c r="CBX141" s="22"/>
      <c r="CBY141" s="22"/>
      <c r="CBZ141" s="22"/>
      <c r="CCA141" s="22"/>
      <c r="CCB141" s="22"/>
      <c r="CCC141" s="22"/>
      <c r="CCD141" s="22"/>
      <c r="CCE141" s="22"/>
      <c r="CCF141" s="22"/>
      <c r="CCG141" s="22"/>
      <c r="CCH141" s="22"/>
      <c r="CCI141" s="22"/>
      <c r="CCJ141" s="22"/>
      <c r="CCK141" s="22"/>
      <c r="CCL141" s="22"/>
      <c r="CCM141" s="22"/>
      <c r="CCN141" s="22"/>
      <c r="CCO141" s="22"/>
      <c r="CCP141" s="22"/>
      <c r="CCQ141" s="22"/>
      <c r="CCR141" s="22"/>
      <c r="CCS141" s="22"/>
      <c r="CCT141" s="22"/>
      <c r="CCU141" s="22"/>
      <c r="CCV141" s="22"/>
      <c r="CCW141" s="22"/>
      <c r="CCX141" s="22"/>
      <c r="CCY141" s="22"/>
      <c r="CCZ141" s="22"/>
      <c r="CDA141" s="22"/>
      <c r="CDB141" s="22"/>
      <c r="CDC141" s="22"/>
      <c r="CDD141" s="22"/>
      <c r="CDE141" s="22"/>
      <c r="CDF141" s="22"/>
      <c r="CDG141" s="22"/>
      <c r="CDH141" s="22"/>
      <c r="CDI141" s="22"/>
      <c r="CDJ141" s="22"/>
      <c r="CDK141" s="22"/>
      <c r="CDL141" s="22"/>
      <c r="CDM141" s="22"/>
      <c r="CDN141" s="22"/>
      <c r="CDO141" s="22"/>
      <c r="CDP141" s="22"/>
      <c r="CDQ141" s="22"/>
      <c r="CDR141" s="22"/>
      <c r="CDS141" s="22"/>
      <c r="CDT141" s="22"/>
      <c r="CDU141" s="22"/>
      <c r="CDV141" s="22"/>
      <c r="CDW141" s="22"/>
      <c r="CDX141" s="22"/>
      <c r="CDY141" s="22"/>
      <c r="CDZ141" s="22"/>
      <c r="CEA141" s="22"/>
      <c r="CEB141" s="22"/>
      <c r="CEC141" s="22"/>
      <c r="CED141" s="22"/>
      <c r="CEE141" s="22"/>
      <c r="CEF141" s="22"/>
      <c r="CEG141" s="22"/>
      <c r="CEH141" s="22"/>
      <c r="CEI141" s="22"/>
      <c r="CEJ141" s="22"/>
      <c r="CEK141" s="22"/>
      <c r="CEL141" s="22"/>
      <c r="CEM141" s="22"/>
      <c r="CEN141" s="22"/>
      <c r="CEO141" s="22"/>
      <c r="CEP141" s="22"/>
      <c r="CEQ141" s="22"/>
      <c r="CER141" s="22"/>
      <c r="CES141" s="22"/>
      <c r="CET141" s="22"/>
      <c r="CEU141" s="22"/>
      <c r="CEV141" s="22"/>
      <c r="CEW141" s="22"/>
      <c r="CEX141" s="22"/>
      <c r="CEY141" s="22"/>
      <c r="CEZ141" s="22"/>
      <c r="CFA141" s="22"/>
      <c r="CFB141" s="22"/>
      <c r="CFC141" s="22"/>
      <c r="CFD141" s="22"/>
      <c r="CFE141" s="22"/>
      <c r="CFF141" s="22"/>
      <c r="CFG141" s="22"/>
      <c r="CFH141" s="22"/>
      <c r="CFI141" s="22"/>
      <c r="CFJ141" s="22"/>
      <c r="CFK141" s="22"/>
      <c r="CFL141" s="22"/>
      <c r="CFM141" s="22"/>
      <c r="CFN141" s="22"/>
      <c r="CFO141" s="22"/>
      <c r="CFP141" s="22"/>
      <c r="CFQ141" s="22"/>
      <c r="CFR141" s="22"/>
      <c r="CFS141" s="22"/>
      <c r="CFT141" s="22"/>
      <c r="CFU141" s="22"/>
      <c r="CFV141" s="22"/>
      <c r="CFW141" s="22"/>
      <c r="CFX141" s="22"/>
      <c r="CFY141" s="22"/>
      <c r="CFZ141" s="22"/>
      <c r="CGA141" s="22"/>
      <c r="CGB141" s="22"/>
      <c r="CGC141" s="22"/>
      <c r="CGD141" s="22"/>
      <c r="CGE141" s="22"/>
      <c r="CGF141" s="22"/>
      <c r="CGG141" s="22"/>
      <c r="CGH141" s="22"/>
      <c r="CGI141" s="22"/>
      <c r="CGJ141" s="22"/>
      <c r="CGK141" s="22"/>
      <c r="CGL141" s="22"/>
      <c r="CGM141" s="22"/>
      <c r="CGN141" s="22"/>
      <c r="CGO141" s="22"/>
      <c r="CGP141" s="22"/>
      <c r="CGQ141" s="22"/>
      <c r="CGR141" s="22"/>
      <c r="CGS141" s="22"/>
      <c r="CGT141" s="22"/>
      <c r="CGU141" s="22"/>
      <c r="CGV141" s="22"/>
      <c r="CGW141" s="22"/>
      <c r="CGX141" s="22"/>
      <c r="CGY141" s="22"/>
      <c r="CGZ141" s="22"/>
      <c r="CHA141" s="22"/>
      <c r="CHB141" s="22"/>
      <c r="CHC141" s="22"/>
      <c r="CHD141" s="22"/>
      <c r="CHE141" s="22"/>
      <c r="CHF141" s="22"/>
      <c r="CHG141" s="22"/>
      <c r="CHH141" s="22"/>
      <c r="CHI141" s="22"/>
      <c r="CHJ141" s="22"/>
      <c r="CHK141" s="22"/>
      <c r="CHL141" s="22"/>
      <c r="CHM141" s="22"/>
      <c r="CHN141" s="22"/>
      <c r="CHO141" s="22"/>
      <c r="CHP141" s="22"/>
      <c r="CHQ141" s="22"/>
      <c r="CHR141" s="22"/>
      <c r="CHS141" s="22"/>
      <c r="CHT141" s="22"/>
      <c r="CHU141" s="22"/>
      <c r="CHV141" s="22"/>
      <c r="CHW141" s="22"/>
      <c r="CHX141" s="22"/>
      <c r="CHY141" s="22"/>
      <c r="CHZ141" s="22"/>
      <c r="CIA141" s="22"/>
      <c r="CIB141" s="22"/>
      <c r="CIC141" s="22"/>
      <c r="CID141" s="22"/>
      <c r="CIE141" s="22"/>
      <c r="CIF141" s="22"/>
      <c r="CIG141" s="22"/>
      <c r="CIH141" s="22"/>
      <c r="CII141" s="22"/>
      <c r="CIJ141" s="22"/>
      <c r="CIK141" s="22"/>
      <c r="CIL141" s="22"/>
      <c r="CIM141" s="22"/>
      <c r="CIN141" s="22"/>
      <c r="CIO141" s="22"/>
      <c r="CIP141" s="22"/>
      <c r="CIQ141" s="22"/>
      <c r="CIR141" s="22"/>
      <c r="CIS141" s="22"/>
      <c r="CIT141" s="22"/>
      <c r="CIU141" s="22"/>
      <c r="CIV141" s="22"/>
      <c r="CIW141" s="22"/>
      <c r="CIX141" s="22"/>
      <c r="CIY141" s="22"/>
      <c r="CIZ141" s="22"/>
      <c r="CJA141" s="22"/>
      <c r="CJB141" s="22"/>
      <c r="CJC141" s="22"/>
      <c r="CJD141" s="22"/>
      <c r="CJE141" s="22"/>
      <c r="CJF141" s="22"/>
      <c r="CJG141" s="22"/>
      <c r="CJH141" s="22"/>
      <c r="CJI141" s="22"/>
      <c r="CJJ141" s="22"/>
      <c r="CJK141" s="22"/>
      <c r="CJL141" s="22"/>
      <c r="CJM141" s="22"/>
      <c r="CJN141" s="22"/>
      <c r="CJO141" s="22"/>
      <c r="CJP141" s="22"/>
      <c r="CJQ141" s="22"/>
      <c r="CJR141" s="22"/>
      <c r="CJS141" s="22"/>
      <c r="CJT141" s="22"/>
      <c r="CJU141" s="22"/>
      <c r="CJV141" s="22"/>
      <c r="CJW141" s="22"/>
      <c r="CJX141" s="22"/>
      <c r="CJY141" s="22"/>
      <c r="CJZ141" s="22"/>
      <c r="CKA141" s="22"/>
      <c r="CKB141" s="22"/>
      <c r="CKC141" s="22"/>
      <c r="CKD141" s="22"/>
      <c r="CKE141" s="22"/>
      <c r="CKF141" s="22"/>
      <c r="CKG141" s="22"/>
      <c r="CKH141" s="22"/>
      <c r="CKI141" s="22"/>
      <c r="CKJ141" s="22"/>
      <c r="CKK141" s="22"/>
      <c r="CKL141" s="22"/>
      <c r="CKM141" s="22"/>
      <c r="CKN141" s="22"/>
      <c r="CKO141" s="22"/>
      <c r="CKP141" s="22"/>
      <c r="CKQ141" s="22"/>
      <c r="CKR141" s="22"/>
      <c r="CKS141" s="22"/>
      <c r="CKT141" s="22"/>
      <c r="CKU141" s="22"/>
      <c r="CKV141" s="22"/>
      <c r="CKW141" s="22"/>
      <c r="CKX141" s="22"/>
      <c r="CKY141" s="22"/>
      <c r="CKZ141" s="22"/>
      <c r="CLA141" s="22"/>
      <c r="CLB141" s="22"/>
      <c r="CLC141" s="22"/>
      <c r="CLD141" s="22"/>
      <c r="CLE141" s="22"/>
      <c r="CLF141" s="22"/>
      <c r="CLG141" s="22"/>
      <c r="CLH141" s="22"/>
      <c r="CLI141" s="22"/>
      <c r="CLJ141" s="22"/>
      <c r="CLK141" s="22"/>
      <c r="CLL141" s="22"/>
      <c r="CLM141" s="22"/>
      <c r="CLN141" s="22"/>
      <c r="CLO141" s="22"/>
      <c r="CLP141" s="22"/>
      <c r="CLQ141" s="22"/>
      <c r="CLR141" s="22"/>
      <c r="CLS141" s="22"/>
      <c r="CLT141" s="22"/>
      <c r="CLU141" s="22"/>
      <c r="CLV141" s="22"/>
      <c r="CLW141" s="22"/>
      <c r="CLX141" s="22"/>
      <c r="CLY141" s="22"/>
      <c r="CLZ141" s="22"/>
      <c r="CMA141" s="22"/>
      <c r="CMB141" s="22"/>
      <c r="CMC141" s="22"/>
      <c r="CMD141" s="22"/>
      <c r="CME141" s="22"/>
      <c r="CMF141" s="22"/>
      <c r="CMG141" s="22"/>
      <c r="CMH141" s="22"/>
      <c r="CMI141" s="22"/>
      <c r="CMJ141" s="22"/>
      <c r="CMK141" s="22"/>
      <c r="CML141" s="22"/>
      <c r="CMM141" s="22"/>
      <c r="CMN141" s="22"/>
      <c r="CMO141" s="22"/>
      <c r="CMP141" s="22"/>
      <c r="CMQ141" s="22"/>
      <c r="CMR141" s="22"/>
      <c r="CMS141" s="22"/>
      <c r="CMT141" s="22"/>
      <c r="CMU141" s="22"/>
      <c r="CMV141" s="22"/>
      <c r="CMW141" s="22"/>
      <c r="CMX141" s="22"/>
      <c r="CMY141" s="22"/>
      <c r="CMZ141" s="22"/>
      <c r="CNA141" s="22"/>
      <c r="CNB141" s="22"/>
      <c r="CNC141" s="22"/>
      <c r="CND141" s="22"/>
      <c r="CNE141" s="22"/>
      <c r="CNF141" s="22"/>
      <c r="CNG141" s="22"/>
      <c r="CNH141" s="22"/>
      <c r="CNI141" s="22"/>
      <c r="CNJ141" s="22"/>
      <c r="CNK141" s="22"/>
      <c r="CNL141" s="22"/>
      <c r="CNM141" s="22"/>
      <c r="CNN141" s="22"/>
      <c r="CNO141" s="22"/>
      <c r="CNP141" s="22"/>
      <c r="CNQ141" s="22"/>
      <c r="CNR141" s="22"/>
      <c r="CNS141" s="22"/>
      <c r="CNT141" s="22"/>
      <c r="CNU141" s="22"/>
      <c r="CNV141" s="22"/>
      <c r="CNW141" s="22"/>
      <c r="CNX141" s="22"/>
      <c r="CNY141" s="22"/>
      <c r="CNZ141" s="22"/>
      <c r="COA141" s="22"/>
      <c r="COB141" s="22"/>
      <c r="COC141" s="22"/>
      <c r="COD141" s="22"/>
      <c r="COE141" s="22"/>
      <c r="COF141" s="22"/>
      <c r="COG141" s="22"/>
      <c r="COH141" s="22"/>
      <c r="COI141" s="22"/>
      <c r="COJ141" s="22"/>
      <c r="COK141" s="22"/>
      <c r="COL141" s="22"/>
      <c r="COM141" s="22"/>
      <c r="CON141" s="22"/>
      <c r="COO141" s="22"/>
      <c r="COP141" s="22"/>
      <c r="COQ141" s="22"/>
      <c r="COR141" s="22"/>
      <c r="COS141" s="22"/>
      <c r="COT141" s="22"/>
      <c r="COU141" s="22"/>
      <c r="COV141" s="22"/>
      <c r="COW141" s="22"/>
      <c r="COX141" s="22"/>
      <c r="COY141" s="22"/>
      <c r="COZ141" s="22"/>
      <c r="CPA141" s="22"/>
      <c r="CPB141" s="22"/>
      <c r="CPC141" s="22"/>
      <c r="CPD141" s="22"/>
      <c r="CPE141" s="22"/>
      <c r="CPF141" s="22"/>
      <c r="CPG141" s="22"/>
      <c r="CPH141" s="22"/>
      <c r="CPI141" s="22"/>
      <c r="CPJ141" s="22"/>
      <c r="CPK141" s="22"/>
      <c r="CPL141" s="22"/>
      <c r="CPM141" s="22"/>
      <c r="CPN141" s="22"/>
      <c r="CPO141" s="22"/>
      <c r="CPP141" s="22"/>
      <c r="CPQ141" s="22"/>
      <c r="CPR141" s="22"/>
      <c r="CPS141" s="22"/>
      <c r="CPT141" s="22"/>
      <c r="CPU141" s="22"/>
      <c r="CPV141" s="22"/>
      <c r="CPW141" s="22"/>
      <c r="CPX141" s="22"/>
      <c r="CPY141" s="22"/>
      <c r="CPZ141" s="22"/>
      <c r="CQA141" s="22"/>
      <c r="CQB141" s="22"/>
      <c r="CQC141" s="22"/>
      <c r="CQD141" s="22"/>
      <c r="CQE141" s="22"/>
      <c r="CQF141" s="22"/>
      <c r="CQG141" s="22"/>
      <c r="CQH141" s="22"/>
      <c r="CQI141" s="22"/>
      <c r="CQJ141" s="22"/>
      <c r="CQK141" s="22"/>
      <c r="CQL141" s="22"/>
      <c r="CQM141" s="22"/>
      <c r="CQN141" s="22"/>
      <c r="CQO141" s="22"/>
      <c r="CQP141" s="22"/>
      <c r="CQQ141" s="22"/>
      <c r="CQR141" s="22"/>
      <c r="CQS141" s="22"/>
      <c r="CQT141" s="22"/>
      <c r="CQU141" s="22"/>
      <c r="CQV141" s="22"/>
      <c r="CQW141" s="22"/>
      <c r="CQX141" s="22"/>
      <c r="CQY141" s="22"/>
      <c r="CQZ141" s="22"/>
      <c r="CRA141" s="22"/>
      <c r="CRB141" s="22"/>
      <c r="CRC141" s="22"/>
      <c r="CRD141" s="22"/>
      <c r="CRE141" s="22"/>
      <c r="CRF141" s="22"/>
      <c r="CRG141" s="22"/>
      <c r="CRH141" s="22"/>
      <c r="CRI141" s="22"/>
      <c r="CRJ141" s="22"/>
      <c r="CRK141" s="22"/>
      <c r="CRL141" s="22"/>
      <c r="CRM141" s="22"/>
      <c r="CRN141" s="22"/>
      <c r="CRO141" s="22"/>
      <c r="CRP141" s="22"/>
      <c r="CRQ141" s="22"/>
      <c r="CRR141" s="22"/>
      <c r="CRS141" s="22"/>
      <c r="CRT141" s="22"/>
      <c r="CRU141" s="22"/>
      <c r="CRV141" s="22"/>
      <c r="CRW141" s="22"/>
      <c r="CRX141" s="22"/>
      <c r="CRY141" s="22"/>
      <c r="CRZ141" s="22"/>
      <c r="CSA141" s="22"/>
      <c r="CSB141" s="22"/>
      <c r="CSC141" s="22"/>
      <c r="CSD141" s="22"/>
      <c r="CSE141" s="22"/>
      <c r="CSF141" s="22"/>
      <c r="CSG141" s="22"/>
      <c r="CSH141" s="22"/>
      <c r="CSI141" s="22"/>
      <c r="CSJ141" s="22"/>
      <c r="CSK141" s="22"/>
      <c r="CSL141" s="22"/>
      <c r="CSM141" s="22"/>
      <c r="CSN141" s="22"/>
      <c r="CSO141" s="22"/>
      <c r="CSP141" s="22"/>
      <c r="CSQ141" s="22"/>
      <c r="CSR141" s="22"/>
      <c r="CSS141" s="22"/>
      <c r="CST141" s="22"/>
      <c r="CSU141" s="22"/>
      <c r="CSV141" s="22"/>
      <c r="CSW141" s="22"/>
      <c r="CSX141" s="22"/>
      <c r="CSY141" s="22"/>
      <c r="CSZ141" s="22"/>
      <c r="CTA141" s="22"/>
      <c r="CTB141" s="22"/>
      <c r="CTC141" s="22"/>
      <c r="CTD141" s="22"/>
      <c r="CTE141" s="22"/>
      <c r="CTF141" s="22"/>
      <c r="CTG141" s="22"/>
      <c r="CTH141" s="22"/>
      <c r="CTI141" s="22"/>
      <c r="CTJ141" s="22"/>
      <c r="CTK141" s="22"/>
      <c r="CTL141" s="22"/>
      <c r="CTM141" s="22"/>
      <c r="CTN141" s="22"/>
      <c r="CTO141" s="22"/>
      <c r="CTP141" s="22"/>
      <c r="CTQ141" s="22"/>
      <c r="CTR141" s="22"/>
      <c r="CTS141" s="22"/>
      <c r="CTT141" s="22"/>
      <c r="CTU141" s="22"/>
      <c r="CTV141" s="22"/>
      <c r="CTW141" s="22"/>
      <c r="CTX141" s="22"/>
      <c r="CTY141" s="22"/>
      <c r="CTZ141" s="22"/>
      <c r="CUA141" s="22"/>
      <c r="CUB141" s="22"/>
      <c r="CUC141" s="22"/>
      <c r="CUD141" s="22"/>
      <c r="CUE141" s="22"/>
      <c r="CUF141" s="22"/>
      <c r="CUG141" s="22"/>
      <c r="CUH141" s="22"/>
      <c r="CUI141" s="22"/>
      <c r="CUJ141" s="22"/>
      <c r="CUK141" s="22"/>
      <c r="CUL141" s="22"/>
      <c r="CUM141" s="22"/>
      <c r="CUN141" s="22"/>
      <c r="CUO141" s="22"/>
      <c r="CUP141" s="22"/>
      <c r="CUQ141" s="22"/>
      <c r="CUR141" s="22"/>
      <c r="CUS141" s="22"/>
      <c r="CUT141" s="22"/>
      <c r="CUU141" s="22"/>
      <c r="CUV141" s="22"/>
      <c r="CUW141" s="22"/>
      <c r="CUX141" s="22"/>
      <c r="CUY141" s="22"/>
      <c r="CUZ141" s="22"/>
      <c r="CVA141" s="22"/>
      <c r="CVB141" s="22"/>
      <c r="CVC141" s="22"/>
      <c r="CVD141" s="22"/>
      <c r="CVE141" s="22"/>
      <c r="CVF141" s="22"/>
      <c r="CVG141" s="22"/>
      <c r="CVH141" s="22"/>
      <c r="CVI141" s="22"/>
      <c r="CVJ141" s="22"/>
      <c r="CVK141" s="22"/>
      <c r="CVL141" s="22"/>
      <c r="CVM141" s="22"/>
      <c r="CVN141" s="22"/>
      <c r="CVO141" s="22"/>
      <c r="CVP141" s="22"/>
      <c r="CVQ141" s="22"/>
      <c r="CVR141" s="22"/>
      <c r="CVS141" s="22"/>
      <c r="CVT141" s="22"/>
      <c r="CVU141" s="22"/>
      <c r="CVV141" s="22"/>
      <c r="CVW141" s="22"/>
      <c r="CVX141" s="22"/>
      <c r="CVY141" s="22"/>
      <c r="CVZ141" s="22"/>
      <c r="CWA141" s="22"/>
      <c r="CWB141" s="22"/>
      <c r="CWC141" s="22"/>
      <c r="CWD141" s="22"/>
      <c r="CWE141" s="22"/>
      <c r="CWF141" s="22"/>
      <c r="CWG141" s="22"/>
      <c r="CWH141" s="22"/>
      <c r="CWI141" s="22"/>
      <c r="CWJ141" s="22"/>
      <c r="CWK141" s="22"/>
      <c r="CWL141" s="22"/>
      <c r="CWM141" s="22"/>
      <c r="CWN141" s="22"/>
      <c r="CWO141" s="22"/>
      <c r="CWP141" s="22"/>
      <c r="CWQ141" s="22"/>
      <c r="CWR141" s="22"/>
      <c r="CWS141" s="22"/>
      <c r="CWT141" s="22"/>
      <c r="CWU141" s="22"/>
      <c r="CWV141" s="22"/>
      <c r="CWW141" s="22"/>
      <c r="CWX141" s="22"/>
      <c r="CWY141" s="22"/>
      <c r="CWZ141" s="22"/>
      <c r="CXA141" s="22"/>
      <c r="CXB141" s="22"/>
      <c r="CXC141" s="22"/>
      <c r="CXD141" s="22"/>
      <c r="CXE141" s="22"/>
      <c r="CXF141" s="22"/>
      <c r="CXG141" s="22"/>
      <c r="CXH141" s="22"/>
      <c r="CXI141" s="22"/>
      <c r="CXJ141" s="22"/>
      <c r="CXK141" s="22"/>
      <c r="CXL141" s="22"/>
      <c r="CXM141" s="22"/>
      <c r="CXN141" s="22"/>
      <c r="CXO141" s="22"/>
      <c r="CXP141" s="22"/>
      <c r="CXQ141" s="22"/>
      <c r="CXR141" s="22"/>
      <c r="CXS141" s="22"/>
      <c r="CXT141" s="22"/>
      <c r="CXU141" s="22"/>
      <c r="CXV141" s="22"/>
      <c r="CXW141" s="22"/>
      <c r="CXX141" s="22"/>
      <c r="CXY141" s="22"/>
      <c r="CXZ141" s="22"/>
      <c r="CYA141" s="22"/>
      <c r="CYB141" s="22"/>
      <c r="CYC141" s="22"/>
      <c r="CYD141" s="22"/>
      <c r="CYE141" s="22"/>
      <c r="CYF141" s="22"/>
      <c r="CYG141" s="22"/>
      <c r="CYH141" s="22"/>
      <c r="CYI141" s="22"/>
      <c r="CYJ141" s="22"/>
      <c r="CYK141" s="22"/>
      <c r="CYL141" s="22"/>
      <c r="CYM141" s="22"/>
      <c r="CYN141" s="22"/>
      <c r="CYO141" s="22"/>
      <c r="CYP141" s="22"/>
      <c r="CYQ141" s="22"/>
      <c r="CYR141" s="22"/>
      <c r="CYS141" s="22"/>
      <c r="CYT141" s="22"/>
      <c r="CYU141" s="22"/>
      <c r="CYV141" s="22"/>
      <c r="CYW141" s="22"/>
      <c r="CYX141" s="22"/>
      <c r="CYY141" s="22"/>
      <c r="CYZ141" s="22"/>
      <c r="CZA141" s="22"/>
      <c r="CZB141" s="22"/>
      <c r="CZC141" s="22"/>
      <c r="CZD141" s="22"/>
      <c r="CZE141" s="22"/>
      <c r="CZF141" s="22"/>
      <c r="CZG141" s="22"/>
      <c r="CZH141" s="22"/>
      <c r="CZI141" s="22"/>
      <c r="CZJ141" s="22"/>
      <c r="CZK141" s="22"/>
      <c r="CZL141" s="22"/>
      <c r="CZM141" s="22"/>
      <c r="CZN141" s="22"/>
      <c r="CZO141" s="22"/>
      <c r="CZP141" s="22"/>
      <c r="CZQ141" s="22"/>
      <c r="CZR141" s="22"/>
      <c r="CZS141" s="22"/>
      <c r="CZT141" s="22"/>
      <c r="CZU141" s="22"/>
      <c r="CZV141" s="22"/>
      <c r="CZW141" s="22"/>
      <c r="CZX141" s="22"/>
      <c r="CZY141" s="22"/>
      <c r="CZZ141" s="22"/>
      <c r="DAA141" s="22"/>
      <c r="DAB141" s="22"/>
      <c r="DAC141" s="22"/>
      <c r="DAD141" s="22"/>
      <c r="DAE141" s="22"/>
      <c r="DAF141" s="22"/>
      <c r="DAG141" s="22"/>
      <c r="DAH141" s="22"/>
      <c r="DAI141" s="22"/>
      <c r="DAJ141" s="22"/>
      <c r="DAK141" s="22"/>
      <c r="DAL141" s="22"/>
      <c r="DAM141" s="22"/>
      <c r="DAN141" s="22"/>
      <c r="DAO141" s="22"/>
      <c r="DAP141" s="22"/>
      <c r="DAQ141" s="22"/>
      <c r="DAR141" s="22"/>
      <c r="DAS141" s="22"/>
      <c r="DAT141" s="22"/>
      <c r="DAU141" s="22"/>
      <c r="DAV141" s="22"/>
      <c r="DAW141" s="22"/>
      <c r="DAX141" s="22"/>
      <c r="DAY141" s="22"/>
      <c r="DAZ141" s="22"/>
      <c r="DBA141" s="22"/>
      <c r="DBB141" s="22"/>
      <c r="DBC141" s="22"/>
      <c r="DBD141" s="22"/>
      <c r="DBE141" s="22"/>
      <c r="DBF141" s="22"/>
      <c r="DBG141" s="22"/>
      <c r="DBH141" s="22"/>
      <c r="DBI141" s="22"/>
      <c r="DBJ141" s="22"/>
      <c r="DBK141" s="22"/>
      <c r="DBL141" s="22"/>
      <c r="DBM141" s="22"/>
      <c r="DBN141" s="22"/>
      <c r="DBO141" s="22"/>
      <c r="DBP141" s="22"/>
      <c r="DBQ141" s="22"/>
      <c r="DBR141" s="22"/>
      <c r="DBS141" s="22"/>
      <c r="DBT141" s="22"/>
      <c r="DBU141" s="22"/>
      <c r="DBV141" s="22"/>
      <c r="DBW141" s="22"/>
      <c r="DBX141" s="22"/>
      <c r="DBY141" s="22"/>
      <c r="DBZ141" s="22"/>
      <c r="DCA141" s="22"/>
      <c r="DCB141" s="22"/>
      <c r="DCC141" s="22"/>
      <c r="DCD141" s="22"/>
      <c r="DCE141" s="22"/>
      <c r="DCF141" s="22"/>
      <c r="DCG141" s="22"/>
      <c r="DCH141" s="22"/>
      <c r="DCI141" s="22"/>
      <c r="DCJ141" s="22"/>
      <c r="DCK141" s="22"/>
      <c r="DCL141" s="22"/>
      <c r="DCM141" s="22"/>
      <c r="DCN141" s="22"/>
      <c r="DCO141" s="22"/>
      <c r="DCP141" s="22"/>
      <c r="DCQ141" s="22"/>
      <c r="DCR141" s="22"/>
      <c r="DCS141" s="22"/>
      <c r="DCT141" s="22"/>
      <c r="DCU141" s="22"/>
      <c r="DCV141" s="22"/>
      <c r="DCW141" s="22"/>
      <c r="DCX141" s="22"/>
      <c r="DCY141" s="22"/>
      <c r="DCZ141" s="22"/>
      <c r="DDA141" s="22"/>
      <c r="DDB141" s="22"/>
      <c r="DDC141" s="22"/>
      <c r="DDD141" s="22"/>
      <c r="DDE141" s="22"/>
      <c r="DDF141" s="22"/>
      <c r="DDG141" s="22"/>
      <c r="DDH141" s="22"/>
      <c r="DDI141" s="22"/>
      <c r="DDJ141" s="22"/>
      <c r="DDK141" s="22"/>
      <c r="DDL141" s="22"/>
      <c r="DDM141" s="22"/>
      <c r="DDN141" s="22"/>
      <c r="DDO141" s="22"/>
      <c r="DDP141" s="22"/>
      <c r="DDQ141" s="22"/>
      <c r="DDR141" s="22"/>
      <c r="DDS141" s="22"/>
      <c r="DDT141" s="22"/>
      <c r="DDU141" s="22"/>
      <c r="DDV141" s="22"/>
      <c r="DDW141" s="22"/>
      <c r="DDX141" s="22"/>
      <c r="DDY141" s="22"/>
      <c r="DDZ141" s="22"/>
      <c r="DEA141" s="22"/>
      <c r="DEB141" s="22"/>
      <c r="DEC141" s="22"/>
      <c r="DED141" s="22"/>
      <c r="DEE141" s="22"/>
      <c r="DEF141" s="22"/>
      <c r="DEG141" s="22"/>
      <c r="DEH141" s="22"/>
      <c r="DEI141" s="22"/>
      <c r="DEJ141" s="22"/>
      <c r="DEK141" s="22"/>
      <c r="DEL141" s="22"/>
      <c r="DEM141" s="22"/>
      <c r="DEN141" s="22"/>
      <c r="DEO141" s="22"/>
      <c r="DEP141" s="22"/>
      <c r="DEQ141" s="22"/>
      <c r="DER141" s="22"/>
      <c r="DES141" s="22"/>
      <c r="DET141" s="22"/>
      <c r="DEU141" s="22"/>
      <c r="DEV141" s="22"/>
      <c r="DEW141" s="22"/>
      <c r="DEX141" s="22"/>
      <c r="DEY141" s="22"/>
      <c r="DEZ141" s="22"/>
      <c r="DFA141" s="22"/>
      <c r="DFB141" s="22"/>
      <c r="DFC141" s="22"/>
      <c r="DFD141" s="22"/>
      <c r="DFE141" s="22"/>
      <c r="DFF141" s="22"/>
      <c r="DFG141" s="22"/>
      <c r="DFH141" s="22"/>
      <c r="DFI141" s="22"/>
      <c r="DFJ141" s="22"/>
      <c r="DFK141" s="22"/>
      <c r="DFL141" s="22"/>
      <c r="DFM141" s="22"/>
      <c r="DFN141" s="22"/>
      <c r="DFO141" s="22"/>
      <c r="DFP141" s="22"/>
      <c r="DFQ141" s="22"/>
      <c r="DFR141" s="22"/>
      <c r="DFS141" s="22"/>
      <c r="DFT141" s="22"/>
      <c r="DFU141" s="22"/>
      <c r="DFV141" s="22"/>
      <c r="DFW141" s="22"/>
      <c r="DFX141" s="22"/>
      <c r="DFY141" s="22"/>
      <c r="DFZ141" s="22"/>
      <c r="DGA141" s="22"/>
      <c r="DGB141" s="22"/>
      <c r="DGC141" s="22"/>
      <c r="DGD141" s="22"/>
      <c r="DGE141" s="22"/>
      <c r="DGF141" s="22"/>
      <c r="DGG141" s="22"/>
      <c r="DGH141" s="22"/>
      <c r="DGI141" s="22"/>
      <c r="DGJ141" s="22"/>
      <c r="DGK141" s="22"/>
      <c r="DGL141" s="22"/>
      <c r="DGM141" s="22"/>
      <c r="DGN141" s="22"/>
      <c r="DGO141" s="22"/>
      <c r="DGP141" s="22"/>
      <c r="DGQ141" s="22"/>
      <c r="DGR141" s="22"/>
      <c r="DGS141" s="22"/>
      <c r="DGT141" s="22"/>
      <c r="DGU141" s="22"/>
      <c r="DGV141" s="22"/>
      <c r="DGW141" s="22"/>
      <c r="DGX141" s="22"/>
      <c r="DGY141" s="22"/>
      <c r="DGZ141" s="22"/>
      <c r="DHA141" s="22"/>
      <c r="DHB141" s="22"/>
      <c r="DHC141" s="22"/>
      <c r="DHD141" s="22"/>
      <c r="DHE141" s="22"/>
      <c r="DHF141" s="22"/>
      <c r="DHG141" s="22"/>
      <c r="DHH141" s="22"/>
      <c r="DHI141" s="22"/>
      <c r="DHJ141" s="22"/>
      <c r="DHK141" s="22"/>
      <c r="DHL141" s="22"/>
      <c r="DHM141" s="22"/>
      <c r="DHN141" s="22"/>
      <c r="DHO141" s="22"/>
      <c r="DHP141" s="22"/>
      <c r="DHQ141" s="22"/>
      <c r="DHR141" s="22"/>
      <c r="DHS141" s="22"/>
      <c r="DHT141" s="22"/>
      <c r="DHU141" s="22"/>
      <c r="DHV141" s="22"/>
      <c r="DHW141" s="22"/>
      <c r="DHX141" s="22"/>
      <c r="DHY141" s="22"/>
      <c r="DHZ141" s="22"/>
      <c r="DIA141" s="22"/>
      <c r="DIB141" s="22"/>
      <c r="DIC141" s="22"/>
      <c r="DID141" s="22"/>
      <c r="DIE141" s="22"/>
      <c r="DIF141" s="22"/>
      <c r="DIG141" s="22"/>
      <c r="DIH141" s="22"/>
      <c r="DII141" s="22"/>
      <c r="DIJ141" s="22"/>
      <c r="DIK141" s="22"/>
      <c r="DIL141" s="22"/>
      <c r="DIM141" s="22"/>
      <c r="DIN141" s="22"/>
      <c r="DIO141" s="22"/>
      <c r="DIP141" s="22"/>
      <c r="DIQ141" s="22"/>
      <c r="DIR141" s="22"/>
      <c r="DIS141" s="22"/>
      <c r="DIT141" s="22"/>
      <c r="DIU141" s="22"/>
      <c r="DIV141" s="22"/>
      <c r="DIW141" s="22"/>
      <c r="DIX141" s="22"/>
      <c r="DIY141" s="22"/>
      <c r="DIZ141" s="22"/>
      <c r="DJA141" s="22"/>
      <c r="DJB141" s="22"/>
      <c r="DJC141" s="22"/>
      <c r="DJD141" s="22"/>
      <c r="DJE141" s="22"/>
      <c r="DJF141" s="22"/>
      <c r="DJG141" s="22"/>
      <c r="DJH141" s="22"/>
      <c r="DJI141" s="22"/>
      <c r="DJJ141" s="22"/>
      <c r="DJK141" s="22"/>
      <c r="DJL141" s="22"/>
      <c r="DJM141" s="22"/>
      <c r="DJN141" s="22"/>
      <c r="DJO141" s="22"/>
      <c r="DJP141" s="22"/>
      <c r="DJQ141" s="22"/>
      <c r="DJR141" s="22"/>
      <c r="DJS141" s="22"/>
      <c r="DJT141" s="22"/>
      <c r="DJU141" s="22"/>
      <c r="DJV141" s="22"/>
      <c r="DJW141" s="22"/>
      <c r="DJX141" s="22"/>
      <c r="DJY141" s="22"/>
      <c r="DJZ141" s="22"/>
      <c r="DKA141" s="22"/>
      <c r="DKB141" s="22"/>
      <c r="DKC141" s="22"/>
      <c r="DKD141" s="22"/>
      <c r="DKE141" s="22"/>
      <c r="DKF141" s="22"/>
      <c r="DKG141" s="22"/>
      <c r="DKH141" s="22"/>
      <c r="DKI141" s="22"/>
      <c r="DKJ141" s="22"/>
      <c r="DKK141" s="22"/>
      <c r="DKL141" s="22"/>
      <c r="DKM141" s="22"/>
      <c r="DKN141" s="22"/>
      <c r="DKO141" s="22"/>
      <c r="DKP141" s="22"/>
      <c r="DKQ141" s="22"/>
      <c r="DKR141" s="22"/>
      <c r="DKS141" s="22"/>
      <c r="DKT141" s="22"/>
      <c r="DKU141" s="22"/>
      <c r="DKV141" s="22"/>
      <c r="DKW141" s="22"/>
      <c r="DKX141" s="22"/>
      <c r="DKY141" s="22"/>
      <c r="DKZ141" s="22"/>
      <c r="DLA141" s="22"/>
      <c r="DLB141" s="22"/>
      <c r="DLC141" s="22"/>
      <c r="DLD141" s="22"/>
      <c r="DLE141" s="22"/>
      <c r="DLF141" s="22"/>
      <c r="DLG141" s="22"/>
      <c r="DLH141" s="22"/>
      <c r="DLI141" s="22"/>
      <c r="DLJ141" s="22"/>
      <c r="DLK141" s="22"/>
      <c r="DLL141" s="22"/>
      <c r="DLM141" s="22"/>
      <c r="DLN141" s="22"/>
      <c r="DLO141" s="22"/>
      <c r="DLP141" s="22"/>
      <c r="DLQ141" s="22"/>
      <c r="DLR141" s="22"/>
      <c r="DLS141" s="22"/>
      <c r="DLT141" s="22"/>
      <c r="DLU141" s="22"/>
      <c r="DLV141" s="22"/>
      <c r="DLW141" s="22"/>
      <c r="DLX141" s="22"/>
      <c r="DLY141" s="22"/>
      <c r="DLZ141" s="22"/>
      <c r="DMA141" s="22"/>
      <c r="DMB141" s="22"/>
      <c r="DMC141" s="22"/>
      <c r="DMD141" s="22"/>
      <c r="DME141" s="22"/>
      <c r="DMF141" s="22"/>
      <c r="DMG141" s="22"/>
      <c r="DMH141" s="22"/>
      <c r="DMI141" s="22"/>
      <c r="DMJ141" s="22"/>
      <c r="DMK141" s="22"/>
      <c r="DML141" s="22"/>
      <c r="DMM141" s="22"/>
      <c r="DMN141" s="22"/>
      <c r="DMO141" s="22"/>
      <c r="DMP141" s="22"/>
      <c r="DMQ141" s="22"/>
      <c r="DMR141" s="22"/>
      <c r="DMS141" s="22"/>
      <c r="DMT141" s="22"/>
      <c r="DMU141" s="22"/>
      <c r="DMV141" s="22"/>
      <c r="DMW141" s="22"/>
      <c r="DMX141" s="22"/>
      <c r="DMY141" s="22"/>
      <c r="DMZ141" s="22"/>
      <c r="DNA141" s="22"/>
      <c r="DNB141" s="22"/>
      <c r="DNC141" s="22"/>
      <c r="DND141" s="22"/>
      <c r="DNE141" s="22"/>
      <c r="DNF141" s="22"/>
      <c r="DNG141" s="22"/>
      <c r="DNH141" s="22"/>
      <c r="DNI141" s="22"/>
      <c r="DNJ141" s="22"/>
      <c r="DNK141" s="22"/>
      <c r="DNL141" s="22"/>
      <c r="DNM141" s="22"/>
      <c r="DNN141" s="22"/>
      <c r="DNO141" s="22"/>
      <c r="DNP141" s="22"/>
      <c r="DNQ141" s="22"/>
      <c r="DNR141" s="22"/>
      <c r="DNS141" s="22"/>
      <c r="DNT141" s="22"/>
      <c r="DNU141" s="22"/>
      <c r="DNV141" s="22"/>
      <c r="DNW141" s="22"/>
      <c r="DNX141" s="22"/>
      <c r="DNY141" s="22"/>
      <c r="DNZ141" s="22"/>
      <c r="DOA141" s="22"/>
      <c r="DOB141" s="22"/>
      <c r="DOC141" s="22"/>
      <c r="DOD141" s="22"/>
      <c r="DOE141" s="22"/>
      <c r="DOF141" s="22"/>
      <c r="DOG141" s="22"/>
      <c r="DOH141" s="22"/>
      <c r="DOI141" s="22"/>
      <c r="DOJ141" s="22"/>
      <c r="DOK141" s="22"/>
      <c r="DOL141" s="22"/>
      <c r="DOM141" s="22"/>
      <c r="DON141" s="22"/>
      <c r="DOO141" s="22"/>
      <c r="DOP141" s="22"/>
      <c r="DOQ141" s="22"/>
      <c r="DOR141" s="22"/>
      <c r="DOS141" s="22"/>
      <c r="DOT141" s="22"/>
      <c r="DOU141" s="22"/>
      <c r="DOV141" s="22"/>
      <c r="DOW141" s="22"/>
      <c r="DOX141" s="22"/>
      <c r="DOY141" s="22"/>
      <c r="DOZ141" s="22"/>
      <c r="DPA141" s="22"/>
      <c r="DPB141" s="22"/>
      <c r="DPC141" s="22"/>
      <c r="DPD141" s="22"/>
      <c r="DPE141" s="22"/>
      <c r="DPF141" s="22"/>
      <c r="DPG141" s="22"/>
      <c r="DPH141" s="22"/>
      <c r="DPI141" s="22"/>
      <c r="DPJ141" s="22"/>
      <c r="DPK141" s="22"/>
      <c r="DPL141" s="22"/>
      <c r="DPM141" s="22"/>
      <c r="DPN141" s="22"/>
      <c r="DPO141" s="22"/>
      <c r="DPP141" s="22"/>
      <c r="DPQ141" s="22"/>
      <c r="DPR141" s="22"/>
      <c r="DPS141" s="22"/>
      <c r="DPT141" s="22"/>
      <c r="DPU141" s="22"/>
      <c r="DPV141" s="22"/>
      <c r="DPW141" s="22"/>
      <c r="DPX141" s="22"/>
      <c r="DPY141" s="22"/>
      <c r="DPZ141" s="22"/>
      <c r="DQA141" s="22"/>
      <c r="DQB141" s="22"/>
      <c r="DQC141" s="22"/>
      <c r="DQD141" s="22"/>
      <c r="DQE141" s="22"/>
      <c r="DQF141" s="22"/>
      <c r="DQG141" s="22"/>
      <c r="DQH141" s="22"/>
      <c r="DQI141" s="22"/>
      <c r="DQJ141" s="22"/>
      <c r="DQK141" s="22"/>
      <c r="DQL141" s="22"/>
      <c r="DQM141" s="22"/>
      <c r="DQN141" s="22"/>
      <c r="DQO141" s="22"/>
      <c r="DQP141" s="22"/>
      <c r="DQQ141" s="22"/>
      <c r="DQR141" s="22"/>
      <c r="DQS141" s="22"/>
      <c r="DQT141" s="22"/>
      <c r="DQU141" s="22"/>
      <c r="DQV141" s="22"/>
      <c r="DQW141" s="22"/>
      <c r="DQX141" s="22"/>
      <c r="DQY141" s="22"/>
      <c r="DQZ141" s="22"/>
      <c r="DRA141" s="22"/>
      <c r="DRB141" s="22"/>
      <c r="DRC141" s="22"/>
      <c r="DRD141" s="22"/>
      <c r="DRE141" s="22"/>
      <c r="DRF141" s="22"/>
      <c r="DRG141" s="22"/>
      <c r="DRH141" s="22"/>
      <c r="DRI141" s="22"/>
      <c r="DRJ141" s="22"/>
      <c r="DRK141" s="22"/>
      <c r="DRL141" s="22"/>
      <c r="DRM141" s="22"/>
      <c r="DRN141" s="22"/>
      <c r="DRO141" s="22"/>
      <c r="DRP141" s="22"/>
      <c r="DRQ141" s="22"/>
      <c r="DRR141" s="22"/>
      <c r="DRS141" s="22"/>
      <c r="DRT141" s="22"/>
      <c r="DRU141" s="22"/>
      <c r="DRV141" s="22"/>
      <c r="DRW141" s="22"/>
      <c r="DRX141" s="22"/>
      <c r="DRY141" s="22"/>
      <c r="DRZ141" s="22"/>
      <c r="DSA141" s="22"/>
      <c r="DSB141" s="22"/>
      <c r="DSC141" s="22"/>
      <c r="DSD141" s="22"/>
      <c r="DSE141" s="22"/>
      <c r="DSF141" s="22"/>
      <c r="DSG141" s="22"/>
      <c r="DSH141" s="22"/>
      <c r="DSI141" s="22"/>
      <c r="DSJ141" s="22"/>
      <c r="DSK141" s="22"/>
      <c r="DSL141" s="22"/>
      <c r="DSM141" s="22"/>
      <c r="DSN141" s="22"/>
      <c r="DSO141" s="22"/>
      <c r="DSP141" s="22"/>
      <c r="DSQ141" s="22"/>
      <c r="DSR141" s="22"/>
      <c r="DSS141" s="22"/>
      <c r="DST141" s="22"/>
      <c r="DSU141" s="22"/>
      <c r="DSV141" s="22"/>
      <c r="DSW141" s="22"/>
      <c r="DSX141" s="22"/>
      <c r="DSY141" s="22"/>
      <c r="DSZ141" s="22"/>
      <c r="DTA141" s="22"/>
      <c r="DTB141" s="22"/>
      <c r="DTC141" s="22"/>
      <c r="DTD141" s="22"/>
      <c r="DTE141" s="22"/>
      <c r="DTF141" s="22"/>
      <c r="DTG141" s="22"/>
      <c r="DTH141" s="22"/>
      <c r="DTI141" s="22"/>
      <c r="DTJ141" s="22"/>
      <c r="DTK141" s="22"/>
      <c r="DTL141" s="22"/>
      <c r="DTM141" s="22"/>
      <c r="DTN141" s="22"/>
      <c r="DTO141" s="22"/>
      <c r="DTP141" s="22"/>
      <c r="DTQ141" s="22"/>
      <c r="DTR141" s="22"/>
      <c r="DTS141" s="22"/>
      <c r="DTT141" s="22"/>
      <c r="DTU141" s="22"/>
      <c r="DTV141" s="22"/>
      <c r="DTW141" s="22"/>
      <c r="DTX141" s="22"/>
      <c r="DTY141" s="22"/>
      <c r="DTZ141" s="22"/>
      <c r="DUA141" s="22"/>
      <c r="DUB141" s="22"/>
      <c r="DUC141" s="22"/>
      <c r="DUD141" s="22"/>
      <c r="DUE141" s="22"/>
      <c r="DUF141" s="22"/>
      <c r="DUG141" s="22"/>
      <c r="DUH141" s="22"/>
      <c r="DUI141" s="22"/>
      <c r="DUJ141" s="22"/>
      <c r="DUK141" s="22"/>
      <c r="DUL141" s="22"/>
      <c r="DUM141" s="22"/>
      <c r="DUN141" s="22"/>
      <c r="DUO141" s="22"/>
      <c r="DUP141" s="22"/>
      <c r="DUQ141" s="22"/>
      <c r="DUR141" s="22"/>
      <c r="DUS141" s="22"/>
      <c r="DUT141" s="22"/>
      <c r="DUU141" s="22"/>
      <c r="DUV141" s="22"/>
      <c r="DUW141" s="22"/>
      <c r="DUX141" s="22"/>
      <c r="DUY141" s="22"/>
      <c r="DUZ141" s="22"/>
      <c r="DVA141" s="22"/>
      <c r="DVB141" s="22"/>
      <c r="DVC141" s="22"/>
      <c r="DVD141" s="22"/>
      <c r="DVE141" s="22"/>
      <c r="DVF141" s="22"/>
      <c r="DVG141" s="22"/>
      <c r="DVH141" s="22"/>
      <c r="DVI141" s="22"/>
      <c r="DVJ141" s="22"/>
      <c r="DVK141" s="22"/>
      <c r="DVL141" s="22"/>
      <c r="DVM141" s="22"/>
      <c r="DVN141" s="22"/>
      <c r="DVO141" s="22"/>
      <c r="DVP141" s="22"/>
      <c r="DVQ141" s="22"/>
      <c r="DVR141" s="22"/>
      <c r="DVS141" s="22"/>
      <c r="DVT141" s="22"/>
      <c r="DVU141" s="22"/>
      <c r="DVV141" s="22"/>
      <c r="DVW141" s="22"/>
      <c r="DVX141" s="22"/>
      <c r="DVY141" s="22"/>
      <c r="DVZ141" s="22"/>
      <c r="DWA141" s="22"/>
      <c r="DWB141" s="22"/>
      <c r="DWC141" s="22"/>
      <c r="DWD141" s="22"/>
      <c r="DWE141" s="22"/>
      <c r="DWF141" s="22"/>
      <c r="DWG141" s="22"/>
      <c r="DWH141" s="22"/>
      <c r="DWI141" s="22"/>
      <c r="DWJ141" s="22"/>
      <c r="DWK141" s="22"/>
      <c r="DWL141" s="22"/>
      <c r="DWM141" s="22"/>
      <c r="DWN141" s="22"/>
      <c r="DWO141" s="22"/>
      <c r="DWP141" s="22"/>
      <c r="DWQ141" s="22"/>
      <c r="DWR141" s="22"/>
      <c r="DWS141" s="22"/>
      <c r="DWT141" s="22"/>
      <c r="DWU141" s="22"/>
      <c r="DWV141" s="22"/>
      <c r="DWW141" s="22"/>
      <c r="DWX141" s="22"/>
      <c r="DWY141" s="22"/>
      <c r="DWZ141" s="22"/>
      <c r="DXA141" s="22"/>
      <c r="DXB141" s="22"/>
      <c r="DXC141" s="22"/>
      <c r="DXD141" s="22"/>
      <c r="DXE141" s="22"/>
      <c r="DXF141" s="22"/>
      <c r="DXG141" s="22"/>
      <c r="DXH141" s="22"/>
      <c r="DXI141" s="22"/>
      <c r="DXJ141" s="22"/>
      <c r="DXK141" s="22"/>
      <c r="DXL141" s="22"/>
      <c r="DXM141" s="22"/>
      <c r="DXN141" s="22"/>
      <c r="DXO141" s="22"/>
      <c r="DXP141" s="22"/>
      <c r="DXQ141" s="22"/>
      <c r="DXR141" s="22"/>
      <c r="DXS141" s="22"/>
      <c r="DXT141" s="22"/>
      <c r="DXU141" s="22"/>
      <c r="DXV141" s="22"/>
      <c r="DXW141" s="22"/>
      <c r="DXX141" s="22"/>
      <c r="DXY141" s="22"/>
      <c r="DXZ141" s="22"/>
      <c r="DYA141" s="22"/>
      <c r="DYB141" s="22"/>
      <c r="DYC141" s="22"/>
      <c r="DYD141" s="22"/>
      <c r="DYE141" s="22"/>
      <c r="DYF141" s="22"/>
      <c r="DYG141" s="22"/>
      <c r="DYH141" s="22"/>
      <c r="DYI141" s="22"/>
      <c r="DYJ141" s="22"/>
      <c r="DYK141" s="22"/>
      <c r="DYL141" s="22"/>
      <c r="DYM141" s="22"/>
      <c r="DYN141" s="22"/>
      <c r="DYO141" s="22"/>
      <c r="DYP141" s="22"/>
      <c r="DYQ141" s="22"/>
      <c r="DYR141" s="22"/>
      <c r="DYS141" s="22"/>
      <c r="DYT141" s="22"/>
      <c r="DYU141" s="22"/>
      <c r="DYV141" s="22"/>
      <c r="DYW141" s="22"/>
      <c r="DYX141" s="22"/>
      <c r="DYY141" s="22"/>
      <c r="DYZ141" s="22"/>
      <c r="DZA141" s="22"/>
      <c r="DZB141" s="22"/>
      <c r="DZC141" s="22"/>
      <c r="DZD141" s="22"/>
      <c r="DZE141" s="22"/>
      <c r="DZF141" s="22"/>
      <c r="DZG141" s="22"/>
      <c r="DZH141" s="22"/>
      <c r="DZI141" s="22"/>
      <c r="DZJ141" s="22"/>
      <c r="DZK141" s="22"/>
      <c r="DZL141" s="22"/>
      <c r="DZM141" s="22"/>
      <c r="DZN141" s="22"/>
      <c r="DZO141" s="22"/>
      <c r="DZP141" s="22"/>
      <c r="DZQ141" s="22"/>
      <c r="DZR141" s="22"/>
      <c r="DZS141" s="22"/>
      <c r="DZT141" s="22"/>
      <c r="DZU141" s="22"/>
      <c r="DZV141" s="22"/>
      <c r="DZW141" s="22"/>
      <c r="DZX141" s="22"/>
      <c r="DZY141" s="22"/>
      <c r="DZZ141" s="22"/>
      <c r="EAA141" s="22"/>
      <c r="EAB141" s="22"/>
      <c r="EAC141" s="22"/>
      <c r="EAD141" s="22"/>
      <c r="EAE141" s="22"/>
      <c r="EAF141" s="22"/>
      <c r="EAG141" s="22"/>
      <c r="EAH141" s="22"/>
      <c r="EAI141" s="22"/>
      <c r="EAJ141" s="22"/>
      <c r="EAK141" s="22"/>
      <c r="EAL141" s="22"/>
      <c r="EAM141" s="22"/>
      <c r="EAN141" s="22"/>
      <c r="EAO141" s="22"/>
      <c r="EAP141" s="22"/>
      <c r="EAQ141" s="22"/>
      <c r="EAR141" s="22"/>
      <c r="EAS141" s="22"/>
      <c r="EAT141" s="22"/>
      <c r="EAU141" s="22"/>
      <c r="EAV141" s="22"/>
      <c r="EAW141" s="22"/>
      <c r="EAX141" s="22"/>
      <c r="EAY141" s="22"/>
      <c r="EAZ141" s="22"/>
      <c r="EBA141" s="22"/>
      <c r="EBB141" s="22"/>
      <c r="EBC141" s="22"/>
      <c r="EBD141" s="22"/>
      <c r="EBE141" s="22"/>
      <c r="EBF141" s="22"/>
      <c r="EBG141" s="22"/>
      <c r="EBH141" s="22"/>
      <c r="EBI141" s="22"/>
      <c r="EBJ141" s="22"/>
      <c r="EBK141" s="22"/>
      <c r="EBL141" s="22"/>
      <c r="EBM141" s="22"/>
      <c r="EBN141" s="22"/>
      <c r="EBO141" s="22"/>
      <c r="EBP141" s="22"/>
      <c r="EBQ141" s="22"/>
      <c r="EBR141" s="22"/>
      <c r="EBS141" s="22"/>
      <c r="EBT141" s="22"/>
      <c r="EBU141" s="22"/>
      <c r="EBV141" s="22"/>
      <c r="EBW141" s="22"/>
      <c r="EBX141" s="22"/>
      <c r="EBY141" s="22"/>
      <c r="EBZ141" s="22"/>
      <c r="ECA141" s="22"/>
      <c r="ECB141" s="22"/>
      <c r="ECC141" s="22"/>
      <c r="ECD141" s="22"/>
      <c r="ECE141" s="22"/>
      <c r="ECF141" s="22"/>
      <c r="ECG141" s="22"/>
      <c r="ECH141" s="22"/>
      <c r="ECI141" s="22"/>
      <c r="ECJ141" s="22"/>
      <c r="ECK141" s="22"/>
      <c r="ECL141" s="22"/>
      <c r="ECM141" s="22"/>
      <c r="ECN141" s="22"/>
      <c r="ECO141" s="22"/>
      <c r="ECP141" s="22"/>
      <c r="ECQ141" s="22"/>
      <c r="ECR141" s="22"/>
      <c r="ECS141" s="22"/>
      <c r="ECT141" s="22"/>
      <c r="ECU141" s="22"/>
      <c r="ECV141" s="22"/>
      <c r="ECW141" s="22"/>
      <c r="ECX141" s="22"/>
      <c r="ECY141" s="22"/>
      <c r="ECZ141" s="22"/>
      <c r="EDA141" s="22"/>
      <c r="EDB141" s="22"/>
      <c r="EDC141" s="22"/>
      <c r="EDD141" s="22"/>
      <c r="EDE141" s="22"/>
      <c r="EDF141" s="22"/>
      <c r="EDG141" s="22"/>
      <c r="EDH141" s="22"/>
      <c r="EDI141" s="22"/>
      <c r="EDJ141" s="22"/>
      <c r="EDK141" s="22"/>
      <c r="EDL141" s="22"/>
      <c r="EDM141" s="22"/>
      <c r="EDN141" s="22"/>
      <c r="EDO141" s="22"/>
      <c r="EDP141" s="22"/>
      <c r="EDQ141" s="22"/>
      <c r="EDR141" s="22"/>
      <c r="EDS141" s="22"/>
      <c r="EDT141" s="22"/>
      <c r="EDU141" s="22"/>
      <c r="EDV141" s="22"/>
      <c r="EDW141" s="22"/>
      <c r="EDX141" s="22"/>
      <c r="EDY141" s="22"/>
      <c r="EDZ141" s="22"/>
      <c r="EEA141" s="22"/>
      <c r="EEB141" s="22"/>
      <c r="EEC141" s="22"/>
      <c r="EED141" s="22"/>
      <c r="EEE141" s="22"/>
      <c r="EEF141" s="22"/>
      <c r="EEG141" s="22"/>
      <c r="EEH141" s="22"/>
      <c r="EEI141" s="22"/>
      <c r="EEJ141" s="22"/>
      <c r="EEK141" s="22"/>
      <c r="EEL141" s="22"/>
      <c r="EEM141" s="22"/>
      <c r="EEN141" s="22"/>
      <c r="EEO141" s="22"/>
      <c r="EEP141" s="22"/>
      <c r="EEQ141" s="22"/>
      <c r="EER141" s="22"/>
      <c r="EES141" s="22"/>
      <c r="EET141" s="22"/>
      <c r="EEU141" s="22"/>
      <c r="EEV141" s="22"/>
      <c r="EEW141" s="22"/>
      <c r="EEX141" s="22"/>
      <c r="EEY141" s="22"/>
      <c r="EEZ141" s="22"/>
      <c r="EFA141" s="22"/>
      <c r="EFB141" s="22"/>
      <c r="EFC141" s="22"/>
      <c r="EFD141" s="22"/>
      <c r="EFE141" s="22"/>
      <c r="EFF141" s="22"/>
      <c r="EFG141" s="22"/>
      <c r="EFH141" s="22"/>
      <c r="EFI141" s="22"/>
      <c r="EFJ141" s="22"/>
      <c r="EFK141" s="22"/>
      <c r="EFL141" s="22"/>
      <c r="EFM141" s="22"/>
      <c r="EFN141" s="22"/>
      <c r="EFO141" s="22"/>
      <c r="EFP141" s="22"/>
      <c r="EFQ141" s="22"/>
      <c r="EFR141" s="22"/>
      <c r="EFS141" s="22"/>
      <c r="EFT141" s="22"/>
      <c r="EFU141" s="22"/>
      <c r="EFV141" s="22"/>
      <c r="EFW141" s="22"/>
      <c r="EFX141" s="22"/>
      <c r="EFY141" s="22"/>
      <c r="EFZ141" s="22"/>
      <c r="EGA141" s="22"/>
      <c r="EGB141" s="22"/>
      <c r="EGC141" s="22"/>
      <c r="EGD141" s="22"/>
      <c r="EGE141" s="22"/>
      <c r="EGF141" s="22"/>
      <c r="EGG141" s="22"/>
      <c r="EGH141" s="22"/>
      <c r="EGI141" s="22"/>
      <c r="EGJ141" s="22"/>
      <c r="EGK141" s="22"/>
      <c r="EGL141" s="22"/>
      <c r="EGM141" s="22"/>
      <c r="EGN141" s="22"/>
      <c r="EGO141" s="22"/>
      <c r="EGP141" s="22"/>
      <c r="EGQ141" s="22"/>
      <c r="EGR141" s="22"/>
      <c r="EGS141" s="22"/>
      <c r="EGT141" s="22"/>
      <c r="EGU141" s="22"/>
      <c r="EGV141" s="22"/>
      <c r="EGW141" s="22"/>
      <c r="EGX141" s="22"/>
      <c r="EGY141" s="22"/>
      <c r="EGZ141" s="22"/>
      <c r="EHA141" s="22"/>
      <c r="EHB141" s="22"/>
      <c r="EHC141" s="22"/>
      <c r="EHD141" s="22"/>
      <c r="EHE141" s="22"/>
      <c r="EHF141" s="22"/>
      <c r="EHG141" s="22"/>
      <c r="EHH141" s="22"/>
      <c r="EHI141" s="22"/>
      <c r="EHJ141" s="22"/>
      <c r="EHK141" s="22"/>
      <c r="EHL141" s="22"/>
      <c r="EHM141" s="22"/>
      <c r="EHN141" s="22"/>
      <c r="EHO141" s="22"/>
      <c r="EHP141" s="22"/>
      <c r="EHQ141" s="22"/>
      <c r="EHR141" s="22"/>
      <c r="EHS141" s="22"/>
      <c r="EHT141" s="22"/>
      <c r="EHU141" s="22"/>
      <c r="EHV141" s="22"/>
      <c r="EHW141" s="22"/>
      <c r="EHX141" s="22"/>
      <c r="EHY141" s="22"/>
      <c r="EHZ141" s="22"/>
      <c r="EIA141" s="22"/>
      <c r="EIB141" s="22"/>
      <c r="EIC141" s="22"/>
      <c r="EID141" s="22"/>
      <c r="EIE141" s="22"/>
      <c r="EIF141" s="22"/>
      <c r="EIG141" s="22"/>
      <c r="EIH141" s="22"/>
      <c r="EII141" s="22"/>
      <c r="EIJ141" s="22"/>
      <c r="EIK141" s="22"/>
      <c r="EIL141" s="22"/>
      <c r="EIM141" s="22"/>
      <c r="EIN141" s="22"/>
      <c r="EIO141" s="22"/>
      <c r="EIP141" s="22"/>
      <c r="EIQ141" s="22"/>
      <c r="EIR141" s="22"/>
      <c r="EIS141" s="22"/>
      <c r="EIT141" s="22"/>
      <c r="EIU141" s="22"/>
      <c r="EIV141" s="22"/>
      <c r="EIW141" s="22"/>
      <c r="EIX141" s="22"/>
      <c r="EIY141" s="22"/>
      <c r="EIZ141" s="22"/>
      <c r="EJA141" s="22"/>
      <c r="EJB141" s="22"/>
      <c r="EJC141" s="22"/>
      <c r="EJD141" s="22"/>
      <c r="EJE141" s="22"/>
      <c r="EJF141" s="22"/>
      <c r="EJG141" s="22"/>
      <c r="EJH141" s="22"/>
      <c r="EJI141" s="22"/>
      <c r="EJJ141" s="22"/>
      <c r="EJK141" s="22"/>
      <c r="EJL141" s="22"/>
      <c r="EJM141" s="22"/>
      <c r="EJN141" s="22"/>
      <c r="EJO141" s="22"/>
      <c r="EJP141" s="22"/>
      <c r="EJQ141" s="22"/>
      <c r="EJR141" s="22"/>
      <c r="EJS141" s="22"/>
      <c r="EJT141" s="22"/>
      <c r="EJU141" s="22"/>
      <c r="EJV141" s="22"/>
      <c r="EJW141" s="22"/>
      <c r="EJX141" s="22"/>
      <c r="EJY141" s="22"/>
      <c r="EJZ141" s="22"/>
      <c r="EKA141" s="22"/>
      <c r="EKB141" s="22"/>
      <c r="EKC141" s="22"/>
      <c r="EKD141" s="22"/>
      <c r="EKE141" s="22"/>
      <c r="EKF141" s="22"/>
      <c r="EKG141" s="22"/>
      <c r="EKH141" s="22"/>
      <c r="EKI141" s="22"/>
      <c r="EKJ141" s="22"/>
      <c r="EKK141" s="22"/>
      <c r="EKL141" s="22"/>
      <c r="EKM141" s="22"/>
      <c r="EKN141" s="22"/>
      <c r="EKO141" s="22"/>
      <c r="EKP141" s="22"/>
      <c r="EKQ141" s="22"/>
      <c r="EKR141" s="22"/>
      <c r="EKS141" s="22"/>
      <c r="EKT141" s="22"/>
      <c r="EKU141" s="22"/>
      <c r="EKV141" s="22"/>
      <c r="EKW141" s="22"/>
      <c r="EKX141" s="22"/>
      <c r="EKY141" s="22"/>
      <c r="EKZ141" s="22"/>
      <c r="ELA141" s="22"/>
      <c r="ELB141" s="22"/>
      <c r="ELC141" s="22"/>
      <c r="ELD141" s="22"/>
      <c r="ELE141" s="22"/>
      <c r="ELF141" s="22"/>
      <c r="ELG141" s="22"/>
      <c r="ELH141" s="22"/>
      <c r="ELI141" s="22"/>
      <c r="ELJ141" s="22"/>
      <c r="ELK141" s="22"/>
      <c r="ELL141" s="22"/>
      <c r="ELM141" s="22"/>
      <c r="ELN141" s="22"/>
      <c r="ELO141" s="22"/>
      <c r="ELP141" s="22"/>
      <c r="ELQ141" s="22"/>
      <c r="ELR141" s="22"/>
      <c r="ELS141" s="22"/>
      <c r="ELT141" s="22"/>
      <c r="ELU141" s="22"/>
      <c r="ELV141" s="22"/>
      <c r="ELW141" s="22"/>
      <c r="ELX141" s="22"/>
      <c r="ELY141" s="22"/>
      <c r="ELZ141" s="22"/>
      <c r="EMA141" s="22"/>
      <c r="EMB141" s="22"/>
      <c r="EMC141" s="22"/>
      <c r="EMD141" s="22"/>
      <c r="EME141" s="22"/>
      <c r="EMF141" s="22"/>
      <c r="EMG141" s="22"/>
      <c r="EMH141" s="22"/>
      <c r="EMI141" s="22"/>
      <c r="EMJ141" s="22"/>
      <c r="EMK141" s="22"/>
      <c r="EML141" s="22"/>
      <c r="EMM141" s="22"/>
      <c r="EMN141" s="22"/>
      <c r="EMO141" s="22"/>
      <c r="EMP141" s="22"/>
      <c r="EMQ141" s="22"/>
      <c r="EMR141" s="22"/>
      <c r="EMS141" s="22"/>
      <c r="EMT141" s="22"/>
      <c r="EMU141" s="22"/>
      <c r="EMV141" s="22"/>
      <c r="EMW141" s="22"/>
      <c r="EMX141" s="22"/>
      <c r="EMY141" s="22"/>
      <c r="EMZ141" s="22"/>
      <c r="ENA141" s="22"/>
      <c r="ENB141" s="22"/>
      <c r="ENC141" s="22"/>
      <c r="END141" s="22"/>
      <c r="ENE141" s="22"/>
      <c r="ENF141" s="22"/>
      <c r="ENG141" s="22"/>
      <c r="ENH141" s="22"/>
      <c r="ENI141" s="22"/>
      <c r="ENJ141" s="22"/>
      <c r="ENK141" s="22"/>
      <c r="ENL141" s="22"/>
      <c r="ENM141" s="22"/>
      <c r="ENN141" s="22"/>
      <c r="ENO141" s="22"/>
      <c r="ENP141" s="22"/>
      <c r="ENQ141" s="22"/>
      <c r="ENR141" s="22"/>
      <c r="ENS141" s="22"/>
      <c r="ENT141" s="22"/>
      <c r="ENU141" s="22"/>
      <c r="ENV141" s="22"/>
      <c r="ENW141" s="22"/>
      <c r="ENX141" s="22"/>
      <c r="ENY141" s="22"/>
      <c r="ENZ141" s="22"/>
      <c r="EOA141" s="22"/>
      <c r="EOB141" s="22"/>
      <c r="EOC141" s="22"/>
      <c r="EOD141" s="22"/>
      <c r="EOE141" s="22"/>
      <c r="EOF141" s="22"/>
      <c r="EOG141" s="22"/>
      <c r="EOH141" s="22"/>
      <c r="EOI141" s="22"/>
      <c r="EOJ141" s="22"/>
      <c r="EOK141" s="22"/>
      <c r="EOL141" s="22"/>
      <c r="EOM141" s="22"/>
      <c r="EON141" s="22"/>
      <c r="EOO141" s="22"/>
      <c r="EOP141" s="22"/>
      <c r="EOQ141" s="22"/>
      <c r="EOR141" s="22"/>
      <c r="EOS141" s="22"/>
      <c r="EOT141" s="22"/>
      <c r="EOU141" s="22"/>
      <c r="EOV141" s="22"/>
      <c r="EOW141" s="22"/>
      <c r="EOX141" s="22"/>
      <c r="EOY141" s="22"/>
      <c r="EOZ141" s="22"/>
      <c r="EPA141" s="22"/>
      <c r="EPB141" s="22"/>
      <c r="EPC141" s="22"/>
      <c r="EPD141" s="22"/>
      <c r="EPE141" s="22"/>
      <c r="EPF141" s="22"/>
      <c r="EPG141" s="22"/>
      <c r="EPH141" s="22"/>
      <c r="EPI141" s="22"/>
      <c r="EPJ141" s="22"/>
      <c r="EPK141" s="22"/>
      <c r="EPL141" s="22"/>
      <c r="EPM141" s="22"/>
      <c r="EPN141" s="22"/>
      <c r="EPO141" s="22"/>
      <c r="EPP141" s="22"/>
      <c r="EPQ141" s="22"/>
      <c r="EPR141" s="22"/>
      <c r="EPS141" s="22"/>
      <c r="EPT141" s="22"/>
      <c r="EPU141" s="22"/>
      <c r="EPV141" s="22"/>
      <c r="EPW141" s="22"/>
      <c r="EPX141" s="22"/>
      <c r="EPY141" s="22"/>
      <c r="EPZ141" s="22"/>
      <c r="EQA141" s="22"/>
      <c r="EQB141" s="22"/>
      <c r="EQC141" s="22"/>
      <c r="EQD141" s="22"/>
      <c r="EQE141" s="22"/>
      <c r="EQF141" s="22"/>
      <c r="EQG141" s="22"/>
      <c r="EQH141" s="22"/>
      <c r="EQI141" s="22"/>
      <c r="EQJ141" s="22"/>
      <c r="EQK141" s="22"/>
      <c r="EQL141" s="22"/>
      <c r="EQM141" s="22"/>
      <c r="EQN141" s="22"/>
      <c r="EQO141" s="22"/>
      <c r="EQP141" s="22"/>
      <c r="EQQ141" s="22"/>
      <c r="EQR141" s="22"/>
      <c r="EQS141" s="22"/>
      <c r="EQT141" s="22"/>
      <c r="EQU141" s="22"/>
      <c r="EQV141" s="22"/>
      <c r="EQW141" s="22"/>
      <c r="EQX141" s="22"/>
      <c r="EQY141" s="22"/>
      <c r="EQZ141" s="22"/>
      <c r="ERA141" s="22"/>
      <c r="ERB141" s="22"/>
      <c r="ERC141" s="22"/>
      <c r="ERD141" s="22"/>
      <c r="ERE141" s="22"/>
      <c r="ERF141" s="22"/>
      <c r="ERG141" s="22"/>
      <c r="ERH141" s="22"/>
      <c r="ERI141" s="22"/>
      <c r="ERJ141" s="22"/>
      <c r="ERK141" s="22"/>
      <c r="ERL141" s="22"/>
      <c r="ERM141" s="22"/>
      <c r="ERN141" s="22"/>
      <c r="ERO141" s="22"/>
      <c r="ERP141" s="22"/>
      <c r="ERQ141" s="22"/>
      <c r="ERR141" s="22"/>
      <c r="ERS141" s="22"/>
      <c r="ERT141" s="22"/>
      <c r="ERU141" s="22"/>
      <c r="ERV141" s="22"/>
      <c r="ERW141" s="22"/>
      <c r="ERX141" s="22"/>
      <c r="ERY141" s="22"/>
      <c r="ERZ141" s="22"/>
      <c r="ESA141" s="22"/>
      <c r="ESB141" s="22"/>
      <c r="ESC141" s="22"/>
      <c r="ESD141" s="22"/>
      <c r="ESE141" s="22"/>
      <c r="ESF141" s="22"/>
      <c r="ESG141" s="22"/>
      <c r="ESH141" s="22"/>
      <c r="ESI141" s="22"/>
      <c r="ESJ141" s="22"/>
      <c r="ESK141" s="22"/>
      <c r="ESL141" s="22"/>
      <c r="ESM141" s="22"/>
      <c r="ESN141" s="22"/>
      <c r="ESO141" s="22"/>
      <c r="ESP141" s="22"/>
      <c r="ESQ141" s="22"/>
      <c r="ESR141" s="22"/>
      <c r="ESS141" s="22"/>
      <c r="EST141" s="22"/>
      <c r="ESU141" s="22"/>
      <c r="ESV141" s="22"/>
      <c r="ESW141" s="22"/>
      <c r="ESX141" s="22"/>
      <c r="ESY141" s="22"/>
      <c r="ESZ141" s="22"/>
      <c r="ETA141" s="22"/>
      <c r="ETB141" s="22"/>
      <c r="ETC141" s="22"/>
      <c r="ETD141" s="22"/>
      <c r="ETE141" s="22"/>
      <c r="ETF141" s="22"/>
      <c r="ETG141" s="22"/>
      <c r="ETH141" s="22"/>
      <c r="ETI141" s="22"/>
      <c r="ETJ141" s="22"/>
      <c r="ETK141" s="22"/>
      <c r="ETL141" s="22"/>
      <c r="ETM141" s="22"/>
      <c r="ETN141" s="22"/>
      <c r="ETO141" s="22"/>
      <c r="ETP141" s="22"/>
      <c r="ETQ141" s="22"/>
      <c r="ETR141" s="22"/>
      <c r="ETS141" s="22"/>
      <c r="ETT141" s="22"/>
      <c r="ETU141" s="22"/>
      <c r="ETV141" s="22"/>
      <c r="ETW141" s="22"/>
      <c r="ETX141" s="22"/>
      <c r="ETY141" s="22"/>
      <c r="ETZ141" s="22"/>
      <c r="EUA141" s="22"/>
      <c r="EUB141" s="22"/>
      <c r="EUC141" s="22"/>
      <c r="EUD141" s="22"/>
      <c r="EUE141" s="22"/>
      <c r="EUF141" s="22"/>
      <c r="EUG141" s="22"/>
      <c r="EUH141" s="22"/>
      <c r="EUI141" s="22"/>
      <c r="EUJ141" s="22"/>
      <c r="EUK141" s="22"/>
      <c r="EUL141" s="22"/>
      <c r="EUM141" s="22"/>
      <c r="EUN141" s="22"/>
      <c r="EUO141" s="22"/>
      <c r="EUP141" s="22"/>
      <c r="EUQ141" s="22"/>
      <c r="EUR141" s="22"/>
      <c r="EUS141" s="22"/>
      <c r="EUT141" s="22"/>
      <c r="EUU141" s="22"/>
      <c r="EUV141" s="22"/>
      <c r="EUW141" s="22"/>
      <c r="EUX141" s="22"/>
      <c r="EUY141" s="22"/>
      <c r="EUZ141" s="22"/>
      <c r="EVA141" s="22"/>
      <c r="EVB141" s="22"/>
      <c r="EVC141" s="22"/>
      <c r="EVD141" s="22"/>
      <c r="EVE141" s="22"/>
      <c r="EVF141" s="22"/>
      <c r="EVG141" s="22"/>
      <c r="EVH141" s="22"/>
      <c r="EVI141" s="22"/>
      <c r="EVJ141" s="22"/>
      <c r="EVK141" s="22"/>
      <c r="EVL141" s="22"/>
      <c r="EVM141" s="22"/>
      <c r="EVN141" s="22"/>
      <c r="EVO141" s="22"/>
      <c r="EVP141" s="22"/>
      <c r="EVQ141" s="22"/>
      <c r="EVR141" s="22"/>
      <c r="EVS141" s="22"/>
      <c r="EVT141" s="22"/>
      <c r="EVU141" s="22"/>
      <c r="EVV141" s="22"/>
      <c r="EVW141" s="22"/>
      <c r="EVX141" s="22"/>
      <c r="EVY141" s="22"/>
      <c r="EVZ141" s="22"/>
      <c r="EWA141" s="22"/>
      <c r="EWB141" s="22"/>
      <c r="EWC141" s="22"/>
      <c r="EWD141" s="22"/>
      <c r="EWE141" s="22"/>
      <c r="EWF141" s="22"/>
      <c r="EWG141" s="22"/>
      <c r="EWH141" s="22"/>
      <c r="EWI141" s="22"/>
      <c r="EWJ141" s="22"/>
      <c r="EWK141" s="22"/>
      <c r="EWL141" s="22"/>
      <c r="EWM141" s="22"/>
      <c r="EWN141" s="22"/>
      <c r="EWO141" s="22"/>
      <c r="EWP141" s="22"/>
      <c r="EWQ141" s="22"/>
      <c r="EWR141" s="22"/>
      <c r="EWS141" s="22"/>
      <c r="EWT141" s="22"/>
      <c r="EWU141" s="22"/>
      <c r="EWV141" s="22"/>
      <c r="EWW141" s="22"/>
      <c r="EWX141" s="22"/>
      <c r="EWY141" s="22"/>
      <c r="EWZ141" s="22"/>
      <c r="EXA141" s="22"/>
      <c r="EXB141" s="22"/>
      <c r="EXC141" s="22"/>
      <c r="EXD141" s="22"/>
      <c r="EXE141" s="22"/>
      <c r="EXF141" s="22"/>
      <c r="EXG141" s="22"/>
      <c r="EXH141" s="22"/>
      <c r="EXI141" s="22"/>
      <c r="EXJ141" s="22"/>
      <c r="EXK141" s="22"/>
      <c r="EXL141" s="22"/>
      <c r="EXM141" s="22"/>
      <c r="EXN141" s="22"/>
      <c r="EXO141" s="22"/>
      <c r="EXP141" s="22"/>
      <c r="EXQ141" s="22"/>
      <c r="EXR141" s="22"/>
      <c r="EXS141" s="22"/>
      <c r="EXT141" s="22"/>
      <c r="EXU141" s="22"/>
      <c r="EXV141" s="22"/>
      <c r="EXW141" s="22"/>
      <c r="EXX141" s="22"/>
      <c r="EXY141" s="22"/>
      <c r="EXZ141" s="22"/>
      <c r="EYA141" s="22"/>
      <c r="EYB141" s="22"/>
      <c r="EYC141" s="22"/>
      <c r="EYD141" s="22"/>
      <c r="EYE141" s="22"/>
      <c r="EYF141" s="22"/>
      <c r="EYG141" s="22"/>
      <c r="EYH141" s="22"/>
      <c r="EYI141" s="22"/>
      <c r="EYJ141" s="22"/>
      <c r="EYK141" s="22"/>
      <c r="EYL141" s="22"/>
      <c r="EYM141" s="22"/>
      <c r="EYN141" s="22"/>
      <c r="EYO141" s="22"/>
      <c r="EYP141" s="22"/>
      <c r="EYQ141" s="22"/>
      <c r="EYR141" s="22"/>
      <c r="EYS141" s="22"/>
      <c r="EYT141" s="22"/>
      <c r="EYU141" s="22"/>
      <c r="EYV141" s="22"/>
      <c r="EYW141" s="22"/>
      <c r="EYX141" s="22"/>
      <c r="EYY141" s="22"/>
      <c r="EYZ141" s="22"/>
      <c r="EZA141" s="22"/>
      <c r="EZB141" s="22"/>
      <c r="EZC141" s="22"/>
      <c r="EZD141" s="22"/>
      <c r="EZE141" s="22"/>
      <c r="EZF141" s="22"/>
      <c r="EZG141" s="22"/>
      <c r="EZH141" s="22"/>
      <c r="EZI141" s="22"/>
      <c r="EZJ141" s="22"/>
      <c r="EZK141" s="22"/>
      <c r="EZL141" s="22"/>
      <c r="EZM141" s="22"/>
      <c r="EZN141" s="22"/>
      <c r="EZO141" s="22"/>
      <c r="EZP141" s="22"/>
      <c r="EZQ141" s="22"/>
      <c r="EZR141" s="22"/>
      <c r="EZS141" s="22"/>
      <c r="EZT141" s="22"/>
      <c r="EZU141" s="22"/>
      <c r="EZV141" s="22"/>
      <c r="EZW141" s="22"/>
      <c r="EZX141" s="22"/>
      <c r="EZY141" s="22"/>
      <c r="EZZ141" s="22"/>
      <c r="FAA141" s="22"/>
      <c r="FAB141" s="22"/>
      <c r="FAC141" s="22"/>
      <c r="FAD141" s="22"/>
      <c r="FAE141" s="22"/>
      <c r="FAF141" s="22"/>
      <c r="FAG141" s="22"/>
      <c r="FAH141" s="22"/>
      <c r="FAI141" s="22"/>
      <c r="FAJ141" s="22"/>
      <c r="FAK141" s="22"/>
      <c r="FAL141" s="22"/>
      <c r="FAM141" s="22"/>
      <c r="FAN141" s="22"/>
      <c r="FAO141" s="22"/>
      <c r="FAP141" s="22"/>
      <c r="FAQ141" s="22"/>
      <c r="FAR141" s="22"/>
      <c r="FAS141" s="22"/>
      <c r="FAT141" s="22"/>
      <c r="FAU141" s="22"/>
      <c r="FAV141" s="22"/>
      <c r="FAW141" s="22"/>
      <c r="FAX141" s="22"/>
      <c r="FAY141" s="22"/>
      <c r="FAZ141" s="22"/>
      <c r="FBA141" s="22"/>
      <c r="FBB141" s="22"/>
      <c r="FBC141" s="22"/>
      <c r="FBD141" s="22"/>
      <c r="FBE141" s="22"/>
      <c r="FBF141" s="22"/>
      <c r="FBG141" s="22"/>
      <c r="FBH141" s="22"/>
      <c r="FBI141" s="22"/>
      <c r="FBJ141" s="22"/>
      <c r="FBK141" s="22"/>
      <c r="FBL141" s="22"/>
      <c r="FBM141" s="22"/>
      <c r="FBN141" s="22"/>
      <c r="FBO141" s="22"/>
      <c r="FBP141" s="22"/>
      <c r="FBQ141" s="22"/>
      <c r="FBR141" s="22"/>
      <c r="FBS141" s="22"/>
      <c r="FBT141" s="22"/>
      <c r="FBU141" s="22"/>
      <c r="FBV141" s="22"/>
      <c r="FBW141" s="22"/>
      <c r="FBX141" s="22"/>
      <c r="FBY141" s="22"/>
      <c r="FBZ141" s="22"/>
      <c r="FCA141" s="22"/>
      <c r="FCB141" s="22"/>
      <c r="FCC141" s="22"/>
      <c r="FCD141" s="22"/>
      <c r="FCE141" s="22"/>
      <c r="FCF141" s="22"/>
      <c r="FCG141" s="22"/>
      <c r="FCH141" s="22"/>
      <c r="FCI141" s="22"/>
      <c r="FCJ141" s="22"/>
      <c r="FCK141" s="22"/>
      <c r="FCL141" s="22"/>
      <c r="FCM141" s="22"/>
      <c r="FCN141" s="22"/>
      <c r="FCO141" s="22"/>
      <c r="FCP141" s="22"/>
      <c r="FCQ141" s="22"/>
      <c r="FCR141" s="22"/>
      <c r="FCS141" s="22"/>
      <c r="FCT141" s="22"/>
      <c r="FCU141" s="22"/>
      <c r="FCV141" s="22"/>
      <c r="FCW141" s="22"/>
      <c r="FCX141" s="22"/>
      <c r="FCY141" s="22"/>
      <c r="FCZ141" s="22"/>
      <c r="FDA141" s="22"/>
      <c r="FDB141" s="22"/>
      <c r="FDC141" s="22"/>
      <c r="FDD141" s="22"/>
      <c r="FDE141" s="22"/>
      <c r="FDF141" s="22"/>
      <c r="FDG141" s="22"/>
      <c r="FDH141" s="22"/>
      <c r="FDI141" s="22"/>
      <c r="FDJ141" s="22"/>
      <c r="FDK141" s="22"/>
      <c r="FDL141" s="22"/>
      <c r="FDM141" s="22"/>
      <c r="FDN141" s="22"/>
      <c r="FDO141" s="22"/>
      <c r="FDP141" s="22"/>
      <c r="FDQ141" s="22"/>
      <c r="FDR141" s="22"/>
      <c r="FDS141" s="22"/>
      <c r="FDT141" s="22"/>
      <c r="FDU141" s="22"/>
      <c r="FDV141" s="22"/>
      <c r="FDW141" s="22"/>
      <c r="FDX141" s="22"/>
      <c r="FDY141" s="22"/>
      <c r="FDZ141" s="22"/>
      <c r="FEA141" s="22"/>
      <c r="FEB141" s="22"/>
      <c r="FEC141" s="22"/>
      <c r="FED141" s="22"/>
      <c r="FEE141" s="22"/>
      <c r="FEF141" s="22"/>
      <c r="FEG141" s="22"/>
      <c r="FEH141" s="22"/>
      <c r="FEI141" s="22"/>
      <c r="FEJ141" s="22"/>
      <c r="FEK141" s="22"/>
      <c r="FEL141" s="22"/>
      <c r="FEM141" s="22"/>
      <c r="FEN141" s="22"/>
      <c r="FEO141" s="22"/>
      <c r="FEP141" s="22"/>
      <c r="FEQ141" s="22"/>
      <c r="FER141" s="22"/>
      <c r="FES141" s="22"/>
      <c r="FET141" s="22"/>
      <c r="FEU141" s="22"/>
      <c r="FEV141" s="22"/>
      <c r="FEW141" s="22"/>
      <c r="FEX141" s="22"/>
      <c r="FEY141" s="22"/>
      <c r="FEZ141" s="22"/>
      <c r="FFA141" s="22"/>
      <c r="FFB141" s="22"/>
      <c r="FFC141" s="22"/>
      <c r="FFD141" s="22"/>
      <c r="FFE141" s="22"/>
      <c r="FFF141" s="22"/>
      <c r="FFG141" s="22"/>
      <c r="FFH141" s="22"/>
      <c r="FFI141" s="22"/>
      <c r="FFJ141" s="22"/>
      <c r="FFK141" s="22"/>
      <c r="FFL141" s="22"/>
      <c r="FFM141" s="22"/>
      <c r="FFN141" s="22"/>
      <c r="FFO141" s="22"/>
      <c r="FFP141" s="22"/>
      <c r="FFQ141" s="22"/>
      <c r="FFR141" s="22"/>
      <c r="FFS141" s="22"/>
      <c r="FFT141" s="22"/>
      <c r="FFU141" s="22"/>
      <c r="FFV141" s="22"/>
      <c r="FFW141" s="22"/>
      <c r="FFX141" s="22"/>
      <c r="FFY141" s="22"/>
      <c r="FFZ141" s="22"/>
      <c r="FGA141" s="22"/>
      <c r="FGB141" s="22"/>
      <c r="FGC141" s="22"/>
      <c r="FGD141" s="22"/>
      <c r="FGE141" s="22"/>
      <c r="FGF141" s="22"/>
      <c r="FGG141" s="22"/>
      <c r="FGH141" s="22"/>
      <c r="FGI141" s="22"/>
      <c r="FGJ141" s="22"/>
      <c r="FGK141" s="22"/>
      <c r="FGL141" s="22"/>
      <c r="FGM141" s="22"/>
      <c r="FGN141" s="22"/>
      <c r="FGO141" s="22"/>
      <c r="FGP141" s="22"/>
      <c r="FGQ141" s="22"/>
      <c r="FGR141" s="22"/>
      <c r="FGS141" s="22"/>
      <c r="FGT141" s="22"/>
      <c r="FGU141" s="22"/>
      <c r="FGV141" s="22"/>
      <c r="FGW141" s="22"/>
      <c r="FGX141" s="22"/>
      <c r="FGY141" s="22"/>
      <c r="FGZ141" s="22"/>
      <c r="FHA141" s="22"/>
      <c r="FHB141" s="22"/>
      <c r="FHC141" s="22"/>
      <c r="FHD141" s="22"/>
      <c r="FHE141" s="22"/>
      <c r="FHF141" s="22"/>
      <c r="FHG141" s="22"/>
      <c r="FHH141" s="22"/>
      <c r="FHI141" s="22"/>
      <c r="FHJ141" s="22"/>
      <c r="FHK141" s="22"/>
      <c r="FHL141" s="22"/>
      <c r="FHM141" s="22"/>
      <c r="FHN141" s="22"/>
      <c r="FHO141" s="22"/>
      <c r="FHP141" s="22"/>
      <c r="FHQ141" s="22"/>
      <c r="FHR141" s="22"/>
      <c r="FHS141" s="22"/>
      <c r="FHT141" s="22"/>
      <c r="FHU141" s="22"/>
      <c r="FHV141" s="22"/>
      <c r="FHW141" s="22"/>
      <c r="FHX141" s="22"/>
      <c r="FHY141" s="22"/>
      <c r="FHZ141" s="22"/>
      <c r="FIA141" s="22"/>
      <c r="FIB141" s="22"/>
      <c r="FIC141" s="22"/>
      <c r="FID141" s="22"/>
      <c r="FIE141" s="22"/>
      <c r="FIF141" s="22"/>
      <c r="FIG141" s="22"/>
      <c r="FIH141" s="22"/>
      <c r="FII141" s="22"/>
      <c r="FIJ141" s="22"/>
      <c r="FIK141" s="22"/>
      <c r="FIL141" s="22"/>
      <c r="FIM141" s="22"/>
      <c r="FIN141" s="22"/>
      <c r="FIO141" s="22"/>
      <c r="FIP141" s="22"/>
      <c r="FIQ141" s="22"/>
      <c r="FIR141" s="22"/>
      <c r="FIS141" s="22"/>
      <c r="FIT141" s="22"/>
      <c r="FIU141" s="22"/>
      <c r="FIV141" s="22"/>
      <c r="FIW141" s="22"/>
      <c r="FIX141" s="22"/>
      <c r="FIY141" s="22"/>
      <c r="FIZ141" s="22"/>
      <c r="FJA141" s="22"/>
      <c r="FJB141" s="22"/>
      <c r="FJC141" s="22"/>
      <c r="FJD141" s="22"/>
      <c r="FJE141" s="22"/>
      <c r="FJF141" s="22"/>
      <c r="FJG141" s="22"/>
      <c r="FJH141" s="22"/>
      <c r="FJI141" s="22"/>
      <c r="FJJ141" s="22"/>
      <c r="FJK141" s="22"/>
      <c r="FJL141" s="22"/>
      <c r="FJM141" s="22"/>
      <c r="FJN141" s="22"/>
      <c r="FJO141" s="22"/>
      <c r="FJP141" s="22"/>
      <c r="FJQ141" s="22"/>
      <c r="FJR141" s="22"/>
      <c r="FJS141" s="22"/>
      <c r="FJT141" s="22"/>
      <c r="FJU141" s="22"/>
      <c r="FJV141" s="22"/>
      <c r="FJW141" s="22"/>
      <c r="FJX141" s="22"/>
      <c r="FJY141" s="22"/>
      <c r="FJZ141" s="22"/>
      <c r="FKA141" s="22"/>
      <c r="FKB141" s="22"/>
      <c r="FKC141" s="22"/>
      <c r="FKD141" s="22"/>
      <c r="FKE141" s="22"/>
      <c r="FKF141" s="22"/>
      <c r="FKG141" s="22"/>
      <c r="FKH141" s="22"/>
      <c r="FKI141" s="22"/>
      <c r="FKJ141" s="22"/>
      <c r="FKK141" s="22"/>
      <c r="FKL141" s="22"/>
      <c r="FKM141" s="22"/>
      <c r="FKN141" s="22"/>
      <c r="FKO141" s="22"/>
      <c r="FKP141" s="22"/>
      <c r="FKQ141" s="22"/>
      <c r="FKR141" s="22"/>
      <c r="FKS141" s="22"/>
      <c r="FKT141" s="22"/>
      <c r="FKU141" s="22"/>
      <c r="FKV141" s="22"/>
      <c r="FKW141" s="22"/>
      <c r="FKX141" s="22"/>
      <c r="FKY141" s="22"/>
      <c r="FKZ141" s="22"/>
      <c r="FLA141" s="22"/>
      <c r="FLB141" s="22"/>
      <c r="FLC141" s="22"/>
      <c r="FLD141" s="22"/>
      <c r="FLE141" s="22"/>
      <c r="FLF141" s="22"/>
      <c r="FLG141" s="22"/>
      <c r="FLH141" s="22"/>
      <c r="FLI141" s="22"/>
      <c r="FLJ141" s="22"/>
      <c r="FLK141" s="22"/>
      <c r="FLL141" s="22"/>
      <c r="FLM141" s="22"/>
      <c r="FLN141" s="22"/>
      <c r="FLO141" s="22"/>
      <c r="FLP141" s="22"/>
      <c r="FLQ141" s="22"/>
      <c r="FLR141" s="22"/>
      <c r="FLS141" s="22"/>
      <c r="FLT141" s="22"/>
      <c r="FLU141" s="22"/>
      <c r="FLV141" s="22"/>
      <c r="FLW141" s="22"/>
      <c r="FLX141" s="22"/>
      <c r="FLY141" s="22"/>
      <c r="FLZ141" s="22"/>
      <c r="FMA141" s="22"/>
      <c r="FMB141" s="22"/>
      <c r="FMC141" s="22"/>
      <c r="FMD141" s="22"/>
      <c r="FME141" s="22"/>
      <c r="FMF141" s="22"/>
      <c r="FMG141" s="22"/>
      <c r="FMH141" s="22"/>
      <c r="FMI141" s="22"/>
      <c r="FMJ141" s="22"/>
      <c r="FMK141" s="22"/>
      <c r="FML141" s="22"/>
      <c r="FMM141" s="22"/>
      <c r="FMN141" s="22"/>
      <c r="FMO141" s="22"/>
      <c r="FMP141" s="22"/>
      <c r="FMQ141" s="22"/>
      <c r="FMR141" s="22"/>
      <c r="FMS141" s="22"/>
      <c r="FMT141" s="22"/>
      <c r="FMU141" s="22"/>
      <c r="FMV141" s="22"/>
      <c r="FMW141" s="22"/>
      <c r="FMX141" s="22"/>
      <c r="FMY141" s="22"/>
      <c r="FMZ141" s="22"/>
      <c r="FNA141" s="22"/>
      <c r="FNB141" s="22"/>
      <c r="FNC141" s="22"/>
      <c r="FND141" s="22"/>
      <c r="FNE141" s="22"/>
      <c r="FNF141" s="22"/>
      <c r="FNG141" s="22"/>
      <c r="FNH141" s="22"/>
      <c r="FNI141" s="22"/>
      <c r="FNJ141" s="22"/>
      <c r="FNK141" s="22"/>
      <c r="FNL141" s="22"/>
      <c r="FNM141" s="22"/>
      <c r="FNN141" s="22"/>
      <c r="FNO141" s="22"/>
      <c r="FNP141" s="22"/>
      <c r="FNQ141" s="22"/>
      <c r="FNR141" s="22"/>
      <c r="FNS141" s="22"/>
      <c r="FNT141" s="22"/>
      <c r="FNU141" s="22"/>
      <c r="FNV141" s="22"/>
      <c r="FNW141" s="22"/>
      <c r="FNX141" s="22"/>
      <c r="FNY141" s="22"/>
      <c r="FNZ141" s="22"/>
      <c r="FOA141" s="22"/>
      <c r="FOB141" s="22"/>
      <c r="FOC141" s="22"/>
      <c r="FOD141" s="22"/>
      <c r="FOE141" s="22"/>
      <c r="FOF141" s="22"/>
      <c r="FOG141" s="22"/>
      <c r="FOH141" s="22"/>
      <c r="FOI141" s="22"/>
      <c r="FOJ141" s="22"/>
      <c r="FOK141" s="22"/>
      <c r="FOL141" s="22"/>
      <c r="FOM141" s="22"/>
      <c r="FON141" s="22"/>
      <c r="FOO141" s="22"/>
      <c r="FOP141" s="22"/>
      <c r="FOQ141" s="22"/>
      <c r="FOR141" s="22"/>
      <c r="FOS141" s="22"/>
      <c r="FOT141" s="22"/>
      <c r="FOU141" s="22"/>
      <c r="FOV141" s="22"/>
      <c r="FOW141" s="22"/>
      <c r="FOX141" s="22"/>
      <c r="FOY141" s="22"/>
      <c r="FOZ141" s="22"/>
      <c r="FPA141" s="22"/>
      <c r="FPB141" s="22"/>
      <c r="FPC141" s="22"/>
      <c r="FPD141" s="22"/>
      <c r="FPE141" s="22"/>
      <c r="FPF141" s="22"/>
      <c r="FPG141" s="22"/>
      <c r="FPH141" s="22"/>
      <c r="FPI141" s="22"/>
      <c r="FPJ141" s="22"/>
      <c r="FPK141" s="22"/>
      <c r="FPL141" s="22"/>
      <c r="FPM141" s="22"/>
      <c r="FPN141" s="22"/>
      <c r="FPO141" s="22"/>
      <c r="FPP141" s="22"/>
      <c r="FPQ141" s="22"/>
      <c r="FPR141" s="22"/>
      <c r="FPS141" s="22"/>
      <c r="FPT141" s="22"/>
      <c r="FPU141" s="22"/>
      <c r="FPV141" s="22"/>
      <c r="FPW141" s="22"/>
      <c r="FPX141" s="22"/>
      <c r="FPY141" s="22"/>
      <c r="FPZ141" s="22"/>
      <c r="FQA141" s="22"/>
      <c r="FQB141" s="22"/>
      <c r="FQC141" s="22"/>
      <c r="FQD141" s="22"/>
      <c r="FQE141" s="22"/>
      <c r="FQF141" s="22"/>
      <c r="FQG141" s="22"/>
      <c r="FQH141" s="22"/>
      <c r="FQI141" s="22"/>
      <c r="FQJ141" s="22"/>
      <c r="FQK141" s="22"/>
      <c r="FQL141" s="22"/>
      <c r="FQM141" s="22"/>
      <c r="FQN141" s="22"/>
      <c r="FQO141" s="22"/>
      <c r="FQP141" s="22"/>
      <c r="FQQ141" s="22"/>
      <c r="FQR141" s="22"/>
      <c r="FQS141" s="22"/>
      <c r="FQT141" s="22"/>
      <c r="FQU141" s="22"/>
      <c r="FQV141" s="22"/>
      <c r="FQW141" s="22"/>
      <c r="FQX141" s="22"/>
      <c r="FQY141" s="22"/>
      <c r="FQZ141" s="22"/>
      <c r="FRA141" s="22"/>
      <c r="FRB141" s="22"/>
      <c r="FRC141" s="22"/>
      <c r="FRD141" s="22"/>
      <c r="FRE141" s="22"/>
      <c r="FRF141" s="22"/>
      <c r="FRG141" s="22"/>
      <c r="FRH141" s="22"/>
      <c r="FRI141" s="22"/>
      <c r="FRJ141" s="22"/>
      <c r="FRK141" s="22"/>
      <c r="FRL141" s="22"/>
      <c r="FRM141" s="22"/>
      <c r="FRN141" s="22"/>
      <c r="FRO141" s="22"/>
      <c r="FRP141" s="22"/>
      <c r="FRQ141" s="22"/>
      <c r="FRR141" s="22"/>
      <c r="FRS141" s="22"/>
      <c r="FRT141" s="22"/>
      <c r="FRU141" s="22"/>
      <c r="FRV141" s="22"/>
      <c r="FRW141" s="22"/>
      <c r="FRX141" s="22"/>
      <c r="FRY141" s="22"/>
      <c r="FRZ141" s="22"/>
      <c r="FSA141" s="22"/>
      <c r="FSB141" s="22"/>
      <c r="FSC141" s="22"/>
      <c r="FSD141" s="22"/>
      <c r="FSE141" s="22"/>
      <c r="FSF141" s="22"/>
      <c r="FSG141" s="22"/>
      <c r="FSH141" s="22"/>
      <c r="FSI141" s="22"/>
      <c r="FSJ141" s="22"/>
      <c r="FSK141" s="22"/>
      <c r="FSL141" s="22"/>
      <c r="FSM141" s="22"/>
      <c r="FSN141" s="22"/>
      <c r="FSO141" s="22"/>
      <c r="FSP141" s="22"/>
      <c r="FSQ141" s="22"/>
      <c r="FSR141" s="22"/>
      <c r="FSS141" s="22"/>
      <c r="FST141" s="22"/>
      <c r="FSU141" s="22"/>
      <c r="FSV141" s="22"/>
      <c r="FSW141" s="22"/>
      <c r="FSX141" s="22"/>
      <c r="FSY141" s="22"/>
      <c r="FSZ141" s="22"/>
      <c r="FTA141" s="22"/>
      <c r="FTB141" s="22"/>
      <c r="FTC141" s="22"/>
      <c r="FTD141" s="22"/>
      <c r="FTE141" s="22"/>
      <c r="FTF141" s="22"/>
      <c r="FTG141" s="22"/>
      <c r="FTH141" s="22"/>
      <c r="FTI141" s="22"/>
      <c r="FTJ141" s="22"/>
      <c r="FTK141" s="22"/>
      <c r="FTL141" s="22"/>
      <c r="FTM141" s="22"/>
      <c r="FTN141" s="22"/>
      <c r="FTO141" s="22"/>
      <c r="FTP141" s="22"/>
      <c r="FTQ141" s="22"/>
      <c r="FTR141" s="22"/>
      <c r="FTS141" s="22"/>
      <c r="FTT141" s="22"/>
      <c r="FTU141" s="22"/>
      <c r="FTV141" s="22"/>
      <c r="FTW141" s="22"/>
      <c r="FTX141" s="22"/>
      <c r="FTY141" s="22"/>
      <c r="FTZ141" s="22"/>
      <c r="FUA141" s="22"/>
      <c r="FUB141" s="22"/>
      <c r="FUC141" s="22"/>
      <c r="FUD141" s="22"/>
      <c r="FUE141" s="22"/>
      <c r="FUF141" s="22"/>
      <c r="FUG141" s="22"/>
      <c r="FUH141" s="22"/>
      <c r="FUI141" s="22"/>
      <c r="FUJ141" s="22"/>
      <c r="FUK141" s="22"/>
      <c r="FUL141" s="22"/>
      <c r="FUM141" s="22"/>
      <c r="FUN141" s="22"/>
      <c r="FUO141" s="22"/>
      <c r="FUP141" s="22"/>
      <c r="FUQ141" s="22"/>
      <c r="FUR141" s="22"/>
      <c r="FUS141" s="22"/>
      <c r="FUT141" s="22"/>
      <c r="FUU141" s="22"/>
      <c r="FUV141" s="22"/>
      <c r="FUW141" s="22"/>
      <c r="FUX141" s="22"/>
      <c r="FUY141" s="22"/>
      <c r="FUZ141" s="22"/>
      <c r="FVA141" s="22"/>
      <c r="FVB141" s="22"/>
      <c r="FVC141" s="22"/>
      <c r="FVD141" s="22"/>
      <c r="FVE141" s="22"/>
      <c r="FVF141" s="22"/>
      <c r="FVG141" s="22"/>
      <c r="FVH141" s="22"/>
      <c r="FVI141" s="22"/>
      <c r="FVJ141" s="22"/>
      <c r="FVK141" s="22"/>
      <c r="FVL141" s="22"/>
      <c r="FVM141" s="22"/>
      <c r="FVN141" s="22"/>
      <c r="FVO141" s="22"/>
      <c r="FVP141" s="22"/>
      <c r="FVQ141" s="22"/>
      <c r="FVR141" s="22"/>
      <c r="FVS141" s="22"/>
      <c r="FVT141" s="22"/>
      <c r="FVU141" s="22"/>
      <c r="FVV141" s="22"/>
      <c r="FVW141" s="22"/>
      <c r="FVX141" s="22"/>
      <c r="FVY141" s="22"/>
      <c r="FVZ141" s="22"/>
      <c r="FWA141" s="22"/>
      <c r="FWB141" s="22"/>
      <c r="FWC141" s="22"/>
      <c r="FWD141" s="22"/>
      <c r="FWE141" s="22"/>
      <c r="FWF141" s="22"/>
      <c r="FWG141" s="22"/>
      <c r="FWH141" s="22"/>
      <c r="FWI141" s="22"/>
      <c r="FWJ141" s="22"/>
      <c r="FWK141" s="22"/>
      <c r="FWL141" s="22"/>
      <c r="FWM141" s="22"/>
      <c r="FWN141" s="22"/>
      <c r="FWO141" s="22"/>
      <c r="FWP141" s="22"/>
      <c r="FWQ141" s="22"/>
      <c r="FWR141" s="22"/>
      <c r="FWS141" s="22"/>
      <c r="FWT141" s="22"/>
      <c r="FWU141" s="22"/>
      <c r="FWV141" s="22"/>
      <c r="FWW141" s="22"/>
      <c r="FWX141" s="22"/>
      <c r="FWY141" s="22"/>
      <c r="FWZ141" s="22"/>
      <c r="FXA141" s="22"/>
      <c r="FXB141" s="22"/>
      <c r="FXC141" s="22"/>
      <c r="FXD141" s="22"/>
      <c r="FXE141" s="22"/>
      <c r="FXF141" s="22"/>
      <c r="FXG141" s="22"/>
      <c r="FXH141" s="22"/>
      <c r="FXI141" s="22"/>
      <c r="FXJ141" s="22"/>
      <c r="FXK141" s="22"/>
      <c r="FXL141" s="22"/>
      <c r="FXM141" s="22"/>
      <c r="FXN141" s="22"/>
      <c r="FXO141" s="22"/>
      <c r="FXP141" s="22"/>
      <c r="FXQ141" s="22"/>
      <c r="FXR141" s="22"/>
      <c r="FXS141" s="22"/>
      <c r="FXT141" s="22"/>
      <c r="FXU141" s="22"/>
      <c r="FXV141" s="22"/>
      <c r="FXW141" s="22"/>
      <c r="FXX141" s="22"/>
      <c r="FXY141" s="22"/>
      <c r="FXZ141" s="22"/>
      <c r="FYA141" s="22"/>
      <c r="FYB141" s="22"/>
      <c r="FYC141" s="22"/>
      <c r="FYD141" s="22"/>
      <c r="FYE141" s="22"/>
      <c r="FYF141" s="22"/>
      <c r="FYG141" s="22"/>
      <c r="FYH141" s="22"/>
      <c r="FYI141" s="22"/>
      <c r="FYJ141" s="22"/>
      <c r="FYK141" s="22"/>
      <c r="FYL141" s="22"/>
      <c r="FYM141" s="22"/>
      <c r="FYN141" s="22"/>
      <c r="FYO141" s="22"/>
      <c r="FYP141" s="22"/>
      <c r="FYQ141" s="22"/>
      <c r="FYR141" s="22"/>
      <c r="FYS141" s="22"/>
      <c r="FYT141" s="22"/>
      <c r="FYU141" s="22"/>
      <c r="FYV141" s="22"/>
      <c r="FYW141" s="22"/>
      <c r="FYX141" s="22"/>
      <c r="FYY141" s="22"/>
      <c r="FYZ141" s="22"/>
      <c r="FZA141" s="22"/>
      <c r="FZB141" s="22"/>
      <c r="FZC141" s="22"/>
      <c r="FZD141" s="22"/>
      <c r="FZE141" s="22"/>
      <c r="FZF141" s="22"/>
      <c r="FZG141" s="22"/>
      <c r="FZH141" s="22"/>
      <c r="FZI141" s="22"/>
      <c r="FZJ141" s="22"/>
      <c r="FZK141" s="22"/>
      <c r="FZL141" s="22"/>
      <c r="FZM141" s="22"/>
      <c r="FZN141" s="22"/>
      <c r="FZO141" s="22"/>
      <c r="FZP141" s="22"/>
      <c r="FZQ141" s="22"/>
      <c r="FZR141" s="22"/>
      <c r="FZS141" s="22"/>
      <c r="FZT141" s="22"/>
      <c r="FZU141" s="22"/>
      <c r="FZV141" s="22"/>
      <c r="FZW141" s="22"/>
      <c r="FZX141" s="22"/>
      <c r="FZY141" s="22"/>
      <c r="FZZ141" s="22"/>
      <c r="GAA141" s="22"/>
      <c r="GAB141" s="22"/>
      <c r="GAC141" s="22"/>
      <c r="GAD141" s="22"/>
      <c r="GAE141" s="22"/>
      <c r="GAF141" s="22"/>
      <c r="GAG141" s="22"/>
      <c r="GAH141" s="22"/>
      <c r="GAI141" s="22"/>
      <c r="GAJ141" s="22"/>
      <c r="GAK141" s="22"/>
      <c r="GAL141" s="22"/>
      <c r="GAM141" s="22"/>
      <c r="GAN141" s="22"/>
      <c r="GAO141" s="22"/>
      <c r="GAP141" s="22"/>
      <c r="GAQ141" s="22"/>
      <c r="GAR141" s="22"/>
      <c r="GAS141" s="22"/>
      <c r="GAT141" s="22"/>
      <c r="GAU141" s="22"/>
      <c r="GAV141" s="22"/>
      <c r="GAW141" s="22"/>
      <c r="GAX141" s="22"/>
      <c r="GAY141" s="22"/>
      <c r="GAZ141" s="22"/>
      <c r="GBA141" s="22"/>
      <c r="GBB141" s="22"/>
      <c r="GBC141" s="22"/>
      <c r="GBD141" s="22"/>
      <c r="GBE141" s="22"/>
      <c r="GBF141" s="22"/>
      <c r="GBG141" s="22"/>
      <c r="GBH141" s="22"/>
      <c r="GBI141" s="22"/>
      <c r="GBJ141" s="22"/>
      <c r="GBK141" s="22"/>
      <c r="GBL141" s="22"/>
      <c r="GBM141" s="22"/>
      <c r="GBN141" s="22"/>
      <c r="GBO141" s="22"/>
      <c r="GBP141" s="22"/>
      <c r="GBQ141" s="22"/>
      <c r="GBR141" s="22"/>
      <c r="GBS141" s="22"/>
      <c r="GBT141" s="22"/>
      <c r="GBU141" s="22"/>
      <c r="GBV141" s="22"/>
      <c r="GBW141" s="22"/>
      <c r="GBX141" s="22"/>
      <c r="GBY141" s="22"/>
      <c r="GBZ141" s="22"/>
      <c r="GCA141" s="22"/>
      <c r="GCB141" s="22"/>
      <c r="GCC141" s="22"/>
      <c r="GCD141" s="22"/>
      <c r="GCE141" s="22"/>
      <c r="GCF141" s="22"/>
      <c r="GCG141" s="22"/>
      <c r="GCH141" s="22"/>
      <c r="GCI141" s="22"/>
      <c r="GCJ141" s="22"/>
      <c r="GCK141" s="22"/>
      <c r="GCL141" s="22"/>
      <c r="GCM141" s="22"/>
      <c r="GCN141" s="22"/>
      <c r="GCO141" s="22"/>
      <c r="GCP141" s="22"/>
      <c r="GCQ141" s="22"/>
      <c r="GCR141" s="22"/>
      <c r="GCS141" s="22"/>
      <c r="GCT141" s="22"/>
      <c r="GCU141" s="22"/>
      <c r="GCV141" s="22"/>
      <c r="GCW141" s="22"/>
      <c r="GCX141" s="22"/>
      <c r="GCY141" s="22"/>
      <c r="GCZ141" s="22"/>
      <c r="GDA141" s="22"/>
      <c r="GDB141" s="22"/>
      <c r="GDC141" s="22"/>
      <c r="GDD141" s="22"/>
      <c r="GDE141" s="22"/>
      <c r="GDF141" s="22"/>
      <c r="GDG141" s="22"/>
      <c r="GDH141" s="22"/>
      <c r="GDI141" s="22"/>
      <c r="GDJ141" s="22"/>
      <c r="GDK141" s="22"/>
      <c r="GDL141" s="22"/>
      <c r="GDM141" s="22"/>
      <c r="GDN141" s="22"/>
      <c r="GDO141" s="22"/>
      <c r="GDP141" s="22"/>
      <c r="GDQ141" s="22"/>
      <c r="GDR141" s="22"/>
      <c r="GDS141" s="22"/>
      <c r="GDT141" s="22"/>
      <c r="GDU141" s="22"/>
      <c r="GDV141" s="22"/>
      <c r="GDW141" s="22"/>
      <c r="GDX141" s="22"/>
      <c r="GDY141" s="22"/>
      <c r="GDZ141" s="22"/>
      <c r="GEA141" s="22"/>
      <c r="GEB141" s="22"/>
      <c r="GEC141" s="22"/>
      <c r="GED141" s="22"/>
      <c r="GEE141" s="22"/>
      <c r="GEF141" s="22"/>
      <c r="GEG141" s="22"/>
      <c r="GEH141" s="22"/>
      <c r="GEI141" s="22"/>
      <c r="GEJ141" s="22"/>
      <c r="GEK141" s="22"/>
      <c r="GEL141" s="22"/>
      <c r="GEM141" s="22"/>
      <c r="GEN141" s="22"/>
      <c r="GEO141" s="22"/>
      <c r="GEP141" s="22"/>
      <c r="GEQ141" s="22"/>
      <c r="GER141" s="22"/>
      <c r="GES141" s="22"/>
      <c r="GET141" s="22"/>
      <c r="GEU141" s="22"/>
      <c r="GEV141" s="22"/>
      <c r="GEW141" s="22"/>
      <c r="GEX141" s="22"/>
      <c r="GEY141" s="22"/>
      <c r="GEZ141" s="22"/>
      <c r="GFA141" s="22"/>
      <c r="GFB141" s="22"/>
      <c r="GFC141" s="22"/>
      <c r="GFD141" s="22"/>
      <c r="GFE141" s="22"/>
      <c r="GFF141" s="22"/>
      <c r="GFG141" s="22"/>
      <c r="GFH141" s="22"/>
      <c r="GFI141" s="22"/>
      <c r="GFJ141" s="22"/>
      <c r="GFK141" s="22"/>
      <c r="GFL141" s="22"/>
      <c r="GFM141" s="22"/>
      <c r="GFN141" s="22"/>
      <c r="GFO141" s="22"/>
      <c r="GFP141" s="22"/>
      <c r="GFQ141" s="22"/>
      <c r="GFR141" s="22"/>
      <c r="GFS141" s="22"/>
      <c r="GFT141" s="22"/>
      <c r="GFU141" s="22"/>
      <c r="GFV141" s="22"/>
      <c r="GFW141" s="22"/>
      <c r="GFX141" s="22"/>
      <c r="GFY141" s="22"/>
      <c r="GFZ141" s="22"/>
      <c r="GGA141" s="22"/>
      <c r="GGB141" s="22"/>
      <c r="GGC141" s="22"/>
      <c r="GGD141" s="22"/>
      <c r="GGE141" s="22"/>
      <c r="GGF141" s="22"/>
      <c r="GGG141" s="22"/>
      <c r="GGH141" s="22"/>
      <c r="GGI141" s="22"/>
      <c r="GGJ141" s="22"/>
      <c r="GGK141" s="22"/>
      <c r="GGL141" s="22"/>
      <c r="GGM141" s="22"/>
      <c r="GGN141" s="22"/>
      <c r="GGO141" s="22"/>
      <c r="GGP141" s="22"/>
      <c r="GGQ141" s="22"/>
      <c r="GGR141" s="22"/>
      <c r="GGS141" s="22"/>
      <c r="GGT141" s="22"/>
      <c r="GGU141" s="22"/>
      <c r="GGV141" s="22"/>
      <c r="GGW141" s="22"/>
      <c r="GGX141" s="22"/>
      <c r="GGY141" s="22"/>
      <c r="GGZ141" s="22"/>
      <c r="GHA141" s="22"/>
      <c r="GHB141" s="22"/>
      <c r="GHC141" s="22"/>
      <c r="GHD141" s="22"/>
      <c r="GHE141" s="22"/>
      <c r="GHF141" s="22"/>
      <c r="GHG141" s="22"/>
      <c r="GHH141" s="22"/>
      <c r="GHI141" s="22"/>
      <c r="GHJ141" s="22"/>
      <c r="GHK141" s="22"/>
      <c r="GHL141" s="22"/>
      <c r="GHM141" s="22"/>
      <c r="GHN141" s="22"/>
      <c r="GHO141" s="22"/>
      <c r="GHP141" s="22"/>
      <c r="GHQ141" s="22"/>
      <c r="GHR141" s="22"/>
      <c r="GHS141" s="22"/>
      <c r="GHT141" s="22"/>
      <c r="GHU141" s="22"/>
      <c r="GHV141" s="22"/>
      <c r="GHW141" s="22"/>
      <c r="GHX141" s="22"/>
      <c r="GHY141" s="22"/>
      <c r="GHZ141" s="22"/>
      <c r="GIA141" s="22"/>
      <c r="GIB141" s="22"/>
      <c r="GIC141" s="22"/>
      <c r="GID141" s="22"/>
      <c r="GIE141" s="22"/>
      <c r="GIF141" s="22"/>
      <c r="GIG141" s="22"/>
      <c r="GIH141" s="22"/>
      <c r="GII141" s="22"/>
      <c r="GIJ141" s="22"/>
      <c r="GIK141" s="22"/>
      <c r="GIL141" s="22"/>
      <c r="GIM141" s="22"/>
      <c r="GIN141" s="22"/>
      <c r="GIO141" s="22"/>
      <c r="GIP141" s="22"/>
      <c r="GIQ141" s="22"/>
      <c r="GIR141" s="22"/>
      <c r="GIS141" s="22"/>
      <c r="GIT141" s="22"/>
      <c r="GIU141" s="22"/>
      <c r="GIV141" s="22"/>
      <c r="GIW141" s="22"/>
      <c r="GIX141" s="22"/>
      <c r="GIY141" s="22"/>
      <c r="GIZ141" s="22"/>
      <c r="GJA141" s="22"/>
      <c r="GJB141" s="22"/>
      <c r="GJC141" s="22"/>
      <c r="GJD141" s="22"/>
      <c r="GJE141" s="22"/>
      <c r="GJF141" s="22"/>
      <c r="GJG141" s="22"/>
      <c r="GJH141" s="22"/>
      <c r="GJI141" s="22"/>
      <c r="GJJ141" s="22"/>
      <c r="GJK141" s="22"/>
      <c r="GJL141" s="22"/>
      <c r="GJM141" s="22"/>
      <c r="GJN141" s="22"/>
      <c r="GJO141" s="22"/>
      <c r="GJP141" s="22"/>
      <c r="GJQ141" s="22"/>
      <c r="GJR141" s="22"/>
      <c r="GJS141" s="22"/>
      <c r="GJT141" s="22"/>
      <c r="GJU141" s="22"/>
      <c r="GJV141" s="22"/>
      <c r="GJW141" s="22"/>
      <c r="GJX141" s="22"/>
      <c r="GJY141" s="22"/>
      <c r="GJZ141" s="22"/>
      <c r="GKA141" s="22"/>
      <c r="GKB141" s="22"/>
      <c r="GKC141" s="22"/>
      <c r="GKD141" s="22"/>
      <c r="GKE141" s="22"/>
      <c r="GKF141" s="22"/>
      <c r="GKG141" s="22"/>
      <c r="GKH141" s="22"/>
      <c r="GKI141" s="22"/>
      <c r="GKJ141" s="22"/>
      <c r="GKK141" s="22"/>
      <c r="GKL141" s="22"/>
      <c r="GKM141" s="22"/>
      <c r="GKN141" s="22"/>
      <c r="GKO141" s="22"/>
      <c r="GKP141" s="22"/>
      <c r="GKQ141" s="22"/>
      <c r="GKR141" s="22"/>
      <c r="GKS141" s="22"/>
      <c r="GKT141" s="22"/>
      <c r="GKU141" s="22"/>
      <c r="GKV141" s="22"/>
      <c r="GKW141" s="22"/>
      <c r="GKX141" s="22"/>
      <c r="GKY141" s="22"/>
      <c r="GKZ141" s="22"/>
      <c r="GLA141" s="22"/>
      <c r="GLB141" s="22"/>
      <c r="GLC141" s="22"/>
      <c r="GLD141" s="22"/>
      <c r="GLE141" s="22"/>
      <c r="GLF141" s="22"/>
      <c r="GLG141" s="22"/>
      <c r="GLH141" s="22"/>
      <c r="GLI141" s="22"/>
      <c r="GLJ141" s="22"/>
      <c r="GLK141" s="22"/>
      <c r="GLL141" s="22"/>
      <c r="GLM141" s="22"/>
      <c r="GLN141" s="22"/>
      <c r="GLO141" s="22"/>
      <c r="GLP141" s="22"/>
      <c r="GLQ141" s="22"/>
      <c r="GLR141" s="22"/>
      <c r="GLS141" s="22"/>
      <c r="GLT141" s="22"/>
      <c r="GLU141" s="22"/>
      <c r="GLV141" s="22"/>
      <c r="GLW141" s="22"/>
      <c r="GLX141" s="22"/>
      <c r="GLY141" s="22"/>
      <c r="GLZ141" s="22"/>
      <c r="GMA141" s="22"/>
      <c r="GMB141" s="22"/>
      <c r="GMC141" s="22"/>
      <c r="GMD141" s="22"/>
      <c r="GME141" s="22"/>
      <c r="GMF141" s="22"/>
      <c r="GMG141" s="22"/>
      <c r="GMH141" s="22"/>
      <c r="GMI141" s="22"/>
      <c r="GMJ141" s="22"/>
      <c r="GMK141" s="22"/>
      <c r="GML141" s="22"/>
      <c r="GMM141" s="22"/>
      <c r="GMN141" s="22"/>
      <c r="GMO141" s="22"/>
      <c r="GMP141" s="22"/>
      <c r="GMQ141" s="22"/>
      <c r="GMR141" s="22"/>
      <c r="GMS141" s="22"/>
      <c r="GMT141" s="22"/>
      <c r="GMU141" s="22"/>
      <c r="GMV141" s="22"/>
      <c r="GMW141" s="22"/>
      <c r="GMX141" s="22"/>
      <c r="GMY141" s="22"/>
      <c r="GMZ141" s="22"/>
      <c r="GNA141" s="22"/>
      <c r="GNB141" s="22"/>
      <c r="GNC141" s="22"/>
      <c r="GND141" s="22"/>
      <c r="GNE141" s="22"/>
      <c r="GNF141" s="22"/>
      <c r="GNG141" s="22"/>
      <c r="GNH141" s="22"/>
      <c r="GNI141" s="22"/>
      <c r="GNJ141" s="22"/>
      <c r="GNK141" s="22"/>
      <c r="GNL141" s="22"/>
      <c r="GNM141" s="22"/>
      <c r="GNN141" s="22"/>
      <c r="GNO141" s="22"/>
      <c r="GNP141" s="22"/>
      <c r="GNQ141" s="22"/>
      <c r="GNR141" s="22"/>
      <c r="GNS141" s="22"/>
      <c r="GNT141" s="22"/>
      <c r="GNU141" s="22"/>
      <c r="GNV141" s="22"/>
      <c r="GNW141" s="22"/>
      <c r="GNX141" s="22"/>
      <c r="GNY141" s="22"/>
      <c r="GNZ141" s="22"/>
      <c r="GOA141" s="22"/>
      <c r="GOB141" s="22"/>
      <c r="GOC141" s="22"/>
      <c r="GOD141" s="22"/>
      <c r="GOE141" s="22"/>
      <c r="GOF141" s="22"/>
      <c r="GOG141" s="22"/>
      <c r="GOH141" s="22"/>
      <c r="GOI141" s="22"/>
      <c r="GOJ141" s="22"/>
      <c r="GOK141" s="22"/>
      <c r="GOL141" s="22"/>
      <c r="GOM141" s="22"/>
      <c r="GON141" s="22"/>
      <c r="GOO141" s="22"/>
      <c r="GOP141" s="22"/>
      <c r="GOQ141" s="22"/>
      <c r="GOR141" s="22"/>
      <c r="GOS141" s="22"/>
      <c r="GOT141" s="22"/>
      <c r="GOU141" s="22"/>
      <c r="GOV141" s="22"/>
      <c r="GOW141" s="22"/>
      <c r="GOX141" s="22"/>
      <c r="GOY141" s="22"/>
      <c r="GOZ141" s="22"/>
      <c r="GPA141" s="22"/>
      <c r="GPB141" s="22"/>
      <c r="GPC141" s="22"/>
      <c r="GPD141" s="22"/>
      <c r="GPE141" s="22"/>
      <c r="GPF141" s="22"/>
      <c r="GPG141" s="22"/>
      <c r="GPH141" s="22"/>
      <c r="GPI141" s="22"/>
      <c r="GPJ141" s="22"/>
      <c r="GPK141" s="22"/>
      <c r="GPL141" s="22"/>
      <c r="GPM141" s="22"/>
      <c r="GPN141" s="22"/>
      <c r="GPO141" s="22"/>
      <c r="GPP141" s="22"/>
      <c r="GPQ141" s="22"/>
      <c r="GPR141" s="22"/>
      <c r="GPS141" s="22"/>
      <c r="GPT141" s="22"/>
      <c r="GPU141" s="22"/>
      <c r="GPV141" s="22"/>
      <c r="GPW141" s="22"/>
      <c r="GPX141" s="22"/>
      <c r="GPY141" s="22"/>
      <c r="GPZ141" s="22"/>
      <c r="GQA141" s="22"/>
      <c r="GQB141" s="22"/>
      <c r="GQC141" s="22"/>
      <c r="GQD141" s="22"/>
      <c r="GQE141" s="22"/>
      <c r="GQF141" s="22"/>
      <c r="GQG141" s="22"/>
      <c r="GQH141" s="22"/>
      <c r="GQI141" s="22"/>
      <c r="GQJ141" s="22"/>
      <c r="GQK141" s="22"/>
      <c r="GQL141" s="22"/>
      <c r="GQM141" s="22"/>
      <c r="GQN141" s="22"/>
      <c r="GQO141" s="22"/>
      <c r="GQP141" s="22"/>
      <c r="GQQ141" s="22"/>
      <c r="GQR141" s="22"/>
      <c r="GQS141" s="22"/>
      <c r="GQT141" s="22"/>
      <c r="GQU141" s="22"/>
      <c r="GQV141" s="22"/>
      <c r="GQW141" s="22"/>
      <c r="GQX141" s="22"/>
      <c r="GQY141" s="22"/>
      <c r="GQZ141" s="22"/>
      <c r="GRA141" s="22"/>
      <c r="GRB141" s="22"/>
      <c r="GRC141" s="22"/>
      <c r="GRD141" s="22"/>
      <c r="GRE141" s="22"/>
      <c r="GRF141" s="22"/>
      <c r="GRG141" s="22"/>
      <c r="GRH141" s="22"/>
      <c r="GRI141" s="22"/>
      <c r="GRJ141" s="22"/>
      <c r="GRK141" s="22"/>
      <c r="GRL141" s="22"/>
      <c r="GRM141" s="22"/>
      <c r="GRN141" s="22"/>
      <c r="GRO141" s="22"/>
      <c r="GRP141" s="22"/>
      <c r="GRQ141" s="22"/>
      <c r="GRR141" s="22"/>
      <c r="GRS141" s="22"/>
      <c r="GRT141" s="22"/>
      <c r="GRU141" s="22"/>
      <c r="GRV141" s="22"/>
      <c r="GRW141" s="22"/>
      <c r="GRX141" s="22"/>
      <c r="GRY141" s="22"/>
      <c r="GRZ141" s="22"/>
      <c r="GSA141" s="22"/>
      <c r="GSB141" s="22"/>
      <c r="GSC141" s="22"/>
      <c r="GSD141" s="22"/>
      <c r="GSE141" s="22"/>
      <c r="GSF141" s="22"/>
      <c r="GSG141" s="22"/>
      <c r="GSH141" s="22"/>
      <c r="GSI141" s="22"/>
      <c r="GSJ141" s="22"/>
      <c r="GSK141" s="22"/>
      <c r="GSL141" s="22"/>
      <c r="GSM141" s="22"/>
      <c r="GSN141" s="22"/>
      <c r="GSO141" s="22"/>
      <c r="GSP141" s="22"/>
      <c r="GSQ141" s="22"/>
      <c r="GSR141" s="22"/>
      <c r="GSS141" s="22"/>
      <c r="GST141" s="22"/>
      <c r="GSU141" s="22"/>
      <c r="GSV141" s="22"/>
      <c r="GSW141" s="22"/>
      <c r="GSX141" s="22"/>
      <c r="GSY141" s="22"/>
      <c r="GSZ141" s="22"/>
      <c r="GTA141" s="22"/>
      <c r="GTB141" s="22"/>
      <c r="GTC141" s="22"/>
      <c r="GTD141" s="22"/>
      <c r="GTE141" s="22"/>
      <c r="GTF141" s="22"/>
      <c r="GTG141" s="22"/>
      <c r="GTH141" s="22"/>
      <c r="GTI141" s="22"/>
      <c r="GTJ141" s="22"/>
      <c r="GTK141" s="22"/>
      <c r="GTL141" s="22"/>
      <c r="GTM141" s="22"/>
      <c r="GTN141" s="22"/>
      <c r="GTO141" s="22"/>
      <c r="GTP141" s="22"/>
      <c r="GTQ141" s="22"/>
      <c r="GTR141" s="22"/>
      <c r="GTS141" s="22"/>
      <c r="GTT141" s="22"/>
      <c r="GTU141" s="22"/>
      <c r="GTV141" s="22"/>
      <c r="GTW141" s="22"/>
      <c r="GTX141" s="22"/>
      <c r="GTY141" s="22"/>
      <c r="GTZ141" s="22"/>
      <c r="GUA141" s="22"/>
      <c r="GUB141" s="22"/>
      <c r="GUC141" s="22"/>
      <c r="GUD141" s="22"/>
      <c r="GUE141" s="22"/>
      <c r="GUF141" s="22"/>
      <c r="GUG141" s="22"/>
      <c r="GUH141" s="22"/>
      <c r="GUI141" s="22"/>
      <c r="GUJ141" s="22"/>
      <c r="GUK141" s="22"/>
      <c r="GUL141" s="22"/>
      <c r="GUM141" s="22"/>
      <c r="GUN141" s="22"/>
      <c r="GUO141" s="22"/>
      <c r="GUP141" s="22"/>
      <c r="GUQ141" s="22"/>
      <c r="GUR141" s="22"/>
      <c r="GUS141" s="22"/>
      <c r="GUT141" s="22"/>
      <c r="GUU141" s="22"/>
      <c r="GUV141" s="22"/>
      <c r="GUW141" s="22"/>
      <c r="GUX141" s="22"/>
      <c r="GUY141" s="22"/>
      <c r="GUZ141" s="22"/>
      <c r="GVA141" s="22"/>
      <c r="GVB141" s="22"/>
      <c r="GVC141" s="22"/>
      <c r="GVD141" s="22"/>
      <c r="GVE141" s="22"/>
      <c r="GVF141" s="22"/>
      <c r="GVG141" s="22"/>
      <c r="GVH141" s="22"/>
      <c r="GVI141" s="22"/>
      <c r="GVJ141" s="22"/>
      <c r="GVK141" s="22"/>
      <c r="GVL141" s="22"/>
      <c r="GVM141" s="22"/>
      <c r="GVN141" s="22"/>
      <c r="GVO141" s="22"/>
      <c r="GVP141" s="22"/>
      <c r="GVQ141" s="22"/>
      <c r="GVR141" s="22"/>
      <c r="GVS141" s="22"/>
      <c r="GVT141" s="22"/>
      <c r="GVU141" s="22"/>
      <c r="GVV141" s="22"/>
      <c r="GVW141" s="22"/>
      <c r="GVX141" s="22"/>
      <c r="GVY141" s="22"/>
      <c r="GVZ141" s="22"/>
      <c r="GWA141" s="22"/>
      <c r="GWB141" s="22"/>
      <c r="GWC141" s="22"/>
      <c r="GWD141" s="22"/>
      <c r="GWE141" s="22"/>
      <c r="GWF141" s="22"/>
      <c r="GWG141" s="22"/>
      <c r="GWH141" s="22"/>
      <c r="GWI141" s="22"/>
      <c r="GWJ141" s="22"/>
      <c r="GWK141" s="22"/>
      <c r="GWL141" s="22"/>
      <c r="GWM141" s="22"/>
      <c r="GWN141" s="22"/>
      <c r="GWO141" s="22"/>
      <c r="GWP141" s="22"/>
      <c r="GWQ141" s="22"/>
      <c r="GWR141" s="22"/>
      <c r="GWS141" s="22"/>
      <c r="GWT141" s="22"/>
      <c r="GWU141" s="22"/>
      <c r="GWV141" s="22"/>
      <c r="GWW141" s="22"/>
      <c r="GWX141" s="22"/>
      <c r="GWY141" s="22"/>
      <c r="GWZ141" s="22"/>
      <c r="GXA141" s="22"/>
      <c r="GXB141" s="22"/>
      <c r="GXC141" s="22"/>
      <c r="GXD141" s="22"/>
      <c r="GXE141" s="22"/>
      <c r="GXF141" s="22"/>
      <c r="GXG141" s="22"/>
      <c r="GXH141" s="22"/>
      <c r="GXI141" s="22"/>
      <c r="GXJ141" s="22"/>
      <c r="GXK141" s="22"/>
      <c r="GXL141" s="22"/>
      <c r="GXM141" s="22"/>
      <c r="GXN141" s="22"/>
      <c r="GXO141" s="22"/>
      <c r="GXP141" s="22"/>
      <c r="GXQ141" s="22"/>
      <c r="GXR141" s="22"/>
      <c r="GXS141" s="22"/>
      <c r="GXT141" s="22"/>
      <c r="GXU141" s="22"/>
      <c r="GXV141" s="22"/>
      <c r="GXW141" s="22"/>
      <c r="GXX141" s="22"/>
      <c r="GXY141" s="22"/>
      <c r="GXZ141" s="22"/>
      <c r="GYA141" s="22"/>
      <c r="GYB141" s="22"/>
      <c r="GYC141" s="22"/>
      <c r="GYD141" s="22"/>
      <c r="GYE141" s="22"/>
      <c r="GYF141" s="22"/>
      <c r="GYG141" s="22"/>
      <c r="GYH141" s="22"/>
      <c r="GYI141" s="22"/>
      <c r="GYJ141" s="22"/>
      <c r="GYK141" s="22"/>
      <c r="GYL141" s="22"/>
      <c r="GYM141" s="22"/>
      <c r="GYN141" s="22"/>
      <c r="GYO141" s="22"/>
      <c r="GYP141" s="22"/>
      <c r="GYQ141" s="22"/>
      <c r="GYR141" s="22"/>
      <c r="GYS141" s="22"/>
      <c r="GYT141" s="22"/>
      <c r="GYU141" s="22"/>
      <c r="GYV141" s="22"/>
      <c r="GYW141" s="22"/>
      <c r="GYX141" s="22"/>
      <c r="GYY141" s="22"/>
      <c r="GYZ141" s="22"/>
      <c r="GZA141" s="22"/>
      <c r="GZB141" s="22"/>
      <c r="GZC141" s="22"/>
      <c r="GZD141" s="22"/>
      <c r="GZE141" s="22"/>
      <c r="GZF141" s="22"/>
      <c r="GZG141" s="22"/>
      <c r="GZH141" s="22"/>
      <c r="GZI141" s="22"/>
      <c r="GZJ141" s="22"/>
      <c r="GZK141" s="22"/>
      <c r="GZL141" s="22"/>
      <c r="GZM141" s="22"/>
      <c r="GZN141" s="22"/>
      <c r="GZO141" s="22"/>
      <c r="GZP141" s="22"/>
      <c r="GZQ141" s="22"/>
      <c r="GZR141" s="22"/>
      <c r="GZS141" s="22"/>
      <c r="GZT141" s="22"/>
      <c r="GZU141" s="22"/>
      <c r="GZV141" s="22"/>
      <c r="GZW141" s="22"/>
      <c r="GZX141" s="22"/>
      <c r="GZY141" s="22"/>
      <c r="GZZ141" s="22"/>
      <c r="HAA141" s="22"/>
      <c r="HAB141" s="22"/>
      <c r="HAC141" s="22"/>
      <c r="HAD141" s="22"/>
      <c r="HAE141" s="22"/>
      <c r="HAF141" s="22"/>
      <c r="HAG141" s="22"/>
      <c r="HAH141" s="22"/>
      <c r="HAI141" s="22"/>
      <c r="HAJ141" s="22"/>
      <c r="HAK141" s="22"/>
      <c r="HAL141" s="22"/>
      <c r="HAM141" s="22"/>
      <c r="HAN141" s="22"/>
      <c r="HAO141" s="22"/>
      <c r="HAP141" s="22"/>
      <c r="HAQ141" s="22"/>
      <c r="HAR141" s="22"/>
      <c r="HAS141" s="22"/>
      <c r="HAT141" s="22"/>
      <c r="HAU141" s="22"/>
      <c r="HAV141" s="22"/>
      <c r="HAW141" s="22"/>
      <c r="HAX141" s="22"/>
      <c r="HAY141" s="22"/>
      <c r="HAZ141" s="22"/>
      <c r="HBA141" s="22"/>
      <c r="HBB141" s="22"/>
      <c r="HBC141" s="22"/>
      <c r="HBD141" s="22"/>
      <c r="HBE141" s="22"/>
      <c r="HBF141" s="22"/>
      <c r="HBG141" s="22"/>
      <c r="HBH141" s="22"/>
      <c r="HBI141" s="22"/>
      <c r="HBJ141" s="22"/>
      <c r="HBK141" s="22"/>
      <c r="HBL141" s="22"/>
      <c r="HBM141" s="22"/>
      <c r="HBN141" s="22"/>
      <c r="HBO141" s="22"/>
      <c r="HBP141" s="22"/>
      <c r="HBQ141" s="22"/>
      <c r="HBR141" s="22"/>
      <c r="HBS141" s="22"/>
      <c r="HBT141" s="22"/>
      <c r="HBU141" s="22"/>
      <c r="HBV141" s="22"/>
      <c r="HBW141" s="22"/>
      <c r="HBX141" s="22"/>
      <c r="HBY141" s="22"/>
      <c r="HBZ141" s="22"/>
      <c r="HCA141" s="22"/>
      <c r="HCB141" s="22"/>
      <c r="HCC141" s="22"/>
      <c r="HCD141" s="22"/>
      <c r="HCE141" s="22"/>
      <c r="HCF141" s="22"/>
      <c r="HCG141" s="22"/>
      <c r="HCH141" s="22"/>
      <c r="HCI141" s="22"/>
      <c r="HCJ141" s="22"/>
      <c r="HCK141" s="22"/>
      <c r="HCL141" s="22"/>
      <c r="HCM141" s="22"/>
      <c r="HCN141" s="22"/>
      <c r="HCO141" s="22"/>
      <c r="HCP141" s="22"/>
      <c r="HCQ141" s="22"/>
      <c r="HCR141" s="22"/>
      <c r="HCS141" s="22"/>
      <c r="HCT141" s="22"/>
      <c r="HCU141" s="22"/>
      <c r="HCV141" s="22"/>
      <c r="HCW141" s="22"/>
      <c r="HCX141" s="22"/>
      <c r="HCY141" s="22"/>
      <c r="HCZ141" s="22"/>
      <c r="HDA141" s="22"/>
      <c r="HDB141" s="22"/>
      <c r="HDC141" s="22"/>
      <c r="HDD141" s="22"/>
      <c r="HDE141" s="22"/>
      <c r="HDF141" s="22"/>
      <c r="HDG141" s="22"/>
      <c r="HDH141" s="22"/>
      <c r="HDI141" s="22"/>
      <c r="HDJ141" s="22"/>
      <c r="HDK141" s="22"/>
      <c r="HDL141" s="22"/>
      <c r="HDM141" s="22"/>
      <c r="HDN141" s="22"/>
      <c r="HDO141" s="22"/>
      <c r="HDP141" s="22"/>
      <c r="HDQ141" s="22"/>
      <c r="HDR141" s="22"/>
      <c r="HDS141" s="22"/>
      <c r="HDT141" s="22"/>
      <c r="HDU141" s="22"/>
      <c r="HDV141" s="22"/>
      <c r="HDW141" s="22"/>
      <c r="HDX141" s="22"/>
      <c r="HDY141" s="22"/>
      <c r="HDZ141" s="22"/>
      <c r="HEA141" s="22"/>
      <c r="HEB141" s="22"/>
      <c r="HEC141" s="22"/>
      <c r="HED141" s="22"/>
      <c r="HEE141" s="22"/>
      <c r="HEF141" s="22"/>
      <c r="HEG141" s="22"/>
      <c r="HEH141" s="22"/>
      <c r="HEI141" s="22"/>
      <c r="HEJ141" s="22"/>
      <c r="HEK141" s="22"/>
      <c r="HEL141" s="22"/>
      <c r="HEM141" s="22"/>
      <c r="HEN141" s="22"/>
      <c r="HEO141" s="22"/>
      <c r="HEP141" s="22"/>
      <c r="HEQ141" s="22"/>
      <c r="HER141" s="22"/>
      <c r="HES141" s="22"/>
      <c r="HET141" s="22"/>
      <c r="HEU141" s="22"/>
      <c r="HEV141" s="22"/>
      <c r="HEW141" s="22"/>
      <c r="HEX141" s="22"/>
      <c r="HEY141" s="22"/>
      <c r="HEZ141" s="22"/>
      <c r="HFA141" s="22"/>
      <c r="HFB141" s="22"/>
      <c r="HFC141" s="22"/>
      <c r="HFD141" s="22"/>
      <c r="HFE141" s="22"/>
      <c r="HFF141" s="22"/>
      <c r="HFG141" s="22"/>
      <c r="HFH141" s="22"/>
      <c r="HFI141" s="22"/>
      <c r="HFJ141" s="22"/>
      <c r="HFK141" s="22"/>
      <c r="HFL141" s="22"/>
      <c r="HFM141" s="22"/>
      <c r="HFN141" s="22"/>
      <c r="HFO141" s="22"/>
      <c r="HFP141" s="22"/>
      <c r="HFQ141" s="22"/>
      <c r="HFR141" s="22"/>
      <c r="HFS141" s="22"/>
      <c r="HFT141" s="22"/>
      <c r="HFU141" s="22"/>
      <c r="HFV141" s="22"/>
      <c r="HFW141" s="22"/>
      <c r="HFX141" s="22"/>
      <c r="HFY141" s="22"/>
      <c r="HFZ141" s="22"/>
      <c r="HGA141" s="22"/>
      <c r="HGB141" s="22"/>
      <c r="HGC141" s="22"/>
      <c r="HGD141" s="22"/>
      <c r="HGE141" s="22"/>
      <c r="HGF141" s="22"/>
      <c r="HGG141" s="22"/>
      <c r="HGH141" s="22"/>
      <c r="HGI141" s="22"/>
      <c r="HGJ141" s="22"/>
      <c r="HGK141" s="22"/>
      <c r="HGL141" s="22"/>
      <c r="HGM141" s="22"/>
      <c r="HGN141" s="22"/>
      <c r="HGO141" s="22"/>
      <c r="HGP141" s="22"/>
      <c r="HGQ141" s="22"/>
      <c r="HGR141" s="22"/>
      <c r="HGS141" s="22"/>
      <c r="HGT141" s="22"/>
      <c r="HGU141" s="22"/>
      <c r="HGV141" s="22"/>
      <c r="HGW141" s="22"/>
      <c r="HGX141" s="22"/>
      <c r="HGY141" s="22"/>
      <c r="HGZ141" s="22"/>
      <c r="HHA141" s="22"/>
      <c r="HHB141" s="22"/>
      <c r="HHC141" s="22"/>
      <c r="HHD141" s="22"/>
      <c r="HHE141" s="22"/>
      <c r="HHF141" s="22"/>
      <c r="HHG141" s="22"/>
      <c r="HHH141" s="22"/>
      <c r="HHI141" s="22"/>
      <c r="HHJ141" s="22"/>
      <c r="HHK141" s="22"/>
      <c r="HHL141" s="22"/>
      <c r="HHM141" s="22"/>
      <c r="HHN141" s="22"/>
      <c r="HHO141" s="22"/>
      <c r="HHP141" s="22"/>
      <c r="HHQ141" s="22"/>
      <c r="HHR141" s="22"/>
      <c r="HHS141" s="22"/>
      <c r="HHT141" s="22"/>
      <c r="HHU141" s="22"/>
      <c r="HHV141" s="22"/>
      <c r="HHW141" s="22"/>
      <c r="HHX141" s="22"/>
      <c r="HHY141" s="22"/>
      <c r="HHZ141" s="22"/>
      <c r="HIA141" s="22"/>
      <c r="HIB141" s="22"/>
      <c r="HIC141" s="22"/>
      <c r="HID141" s="22"/>
      <c r="HIE141" s="22"/>
      <c r="HIF141" s="22"/>
      <c r="HIG141" s="22"/>
      <c r="HIH141" s="22"/>
      <c r="HII141" s="22"/>
      <c r="HIJ141" s="22"/>
      <c r="HIK141" s="22"/>
      <c r="HIL141" s="22"/>
      <c r="HIM141" s="22"/>
      <c r="HIN141" s="22"/>
      <c r="HIO141" s="22"/>
      <c r="HIP141" s="22"/>
      <c r="HIQ141" s="22"/>
      <c r="HIR141" s="22"/>
      <c r="HIS141" s="22"/>
      <c r="HIT141" s="22"/>
      <c r="HIU141" s="22"/>
      <c r="HIV141" s="22"/>
      <c r="HIW141" s="22"/>
      <c r="HIX141" s="22"/>
      <c r="HIY141" s="22"/>
      <c r="HIZ141" s="22"/>
      <c r="HJA141" s="22"/>
      <c r="HJB141" s="22"/>
      <c r="HJC141" s="22"/>
      <c r="HJD141" s="22"/>
      <c r="HJE141" s="22"/>
      <c r="HJF141" s="22"/>
      <c r="HJG141" s="22"/>
      <c r="HJH141" s="22"/>
      <c r="HJI141" s="22"/>
      <c r="HJJ141" s="22"/>
      <c r="HJK141" s="22"/>
      <c r="HJL141" s="22"/>
      <c r="HJM141" s="22"/>
      <c r="HJN141" s="22"/>
      <c r="HJO141" s="22"/>
      <c r="HJP141" s="22"/>
      <c r="HJQ141" s="22"/>
      <c r="HJR141" s="22"/>
      <c r="HJS141" s="22"/>
      <c r="HJT141" s="22"/>
      <c r="HJU141" s="22"/>
      <c r="HJV141" s="22"/>
      <c r="HJW141" s="22"/>
      <c r="HJX141" s="22"/>
      <c r="HJY141" s="22"/>
      <c r="HJZ141" s="22"/>
      <c r="HKA141" s="22"/>
      <c r="HKB141" s="22"/>
      <c r="HKC141" s="22"/>
      <c r="HKD141" s="22"/>
      <c r="HKE141" s="22"/>
      <c r="HKF141" s="22"/>
      <c r="HKG141" s="22"/>
      <c r="HKH141" s="22"/>
      <c r="HKI141" s="22"/>
      <c r="HKJ141" s="22"/>
      <c r="HKK141" s="22"/>
      <c r="HKL141" s="22"/>
      <c r="HKM141" s="22"/>
      <c r="HKN141" s="22"/>
      <c r="HKO141" s="22"/>
      <c r="HKP141" s="22"/>
      <c r="HKQ141" s="22"/>
      <c r="HKR141" s="22"/>
      <c r="HKS141" s="22"/>
      <c r="HKT141" s="22"/>
      <c r="HKU141" s="22"/>
      <c r="HKV141" s="22"/>
      <c r="HKW141" s="22"/>
      <c r="HKX141" s="22"/>
      <c r="HKY141" s="22"/>
      <c r="HKZ141" s="22"/>
      <c r="HLA141" s="22"/>
      <c r="HLB141" s="22"/>
      <c r="HLC141" s="22"/>
      <c r="HLD141" s="22"/>
      <c r="HLE141" s="22"/>
      <c r="HLF141" s="22"/>
      <c r="HLG141" s="22"/>
      <c r="HLH141" s="22"/>
      <c r="HLI141" s="22"/>
      <c r="HLJ141" s="22"/>
      <c r="HLK141" s="22"/>
      <c r="HLL141" s="22"/>
      <c r="HLM141" s="22"/>
      <c r="HLN141" s="22"/>
      <c r="HLO141" s="22"/>
      <c r="HLP141" s="22"/>
      <c r="HLQ141" s="22"/>
      <c r="HLR141" s="22"/>
      <c r="HLS141" s="22"/>
      <c r="HLT141" s="22"/>
      <c r="HLU141" s="22"/>
      <c r="HLV141" s="22"/>
      <c r="HLW141" s="22"/>
      <c r="HLX141" s="22"/>
      <c r="HLY141" s="22"/>
      <c r="HLZ141" s="22"/>
      <c r="HMA141" s="22"/>
      <c r="HMB141" s="22"/>
      <c r="HMC141" s="22"/>
      <c r="HMD141" s="22"/>
      <c r="HME141" s="22"/>
      <c r="HMF141" s="22"/>
      <c r="HMG141" s="22"/>
      <c r="HMH141" s="22"/>
      <c r="HMI141" s="22"/>
      <c r="HMJ141" s="22"/>
      <c r="HMK141" s="22"/>
      <c r="HML141" s="22"/>
      <c r="HMM141" s="22"/>
      <c r="HMN141" s="22"/>
      <c r="HMO141" s="22"/>
      <c r="HMP141" s="22"/>
      <c r="HMQ141" s="22"/>
      <c r="HMR141" s="22"/>
      <c r="HMS141" s="22"/>
      <c r="HMT141" s="22"/>
      <c r="HMU141" s="22"/>
      <c r="HMV141" s="22"/>
      <c r="HMW141" s="22"/>
      <c r="HMX141" s="22"/>
      <c r="HMY141" s="22"/>
      <c r="HMZ141" s="22"/>
      <c r="HNA141" s="22"/>
      <c r="HNB141" s="22"/>
      <c r="HNC141" s="22"/>
      <c r="HND141" s="22"/>
      <c r="HNE141" s="22"/>
      <c r="HNF141" s="22"/>
      <c r="HNG141" s="22"/>
      <c r="HNH141" s="22"/>
      <c r="HNI141" s="22"/>
      <c r="HNJ141" s="22"/>
      <c r="HNK141" s="22"/>
      <c r="HNL141" s="22"/>
      <c r="HNM141" s="22"/>
      <c r="HNN141" s="22"/>
      <c r="HNO141" s="22"/>
      <c r="HNP141" s="22"/>
      <c r="HNQ141" s="22"/>
      <c r="HNR141" s="22"/>
      <c r="HNS141" s="22"/>
      <c r="HNT141" s="22"/>
      <c r="HNU141" s="22"/>
      <c r="HNV141" s="22"/>
      <c r="HNW141" s="22"/>
      <c r="HNX141" s="22"/>
      <c r="HNY141" s="22"/>
      <c r="HNZ141" s="22"/>
      <c r="HOA141" s="22"/>
      <c r="HOB141" s="22"/>
      <c r="HOC141" s="22"/>
      <c r="HOD141" s="22"/>
      <c r="HOE141" s="22"/>
      <c r="HOF141" s="22"/>
      <c r="HOG141" s="22"/>
      <c r="HOH141" s="22"/>
      <c r="HOI141" s="22"/>
      <c r="HOJ141" s="22"/>
      <c r="HOK141" s="22"/>
      <c r="HOL141" s="22"/>
      <c r="HOM141" s="22"/>
      <c r="HON141" s="22"/>
      <c r="HOO141" s="22"/>
      <c r="HOP141" s="22"/>
      <c r="HOQ141" s="22"/>
      <c r="HOR141" s="22"/>
      <c r="HOS141" s="22"/>
      <c r="HOT141" s="22"/>
      <c r="HOU141" s="22"/>
      <c r="HOV141" s="22"/>
      <c r="HOW141" s="22"/>
      <c r="HOX141" s="22"/>
      <c r="HOY141" s="22"/>
      <c r="HOZ141" s="22"/>
      <c r="HPA141" s="22"/>
      <c r="HPB141" s="22"/>
      <c r="HPC141" s="22"/>
      <c r="HPD141" s="22"/>
      <c r="HPE141" s="22"/>
      <c r="HPF141" s="22"/>
      <c r="HPG141" s="22"/>
      <c r="HPH141" s="22"/>
      <c r="HPI141" s="22"/>
      <c r="HPJ141" s="22"/>
      <c r="HPK141" s="22"/>
      <c r="HPL141" s="22"/>
      <c r="HPM141" s="22"/>
      <c r="HPN141" s="22"/>
      <c r="HPO141" s="22"/>
      <c r="HPP141" s="22"/>
      <c r="HPQ141" s="22"/>
      <c r="HPR141" s="22"/>
      <c r="HPS141" s="22"/>
      <c r="HPT141" s="22"/>
      <c r="HPU141" s="22"/>
      <c r="HPV141" s="22"/>
      <c r="HPW141" s="22"/>
      <c r="HPX141" s="22"/>
      <c r="HPY141" s="22"/>
      <c r="HPZ141" s="22"/>
      <c r="HQA141" s="22"/>
      <c r="HQB141" s="22"/>
      <c r="HQC141" s="22"/>
      <c r="HQD141" s="22"/>
      <c r="HQE141" s="22"/>
      <c r="HQF141" s="22"/>
      <c r="HQG141" s="22"/>
      <c r="HQH141" s="22"/>
      <c r="HQI141" s="22"/>
      <c r="HQJ141" s="22"/>
      <c r="HQK141" s="22"/>
      <c r="HQL141" s="22"/>
      <c r="HQM141" s="22"/>
      <c r="HQN141" s="22"/>
      <c r="HQO141" s="22"/>
      <c r="HQP141" s="22"/>
      <c r="HQQ141" s="22"/>
      <c r="HQR141" s="22"/>
      <c r="HQS141" s="22"/>
      <c r="HQT141" s="22"/>
      <c r="HQU141" s="22"/>
      <c r="HQV141" s="22"/>
      <c r="HQW141" s="22"/>
      <c r="HQX141" s="22"/>
      <c r="HQY141" s="22"/>
      <c r="HQZ141" s="22"/>
      <c r="HRA141" s="22"/>
      <c r="HRB141" s="22"/>
      <c r="HRC141" s="22"/>
      <c r="HRD141" s="22"/>
      <c r="HRE141" s="22"/>
      <c r="HRF141" s="22"/>
      <c r="HRG141" s="22"/>
      <c r="HRH141" s="22"/>
      <c r="HRI141" s="22"/>
      <c r="HRJ141" s="22"/>
      <c r="HRK141" s="22"/>
      <c r="HRL141" s="22"/>
      <c r="HRM141" s="22"/>
      <c r="HRN141" s="22"/>
      <c r="HRO141" s="22"/>
      <c r="HRP141" s="22"/>
      <c r="HRQ141" s="22"/>
      <c r="HRR141" s="22"/>
      <c r="HRS141" s="22"/>
      <c r="HRT141" s="22"/>
      <c r="HRU141" s="22"/>
      <c r="HRV141" s="22"/>
      <c r="HRW141" s="22"/>
      <c r="HRX141" s="22"/>
      <c r="HRY141" s="22"/>
      <c r="HRZ141" s="22"/>
      <c r="HSA141" s="22"/>
      <c r="HSB141" s="22"/>
      <c r="HSC141" s="22"/>
      <c r="HSD141" s="22"/>
      <c r="HSE141" s="22"/>
      <c r="HSF141" s="22"/>
      <c r="HSG141" s="22"/>
      <c r="HSH141" s="22"/>
      <c r="HSI141" s="22"/>
      <c r="HSJ141" s="22"/>
      <c r="HSK141" s="22"/>
      <c r="HSL141" s="22"/>
      <c r="HSM141" s="22"/>
      <c r="HSN141" s="22"/>
      <c r="HSO141" s="22"/>
      <c r="HSP141" s="22"/>
      <c r="HSQ141" s="22"/>
      <c r="HSR141" s="22"/>
      <c r="HSS141" s="22"/>
      <c r="HST141" s="22"/>
      <c r="HSU141" s="22"/>
      <c r="HSV141" s="22"/>
      <c r="HSW141" s="22"/>
      <c r="HSX141" s="22"/>
      <c r="HSY141" s="22"/>
      <c r="HSZ141" s="22"/>
      <c r="HTA141" s="22"/>
      <c r="HTB141" s="22"/>
      <c r="HTC141" s="22"/>
      <c r="HTD141" s="22"/>
      <c r="HTE141" s="22"/>
      <c r="HTF141" s="22"/>
      <c r="HTG141" s="22"/>
      <c r="HTH141" s="22"/>
      <c r="HTI141" s="22"/>
      <c r="HTJ141" s="22"/>
      <c r="HTK141" s="22"/>
      <c r="HTL141" s="22"/>
      <c r="HTM141" s="22"/>
      <c r="HTN141" s="22"/>
      <c r="HTO141" s="22"/>
      <c r="HTP141" s="22"/>
      <c r="HTQ141" s="22"/>
      <c r="HTR141" s="22"/>
      <c r="HTS141" s="22"/>
      <c r="HTT141" s="22"/>
      <c r="HTU141" s="22"/>
      <c r="HTV141" s="22"/>
      <c r="HTW141" s="22"/>
      <c r="HTX141" s="22"/>
      <c r="HTY141" s="22"/>
      <c r="HTZ141" s="22"/>
      <c r="HUA141" s="22"/>
      <c r="HUB141" s="22"/>
      <c r="HUC141" s="22"/>
      <c r="HUD141" s="22"/>
      <c r="HUE141" s="22"/>
      <c r="HUF141" s="22"/>
      <c r="HUG141" s="22"/>
      <c r="HUH141" s="22"/>
      <c r="HUI141" s="22"/>
      <c r="HUJ141" s="22"/>
      <c r="HUK141" s="22"/>
      <c r="HUL141" s="22"/>
      <c r="HUM141" s="22"/>
      <c r="HUN141" s="22"/>
      <c r="HUO141" s="22"/>
      <c r="HUP141" s="22"/>
      <c r="HUQ141" s="22"/>
      <c r="HUR141" s="22"/>
      <c r="HUS141" s="22"/>
      <c r="HUT141" s="22"/>
      <c r="HUU141" s="22"/>
      <c r="HUV141" s="22"/>
      <c r="HUW141" s="22"/>
      <c r="HUX141" s="22"/>
      <c r="HUY141" s="22"/>
      <c r="HUZ141" s="22"/>
      <c r="HVA141" s="22"/>
      <c r="HVB141" s="22"/>
      <c r="HVC141" s="22"/>
      <c r="HVD141" s="22"/>
      <c r="HVE141" s="22"/>
      <c r="HVF141" s="22"/>
      <c r="HVG141" s="22"/>
      <c r="HVH141" s="22"/>
      <c r="HVI141" s="22"/>
      <c r="HVJ141" s="22"/>
      <c r="HVK141" s="22"/>
      <c r="HVL141" s="22"/>
      <c r="HVM141" s="22"/>
      <c r="HVN141" s="22"/>
      <c r="HVO141" s="22"/>
      <c r="HVP141" s="22"/>
      <c r="HVQ141" s="22"/>
      <c r="HVR141" s="22"/>
      <c r="HVS141" s="22"/>
      <c r="HVT141" s="22"/>
      <c r="HVU141" s="22"/>
      <c r="HVV141" s="22"/>
      <c r="HVW141" s="22"/>
      <c r="HVX141" s="22"/>
      <c r="HVY141" s="22"/>
      <c r="HVZ141" s="22"/>
      <c r="HWA141" s="22"/>
      <c r="HWB141" s="22"/>
      <c r="HWC141" s="22"/>
      <c r="HWD141" s="22"/>
      <c r="HWE141" s="22"/>
      <c r="HWF141" s="22"/>
      <c r="HWG141" s="22"/>
      <c r="HWH141" s="22"/>
      <c r="HWI141" s="22"/>
      <c r="HWJ141" s="22"/>
      <c r="HWK141" s="22"/>
      <c r="HWL141" s="22"/>
      <c r="HWM141" s="22"/>
      <c r="HWN141" s="22"/>
      <c r="HWO141" s="22"/>
      <c r="HWP141" s="22"/>
      <c r="HWQ141" s="22"/>
      <c r="HWR141" s="22"/>
      <c r="HWS141" s="22"/>
      <c r="HWT141" s="22"/>
      <c r="HWU141" s="22"/>
      <c r="HWV141" s="22"/>
      <c r="HWW141" s="22"/>
      <c r="HWX141" s="22"/>
      <c r="HWY141" s="22"/>
      <c r="HWZ141" s="22"/>
      <c r="HXA141" s="22"/>
      <c r="HXB141" s="22"/>
      <c r="HXC141" s="22"/>
      <c r="HXD141" s="22"/>
      <c r="HXE141" s="22"/>
      <c r="HXF141" s="22"/>
      <c r="HXG141" s="22"/>
      <c r="HXH141" s="22"/>
      <c r="HXI141" s="22"/>
      <c r="HXJ141" s="22"/>
      <c r="HXK141" s="22"/>
      <c r="HXL141" s="22"/>
      <c r="HXM141" s="22"/>
      <c r="HXN141" s="22"/>
      <c r="HXO141" s="22"/>
      <c r="HXP141" s="22"/>
      <c r="HXQ141" s="22"/>
      <c r="HXR141" s="22"/>
      <c r="HXS141" s="22"/>
      <c r="HXT141" s="22"/>
      <c r="HXU141" s="22"/>
      <c r="HXV141" s="22"/>
      <c r="HXW141" s="22"/>
      <c r="HXX141" s="22"/>
      <c r="HXY141" s="22"/>
      <c r="HXZ141" s="22"/>
      <c r="HYA141" s="22"/>
      <c r="HYB141" s="22"/>
      <c r="HYC141" s="22"/>
      <c r="HYD141" s="22"/>
      <c r="HYE141" s="22"/>
      <c r="HYF141" s="22"/>
      <c r="HYG141" s="22"/>
      <c r="HYH141" s="22"/>
      <c r="HYI141" s="22"/>
      <c r="HYJ141" s="22"/>
      <c r="HYK141" s="22"/>
      <c r="HYL141" s="22"/>
      <c r="HYM141" s="22"/>
      <c r="HYN141" s="22"/>
      <c r="HYO141" s="22"/>
      <c r="HYP141" s="22"/>
      <c r="HYQ141" s="22"/>
      <c r="HYR141" s="22"/>
      <c r="HYS141" s="22"/>
      <c r="HYT141" s="22"/>
      <c r="HYU141" s="22"/>
      <c r="HYV141" s="22"/>
      <c r="HYW141" s="22"/>
      <c r="HYX141" s="22"/>
      <c r="HYY141" s="22"/>
      <c r="HYZ141" s="22"/>
      <c r="HZA141" s="22"/>
      <c r="HZB141" s="22"/>
      <c r="HZC141" s="22"/>
      <c r="HZD141" s="22"/>
      <c r="HZE141" s="22"/>
      <c r="HZF141" s="22"/>
      <c r="HZG141" s="22"/>
      <c r="HZH141" s="22"/>
      <c r="HZI141" s="22"/>
      <c r="HZJ141" s="22"/>
      <c r="HZK141" s="22"/>
      <c r="HZL141" s="22"/>
      <c r="HZM141" s="22"/>
      <c r="HZN141" s="22"/>
      <c r="HZO141" s="22"/>
      <c r="HZP141" s="22"/>
      <c r="HZQ141" s="22"/>
      <c r="HZR141" s="22"/>
      <c r="HZS141" s="22"/>
      <c r="HZT141" s="22"/>
      <c r="HZU141" s="22"/>
      <c r="HZV141" s="22"/>
      <c r="HZW141" s="22"/>
      <c r="HZX141" s="22"/>
      <c r="HZY141" s="22"/>
      <c r="HZZ141" s="22"/>
      <c r="IAA141" s="22"/>
      <c r="IAB141" s="22"/>
      <c r="IAC141" s="22"/>
      <c r="IAD141" s="22"/>
      <c r="IAE141" s="22"/>
      <c r="IAF141" s="22"/>
      <c r="IAG141" s="22"/>
      <c r="IAH141" s="22"/>
      <c r="IAI141" s="22"/>
      <c r="IAJ141" s="22"/>
      <c r="IAK141" s="22"/>
      <c r="IAL141" s="22"/>
      <c r="IAM141" s="22"/>
      <c r="IAN141" s="22"/>
      <c r="IAO141" s="22"/>
      <c r="IAP141" s="22"/>
      <c r="IAQ141" s="22"/>
      <c r="IAR141" s="22"/>
      <c r="IAS141" s="22"/>
      <c r="IAT141" s="22"/>
      <c r="IAU141" s="22"/>
      <c r="IAV141" s="22"/>
      <c r="IAW141" s="22"/>
      <c r="IAX141" s="22"/>
      <c r="IAY141" s="22"/>
      <c r="IAZ141" s="22"/>
      <c r="IBA141" s="22"/>
      <c r="IBB141" s="22"/>
      <c r="IBC141" s="22"/>
      <c r="IBD141" s="22"/>
      <c r="IBE141" s="22"/>
      <c r="IBF141" s="22"/>
      <c r="IBG141" s="22"/>
      <c r="IBH141" s="22"/>
      <c r="IBI141" s="22"/>
      <c r="IBJ141" s="22"/>
      <c r="IBK141" s="22"/>
      <c r="IBL141" s="22"/>
      <c r="IBM141" s="22"/>
      <c r="IBN141" s="22"/>
      <c r="IBO141" s="22"/>
      <c r="IBP141" s="22"/>
      <c r="IBQ141" s="22"/>
      <c r="IBR141" s="22"/>
      <c r="IBS141" s="22"/>
      <c r="IBT141" s="22"/>
      <c r="IBU141" s="22"/>
      <c r="IBV141" s="22"/>
      <c r="IBW141" s="22"/>
      <c r="IBX141" s="22"/>
      <c r="IBY141" s="22"/>
      <c r="IBZ141" s="22"/>
      <c r="ICA141" s="22"/>
      <c r="ICB141" s="22"/>
      <c r="ICC141" s="22"/>
      <c r="ICD141" s="22"/>
      <c r="ICE141" s="22"/>
      <c r="ICF141" s="22"/>
      <c r="ICG141" s="22"/>
      <c r="ICH141" s="22"/>
      <c r="ICI141" s="22"/>
      <c r="ICJ141" s="22"/>
      <c r="ICK141" s="22"/>
      <c r="ICL141" s="22"/>
      <c r="ICM141" s="22"/>
      <c r="ICN141" s="22"/>
      <c r="ICO141" s="22"/>
      <c r="ICP141" s="22"/>
      <c r="ICQ141" s="22"/>
      <c r="ICR141" s="22"/>
      <c r="ICS141" s="22"/>
      <c r="ICT141" s="22"/>
      <c r="ICU141" s="22"/>
      <c r="ICV141" s="22"/>
      <c r="ICW141" s="22"/>
      <c r="ICX141" s="22"/>
      <c r="ICY141" s="22"/>
      <c r="ICZ141" s="22"/>
      <c r="IDA141" s="22"/>
      <c r="IDB141" s="22"/>
      <c r="IDC141" s="22"/>
      <c r="IDD141" s="22"/>
      <c r="IDE141" s="22"/>
      <c r="IDF141" s="22"/>
      <c r="IDG141" s="22"/>
      <c r="IDH141" s="22"/>
      <c r="IDI141" s="22"/>
      <c r="IDJ141" s="22"/>
      <c r="IDK141" s="22"/>
      <c r="IDL141" s="22"/>
      <c r="IDM141" s="22"/>
      <c r="IDN141" s="22"/>
      <c r="IDO141" s="22"/>
      <c r="IDP141" s="22"/>
      <c r="IDQ141" s="22"/>
      <c r="IDR141" s="22"/>
      <c r="IDS141" s="22"/>
      <c r="IDT141" s="22"/>
      <c r="IDU141" s="22"/>
      <c r="IDV141" s="22"/>
      <c r="IDW141" s="22"/>
      <c r="IDX141" s="22"/>
      <c r="IDY141" s="22"/>
      <c r="IDZ141" s="22"/>
      <c r="IEA141" s="22"/>
      <c r="IEB141" s="22"/>
      <c r="IEC141" s="22"/>
      <c r="IED141" s="22"/>
      <c r="IEE141" s="22"/>
      <c r="IEF141" s="22"/>
      <c r="IEG141" s="22"/>
      <c r="IEH141" s="22"/>
      <c r="IEI141" s="22"/>
      <c r="IEJ141" s="22"/>
      <c r="IEK141" s="22"/>
      <c r="IEL141" s="22"/>
      <c r="IEM141" s="22"/>
      <c r="IEN141" s="22"/>
      <c r="IEO141" s="22"/>
      <c r="IEP141" s="22"/>
      <c r="IEQ141" s="22"/>
      <c r="IER141" s="22"/>
      <c r="IES141" s="22"/>
      <c r="IET141" s="22"/>
      <c r="IEU141" s="22"/>
      <c r="IEV141" s="22"/>
      <c r="IEW141" s="22"/>
      <c r="IEX141" s="22"/>
      <c r="IEY141" s="22"/>
      <c r="IEZ141" s="22"/>
      <c r="IFA141" s="22"/>
      <c r="IFB141" s="22"/>
      <c r="IFC141" s="22"/>
      <c r="IFD141" s="22"/>
      <c r="IFE141" s="22"/>
      <c r="IFF141" s="22"/>
      <c r="IFG141" s="22"/>
      <c r="IFH141" s="22"/>
      <c r="IFI141" s="22"/>
      <c r="IFJ141" s="22"/>
      <c r="IFK141" s="22"/>
      <c r="IFL141" s="22"/>
      <c r="IFM141" s="22"/>
      <c r="IFN141" s="22"/>
      <c r="IFO141" s="22"/>
      <c r="IFP141" s="22"/>
      <c r="IFQ141" s="22"/>
      <c r="IFR141" s="22"/>
      <c r="IFS141" s="22"/>
      <c r="IFT141" s="22"/>
      <c r="IFU141" s="22"/>
      <c r="IFV141" s="22"/>
      <c r="IFW141" s="22"/>
      <c r="IFX141" s="22"/>
      <c r="IFY141" s="22"/>
      <c r="IFZ141" s="22"/>
      <c r="IGA141" s="22"/>
      <c r="IGB141" s="22"/>
      <c r="IGC141" s="22"/>
      <c r="IGD141" s="22"/>
      <c r="IGE141" s="22"/>
      <c r="IGF141" s="22"/>
      <c r="IGG141" s="22"/>
      <c r="IGH141" s="22"/>
      <c r="IGI141" s="22"/>
      <c r="IGJ141" s="22"/>
      <c r="IGK141" s="22"/>
      <c r="IGL141" s="22"/>
      <c r="IGM141" s="22"/>
      <c r="IGN141" s="22"/>
      <c r="IGO141" s="22"/>
      <c r="IGP141" s="22"/>
      <c r="IGQ141" s="22"/>
      <c r="IGR141" s="22"/>
      <c r="IGS141" s="22"/>
      <c r="IGT141" s="22"/>
      <c r="IGU141" s="22"/>
      <c r="IGV141" s="22"/>
      <c r="IGW141" s="22"/>
      <c r="IGX141" s="22"/>
      <c r="IGY141" s="22"/>
      <c r="IGZ141" s="22"/>
      <c r="IHA141" s="22"/>
      <c r="IHB141" s="22"/>
      <c r="IHC141" s="22"/>
      <c r="IHD141" s="22"/>
      <c r="IHE141" s="22"/>
      <c r="IHF141" s="22"/>
      <c r="IHG141" s="22"/>
      <c r="IHH141" s="22"/>
      <c r="IHI141" s="22"/>
      <c r="IHJ141" s="22"/>
      <c r="IHK141" s="22"/>
      <c r="IHL141" s="22"/>
      <c r="IHM141" s="22"/>
      <c r="IHN141" s="22"/>
      <c r="IHO141" s="22"/>
      <c r="IHP141" s="22"/>
      <c r="IHQ141" s="22"/>
      <c r="IHR141" s="22"/>
      <c r="IHS141" s="22"/>
      <c r="IHT141" s="22"/>
      <c r="IHU141" s="22"/>
      <c r="IHV141" s="22"/>
      <c r="IHW141" s="22"/>
      <c r="IHX141" s="22"/>
      <c r="IHY141" s="22"/>
      <c r="IHZ141" s="22"/>
      <c r="IIA141" s="22"/>
      <c r="IIB141" s="22"/>
      <c r="IIC141" s="22"/>
      <c r="IID141" s="22"/>
      <c r="IIE141" s="22"/>
      <c r="IIF141" s="22"/>
      <c r="IIG141" s="22"/>
      <c r="IIH141" s="22"/>
      <c r="III141" s="22"/>
      <c r="IIJ141" s="22"/>
      <c r="IIK141" s="22"/>
      <c r="IIL141" s="22"/>
      <c r="IIM141" s="22"/>
      <c r="IIN141" s="22"/>
      <c r="IIO141" s="22"/>
      <c r="IIP141" s="22"/>
      <c r="IIQ141" s="22"/>
      <c r="IIR141" s="22"/>
      <c r="IIS141" s="22"/>
      <c r="IIT141" s="22"/>
      <c r="IIU141" s="22"/>
      <c r="IIV141" s="22"/>
      <c r="IIW141" s="22"/>
      <c r="IIX141" s="22"/>
      <c r="IIY141" s="22"/>
      <c r="IIZ141" s="22"/>
      <c r="IJA141" s="22"/>
      <c r="IJB141" s="22"/>
      <c r="IJC141" s="22"/>
      <c r="IJD141" s="22"/>
      <c r="IJE141" s="22"/>
      <c r="IJF141" s="22"/>
      <c r="IJG141" s="22"/>
      <c r="IJH141" s="22"/>
      <c r="IJI141" s="22"/>
      <c r="IJJ141" s="22"/>
      <c r="IJK141" s="22"/>
      <c r="IJL141" s="22"/>
      <c r="IJM141" s="22"/>
      <c r="IJN141" s="22"/>
      <c r="IJO141" s="22"/>
      <c r="IJP141" s="22"/>
      <c r="IJQ141" s="22"/>
      <c r="IJR141" s="22"/>
      <c r="IJS141" s="22"/>
      <c r="IJT141" s="22"/>
      <c r="IJU141" s="22"/>
      <c r="IJV141" s="22"/>
      <c r="IJW141" s="22"/>
      <c r="IJX141" s="22"/>
      <c r="IJY141" s="22"/>
      <c r="IJZ141" s="22"/>
      <c r="IKA141" s="22"/>
      <c r="IKB141" s="22"/>
      <c r="IKC141" s="22"/>
      <c r="IKD141" s="22"/>
      <c r="IKE141" s="22"/>
      <c r="IKF141" s="22"/>
      <c r="IKG141" s="22"/>
      <c r="IKH141" s="22"/>
      <c r="IKI141" s="22"/>
      <c r="IKJ141" s="22"/>
      <c r="IKK141" s="22"/>
      <c r="IKL141" s="22"/>
      <c r="IKM141" s="22"/>
      <c r="IKN141" s="22"/>
      <c r="IKO141" s="22"/>
      <c r="IKP141" s="22"/>
      <c r="IKQ141" s="22"/>
      <c r="IKR141" s="22"/>
      <c r="IKS141" s="22"/>
      <c r="IKT141" s="22"/>
      <c r="IKU141" s="22"/>
      <c r="IKV141" s="22"/>
      <c r="IKW141" s="22"/>
      <c r="IKX141" s="22"/>
      <c r="IKY141" s="22"/>
      <c r="IKZ141" s="22"/>
      <c r="ILA141" s="22"/>
      <c r="ILB141" s="22"/>
      <c r="ILC141" s="22"/>
      <c r="ILD141" s="22"/>
      <c r="ILE141" s="22"/>
      <c r="ILF141" s="22"/>
      <c r="ILG141" s="22"/>
      <c r="ILH141" s="22"/>
      <c r="ILI141" s="22"/>
      <c r="ILJ141" s="22"/>
      <c r="ILK141" s="22"/>
      <c r="ILL141" s="22"/>
      <c r="ILM141" s="22"/>
      <c r="ILN141" s="22"/>
      <c r="ILO141" s="22"/>
      <c r="ILP141" s="22"/>
      <c r="ILQ141" s="22"/>
      <c r="ILR141" s="22"/>
      <c r="ILS141" s="22"/>
      <c r="ILT141" s="22"/>
      <c r="ILU141" s="22"/>
      <c r="ILV141" s="22"/>
      <c r="ILW141" s="22"/>
      <c r="ILX141" s="22"/>
      <c r="ILY141" s="22"/>
      <c r="ILZ141" s="22"/>
      <c r="IMA141" s="22"/>
      <c r="IMB141" s="22"/>
      <c r="IMC141" s="22"/>
      <c r="IMD141" s="22"/>
      <c r="IME141" s="22"/>
      <c r="IMF141" s="22"/>
      <c r="IMG141" s="22"/>
      <c r="IMH141" s="22"/>
      <c r="IMI141" s="22"/>
      <c r="IMJ141" s="22"/>
      <c r="IMK141" s="22"/>
      <c r="IML141" s="22"/>
      <c r="IMM141" s="22"/>
      <c r="IMN141" s="22"/>
      <c r="IMO141" s="22"/>
      <c r="IMP141" s="22"/>
      <c r="IMQ141" s="22"/>
      <c r="IMR141" s="22"/>
      <c r="IMS141" s="22"/>
      <c r="IMT141" s="22"/>
      <c r="IMU141" s="22"/>
      <c r="IMV141" s="22"/>
      <c r="IMW141" s="22"/>
      <c r="IMX141" s="22"/>
      <c r="IMY141" s="22"/>
      <c r="IMZ141" s="22"/>
      <c r="INA141" s="22"/>
      <c r="INB141" s="22"/>
      <c r="INC141" s="22"/>
      <c r="IND141" s="22"/>
      <c r="INE141" s="22"/>
      <c r="INF141" s="22"/>
      <c r="ING141" s="22"/>
      <c r="INH141" s="22"/>
      <c r="INI141" s="22"/>
      <c r="INJ141" s="22"/>
      <c r="INK141" s="22"/>
      <c r="INL141" s="22"/>
      <c r="INM141" s="22"/>
      <c r="INN141" s="22"/>
      <c r="INO141" s="22"/>
      <c r="INP141" s="22"/>
      <c r="INQ141" s="22"/>
      <c r="INR141" s="22"/>
      <c r="INS141" s="22"/>
      <c r="INT141" s="22"/>
      <c r="INU141" s="22"/>
      <c r="INV141" s="22"/>
      <c r="INW141" s="22"/>
      <c r="INX141" s="22"/>
      <c r="INY141" s="22"/>
      <c r="INZ141" s="22"/>
      <c r="IOA141" s="22"/>
      <c r="IOB141" s="22"/>
      <c r="IOC141" s="22"/>
      <c r="IOD141" s="22"/>
      <c r="IOE141" s="22"/>
      <c r="IOF141" s="22"/>
      <c r="IOG141" s="22"/>
      <c r="IOH141" s="22"/>
      <c r="IOI141" s="22"/>
      <c r="IOJ141" s="22"/>
      <c r="IOK141" s="22"/>
      <c r="IOL141" s="22"/>
      <c r="IOM141" s="22"/>
      <c r="ION141" s="22"/>
      <c r="IOO141" s="22"/>
      <c r="IOP141" s="22"/>
      <c r="IOQ141" s="22"/>
      <c r="IOR141" s="22"/>
      <c r="IOS141" s="22"/>
      <c r="IOT141" s="22"/>
      <c r="IOU141" s="22"/>
      <c r="IOV141" s="22"/>
      <c r="IOW141" s="22"/>
      <c r="IOX141" s="22"/>
      <c r="IOY141" s="22"/>
      <c r="IOZ141" s="22"/>
      <c r="IPA141" s="22"/>
      <c r="IPB141" s="22"/>
      <c r="IPC141" s="22"/>
      <c r="IPD141" s="22"/>
      <c r="IPE141" s="22"/>
      <c r="IPF141" s="22"/>
      <c r="IPG141" s="22"/>
      <c r="IPH141" s="22"/>
      <c r="IPI141" s="22"/>
      <c r="IPJ141" s="22"/>
      <c r="IPK141" s="22"/>
      <c r="IPL141" s="22"/>
      <c r="IPM141" s="22"/>
      <c r="IPN141" s="22"/>
      <c r="IPO141" s="22"/>
      <c r="IPP141" s="22"/>
      <c r="IPQ141" s="22"/>
      <c r="IPR141" s="22"/>
      <c r="IPS141" s="22"/>
      <c r="IPT141" s="22"/>
      <c r="IPU141" s="22"/>
      <c r="IPV141" s="22"/>
      <c r="IPW141" s="22"/>
      <c r="IPX141" s="22"/>
      <c r="IPY141" s="22"/>
      <c r="IPZ141" s="22"/>
      <c r="IQA141" s="22"/>
      <c r="IQB141" s="22"/>
      <c r="IQC141" s="22"/>
      <c r="IQD141" s="22"/>
      <c r="IQE141" s="22"/>
      <c r="IQF141" s="22"/>
      <c r="IQG141" s="22"/>
      <c r="IQH141" s="22"/>
      <c r="IQI141" s="22"/>
      <c r="IQJ141" s="22"/>
      <c r="IQK141" s="22"/>
      <c r="IQL141" s="22"/>
      <c r="IQM141" s="22"/>
      <c r="IQN141" s="22"/>
      <c r="IQO141" s="22"/>
      <c r="IQP141" s="22"/>
      <c r="IQQ141" s="22"/>
      <c r="IQR141" s="22"/>
      <c r="IQS141" s="22"/>
      <c r="IQT141" s="22"/>
      <c r="IQU141" s="22"/>
      <c r="IQV141" s="22"/>
      <c r="IQW141" s="22"/>
      <c r="IQX141" s="22"/>
      <c r="IQY141" s="22"/>
      <c r="IQZ141" s="22"/>
      <c r="IRA141" s="22"/>
      <c r="IRB141" s="22"/>
      <c r="IRC141" s="22"/>
      <c r="IRD141" s="22"/>
      <c r="IRE141" s="22"/>
      <c r="IRF141" s="22"/>
      <c r="IRG141" s="22"/>
      <c r="IRH141" s="22"/>
      <c r="IRI141" s="22"/>
      <c r="IRJ141" s="22"/>
      <c r="IRK141" s="22"/>
      <c r="IRL141" s="22"/>
      <c r="IRM141" s="22"/>
      <c r="IRN141" s="22"/>
      <c r="IRO141" s="22"/>
      <c r="IRP141" s="22"/>
      <c r="IRQ141" s="22"/>
      <c r="IRR141" s="22"/>
      <c r="IRS141" s="22"/>
      <c r="IRT141" s="22"/>
      <c r="IRU141" s="22"/>
      <c r="IRV141" s="22"/>
      <c r="IRW141" s="22"/>
      <c r="IRX141" s="22"/>
      <c r="IRY141" s="22"/>
      <c r="IRZ141" s="22"/>
      <c r="ISA141" s="22"/>
      <c r="ISB141" s="22"/>
      <c r="ISC141" s="22"/>
      <c r="ISD141" s="22"/>
      <c r="ISE141" s="22"/>
      <c r="ISF141" s="22"/>
      <c r="ISG141" s="22"/>
      <c r="ISH141" s="22"/>
      <c r="ISI141" s="22"/>
      <c r="ISJ141" s="22"/>
      <c r="ISK141" s="22"/>
      <c r="ISL141" s="22"/>
      <c r="ISM141" s="22"/>
      <c r="ISN141" s="22"/>
      <c r="ISO141" s="22"/>
      <c r="ISP141" s="22"/>
      <c r="ISQ141" s="22"/>
      <c r="ISR141" s="22"/>
      <c r="ISS141" s="22"/>
      <c r="IST141" s="22"/>
      <c r="ISU141" s="22"/>
      <c r="ISV141" s="22"/>
      <c r="ISW141" s="22"/>
      <c r="ISX141" s="22"/>
      <c r="ISY141" s="22"/>
      <c r="ISZ141" s="22"/>
      <c r="ITA141" s="22"/>
      <c r="ITB141" s="22"/>
      <c r="ITC141" s="22"/>
      <c r="ITD141" s="22"/>
      <c r="ITE141" s="22"/>
      <c r="ITF141" s="22"/>
      <c r="ITG141" s="22"/>
      <c r="ITH141" s="22"/>
      <c r="ITI141" s="22"/>
      <c r="ITJ141" s="22"/>
      <c r="ITK141" s="22"/>
      <c r="ITL141" s="22"/>
      <c r="ITM141" s="22"/>
      <c r="ITN141" s="22"/>
      <c r="ITO141" s="22"/>
      <c r="ITP141" s="22"/>
      <c r="ITQ141" s="22"/>
      <c r="ITR141" s="22"/>
      <c r="ITS141" s="22"/>
      <c r="ITT141" s="22"/>
      <c r="ITU141" s="22"/>
      <c r="ITV141" s="22"/>
      <c r="ITW141" s="22"/>
      <c r="ITX141" s="22"/>
      <c r="ITY141" s="22"/>
      <c r="ITZ141" s="22"/>
      <c r="IUA141" s="22"/>
      <c r="IUB141" s="22"/>
      <c r="IUC141" s="22"/>
      <c r="IUD141" s="22"/>
      <c r="IUE141" s="22"/>
      <c r="IUF141" s="22"/>
      <c r="IUG141" s="22"/>
      <c r="IUH141" s="22"/>
      <c r="IUI141" s="22"/>
      <c r="IUJ141" s="22"/>
      <c r="IUK141" s="22"/>
      <c r="IUL141" s="22"/>
      <c r="IUM141" s="22"/>
      <c r="IUN141" s="22"/>
      <c r="IUO141" s="22"/>
      <c r="IUP141" s="22"/>
      <c r="IUQ141" s="22"/>
      <c r="IUR141" s="22"/>
      <c r="IUS141" s="22"/>
      <c r="IUT141" s="22"/>
      <c r="IUU141" s="22"/>
      <c r="IUV141" s="22"/>
      <c r="IUW141" s="22"/>
      <c r="IUX141" s="22"/>
      <c r="IUY141" s="22"/>
      <c r="IUZ141" s="22"/>
      <c r="IVA141" s="22"/>
      <c r="IVB141" s="22"/>
      <c r="IVC141" s="22"/>
      <c r="IVD141" s="22"/>
      <c r="IVE141" s="22"/>
      <c r="IVF141" s="22"/>
      <c r="IVG141" s="22"/>
      <c r="IVH141" s="22"/>
      <c r="IVI141" s="22"/>
      <c r="IVJ141" s="22"/>
      <c r="IVK141" s="22"/>
      <c r="IVL141" s="22"/>
      <c r="IVM141" s="22"/>
      <c r="IVN141" s="22"/>
      <c r="IVO141" s="22"/>
      <c r="IVP141" s="22"/>
      <c r="IVQ141" s="22"/>
      <c r="IVR141" s="22"/>
      <c r="IVS141" s="22"/>
      <c r="IVT141" s="22"/>
      <c r="IVU141" s="22"/>
      <c r="IVV141" s="22"/>
      <c r="IVW141" s="22"/>
      <c r="IVX141" s="22"/>
      <c r="IVY141" s="22"/>
      <c r="IVZ141" s="22"/>
      <c r="IWA141" s="22"/>
      <c r="IWB141" s="22"/>
      <c r="IWC141" s="22"/>
      <c r="IWD141" s="22"/>
      <c r="IWE141" s="22"/>
      <c r="IWF141" s="22"/>
      <c r="IWG141" s="22"/>
      <c r="IWH141" s="22"/>
      <c r="IWI141" s="22"/>
      <c r="IWJ141" s="22"/>
      <c r="IWK141" s="22"/>
      <c r="IWL141" s="22"/>
      <c r="IWM141" s="22"/>
      <c r="IWN141" s="22"/>
      <c r="IWO141" s="22"/>
      <c r="IWP141" s="22"/>
      <c r="IWQ141" s="22"/>
      <c r="IWR141" s="22"/>
      <c r="IWS141" s="22"/>
      <c r="IWT141" s="22"/>
      <c r="IWU141" s="22"/>
      <c r="IWV141" s="22"/>
      <c r="IWW141" s="22"/>
      <c r="IWX141" s="22"/>
      <c r="IWY141" s="22"/>
      <c r="IWZ141" s="22"/>
      <c r="IXA141" s="22"/>
      <c r="IXB141" s="22"/>
      <c r="IXC141" s="22"/>
      <c r="IXD141" s="22"/>
      <c r="IXE141" s="22"/>
      <c r="IXF141" s="22"/>
      <c r="IXG141" s="22"/>
      <c r="IXH141" s="22"/>
      <c r="IXI141" s="22"/>
      <c r="IXJ141" s="22"/>
      <c r="IXK141" s="22"/>
      <c r="IXL141" s="22"/>
      <c r="IXM141" s="22"/>
      <c r="IXN141" s="22"/>
      <c r="IXO141" s="22"/>
      <c r="IXP141" s="22"/>
      <c r="IXQ141" s="22"/>
      <c r="IXR141" s="22"/>
      <c r="IXS141" s="22"/>
      <c r="IXT141" s="22"/>
      <c r="IXU141" s="22"/>
      <c r="IXV141" s="22"/>
      <c r="IXW141" s="22"/>
      <c r="IXX141" s="22"/>
      <c r="IXY141" s="22"/>
      <c r="IXZ141" s="22"/>
      <c r="IYA141" s="22"/>
      <c r="IYB141" s="22"/>
      <c r="IYC141" s="22"/>
      <c r="IYD141" s="22"/>
      <c r="IYE141" s="22"/>
      <c r="IYF141" s="22"/>
      <c r="IYG141" s="22"/>
      <c r="IYH141" s="22"/>
      <c r="IYI141" s="22"/>
      <c r="IYJ141" s="22"/>
      <c r="IYK141" s="22"/>
      <c r="IYL141" s="22"/>
      <c r="IYM141" s="22"/>
      <c r="IYN141" s="22"/>
      <c r="IYO141" s="22"/>
      <c r="IYP141" s="22"/>
      <c r="IYQ141" s="22"/>
      <c r="IYR141" s="22"/>
      <c r="IYS141" s="22"/>
      <c r="IYT141" s="22"/>
      <c r="IYU141" s="22"/>
      <c r="IYV141" s="22"/>
      <c r="IYW141" s="22"/>
      <c r="IYX141" s="22"/>
      <c r="IYY141" s="22"/>
      <c r="IYZ141" s="22"/>
      <c r="IZA141" s="22"/>
      <c r="IZB141" s="22"/>
      <c r="IZC141" s="22"/>
      <c r="IZD141" s="22"/>
      <c r="IZE141" s="22"/>
      <c r="IZF141" s="22"/>
      <c r="IZG141" s="22"/>
      <c r="IZH141" s="22"/>
      <c r="IZI141" s="22"/>
      <c r="IZJ141" s="22"/>
      <c r="IZK141" s="22"/>
      <c r="IZL141" s="22"/>
      <c r="IZM141" s="22"/>
      <c r="IZN141" s="22"/>
      <c r="IZO141" s="22"/>
      <c r="IZP141" s="22"/>
      <c r="IZQ141" s="22"/>
      <c r="IZR141" s="22"/>
      <c r="IZS141" s="22"/>
      <c r="IZT141" s="22"/>
      <c r="IZU141" s="22"/>
      <c r="IZV141" s="22"/>
      <c r="IZW141" s="22"/>
      <c r="IZX141" s="22"/>
      <c r="IZY141" s="22"/>
      <c r="IZZ141" s="22"/>
      <c r="JAA141" s="22"/>
      <c r="JAB141" s="22"/>
      <c r="JAC141" s="22"/>
      <c r="JAD141" s="22"/>
      <c r="JAE141" s="22"/>
      <c r="JAF141" s="22"/>
      <c r="JAG141" s="22"/>
      <c r="JAH141" s="22"/>
      <c r="JAI141" s="22"/>
      <c r="JAJ141" s="22"/>
      <c r="JAK141" s="22"/>
      <c r="JAL141" s="22"/>
      <c r="JAM141" s="22"/>
      <c r="JAN141" s="22"/>
      <c r="JAO141" s="22"/>
      <c r="JAP141" s="22"/>
      <c r="JAQ141" s="22"/>
      <c r="JAR141" s="22"/>
      <c r="JAS141" s="22"/>
      <c r="JAT141" s="22"/>
      <c r="JAU141" s="22"/>
      <c r="JAV141" s="22"/>
      <c r="JAW141" s="22"/>
      <c r="JAX141" s="22"/>
      <c r="JAY141" s="22"/>
      <c r="JAZ141" s="22"/>
      <c r="JBA141" s="22"/>
      <c r="JBB141" s="22"/>
      <c r="JBC141" s="22"/>
      <c r="JBD141" s="22"/>
      <c r="JBE141" s="22"/>
      <c r="JBF141" s="22"/>
      <c r="JBG141" s="22"/>
      <c r="JBH141" s="22"/>
      <c r="JBI141" s="22"/>
      <c r="JBJ141" s="22"/>
      <c r="JBK141" s="22"/>
      <c r="JBL141" s="22"/>
      <c r="JBM141" s="22"/>
      <c r="JBN141" s="22"/>
      <c r="JBO141" s="22"/>
      <c r="JBP141" s="22"/>
      <c r="JBQ141" s="22"/>
      <c r="JBR141" s="22"/>
      <c r="JBS141" s="22"/>
      <c r="JBT141" s="22"/>
      <c r="JBU141" s="22"/>
      <c r="JBV141" s="22"/>
      <c r="JBW141" s="22"/>
      <c r="JBX141" s="22"/>
      <c r="JBY141" s="22"/>
      <c r="JBZ141" s="22"/>
      <c r="JCA141" s="22"/>
      <c r="JCB141" s="22"/>
      <c r="JCC141" s="22"/>
      <c r="JCD141" s="22"/>
      <c r="JCE141" s="22"/>
      <c r="JCF141" s="22"/>
      <c r="JCG141" s="22"/>
      <c r="JCH141" s="22"/>
      <c r="JCI141" s="22"/>
      <c r="JCJ141" s="22"/>
      <c r="JCK141" s="22"/>
      <c r="JCL141" s="22"/>
      <c r="JCM141" s="22"/>
      <c r="JCN141" s="22"/>
      <c r="JCO141" s="22"/>
      <c r="JCP141" s="22"/>
      <c r="JCQ141" s="22"/>
      <c r="JCR141" s="22"/>
      <c r="JCS141" s="22"/>
      <c r="JCT141" s="22"/>
      <c r="JCU141" s="22"/>
      <c r="JCV141" s="22"/>
      <c r="JCW141" s="22"/>
      <c r="JCX141" s="22"/>
      <c r="JCY141" s="22"/>
      <c r="JCZ141" s="22"/>
      <c r="JDA141" s="22"/>
      <c r="JDB141" s="22"/>
      <c r="JDC141" s="22"/>
      <c r="JDD141" s="22"/>
      <c r="JDE141" s="22"/>
      <c r="JDF141" s="22"/>
      <c r="JDG141" s="22"/>
      <c r="JDH141" s="22"/>
      <c r="JDI141" s="22"/>
      <c r="JDJ141" s="22"/>
      <c r="JDK141" s="22"/>
      <c r="JDL141" s="22"/>
      <c r="JDM141" s="22"/>
      <c r="JDN141" s="22"/>
      <c r="JDO141" s="22"/>
      <c r="JDP141" s="22"/>
      <c r="JDQ141" s="22"/>
      <c r="JDR141" s="22"/>
      <c r="JDS141" s="22"/>
      <c r="JDT141" s="22"/>
      <c r="JDU141" s="22"/>
      <c r="JDV141" s="22"/>
      <c r="JDW141" s="22"/>
      <c r="JDX141" s="22"/>
      <c r="JDY141" s="22"/>
      <c r="JDZ141" s="22"/>
      <c r="JEA141" s="22"/>
      <c r="JEB141" s="22"/>
      <c r="JEC141" s="22"/>
      <c r="JED141" s="22"/>
      <c r="JEE141" s="22"/>
      <c r="JEF141" s="22"/>
      <c r="JEG141" s="22"/>
      <c r="JEH141" s="22"/>
      <c r="JEI141" s="22"/>
      <c r="JEJ141" s="22"/>
      <c r="JEK141" s="22"/>
      <c r="JEL141" s="22"/>
      <c r="JEM141" s="22"/>
      <c r="JEN141" s="22"/>
      <c r="JEO141" s="22"/>
      <c r="JEP141" s="22"/>
      <c r="JEQ141" s="22"/>
      <c r="JER141" s="22"/>
      <c r="JES141" s="22"/>
      <c r="JET141" s="22"/>
      <c r="JEU141" s="22"/>
      <c r="JEV141" s="22"/>
      <c r="JEW141" s="22"/>
      <c r="JEX141" s="22"/>
      <c r="JEY141" s="22"/>
      <c r="JEZ141" s="22"/>
      <c r="JFA141" s="22"/>
      <c r="JFB141" s="22"/>
      <c r="JFC141" s="22"/>
      <c r="JFD141" s="22"/>
      <c r="JFE141" s="22"/>
      <c r="JFF141" s="22"/>
      <c r="JFG141" s="22"/>
      <c r="JFH141" s="22"/>
      <c r="JFI141" s="22"/>
      <c r="JFJ141" s="22"/>
      <c r="JFK141" s="22"/>
      <c r="JFL141" s="22"/>
      <c r="JFM141" s="22"/>
      <c r="JFN141" s="22"/>
      <c r="JFO141" s="22"/>
      <c r="JFP141" s="22"/>
      <c r="JFQ141" s="22"/>
      <c r="JFR141" s="22"/>
      <c r="JFS141" s="22"/>
      <c r="JFT141" s="22"/>
      <c r="JFU141" s="22"/>
      <c r="JFV141" s="22"/>
      <c r="JFW141" s="22"/>
      <c r="JFX141" s="22"/>
      <c r="JFY141" s="22"/>
      <c r="JFZ141" s="22"/>
      <c r="JGA141" s="22"/>
      <c r="JGB141" s="22"/>
      <c r="JGC141" s="22"/>
      <c r="JGD141" s="22"/>
      <c r="JGE141" s="22"/>
      <c r="JGF141" s="22"/>
      <c r="JGG141" s="22"/>
      <c r="JGH141" s="22"/>
      <c r="JGI141" s="22"/>
      <c r="JGJ141" s="22"/>
      <c r="JGK141" s="22"/>
      <c r="JGL141" s="22"/>
      <c r="JGM141" s="22"/>
      <c r="JGN141" s="22"/>
      <c r="JGO141" s="22"/>
      <c r="JGP141" s="22"/>
      <c r="JGQ141" s="22"/>
      <c r="JGR141" s="22"/>
      <c r="JGS141" s="22"/>
      <c r="JGT141" s="22"/>
      <c r="JGU141" s="22"/>
      <c r="JGV141" s="22"/>
      <c r="JGW141" s="22"/>
      <c r="JGX141" s="22"/>
      <c r="JGY141" s="22"/>
      <c r="JGZ141" s="22"/>
      <c r="JHA141" s="22"/>
      <c r="JHB141" s="22"/>
      <c r="JHC141" s="22"/>
      <c r="JHD141" s="22"/>
      <c r="JHE141" s="22"/>
      <c r="JHF141" s="22"/>
      <c r="JHG141" s="22"/>
      <c r="JHH141" s="22"/>
      <c r="JHI141" s="22"/>
      <c r="JHJ141" s="22"/>
      <c r="JHK141" s="22"/>
      <c r="JHL141" s="22"/>
      <c r="JHM141" s="22"/>
      <c r="JHN141" s="22"/>
      <c r="JHO141" s="22"/>
      <c r="JHP141" s="22"/>
      <c r="JHQ141" s="22"/>
      <c r="JHR141" s="22"/>
      <c r="JHS141" s="22"/>
      <c r="JHT141" s="22"/>
      <c r="JHU141" s="22"/>
      <c r="JHV141" s="22"/>
      <c r="JHW141" s="22"/>
      <c r="JHX141" s="22"/>
      <c r="JHY141" s="22"/>
      <c r="JHZ141" s="22"/>
      <c r="JIA141" s="22"/>
      <c r="JIB141" s="22"/>
      <c r="JIC141" s="22"/>
      <c r="JID141" s="22"/>
      <c r="JIE141" s="22"/>
      <c r="JIF141" s="22"/>
      <c r="JIG141" s="22"/>
      <c r="JIH141" s="22"/>
      <c r="JII141" s="22"/>
      <c r="JIJ141" s="22"/>
      <c r="JIK141" s="22"/>
      <c r="JIL141" s="22"/>
      <c r="JIM141" s="22"/>
      <c r="JIN141" s="22"/>
      <c r="JIO141" s="22"/>
      <c r="JIP141" s="22"/>
      <c r="JIQ141" s="22"/>
      <c r="JIR141" s="22"/>
      <c r="JIS141" s="22"/>
      <c r="JIT141" s="22"/>
      <c r="JIU141" s="22"/>
      <c r="JIV141" s="22"/>
      <c r="JIW141" s="22"/>
      <c r="JIX141" s="22"/>
      <c r="JIY141" s="22"/>
      <c r="JIZ141" s="22"/>
      <c r="JJA141" s="22"/>
      <c r="JJB141" s="22"/>
      <c r="JJC141" s="22"/>
      <c r="JJD141" s="22"/>
      <c r="JJE141" s="22"/>
      <c r="JJF141" s="22"/>
      <c r="JJG141" s="22"/>
      <c r="JJH141" s="22"/>
      <c r="JJI141" s="22"/>
      <c r="JJJ141" s="22"/>
      <c r="JJK141" s="22"/>
      <c r="JJL141" s="22"/>
      <c r="JJM141" s="22"/>
      <c r="JJN141" s="22"/>
      <c r="JJO141" s="22"/>
      <c r="JJP141" s="22"/>
      <c r="JJQ141" s="22"/>
      <c r="JJR141" s="22"/>
      <c r="JJS141" s="22"/>
      <c r="JJT141" s="22"/>
      <c r="JJU141" s="22"/>
      <c r="JJV141" s="22"/>
      <c r="JJW141" s="22"/>
      <c r="JJX141" s="22"/>
      <c r="JJY141" s="22"/>
      <c r="JJZ141" s="22"/>
      <c r="JKA141" s="22"/>
      <c r="JKB141" s="22"/>
      <c r="JKC141" s="22"/>
      <c r="JKD141" s="22"/>
      <c r="JKE141" s="22"/>
      <c r="JKF141" s="22"/>
      <c r="JKG141" s="22"/>
      <c r="JKH141" s="22"/>
      <c r="JKI141" s="22"/>
      <c r="JKJ141" s="22"/>
      <c r="JKK141" s="22"/>
      <c r="JKL141" s="22"/>
      <c r="JKM141" s="22"/>
      <c r="JKN141" s="22"/>
      <c r="JKO141" s="22"/>
      <c r="JKP141" s="22"/>
      <c r="JKQ141" s="22"/>
      <c r="JKR141" s="22"/>
      <c r="JKS141" s="22"/>
      <c r="JKT141" s="22"/>
      <c r="JKU141" s="22"/>
      <c r="JKV141" s="22"/>
      <c r="JKW141" s="22"/>
      <c r="JKX141" s="22"/>
      <c r="JKY141" s="22"/>
      <c r="JKZ141" s="22"/>
      <c r="JLA141" s="22"/>
      <c r="JLB141" s="22"/>
      <c r="JLC141" s="22"/>
      <c r="JLD141" s="22"/>
      <c r="JLE141" s="22"/>
      <c r="JLF141" s="22"/>
      <c r="JLG141" s="22"/>
      <c r="JLH141" s="22"/>
      <c r="JLI141" s="22"/>
      <c r="JLJ141" s="22"/>
      <c r="JLK141" s="22"/>
      <c r="JLL141" s="22"/>
      <c r="JLM141" s="22"/>
      <c r="JLN141" s="22"/>
      <c r="JLO141" s="22"/>
      <c r="JLP141" s="22"/>
      <c r="JLQ141" s="22"/>
      <c r="JLR141" s="22"/>
      <c r="JLS141" s="22"/>
      <c r="JLT141" s="22"/>
      <c r="JLU141" s="22"/>
      <c r="JLV141" s="22"/>
      <c r="JLW141" s="22"/>
      <c r="JLX141" s="22"/>
      <c r="JLY141" s="22"/>
      <c r="JLZ141" s="22"/>
      <c r="JMA141" s="22"/>
      <c r="JMB141" s="22"/>
      <c r="JMC141" s="22"/>
      <c r="JMD141" s="22"/>
      <c r="JME141" s="22"/>
      <c r="JMF141" s="22"/>
      <c r="JMG141" s="22"/>
      <c r="JMH141" s="22"/>
      <c r="JMI141" s="22"/>
      <c r="JMJ141" s="22"/>
      <c r="JMK141" s="22"/>
      <c r="JML141" s="22"/>
      <c r="JMM141" s="22"/>
      <c r="JMN141" s="22"/>
      <c r="JMO141" s="22"/>
      <c r="JMP141" s="22"/>
      <c r="JMQ141" s="22"/>
      <c r="JMR141" s="22"/>
      <c r="JMS141" s="22"/>
      <c r="JMT141" s="22"/>
      <c r="JMU141" s="22"/>
      <c r="JMV141" s="22"/>
      <c r="JMW141" s="22"/>
      <c r="JMX141" s="22"/>
      <c r="JMY141" s="22"/>
      <c r="JMZ141" s="22"/>
      <c r="JNA141" s="22"/>
      <c r="JNB141" s="22"/>
      <c r="JNC141" s="22"/>
      <c r="JND141" s="22"/>
      <c r="JNE141" s="22"/>
      <c r="JNF141" s="22"/>
      <c r="JNG141" s="22"/>
      <c r="JNH141" s="22"/>
      <c r="JNI141" s="22"/>
      <c r="JNJ141" s="22"/>
      <c r="JNK141" s="22"/>
      <c r="JNL141" s="22"/>
      <c r="JNM141" s="22"/>
      <c r="JNN141" s="22"/>
      <c r="JNO141" s="22"/>
      <c r="JNP141" s="22"/>
      <c r="JNQ141" s="22"/>
      <c r="JNR141" s="22"/>
      <c r="JNS141" s="22"/>
      <c r="JNT141" s="22"/>
      <c r="JNU141" s="22"/>
      <c r="JNV141" s="22"/>
      <c r="JNW141" s="22"/>
      <c r="JNX141" s="22"/>
      <c r="JNY141" s="22"/>
      <c r="JNZ141" s="22"/>
      <c r="JOA141" s="22"/>
      <c r="JOB141" s="22"/>
      <c r="JOC141" s="22"/>
      <c r="JOD141" s="22"/>
      <c r="JOE141" s="22"/>
      <c r="JOF141" s="22"/>
      <c r="JOG141" s="22"/>
      <c r="JOH141" s="22"/>
      <c r="JOI141" s="22"/>
      <c r="JOJ141" s="22"/>
      <c r="JOK141" s="22"/>
      <c r="JOL141" s="22"/>
      <c r="JOM141" s="22"/>
      <c r="JON141" s="22"/>
      <c r="JOO141" s="22"/>
      <c r="JOP141" s="22"/>
      <c r="JOQ141" s="22"/>
      <c r="JOR141" s="22"/>
      <c r="JOS141" s="22"/>
      <c r="JOT141" s="22"/>
      <c r="JOU141" s="22"/>
      <c r="JOV141" s="22"/>
      <c r="JOW141" s="22"/>
      <c r="JOX141" s="22"/>
      <c r="JOY141" s="22"/>
      <c r="JOZ141" s="22"/>
      <c r="JPA141" s="22"/>
      <c r="JPB141" s="22"/>
      <c r="JPC141" s="22"/>
      <c r="JPD141" s="22"/>
      <c r="JPE141" s="22"/>
      <c r="JPF141" s="22"/>
      <c r="JPG141" s="22"/>
      <c r="JPH141" s="22"/>
      <c r="JPI141" s="22"/>
      <c r="JPJ141" s="22"/>
      <c r="JPK141" s="22"/>
      <c r="JPL141" s="22"/>
      <c r="JPM141" s="22"/>
      <c r="JPN141" s="22"/>
      <c r="JPO141" s="22"/>
      <c r="JPP141" s="22"/>
      <c r="JPQ141" s="22"/>
      <c r="JPR141" s="22"/>
      <c r="JPS141" s="22"/>
      <c r="JPT141" s="22"/>
      <c r="JPU141" s="22"/>
      <c r="JPV141" s="22"/>
      <c r="JPW141" s="22"/>
      <c r="JPX141" s="22"/>
      <c r="JPY141" s="22"/>
      <c r="JPZ141" s="22"/>
      <c r="JQA141" s="22"/>
      <c r="JQB141" s="22"/>
      <c r="JQC141" s="22"/>
      <c r="JQD141" s="22"/>
      <c r="JQE141" s="22"/>
      <c r="JQF141" s="22"/>
      <c r="JQG141" s="22"/>
      <c r="JQH141" s="22"/>
      <c r="JQI141" s="22"/>
      <c r="JQJ141" s="22"/>
      <c r="JQK141" s="22"/>
      <c r="JQL141" s="22"/>
      <c r="JQM141" s="22"/>
      <c r="JQN141" s="22"/>
      <c r="JQO141" s="22"/>
      <c r="JQP141" s="22"/>
      <c r="JQQ141" s="22"/>
      <c r="JQR141" s="22"/>
      <c r="JQS141" s="22"/>
      <c r="JQT141" s="22"/>
      <c r="JQU141" s="22"/>
      <c r="JQV141" s="22"/>
      <c r="JQW141" s="22"/>
      <c r="JQX141" s="22"/>
      <c r="JQY141" s="22"/>
      <c r="JQZ141" s="22"/>
      <c r="JRA141" s="22"/>
      <c r="JRB141" s="22"/>
      <c r="JRC141" s="22"/>
      <c r="JRD141" s="22"/>
      <c r="JRE141" s="22"/>
      <c r="JRF141" s="22"/>
      <c r="JRG141" s="22"/>
      <c r="JRH141" s="22"/>
      <c r="JRI141" s="22"/>
      <c r="JRJ141" s="22"/>
      <c r="JRK141" s="22"/>
      <c r="JRL141" s="22"/>
      <c r="JRM141" s="22"/>
      <c r="JRN141" s="22"/>
      <c r="JRO141" s="22"/>
      <c r="JRP141" s="22"/>
      <c r="JRQ141" s="22"/>
      <c r="JRR141" s="22"/>
      <c r="JRS141" s="22"/>
      <c r="JRT141" s="22"/>
      <c r="JRU141" s="22"/>
      <c r="JRV141" s="22"/>
      <c r="JRW141" s="22"/>
      <c r="JRX141" s="22"/>
      <c r="JRY141" s="22"/>
      <c r="JRZ141" s="22"/>
      <c r="JSA141" s="22"/>
      <c r="JSB141" s="22"/>
      <c r="JSC141" s="22"/>
      <c r="JSD141" s="22"/>
      <c r="JSE141" s="22"/>
      <c r="JSF141" s="22"/>
      <c r="JSG141" s="22"/>
      <c r="JSH141" s="22"/>
      <c r="JSI141" s="22"/>
      <c r="JSJ141" s="22"/>
      <c r="JSK141" s="22"/>
      <c r="JSL141" s="22"/>
      <c r="JSM141" s="22"/>
      <c r="JSN141" s="22"/>
      <c r="JSO141" s="22"/>
      <c r="JSP141" s="22"/>
      <c r="JSQ141" s="22"/>
      <c r="JSR141" s="22"/>
      <c r="JSS141" s="22"/>
      <c r="JST141" s="22"/>
      <c r="JSU141" s="22"/>
      <c r="JSV141" s="22"/>
      <c r="JSW141" s="22"/>
      <c r="JSX141" s="22"/>
      <c r="JSY141" s="22"/>
      <c r="JSZ141" s="22"/>
      <c r="JTA141" s="22"/>
      <c r="JTB141" s="22"/>
      <c r="JTC141" s="22"/>
      <c r="JTD141" s="22"/>
      <c r="JTE141" s="22"/>
      <c r="JTF141" s="22"/>
      <c r="JTG141" s="22"/>
      <c r="JTH141" s="22"/>
      <c r="JTI141" s="22"/>
      <c r="JTJ141" s="22"/>
      <c r="JTK141" s="22"/>
      <c r="JTL141" s="22"/>
      <c r="JTM141" s="22"/>
      <c r="JTN141" s="22"/>
      <c r="JTO141" s="22"/>
      <c r="JTP141" s="22"/>
      <c r="JTQ141" s="22"/>
      <c r="JTR141" s="22"/>
      <c r="JTS141" s="22"/>
      <c r="JTT141" s="22"/>
      <c r="JTU141" s="22"/>
      <c r="JTV141" s="22"/>
      <c r="JTW141" s="22"/>
      <c r="JTX141" s="22"/>
      <c r="JTY141" s="22"/>
      <c r="JTZ141" s="22"/>
      <c r="JUA141" s="22"/>
      <c r="JUB141" s="22"/>
      <c r="JUC141" s="22"/>
      <c r="JUD141" s="22"/>
      <c r="JUE141" s="22"/>
      <c r="JUF141" s="22"/>
      <c r="JUG141" s="22"/>
      <c r="JUH141" s="22"/>
      <c r="JUI141" s="22"/>
      <c r="JUJ141" s="22"/>
      <c r="JUK141" s="22"/>
      <c r="JUL141" s="22"/>
      <c r="JUM141" s="22"/>
      <c r="JUN141" s="22"/>
      <c r="JUO141" s="22"/>
      <c r="JUP141" s="22"/>
      <c r="JUQ141" s="22"/>
      <c r="JUR141" s="22"/>
      <c r="JUS141" s="22"/>
      <c r="JUT141" s="22"/>
      <c r="JUU141" s="22"/>
      <c r="JUV141" s="22"/>
      <c r="JUW141" s="22"/>
      <c r="JUX141" s="22"/>
      <c r="JUY141" s="22"/>
      <c r="JUZ141" s="22"/>
      <c r="JVA141" s="22"/>
      <c r="JVB141" s="22"/>
      <c r="JVC141" s="22"/>
      <c r="JVD141" s="22"/>
      <c r="JVE141" s="22"/>
      <c r="JVF141" s="22"/>
      <c r="JVG141" s="22"/>
      <c r="JVH141" s="22"/>
      <c r="JVI141" s="22"/>
      <c r="JVJ141" s="22"/>
      <c r="JVK141" s="22"/>
      <c r="JVL141" s="22"/>
      <c r="JVM141" s="22"/>
      <c r="JVN141" s="22"/>
      <c r="JVO141" s="22"/>
      <c r="JVP141" s="22"/>
      <c r="JVQ141" s="22"/>
      <c r="JVR141" s="22"/>
      <c r="JVS141" s="22"/>
      <c r="JVT141" s="22"/>
      <c r="JVU141" s="22"/>
      <c r="JVV141" s="22"/>
      <c r="JVW141" s="22"/>
      <c r="JVX141" s="22"/>
      <c r="JVY141" s="22"/>
      <c r="JVZ141" s="22"/>
      <c r="JWA141" s="22"/>
      <c r="JWB141" s="22"/>
      <c r="JWC141" s="22"/>
      <c r="JWD141" s="22"/>
      <c r="JWE141" s="22"/>
      <c r="JWF141" s="22"/>
      <c r="JWG141" s="22"/>
      <c r="JWH141" s="22"/>
      <c r="JWI141" s="22"/>
      <c r="JWJ141" s="22"/>
      <c r="JWK141" s="22"/>
      <c r="JWL141" s="22"/>
      <c r="JWM141" s="22"/>
      <c r="JWN141" s="22"/>
      <c r="JWO141" s="22"/>
      <c r="JWP141" s="22"/>
      <c r="JWQ141" s="22"/>
      <c r="JWR141" s="22"/>
      <c r="JWS141" s="22"/>
      <c r="JWT141" s="22"/>
      <c r="JWU141" s="22"/>
      <c r="JWV141" s="22"/>
      <c r="JWW141" s="22"/>
      <c r="JWX141" s="22"/>
      <c r="JWY141" s="22"/>
      <c r="JWZ141" s="22"/>
      <c r="JXA141" s="22"/>
      <c r="JXB141" s="22"/>
      <c r="JXC141" s="22"/>
      <c r="JXD141" s="22"/>
      <c r="JXE141" s="22"/>
      <c r="JXF141" s="22"/>
      <c r="JXG141" s="22"/>
      <c r="JXH141" s="22"/>
      <c r="JXI141" s="22"/>
      <c r="JXJ141" s="22"/>
      <c r="JXK141" s="22"/>
      <c r="JXL141" s="22"/>
      <c r="JXM141" s="22"/>
      <c r="JXN141" s="22"/>
      <c r="JXO141" s="22"/>
      <c r="JXP141" s="22"/>
      <c r="JXQ141" s="22"/>
      <c r="JXR141" s="22"/>
      <c r="JXS141" s="22"/>
      <c r="JXT141" s="22"/>
      <c r="JXU141" s="22"/>
      <c r="JXV141" s="22"/>
      <c r="JXW141" s="22"/>
      <c r="JXX141" s="22"/>
      <c r="JXY141" s="22"/>
      <c r="JXZ141" s="22"/>
      <c r="JYA141" s="22"/>
      <c r="JYB141" s="22"/>
      <c r="JYC141" s="22"/>
      <c r="JYD141" s="22"/>
      <c r="JYE141" s="22"/>
      <c r="JYF141" s="22"/>
      <c r="JYG141" s="22"/>
      <c r="JYH141" s="22"/>
      <c r="JYI141" s="22"/>
      <c r="JYJ141" s="22"/>
      <c r="JYK141" s="22"/>
      <c r="JYL141" s="22"/>
      <c r="JYM141" s="22"/>
      <c r="JYN141" s="22"/>
      <c r="JYO141" s="22"/>
      <c r="JYP141" s="22"/>
      <c r="JYQ141" s="22"/>
      <c r="JYR141" s="22"/>
      <c r="JYS141" s="22"/>
      <c r="JYT141" s="22"/>
      <c r="JYU141" s="22"/>
      <c r="JYV141" s="22"/>
      <c r="JYW141" s="22"/>
      <c r="JYX141" s="22"/>
      <c r="JYY141" s="22"/>
      <c r="JYZ141" s="22"/>
      <c r="JZA141" s="22"/>
      <c r="JZB141" s="22"/>
      <c r="JZC141" s="22"/>
      <c r="JZD141" s="22"/>
      <c r="JZE141" s="22"/>
      <c r="JZF141" s="22"/>
      <c r="JZG141" s="22"/>
      <c r="JZH141" s="22"/>
      <c r="JZI141" s="22"/>
      <c r="JZJ141" s="22"/>
      <c r="JZK141" s="22"/>
      <c r="JZL141" s="22"/>
      <c r="JZM141" s="22"/>
      <c r="JZN141" s="22"/>
      <c r="JZO141" s="22"/>
      <c r="JZP141" s="22"/>
      <c r="JZQ141" s="22"/>
      <c r="JZR141" s="22"/>
      <c r="JZS141" s="22"/>
      <c r="JZT141" s="22"/>
      <c r="JZU141" s="22"/>
      <c r="JZV141" s="22"/>
      <c r="JZW141" s="22"/>
      <c r="JZX141" s="22"/>
      <c r="JZY141" s="22"/>
      <c r="JZZ141" s="22"/>
      <c r="KAA141" s="22"/>
      <c r="KAB141" s="22"/>
      <c r="KAC141" s="22"/>
      <c r="KAD141" s="22"/>
      <c r="KAE141" s="22"/>
      <c r="KAF141" s="22"/>
      <c r="KAG141" s="22"/>
      <c r="KAH141" s="22"/>
      <c r="KAI141" s="22"/>
      <c r="KAJ141" s="22"/>
      <c r="KAK141" s="22"/>
      <c r="KAL141" s="22"/>
      <c r="KAM141" s="22"/>
      <c r="KAN141" s="22"/>
      <c r="KAO141" s="22"/>
      <c r="KAP141" s="22"/>
      <c r="KAQ141" s="22"/>
      <c r="KAR141" s="22"/>
      <c r="KAS141" s="22"/>
      <c r="KAT141" s="22"/>
      <c r="KAU141" s="22"/>
      <c r="KAV141" s="22"/>
      <c r="KAW141" s="22"/>
      <c r="KAX141" s="22"/>
      <c r="KAY141" s="22"/>
      <c r="KAZ141" s="22"/>
      <c r="KBA141" s="22"/>
      <c r="KBB141" s="22"/>
      <c r="KBC141" s="22"/>
      <c r="KBD141" s="22"/>
      <c r="KBE141" s="22"/>
      <c r="KBF141" s="22"/>
      <c r="KBG141" s="22"/>
      <c r="KBH141" s="22"/>
      <c r="KBI141" s="22"/>
      <c r="KBJ141" s="22"/>
      <c r="KBK141" s="22"/>
      <c r="KBL141" s="22"/>
      <c r="KBM141" s="22"/>
      <c r="KBN141" s="22"/>
      <c r="KBO141" s="22"/>
      <c r="KBP141" s="22"/>
      <c r="KBQ141" s="22"/>
      <c r="KBR141" s="22"/>
      <c r="KBS141" s="22"/>
      <c r="KBT141" s="22"/>
      <c r="KBU141" s="22"/>
      <c r="KBV141" s="22"/>
      <c r="KBW141" s="22"/>
      <c r="KBX141" s="22"/>
      <c r="KBY141" s="22"/>
      <c r="KBZ141" s="22"/>
      <c r="KCA141" s="22"/>
      <c r="KCB141" s="22"/>
      <c r="KCC141" s="22"/>
      <c r="KCD141" s="22"/>
      <c r="KCE141" s="22"/>
      <c r="KCF141" s="22"/>
      <c r="KCG141" s="22"/>
      <c r="KCH141" s="22"/>
      <c r="KCI141" s="22"/>
      <c r="KCJ141" s="22"/>
      <c r="KCK141" s="22"/>
      <c r="KCL141" s="22"/>
      <c r="KCM141" s="22"/>
      <c r="KCN141" s="22"/>
      <c r="KCO141" s="22"/>
      <c r="KCP141" s="22"/>
      <c r="KCQ141" s="22"/>
      <c r="KCR141" s="22"/>
      <c r="KCS141" s="22"/>
      <c r="KCT141" s="22"/>
      <c r="KCU141" s="22"/>
      <c r="KCV141" s="22"/>
      <c r="KCW141" s="22"/>
      <c r="KCX141" s="22"/>
      <c r="KCY141" s="22"/>
      <c r="KCZ141" s="22"/>
      <c r="KDA141" s="22"/>
      <c r="KDB141" s="22"/>
      <c r="KDC141" s="22"/>
      <c r="KDD141" s="22"/>
      <c r="KDE141" s="22"/>
      <c r="KDF141" s="22"/>
      <c r="KDG141" s="22"/>
      <c r="KDH141" s="22"/>
      <c r="KDI141" s="22"/>
      <c r="KDJ141" s="22"/>
      <c r="KDK141" s="22"/>
      <c r="KDL141" s="22"/>
      <c r="KDM141" s="22"/>
      <c r="KDN141" s="22"/>
      <c r="KDO141" s="22"/>
      <c r="KDP141" s="22"/>
      <c r="KDQ141" s="22"/>
      <c r="KDR141" s="22"/>
      <c r="KDS141" s="22"/>
      <c r="KDT141" s="22"/>
      <c r="KDU141" s="22"/>
      <c r="KDV141" s="22"/>
      <c r="KDW141" s="22"/>
      <c r="KDX141" s="22"/>
      <c r="KDY141" s="22"/>
      <c r="KDZ141" s="22"/>
      <c r="KEA141" s="22"/>
      <c r="KEB141" s="22"/>
      <c r="KEC141" s="22"/>
      <c r="KED141" s="22"/>
      <c r="KEE141" s="22"/>
      <c r="KEF141" s="22"/>
      <c r="KEG141" s="22"/>
      <c r="KEH141" s="22"/>
      <c r="KEI141" s="22"/>
      <c r="KEJ141" s="22"/>
      <c r="KEK141" s="22"/>
      <c r="KEL141" s="22"/>
      <c r="KEM141" s="22"/>
      <c r="KEN141" s="22"/>
      <c r="KEO141" s="22"/>
      <c r="KEP141" s="22"/>
      <c r="KEQ141" s="22"/>
      <c r="KER141" s="22"/>
      <c r="KES141" s="22"/>
      <c r="KET141" s="22"/>
      <c r="KEU141" s="22"/>
      <c r="KEV141" s="22"/>
      <c r="KEW141" s="22"/>
      <c r="KEX141" s="22"/>
      <c r="KEY141" s="22"/>
      <c r="KEZ141" s="22"/>
      <c r="KFA141" s="22"/>
      <c r="KFB141" s="22"/>
      <c r="KFC141" s="22"/>
      <c r="KFD141" s="22"/>
      <c r="KFE141" s="22"/>
      <c r="KFF141" s="22"/>
      <c r="KFG141" s="22"/>
      <c r="KFH141" s="22"/>
      <c r="KFI141" s="22"/>
      <c r="KFJ141" s="22"/>
      <c r="KFK141" s="22"/>
      <c r="KFL141" s="22"/>
      <c r="KFM141" s="22"/>
      <c r="KFN141" s="22"/>
      <c r="KFO141" s="22"/>
      <c r="KFP141" s="22"/>
      <c r="KFQ141" s="22"/>
      <c r="KFR141" s="22"/>
      <c r="KFS141" s="22"/>
      <c r="KFT141" s="22"/>
      <c r="KFU141" s="22"/>
      <c r="KFV141" s="22"/>
      <c r="KFW141" s="22"/>
      <c r="KFX141" s="22"/>
      <c r="KFY141" s="22"/>
      <c r="KFZ141" s="22"/>
      <c r="KGA141" s="22"/>
      <c r="KGB141" s="22"/>
      <c r="KGC141" s="22"/>
      <c r="KGD141" s="22"/>
      <c r="KGE141" s="22"/>
      <c r="KGF141" s="22"/>
      <c r="KGG141" s="22"/>
      <c r="KGH141" s="22"/>
      <c r="KGI141" s="22"/>
      <c r="KGJ141" s="22"/>
      <c r="KGK141" s="22"/>
      <c r="KGL141" s="22"/>
      <c r="KGM141" s="22"/>
      <c r="KGN141" s="22"/>
      <c r="KGO141" s="22"/>
      <c r="KGP141" s="22"/>
      <c r="KGQ141" s="22"/>
      <c r="KGR141" s="22"/>
      <c r="KGS141" s="22"/>
      <c r="KGT141" s="22"/>
      <c r="KGU141" s="22"/>
      <c r="KGV141" s="22"/>
      <c r="KGW141" s="22"/>
      <c r="KGX141" s="22"/>
      <c r="KGY141" s="22"/>
      <c r="KGZ141" s="22"/>
      <c r="KHA141" s="22"/>
      <c r="KHB141" s="22"/>
      <c r="KHC141" s="22"/>
      <c r="KHD141" s="22"/>
      <c r="KHE141" s="22"/>
      <c r="KHF141" s="22"/>
      <c r="KHG141" s="22"/>
      <c r="KHH141" s="22"/>
      <c r="KHI141" s="22"/>
      <c r="KHJ141" s="22"/>
      <c r="KHK141" s="22"/>
      <c r="KHL141" s="22"/>
      <c r="KHM141" s="22"/>
      <c r="KHN141" s="22"/>
      <c r="KHO141" s="22"/>
      <c r="KHP141" s="22"/>
      <c r="KHQ141" s="22"/>
      <c r="KHR141" s="22"/>
      <c r="KHS141" s="22"/>
      <c r="KHT141" s="22"/>
      <c r="KHU141" s="22"/>
      <c r="KHV141" s="22"/>
      <c r="KHW141" s="22"/>
      <c r="KHX141" s="22"/>
      <c r="KHY141" s="22"/>
      <c r="KHZ141" s="22"/>
      <c r="KIA141" s="22"/>
      <c r="KIB141" s="22"/>
      <c r="KIC141" s="22"/>
      <c r="KID141" s="22"/>
      <c r="KIE141" s="22"/>
      <c r="KIF141" s="22"/>
      <c r="KIG141" s="22"/>
      <c r="KIH141" s="22"/>
      <c r="KII141" s="22"/>
      <c r="KIJ141" s="22"/>
      <c r="KIK141" s="22"/>
      <c r="KIL141" s="22"/>
      <c r="KIM141" s="22"/>
      <c r="KIN141" s="22"/>
      <c r="KIO141" s="22"/>
      <c r="KIP141" s="22"/>
      <c r="KIQ141" s="22"/>
      <c r="KIR141" s="22"/>
      <c r="KIS141" s="22"/>
      <c r="KIT141" s="22"/>
      <c r="KIU141" s="22"/>
      <c r="KIV141" s="22"/>
      <c r="KIW141" s="22"/>
      <c r="KIX141" s="22"/>
      <c r="KIY141" s="22"/>
      <c r="KIZ141" s="22"/>
      <c r="KJA141" s="22"/>
      <c r="KJB141" s="22"/>
      <c r="KJC141" s="22"/>
      <c r="KJD141" s="22"/>
      <c r="KJE141" s="22"/>
      <c r="KJF141" s="22"/>
      <c r="KJG141" s="22"/>
      <c r="KJH141" s="22"/>
      <c r="KJI141" s="22"/>
      <c r="KJJ141" s="22"/>
      <c r="KJK141" s="22"/>
      <c r="KJL141" s="22"/>
      <c r="KJM141" s="22"/>
      <c r="KJN141" s="22"/>
      <c r="KJO141" s="22"/>
      <c r="KJP141" s="22"/>
      <c r="KJQ141" s="22"/>
      <c r="KJR141" s="22"/>
      <c r="KJS141" s="22"/>
      <c r="KJT141" s="22"/>
      <c r="KJU141" s="22"/>
      <c r="KJV141" s="22"/>
      <c r="KJW141" s="22"/>
      <c r="KJX141" s="22"/>
      <c r="KJY141" s="22"/>
      <c r="KJZ141" s="22"/>
      <c r="KKA141" s="22"/>
      <c r="KKB141" s="22"/>
      <c r="KKC141" s="22"/>
      <c r="KKD141" s="22"/>
      <c r="KKE141" s="22"/>
      <c r="KKF141" s="22"/>
      <c r="KKG141" s="22"/>
      <c r="KKH141" s="22"/>
      <c r="KKI141" s="22"/>
      <c r="KKJ141" s="22"/>
      <c r="KKK141" s="22"/>
      <c r="KKL141" s="22"/>
      <c r="KKM141" s="22"/>
      <c r="KKN141" s="22"/>
      <c r="KKO141" s="22"/>
      <c r="KKP141" s="22"/>
      <c r="KKQ141" s="22"/>
      <c r="KKR141" s="22"/>
      <c r="KKS141" s="22"/>
      <c r="KKT141" s="22"/>
      <c r="KKU141" s="22"/>
      <c r="KKV141" s="22"/>
      <c r="KKW141" s="22"/>
      <c r="KKX141" s="22"/>
      <c r="KKY141" s="22"/>
      <c r="KKZ141" s="22"/>
      <c r="KLA141" s="22"/>
      <c r="KLB141" s="22"/>
      <c r="KLC141" s="22"/>
      <c r="KLD141" s="22"/>
      <c r="KLE141" s="22"/>
      <c r="KLF141" s="22"/>
      <c r="KLG141" s="22"/>
      <c r="KLH141" s="22"/>
      <c r="KLI141" s="22"/>
      <c r="KLJ141" s="22"/>
      <c r="KLK141" s="22"/>
      <c r="KLL141" s="22"/>
      <c r="KLM141" s="22"/>
      <c r="KLN141" s="22"/>
      <c r="KLO141" s="22"/>
      <c r="KLP141" s="22"/>
      <c r="KLQ141" s="22"/>
      <c r="KLR141" s="22"/>
      <c r="KLS141" s="22"/>
      <c r="KLT141" s="22"/>
      <c r="KLU141" s="22"/>
      <c r="KLV141" s="22"/>
      <c r="KLW141" s="22"/>
      <c r="KLX141" s="22"/>
      <c r="KLY141" s="22"/>
      <c r="KLZ141" s="22"/>
      <c r="KMA141" s="22"/>
      <c r="KMB141" s="22"/>
      <c r="KMC141" s="22"/>
      <c r="KMD141" s="22"/>
      <c r="KME141" s="22"/>
      <c r="KMF141" s="22"/>
      <c r="KMG141" s="22"/>
      <c r="KMH141" s="22"/>
      <c r="KMI141" s="22"/>
      <c r="KMJ141" s="22"/>
      <c r="KMK141" s="22"/>
      <c r="KML141" s="22"/>
      <c r="KMM141" s="22"/>
      <c r="KMN141" s="22"/>
      <c r="KMO141" s="22"/>
      <c r="KMP141" s="22"/>
      <c r="KMQ141" s="22"/>
      <c r="KMR141" s="22"/>
      <c r="KMS141" s="22"/>
      <c r="KMT141" s="22"/>
      <c r="KMU141" s="22"/>
      <c r="KMV141" s="22"/>
      <c r="KMW141" s="22"/>
      <c r="KMX141" s="22"/>
      <c r="KMY141" s="22"/>
      <c r="KMZ141" s="22"/>
      <c r="KNA141" s="22"/>
      <c r="KNB141" s="22"/>
      <c r="KNC141" s="22"/>
      <c r="KND141" s="22"/>
      <c r="KNE141" s="22"/>
      <c r="KNF141" s="22"/>
      <c r="KNG141" s="22"/>
      <c r="KNH141" s="22"/>
      <c r="KNI141" s="22"/>
      <c r="KNJ141" s="22"/>
      <c r="KNK141" s="22"/>
      <c r="KNL141" s="22"/>
      <c r="KNM141" s="22"/>
      <c r="KNN141" s="22"/>
      <c r="KNO141" s="22"/>
      <c r="KNP141" s="22"/>
      <c r="KNQ141" s="22"/>
      <c r="KNR141" s="22"/>
      <c r="KNS141" s="22"/>
      <c r="KNT141" s="22"/>
      <c r="KNU141" s="22"/>
      <c r="KNV141" s="22"/>
      <c r="KNW141" s="22"/>
      <c r="KNX141" s="22"/>
      <c r="KNY141" s="22"/>
      <c r="KNZ141" s="22"/>
      <c r="KOA141" s="22"/>
      <c r="KOB141" s="22"/>
      <c r="KOC141" s="22"/>
      <c r="KOD141" s="22"/>
      <c r="KOE141" s="22"/>
      <c r="KOF141" s="22"/>
      <c r="KOG141" s="22"/>
      <c r="KOH141" s="22"/>
      <c r="KOI141" s="22"/>
      <c r="KOJ141" s="22"/>
      <c r="KOK141" s="22"/>
      <c r="KOL141" s="22"/>
      <c r="KOM141" s="22"/>
      <c r="KON141" s="22"/>
      <c r="KOO141" s="22"/>
      <c r="KOP141" s="22"/>
      <c r="KOQ141" s="22"/>
      <c r="KOR141" s="22"/>
      <c r="KOS141" s="22"/>
      <c r="KOT141" s="22"/>
      <c r="KOU141" s="22"/>
      <c r="KOV141" s="22"/>
      <c r="KOW141" s="22"/>
      <c r="KOX141" s="22"/>
      <c r="KOY141" s="22"/>
      <c r="KOZ141" s="22"/>
      <c r="KPA141" s="22"/>
      <c r="KPB141" s="22"/>
      <c r="KPC141" s="22"/>
      <c r="KPD141" s="22"/>
      <c r="KPE141" s="22"/>
      <c r="KPF141" s="22"/>
      <c r="KPG141" s="22"/>
      <c r="KPH141" s="22"/>
      <c r="KPI141" s="22"/>
      <c r="KPJ141" s="22"/>
      <c r="KPK141" s="22"/>
      <c r="KPL141" s="22"/>
      <c r="KPM141" s="22"/>
      <c r="KPN141" s="22"/>
      <c r="KPO141" s="22"/>
      <c r="KPP141" s="22"/>
      <c r="KPQ141" s="22"/>
      <c r="KPR141" s="22"/>
      <c r="KPS141" s="22"/>
      <c r="KPT141" s="22"/>
      <c r="KPU141" s="22"/>
      <c r="KPV141" s="22"/>
      <c r="KPW141" s="22"/>
      <c r="KPX141" s="22"/>
      <c r="KPY141" s="22"/>
      <c r="KPZ141" s="22"/>
      <c r="KQA141" s="22"/>
      <c r="KQB141" s="22"/>
      <c r="KQC141" s="22"/>
      <c r="KQD141" s="22"/>
      <c r="KQE141" s="22"/>
      <c r="KQF141" s="22"/>
      <c r="KQG141" s="22"/>
      <c r="KQH141" s="22"/>
      <c r="KQI141" s="22"/>
      <c r="KQJ141" s="22"/>
      <c r="KQK141" s="22"/>
      <c r="KQL141" s="22"/>
      <c r="KQM141" s="22"/>
      <c r="KQN141" s="22"/>
      <c r="KQO141" s="22"/>
      <c r="KQP141" s="22"/>
      <c r="KQQ141" s="22"/>
      <c r="KQR141" s="22"/>
      <c r="KQS141" s="22"/>
      <c r="KQT141" s="22"/>
      <c r="KQU141" s="22"/>
      <c r="KQV141" s="22"/>
      <c r="KQW141" s="22"/>
      <c r="KQX141" s="22"/>
      <c r="KQY141" s="22"/>
      <c r="KQZ141" s="22"/>
      <c r="KRA141" s="22"/>
      <c r="KRB141" s="22"/>
      <c r="KRC141" s="22"/>
      <c r="KRD141" s="22"/>
      <c r="KRE141" s="22"/>
      <c r="KRF141" s="22"/>
      <c r="KRG141" s="22"/>
      <c r="KRH141" s="22"/>
      <c r="KRI141" s="22"/>
      <c r="KRJ141" s="22"/>
      <c r="KRK141" s="22"/>
      <c r="KRL141" s="22"/>
      <c r="KRM141" s="22"/>
      <c r="KRN141" s="22"/>
      <c r="KRO141" s="22"/>
      <c r="KRP141" s="22"/>
      <c r="KRQ141" s="22"/>
      <c r="KRR141" s="22"/>
      <c r="KRS141" s="22"/>
      <c r="KRT141" s="22"/>
      <c r="KRU141" s="22"/>
      <c r="KRV141" s="22"/>
      <c r="KRW141" s="22"/>
      <c r="KRX141" s="22"/>
      <c r="KRY141" s="22"/>
      <c r="KRZ141" s="22"/>
      <c r="KSA141" s="22"/>
      <c r="KSB141" s="22"/>
      <c r="KSC141" s="22"/>
      <c r="KSD141" s="22"/>
      <c r="KSE141" s="22"/>
      <c r="KSF141" s="22"/>
      <c r="KSG141" s="22"/>
      <c r="KSH141" s="22"/>
      <c r="KSI141" s="22"/>
      <c r="KSJ141" s="22"/>
      <c r="KSK141" s="22"/>
      <c r="KSL141" s="22"/>
      <c r="KSM141" s="22"/>
      <c r="KSN141" s="22"/>
      <c r="KSO141" s="22"/>
      <c r="KSP141" s="22"/>
      <c r="KSQ141" s="22"/>
      <c r="KSR141" s="22"/>
      <c r="KSS141" s="22"/>
      <c r="KST141" s="22"/>
      <c r="KSU141" s="22"/>
      <c r="KSV141" s="22"/>
      <c r="KSW141" s="22"/>
      <c r="KSX141" s="22"/>
      <c r="KSY141" s="22"/>
      <c r="KSZ141" s="22"/>
      <c r="KTA141" s="22"/>
      <c r="KTB141" s="22"/>
      <c r="KTC141" s="22"/>
      <c r="KTD141" s="22"/>
      <c r="KTE141" s="22"/>
      <c r="KTF141" s="22"/>
      <c r="KTG141" s="22"/>
      <c r="KTH141" s="22"/>
      <c r="KTI141" s="22"/>
      <c r="KTJ141" s="22"/>
      <c r="KTK141" s="22"/>
      <c r="KTL141" s="22"/>
      <c r="KTM141" s="22"/>
      <c r="KTN141" s="22"/>
      <c r="KTO141" s="22"/>
      <c r="KTP141" s="22"/>
      <c r="KTQ141" s="22"/>
      <c r="KTR141" s="22"/>
      <c r="KTS141" s="22"/>
      <c r="KTT141" s="22"/>
      <c r="KTU141" s="22"/>
      <c r="KTV141" s="22"/>
      <c r="KTW141" s="22"/>
      <c r="KTX141" s="22"/>
      <c r="KTY141" s="22"/>
      <c r="KTZ141" s="22"/>
      <c r="KUA141" s="22"/>
      <c r="KUB141" s="22"/>
      <c r="KUC141" s="22"/>
      <c r="KUD141" s="22"/>
      <c r="KUE141" s="22"/>
      <c r="KUF141" s="22"/>
      <c r="KUG141" s="22"/>
      <c r="KUH141" s="22"/>
      <c r="KUI141" s="22"/>
      <c r="KUJ141" s="22"/>
      <c r="KUK141" s="22"/>
      <c r="KUL141" s="22"/>
      <c r="KUM141" s="22"/>
      <c r="KUN141" s="22"/>
      <c r="KUO141" s="22"/>
      <c r="KUP141" s="22"/>
      <c r="KUQ141" s="22"/>
      <c r="KUR141" s="22"/>
      <c r="KUS141" s="22"/>
      <c r="KUT141" s="22"/>
      <c r="KUU141" s="22"/>
      <c r="KUV141" s="22"/>
      <c r="KUW141" s="22"/>
      <c r="KUX141" s="22"/>
      <c r="KUY141" s="22"/>
      <c r="KUZ141" s="22"/>
      <c r="KVA141" s="22"/>
      <c r="KVB141" s="22"/>
      <c r="KVC141" s="22"/>
      <c r="KVD141" s="22"/>
      <c r="KVE141" s="22"/>
      <c r="KVF141" s="22"/>
      <c r="KVG141" s="22"/>
      <c r="KVH141" s="22"/>
      <c r="KVI141" s="22"/>
      <c r="KVJ141" s="22"/>
      <c r="KVK141" s="22"/>
      <c r="KVL141" s="22"/>
      <c r="KVM141" s="22"/>
      <c r="KVN141" s="22"/>
      <c r="KVO141" s="22"/>
      <c r="KVP141" s="22"/>
      <c r="KVQ141" s="22"/>
      <c r="KVR141" s="22"/>
      <c r="KVS141" s="22"/>
      <c r="KVT141" s="22"/>
      <c r="KVU141" s="22"/>
      <c r="KVV141" s="22"/>
      <c r="KVW141" s="22"/>
      <c r="KVX141" s="22"/>
      <c r="KVY141" s="22"/>
      <c r="KVZ141" s="22"/>
      <c r="KWA141" s="22"/>
      <c r="KWB141" s="22"/>
      <c r="KWC141" s="22"/>
      <c r="KWD141" s="22"/>
      <c r="KWE141" s="22"/>
      <c r="KWF141" s="22"/>
      <c r="KWG141" s="22"/>
      <c r="KWH141" s="22"/>
      <c r="KWI141" s="22"/>
      <c r="KWJ141" s="22"/>
      <c r="KWK141" s="22"/>
      <c r="KWL141" s="22"/>
      <c r="KWM141" s="22"/>
      <c r="KWN141" s="22"/>
      <c r="KWO141" s="22"/>
      <c r="KWP141" s="22"/>
      <c r="KWQ141" s="22"/>
      <c r="KWR141" s="22"/>
      <c r="KWS141" s="22"/>
      <c r="KWT141" s="22"/>
      <c r="KWU141" s="22"/>
      <c r="KWV141" s="22"/>
      <c r="KWW141" s="22"/>
      <c r="KWX141" s="22"/>
      <c r="KWY141" s="22"/>
      <c r="KWZ141" s="22"/>
      <c r="KXA141" s="22"/>
      <c r="KXB141" s="22"/>
      <c r="KXC141" s="22"/>
      <c r="KXD141" s="22"/>
      <c r="KXE141" s="22"/>
      <c r="KXF141" s="22"/>
      <c r="KXG141" s="22"/>
      <c r="KXH141" s="22"/>
      <c r="KXI141" s="22"/>
      <c r="KXJ141" s="22"/>
      <c r="KXK141" s="22"/>
      <c r="KXL141" s="22"/>
      <c r="KXM141" s="22"/>
      <c r="KXN141" s="22"/>
      <c r="KXO141" s="22"/>
      <c r="KXP141" s="22"/>
      <c r="KXQ141" s="22"/>
      <c r="KXR141" s="22"/>
      <c r="KXS141" s="22"/>
      <c r="KXT141" s="22"/>
      <c r="KXU141" s="22"/>
      <c r="KXV141" s="22"/>
      <c r="KXW141" s="22"/>
      <c r="KXX141" s="22"/>
      <c r="KXY141" s="22"/>
      <c r="KXZ141" s="22"/>
      <c r="KYA141" s="22"/>
      <c r="KYB141" s="22"/>
      <c r="KYC141" s="22"/>
      <c r="KYD141" s="22"/>
      <c r="KYE141" s="22"/>
      <c r="KYF141" s="22"/>
      <c r="KYG141" s="22"/>
      <c r="KYH141" s="22"/>
      <c r="KYI141" s="22"/>
      <c r="KYJ141" s="22"/>
      <c r="KYK141" s="22"/>
      <c r="KYL141" s="22"/>
      <c r="KYM141" s="22"/>
      <c r="KYN141" s="22"/>
      <c r="KYO141" s="22"/>
      <c r="KYP141" s="22"/>
      <c r="KYQ141" s="22"/>
      <c r="KYR141" s="22"/>
      <c r="KYS141" s="22"/>
      <c r="KYT141" s="22"/>
      <c r="KYU141" s="22"/>
      <c r="KYV141" s="22"/>
      <c r="KYW141" s="22"/>
      <c r="KYX141" s="22"/>
      <c r="KYY141" s="22"/>
      <c r="KYZ141" s="22"/>
      <c r="KZA141" s="22"/>
      <c r="KZB141" s="22"/>
      <c r="KZC141" s="22"/>
      <c r="KZD141" s="22"/>
      <c r="KZE141" s="22"/>
      <c r="KZF141" s="22"/>
      <c r="KZG141" s="22"/>
      <c r="KZH141" s="22"/>
      <c r="KZI141" s="22"/>
      <c r="KZJ141" s="22"/>
      <c r="KZK141" s="22"/>
      <c r="KZL141" s="22"/>
      <c r="KZM141" s="22"/>
      <c r="KZN141" s="22"/>
      <c r="KZO141" s="22"/>
      <c r="KZP141" s="22"/>
      <c r="KZQ141" s="22"/>
      <c r="KZR141" s="22"/>
      <c r="KZS141" s="22"/>
      <c r="KZT141" s="22"/>
      <c r="KZU141" s="22"/>
      <c r="KZV141" s="22"/>
      <c r="KZW141" s="22"/>
      <c r="KZX141" s="22"/>
      <c r="KZY141" s="22"/>
      <c r="KZZ141" s="22"/>
      <c r="LAA141" s="22"/>
      <c r="LAB141" s="22"/>
      <c r="LAC141" s="22"/>
      <c r="LAD141" s="22"/>
      <c r="LAE141" s="22"/>
      <c r="LAF141" s="22"/>
      <c r="LAG141" s="22"/>
      <c r="LAH141" s="22"/>
      <c r="LAI141" s="22"/>
      <c r="LAJ141" s="22"/>
      <c r="LAK141" s="22"/>
      <c r="LAL141" s="22"/>
      <c r="LAM141" s="22"/>
      <c r="LAN141" s="22"/>
      <c r="LAO141" s="22"/>
      <c r="LAP141" s="22"/>
      <c r="LAQ141" s="22"/>
      <c r="LAR141" s="22"/>
      <c r="LAS141" s="22"/>
      <c r="LAT141" s="22"/>
      <c r="LAU141" s="22"/>
      <c r="LAV141" s="22"/>
      <c r="LAW141" s="22"/>
      <c r="LAX141" s="22"/>
      <c r="LAY141" s="22"/>
      <c r="LAZ141" s="22"/>
      <c r="LBA141" s="22"/>
      <c r="LBB141" s="22"/>
      <c r="LBC141" s="22"/>
      <c r="LBD141" s="22"/>
      <c r="LBE141" s="22"/>
      <c r="LBF141" s="22"/>
      <c r="LBG141" s="22"/>
      <c r="LBH141" s="22"/>
      <c r="LBI141" s="22"/>
      <c r="LBJ141" s="22"/>
      <c r="LBK141" s="22"/>
      <c r="LBL141" s="22"/>
      <c r="LBM141" s="22"/>
      <c r="LBN141" s="22"/>
      <c r="LBO141" s="22"/>
      <c r="LBP141" s="22"/>
      <c r="LBQ141" s="22"/>
      <c r="LBR141" s="22"/>
      <c r="LBS141" s="22"/>
      <c r="LBT141" s="22"/>
      <c r="LBU141" s="22"/>
      <c r="LBV141" s="22"/>
      <c r="LBW141" s="22"/>
      <c r="LBX141" s="22"/>
      <c r="LBY141" s="22"/>
      <c r="LBZ141" s="22"/>
      <c r="LCA141" s="22"/>
      <c r="LCB141" s="22"/>
      <c r="LCC141" s="22"/>
      <c r="LCD141" s="22"/>
      <c r="LCE141" s="22"/>
      <c r="LCF141" s="22"/>
      <c r="LCG141" s="22"/>
      <c r="LCH141" s="22"/>
      <c r="LCI141" s="22"/>
      <c r="LCJ141" s="22"/>
      <c r="LCK141" s="22"/>
      <c r="LCL141" s="22"/>
      <c r="LCM141" s="22"/>
      <c r="LCN141" s="22"/>
      <c r="LCO141" s="22"/>
      <c r="LCP141" s="22"/>
      <c r="LCQ141" s="22"/>
      <c r="LCR141" s="22"/>
      <c r="LCS141" s="22"/>
      <c r="LCT141" s="22"/>
      <c r="LCU141" s="22"/>
      <c r="LCV141" s="22"/>
      <c r="LCW141" s="22"/>
      <c r="LCX141" s="22"/>
      <c r="LCY141" s="22"/>
      <c r="LCZ141" s="22"/>
      <c r="LDA141" s="22"/>
      <c r="LDB141" s="22"/>
      <c r="LDC141" s="22"/>
      <c r="LDD141" s="22"/>
      <c r="LDE141" s="22"/>
      <c r="LDF141" s="22"/>
      <c r="LDG141" s="22"/>
      <c r="LDH141" s="22"/>
      <c r="LDI141" s="22"/>
      <c r="LDJ141" s="22"/>
      <c r="LDK141" s="22"/>
      <c r="LDL141" s="22"/>
      <c r="LDM141" s="22"/>
      <c r="LDN141" s="22"/>
      <c r="LDO141" s="22"/>
      <c r="LDP141" s="22"/>
      <c r="LDQ141" s="22"/>
      <c r="LDR141" s="22"/>
      <c r="LDS141" s="22"/>
      <c r="LDT141" s="22"/>
      <c r="LDU141" s="22"/>
      <c r="LDV141" s="22"/>
      <c r="LDW141" s="22"/>
      <c r="LDX141" s="22"/>
      <c r="LDY141" s="22"/>
      <c r="LDZ141" s="22"/>
      <c r="LEA141" s="22"/>
      <c r="LEB141" s="22"/>
      <c r="LEC141" s="22"/>
      <c r="LED141" s="22"/>
      <c r="LEE141" s="22"/>
      <c r="LEF141" s="22"/>
      <c r="LEG141" s="22"/>
      <c r="LEH141" s="22"/>
      <c r="LEI141" s="22"/>
      <c r="LEJ141" s="22"/>
      <c r="LEK141" s="22"/>
      <c r="LEL141" s="22"/>
      <c r="LEM141" s="22"/>
      <c r="LEN141" s="22"/>
      <c r="LEO141" s="22"/>
      <c r="LEP141" s="22"/>
      <c r="LEQ141" s="22"/>
      <c r="LER141" s="22"/>
      <c r="LES141" s="22"/>
      <c r="LET141" s="22"/>
      <c r="LEU141" s="22"/>
      <c r="LEV141" s="22"/>
      <c r="LEW141" s="22"/>
      <c r="LEX141" s="22"/>
      <c r="LEY141" s="22"/>
      <c r="LEZ141" s="22"/>
      <c r="LFA141" s="22"/>
      <c r="LFB141" s="22"/>
      <c r="LFC141" s="22"/>
      <c r="LFD141" s="22"/>
      <c r="LFE141" s="22"/>
      <c r="LFF141" s="22"/>
      <c r="LFG141" s="22"/>
      <c r="LFH141" s="22"/>
      <c r="LFI141" s="22"/>
      <c r="LFJ141" s="22"/>
      <c r="LFK141" s="22"/>
      <c r="LFL141" s="22"/>
      <c r="LFM141" s="22"/>
      <c r="LFN141" s="22"/>
      <c r="LFO141" s="22"/>
      <c r="LFP141" s="22"/>
      <c r="LFQ141" s="22"/>
      <c r="LFR141" s="22"/>
      <c r="LFS141" s="22"/>
      <c r="LFT141" s="22"/>
      <c r="LFU141" s="22"/>
      <c r="LFV141" s="22"/>
      <c r="LFW141" s="22"/>
      <c r="LFX141" s="22"/>
      <c r="LFY141" s="22"/>
      <c r="LFZ141" s="22"/>
      <c r="LGA141" s="22"/>
      <c r="LGB141" s="22"/>
      <c r="LGC141" s="22"/>
      <c r="LGD141" s="22"/>
      <c r="LGE141" s="22"/>
      <c r="LGF141" s="22"/>
      <c r="LGG141" s="22"/>
      <c r="LGH141" s="22"/>
      <c r="LGI141" s="22"/>
      <c r="LGJ141" s="22"/>
      <c r="LGK141" s="22"/>
      <c r="LGL141" s="22"/>
      <c r="LGM141" s="22"/>
      <c r="LGN141" s="22"/>
      <c r="LGO141" s="22"/>
      <c r="LGP141" s="22"/>
      <c r="LGQ141" s="22"/>
      <c r="LGR141" s="22"/>
      <c r="LGS141" s="22"/>
      <c r="LGT141" s="22"/>
      <c r="LGU141" s="22"/>
      <c r="LGV141" s="22"/>
      <c r="LGW141" s="22"/>
      <c r="LGX141" s="22"/>
      <c r="LGY141" s="22"/>
      <c r="LGZ141" s="22"/>
      <c r="LHA141" s="22"/>
      <c r="LHB141" s="22"/>
      <c r="LHC141" s="22"/>
      <c r="LHD141" s="22"/>
      <c r="LHE141" s="22"/>
      <c r="LHF141" s="22"/>
      <c r="LHG141" s="22"/>
      <c r="LHH141" s="22"/>
      <c r="LHI141" s="22"/>
      <c r="LHJ141" s="22"/>
      <c r="LHK141" s="22"/>
      <c r="LHL141" s="22"/>
      <c r="LHM141" s="22"/>
      <c r="LHN141" s="22"/>
      <c r="LHO141" s="22"/>
      <c r="LHP141" s="22"/>
      <c r="LHQ141" s="22"/>
      <c r="LHR141" s="22"/>
      <c r="LHS141" s="22"/>
      <c r="LHT141" s="22"/>
      <c r="LHU141" s="22"/>
      <c r="LHV141" s="22"/>
      <c r="LHW141" s="22"/>
      <c r="LHX141" s="22"/>
      <c r="LHY141" s="22"/>
      <c r="LHZ141" s="22"/>
      <c r="LIA141" s="22"/>
      <c r="LIB141" s="22"/>
      <c r="LIC141" s="22"/>
      <c r="LID141" s="22"/>
      <c r="LIE141" s="22"/>
      <c r="LIF141" s="22"/>
      <c r="LIG141" s="22"/>
      <c r="LIH141" s="22"/>
      <c r="LII141" s="22"/>
      <c r="LIJ141" s="22"/>
      <c r="LIK141" s="22"/>
      <c r="LIL141" s="22"/>
      <c r="LIM141" s="22"/>
      <c r="LIN141" s="22"/>
      <c r="LIO141" s="22"/>
      <c r="LIP141" s="22"/>
      <c r="LIQ141" s="22"/>
      <c r="LIR141" s="22"/>
      <c r="LIS141" s="22"/>
      <c r="LIT141" s="22"/>
      <c r="LIU141" s="22"/>
      <c r="LIV141" s="22"/>
      <c r="LIW141" s="22"/>
      <c r="LIX141" s="22"/>
      <c r="LIY141" s="22"/>
      <c r="LIZ141" s="22"/>
      <c r="LJA141" s="22"/>
      <c r="LJB141" s="22"/>
      <c r="LJC141" s="22"/>
      <c r="LJD141" s="22"/>
      <c r="LJE141" s="22"/>
      <c r="LJF141" s="22"/>
      <c r="LJG141" s="22"/>
      <c r="LJH141" s="22"/>
      <c r="LJI141" s="22"/>
      <c r="LJJ141" s="22"/>
      <c r="LJK141" s="22"/>
      <c r="LJL141" s="22"/>
      <c r="LJM141" s="22"/>
      <c r="LJN141" s="22"/>
      <c r="LJO141" s="22"/>
      <c r="LJP141" s="22"/>
      <c r="LJQ141" s="22"/>
      <c r="LJR141" s="22"/>
      <c r="LJS141" s="22"/>
      <c r="LJT141" s="22"/>
      <c r="LJU141" s="22"/>
      <c r="LJV141" s="22"/>
      <c r="LJW141" s="22"/>
      <c r="LJX141" s="22"/>
      <c r="LJY141" s="22"/>
      <c r="LJZ141" s="22"/>
      <c r="LKA141" s="22"/>
      <c r="LKB141" s="22"/>
      <c r="LKC141" s="22"/>
      <c r="LKD141" s="22"/>
      <c r="LKE141" s="22"/>
      <c r="LKF141" s="22"/>
      <c r="LKG141" s="22"/>
      <c r="LKH141" s="22"/>
      <c r="LKI141" s="22"/>
      <c r="LKJ141" s="22"/>
      <c r="LKK141" s="22"/>
      <c r="LKL141" s="22"/>
      <c r="LKM141" s="22"/>
      <c r="LKN141" s="22"/>
      <c r="LKO141" s="22"/>
      <c r="LKP141" s="22"/>
      <c r="LKQ141" s="22"/>
      <c r="LKR141" s="22"/>
      <c r="LKS141" s="22"/>
      <c r="LKT141" s="22"/>
      <c r="LKU141" s="22"/>
      <c r="LKV141" s="22"/>
      <c r="LKW141" s="22"/>
      <c r="LKX141" s="22"/>
      <c r="LKY141" s="22"/>
      <c r="LKZ141" s="22"/>
      <c r="LLA141" s="22"/>
      <c r="LLB141" s="22"/>
      <c r="LLC141" s="22"/>
      <c r="LLD141" s="22"/>
      <c r="LLE141" s="22"/>
      <c r="LLF141" s="22"/>
      <c r="LLG141" s="22"/>
      <c r="LLH141" s="22"/>
      <c r="LLI141" s="22"/>
      <c r="LLJ141" s="22"/>
      <c r="LLK141" s="22"/>
      <c r="LLL141" s="22"/>
      <c r="LLM141" s="22"/>
      <c r="LLN141" s="22"/>
      <c r="LLO141" s="22"/>
      <c r="LLP141" s="22"/>
      <c r="LLQ141" s="22"/>
      <c r="LLR141" s="22"/>
      <c r="LLS141" s="22"/>
      <c r="LLT141" s="22"/>
      <c r="LLU141" s="22"/>
      <c r="LLV141" s="22"/>
      <c r="LLW141" s="22"/>
      <c r="LLX141" s="22"/>
      <c r="LLY141" s="22"/>
      <c r="LLZ141" s="22"/>
      <c r="LMA141" s="22"/>
      <c r="LMB141" s="22"/>
      <c r="LMC141" s="22"/>
      <c r="LMD141" s="22"/>
      <c r="LME141" s="22"/>
      <c r="LMF141" s="22"/>
      <c r="LMG141" s="22"/>
      <c r="LMH141" s="22"/>
      <c r="LMI141" s="22"/>
      <c r="LMJ141" s="22"/>
      <c r="LMK141" s="22"/>
      <c r="LML141" s="22"/>
      <c r="LMM141" s="22"/>
      <c r="LMN141" s="22"/>
      <c r="LMO141" s="22"/>
      <c r="LMP141" s="22"/>
      <c r="LMQ141" s="22"/>
      <c r="LMR141" s="22"/>
      <c r="LMS141" s="22"/>
      <c r="LMT141" s="22"/>
      <c r="LMU141" s="22"/>
      <c r="LMV141" s="22"/>
      <c r="LMW141" s="22"/>
      <c r="LMX141" s="22"/>
      <c r="LMY141" s="22"/>
      <c r="LMZ141" s="22"/>
      <c r="LNA141" s="22"/>
      <c r="LNB141" s="22"/>
      <c r="LNC141" s="22"/>
      <c r="LND141" s="22"/>
      <c r="LNE141" s="22"/>
      <c r="LNF141" s="22"/>
      <c r="LNG141" s="22"/>
      <c r="LNH141" s="22"/>
      <c r="LNI141" s="22"/>
      <c r="LNJ141" s="22"/>
      <c r="LNK141" s="22"/>
      <c r="LNL141" s="22"/>
      <c r="LNM141" s="22"/>
      <c r="LNN141" s="22"/>
      <c r="LNO141" s="22"/>
      <c r="LNP141" s="22"/>
      <c r="LNQ141" s="22"/>
      <c r="LNR141" s="22"/>
      <c r="LNS141" s="22"/>
      <c r="LNT141" s="22"/>
      <c r="LNU141" s="22"/>
      <c r="LNV141" s="22"/>
      <c r="LNW141" s="22"/>
      <c r="LNX141" s="22"/>
      <c r="LNY141" s="22"/>
      <c r="LNZ141" s="22"/>
      <c r="LOA141" s="22"/>
      <c r="LOB141" s="22"/>
      <c r="LOC141" s="22"/>
      <c r="LOD141" s="22"/>
      <c r="LOE141" s="22"/>
      <c r="LOF141" s="22"/>
      <c r="LOG141" s="22"/>
      <c r="LOH141" s="22"/>
      <c r="LOI141" s="22"/>
      <c r="LOJ141" s="22"/>
      <c r="LOK141" s="22"/>
      <c r="LOL141" s="22"/>
      <c r="LOM141" s="22"/>
      <c r="LON141" s="22"/>
      <c r="LOO141" s="22"/>
      <c r="LOP141" s="22"/>
      <c r="LOQ141" s="22"/>
      <c r="LOR141" s="22"/>
      <c r="LOS141" s="22"/>
      <c r="LOT141" s="22"/>
      <c r="LOU141" s="22"/>
      <c r="LOV141" s="22"/>
      <c r="LOW141" s="22"/>
      <c r="LOX141" s="22"/>
      <c r="LOY141" s="22"/>
      <c r="LOZ141" s="22"/>
      <c r="LPA141" s="22"/>
      <c r="LPB141" s="22"/>
      <c r="LPC141" s="22"/>
      <c r="LPD141" s="22"/>
      <c r="LPE141" s="22"/>
      <c r="LPF141" s="22"/>
      <c r="LPG141" s="22"/>
      <c r="LPH141" s="22"/>
      <c r="LPI141" s="22"/>
      <c r="LPJ141" s="22"/>
      <c r="LPK141" s="22"/>
      <c r="LPL141" s="22"/>
      <c r="LPM141" s="22"/>
      <c r="LPN141" s="22"/>
      <c r="LPO141" s="22"/>
      <c r="LPP141" s="22"/>
      <c r="LPQ141" s="22"/>
      <c r="LPR141" s="22"/>
      <c r="LPS141" s="22"/>
      <c r="LPT141" s="22"/>
      <c r="LPU141" s="22"/>
      <c r="LPV141" s="22"/>
      <c r="LPW141" s="22"/>
      <c r="LPX141" s="22"/>
      <c r="LPY141" s="22"/>
      <c r="LPZ141" s="22"/>
      <c r="LQA141" s="22"/>
      <c r="LQB141" s="22"/>
      <c r="LQC141" s="22"/>
      <c r="LQD141" s="22"/>
      <c r="LQE141" s="22"/>
      <c r="LQF141" s="22"/>
      <c r="LQG141" s="22"/>
      <c r="LQH141" s="22"/>
      <c r="LQI141" s="22"/>
      <c r="LQJ141" s="22"/>
      <c r="LQK141" s="22"/>
      <c r="LQL141" s="22"/>
      <c r="LQM141" s="22"/>
      <c r="LQN141" s="22"/>
      <c r="LQO141" s="22"/>
      <c r="LQP141" s="22"/>
      <c r="LQQ141" s="22"/>
      <c r="LQR141" s="22"/>
      <c r="LQS141" s="22"/>
      <c r="LQT141" s="22"/>
      <c r="LQU141" s="22"/>
      <c r="LQV141" s="22"/>
      <c r="LQW141" s="22"/>
      <c r="LQX141" s="22"/>
      <c r="LQY141" s="22"/>
      <c r="LQZ141" s="22"/>
      <c r="LRA141" s="22"/>
      <c r="LRB141" s="22"/>
      <c r="LRC141" s="22"/>
      <c r="LRD141" s="22"/>
      <c r="LRE141" s="22"/>
      <c r="LRF141" s="22"/>
      <c r="LRG141" s="22"/>
      <c r="LRH141" s="22"/>
      <c r="LRI141" s="22"/>
      <c r="LRJ141" s="22"/>
      <c r="LRK141" s="22"/>
      <c r="LRL141" s="22"/>
      <c r="LRM141" s="22"/>
      <c r="LRN141" s="22"/>
      <c r="LRO141" s="22"/>
      <c r="LRP141" s="22"/>
      <c r="LRQ141" s="22"/>
      <c r="LRR141" s="22"/>
      <c r="LRS141" s="22"/>
      <c r="LRT141" s="22"/>
      <c r="LRU141" s="22"/>
      <c r="LRV141" s="22"/>
      <c r="LRW141" s="22"/>
      <c r="LRX141" s="22"/>
      <c r="LRY141" s="22"/>
      <c r="LRZ141" s="22"/>
      <c r="LSA141" s="22"/>
      <c r="LSB141" s="22"/>
      <c r="LSC141" s="22"/>
      <c r="LSD141" s="22"/>
      <c r="LSE141" s="22"/>
      <c r="LSF141" s="22"/>
      <c r="LSG141" s="22"/>
      <c r="LSH141" s="22"/>
      <c r="LSI141" s="22"/>
      <c r="LSJ141" s="22"/>
      <c r="LSK141" s="22"/>
      <c r="LSL141" s="22"/>
      <c r="LSM141" s="22"/>
      <c r="LSN141" s="22"/>
      <c r="LSO141" s="22"/>
      <c r="LSP141" s="22"/>
      <c r="LSQ141" s="22"/>
      <c r="LSR141" s="22"/>
      <c r="LSS141" s="22"/>
      <c r="LST141" s="22"/>
      <c r="LSU141" s="22"/>
      <c r="LSV141" s="22"/>
      <c r="LSW141" s="22"/>
      <c r="LSX141" s="22"/>
      <c r="LSY141" s="22"/>
      <c r="LSZ141" s="22"/>
      <c r="LTA141" s="22"/>
      <c r="LTB141" s="22"/>
      <c r="LTC141" s="22"/>
      <c r="LTD141" s="22"/>
      <c r="LTE141" s="22"/>
      <c r="LTF141" s="22"/>
      <c r="LTG141" s="22"/>
      <c r="LTH141" s="22"/>
      <c r="LTI141" s="22"/>
      <c r="LTJ141" s="22"/>
      <c r="LTK141" s="22"/>
      <c r="LTL141" s="22"/>
      <c r="LTM141" s="22"/>
      <c r="LTN141" s="22"/>
      <c r="LTO141" s="22"/>
      <c r="LTP141" s="22"/>
      <c r="LTQ141" s="22"/>
      <c r="LTR141" s="22"/>
      <c r="LTS141" s="22"/>
      <c r="LTT141" s="22"/>
      <c r="LTU141" s="22"/>
      <c r="LTV141" s="22"/>
      <c r="LTW141" s="22"/>
      <c r="LTX141" s="22"/>
      <c r="LTY141" s="22"/>
      <c r="LTZ141" s="22"/>
      <c r="LUA141" s="22"/>
      <c r="LUB141" s="22"/>
      <c r="LUC141" s="22"/>
      <c r="LUD141" s="22"/>
      <c r="LUE141" s="22"/>
      <c r="LUF141" s="22"/>
      <c r="LUG141" s="22"/>
      <c r="LUH141" s="22"/>
      <c r="LUI141" s="22"/>
      <c r="LUJ141" s="22"/>
      <c r="LUK141" s="22"/>
      <c r="LUL141" s="22"/>
      <c r="LUM141" s="22"/>
      <c r="LUN141" s="22"/>
      <c r="LUO141" s="22"/>
      <c r="LUP141" s="22"/>
      <c r="LUQ141" s="22"/>
      <c r="LUR141" s="22"/>
      <c r="LUS141" s="22"/>
      <c r="LUT141" s="22"/>
      <c r="LUU141" s="22"/>
      <c r="LUV141" s="22"/>
      <c r="LUW141" s="22"/>
      <c r="LUX141" s="22"/>
      <c r="LUY141" s="22"/>
      <c r="LUZ141" s="22"/>
      <c r="LVA141" s="22"/>
      <c r="LVB141" s="22"/>
      <c r="LVC141" s="22"/>
      <c r="LVD141" s="22"/>
      <c r="LVE141" s="22"/>
      <c r="LVF141" s="22"/>
      <c r="LVG141" s="22"/>
      <c r="LVH141" s="22"/>
      <c r="LVI141" s="22"/>
      <c r="LVJ141" s="22"/>
      <c r="LVK141" s="22"/>
      <c r="LVL141" s="22"/>
      <c r="LVM141" s="22"/>
      <c r="LVN141" s="22"/>
      <c r="LVO141" s="22"/>
      <c r="LVP141" s="22"/>
      <c r="LVQ141" s="22"/>
      <c r="LVR141" s="22"/>
      <c r="LVS141" s="22"/>
      <c r="LVT141" s="22"/>
      <c r="LVU141" s="22"/>
      <c r="LVV141" s="22"/>
      <c r="LVW141" s="22"/>
      <c r="LVX141" s="22"/>
      <c r="LVY141" s="22"/>
      <c r="LVZ141" s="22"/>
      <c r="LWA141" s="22"/>
      <c r="LWB141" s="22"/>
      <c r="LWC141" s="22"/>
      <c r="LWD141" s="22"/>
      <c r="LWE141" s="22"/>
      <c r="LWF141" s="22"/>
      <c r="LWG141" s="22"/>
      <c r="LWH141" s="22"/>
      <c r="LWI141" s="22"/>
      <c r="LWJ141" s="22"/>
      <c r="LWK141" s="22"/>
      <c r="LWL141" s="22"/>
      <c r="LWM141" s="22"/>
      <c r="LWN141" s="22"/>
      <c r="LWO141" s="22"/>
      <c r="LWP141" s="22"/>
      <c r="LWQ141" s="22"/>
      <c r="LWR141" s="22"/>
      <c r="LWS141" s="22"/>
      <c r="LWT141" s="22"/>
      <c r="LWU141" s="22"/>
      <c r="LWV141" s="22"/>
      <c r="LWW141" s="22"/>
      <c r="LWX141" s="22"/>
      <c r="LWY141" s="22"/>
      <c r="LWZ141" s="22"/>
      <c r="LXA141" s="22"/>
      <c r="LXB141" s="22"/>
      <c r="LXC141" s="22"/>
      <c r="LXD141" s="22"/>
      <c r="LXE141" s="22"/>
      <c r="LXF141" s="22"/>
      <c r="LXG141" s="22"/>
      <c r="LXH141" s="22"/>
      <c r="LXI141" s="22"/>
      <c r="LXJ141" s="22"/>
      <c r="LXK141" s="22"/>
      <c r="LXL141" s="22"/>
      <c r="LXM141" s="22"/>
      <c r="LXN141" s="22"/>
      <c r="LXO141" s="22"/>
      <c r="LXP141" s="22"/>
      <c r="LXQ141" s="22"/>
      <c r="LXR141" s="22"/>
      <c r="LXS141" s="22"/>
      <c r="LXT141" s="22"/>
      <c r="LXU141" s="22"/>
      <c r="LXV141" s="22"/>
      <c r="LXW141" s="22"/>
      <c r="LXX141" s="22"/>
      <c r="LXY141" s="22"/>
      <c r="LXZ141" s="22"/>
      <c r="LYA141" s="22"/>
      <c r="LYB141" s="22"/>
      <c r="LYC141" s="22"/>
      <c r="LYD141" s="22"/>
      <c r="LYE141" s="22"/>
      <c r="LYF141" s="22"/>
      <c r="LYG141" s="22"/>
      <c r="LYH141" s="22"/>
      <c r="LYI141" s="22"/>
      <c r="LYJ141" s="22"/>
      <c r="LYK141" s="22"/>
      <c r="LYL141" s="22"/>
      <c r="LYM141" s="22"/>
      <c r="LYN141" s="22"/>
      <c r="LYO141" s="22"/>
      <c r="LYP141" s="22"/>
      <c r="LYQ141" s="22"/>
      <c r="LYR141" s="22"/>
      <c r="LYS141" s="22"/>
      <c r="LYT141" s="22"/>
      <c r="LYU141" s="22"/>
      <c r="LYV141" s="22"/>
      <c r="LYW141" s="22"/>
      <c r="LYX141" s="22"/>
      <c r="LYY141" s="22"/>
      <c r="LYZ141" s="22"/>
      <c r="LZA141" s="22"/>
      <c r="LZB141" s="22"/>
      <c r="LZC141" s="22"/>
      <c r="LZD141" s="22"/>
      <c r="LZE141" s="22"/>
      <c r="LZF141" s="22"/>
      <c r="LZG141" s="22"/>
      <c r="LZH141" s="22"/>
      <c r="LZI141" s="22"/>
      <c r="LZJ141" s="22"/>
      <c r="LZK141" s="22"/>
      <c r="LZL141" s="22"/>
      <c r="LZM141" s="22"/>
      <c r="LZN141" s="22"/>
      <c r="LZO141" s="22"/>
      <c r="LZP141" s="22"/>
      <c r="LZQ141" s="22"/>
      <c r="LZR141" s="22"/>
      <c r="LZS141" s="22"/>
      <c r="LZT141" s="22"/>
      <c r="LZU141" s="22"/>
      <c r="LZV141" s="22"/>
      <c r="LZW141" s="22"/>
      <c r="LZX141" s="22"/>
      <c r="LZY141" s="22"/>
      <c r="LZZ141" s="22"/>
      <c r="MAA141" s="22"/>
      <c r="MAB141" s="22"/>
      <c r="MAC141" s="22"/>
      <c r="MAD141" s="22"/>
      <c r="MAE141" s="22"/>
      <c r="MAF141" s="22"/>
      <c r="MAG141" s="22"/>
      <c r="MAH141" s="22"/>
      <c r="MAI141" s="22"/>
      <c r="MAJ141" s="22"/>
      <c r="MAK141" s="22"/>
      <c r="MAL141" s="22"/>
      <c r="MAM141" s="22"/>
      <c r="MAN141" s="22"/>
      <c r="MAO141" s="22"/>
      <c r="MAP141" s="22"/>
      <c r="MAQ141" s="22"/>
      <c r="MAR141" s="22"/>
      <c r="MAS141" s="22"/>
      <c r="MAT141" s="22"/>
      <c r="MAU141" s="22"/>
      <c r="MAV141" s="22"/>
      <c r="MAW141" s="22"/>
      <c r="MAX141" s="22"/>
      <c r="MAY141" s="22"/>
      <c r="MAZ141" s="22"/>
      <c r="MBA141" s="22"/>
      <c r="MBB141" s="22"/>
      <c r="MBC141" s="22"/>
      <c r="MBD141" s="22"/>
      <c r="MBE141" s="22"/>
      <c r="MBF141" s="22"/>
      <c r="MBG141" s="22"/>
      <c r="MBH141" s="22"/>
      <c r="MBI141" s="22"/>
      <c r="MBJ141" s="22"/>
      <c r="MBK141" s="22"/>
      <c r="MBL141" s="22"/>
      <c r="MBM141" s="22"/>
      <c r="MBN141" s="22"/>
      <c r="MBO141" s="22"/>
      <c r="MBP141" s="22"/>
      <c r="MBQ141" s="22"/>
      <c r="MBR141" s="22"/>
      <c r="MBS141" s="22"/>
      <c r="MBT141" s="22"/>
      <c r="MBU141" s="22"/>
      <c r="MBV141" s="22"/>
      <c r="MBW141" s="22"/>
      <c r="MBX141" s="22"/>
      <c r="MBY141" s="22"/>
      <c r="MBZ141" s="22"/>
      <c r="MCA141" s="22"/>
      <c r="MCB141" s="22"/>
      <c r="MCC141" s="22"/>
      <c r="MCD141" s="22"/>
      <c r="MCE141" s="22"/>
      <c r="MCF141" s="22"/>
      <c r="MCG141" s="22"/>
      <c r="MCH141" s="22"/>
      <c r="MCI141" s="22"/>
      <c r="MCJ141" s="22"/>
      <c r="MCK141" s="22"/>
      <c r="MCL141" s="22"/>
      <c r="MCM141" s="22"/>
      <c r="MCN141" s="22"/>
      <c r="MCO141" s="22"/>
      <c r="MCP141" s="22"/>
      <c r="MCQ141" s="22"/>
      <c r="MCR141" s="22"/>
      <c r="MCS141" s="22"/>
      <c r="MCT141" s="22"/>
      <c r="MCU141" s="22"/>
      <c r="MCV141" s="22"/>
      <c r="MCW141" s="22"/>
      <c r="MCX141" s="22"/>
      <c r="MCY141" s="22"/>
      <c r="MCZ141" s="22"/>
      <c r="MDA141" s="22"/>
      <c r="MDB141" s="22"/>
      <c r="MDC141" s="22"/>
      <c r="MDD141" s="22"/>
      <c r="MDE141" s="22"/>
      <c r="MDF141" s="22"/>
      <c r="MDG141" s="22"/>
      <c r="MDH141" s="22"/>
      <c r="MDI141" s="22"/>
      <c r="MDJ141" s="22"/>
      <c r="MDK141" s="22"/>
      <c r="MDL141" s="22"/>
      <c r="MDM141" s="22"/>
      <c r="MDN141" s="22"/>
      <c r="MDO141" s="22"/>
      <c r="MDP141" s="22"/>
      <c r="MDQ141" s="22"/>
      <c r="MDR141" s="22"/>
      <c r="MDS141" s="22"/>
      <c r="MDT141" s="22"/>
      <c r="MDU141" s="22"/>
      <c r="MDV141" s="22"/>
      <c r="MDW141" s="22"/>
      <c r="MDX141" s="22"/>
      <c r="MDY141" s="22"/>
      <c r="MDZ141" s="22"/>
      <c r="MEA141" s="22"/>
      <c r="MEB141" s="22"/>
      <c r="MEC141" s="22"/>
      <c r="MED141" s="22"/>
      <c r="MEE141" s="22"/>
      <c r="MEF141" s="22"/>
      <c r="MEG141" s="22"/>
      <c r="MEH141" s="22"/>
      <c r="MEI141" s="22"/>
      <c r="MEJ141" s="22"/>
      <c r="MEK141" s="22"/>
      <c r="MEL141" s="22"/>
      <c r="MEM141" s="22"/>
      <c r="MEN141" s="22"/>
      <c r="MEO141" s="22"/>
      <c r="MEP141" s="22"/>
      <c r="MEQ141" s="22"/>
      <c r="MER141" s="22"/>
      <c r="MES141" s="22"/>
      <c r="MET141" s="22"/>
      <c r="MEU141" s="22"/>
      <c r="MEV141" s="22"/>
      <c r="MEW141" s="22"/>
      <c r="MEX141" s="22"/>
      <c r="MEY141" s="22"/>
      <c r="MEZ141" s="22"/>
      <c r="MFA141" s="22"/>
      <c r="MFB141" s="22"/>
      <c r="MFC141" s="22"/>
      <c r="MFD141" s="22"/>
      <c r="MFE141" s="22"/>
      <c r="MFF141" s="22"/>
      <c r="MFG141" s="22"/>
      <c r="MFH141" s="22"/>
      <c r="MFI141" s="22"/>
      <c r="MFJ141" s="22"/>
      <c r="MFK141" s="22"/>
      <c r="MFL141" s="22"/>
      <c r="MFM141" s="22"/>
      <c r="MFN141" s="22"/>
      <c r="MFO141" s="22"/>
      <c r="MFP141" s="22"/>
      <c r="MFQ141" s="22"/>
      <c r="MFR141" s="22"/>
      <c r="MFS141" s="22"/>
      <c r="MFT141" s="22"/>
      <c r="MFU141" s="22"/>
      <c r="MFV141" s="22"/>
      <c r="MFW141" s="22"/>
      <c r="MFX141" s="22"/>
      <c r="MFY141" s="22"/>
      <c r="MFZ141" s="22"/>
      <c r="MGA141" s="22"/>
      <c r="MGB141" s="22"/>
      <c r="MGC141" s="22"/>
      <c r="MGD141" s="22"/>
      <c r="MGE141" s="22"/>
      <c r="MGF141" s="22"/>
      <c r="MGG141" s="22"/>
      <c r="MGH141" s="22"/>
      <c r="MGI141" s="22"/>
      <c r="MGJ141" s="22"/>
      <c r="MGK141" s="22"/>
      <c r="MGL141" s="22"/>
      <c r="MGM141" s="22"/>
      <c r="MGN141" s="22"/>
      <c r="MGO141" s="22"/>
      <c r="MGP141" s="22"/>
      <c r="MGQ141" s="22"/>
      <c r="MGR141" s="22"/>
      <c r="MGS141" s="22"/>
      <c r="MGT141" s="22"/>
      <c r="MGU141" s="22"/>
      <c r="MGV141" s="22"/>
      <c r="MGW141" s="22"/>
      <c r="MGX141" s="22"/>
      <c r="MGY141" s="22"/>
      <c r="MGZ141" s="22"/>
      <c r="MHA141" s="22"/>
      <c r="MHB141" s="22"/>
      <c r="MHC141" s="22"/>
      <c r="MHD141" s="22"/>
      <c r="MHE141" s="22"/>
      <c r="MHF141" s="22"/>
      <c r="MHG141" s="22"/>
      <c r="MHH141" s="22"/>
      <c r="MHI141" s="22"/>
      <c r="MHJ141" s="22"/>
      <c r="MHK141" s="22"/>
      <c r="MHL141" s="22"/>
      <c r="MHM141" s="22"/>
      <c r="MHN141" s="22"/>
      <c r="MHO141" s="22"/>
      <c r="MHP141" s="22"/>
      <c r="MHQ141" s="22"/>
      <c r="MHR141" s="22"/>
      <c r="MHS141" s="22"/>
      <c r="MHT141" s="22"/>
      <c r="MHU141" s="22"/>
      <c r="MHV141" s="22"/>
      <c r="MHW141" s="22"/>
      <c r="MHX141" s="22"/>
      <c r="MHY141" s="22"/>
      <c r="MHZ141" s="22"/>
      <c r="MIA141" s="22"/>
      <c r="MIB141" s="22"/>
      <c r="MIC141" s="22"/>
      <c r="MID141" s="22"/>
      <c r="MIE141" s="22"/>
      <c r="MIF141" s="22"/>
      <c r="MIG141" s="22"/>
      <c r="MIH141" s="22"/>
      <c r="MII141" s="22"/>
      <c r="MIJ141" s="22"/>
      <c r="MIK141" s="22"/>
      <c r="MIL141" s="22"/>
      <c r="MIM141" s="22"/>
      <c r="MIN141" s="22"/>
      <c r="MIO141" s="22"/>
      <c r="MIP141" s="22"/>
      <c r="MIQ141" s="22"/>
      <c r="MIR141" s="22"/>
      <c r="MIS141" s="22"/>
      <c r="MIT141" s="22"/>
      <c r="MIU141" s="22"/>
      <c r="MIV141" s="22"/>
      <c r="MIW141" s="22"/>
      <c r="MIX141" s="22"/>
      <c r="MIY141" s="22"/>
      <c r="MIZ141" s="22"/>
      <c r="MJA141" s="22"/>
      <c r="MJB141" s="22"/>
      <c r="MJC141" s="22"/>
      <c r="MJD141" s="22"/>
      <c r="MJE141" s="22"/>
      <c r="MJF141" s="22"/>
      <c r="MJG141" s="22"/>
      <c r="MJH141" s="22"/>
      <c r="MJI141" s="22"/>
      <c r="MJJ141" s="22"/>
      <c r="MJK141" s="22"/>
      <c r="MJL141" s="22"/>
      <c r="MJM141" s="22"/>
      <c r="MJN141" s="22"/>
      <c r="MJO141" s="22"/>
      <c r="MJP141" s="22"/>
      <c r="MJQ141" s="22"/>
      <c r="MJR141" s="22"/>
      <c r="MJS141" s="22"/>
      <c r="MJT141" s="22"/>
      <c r="MJU141" s="22"/>
      <c r="MJV141" s="22"/>
      <c r="MJW141" s="22"/>
      <c r="MJX141" s="22"/>
      <c r="MJY141" s="22"/>
      <c r="MJZ141" s="22"/>
      <c r="MKA141" s="22"/>
      <c r="MKB141" s="22"/>
      <c r="MKC141" s="22"/>
      <c r="MKD141" s="22"/>
      <c r="MKE141" s="22"/>
      <c r="MKF141" s="22"/>
      <c r="MKG141" s="22"/>
      <c r="MKH141" s="22"/>
      <c r="MKI141" s="22"/>
      <c r="MKJ141" s="22"/>
      <c r="MKK141" s="22"/>
      <c r="MKL141" s="22"/>
      <c r="MKM141" s="22"/>
      <c r="MKN141" s="22"/>
      <c r="MKO141" s="22"/>
      <c r="MKP141" s="22"/>
      <c r="MKQ141" s="22"/>
      <c r="MKR141" s="22"/>
      <c r="MKS141" s="22"/>
      <c r="MKT141" s="22"/>
      <c r="MKU141" s="22"/>
      <c r="MKV141" s="22"/>
      <c r="MKW141" s="22"/>
      <c r="MKX141" s="22"/>
      <c r="MKY141" s="22"/>
      <c r="MKZ141" s="22"/>
      <c r="MLA141" s="22"/>
      <c r="MLB141" s="22"/>
      <c r="MLC141" s="22"/>
      <c r="MLD141" s="22"/>
      <c r="MLE141" s="22"/>
      <c r="MLF141" s="22"/>
      <c r="MLG141" s="22"/>
      <c r="MLH141" s="22"/>
      <c r="MLI141" s="22"/>
      <c r="MLJ141" s="22"/>
      <c r="MLK141" s="22"/>
      <c r="MLL141" s="22"/>
      <c r="MLM141" s="22"/>
      <c r="MLN141" s="22"/>
      <c r="MLO141" s="22"/>
      <c r="MLP141" s="22"/>
      <c r="MLQ141" s="22"/>
      <c r="MLR141" s="22"/>
      <c r="MLS141" s="22"/>
      <c r="MLT141" s="22"/>
      <c r="MLU141" s="22"/>
      <c r="MLV141" s="22"/>
      <c r="MLW141" s="22"/>
      <c r="MLX141" s="22"/>
      <c r="MLY141" s="22"/>
      <c r="MLZ141" s="22"/>
      <c r="MMA141" s="22"/>
      <c r="MMB141" s="22"/>
      <c r="MMC141" s="22"/>
      <c r="MMD141" s="22"/>
      <c r="MME141" s="22"/>
      <c r="MMF141" s="22"/>
      <c r="MMG141" s="22"/>
      <c r="MMH141" s="22"/>
      <c r="MMI141" s="22"/>
      <c r="MMJ141" s="22"/>
      <c r="MMK141" s="22"/>
      <c r="MML141" s="22"/>
      <c r="MMM141" s="22"/>
      <c r="MMN141" s="22"/>
      <c r="MMO141" s="22"/>
      <c r="MMP141" s="22"/>
      <c r="MMQ141" s="22"/>
      <c r="MMR141" s="22"/>
      <c r="MMS141" s="22"/>
      <c r="MMT141" s="22"/>
      <c r="MMU141" s="22"/>
      <c r="MMV141" s="22"/>
      <c r="MMW141" s="22"/>
      <c r="MMX141" s="22"/>
      <c r="MMY141" s="22"/>
      <c r="MMZ141" s="22"/>
      <c r="MNA141" s="22"/>
      <c r="MNB141" s="22"/>
      <c r="MNC141" s="22"/>
      <c r="MND141" s="22"/>
      <c r="MNE141" s="22"/>
      <c r="MNF141" s="22"/>
      <c r="MNG141" s="22"/>
      <c r="MNH141" s="22"/>
      <c r="MNI141" s="22"/>
      <c r="MNJ141" s="22"/>
      <c r="MNK141" s="22"/>
      <c r="MNL141" s="22"/>
      <c r="MNM141" s="22"/>
      <c r="MNN141" s="22"/>
      <c r="MNO141" s="22"/>
      <c r="MNP141" s="22"/>
      <c r="MNQ141" s="22"/>
      <c r="MNR141" s="22"/>
      <c r="MNS141" s="22"/>
      <c r="MNT141" s="22"/>
      <c r="MNU141" s="22"/>
      <c r="MNV141" s="22"/>
      <c r="MNW141" s="22"/>
      <c r="MNX141" s="22"/>
      <c r="MNY141" s="22"/>
      <c r="MNZ141" s="22"/>
      <c r="MOA141" s="22"/>
      <c r="MOB141" s="22"/>
      <c r="MOC141" s="22"/>
      <c r="MOD141" s="22"/>
      <c r="MOE141" s="22"/>
      <c r="MOF141" s="22"/>
      <c r="MOG141" s="22"/>
      <c r="MOH141" s="22"/>
      <c r="MOI141" s="22"/>
      <c r="MOJ141" s="22"/>
      <c r="MOK141" s="22"/>
      <c r="MOL141" s="22"/>
      <c r="MOM141" s="22"/>
      <c r="MON141" s="22"/>
      <c r="MOO141" s="22"/>
      <c r="MOP141" s="22"/>
      <c r="MOQ141" s="22"/>
      <c r="MOR141" s="22"/>
      <c r="MOS141" s="22"/>
      <c r="MOT141" s="22"/>
      <c r="MOU141" s="22"/>
      <c r="MOV141" s="22"/>
      <c r="MOW141" s="22"/>
      <c r="MOX141" s="22"/>
      <c r="MOY141" s="22"/>
      <c r="MOZ141" s="22"/>
      <c r="MPA141" s="22"/>
      <c r="MPB141" s="22"/>
      <c r="MPC141" s="22"/>
      <c r="MPD141" s="22"/>
      <c r="MPE141" s="22"/>
      <c r="MPF141" s="22"/>
      <c r="MPG141" s="22"/>
      <c r="MPH141" s="22"/>
      <c r="MPI141" s="22"/>
      <c r="MPJ141" s="22"/>
      <c r="MPK141" s="22"/>
      <c r="MPL141" s="22"/>
      <c r="MPM141" s="22"/>
      <c r="MPN141" s="22"/>
      <c r="MPO141" s="22"/>
      <c r="MPP141" s="22"/>
      <c r="MPQ141" s="22"/>
      <c r="MPR141" s="22"/>
      <c r="MPS141" s="22"/>
      <c r="MPT141" s="22"/>
      <c r="MPU141" s="22"/>
      <c r="MPV141" s="22"/>
      <c r="MPW141" s="22"/>
      <c r="MPX141" s="22"/>
      <c r="MPY141" s="22"/>
      <c r="MPZ141" s="22"/>
      <c r="MQA141" s="22"/>
      <c r="MQB141" s="22"/>
      <c r="MQC141" s="22"/>
      <c r="MQD141" s="22"/>
      <c r="MQE141" s="22"/>
      <c r="MQF141" s="22"/>
      <c r="MQG141" s="22"/>
      <c r="MQH141" s="22"/>
      <c r="MQI141" s="22"/>
      <c r="MQJ141" s="22"/>
      <c r="MQK141" s="22"/>
      <c r="MQL141" s="22"/>
      <c r="MQM141" s="22"/>
      <c r="MQN141" s="22"/>
      <c r="MQO141" s="22"/>
      <c r="MQP141" s="22"/>
      <c r="MQQ141" s="22"/>
      <c r="MQR141" s="22"/>
      <c r="MQS141" s="22"/>
      <c r="MQT141" s="22"/>
      <c r="MQU141" s="22"/>
      <c r="MQV141" s="22"/>
      <c r="MQW141" s="22"/>
      <c r="MQX141" s="22"/>
      <c r="MQY141" s="22"/>
      <c r="MQZ141" s="22"/>
      <c r="MRA141" s="22"/>
      <c r="MRB141" s="22"/>
      <c r="MRC141" s="22"/>
      <c r="MRD141" s="22"/>
      <c r="MRE141" s="22"/>
      <c r="MRF141" s="22"/>
      <c r="MRG141" s="22"/>
      <c r="MRH141" s="22"/>
      <c r="MRI141" s="22"/>
      <c r="MRJ141" s="22"/>
      <c r="MRK141" s="22"/>
      <c r="MRL141" s="22"/>
      <c r="MRM141" s="22"/>
      <c r="MRN141" s="22"/>
      <c r="MRO141" s="22"/>
      <c r="MRP141" s="22"/>
      <c r="MRQ141" s="22"/>
      <c r="MRR141" s="22"/>
      <c r="MRS141" s="22"/>
      <c r="MRT141" s="22"/>
      <c r="MRU141" s="22"/>
      <c r="MRV141" s="22"/>
      <c r="MRW141" s="22"/>
      <c r="MRX141" s="22"/>
      <c r="MRY141" s="22"/>
      <c r="MRZ141" s="22"/>
      <c r="MSA141" s="22"/>
      <c r="MSB141" s="22"/>
      <c r="MSC141" s="22"/>
      <c r="MSD141" s="22"/>
      <c r="MSE141" s="22"/>
      <c r="MSF141" s="22"/>
      <c r="MSG141" s="22"/>
      <c r="MSH141" s="22"/>
      <c r="MSI141" s="22"/>
      <c r="MSJ141" s="22"/>
      <c r="MSK141" s="22"/>
      <c r="MSL141" s="22"/>
      <c r="MSM141" s="22"/>
      <c r="MSN141" s="22"/>
      <c r="MSO141" s="22"/>
      <c r="MSP141" s="22"/>
      <c r="MSQ141" s="22"/>
      <c r="MSR141" s="22"/>
      <c r="MSS141" s="22"/>
      <c r="MST141" s="22"/>
      <c r="MSU141" s="22"/>
      <c r="MSV141" s="22"/>
      <c r="MSW141" s="22"/>
      <c r="MSX141" s="22"/>
      <c r="MSY141" s="22"/>
      <c r="MSZ141" s="22"/>
      <c r="MTA141" s="22"/>
      <c r="MTB141" s="22"/>
      <c r="MTC141" s="22"/>
      <c r="MTD141" s="22"/>
      <c r="MTE141" s="22"/>
      <c r="MTF141" s="22"/>
      <c r="MTG141" s="22"/>
      <c r="MTH141" s="22"/>
      <c r="MTI141" s="22"/>
      <c r="MTJ141" s="22"/>
      <c r="MTK141" s="22"/>
      <c r="MTL141" s="22"/>
      <c r="MTM141" s="22"/>
      <c r="MTN141" s="22"/>
      <c r="MTO141" s="22"/>
      <c r="MTP141" s="22"/>
      <c r="MTQ141" s="22"/>
      <c r="MTR141" s="22"/>
      <c r="MTS141" s="22"/>
      <c r="MTT141" s="22"/>
      <c r="MTU141" s="22"/>
      <c r="MTV141" s="22"/>
      <c r="MTW141" s="22"/>
      <c r="MTX141" s="22"/>
      <c r="MTY141" s="22"/>
      <c r="MTZ141" s="22"/>
      <c r="MUA141" s="22"/>
      <c r="MUB141" s="22"/>
      <c r="MUC141" s="22"/>
      <c r="MUD141" s="22"/>
      <c r="MUE141" s="22"/>
      <c r="MUF141" s="22"/>
      <c r="MUG141" s="22"/>
      <c r="MUH141" s="22"/>
      <c r="MUI141" s="22"/>
      <c r="MUJ141" s="22"/>
      <c r="MUK141" s="22"/>
      <c r="MUL141" s="22"/>
      <c r="MUM141" s="22"/>
      <c r="MUN141" s="22"/>
      <c r="MUO141" s="22"/>
      <c r="MUP141" s="22"/>
      <c r="MUQ141" s="22"/>
      <c r="MUR141" s="22"/>
      <c r="MUS141" s="22"/>
      <c r="MUT141" s="22"/>
      <c r="MUU141" s="22"/>
      <c r="MUV141" s="22"/>
      <c r="MUW141" s="22"/>
      <c r="MUX141" s="22"/>
      <c r="MUY141" s="22"/>
      <c r="MUZ141" s="22"/>
      <c r="MVA141" s="22"/>
      <c r="MVB141" s="22"/>
      <c r="MVC141" s="22"/>
      <c r="MVD141" s="22"/>
      <c r="MVE141" s="22"/>
      <c r="MVF141" s="22"/>
      <c r="MVG141" s="22"/>
      <c r="MVH141" s="22"/>
      <c r="MVI141" s="22"/>
      <c r="MVJ141" s="22"/>
      <c r="MVK141" s="22"/>
      <c r="MVL141" s="22"/>
      <c r="MVM141" s="22"/>
      <c r="MVN141" s="22"/>
      <c r="MVO141" s="22"/>
      <c r="MVP141" s="22"/>
      <c r="MVQ141" s="22"/>
      <c r="MVR141" s="22"/>
      <c r="MVS141" s="22"/>
      <c r="MVT141" s="22"/>
      <c r="MVU141" s="22"/>
      <c r="MVV141" s="22"/>
      <c r="MVW141" s="22"/>
      <c r="MVX141" s="22"/>
      <c r="MVY141" s="22"/>
      <c r="MVZ141" s="22"/>
      <c r="MWA141" s="22"/>
      <c r="MWB141" s="22"/>
      <c r="MWC141" s="22"/>
      <c r="MWD141" s="22"/>
      <c r="MWE141" s="22"/>
      <c r="MWF141" s="22"/>
      <c r="MWG141" s="22"/>
      <c r="MWH141" s="22"/>
      <c r="MWI141" s="22"/>
      <c r="MWJ141" s="22"/>
      <c r="MWK141" s="22"/>
      <c r="MWL141" s="22"/>
      <c r="MWM141" s="22"/>
      <c r="MWN141" s="22"/>
      <c r="MWO141" s="22"/>
      <c r="MWP141" s="22"/>
      <c r="MWQ141" s="22"/>
      <c r="MWR141" s="22"/>
      <c r="MWS141" s="22"/>
      <c r="MWT141" s="22"/>
      <c r="MWU141" s="22"/>
      <c r="MWV141" s="22"/>
      <c r="MWW141" s="22"/>
      <c r="MWX141" s="22"/>
      <c r="MWY141" s="22"/>
      <c r="MWZ141" s="22"/>
      <c r="MXA141" s="22"/>
      <c r="MXB141" s="22"/>
      <c r="MXC141" s="22"/>
      <c r="MXD141" s="22"/>
      <c r="MXE141" s="22"/>
      <c r="MXF141" s="22"/>
      <c r="MXG141" s="22"/>
      <c r="MXH141" s="22"/>
      <c r="MXI141" s="22"/>
      <c r="MXJ141" s="22"/>
      <c r="MXK141" s="22"/>
      <c r="MXL141" s="22"/>
      <c r="MXM141" s="22"/>
      <c r="MXN141" s="22"/>
      <c r="MXO141" s="22"/>
      <c r="MXP141" s="22"/>
      <c r="MXQ141" s="22"/>
      <c r="MXR141" s="22"/>
      <c r="MXS141" s="22"/>
      <c r="MXT141" s="22"/>
      <c r="MXU141" s="22"/>
      <c r="MXV141" s="22"/>
      <c r="MXW141" s="22"/>
      <c r="MXX141" s="22"/>
      <c r="MXY141" s="22"/>
      <c r="MXZ141" s="22"/>
      <c r="MYA141" s="22"/>
      <c r="MYB141" s="22"/>
      <c r="MYC141" s="22"/>
      <c r="MYD141" s="22"/>
      <c r="MYE141" s="22"/>
      <c r="MYF141" s="22"/>
      <c r="MYG141" s="22"/>
      <c r="MYH141" s="22"/>
      <c r="MYI141" s="22"/>
      <c r="MYJ141" s="22"/>
      <c r="MYK141" s="22"/>
      <c r="MYL141" s="22"/>
      <c r="MYM141" s="22"/>
      <c r="MYN141" s="22"/>
      <c r="MYO141" s="22"/>
      <c r="MYP141" s="22"/>
      <c r="MYQ141" s="22"/>
      <c r="MYR141" s="22"/>
      <c r="MYS141" s="22"/>
      <c r="MYT141" s="22"/>
      <c r="MYU141" s="22"/>
      <c r="MYV141" s="22"/>
      <c r="MYW141" s="22"/>
      <c r="MYX141" s="22"/>
      <c r="MYY141" s="22"/>
      <c r="MYZ141" s="22"/>
      <c r="MZA141" s="22"/>
      <c r="MZB141" s="22"/>
      <c r="MZC141" s="22"/>
      <c r="MZD141" s="22"/>
      <c r="MZE141" s="22"/>
      <c r="MZF141" s="22"/>
      <c r="MZG141" s="22"/>
      <c r="MZH141" s="22"/>
      <c r="MZI141" s="22"/>
      <c r="MZJ141" s="22"/>
      <c r="MZK141" s="22"/>
      <c r="MZL141" s="22"/>
      <c r="MZM141" s="22"/>
      <c r="MZN141" s="22"/>
      <c r="MZO141" s="22"/>
      <c r="MZP141" s="22"/>
      <c r="MZQ141" s="22"/>
      <c r="MZR141" s="22"/>
      <c r="MZS141" s="22"/>
      <c r="MZT141" s="22"/>
      <c r="MZU141" s="22"/>
      <c r="MZV141" s="22"/>
      <c r="MZW141" s="22"/>
      <c r="MZX141" s="22"/>
      <c r="MZY141" s="22"/>
      <c r="MZZ141" s="22"/>
      <c r="NAA141" s="22"/>
      <c r="NAB141" s="22"/>
      <c r="NAC141" s="22"/>
      <c r="NAD141" s="22"/>
      <c r="NAE141" s="22"/>
      <c r="NAF141" s="22"/>
      <c r="NAG141" s="22"/>
      <c r="NAH141" s="22"/>
      <c r="NAI141" s="22"/>
      <c r="NAJ141" s="22"/>
      <c r="NAK141" s="22"/>
      <c r="NAL141" s="22"/>
      <c r="NAM141" s="22"/>
      <c r="NAN141" s="22"/>
      <c r="NAO141" s="22"/>
      <c r="NAP141" s="22"/>
      <c r="NAQ141" s="22"/>
      <c r="NAR141" s="22"/>
      <c r="NAS141" s="22"/>
      <c r="NAT141" s="22"/>
      <c r="NAU141" s="22"/>
      <c r="NAV141" s="22"/>
      <c r="NAW141" s="22"/>
      <c r="NAX141" s="22"/>
      <c r="NAY141" s="22"/>
      <c r="NAZ141" s="22"/>
      <c r="NBA141" s="22"/>
      <c r="NBB141" s="22"/>
      <c r="NBC141" s="22"/>
      <c r="NBD141" s="22"/>
      <c r="NBE141" s="22"/>
      <c r="NBF141" s="22"/>
      <c r="NBG141" s="22"/>
      <c r="NBH141" s="22"/>
      <c r="NBI141" s="22"/>
      <c r="NBJ141" s="22"/>
      <c r="NBK141" s="22"/>
      <c r="NBL141" s="22"/>
      <c r="NBM141" s="22"/>
      <c r="NBN141" s="22"/>
      <c r="NBO141" s="22"/>
      <c r="NBP141" s="22"/>
      <c r="NBQ141" s="22"/>
      <c r="NBR141" s="22"/>
      <c r="NBS141" s="22"/>
      <c r="NBT141" s="22"/>
      <c r="NBU141" s="22"/>
      <c r="NBV141" s="22"/>
      <c r="NBW141" s="22"/>
      <c r="NBX141" s="22"/>
      <c r="NBY141" s="22"/>
      <c r="NBZ141" s="22"/>
      <c r="NCA141" s="22"/>
      <c r="NCB141" s="22"/>
      <c r="NCC141" s="22"/>
      <c r="NCD141" s="22"/>
      <c r="NCE141" s="22"/>
      <c r="NCF141" s="22"/>
      <c r="NCG141" s="22"/>
      <c r="NCH141" s="22"/>
      <c r="NCI141" s="22"/>
      <c r="NCJ141" s="22"/>
      <c r="NCK141" s="22"/>
      <c r="NCL141" s="22"/>
      <c r="NCM141" s="22"/>
      <c r="NCN141" s="22"/>
      <c r="NCO141" s="22"/>
      <c r="NCP141" s="22"/>
      <c r="NCQ141" s="22"/>
      <c r="NCR141" s="22"/>
      <c r="NCS141" s="22"/>
      <c r="NCT141" s="22"/>
      <c r="NCU141" s="22"/>
      <c r="NCV141" s="22"/>
      <c r="NCW141" s="22"/>
      <c r="NCX141" s="22"/>
      <c r="NCY141" s="22"/>
      <c r="NCZ141" s="22"/>
      <c r="NDA141" s="22"/>
      <c r="NDB141" s="22"/>
      <c r="NDC141" s="22"/>
      <c r="NDD141" s="22"/>
      <c r="NDE141" s="22"/>
      <c r="NDF141" s="22"/>
      <c r="NDG141" s="22"/>
      <c r="NDH141" s="22"/>
      <c r="NDI141" s="22"/>
      <c r="NDJ141" s="22"/>
      <c r="NDK141" s="22"/>
      <c r="NDL141" s="22"/>
      <c r="NDM141" s="22"/>
      <c r="NDN141" s="22"/>
      <c r="NDO141" s="22"/>
      <c r="NDP141" s="22"/>
      <c r="NDQ141" s="22"/>
      <c r="NDR141" s="22"/>
      <c r="NDS141" s="22"/>
      <c r="NDT141" s="22"/>
      <c r="NDU141" s="22"/>
      <c r="NDV141" s="22"/>
      <c r="NDW141" s="22"/>
      <c r="NDX141" s="22"/>
      <c r="NDY141" s="22"/>
      <c r="NDZ141" s="22"/>
      <c r="NEA141" s="22"/>
      <c r="NEB141" s="22"/>
      <c r="NEC141" s="22"/>
      <c r="NED141" s="22"/>
      <c r="NEE141" s="22"/>
      <c r="NEF141" s="22"/>
      <c r="NEG141" s="22"/>
      <c r="NEH141" s="22"/>
      <c r="NEI141" s="22"/>
      <c r="NEJ141" s="22"/>
      <c r="NEK141" s="22"/>
      <c r="NEL141" s="22"/>
      <c r="NEM141" s="22"/>
      <c r="NEN141" s="22"/>
      <c r="NEO141" s="22"/>
      <c r="NEP141" s="22"/>
      <c r="NEQ141" s="22"/>
      <c r="NER141" s="22"/>
      <c r="NES141" s="22"/>
      <c r="NET141" s="22"/>
      <c r="NEU141" s="22"/>
      <c r="NEV141" s="22"/>
      <c r="NEW141" s="22"/>
      <c r="NEX141" s="22"/>
      <c r="NEY141" s="22"/>
      <c r="NEZ141" s="22"/>
      <c r="NFA141" s="22"/>
      <c r="NFB141" s="22"/>
      <c r="NFC141" s="22"/>
      <c r="NFD141" s="22"/>
      <c r="NFE141" s="22"/>
      <c r="NFF141" s="22"/>
      <c r="NFG141" s="22"/>
      <c r="NFH141" s="22"/>
      <c r="NFI141" s="22"/>
      <c r="NFJ141" s="22"/>
      <c r="NFK141" s="22"/>
      <c r="NFL141" s="22"/>
      <c r="NFM141" s="22"/>
      <c r="NFN141" s="22"/>
      <c r="NFO141" s="22"/>
      <c r="NFP141" s="22"/>
      <c r="NFQ141" s="22"/>
      <c r="NFR141" s="22"/>
      <c r="NFS141" s="22"/>
      <c r="NFT141" s="22"/>
      <c r="NFU141" s="22"/>
      <c r="NFV141" s="22"/>
      <c r="NFW141" s="22"/>
      <c r="NFX141" s="22"/>
      <c r="NFY141" s="22"/>
      <c r="NFZ141" s="22"/>
      <c r="NGA141" s="22"/>
      <c r="NGB141" s="22"/>
      <c r="NGC141" s="22"/>
      <c r="NGD141" s="22"/>
      <c r="NGE141" s="22"/>
      <c r="NGF141" s="22"/>
      <c r="NGG141" s="22"/>
      <c r="NGH141" s="22"/>
      <c r="NGI141" s="22"/>
      <c r="NGJ141" s="22"/>
      <c r="NGK141" s="22"/>
      <c r="NGL141" s="22"/>
      <c r="NGM141" s="22"/>
      <c r="NGN141" s="22"/>
      <c r="NGO141" s="22"/>
      <c r="NGP141" s="22"/>
      <c r="NGQ141" s="22"/>
      <c r="NGR141" s="22"/>
      <c r="NGS141" s="22"/>
      <c r="NGT141" s="22"/>
      <c r="NGU141" s="22"/>
      <c r="NGV141" s="22"/>
      <c r="NGW141" s="22"/>
      <c r="NGX141" s="22"/>
      <c r="NGY141" s="22"/>
      <c r="NGZ141" s="22"/>
      <c r="NHA141" s="22"/>
      <c r="NHB141" s="22"/>
      <c r="NHC141" s="22"/>
      <c r="NHD141" s="22"/>
      <c r="NHE141" s="22"/>
      <c r="NHF141" s="22"/>
      <c r="NHG141" s="22"/>
      <c r="NHH141" s="22"/>
      <c r="NHI141" s="22"/>
      <c r="NHJ141" s="22"/>
      <c r="NHK141" s="22"/>
      <c r="NHL141" s="22"/>
      <c r="NHM141" s="22"/>
      <c r="NHN141" s="22"/>
      <c r="NHO141" s="22"/>
      <c r="NHP141" s="22"/>
      <c r="NHQ141" s="22"/>
      <c r="NHR141" s="22"/>
      <c r="NHS141" s="22"/>
      <c r="NHT141" s="22"/>
      <c r="NHU141" s="22"/>
      <c r="NHV141" s="22"/>
      <c r="NHW141" s="22"/>
      <c r="NHX141" s="22"/>
      <c r="NHY141" s="22"/>
      <c r="NHZ141" s="22"/>
      <c r="NIA141" s="22"/>
      <c r="NIB141" s="22"/>
      <c r="NIC141" s="22"/>
      <c r="NID141" s="22"/>
      <c r="NIE141" s="22"/>
      <c r="NIF141" s="22"/>
      <c r="NIG141" s="22"/>
      <c r="NIH141" s="22"/>
      <c r="NII141" s="22"/>
      <c r="NIJ141" s="22"/>
      <c r="NIK141" s="22"/>
      <c r="NIL141" s="22"/>
      <c r="NIM141" s="22"/>
      <c r="NIN141" s="22"/>
      <c r="NIO141" s="22"/>
      <c r="NIP141" s="22"/>
      <c r="NIQ141" s="22"/>
      <c r="NIR141" s="22"/>
      <c r="NIS141" s="22"/>
      <c r="NIT141" s="22"/>
      <c r="NIU141" s="22"/>
      <c r="NIV141" s="22"/>
      <c r="NIW141" s="22"/>
      <c r="NIX141" s="22"/>
      <c r="NIY141" s="22"/>
      <c r="NIZ141" s="22"/>
      <c r="NJA141" s="22"/>
      <c r="NJB141" s="22"/>
      <c r="NJC141" s="22"/>
      <c r="NJD141" s="22"/>
      <c r="NJE141" s="22"/>
      <c r="NJF141" s="22"/>
      <c r="NJG141" s="22"/>
      <c r="NJH141" s="22"/>
      <c r="NJI141" s="22"/>
      <c r="NJJ141" s="22"/>
      <c r="NJK141" s="22"/>
      <c r="NJL141" s="22"/>
      <c r="NJM141" s="22"/>
      <c r="NJN141" s="22"/>
      <c r="NJO141" s="22"/>
      <c r="NJP141" s="22"/>
      <c r="NJQ141" s="22"/>
      <c r="NJR141" s="22"/>
      <c r="NJS141" s="22"/>
      <c r="NJT141" s="22"/>
      <c r="NJU141" s="22"/>
      <c r="NJV141" s="22"/>
      <c r="NJW141" s="22"/>
      <c r="NJX141" s="22"/>
      <c r="NJY141" s="22"/>
      <c r="NJZ141" s="22"/>
      <c r="NKA141" s="22"/>
      <c r="NKB141" s="22"/>
      <c r="NKC141" s="22"/>
      <c r="NKD141" s="22"/>
      <c r="NKE141" s="22"/>
      <c r="NKF141" s="22"/>
      <c r="NKG141" s="22"/>
      <c r="NKH141" s="22"/>
      <c r="NKI141" s="22"/>
      <c r="NKJ141" s="22"/>
      <c r="NKK141" s="22"/>
      <c r="NKL141" s="22"/>
      <c r="NKM141" s="22"/>
      <c r="NKN141" s="22"/>
      <c r="NKO141" s="22"/>
      <c r="NKP141" s="22"/>
      <c r="NKQ141" s="22"/>
      <c r="NKR141" s="22"/>
      <c r="NKS141" s="22"/>
      <c r="NKT141" s="22"/>
      <c r="NKU141" s="22"/>
      <c r="NKV141" s="22"/>
      <c r="NKW141" s="22"/>
      <c r="NKX141" s="22"/>
      <c r="NKY141" s="22"/>
      <c r="NKZ141" s="22"/>
      <c r="NLA141" s="22"/>
      <c r="NLB141" s="22"/>
      <c r="NLC141" s="22"/>
      <c r="NLD141" s="22"/>
      <c r="NLE141" s="22"/>
      <c r="NLF141" s="22"/>
      <c r="NLG141" s="22"/>
      <c r="NLH141" s="22"/>
      <c r="NLI141" s="22"/>
      <c r="NLJ141" s="22"/>
      <c r="NLK141" s="22"/>
      <c r="NLL141" s="22"/>
      <c r="NLM141" s="22"/>
      <c r="NLN141" s="22"/>
      <c r="NLO141" s="22"/>
      <c r="NLP141" s="22"/>
      <c r="NLQ141" s="22"/>
      <c r="NLR141" s="22"/>
      <c r="NLS141" s="22"/>
      <c r="NLT141" s="22"/>
      <c r="NLU141" s="22"/>
      <c r="NLV141" s="22"/>
      <c r="NLW141" s="22"/>
      <c r="NLX141" s="22"/>
      <c r="NLY141" s="22"/>
      <c r="NLZ141" s="22"/>
      <c r="NMA141" s="22"/>
      <c r="NMB141" s="22"/>
      <c r="NMC141" s="22"/>
      <c r="NMD141" s="22"/>
      <c r="NME141" s="22"/>
      <c r="NMF141" s="22"/>
      <c r="NMG141" s="22"/>
      <c r="NMH141" s="22"/>
      <c r="NMI141" s="22"/>
      <c r="NMJ141" s="22"/>
      <c r="NMK141" s="22"/>
      <c r="NML141" s="22"/>
      <c r="NMM141" s="22"/>
      <c r="NMN141" s="22"/>
      <c r="NMO141" s="22"/>
      <c r="NMP141" s="22"/>
      <c r="NMQ141" s="22"/>
      <c r="NMR141" s="22"/>
      <c r="NMS141" s="22"/>
      <c r="NMT141" s="22"/>
      <c r="NMU141" s="22"/>
      <c r="NMV141" s="22"/>
      <c r="NMW141" s="22"/>
      <c r="NMX141" s="22"/>
      <c r="NMY141" s="22"/>
      <c r="NMZ141" s="22"/>
      <c r="NNA141" s="22"/>
      <c r="NNB141" s="22"/>
      <c r="NNC141" s="22"/>
      <c r="NND141" s="22"/>
      <c r="NNE141" s="22"/>
      <c r="NNF141" s="22"/>
      <c r="NNG141" s="22"/>
      <c r="NNH141" s="22"/>
      <c r="NNI141" s="22"/>
      <c r="NNJ141" s="22"/>
      <c r="NNK141" s="22"/>
      <c r="NNL141" s="22"/>
      <c r="NNM141" s="22"/>
      <c r="NNN141" s="22"/>
      <c r="NNO141" s="22"/>
      <c r="NNP141" s="22"/>
      <c r="NNQ141" s="22"/>
      <c r="NNR141" s="22"/>
      <c r="NNS141" s="22"/>
      <c r="NNT141" s="22"/>
      <c r="NNU141" s="22"/>
      <c r="NNV141" s="22"/>
      <c r="NNW141" s="22"/>
      <c r="NNX141" s="22"/>
      <c r="NNY141" s="22"/>
      <c r="NNZ141" s="22"/>
      <c r="NOA141" s="22"/>
      <c r="NOB141" s="22"/>
      <c r="NOC141" s="22"/>
      <c r="NOD141" s="22"/>
      <c r="NOE141" s="22"/>
      <c r="NOF141" s="22"/>
      <c r="NOG141" s="22"/>
      <c r="NOH141" s="22"/>
      <c r="NOI141" s="22"/>
      <c r="NOJ141" s="22"/>
      <c r="NOK141" s="22"/>
      <c r="NOL141" s="22"/>
      <c r="NOM141" s="22"/>
      <c r="NON141" s="22"/>
      <c r="NOO141" s="22"/>
      <c r="NOP141" s="22"/>
      <c r="NOQ141" s="22"/>
      <c r="NOR141" s="22"/>
      <c r="NOS141" s="22"/>
      <c r="NOT141" s="22"/>
      <c r="NOU141" s="22"/>
      <c r="NOV141" s="22"/>
      <c r="NOW141" s="22"/>
      <c r="NOX141" s="22"/>
      <c r="NOY141" s="22"/>
      <c r="NOZ141" s="22"/>
      <c r="NPA141" s="22"/>
      <c r="NPB141" s="22"/>
      <c r="NPC141" s="22"/>
      <c r="NPD141" s="22"/>
      <c r="NPE141" s="22"/>
      <c r="NPF141" s="22"/>
      <c r="NPG141" s="22"/>
      <c r="NPH141" s="22"/>
      <c r="NPI141" s="22"/>
      <c r="NPJ141" s="22"/>
      <c r="NPK141" s="22"/>
      <c r="NPL141" s="22"/>
      <c r="NPM141" s="22"/>
      <c r="NPN141" s="22"/>
      <c r="NPO141" s="22"/>
      <c r="NPP141" s="22"/>
      <c r="NPQ141" s="22"/>
      <c r="NPR141" s="22"/>
      <c r="NPS141" s="22"/>
      <c r="NPT141" s="22"/>
      <c r="NPU141" s="22"/>
      <c r="NPV141" s="22"/>
      <c r="NPW141" s="22"/>
      <c r="NPX141" s="22"/>
      <c r="NPY141" s="22"/>
      <c r="NPZ141" s="22"/>
      <c r="NQA141" s="22"/>
      <c r="NQB141" s="22"/>
      <c r="NQC141" s="22"/>
      <c r="NQD141" s="22"/>
      <c r="NQE141" s="22"/>
      <c r="NQF141" s="22"/>
      <c r="NQG141" s="22"/>
      <c r="NQH141" s="22"/>
      <c r="NQI141" s="22"/>
      <c r="NQJ141" s="22"/>
      <c r="NQK141" s="22"/>
      <c r="NQL141" s="22"/>
      <c r="NQM141" s="22"/>
      <c r="NQN141" s="22"/>
      <c r="NQO141" s="22"/>
      <c r="NQP141" s="22"/>
      <c r="NQQ141" s="22"/>
      <c r="NQR141" s="22"/>
      <c r="NQS141" s="22"/>
      <c r="NQT141" s="22"/>
      <c r="NQU141" s="22"/>
      <c r="NQV141" s="22"/>
      <c r="NQW141" s="22"/>
      <c r="NQX141" s="22"/>
      <c r="NQY141" s="22"/>
      <c r="NQZ141" s="22"/>
      <c r="NRA141" s="22"/>
      <c r="NRB141" s="22"/>
      <c r="NRC141" s="22"/>
      <c r="NRD141" s="22"/>
      <c r="NRE141" s="22"/>
      <c r="NRF141" s="22"/>
      <c r="NRG141" s="22"/>
      <c r="NRH141" s="22"/>
      <c r="NRI141" s="22"/>
      <c r="NRJ141" s="22"/>
      <c r="NRK141" s="22"/>
      <c r="NRL141" s="22"/>
      <c r="NRM141" s="22"/>
      <c r="NRN141" s="22"/>
      <c r="NRO141" s="22"/>
      <c r="NRP141" s="22"/>
      <c r="NRQ141" s="22"/>
      <c r="NRR141" s="22"/>
      <c r="NRS141" s="22"/>
      <c r="NRT141" s="22"/>
      <c r="NRU141" s="22"/>
      <c r="NRV141" s="22"/>
      <c r="NRW141" s="22"/>
      <c r="NRX141" s="22"/>
      <c r="NRY141" s="22"/>
      <c r="NRZ141" s="22"/>
      <c r="NSA141" s="22"/>
      <c r="NSB141" s="22"/>
      <c r="NSC141" s="22"/>
      <c r="NSD141" s="22"/>
      <c r="NSE141" s="22"/>
      <c r="NSF141" s="22"/>
      <c r="NSG141" s="22"/>
      <c r="NSH141" s="22"/>
      <c r="NSI141" s="22"/>
      <c r="NSJ141" s="22"/>
      <c r="NSK141" s="22"/>
      <c r="NSL141" s="22"/>
      <c r="NSM141" s="22"/>
      <c r="NSN141" s="22"/>
      <c r="NSO141" s="22"/>
      <c r="NSP141" s="22"/>
      <c r="NSQ141" s="22"/>
      <c r="NSR141" s="22"/>
      <c r="NSS141" s="22"/>
      <c r="NST141" s="22"/>
      <c r="NSU141" s="22"/>
      <c r="NSV141" s="22"/>
      <c r="NSW141" s="22"/>
      <c r="NSX141" s="22"/>
      <c r="NSY141" s="22"/>
      <c r="NSZ141" s="22"/>
      <c r="NTA141" s="22"/>
      <c r="NTB141" s="22"/>
      <c r="NTC141" s="22"/>
      <c r="NTD141" s="22"/>
      <c r="NTE141" s="22"/>
      <c r="NTF141" s="22"/>
      <c r="NTG141" s="22"/>
      <c r="NTH141" s="22"/>
      <c r="NTI141" s="22"/>
      <c r="NTJ141" s="22"/>
      <c r="NTK141" s="22"/>
      <c r="NTL141" s="22"/>
      <c r="NTM141" s="22"/>
      <c r="NTN141" s="22"/>
      <c r="NTO141" s="22"/>
      <c r="NTP141" s="22"/>
      <c r="NTQ141" s="22"/>
      <c r="NTR141" s="22"/>
      <c r="NTS141" s="22"/>
      <c r="NTT141" s="22"/>
      <c r="NTU141" s="22"/>
      <c r="NTV141" s="22"/>
      <c r="NTW141" s="22"/>
      <c r="NTX141" s="22"/>
      <c r="NTY141" s="22"/>
      <c r="NTZ141" s="22"/>
      <c r="NUA141" s="22"/>
      <c r="NUB141" s="22"/>
      <c r="NUC141" s="22"/>
      <c r="NUD141" s="22"/>
      <c r="NUE141" s="22"/>
      <c r="NUF141" s="22"/>
      <c r="NUG141" s="22"/>
      <c r="NUH141" s="22"/>
      <c r="NUI141" s="22"/>
      <c r="NUJ141" s="22"/>
      <c r="NUK141" s="22"/>
      <c r="NUL141" s="22"/>
      <c r="NUM141" s="22"/>
      <c r="NUN141" s="22"/>
      <c r="NUO141" s="22"/>
      <c r="NUP141" s="22"/>
      <c r="NUQ141" s="22"/>
      <c r="NUR141" s="22"/>
      <c r="NUS141" s="22"/>
      <c r="NUT141" s="22"/>
      <c r="NUU141" s="22"/>
      <c r="NUV141" s="22"/>
      <c r="NUW141" s="22"/>
      <c r="NUX141" s="22"/>
      <c r="NUY141" s="22"/>
      <c r="NUZ141" s="22"/>
      <c r="NVA141" s="22"/>
      <c r="NVB141" s="22"/>
      <c r="NVC141" s="22"/>
      <c r="NVD141" s="22"/>
      <c r="NVE141" s="22"/>
      <c r="NVF141" s="22"/>
      <c r="NVG141" s="22"/>
      <c r="NVH141" s="22"/>
      <c r="NVI141" s="22"/>
      <c r="NVJ141" s="22"/>
      <c r="NVK141" s="22"/>
      <c r="NVL141" s="22"/>
      <c r="NVM141" s="22"/>
      <c r="NVN141" s="22"/>
      <c r="NVO141" s="22"/>
      <c r="NVP141" s="22"/>
      <c r="NVQ141" s="22"/>
      <c r="NVR141" s="22"/>
      <c r="NVS141" s="22"/>
      <c r="NVT141" s="22"/>
      <c r="NVU141" s="22"/>
      <c r="NVV141" s="22"/>
      <c r="NVW141" s="22"/>
      <c r="NVX141" s="22"/>
      <c r="NVY141" s="22"/>
      <c r="NVZ141" s="22"/>
      <c r="NWA141" s="22"/>
      <c r="NWB141" s="22"/>
      <c r="NWC141" s="22"/>
      <c r="NWD141" s="22"/>
      <c r="NWE141" s="22"/>
      <c r="NWF141" s="22"/>
      <c r="NWG141" s="22"/>
      <c r="NWH141" s="22"/>
      <c r="NWI141" s="22"/>
      <c r="NWJ141" s="22"/>
      <c r="NWK141" s="22"/>
      <c r="NWL141" s="22"/>
      <c r="NWM141" s="22"/>
      <c r="NWN141" s="22"/>
      <c r="NWO141" s="22"/>
      <c r="NWP141" s="22"/>
      <c r="NWQ141" s="22"/>
      <c r="NWR141" s="22"/>
      <c r="NWS141" s="22"/>
      <c r="NWT141" s="22"/>
      <c r="NWU141" s="22"/>
      <c r="NWV141" s="22"/>
      <c r="NWW141" s="22"/>
      <c r="NWX141" s="22"/>
      <c r="NWY141" s="22"/>
      <c r="NWZ141" s="22"/>
      <c r="NXA141" s="22"/>
      <c r="NXB141" s="22"/>
      <c r="NXC141" s="22"/>
      <c r="NXD141" s="22"/>
      <c r="NXE141" s="22"/>
      <c r="NXF141" s="22"/>
      <c r="NXG141" s="22"/>
      <c r="NXH141" s="22"/>
      <c r="NXI141" s="22"/>
      <c r="NXJ141" s="22"/>
      <c r="NXK141" s="22"/>
      <c r="NXL141" s="22"/>
      <c r="NXM141" s="22"/>
      <c r="NXN141" s="22"/>
      <c r="NXO141" s="22"/>
      <c r="NXP141" s="22"/>
      <c r="NXQ141" s="22"/>
      <c r="NXR141" s="22"/>
      <c r="NXS141" s="22"/>
      <c r="NXT141" s="22"/>
      <c r="NXU141" s="22"/>
      <c r="NXV141" s="22"/>
      <c r="NXW141" s="22"/>
      <c r="NXX141" s="22"/>
      <c r="NXY141" s="22"/>
      <c r="NXZ141" s="22"/>
      <c r="NYA141" s="22"/>
      <c r="NYB141" s="22"/>
      <c r="NYC141" s="22"/>
      <c r="NYD141" s="22"/>
      <c r="NYE141" s="22"/>
      <c r="NYF141" s="22"/>
      <c r="NYG141" s="22"/>
      <c r="NYH141" s="22"/>
      <c r="NYI141" s="22"/>
      <c r="NYJ141" s="22"/>
      <c r="NYK141" s="22"/>
      <c r="NYL141" s="22"/>
      <c r="NYM141" s="22"/>
      <c r="NYN141" s="22"/>
      <c r="NYO141" s="22"/>
      <c r="NYP141" s="22"/>
      <c r="NYQ141" s="22"/>
      <c r="NYR141" s="22"/>
      <c r="NYS141" s="22"/>
      <c r="NYT141" s="22"/>
      <c r="NYU141" s="22"/>
      <c r="NYV141" s="22"/>
      <c r="NYW141" s="22"/>
      <c r="NYX141" s="22"/>
      <c r="NYY141" s="22"/>
      <c r="NYZ141" s="22"/>
      <c r="NZA141" s="22"/>
      <c r="NZB141" s="22"/>
      <c r="NZC141" s="22"/>
      <c r="NZD141" s="22"/>
      <c r="NZE141" s="22"/>
      <c r="NZF141" s="22"/>
      <c r="NZG141" s="22"/>
      <c r="NZH141" s="22"/>
      <c r="NZI141" s="22"/>
      <c r="NZJ141" s="22"/>
      <c r="NZK141" s="22"/>
      <c r="NZL141" s="22"/>
      <c r="NZM141" s="22"/>
      <c r="NZN141" s="22"/>
      <c r="NZO141" s="22"/>
      <c r="NZP141" s="22"/>
      <c r="NZQ141" s="22"/>
      <c r="NZR141" s="22"/>
      <c r="NZS141" s="22"/>
      <c r="NZT141" s="22"/>
      <c r="NZU141" s="22"/>
      <c r="NZV141" s="22"/>
      <c r="NZW141" s="22"/>
      <c r="NZX141" s="22"/>
      <c r="NZY141" s="22"/>
      <c r="NZZ141" s="22"/>
      <c r="OAA141" s="22"/>
      <c r="OAB141" s="22"/>
      <c r="OAC141" s="22"/>
      <c r="OAD141" s="22"/>
      <c r="OAE141" s="22"/>
      <c r="OAF141" s="22"/>
      <c r="OAG141" s="22"/>
      <c r="OAH141" s="22"/>
      <c r="OAI141" s="22"/>
      <c r="OAJ141" s="22"/>
      <c r="OAK141" s="22"/>
      <c r="OAL141" s="22"/>
      <c r="OAM141" s="22"/>
      <c r="OAN141" s="22"/>
      <c r="OAO141" s="22"/>
      <c r="OAP141" s="22"/>
      <c r="OAQ141" s="22"/>
      <c r="OAR141" s="22"/>
      <c r="OAS141" s="22"/>
      <c r="OAT141" s="22"/>
      <c r="OAU141" s="22"/>
      <c r="OAV141" s="22"/>
      <c r="OAW141" s="22"/>
      <c r="OAX141" s="22"/>
      <c r="OAY141" s="22"/>
      <c r="OAZ141" s="22"/>
      <c r="OBA141" s="22"/>
      <c r="OBB141" s="22"/>
      <c r="OBC141" s="22"/>
      <c r="OBD141" s="22"/>
      <c r="OBE141" s="22"/>
      <c r="OBF141" s="22"/>
      <c r="OBG141" s="22"/>
      <c r="OBH141" s="22"/>
      <c r="OBI141" s="22"/>
      <c r="OBJ141" s="22"/>
      <c r="OBK141" s="22"/>
      <c r="OBL141" s="22"/>
      <c r="OBM141" s="22"/>
      <c r="OBN141" s="22"/>
      <c r="OBO141" s="22"/>
      <c r="OBP141" s="22"/>
      <c r="OBQ141" s="22"/>
      <c r="OBR141" s="22"/>
      <c r="OBS141" s="22"/>
      <c r="OBT141" s="22"/>
      <c r="OBU141" s="22"/>
      <c r="OBV141" s="22"/>
      <c r="OBW141" s="22"/>
      <c r="OBX141" s="22"/>
      <c r="OBY141" s="22"/>
      <c r="OBZ141" s="22"/>
      <c r="OCA141" s="22"/>
      <c r="OCB141" s="22"/>
      <c r="OCC141" s="22"/>
      <c r="OCD141" s="22"/>
      <c r="OCE141" s="22"/>
      <c r="OCF141" s="22"/>
      <c r="OCG141" s="22"/>
      <c r="OCH141" s="22"/>
      <c r="OCI141" s="22"/>
      <c r="OCJ141" s="22"/>
      <c r="OCK141" s="22"/>
      <c r="OCL141" s="22"/>
      <c r="OCM141" s="22"/>
      <c r="OCN141" s="22"/>
      <c r="OCO141" s="22"/>
      <c r="OCP141" s="22"/>
      <c r="OCQ141" s="22"/>
      <c r="OCR141" s="22"/>
      <c r="OCS141" s="22"/>
      <c r="OCT141" s="22"/>
      <c r="OCU141" s="22"/>
      <c r="OCV141" s="22"/>
      <c r="OCW141" s="22"/>
      <c r="OCX141" s="22"/>
      <c r="OCY141" s="22"/>
      <c r="OCZ141" s="22"/>
      <c r="ODA141" s="22"/>
      <c r="ODB141" s="22"/>
      <c r="ODC141" s="22"/>
      <c r="ODD141" s="22"/>
      <c r="ODE141" s="22"/>
      <c r="ODF141" s="22"/>
      <c r="ODG141" s="22"/>
      <c r="ODH141" s="22"/>
      <c r="ODI141" s="22"/>
      <c r="ODJ141" s="22"/>
      <c r="ODK141" s="22"/>
      <c r="ODL141" s="22"/>
      <c r="ODM141" s="22"/>
      <c r="ODN141" s="22"/>
      <c r="ODO141" s="22"/>
      <c r="ODP141" s="22"/>
      <c r="ODQ141" s="22"/>
      <c r="ODR141" s="22"/>
      <c r="ODS141" s="22"/>
      <c r="ODT141" s="22"/>
      <c r="ODU141" s="22"/>
      <c r="ODV141" s="22"/>
      <c r="ODW141" s="22"/>
      <c r="ODX141" s="22"/>
      <c r="ODY141" s="22"/>
      <c r="ODZ141" s="22"/>
      <c r="OEA141" s="22"/>
      <c r="OEB141" s="22"/>
      <c r="OEC141" s="22"/>
      <c r="OED141" s="22"/>
      <c r="OEE141" s="22"/>
      <c r="OEF141" s="22"/>
      <c r="OEG141" s="22"/>
      <c r="OEH141" s="22"/>
      <c r="OEI141" s="22"/>
      <c r="OEJ141" s="22"/>
      <c r="OEK141" s="22"/>
      <c r="OEL141" s="22"/>
      <c r="OEM141" s="22"/>
      <c r="OEN141" s="22"/>
      <c r="OEO141" s="22"/>
      <c r="OEP141" s="22"/>
      <c r="OEQ141" s="22"/>
      <c r="OER141" s="22"/>
      <c r="OES141" s="22"/>
      <c r="OET141" s="22"/>
      <c r="OEU141" s="22"/>
      <c r="OEV141" s="22"/>
      <c r="OEW141" s="22"/>
      <c r="OEX141" s="22"/>
      <c r="OEY141" s="22"/>
      <c r="OEZ141" s="22"/>
      <c r="OFA141" s="22"/>
      <c r="OFB141" s="22"/>
      <c r="OFC141" s="22"/>
      <c r="OFD141" s="22"/>
      <c r="OFE141" s="22"/>
      <c r="OFF141" s="22"/>
      <c r="OFG141" s="22"/>
      <c r="OFH141" s="22"/>
      <c r="OFI141" s="22"/>
      <c r="OFJ141" s="22"/>
      <c r="OFK141" s="22"/>
      <c r="OFL141" s="22"/>
      <c r="OFM141" s="22"/>
      <c r="OFN141" s="22"/>
      <c r="OFO141" s="22"/>
      <c r="OFP141" s="22"/>
      <c r="OFQ141" s="22"/>
      <c r="OFR141" s="22"/>
      <c r="OFS141" s="22"/>
      <c r="OFT141" s="22"/>
      <c r="OFU141" s="22"/>
      <c r="OFV141" s="22"/>
      <c r="OFW141" s="22"/>
      <c r="OFX141" s="22"/>
      <c r="OFY141" s="22"/>
      <c r="OFZ141" s="22"/>
      <c r="OGA141" s="22"/>
      <c r="OGB141" s="22"/>
      <c r="OGC141" s="22"/>
      <c r="OGD141" s="22"/>
      <c r="OGE141" s="22"/>
      <c r="OGF141" s="22"/>
      <c r="OGG141" s="22"/>
      <c r="OGH141" s="22"/>
      <c r="OGI141" s="22"/>
      <c r="OGJ141" s="22"/>
      <c r="OGK141" s="22"/>
      <c r="OGL141" s="22"/>
      <c r="OGM141" s="22"/>
      <c r="OGN141" s="22"/>
      <c r="OGO141" s="22"/>
      <c r="OGP141" s="22"/>
      <c r="OGQ141" s="22"/>
      <c r="OGR141" s="22"/>
      <c r="OGS141" s="22"/>
      <c r="OGT141" s="22"/>
      <c r="OGU141" s="22"/>
      <c r="OGV141" s="22"/>
      <c r="OGW141" s="22"/>
      <c r="OGX141" s="22"/>
      <c r="OGY141" s="22"/>
      <c r="OGZ141" s="22"/>
      <c r="OHA141" s="22"/>
      <c r="OHB141" s="22"/>
      <c r="OHC141" s="22"/>
      <c r="OHD141" s="22"/>
      <c r="OHE141" s="22"/>
      <c r="OHF141" s="22"/>
      <c r="OHG141" s="22"/>
      <c r="OHH141" s="22"/>
      <c r="OHI141" s="22"/>
      <c r="OHJ141" s="22"/>
      <c r="OHK141" s="22"/>
      <c r="OHL141" s="22"/>
      <c r="OHM141" s="22"/>
      <c r="OHN141" s="22"/>
      <c r="OHO141" s="22"/>
      <c r="OHP141" s="22"/>
      <c r="OHQ141" s="22"/>
      <c r="OHR141" s="22"/>
      <c r="OHS141" s="22"/>
      <c r="OHT141" s="22"/>
      <c r="OHU141" s="22"/>
      <c r="OHV141" s="22"/>
      <c r="OHW141" s="22"/>
      <c r="OHX141" s="22"/>
      <c r="OHY141" s="22"/>
      <c r="OHZ141" s="22"/>
      <c r="OIA141" s="22"/>
      <c r="OIB141" s="22"/>
      <c r="OIC141" s="22"/>
      <c r="OID141" s="22"/>
      <c r="OIE141" s="22"/>
      <c r="OIF141" s="22"/>
      <c r="OIG141" s="22"/>
      <c r="OIH141" s="22"/>
      <c r="OII141" s="22"/>
      <c r="OIJ141" s="22"/>
      <c r="OIK141" s="22"/>
      <c r="OIL141" s="22"/>
      <c r="OIM141" s="22"/>
      <c r="OIN141" s="22"/>
      <c r="OIO141" s="22"/>
      <c r="OIP141" s="22"/>
      <c r="OIQ141" s="22"/>
      <c r="OIR141" s="22"/>
      <c r="OIS141" s="22"/>
      <c r="OIT141" s="22"/>
      <c r="OIU141" s="22"/>
      <c r="OIV141" s="22"/>
      <c r="OIW141" s="22"/>
      <c r="OIX141" s="22"/>
      <c r="OIY141" s="22"/>
      <c r="OIZ141" s="22"/>
      <c r="OJA141" s="22"/>
      <c r="OJB141" s="22"/>
      <c r="OJC141" s="22"/>
      <c r="OJD141" s="22"/>
      <c r="OJE141" s="22"/>
      <c r="OJF141" s="22"/>
      <c r="OJG141" s="22"/>
      <c r="OJH141" s="22"/>
      <c r="OJI141" s="22"/>
      <c r="OJJ141" s="22"/>
      <c r="OJK141" s="22"/>
      <c r="OJL141" s="22"/>
      <c r="OJM141" s="22"/>
      <c r="OJN141" s="22"/>
      <c r="OJO141" s="22"/>
      <c r="OJP141" s="22"/>
      <c r="OJQ141" s="22"/>
      <c r="OJR141" s="22"/>
      <c r="OJS141" s="22"/>
      <c r="OJT141" s="22"/>
      <c r="OJU141" s="22"/>
      <c r="OJV141" s="22"/>
      <c r="OJW141" s="22"/>
      <c r="OJX141" s="22"/>
      <c r="OJY141" s="22"/>
      <c r="OJZ141" s="22"/>
      <c r="OKA141" s="22"/>
      <c r="OKB141" s="22"/>
      <c r="OKC141" s="22"/>
      <c r="OKD141" s="22"/>
      <c r="OKE141" s="22"/>
      <c r="OKF141" s="22"/>
      <c r="OKG141" s="22"/>
      <c r="OKH141" s="22"/>
      <c r="OKI141" s="22"/>
      <c r="OKJ141" s="22"/>
      <c r="OKK141" s="22"/>
      <c r="OKL141" s="22"/>
      <c r="OKM141" s="22"/>
      <c r="OKN141" s="22"/>
      <c r="OKO141" s="22"/>
      <c r="OKP141" s="22"/>
      <c r="OKQ141" s="22"/>
      <c r="OKR141" s="22"/>
      <c r="OKS141" s="22"/>
      <c r="OKT141" s="22"/>
      <c r="OKU141" s="22"/>
      <c r="OKV141" s="22"/>
      <c r="OKW141" s="22"/>
      <c r="OKX141" s="22"/>
      <c r="OKY141" s="22"/>
      <c r="OKZ141" s="22"/>
      <c r="OLA141" s="22"/>
      <c r="OLB141" s="22"/>
      <c r="OLC141" s="22"/>
      <c r="OLD141" s="22"/>
      <c r="OLE141" s="22"/>
      <c r="OLF141" s="22"/>
      <c r="OLG141" s="22"/>
      <c r="OLH141" s="22"/>
      <c r="OLI141" s="22"/>
      <c r="OLJ141" s="22"/>
      <c r="OLK141" s="22"/>
      <c r="OLL141" s="22"/>
      <c r="OLM141" s="22"/>
      <c r="OLN141" s="22"/>
      <c r="OLO141" s="22"/>
      <c r="OLP141" s="22"/>
      <c r="OLQ141" s="22"/>
      <c r="OLR141" s="22"/>
      <c r="OLS141" s="22"/>
      <c r="OLT141" s="22"/>
      <c r="OLU141" s="22"/>
      <c r="OLV141" s="22"/>
      <c r="OLW141" s="22"/>
      <c r="OLX141" s="22"/>
      <c r="OLY141" s="22"/>
      <c r="OLZ141" s="22"/>
      <c r="OMA141" s="22"/>
      <c r="OMB141" s="22"/>
      <c r="OMC141" s="22"/>
      <c r="OMD141" s="22"/>
      <c r="OME141" s="22"/>
      <c r="OMF141" s="22"/>
      <c r="OMG141" s="22"/>
      <c r="OMH141" s="22"/>
      <c r="OMI141" s="22"/>
      <c r="OMJ141" s="22"/>
      <c r="OMK141" s="22"/>
      <c r="OML141" s="22"/>
      <c r="OMM141" s="22"/>
      <c r="OMN141" s="22"/>
      <c r="OMO141" s="22"/>
      <c r="OMP141" s="22"/>
      <c r="OMQ141" s="22"/>
      <c r="OMR141" s="22"/>
      <c r="OMS141" s="22"/>
      <c r="OMT141" s="22"/>
      <c r="OMU141" s="22"/>
      <c r="OMV141" s="22"/>
      <c r="OMW141" s="22"/>
      <c r="OMX141" s="22"/>
      <c r="OMY141" s="22"/>
      <c r="OMZ141" s="22"/>
      <c r="ONA141" s="22"/>
      <c r="ONB141" s="22"/>
      <c r="ONC141" s="22"/>
      <c r="OND141" s="22"/>
      <c r="ONE141" s="22"/>
      <c r="ONF141" s="22"/>
      <c r="ONG141" s="22"/>
      <c r="ONH141" s="22"/>
      <c r="ONI141" s="22"/>
      <c r="ONJ141" s="22"/>
      <c r="ONK141" s="22"/>
      <c r="ONL141" s="22"/>
      <c r="ONM141" s="22"/>
      <c r="ONN141" s="22"/>
      <c r="ONO141" s="22"/>
      <c r="ONP141" s="22"/>
      <c r="ONQ141" s="22"/>
      <c r="ONR141" s="22"/>
      <c r="ONS141" s="22"/>
      <c r="ONT141" s="22"/>
      <c r="ONU141" s="22"/>
      <c r="ONV141" s="22"/>
      <c r="ONW141" s="22"/>
      <c r="ONX141" s="22"/>
      <c r="ONY141" s="22"/>
      <c r="ONZ141" s="22"/>
      <c r="OOA141" s="22"/>
      <c r="OOB141" s="22"/>
      <c r="OOC141" s="22"/>
      <c r="OOD141" s="22"/>
      <c r="OOE141" s="22"/>
      <c r="OOF141" s="22"/>
      <c r="OOG141" s="22"/>
      <c r="OOH141" s="22"/>
      <c r="OOI141" s="22"/>
      <c r="OOJ141" s="22"/>
      <c r="OOK141" s="22"/>
      <c r="OOL141" s="22"/>
      <c r="OOM141" s="22"/>
      <c r="OON141" s="22"/>
      <c r="OOO141" s="22"/>
      <c r="OOP141" s="22"/>
      <c r="OOQ141" s="22"/>
      <c r="OOR141" s="22"/>
      <c r="OOS141" s="22"/>
      <c r="OOT141" s="22"/>
      <c r="OOU141" s="22"/>
      <c r="OOV141" s="22"/>
      <c r="OOW141" s="22"/>
      <c r="OOX141" s="22"/>
      <c r="OOY141" s="22"/>
      <c r="OOZ141" s="22"/>
      <c r="OPA141" s="22"/>
      <c r="OPB141" s="22"/>
      <c r="OPC141" s="22"/>
      <c r="OPD141" s="22"/>
      <c r="OPE141" s="22"/>
      <c r="OPF141" s="22"/>
      <c r="OPG141" s="22"/>
      <c r="OPH141" s="22"/>
      <c r="OPI141" s="22"/>
      <c r="OPJ141" s="22"/>
      <c r="OPK141" s="22"/>
      <c r="OPL141" s="22"/>
      <c r="OPM141" s="22"/>
      <c r="OPN141" s="22"/>
      <c r="OPO141" s="22"/>
      <c r="OPP141" s="22"/>
      <c r="OPQ141" s="22"/>
      <c r="OPR141" s="22"/>
      <c r="OPS141" s="22"/>
      <c r="OPT141" s="22"/>
      <c r="OPU141" s="22"/>
      <c r="OPV141" s="22"/>
      <c r="OPW141" s="22"/>
      <c r="OPX141" s="22"/>
      <c r="OPY141" s="22"/>
      <c r="OPZ141" s="22"/>
      <c r="OQA141" s="22"/>
      <c r="OQB141" s="22"/>
      <c r="OQC141" s="22"/>
      <c r="OQD141" s="22"/>
      <c r="OQE141" s="22"/>
      <c r="OQF141" s="22"/>
      <c r="OQG141" s="22"/>
      <c r="OQH141" s="22"/>
      <c r="OQI141" s="22"/>
      <c r="OQJ141" s="22"/>
      <c r="OQK141" s="22"/>
      <c r="OQL141" s="22"/>
      <c r="OQM141" s="22"/>
      <c r="OQN141" s="22"/>
      <c r="OQO141" s="22"/>
      <c r="OQP141" s="22"/>
      <c r="OQQ141" s="22"/>
      <c r="OQR141" s="22"/>
      <c r="OQS141" s="22"/>
      <c r="OQT141" s="22"/>
      <c r="OQU141" s="22"/>
      <c r="OQV141" s="22"/>
      <c r="OQW141" s="22"/>
      <c r="OQX141" s="22"/>
      <c r="OQY141" s="22"/>
      <c r="OQZ141" s="22"/>
      <c r="ORA141" s="22"/>
      <c r="ORB141" s="22"/>
      <c r="ORC141" s="22"/>
      <c r="ORD141" s="22"/>
      <c r="ORE141" s="22"/>
      <c r="ORF141" s="22"/>
      <c r="ORG141" s="22"/>
      <c r="ORH141" s="22"/>
      <c r="ORI141" s="22"/>
      <c r="ORJ141" s="22"/>
      <c r="ORK141" s="22"/>
      <c r="ORL141" s="22"/>
      <c r="ORM141" s="22"/>
      <c r="ORN141" s="22"/>
      <c r="ORO141" s="22"/>
      <c r="ORP141" s="22"/>
      <c r="ORQ141" s="22"/>
      <c r="ORR141" s="22"/>
      <c r="ORS141" s="22"/>
      <c r="ORT141" s="22"/>
      <c r="ORU141" s="22"/>
      <c r="ORV141" s="22"/>
      <c r="ORW141" s="22"/>
      <c r="ORX141" s="22"/>
      <c r="ORY141" s="22"/>
      <c r="ORZ141" s="22"/>
      <c r="OSA141" s="22"/>
      <c r="OSB141" s="22"/>
      <c r="OSC141" s="22"/>
      <c r="OSD141" s="22"/>
      <c r="OSE141" s="22"/>
      <c r="OSF141" s="22"/>
      <c r="OSG141" s="22"/>
      <c r="OSH141" s="22"/>
      <c r="OSI141" s="22"/>
      <c r="OSJ141" s="22"/>
      <c r="OSK141" s="22"/>
      <c r="OSL141" s="22"/>
      <c r="OSM141" s="22"/>
      <c r="OSN141" s="22"/>
      <c r="OSO141" s="22"/>
      <c r="OSP141" s="22"/>
      <c r="OSQ141" s="22"/>
      <c r="OSR141" s="22"/>
      <c r="OSS141" s="22"/>
      <c r="OST141" s="22"/>
      <c r="OSU141" s="22"/>
      <c r="OSV141" s="22"/>
      <c r="OSW141" s="22"/>
      <c r="OSX141" s="22"/>
      <c r="OSY141" s="22"/>
      <c r="OSZ141" s="22"/>
      <c r="OTA141" s="22"/>
      <c r="OTB141" s="22"/>
      <c r="OTC141" s="22"/>
      <c r="OTD141" s="22"/>
      <c r="OTE141" s="22"/>
      <c r="OTF141" s="22"/>
      <c r="OTG141" s="22"/>
      <c r="OTH141" s="22"/>
      <c r="OTI141" s="22"/>
      <c r="OTJ141" s="22"/>
      <c r="OTK141" s="22"/>
      <c r="OTL141" s="22"/>
      <c r="OTM141" s="22"/>
      <c r="OTN141" s="22"/>
      <c r="OTO141" s="22"/>
      <c r="OTP141" s="22"/>
      <c r="OTQ141" s="22"/>
      <c r="OTR141" s="22"/>
      <c r="OTS141" s="22"/>
      <c r="OTT141" s="22"/>
      <c r="OTU141" s="22"/>
      <c r="OTV141" s="22"/>
      <c r="OTW141" s="22"/>
      <c r="OTX141" s="22"/>
      <c r="OTY141" s="22"/>
      <c r="OTZ141" s="22"/>
      <c r="OUA141" s="22"/>
      <c r="OUB141" s="22"/>
      <c r="OUC141" s="22"/>
      <c r="OUD141" s="22"/>
      <c r="OUE141" s="22"/>
      <c r="OUF141" s="22"/>
      <c r="OUG141" s="22"/>
      <c r="OUH141" s="22"/>
      <c r="OUI141" s="22"/>
      <c r="OUJ141" s="22"/>
      <c r="OUK141" s="22"/>
      <c r="OUL141" s="22"/>
      <c r="OUM141" s="22"/>
      <c r="OUN141" s="22"/>
      <c r="OUO141" s="22"/>
      <c r="OUP141" s="22"/>
      <c r="OUQ141" s="22"/>
      <c r="OUR141" s="22"/>
      <c r="OUS141" s="22"/>
      <c r="OUT141" s="22"/>
      <c r="OUU141" s="22"/>
      <c r="OUV141" s="22"/>
      <c r="OUW141" s="22"/>
      <c r="OUX141" s="22"/>
      <c r="OUY141" s="22"/>
      <c r="OUZ141" s="22"/>
      <c r="OVA141" s="22"/>
      <c r="OVB141" s="22"/>
      <c r="OVC141" s="22"/>
      <c r="OVD141" s="22"/>
      <c r="OVE141" s="22"/>
      <c r="OVF141" s="22"/>
      <c r="OVG141" s="22"/>
      <c r="OVH141" s="22"/>
      <c r="OVI141" s="22"/>
      <c r="OVJ141" s="22"/>
      <c r="OVK141" s="22"/>
      <c r="OVL141" s="22"/>
      <c r="OVM141" s="22"/>
      <c r="OVN141" s="22"/>
      <c r="OVO141" s="22"/>
      <c r="OVP141" s="22"/>
      <c r="OVQ141" s="22"/>
      <c r="OVR141" s="22"/>
      <c r="OVS141" s="22"/>
      <c r="OVT141" s="22"/>
      <c r="OVU141" s="22"/>
      <c r="OVV141" s="22"/>
      <c r="OVW141" s="22"/>
      <c r="OVX141" s="22"/>
      <c r="OVY141" s="22"/>
      <c r="OVZ141" s="22"/>
      <c r="OWA141" s="22"/>
      <c r="OWB141" s="22"/>
      <c r="OWC141" s="22"/>
      <c r="OWD141" s="22"/>
      <c r="OWE141" s="22"/>
      <c r="OWF141" s="22"/>
      <c r="OWG141" s="22"/>
      <c r="OWH141" s="22"/>
      <c r="OWI141" s="22"/>
      <c r="OWJ141" s="22"/>
      <c r="OWK141" s="22"/>
      <c r="OWL141" s="22"/>
      <c r="OWM141" s="22"/>
      <c r="OWN141" s="22"/>
      <c r="OWO141" s="22"/>
      <c r="OWP141" s="22"/>
      <c r="OWQ141" s="22"/>
      <c r="OWR141" s="22"/>
      <c r="OWS141" s="22"/>
      <c r="OWT141" s="22"/>
      <c r="OWU141" s="22"/>
      <c r="OWV141" s="22"/>
      <c r="OWW141" s="22"/>
      <c r="OWX141" s="22"/>
      <c r="OWY141" s="22"/>
      <c r="OWZ141" s="22"/>
      <c r="OXA141" s="22"/>
      <c r="OXB141" s="22"/>
      <c r="OXC141" s="22"/>
      <c r="OXD141" s="22"/>
      <c r="OXE141" s="22"/>
      <c r="OXF141" s="22"/>
      <c r="OXG141" s="22"/>
      <c r="OXH141" s="22"/>
      <c r="OXI141" s="22"/>
      <c r="OXJ141" s="22"/>
      <c r="OXK141" s="22"/>
      <c r="OXL141" s="22"/>
      <c r="OXM141" s="22"/>
      <c r="OXN141" s="22"/>
      <c r="OXO141" s="22"/>
      <c r="OXP141" s="22"/>
      <c r="OXQ141" s="22"/>
      <c r="OXR141" s="22"/>
      <c r="OXS141" s="22"/>
      <c r="OXT141" s="22"/>
      <c r="OXU141" s="22"/>
      <c r="OXV141" s="22"/>
      <c r="OXW141" s="22"/>
      <c r="OXX141" s="22"/>
      <c r="OXY141" s="22"/>
      <c r="OXZ141" s="22"/>
      <c r="OYA141" s="22"/>
      <c r="OYB141" s="22"/>
      <c r="OYC141" s="22"/>
      <c r="OYD141" s="22"/>
      <c r="OYE141" s="22"/>
      <c r="OYF141" s="22"/>
      <c r="OYG141" s="22"/>
      <c r="OYH141" s="22"/>
      <c r="OYI141" s="22"/>
      <c r="OYJ141" s="22"/>
      <c r="OYK141" s="22"/>
      <c r="OYL141" s="22"/>
      <c r="OYM141" s="22"/>
      <c r="OYN141" s="22"/>
      <c r="OYO141" s="22"/>
      <c r="OYP141" s="22"/>
      <c r="OYQ141" s="22"/>
      <c r="OYR141" s="22"/>
      <c r="OYS141" s="22"/>
      <c r="OYT141" s="22"/>
      <c r="OYU141" s="22"/>
      <c r="OYV141" s="22"/>
      <c r="OYW141" s="22"/>
      <c r="OYX141" s="22"/>
      <c r="OYY141" s="22"/>
      <c r="OYZ141" s="22"/>
      <c r="OZA141" s="22"/>
      <c r="OZB141" s="22"/>
      <c r="OZC141" s="22"/>
      <c r="OZD141" s="22"/>
      <c r="OZE141" s="22"/>
      <c r="OZF141" s="22"/>
      <c r="OZG141" s="22"/>
      <c r="OZH141" s="22"/>
      <c r="OZI141" s="22"/>
      <c r="OZJ141" s="22"/>
      <c r="OZK141" s="22"/>
      <c r="OZL141" s="22"/>
      <c r="OZM141" s="22"/>
      <c r="OZN141" s="22"/>
      <c r="OZO141" s="22"/>
      <c r="OZP141" s="22"/>
      <c r="OZQ141" s="22"/>
      <c r="OZR141" s="22"/>
      <c r="OZS141" s="22"/>
      <c r="OZT141" s="22"/>
      <c r="OZU141" s="22"/>
      <c r="OZV141" s="22"/>
      <c r="OZW141" s="22"/>
      <c r="OZX141" s="22"/>
      <c r="OZY141" s="22"/>
      <c r="OZZ141" s="22"/>
      <c r="PAA141" s="22"/>
      <c r="PAB141" s="22"/>
      <c r="PAC141" s="22"/>
      <c r="PAD141" s="22"/>
      <c r="PAE141" s="22"/>
      <c r="PAF141" s="22"/>
      <c r="PAG141" s="22"/>
      <c r="PAH141" s="22"/>
      <c r="PAI141" s="22"/>
      <c r="PAJ141" s="22"/>
      <c r="PAK141" s="22"/>
      <c r="PAL141" s="22"/>
      <c r="PAM141" s="22"/>
      <c r="PAN141" s="22"/>
      <c r="PAO141" s="22"/>
      <c r="PAP141" s="22"/>
      <c r="PAQ141" s="22"/>
      <c r="PAR141" s="22"/>
      <c r="PAS141" s="22"/>
      <c r="PAT141" s="22"/>
      <c r="PAU141" s="22"/>
      <c r="PAV141" s="22"/>
      <c r="PAW141" s="22"/>
      <c r="PAX141" s="22"/>
      <c r="PAY141" s="22"/>
      <c r="PAZ141" s="22"/>
      <c r="PBA141" s="22"/>
      <c r="PBB141" s="22"/>
      <c r="PBC141" s="22"/>
      <c r="PBD141" s="22"/>
      <c r="PBE141" s="22"/>
      <c r="PBF141" s="22"/>
      <c r="PBG141" s="22"/>
      <c r="PBH141" s="22"/>
      <c r="PBI141" s="22"/>
      <c r="PBJ141" s="22"/>
      <c r="PBK141" s="22"/>
      <c r="PBL141" s="22"/>
      <c r="PBM141" s="22"/>
      <c r="PBN141" s="22"/>
      <c r="PBO141" s="22"/>
      <c r="PBP141" s="22"/>
      <c r="PBQ141" s="22"/>
      <c r="PBR141" s="22"/>
      <c r="PBS141" s="22"/>
      <c r="PBT141" s="22"/>
      <c r="PBU141" s="22"/>
      <c r="PBV141" s="22"/>
      <c r="PBW141" s="22"/>
      <c r="PBX141" s="22"/>
      <c r="PBY141" s="22"/>
      <c r="PBZ141" s="22"/>
      <c r="PCA141" s="22"/>
      <c r="PCB141" s="22"/>
      <c r="PCC141" s="22"/>
      <c r="PCD141" s="22"/>
      <c r="PCE141" s="22"/>
      <c r="PCF141" s="22"/>
      <c r="PCG141" s="22"/>
      <c r="PCH141" s="22"/>
      <c r="PCI141" s="22"/>
      <c r="PCJ141" s="22"/>
      <c r="PCK141" s="22"/>
      <c r="PCL141" s="22"/>
      <c r="PCM141" s="22"/>
      <c r="PCN141" s="22"/>
      <c r="PCO141" s="22"/>
      <c r="PCP141" s="22"/>
      <c r="PCQ141" s="22"/>
      <c r="PCR141" s="22"/>
      <c r="PCS141" s="22"/>
      <c r="PCT141" s="22"/>
      <c r="PCU141" s="22"/>
      <c r="PCV141" s="22"/>
      <c r="PCW141" s="22"/>
      <c r="PCX141" s="22"/>
      <c r="PCY141" s="22"/>
      <c r="PCZ141" s="22"/>
      <c r="PDA141" s="22"/>
      <c r="PDB141" s="22"/>
      <c r="PDC141" s="22"/>
      <c r="PDD141" s="22"/>
      <c r="PDE141" s="22"/>
      <c r="PDF141" s="22"/>
      <c r="PDG141" s="22"/>
      <c r="PDH141" s="22"/>
      <c r="PDI141" s="22"/>
      <c r="PDJ141" s="22"/>
      <c r="PDK141" s="22"/>
      <c r="PDL141" s="22"/>
      <c r="PDM141" s="22"/>
      <c r="PDN141" s="22"/>
      <c r="PDO141" s="22"/>
      <c r="PDP141" s="22"/>
      <c r="PDQ141" s="22"/>
      <c r="PDR141" s="22"/>
      <c r="PDS141" s="22"/>
      <c r="PDT141" s="22"/>
      <c r="PDU141" s="22"/>
      <c r="PDV141" s="22"/>
      <c r="PDW141" s="22"/>
      <c r="PDX141" s="22"/>
      <c r="PDY141" s="22"/>
      <c r="PDZ141" s="22"/>
      <c r="PEA141" s="22"/>
      <c r="PEB141" s="22"/>
      <c r="PEC141" s="22"/>
      <c r="PED141" s="22"/>
      <c r="PEE141" s="22"/>
      <c r="PEF141" s="22"/>
      <c r="PEG141" s="22"/>
      <c r="PEH141" s="22"/>
      <c r="PEI141" s="22"/>
      <c r="PEJ141" s="22"/>
      <c r="PEK141" s="22"/>
      <c r="PEL141" s="22"/>
      <c r="PEM141" s="22"/>
      <c r="PEN141" s="22"/>
      <c r="PEO141" s="22"/>
      <c r="PEP141" s="22"/>
      <c r="PEQ141" s="22"/>
      <c r="PER141" s="22"/>
      <c r="PES141" s="22"/>
      <c r="PET141" s="22"/>
      <c r="PEU141" s="22"/>
      <c r="PEV141" s="22"/>
      <c r="PEW141" s="22"/>
      <c r="PEX141" s="22"/>
      <c r="PEY141" s="22"/>
      <c r="PEZ141" s="22"/>
      <c r="PFA141" s="22"/>
      <c r="PFB141" s="22"/>
      <c r="PFC141" s="22"/>
      <c r="PFD141" s="22"/>
      <c r="PFE141" s="22"/>
      <c r="PFF141" s="22"/>
      <c r="PFG141" s="22"/>
      <c r="PFH141" s="22"/>
      <c r="PFI141" s="22"/>
      <c r="PFJ141" s="22"/>
      <c r="PFK141" s="22"/>
      <c r="PFL141" s="22"/>
      <c r="PFM141" s="22"/>
      <c r="PFN141" s="22"/>
      <c r="PFO141" s="22"/>
      <c r="PFP141" s="22"/>
      <c r="PFQ141" s="22"/>
      <c r="PFR141" s="22"/>
      <c r="PFS141" s="22"/>
      <c r="PFT141" s="22"/>
      <c r="PFU141" s="22"/>
      <c r="PFV141" s="22"/>
      <c r="PFW141" s="22"/>
      <c r="PFX141" s="22"/>
      <c r="PFY141" s="22"/>
      <c r="PFZ141" s="22"/>
      <c r="PGA141" s="22"/>
      <c r="PGB141" s="22"/>
      <c r="PGC141" s="22"/>
      <c r="PGD141" s="22"/>
      <c r="PGE141" s="22"/>
      <c r="PGF141" s="22"/>
      <c r="PGG141" s="22"/>
      <c r="PGH141" s="22"/>
      <c r="PGI141" s="22"/>
      <c r="PGJ141" s="22"/>
      <c r="PGK141" s="22"/>
      <c r="PGL141" s="22"/>
      <c r="PGM141" s="22"/>
      <c r="PGN141" s="22"/>
      <c r="PGO141" s="22"/>
      <c r="PGP141" s="22"/>
      <c r="PGQ141" s="22"/>
      <c r="PGR141" s="22"/>
      <c r="PGS141" s="22"/>
      <c r="PGT141" s="22"/>
      <c r="PGU141" s="22"/>
      <c r="PGV141" s="22"/>
      <c r="PGW141" s="22"/>
      <c r="PGX141" s="22"/>
      <c r="PGY141" s="22"/>
      <c r="PGZ141" s="22"/>
      <c r="PHA141" s="22"/>
      <c r="PHB141" s="22"/>
      <c r="PHC141" s="22"/>
      <c r="PHD141" s="22"/>
      <c r="PHE141" s="22"/>
      <c r="PHF141" s="22"/>
      <c r="PHG141" s="22"/>
      <c r="PHH141" s="22"/>
      <c r="PHI141" s="22"/>
      <c r="PHJ141" s="22"/>
      <c r="PHK141" s="22"/>
      <c r="PHL141" s="22"/>
      <c r="PHM141" s="22"/>
      <c r="PHN141" s="22"/>
      <c r="PHO141" s="22"/>
      <c r="PHP141" s="22"/>
      <c r="PHQ141" s="22"/>
      <c r="PHR141" s="22"/>
      <c r="PHS141" s="22"/>
      <c r="PHT141" s="22"/>
      <c r="PHU141" s="22"/>
      <c r="PHV141" s="22"/>
      <c r="PHW141" s="22"/>
      <c r="PHX141" s="22"/>
      <c r="PHY141" s="22"/>
      <c r="PHZ141" s="22"/>
      <c r="PIA141" s="22"/>
      <c r="PIB141" s="22"/>
      <c r="PIC141" s="22"/>
      <c r="PID141" s="22"/>
      <c r="PIE141" s="22"/>
      <c r="PIF141" s="22"/>
      <c r="PIG141" s="22"/>
      <c r="PIH141" s="22"/>
      <c r="PII141" s="22"/>
      <c r="PIJ141" s="22"/>
      <c r="PIK141" s="22"/>
      <c r="PIL141" s="22"/>
      <c r="PIM141" s="22"/>
      <c r="PIN141" s="22"/>
      <c r="PIO141" s="22"/>
      <c r="PIP141" s="22"/>
      <c r="PIQ141" s="22"/>
      <c r="PIR141" s="22"/>
      <c r="PIS141" s="22"/>
      <c r="PIT141" s="22"/>
      <c r="PIU141" s="22"/>
      <c r="PIV141" s="22"/>
      <c r="PIW141" s="22"/>
      <c r="PIX141" s="22"/>
      <c r="PIY141" s="22"/>
      <c r="PIZ141" s="22"/>
      <c r="PJA141" s="22"/>
      <c r="PJB141" s="22"/>
      <c r="PJC141" s="22"/>
      <c r="PJD141" s="22"/>
      <c r="PJE141" s="22"/>
      <c r="PJF141" s="22"/>
      <c r="PJG141" s="22"/>
      <c r="PJH141" s="22"/>
      <c r="PJI141" s="22"/>
      <c r="PJJ141" s="22"/>
      <c r="PJK141" s="22"/>
      <c r="PJL141" s="22"/>
      <c r="PJM141" s="22"/>
      <c r="PJN141" s="22"/>
      <c r="PJO141" s="22"/>
      <c r="PJP141" s="22"/>
      <c r="PJQ141" s="22"/>
      <c r="PJR141" s="22"/>
      <c r="PJS141" s="22"/>
      <c r="PJT141" s="22"/>
      <c r="PJU141" s="22"/>
      <c r="PJV141" s="22"/>
      <c r="PJW141" s="22"/>
      <c r="PJX141" s="22"/>
      <c r="PJY141" s="22"/>
      <c r="PJZ141" s="22"/>
      <c r="PKA141" s="22"/>
      <c r="PKB141" s="22"/>
      <c r="PKC141" s="22"/>
      <c r="PKD141" s="22"/>
      <c r="PKE141" s="22"/>
      <c r="PKF141" s="22"/>
      <c r="PKG141" s="22"/>
      <c r="PKH141" s="22"/>
      <c r="PKI141" s="22"/>
      <c r="PKJ141" s="22"/>
      <c r="PKK141" s="22"/>
      <c r="PKL141" s="22"/>
      <c r="PKM141" s="22"/>
      <c r="PKN141" s="22"/>
      <c r="PKO141" s="22"/>
      <c r="PKP141" s="22"/>
      <c r="PKQ141" s="22"/>
      <c r="PKR141" s="22"/>
      <c r="PKS141" s="22"/>
      <c r="PKT141" s="22"/>
      <c r="PKU141" s="22"/>
      <c r="PKV141" s="22"/>
      <c r="PKW141" s="22"/>
      <c r="PKX141" s="22"/>
      <c r="PKY141" s="22"/>
      <c r="PKZ141" s="22"/>
      <c r="PLA141" s="22"/>
      <c r="PLB141" s="22"/>
      <c r="PLC141" s="22"/>
      <c r="PLD141" s="22"/>
      <c r="PLE141" s="22"/>
      <c r="PLF141" s="22"/>
      <c r="PLG141" s="22"/>
      <c r="PLH141" s="22"/>
      <c r="PLI141" s="22"/>
      <c r="PLJ141" s="22"/>
      <c r="PLK141" s="22"/>
      <c r="PLL141" s="22"/>
      <c r="PLM141" s="22"/>
      <c r="PLN141" s="22"/>
      <c r="PLO141" s="22"/>
      <c r="PLP141" s="22"/>
      <c r="PLQ141" s="22"/>
      <c r="PLR141" s="22"/>
      <c r="PLS141" s="22"/>
      <c r="PLT141" s="22"/>
      <c r="PLU141" s="22"/>
      <c r="PLV141" s="22"/>
      <c r="PLW141" s="22"/>
      <c r="PLX141" s="22"/>
      <c r="PLY141" s="22"/>
      <c r="PLZ141" s="22"/>
      <c r="PMA141" s="22"/>
      <c r="PMB141" s="22"/>
      <c r="PMC141" s="22"/>
      <c r="PMD141" s="22"/>
      <c r="PME141" s="22"/>
      <c r="PMF141" s="22"/>
      <c r="PMG141" s="22"/>
      <c r="PMH141" s="22"/>
      <c r="PMI141" s="22"/>
      <c r="PMJ141" s="22"/>
      <c r="PMK141" s="22"/>
      <c r="PML141" s="22"/>
      <c r="PMM141" s="22"/>
      <c r="PMN141" s="22"/>
      <c r="PMO141" s="22"/>
      <c r="PMP141" s="22"/>
      <c r="PMQ141" s="22"/>
      <c r="PMR141" s="22"/>
      <c r="PMS141" s="22"/>
      <c r="PMT141" s="22"/>
      <c r="PMU141" s="22"/>
      <c r="PMV141" s="22"/>
      <c r="PMW141" s="22"/>
      <c r="PMX141" s="22"/>
      <c r="PMY141" s="22"/>
      <c r="PMZ141" s="22"/>
      <c r="PNA141" s="22"/>
      <c r="PNB141" s="22"/>
      <c r="PNC141" s="22"/>
      <c r="PND141" s="22"/>
      <c r="PNE141" s="22"/>
      <c r="PNF141" s="22"/>
      <c r="PNG141" s="22"/>
      <c r="PNH141" s="22"/>
      <c r="PNI141" s="22"/>
      <c r="PNJ141" s="22"/>
      <c r="PNK141" s="22"/>
      <c r="PNL141" s="22"/>
      <c r="PNM141" s="22"/>
      <c r="PNN141" s="22"/>
      <c r="PNO141" s="22"/>
      <c r="PNP141" s="22"/>
      <c r="PNQ141" s="22"/>
      <c r="PNR141" s="22"/>
      <c r="PNS141" s="22"/>
      <c r="PNT141" s="22"/>
      <c r="PNU141" s="22"/>
      <c r="PNV141" s="22"/>
      <c r="PNW141" s="22"/>
      <c r="PNX141" s="22"/>
      <c r="PNY141" s="22"/>
      <c r="PNZ141" s="22"/>
      <c r="POA141" s="22"/>
      <c r="POB141" s="22"/>
      <c r="POC141" s="22"/>
      <c r="POD141" s="22"/>
      <c r="POE141" s="22"/>
      <c r="POF141" s="22"/>
      <c r="POG141" s="22"/>
      <c r="POH141" s="22"/>
      <c r="POI141" s="22"/>
      <c r="POJ141" s="22"/>
      <c r="POK141" s="22"/>
      <c r="POL141" s="22"/>
      <c r="POM141" s="22"/>
      <c r="PON141" s="22"/>
      <c r="POO141" s="22"/>
      <c r="POP141" s="22"/>
      <c r="POQ141" s="22"/>
      <c r="POR141" s="22"/>
      <c r="POS141" s="22"/>
      <c r="POT141" s="22"/>
      <c r="POU141" s="22"/>
      <c r="POV141" s="22"/>
      <c r="POW141" s="22"/>
      <c r="POX141" s="22"/>
      <c r="POY141" s="22"/>
      <c r="POZ141" s="22"/>
      <c r="PPA141" s="22"/>
      <c r="PPB141" s="22"/>
      <c r="PPC141" s="22"/>
      <c r="PPD141" s="22"/>
      <c r="PPE141" s="22"/>
      <c r="PPF141" s="22"/>
      <c r="PPG141" s="22"/>
      <c r="PPH141" s="22"/>
      <c r="PPI141" s="22"/>
      <c r="PPJ141" s="22"/>
      <c r="PPK141" s="22"/>
      <c r="PPL141" s="22"/>
      <c r="PPM141" s="22"/>
      <c r="PPN141" s="22"/>
      <c r="PPO141" s="22"/>
      <c r="PPP141" s="22"/>
      <c r="PPQ141" s="22"/>
      <c r="PPR141" s="22"/>
      <c r="PPS141" s="22"/>
      <c r="PPT141" s="22"/>
      <c r="PPU141" s="22"/>
      <c r="PPV141" s="22"/>
      <c r="PPW141" s="22"/>
      <c r="PPX141" s="22"/>
      <c r="PPY141" s="22"/>
      <c r="PPZ141" s="22"/>
      <c r="PQA141" s="22"/>
      <c r="PQB141" s="22"/>
      <c r="PQC141" s="22"/>
      <c r="PQD141" s="22"/>
      <c r="PQE141" s="22"/>
      <c r="PQF141" s="22"/>
      <c r="PQG141" s="22"/>
      <c r="PQH141" s="22"/>
      <c r="PQI141" s="22"/>
      <c r="PQJ141" s="22"/>
      <c r="PQK141" s="22"/>
      <c r="PQL141" s="22"/>
      <c r="PQM141" s="22"/>
      <c r="PQN141" s="22"/>
      <c r="PQO141" s="22"/>
      <c r="PQP141" s="22"/>
      <c r="PQQ141" s="22"/>
      <c r="PQR141" s="22"/>
      <c r="PQS141" s="22"/>
      <c r="PQT141" s="22"/>
      <c r="PQU141" s="22"/>
      <c r="PQV141" s="22"/>
      <c r="PQW141" s="22"/>
      <c r="PQX141" s="22"/>
      <c r="PQY141" s="22"/>
      <c r="PQZ141" s="22"/>
      <c r="PRA141" s="22"/>
      <c r="PRB141" s="22"/>
      <c r="PRC141" s="22"/>
      <c r="PRD141" s="22"/>
      <c r="PRE141" s="22"/>
      <c r="PRF141" s="22"/>
      <c r="PRG141" s="22"/>
      <c r="PRH141" s="22"/>
      <c r="PRI141" s="22"/>
      <c r="PRJ141" s="22"/>
      <c r="PRK141" s="22"/>
      <c r="PRL141" s="22"/>
      <c r="PRM141" s="22"/>
      <c r="PRN141" s="22"/>
      <c r="PRO141" s="22"/>
      <c r="PRP141" s="22"/>
      <c r="PRQ141" s="22"/>
      <c r="PRR141" s="22"/>
      <c r="PRS141" s="22"/>
      <c r="PRT141" s="22"/>
      <c r="PRU141" s="22"/>
      <c r="PRV141" s="22"/>
      <c r="PRW141" s="22"/>
      <c r="PRX141" s="22"/>
      <c r="PRY141" s="22"/>
      <c r="PRZ141" s="22"/>
      <c r="PSA141" s="22"/>
      <c r="PSB141" s="22"/>
      <c r="PSC141" s="22"/>
      <c r="PSD141" s="22"/>
      <c r="PSE141" s="22"/>
      <c r="PSF141" s="22"/>
      <c r="PSG141" s="22"/>
      <c r="PSH141" s="22"/>
      <c r="PSI141" s="22"/>
      <c r="PSJ141" s="22"/>
      <c r="PSK141" s="22"/>
      <c r="PSL141" s="22"/>
      <c r="PSM141" s="22"/>
      <c r="PSN141" s="22"/>
      <c r="PSO141" s="22"/>
      <c r="PSP141" s="22"/>
      <c r="PSQ141" s="22"/>
      <c r="PSR141" s="22"/>
      <c r="PSS141" s="22"/>
      <c r="PST141" s="22"/>
      <c r="PSU141" s="22"/>
      <c r="PSV141" s="22"/>
      <c r="PSW141" s="22"/>
      <c r="PSX141" s="22"/>
      <c r="PSY141" s="22"/>
      <c r="PSZ141" s="22"/>
      <c r="PTA141" s="22"/>
      <c r="PTB141" s="22"/>
      <c r="PTC141" s="22"/>
      <c r="PTD141" s="22"/>
      <c r="PTE141" s="22"/>
      <c r="PTF141" s="22"/>
      <c r="PTG141" s="22"/>
      <c r="PTH141" s="22"/>
      <c r="PTI141" s="22"/>
      <c r="PTJ141" s="22"/>
      <c r="PTK141" s="22"/>
      <c r="PTL141" s="22"/>
      <c r="PTM141" s="22"/>
      <c r="PTN141" s="22"/>
      <c r="PTO141" s="22"/>
      <c r="PTP141" s="22"/>
      <c r="PTQ141" s="22"/>
      <c r="PTR141" s="22"/>
      <c r="PTS141" s="22"/>
      <c r="PTT141" s="22"/>
      <c r="PTU141" s="22"/>
      <c r="PTV141" s="22"/>
      <c r="PTW141" s="22"/>
      <c r="PTX141" s="22"/>
      <c r="PTY141" s="22"/>
      <c r="PTZ141" s="22"/>
      <c r="PUA141" s="22"/>
      <c r="PUB141" s="22"/>
      <c r="PUC141" s="22"/>
      <c r="PUD141" s="22"/>
      <c r="PUE141" s="22"/>
      <c r="PUF141" s="22"/>
      <c r="PUG141" s="22"/>
      <c r="PUH141" s="22"/>
      <c r="PUI141" s="22"/>
      <c r="PUJ141" s="22"/>
      <c r="PUK141" s="22"/>
      <c r="PUL141" s="22"/>
      <c r="PUM141" s="22"/>
      <c r="PUN141" s="22"/>
      <c r="PUO141" s="22"/>
      <c r="PUP141" s="22"/>
      <c r="PUQ141" s="22"/>
      <c r="PUR141" s="22"/>
      <c r="PUS141" s="22"/>
      <c r="PUT141" s="22"/>
      <c r="PUU141" s="22"/>
      <c r="PUV141" s="22"/>
      <c r="PUW141" s="22"/>
      <c r="PUX141" s="22"/>
      <c r="PUY141" s="22"/>
      <c r="PUZ141" s="22"/>
      <c r="PVA141" s="22"/>
      <c r="PVB141" s="22"/>
      <c r="PVC141" s="22"/>
      <c r="PVD141" s="22"/>
      <c r="PVE141" s="22"/>
      <c r="PVF141" s="22"/>
      <c r="PVG141" s="22"/>
      <c r="PVH141" s="22"/>
      <c r="PVI141" s="22"/>
      <c r="PVJ141" s="22"/>
      <c r="PVK141" s="22"/>
      <c r="PVL141" s="22"/>
      <c r="PVM141" s="22"/>
      <c r="PVN141" s="22"/>
      <c r="PVO141" s="22"/>
      <c r="PVP141" s="22"/>
      <c r="PVQ141" s="22"/>
      <c r="PVR141" s="22"/>
      <c r="PVS141" s="22"/>
      <c r="PVT141" s="22"/>
      <c r="PVU141" s="22"/>
      <c r="PVV141" s="22"/>
      <c r="PVW141" s="22"/>
      <c r="PVX141" s="22"/>
      <c r="PVY141" s="22"/>
      <c r="PVZ141" s="22"/>
      <c r="PWA141" s="22"/>
      <c r="PWB141" s="22"/>
      <c r="PWC141" s="22"/>
      <c r="PWD141" s="22"/>
      <c r="PWE141" s="22"/>
      <c r="PWF141" s="22"/>
      <c r="PWG141" s="22"/>
      <c r="PWH141" s="22"/>
      <c r="PWI141" s="22"/>
      <c r="PWJ141" s="22"/>
      <c r="PWK141" s="22"/>
      <c r="PWL141" s="22"/>
      <c r="PWM141" s="22"/>
      <c r="PWN141" s="22"/>
      <c r="PWO141" s="22"/>
      <c r="PWP141" s="22"/>
      <c r="PWQ141" s="22"/>
      <c r="PWR141" s="22"/>
      <c r="PWS141" s="22"/>
      <c r="PWT141" s="22"/>
      <c r="PWU141" s="22"/>
      <c r="PWV141" s="22"/>
      <c r="PWW141" s="22"/>
      <c r="PWX141" s="22"/>
      <c r="PWY141" s="22"/>
      <c r="PWZ141" s="22"/>
      <c r="PXA141" s="22"/>
      <c r="PXB141" s="22"/>
      <c r="PXC141" s="22"/>
      <c r="PXD141" s="22"/>
      <c r="PXE141" s="22"/>
      <c r="PXF141" s="22"/>
      <c r="PXG141" s="22"/>
      <c r="PXH141" s="22"/>
      <c r="PXI141" s="22"/>
      <c r="PXJ141" s="22"/>
      <c r="PXK141" s="22"/>
      <c r="PXL141" s="22"/>
      <c r="PXM141" s="22"/>
      <c r="PXN141" s="22"/>
      <c r="PXO141" s="22"/>
      <c r="PXP141" s="22"/>
      <c r="PXQ141" s="22"/>
      <c r="PXR141" s="22"/>
      <c r="PXS141" s="22"/>
      <c r="PXT141" s="22"/>
      <c r="PXU141" s="22"/>
      <c r="PXV141" s="22"/>
      <c r="PXW141" s="22"/>
      <c r="PXX141" s="22"/>
      <c r="PXY141" s="22"/>
      <c r="PXZ141" s="22"/>
      <c r="PYA141" s="22"/>
      <c r="PYB141" s="22"/>
      <c r="PYC141" s="22"/>
      <c r="PYD141" s="22"/>
      <c r="PYE141" s="22"/>
      <c r="PYF141" s="22"/>
      <c r="PYG141" s="22"/>
      <c r="PYH141" s="22"/>
      <c r="PYI141" s="22"/>
      <c r="PYJ141" s="22"/>
      <c r="PYK141" s="22"/>
      <c r="PYL141" s="22"/>
      <c r="PYM141" s="22"/>
      <c r="PYN141" s="22"/>
      <c r="PYO141" s="22"/>
      <c r="PYP141" s="22"/>
      <c r="PYQ141" s="22"/>
      <c r="PYR141" s="22"/>
      <c r="PYS141" s="22"/>
      <c r="PYT141" s="22"/>
      <c r="PYU141" s="22"/>
      <c r="PYV141" s="22"/>
      <c r="PYW141" s="22"/>
      <c r="PYX141" s="22"/>
      <c r="PYY141" s="22"/>
      <c r="PYZ141" s="22"/>
      <c r="PZA141" s="22"/>
      <c r="PZB141" s="22"/>
      <c r="PZC141" s="22"/>
      <c r="PZD141" s="22"/>
      <c r="PZE141" s="22"/>
      <c r="PZF141" s="22"/>
      <c r="PZG141" s="22"/>
      <c r="PZH141" s="22"/>
      <c r="PZI141" s="22"/>
      <c r="PZJ141" s="22"/>
      <c r="PZK141" s="22"/>
      <c r="PZL141" s="22"/>
      <c r="PZM141" s="22"/>
      <c r="PZN141" s="22"/>
      <c r="PZO141" s="22"/>
      <c r="PZP141" s="22"/>
      <c r="PZQ141" s="22"/>
      <c r="PZR141" s="22"/>
      <c r="PZS141" s="22"/>
      <c r="PZT141" s="22"/>
      <c r="PZU141" s="22"/>
      <c r="PZV141" s="22"/>
      <c r="PZW141" s="22"/>
      <c r="PZX141" s="22"/>
      <c r="PZY141" s="22"/>
      <c r="PZZ141" s="22"/>
      <c r="QAA141" s="22"/>
      <c r="QAB141" s="22"/>
      <c r="QAC141" s="22"/>
      <c r="QAD141" s="22"/>
      <c r="QAE141" s="22"/>
      <c r="QAF141" s="22"/>
      <c r="QAG141" s="22"/>
      <c r="QAH141" s="22"/>
      <c r="QAI141" s="22"/>
      <c r="QAJ141" s="22"/>
      <c r="QAK141" s="22"/>
      <c r="QAL141" s="22"/>
      <c r="QAM141" s="22"/>
      <c r="QAN141" s="22"/>
      <c r="QAO141" s="22"/>
      <c r="QAP141" s="22"/>
      <c r="QAQ141" s="22"/>
      <c r="QAR141" s="22"/>
      <c r="QAS141" s="22"/>
      <c r="QAT141" s="22"/>
      <c r="QAU141" s="22"/>
      <c r="QAV141" s="22"/>
      <c r="QAW141" s="22"/>
      <c r="QAX141" s="22"/>
      <c r="QAY141" s="22"/>
      <c r="QAZ141" s="22"/>
      <c r="QBA141" s="22"/>
      <c r="QBB141" s="22"/>
      <c r="QBC141" s="22"/>
      <c r="QBD141" s="22"/>
      <c r="QBE141" s="22"/>
      <c r="QBF141" s="22"/>
      <c r="QBG141" s="22"/>
      <c r="QBH141" s="22"/>
      <c r="QBI141" s="22"/>
      <c r="QBJ141" s="22"/>
      <c r="QBK141" s="22"/>
      <c r="QBL141" s="22"/>
      <c r="QBM141" s="22"/>
      <c r="QBN141" s="22"/>
      <c r="QBO141" s="22"/>
      <c r="QBP141" s="22"/>
      <c r="QBQ141" s="22"/>
      <c r="QBR141" s="22"/>
      <c r="QBS141" s="22"/>
      <c r="QBT141" s="22"/>
      <c r="QBU141" s="22"/>
      <c r="QBV141" s="22"/>
      <c r="QBW141" s="22"/>
      <c r="QBX141" s="22"/>
      <c r="QBY141" s="22"/>
      <c r="QBZ141" s="22"/>
      <c r="QCA141" s="22"/>
      <c r="QCB141" s="22"/>
      <c r="QCC141" s="22"/>
      <c r="QCD141" s="22"/>
      <c r="QCE141" s="22"/>
      <c r="QCF141" s="22"/>
      <c r="QCG141" s="22"/>
      <c r="QCH141" s="22"/>
      <c r="QCI141" s="22"/>
      <c r="QCJ141" s="22"/>
      <c r="QCK141" s="22"/>
      <c r="QCL141" s="22"/>
      <c r="QCM141" s="22"/>
      <c r="QCN141" s="22"/>
      <c r="QCO141" s="22"/>
      <c r="QCP141" s="22"/>
      <c r="QCQ141" s="22"/>
      <c r="QCR141" s="22"/>
      <c r="QCS141" s="22"/>
      <c r="QCT141" s="22"/>
      <c r="QCU141" s="22"/>
      <c r="QCV141" s="22"/>
      <c r="QCW141" s="22"/>
      <c r="QCX141" s="22"/>
      <c r="QCY141" s="22"/>
      <c r="QCZ141" s="22"/>
      <c r="QDA141" s="22"/>
      <c r="QDB141" s="22"/>
      <c r="QDC141" s="22"/>
      <c r="QDD141" s="22"/>
      <c r="QDE141" s="22"/>
      <c r="QDF141" s="22"/>
      <c r="QDG141" s="22"/>
      <c r="QDH141" s="22"/>
      <c r="QDI141" s="22"/>
      <c r="QDJ141" s="22"/>
      <c r="QDK141" s="22"/>
      <c r="QDL141" s="22"/>
      <c r="QDM141" s="22"/>
      <c r="QDN141" s="22"/>
      <c r="QDO141" s="22"/>
      <c r="QDP141" s="22"/>
      <c r="QDQ141" s="22"/>
      <c r="QDR141" s="22"/>
      <c r="QDS141" s="22"/>
      <c r="QDT141" s="22"/>
      <c r="QDU141" s="22"/>
      <c r="QDV141" s="22"/>
      <c r="QDW141" s="22"/>
      <c r="QDX141" s="22"/>
      <c r="QDY141" s="22"/>
      <c r="QDZ141" s="22"/>
      <c r="QEA141" s="22"/>
      <c r="QEB141" s="22"/>
      <c r="QEC141" s="22"/>
      <c r="QED141" s="22"/>
      <c r="QEE141" s="22"/>
      <c r="QEF141" s="22"/>
      <c r="QEG141" s="22"/>
      <c r="QEH141" s="22"/>
      <c r="QEI141" s="22"/>
      <c r="QEJ141" s="22"/>
      <c r="QEK141" s="22"/>
      <c r="QEL141" s="22"/>
      <c r="QEM141" s="22"/>
      <c r="QEN141" s="22"/>
      <c r="QEO141" s="22"/>
      <c r="QEP141" s="22"/>
      <c r="QEQ141" s="22"/>
      <c r="QER141" s="22"/>
      <c r="QES141" s="22"/>
      <c r="QET141" s="22"/>
      <c r="QEU141" s="22"/>
      <c r="QEV141" s="22"/>
      <c r="QEW141" s="22"/>
      <c r="QEX141" s="22"/>
      <c r="QEY141" s="22"/>
      <c r="QEZ141" s="22"/>
      <c r="QFA141" s="22"/>
      <c r="QFB141" s="22"/>
      <c r="QFC141" s="22"/>
      <c r="QFD141" s="22"/>
      <c r="QFE141" s="22"/>
      <c r="QFF141" s="22"/>
      <c r="QFG141" s="22"/>
      <c r="QFH141" s="22"/>
      <c r="QFI141" s="22"/>
      <c r="QFJ141" s="22"/>
      <c r="QFK141" s="22"/>
      <c r="QFL141" s="22"/>
      <c r="QFM141" s="22"/>
      <c r="QFN141" s="22"/>
      <c r="QFO141" s="22"/>
      <c r="QFP141" s="22"/>
      <c r="QFQ141" s="22"/>
      <c r="QFR141" s="22"/>
      <c r="QFS141" s="22"/>
      <c r="QFT141" s="22"/>
      <c r="QFU141" s="22"/>
      <c r="QFV141" s="22"/>
      <c r="QFW141" s="22"/>
      <c r="QFX141" s="22"/>
      <c r="QFY141" s="22"/>
      <c r="QFZ141" s="22"/>
      <c r="QGA141" s="22"/>
      <c r="QGB141" s="22"/>
      <c r="QGC141" s="22"/>
      <c r="QGD141" s="22"/>
      <c r="QGE141" s="22"/>
      <c r="QGF141" s="22"/>
      <c r="QGG141" s="22"/>
      <c r="QGH141" s="22"/>
      <c r="QGI141" s="22"/>
      <c r="QGJ141" s="22"/>
      <c r="QGK141" s="22"/>
      <c r="QGL141" s="22"/>
      <c r="QGM141" s="22"/>
      <c r="QGN141" s="22"/>
      <c r="QGO141" s="22"/>
      <c r="QGP141" s="22"/>
      <c r="QGQ141" s="22"/>
      <c r="QGR141" s="22"/>
      <c r="QGS141" s="22"/>
      <c r="QGT141" s="22"/>
      <c r="QGU141" s="22"/>
      <c r="QGV141" s="22"/>
      <c r="QGW141" s="22"/>
      <c r="QGX141" s="22"/>
      <c r="QGY141" s="22"/>
      <c r="QGZ141" s="22"/>
      <c r="QHA141" s="22"/>
      <c r="QHB141" s="22"/>
      <c r="QHC141" s="22"/>
      <c r="QHD141" s="22"/>
      <c r="QHE141" s="22"/>
      <c r="QHF141" s="22"/>
      <c r="QHG141" s="22"/>
      <c r="QHH141" s="22"/>
      <c r="QHI141" s="22"/>
      <c r="QHJ141" s="22"/>
      <c r="QHK141" s="22"/>
      <c r="QHL141" s="22"/>
      <c r="QHM141" s="22"/>
      <c r="QHN141" s="22"/>
      <c r="QHO141" s="22"/>
      <c r="QHP141" s="22"/>
      <c r="QHQ141" s="22"/>
      <c r="QHR141" s="22"/>
      <c r="QHS141" s="22"/>
      <c r="QHT141" s="22"/>
      <c r="QHU141" s="22"/>
      <c r="QHV141" s="22"/>
      <c r="QHW141" s="22"/>
      <c r="QHX141" s="22"/>
      <c r="QHY141" s="22"/>
      <c r="QHZ141" s="22"/>
      <c r="QIA141" s="22"/>
      <c r="QIB141" s="22"/>
      <c r="QIC141" s="22"/>
      <c r="QID141" s="22"/>
      <c r="QIE141" s="22"/>
      <c r="QIF141" s="22"/>
      <c r="QIG141" s="22"/>
      <c r="QIH141" s="22"/>
      <c r="QII141" s="22"/>
      <c r="QIJ141" s="22"/>
      <c r="QIK141" s="22"/>
      <c r="QIL141" s="22"/>
      <c r="QIM141" s="22"/>
      <c r="QIN141" s="22"/>
      <c r="QIO141" s="22"/>
      <c r="QIP141" s="22"/>
      <c r="QIQ141" s="22"/>
      <c r="QIR141" s="22"/>
      <c r="QIS141" s="22"/>
      <c r="QIT141" s="22"/>
      <c r="QIU141" s="22"/>
      <c r="QIV141" s="22"/>
      <c r="QIW141" s="22"/>
      <c r="QIX141" s="22"/>
      <c r="QIY141" s="22"/>
      <c r="QIZ141" s="22"/>
      <c r="QJA141" s="22"/>
      <c r="QJB141" s="22"/>
      <c r="QJC141" s="22"/>
      <c r="QJD141" s="22"/>
      <c r="QJE141" s="22"/>
      <c r="QJF141" s="22"/>
      <c r="QJG141" s="22"/>
      <c r="QJH141" s="22"/>
      <c r="QJI141" s="22"/>
      <c r="QJJ141" s="22"/>
      <c r="QJK141" s="22"/>
      <c r="QJL141" s="22"/>
      <c r="QJM141" s="22"/>
      <c r="QJN141" s="22"/>
      <c r="QJO141" s="22"/>
      <c r="QJP141" s="22"/>
      <c r="QJQ141" s="22"/>
      <c r="QJR141" s="22"/>
      <c r="QJS141" s="22"/>
      <c r="QJT141" s="22"/>
      <c r="QJU141" s="22"/>
      <c r="QJV141" s="22"/>
      <c r="QJW141" s="22"/>
      <c r="QJX141" s="22"/>
      <c r="QJY141" s="22"/>
      <c r="QJZ141" s="22"/>
      <c r="QKA141" s="22"/>
      <c r="QKB141" s="22"/>
      <c r="QKC141" s="22"/>
      <c r="QKD141" s="22"/>
      <c r="QKE141" s="22"/>
      <c r="QKF141" s="22"/>
      <c r="QKG141" s="22"/>
      <c r="QKH141" s="22"/>
      <c r="QKI141" s="22"/>
      <c r="QKJ141" s="22"/>
      <c r="QKK141" s="22"/>
      <c r="QKL141" s="22"/>
      <c r="QKM141" s="22"/>
      <c r="QKN141" s="22"/>
      <c r="QKO141" s="22"/>
      <c r="QKP141" s="22"/>
      <c r="QKQ141" s="22"/>
      <c r="QKR141" s="22"/>
      <c r="QKS141" s="22"/>
      <c r="QKT141" s="22"/>
      <c r="QKU141" s="22"/>
      <c r="QKV141" s="22"/>
      <c r="QKW141" s="22"/>
      <c r="QKX141" s="22"/>
      <c r="QKY141" s="22"/>
      <c r="QKZ141" s="22"/>
      <c r="QLA141" s="22"/>
      <c r="QLB141" s="22"/>
      <c r="QLC141" s="22"/>
      <c r="QLD141" s="22"/>
      <c r="QLE141" s="22"/>
      <c r="QLF141" s="22"/>
      <c r="QLG141" s="22"/>
      <c r="QLH141" s="22"/>
      <c r="QLI141" s="22"/>
      <c r="QLJ141" s="22"/>
      <c r="QLK141" s="22"/>
      <c r="QLL141" s="22"/>
      <c r="QLM141" s="22"/>
      <c r="QLN141" s="22"/>
      <c r="QLO141" s="22"/>
      <c r="QLP141" s="22"/>
      <c r="QLQ141" s="22"/>
      <c r="QLR141" s="22"/>
      <c r="QLS141" s="22"/>
      <c r="QLT141" s="22"/>
      <c r="QLU141" s="22"/>
      <c r="QLV141" s="22"/>
      <c r="QLW141" s="22"/>
      <c r="QLX141" s="22"/>
      <c r="QLY141" s="22"/>
      <c r="QLZ141" s="22"/>
      <c r="QMA141" s="22"/>
      <c r="QMB141" s="22"/>
      <c r="QMC141" s="22"/>
      <c r="QMD141" s="22"/>
      <c r="QME141" s="22"/>
      <c r="QMF141" s="22"/>
      <c r="QMG141" s="22"/>
      <c r="QMH141" s="22"/>
      <c r="QMI141" s="22"/>
      <c r="QMJ141" s="22"/>
      <c r="QMK141" s="22"/>
      <c r="QML141" s="22"/>
      <c r="QMM141" s="22"/>
      <c r="QMN141" s="22"/>
      <c r="QMO141" s="22"/>
      <c r="QMP141" s="22"/>
      <c r="QMQ141" s="22"/>
      <c r="QMR141" s="22"/>
      <c r="QMS141" s="22"/>
      <c r="QMT141" s="22"/>
      <c r="QMU141" s="22"/>
      <c r="QMV141" s="22"/>
      <c r="QMW141" s="22"/>
      <c r="QMX141" s="22"/>
      <c r="QMY141" s="22"/>
      <c r="QMZ141" s="22"/>
      <c r="QNA141" s="22"/>
      <c r="QNB141" s="22"/>
      <c r="QNC141" s="22"/>
      <c r="QND141" s="22"/>
      <c r="QNE141" s="22"/>
      <c r="QNF141" s="22"/>
      <c r="QNG141" s="22"/>
      <c r="QNH141" s="22"/>
      <c r="QNI141" s="22"/>
      <c r="QNJ141" s="22"/>
      <c r="QNK141" s="22"/>
      <c r="QNL141" s="22"/>
      <c r="QNM141" s="22"/>
      <c r="QNN141" s="22"/>
      <c r="QNO141" s="22"/>
      <c r="QNP141" s="22"/>
      <c r="QNQ141" s="22"/>
      <c r="QNR141" s="22"/>
      <c r="QNS141" s="22"/>
      <c r="QNT141" s="22"/>
      <c r="QNU141" s="22"/>
      <c r="QNV141" s="22"/>
      <c r="QNW141" s="22"/>
      <c r="QNX141" s="22"/>
      <c r="QNY141" s="22"/>
      <c r="QNZ141" s="22"/>
      <c r="QOA141" s="22"/>
      <c r="QOB141" s="22"/>
      <c r="QOC141" s="22"/>
      <c r="QOD141" s="22"/>
      <c r="QOE141" s="22"/>
      <c r="QOF141" s="22"/>
      <c r="QOG141" s="22"/>
      <c r="QOH141" s="22"/>
      <c r="QOI141" s="22"/>
      <c r="QOJ141" s="22"/>
      <c r="QOK141" s="22"/>
      <c r="QOL141" s="22"/>
      <c r="QOM141" s="22"/>
      <c r="QON141" s="22"/>
      <c r="QOO141" s="22"/>
      <c r="QOP141" s="22"/>
      <c r="QOQ141" s="22"/>
      <c r="QOR141" s="22"/>
      <c r="QOS141" s="22"/>
      <c r="QOT141" s="22"/>
      <c r="QOU141" s="22"/>
      <c r="QOV141" s="22"/>
      <c r="QOW141" s="22"/>
      <c r="QOX141" s="22"/>
      <c r="QOY141" s="22"/>
      <c r="QOZ141" s="22"/>
      <c r="QPA141" s="22"/>
      <c r="QPB141" s="22"/>
      <c r="QPC141" s="22"/>
      <c r="QPD141" s="22"/>
      <c r="QPE141" s="22"/>
      <c r="QPF141" s="22"/>
      <c r="QPG141" s="22"/>
      <c r="QPH141" s="22"/>
      <c r="QPI141" s="22"/>
      <c r="QPJ141" s="22"/>
      <c r="QPK141" s="22"/>
      <c r="QPL141" s="22"/>
      <c r="QPM141" s="22"/>
      <c r="QPN141" s="22"/>
      <c r="QPO141" s="22"/>
      <c r="QPP141" s="22"/>
      <c r="QPQ141" s="22"/>
      <c r="QPR141" s="22"/>
      <c r="QPS141" s="22"/>
      <c r="QPT141" s="22"/>
      <c r="QPU141" s="22"/>
      <c r="QPV141" s="22"/>
      <c r="QPW141" s="22"/>
      <c r="QPX141" s="22"/>
      <c r="QPY141" s="22"/>
      <c r="QPZ141" s="22"/>
      <c r="QQA141" s="22"/>
      <c r="QQB141" s="22"/>
      <c r="QQC141" s="22"/>
      <c r="QQD141" s="22"/>
      <c r="QQE141" s="22"/>
      <c r="QQF141" s="22"/>
      <c r="QQG141" s="22"/>
      <c r="QQH141" s="22"/>
      <c r="QQI141" s="22"/>
      <c r="QQJ141" s="22"/>
      <c r="QQK141" s="22"/>
      <c r="QQL141" s="22"/>
      <c r="QQM141" s="22"/>
      <c r="QQN141" s="22"/>
      <c r="QQO141" s="22"/>
      <c r="QQP141" s="22"/>
      <c r="QQQ141" s="22"/>
      <c r="QQR141" s="22"/>
      <c r="QQS141" s="22"/>
      <c r="QQT141" s="22"/>
      <c r="QQU141" s="22"/>
      <c r="QQV141" s="22"/>
      <c r="QQW141" s="22"/>
      <c r="QQX141" s="22"/>
      <c r="QQY141" s="22"/>
      <c r="QQZ141" s="22"/>
      <c r="QRA141" s="22"/>
      <c r="QRB141" s="22"/>
      <c r="QRC141" s="22"/>
      <c r="QRD141" s="22"/>
      <c r="QRE141" s="22"/>
      <c r="QRF141" s="22"/>
      <c r="QRG141" s="22"/>
      <c r="QRH141" s="22"/>
      <c r="QRI141" s="22"/>
      <c r="QRJ141" s="22"/>
      <c r="QRK141" s="22"/>
      <c r="QRL141" s="22"/>
      <c r="QRM141" s="22"/>
      <c r="QRN141" s="22"/>
      <c r="QRO141" s="22"/>
      <c r="QRP141" s="22"/>
      <c r="QRQ141" s="22"/>
      <c r="QRR141" s="22"/>
      <c r="QRS141" s="22"/>
      <c r="QRT141" s="22"/>
      <c r="QRU141" s="22"/>
      <c r="QRV141" s="22"/>
      <c r="QRW141" s="22"/>
      <c r="QRX141" s="22"/>
      <c r="QRY141" s="22"/>
      <c r="QRZ141" s="22"/>
      <c r="QSA141" s="22"/>
      <c r="QSB141" s="22"/>
      <c r="QSC141" s="22"/>
      <c r="QSD141" s="22"/>
      <c r="QSE141" s="22"/>
      <c r="QSF141" s="22"/>
      <c r="QSG141" s="22"/>
      <c r="QSH141" s="22"/>
      <c r="QSI141" s="22"/>
      <c r="QSJ141" s="22"/>
      <c r="QSK141" s="22"/>
      <c r="QSL141" s="22"/>
      <c r="QSM141" s="22"/>
      <c r="QSN141" s="22"/>
      <c r="QSO141" s="22"/>
      <c r="QSP141" s="22"/>
      <c r="QSQ141" s="22"/>
      <c r="QSR141" s="22"/>
      <c r="QSS141" s="22"/>
      <c r="QST141" s="22"/>
      <c r="QSU141" s="22"/>
      <c r="QSV141" s="22"/>
      <c r="QSW141" s="22"/>
      <c r="QSX141" s="22"/>
      <c r="QSY141" s="22"/>
      <c r="QSZ141" s="22"/>
      <c r="QTA141" s="22"/>
      <c r="QTB141" s="22"/>
      <c r="QTC141" s="22"/>
      <c r="QTD141" s="22"/>
      <c r="QTE141" s="22"/>
      <c r="QTF141" s="22"/>
      <c r="QTG141" s="22"/>
      <c r="QTH141" s="22"/>
      <c r="QTI141" s="22"/>
      <c r="QTJ141" s="22"/>
      <c r="QTK141" s="22"/>
      <c r="QTL141" s="22"/>
      <c r="QTM141" s="22"/>
      <c r="QTN141" s="22"/>
      <c r="QTO141" s="22"/>
      <c r="QTP141" s="22"/>
      <c r="QTQ141" s="22"/>
      <c r="QTR141" s="22"/>
      <c r="QTS141" s="22"/>
      <c r="QTT141" s="22"/>
      <c r="QTU141" s="22"/>
      <c r="QTV141" s="22"/>
      <c r="QTW141" s="22"/>
      <c r="QTX141" s="22"/>
      <c r="QTY141" s="22"/>
      <c r="QTZ141" s="22"/>
      <c r="QUA141" s="22"/>
      <c r="QUB141" s="22"/>
      <c r="QUC141" s="22"/>
      <c r="QUD141" s="22"/>
      <c r="QUE141" s="22"/>
      <c r="QUF141" s="22"/>
      <c r="QUG141" s="22"/>
      <c r="QUH141" s="22"/>
      <c r="QUI141" s="22"/>
      <c r="QUJ141" s="22"/>
      <c r="QUK141" s="22"/>
      <c r="QUL141" s="22"/>
      <c r="QUM141" s="22"/>
      <c r="QUN141" s="22"/>
      <c r="QUO141" s="22"/>
      <c r="QUP141" s="22"/>
      <c r="QUQ141" s="22"/>
      <c r="QUR141" s="22"/>
      <c r="QUS141" s="22"/>
      <c r="QUT141" s="22"/>
      <c r="QUU141" s="22"/>
      <c r="QUV141" s="22"/>
      <c r="QUW141" s="22"/>
      <c r="QUX141" s="22"/>
      <c r="QUY141" s="22"/>
      <c r="QUZ141" s="22"/>
      <c r="QVA141" s="22"/>
      <c r="QVB141" s="22"/>
      <c r="QVC141" s="22"/>
      <c r="QVD141" s="22"/>
      <c r="QVE141" s="22"/>
      <c r="QVF141" s="22"/>
      <c r="QVG141" s="22"/>
      <c r="QVH141" s="22"/>
      <c r="QVI141" s="22"/>
      <c r="QVJ141" s="22"/>
      <c r="QVK141" s="22"/>
      <c r="QVL141" s="22"/>
      <c r="QVM141" s="22"/>
      <c r="QVN141" s="22"/>
      <c r="QVO141" s="22"/>
      <c r="QVP141" s="22"/>
      <c r="QVQ141" s="22"/>
      <c r="QVR141" s="22"/>
      <c r="QVS141" s="22"/>
      <c r="QVT141" s="22"/>
      <c r="QVU141" s="22"/>
      <c r="QVV141" s="22"/>
      <c r="QVW141" s="22"/>
      <c r="QVX141" s="22"/>
      <c r="QVY141" s="22"/>
      <c r="QVZ141" s="22"/>
      <c r="QWA141" s="22"/>
      <c r="QWB141" s="22"/>
      <c r="QWC141" s="22"/>
      <c r="QWD141" s="22"/>
      <c r="QWE141" s="22"/>
      <c r="QWF141" s="22"/>
      <c r="QWG141" s="22"/>
      <c r="QWH141" s="22"/>
      <c r="QWI141" s="22"/>
      <c r="QWJ141" s="22"/>
      <c r="QWK141" s="22"/>
      <c r="QWL141" s="22"/>
      <c r="QWM141" s="22"/>
      <c r="QWN141" s="22"/>
      <c r="QWO141" s="22"/>
      <c r="QWP141" s="22"/>
      <c r="QWQ141" s="22"/>
      <c r="QWR141" s="22"/>
      <c r="QWS141" s="22"/>
      <c r="QWT141" s="22"/>
      <c r="QWU141" s="22"/>
      <c r="QWV141" s="22"/>
      <c r="QWW141" s="22"/>
      <c r="QWX141" s="22"/>
      <c r="QWY141" s="22"/>
      <c r="QWZ141" s="22"/>
      <c r="QXA141" s="22"/>
      <c r="QXB141" s="22"/>
      <c r="QXC141" s="22"/>
      <c r="QXD141" s="22"/>
      <c r="QXE141" s="22"/>
      <c r="QXF141" s="22"/>
      <c r="QXG141" s="22"/>
      <c r="QXH141" s="22"/>
      <c r="QXI141" s="22"/>
      <c r="QXJ141" s="22"/>
      <c r="QXK141" s="22"/>
      <c r="QXL141" s="22"/>
      <c r="QXM141" s="22"/>
      <c r="QXN141" s="22"/>
      <c r="QXO141" s="22"/>
      <c r="QXP141" s="22"/>
      <c r="QXQ141" s="22"/>
      <c r="QXR141" s="22"/>
      <c r="QXS141" s="22"/>
      <c r="QXT141" s="22"/>
      <c r="QXU141" s="22"/>
      <c r="QXV141" s="22"/>
      <c r="QXW141" s="22"/>
      <c r="QXX141" s="22"/>
      <c r="QXY141" s="22"/>
      <c r="QXZ141" s="22"/>
      <c r="QYA141" s="22"/>
      <c r="QYB141" s="22"/>
      <c r="QYC141" s="22"/>
      <c r="QYD141" s="22"/>
      <c r="QYE141" s="22"/>
      <c r="QYF141" s="22"/>
      <c r="QYG141" s="22"/>
      <c r="QYH141" s="22"/>
      <c r="QYI141" s="22"/>
      <c r="QYJ141" s="22"/>
      <c r="QYK141" s="22"/>
      <c r="QYL141" s="22"/>
      <c r="QYM141" s="22"/>
      <c r="QYN141" s="22"/>
      <c r="QYO141" s="22"/>
      <c r="QYP141" s="22"/>
      <c r="QYQ141" s="22"/>
      <c r="QYR141" s="22"/>
      <c r="QYS141" s="22"/>
      <c r="QYT141" s="22"/>
      <c r="QYU141" s="22"/>
      <c r="QYV141" s="22"/>
      <c r="QYW141" s="22"/>
      <c r="QYX141" s="22"/>
      <c r="QYY141" s="22"/>
      <c r="QYZ141" s="22"/>
      <c r="QZA141" s="22"/>
      <c r="QZB141" s="22"/>
      <c r="QZC141" s="22"/>
      <c r="QZD141" s="22"/>
      <c r="QZE141" s="22"/>
      <c r="QZF141" s="22"/>
      <c r="QZG141" s="22"/>
      <c r="QZH141" s="22"/>
      <c r="QZI141" s="22"/>
      <c r="QZJ141" s="22"/>
      <c r="QZK141" s="22"/>
      <c r="QZL141" s="22"/>
      <c r="QZM141" s="22"/>
      <c r="QZN141" s="22"/>
      <c r="QZO141" s="22"/>
      <c r="QZP141" s="22"/>
      <c r="QZQ141" s="22"/>
      <c r="QZR141" s="22"/>
      <c r="QZS141" s="22"/>
      <c r="QZT141" s="22"/>
      <c r="QZU141" s="22"/>
      <c r="QZV141" s="22"/>
      <c r="QZW141" s="22"/>
      <c r="QZX141" s="22"/>
      <c r="QZY141" s="22"/>
      <c r="QZZ141" s="22"/>
      <c r="RAA141" s="22"/>
      <c r="RAB141" s="22"/>
      <c r="RAC141" s="22"/>
      <c r="RAD141" s="22"/>
      <c r="RAE141" s="22"/>
      <c r="RAF141" s="22"/>
      <c r="RAG141" s="22"/>
      <c r="RAH141" s="22"/>
      <c r="RAI141" s="22"/>
      <c r="RAJ141" s="22"/>
      <c r="RAK141" s="22"/>
      <c r="RAL141" s="22"/>
      <c r="RAM141" s="22"/>
      <c r="RAN141" s="22"/>
      <c r="RAO141" s="22"/>
      <c r="RAP141" s="22"/>
      <c r="RAQ141" s="22"/>
      <c r="RAR141" s="22"/>
      <c r="RAS141" s="22"/>
      <c r="RAT141" s="22"/>
      <c r="RAU141" s="22"/>
      <c r="RAV141" s="22"/>
      <c r="RAW141" s="22"/>
      <c r="RAX141" s="22"/>
      <c r="RAY141" s="22"/>
      <c r="RAZ141" s="22"/>
      <c r="RBA141" s="22"/>
      <c r="RBB141" s="22"/>
      <c r="RBC141" s="22"/>
      <c r="RBD141" s="22"/>
      <c r="RBE141" s="22"/>
      <c r="RBF141" s="22"/>
      <c r="RBG141" s="22"/>
      <c r="RBH141" s="22"/>
      <c r="RBI141" s="22"/>
      <c r="RBJ141" s="22"/>
      <c r="RBK141" s="22"/>
      <c r="RBL141" s="22"/>
      <c r="RBM141" s="22"/>
      <c r="RBN141" s="22"/>
      <c r="RBO141" s="22"/>
      <c r="RBP141" s="22"/>
      <c r="RBQ141" s="22"/>
      <c r="RBR141" s="22"/>
      <c r="RBS141" s="22"/>
      <c r="RBT141" s="22"/>
      <c r="RBU141" s="22"/>
      <c r="RBV141" s="22"/>
      <c r="RBW141" s="22"/>
      <c r="RBX141" s="22"/>
      <c r="RBY141" s="22"/>
      <c r="RBZ141" s="22"/>
      <c r="RCA141" s="22"/>
      <c r="RCB141" s="22"/>
      <c r="RCC141" s="22"/>
      <c r="RCD141" s="22"/>
      <c r="RCE141" s="22"/>
      <c r="RCF141" s="22"/>
      <c r="RCG141" s="22"/>
      <c r="RCH141" s="22"/>
      <c r="RCI141" s="22"/>
      <c r="RCJ141" s="22"/>
      <c r="RCK141" s="22"/>
      <c r="RCL141" s="22"/>
      <c r="RCM141" s="22"/>
      <c r="RCN141" s="22"/>
      <c r="RCO141" s="22"/>
      <c r="RCP141" s="22"/>
      <c r="RCQ141" s="22"/>
      <c r="RCR141" s="22"/>
      <c r="RCS141" s="22"/>
      <c r="RCT141" s="22"/>
      <c r="RCU141" s="22"/>
      <c r="RCV141" s="22"/>
      <c r="RCW141" s="22"/>
      <c r="RCX141" s="22"/>
      <c r="RCY141" s="22"/>
      <c r="RCZ141" s="22"/>
      <c r="RDA141" s="22"/>
      <c r="RDB141" s="22"/>
      <c r="RDC141" s="22"/>
      <c r="RDD141" s="22"/>
      <c r="RDE141" s="22"/>
      <c r="RDF141" s="22"/>
      <c r="RDG141" s="22"/>
      <c r="RDH141" s="22"/>
      <c r="RDI141" s="22"/>
      <c r="RDJ141" s="22"/>
      <c r="RDK141" s="22"/>
      <c r="RDL141" s="22"/>
      <c r="RDM141" s="22"/>
      <c r="RDN141" s="22"/>
      <c r="RDO141" s="22"/>
      <c r="RDP141" s="22"/>
      <c r="RDQ141" s="22"/>
      <c r="RDR141" s="22"/>
      <c r="RDS141" s="22"/>
      <c r="RDT141" s="22"/>
      <c r="RDU141" s="22"/>
      <c r="RDV141" s="22"/>
      <c r="RDW141" s="22"/>
      <c r="RDX141" s="22"/>
      <c r="RDY141" s="22"/>
      <c r="RDZ141" s="22"/>
      <c r="REA141" s="22"/>
      <c r="REB141" s="22"/>
      <c r="REC141" s="22"/>
      <c r="RED141" s="22"/>
      <c r="REE141" s="22"/>
      <c r="REF141" s="22"/>
      <c r="REG141" s="22"/>
      <c r="REH141" s="22"/>
      <c r="REI141" s="22"/>
      <c r="REJ141" s="22"/>
      <c r="REK141" s="22"/>
      <c r="REL141" s="22"/>
      <c r="REM141" s="22"/>
      <c r="REN141" s="22"/>
      <c r="REO141" s="22"/>
      <c r="REP141" s="22"/>
      <c r="REQ141" s="22"/>
      <c r="RER141" s="22"/>
      <c r="RES141" s="22"/>
      <c r="RET141" s="22"/>
      <c r="REU141" s="22"/>
      <c r="REV141" s="22"/>
      <c r="REW141" s="22"/>
      <c r="REX141" s="22"/>
      <c r="REY141" s="22"/>
      <c r="REZ141" s="22"/>
      <c r="RFA141" s="22"/>
      <c r="RFB141" s="22"/>
      <c r="RFC141" s="22"/>
      <c r="RFD141" s="22"/>
      <c r="RFE141" s="22"/>
      <c r="RFF141" s="22"/>
      <c r="RFG141" s="22"/>
      <c r="RFH141" s="22"/>
      <c r="RFI141" s="22"/>
      <c r="RFJ141" s="22"/>
      <c r="RFK141" s="22"/>
      <c r="RFL141" s="22"/>
      <c r="RFM141" s="22"/>
      <c r="RFN141" s="22"/>
      <c r="RFO141" s="22"/>
      <c r="RFP141" s="22"/>
      <c r="RFQ141" s="22"/>
      <c r="RFR141" s="22"/>
      <c r="RFS141" s="22"/>
      <c r="RFT141" s="22"/>
      <c r="RFU141" s="22"/>
      <c r="RFV141" s="22"/>
      <c r="RFW141" s="22"/>
      <c r="RFX141" s="22"/>
      <c r="RFY141" s="22"/>
      <c r="RFZ141" s="22"/>
      <c r="RGA141" s="22"/>
      <c r="RGB141" s="22"/>
      <c r="RGC141" s="22"/>
      <c r="RGD141" s="22"/>
      <c r="RGE141" s="22"/>
      <c r="RGF141" s="22"/>
      <c r="RGG141" s="22"/>
      <c r="RGH141" s="22"/>
      <c r="RGI141" s="22"/>
      <c r="RGJ141" s="22"/>
      <c r="RGK141" s="22"/>
      <c r="RGL141" s="22"/>
      <c r="RGM141" s="22"/>
      <c r="RGN141" s="22"/>
      <c r="RGO141" s="22"/>
      <c r="RGP141" s="22"/>
      <c r="RGQ141" s="22"/>
      <c r="RGR141" s="22"/>
      <c r="RGS141" s="22"/>
      <c r="RGT141" s="22"/>
      <c r="RGU141" s="22"/>
      <c r="RGV141" s="22"/>
      <c r="RGW141" s="22"/>
      <c r="RGX141" s="22"/>
      <c r="RGY141" s="22"/>
      <c r="RGZ141" s="22"/>
      <c r="RHA141" s="22"/>
      <c r="RHB141" s="22"/>
      <c r="RHC141" s="22"/>
      <c r="RHD141" s="22"/>
      <c r="RHE141" s="22"/>
      <c r="RHF141" s="22"/>
      <c r="RHG141" s="22"/>
      <c r="RHH141" s="22"/>
      <c r="RHI141" s="22"/>
      <c r="RHJ141" s="22"/>
      <c r="RHK141" s="22"/>
      <c r="RHL141" s="22"/>
      <c r="RHM141" s="22"/>
      <c r="RHN141" s="22"/>
      <c r="RHO141" s="22"/>
      <c r="RHP141" s="22"/>
      <c r="RHQ141" s="22"/>
      <c r="RHR141" s="22"/>
      <c r="RHS141" s="22"/>
      <c r="RHT141" s="22"/>
      <c r="RHU141" s="22"/>
      <c r="RHV141" s="22"/>
      <c r="RHW141" s="22"/>
      <c r="RHX141" s="22"/>
      <c r="RHY141" s="22"/>
      <c r="RHZ141" s="22"/>
      <c r="RIA141" s="22"/>
      <c r="RIB141" s="22"/>
      <c r="RIC141" s="22"/>
      <c r="RID141" s="22"/>
      <c r="RIE141" s="22"/>
      <c r="RIF141" s="22"/>
      <c r="RIG141" s="22"/>
      <c r="RIH141" s="22"/>
      <c r="RII141" s="22"/>
      <c r="RIJ141" s="22"/>
      <c r="RIK141" s="22"/>
      <c r="RIL141" s="22"/>
      <c r="RIM141" s="22"/>
      <c r="RIN141" s="22"/>
      <c r="RIO141" s="22"/>
      <c r="RIP141" s="22"/>
      <c r="RIQ141" s="22"/>
      <c r="RIR141" s="22"/>
      <c r="RIS141" s="22"/>
      <c r="RIT141" s="22"/>
      <c r="RIU141" s="22"/>
      <c r="RIV141" s="22"/>
      <c r="RIW141" s="22"/>
      <c r="RIX141" s="22"/>
      <c r="RIY141" s="22"/>
      <c r="RIZ141" s="22"/>
      <c r="RJA141" s="22"/>
      <c r="RJB141" s="22"/>
      <c r="RJC141" s="22"/>
      <c r="RJD141" s="22"/>
      <c r="RJE141" s="22"/>
      <c r="RJF141" s="22"/>
      <c r="RJG141" s="22"/>
      <c r="RJH141" s="22"/>
      <c r="RJI141" s="22"/>
      <c r="RJJ141" s="22"/>
      <c r="RJK141" s="22"/>
      <c r="RJL141" s="22"/>
      <c r="RJM141" s="22"/>
      <c r="RJN141" s="22"/>
      <c r="RJO141" s="22"/>
      <c r="RJP141" s="22"/>
      <c r="RJQ141" s="22"/>
      <c r="RJR141" s="22"/>
      <c r="RJS141" s="22"/>
      <c r="RJT141" s="22"/>
      <c r="RJU141" s="22"/>
      <c r="RJV141" s="22"/>
      <c r="RJW141" s="22"/>
      <c r="RJX141" s="22"/>
      <c r="RJY141" s="22"/>
      <c r="RJZ141" s="22"/>
      <c r="RKA141" s="22"/>
      <c r="RKB141" s="22"/>
      <c r="RKC141" s="22"/>
      <c r="RKD141" s="22"/>
      <c r="RKE141" s="22"/>
      <c r="RKF141" s="22"/>
      <c r="RKG141" s="22"/>
      <c r="RKH141" s="22"/>
      <c r="RKI141" s="22"/>
      <c r="RKJ141" s="22"/>
      <c r="RKK141" s="22"/>
      <c r="RKL141" s="22"/>
      <c r="RKM141" s="22"/>
      <c r="RKN141" s="22"/>
      <c r="RKO141" s="22"/>
      <c r="RKP141" s="22"/>
      <c r="RKQ141" s="22"/>
      <c r="RKR141" s="22"/>
      <c r="RKS141" s="22"/>
      <c r="RKT141" s="22"/>
      <c r="RKU141" s="22"/>
      <c r="RKV141" s="22"/>
      <c r="RKW141" s="22"/>
      <c r="RKX141" s="22"/>
      <c r="RKY141" s="22"/>
      <c r="RKZ141" s="22"/>
      <c r="RLA141" s="22"/>
      <c r="RLB141" s="22"/>
      <c r="RLC141" s="22"/>
      <c r="RLD141" s="22"/>
      <c r="RLE141" s="22"/>
      <c r="RLF141" s="22"/>
      <c r="RLG141" s="22"/>
      <c r="RLH141" s="22"/>
      <c r="RLI141" s="22"/>
      <c r="RLJ141" s="22"/>
      <c r="RLK141" s="22"/>
      <c r="RLL141" s="22"/>
      <c r="RLM141" s="22"/>
      <c r="RLN141" s="22"/>
      <c r="RLO141" s="22"/>
      <c r="RLP141" s="22"/>
      <c r="RLQ141" s="22"/>
      <c r="RLR141" s="22"/>
      <c r="RLS141" s="22"/>
      <c r="RLT141" s="22"/>
      <c r="RLU141" s="22"/>
      <c r="RLV141" s="22"/>
      <c r="RLW141" s="22"/>
      <c r="RLX141" s="22"/>
      <c r="RLY141" s="22"/>
      <c r="RLZ141" s="22"/>
      <c r="RMA141" s="22"/>
      <c r="RMB141" s="22"/>
      <c r="RMC141" s="22"/>
      <c r="RMD141" s="22"/>
      <c r="RME141" s="22"/>
      <c r="RMF141" s="22"/>
      <c r="RMG141" s="22"/>
      <c r="RMH141" s="22"/>
      <c r="RMI141" s="22"/>
      <c r="RMJ141" s="22"/>
      <c r="RMK141" s="22"/>
      <c r="RML141" s="22"/>
      <c r="RMM141" s="22"/>
      <c r="RMN141" s="22"/>
      <c r="RMO141" s="22"/>
      <c r="RMP141" s="22"/>
      <c r="RMQ141" s="22"/>
      <c r="RMR141" s="22"/>
      <c r="RMS141" s="22"/>
      <c r="RMT141" s="22"/>
      <c r="RMU141" s="22"/>
      <c r="RMV141" s="22"/>
      <c r="RMW141" s="22"/>
      <c r="RMX141" s="22"/>
      <c r="RMY141" s="22"/>
      <c r="RMZ141" s="22"/>
      <c r="RNA141" s="22"/>
      <c r="RNB141" s="22"/>
      <c r="RNC141" s="22"/>
      <c r="RND141" s="22"/>
      <c r="RNE141" s="22"/>
      <c r="RNF141" s="22"/>
      <c r="RNG141" s="22"/>
      <c r="RNH141" s="22"/>
      <c r="RNI141" s="22"/>
      <c r="RNJ141" s="22"/>
      <c r="RNK141" s="22"/>
      <c r="RNL141" s="22"/>
      <c r="RNM141" s="22"/>
      <c r="RNN141" s="22"/>
      <c r="RNO141" s="22"/>
      <c r="RNP141" s="22"/>
      <c r="RNQ141" s="22"/>
      <c r="RNR141" s="22"/>
      <c r="RNS141" s="22"/>
      <c r="RNT141" s="22"/>
      <c r="RNU141" s="22"/>
      <c r="RNV141" s="22"/>
      <c r="RNW141" s="22"/>
      <c r="RNX141" s="22"/>
      <c r="RNY141" s="22"/>
      <c r="RNZ141" s="22"/>
      <c r="ROA141" s="22"/>
      <c r="ROB141" s="22"/>
      <c r="ROC141" s="22"/>
      <c r="ROD141" s="22"/>
      <c r="ROE141" s="22"/>
      <c r="ROF141" s="22"/>
      <c r="ROG141" s="22"/>
      <c r="ROH141" s="22"/>
      <c r="ROI141" s="22"/>
      <c r="ROJ141" s="22"/>
      <c r="ROK141" s="22"/>
      <c r="ROL141" s="22"/>
      <c r="ROM141" s="22"/>
      <c r="RON141" s="22"/>
      <c r="ROO141" s="22"/>
      <c r="ROP141" s="22"/>
      <c r="ROQ141" s="22"/>
      <c r="ROR141" s="22"/>
      <c r="ROS141" s="22"/>
      <c r="ROT141" s="22"/>
      <c r="ROU141" s="22"/>
      <c r="ROV141" s="22"/>
      <c r="ROW141" s="22"/>
      <c r="ROX141" s="22"/>
      <c r="ROY141" s="22"/>
      <c r="ROZ141" s="22"/>
      <c r="RPA141" s="22"/>
      <c r="RPB141" s="22"/>
      <c r="RPC141" s="22"/>
      <c r="RPD141" s="22"/>
      <c r="RPE141" s="22"/>
      <c r="RPF141" s="22"/>
      <c r="RPG141" s="22"/>
      <c r="RPH141" s="22"/>
      <c r="RPI141" s="22"/>
      <c r="RPJ141" s="22"/>
      <c r="RPK141" s="22"/>
      <c r="RPL141" s="22"/>
      <c r="RPM141" s="22"/>
      <c r="RPN141" s="22"/>
      <c r="RPO141" s="22"/>
      <c r="RPP141" s="22"/>
      <c r="RPQ141" s="22"/>
      <c r="RPR141" s="22"/>
      <c r="RPS141" s="22"/>
      <c r="RPT141" s="22"/>
      <c r="RPU141" s="22"/>
      <c r="RPV141" s="22"/>
      <c r="RPW141" s="22"/>
      <c r="RPX141" s="22"/>
      <c r="RPY141" s="22"/>
      <c r="RPZ141" s="22"/>
      <c r="RQA141" s="22"/>
      <c r="RQB141" s="22"/>
      <c r="RQC141" s="22"/>
      <c r="RQD141" s="22"/>
      <c r="RQE141" s="22"/>
      <c r="RQF141" s="22"/>
      <c r="RQG141" s="22"/>
      <c r="RQH141" s="22"/>
      <c r="RQI141" s="22"/>
      <c r="RQJ141" s="22"/>
      <c r="RQK141" s="22"/>
      <c r="RQL141" s="22"/>
      <c r="RQM141" s="22"/>
      <c r="RQN141" s="22"/>
      <c r="RQO141" s="22"/>
      <c r="RQP141" s="22"/>
      <c r="RQQ141" s="22"/>
      <c r="RQR141" s="22"/>
      <c r="RQS141" s="22"/>
      <c r="RQT141" s="22"/>
      <c r="RQU141" s="22"/>
      <c r="RQV141" s="22"/>
      <c r="RQW141" s="22"/>
      <c r="RQX141" s="22"/>
      <c r="RQY141" s="22"/>
      <c r="RQZ141" s="22"/>
      <c r="RRA141" s="22"/>
      <c r="RRB141" s="22"/>
      <c r="RRC141" s="22"/>
      <c r="RRD141" s="22"/>
      <c r="RRE141" s="22"/>
      <c r="RRF141" s="22"/>
      <c r="RRG141" s="22"/>
      <c r="RRH141" s="22"/>
      <c r="RRI141" s="22"/>
      <c r="RRJ141" s="22"/>
      <c r="RRK141" s="22"/>
      <c r="RRL141" s="22"/>
      <c r="RRM141" s="22"/>
      <c r="RRN141" s="22"/>
      <c r="RRO141" s="22"/>
      <c r="RRP141" s="22"/>
      <c r="RRQ141" s="22"/>
      <c r="RRR141" s="22"/>
      <c r="RRS141" s="22"/>
      <c r="RRT141" s="22"/>
      <c r="RRU141" s="22"/>
      <c r="RRV141" s="22"/>
      <c r="RRW141" s="22"/>
      <c r="RRX141" s="22"/>
      <c r="RRY141" s="22"/>
      <c r="RRZ141" s="22"/>
      <c r="RSA141" s="22"/>
      <c r="RSB141" s="22"/>
      <c r="RSC141" s="22"/>
      <c r="RSD141" s="22"/>
      <c r="RSE141" s="22"/>
      <c r="RSF141" s="22"/>
      <c r="RSG141" s="22"/>
      <c r="RSH141" s="22"/>
      <c r="RSI141" s="22"/>
      <c r="RSJ141" s="22"/>
      <c r="RSK141" s="22"/>
      <c r="RSL141" s="22"/>
      <c r="RSM141" s="22"/>
      <c r="RSN141" s="22"/>
      <c r="RSO141" s="22"/>
      <c r="RSP141" s="22"/>
      <c r="RSQ141" s="22"/>
      <c r="RSR141" s="22"/>
      <c r="RSS141" s="22"/>
      <c r="RST141" s="22"/>
      <c r="RSU141" s="22"/>
      <c r="RSV141" s="22"/>
      <c r="RSW141" s="22"/>
      <c r="RSX141" s="22"/>
      <c r="RSY141" s="22"/>
      <c r="RSZ141" s="22"/>
      <c r="RTA141" s="22"/>
      <c r="RTB141" s="22"/>
      <c r="RTC141" s="22"/>
      <c r="RTD141" s="22"/>
      <c r="RTE141" s="22"/>
      <c r="RTF141" s="22"/>
      <c r="RTG141" s="22"/>
      <c r="RTH141" s="22"/>
      <c r="RTI141" s="22"/>
      <c r="RTJ141" s="22"/>
      <c r="RTK141" s="22"/>
      <c r="RTL141" s="22"/>
      <c r="RTM141" s="22"/>
      <c r="RTN141" s="22"/>
      <c r="RTO141" s="22"/>
      <c r="RTP141" s="22"/>
      <c r="RTQ141" s="22"/>
      <c r="RTR141" s="22"/>
      <c r="RTS141" s="22"/>
      <c r="RTT141" s="22"/>
      <c r="RTU141" s="22"/>
      <c r="RTV141" s="22"/>
      <c r="RTW141" s="22"/>
      <c r="RTX141" s="22"/>
      <c r="RTY141" s="22"/>
      <c r="RTZ141" s="22"/>
      <c r="RUA141" s="22"/>
      <c r="RUB141" s="22"/>
      <c r="RUC141" s="22"/>
      <c r="RUD141" s="22"/>
      <c r="RUE141" s="22"/>
      <c r="RUF141" s="22"/>
      <c r="RUG141" s="22"/>
      <c r="RUH141" s="22"/>
      <c r="RUI141" s="22"/>
      <c r="RUJ141" s="22"/>
      <c r="RUK141" s="22"/>
      <c r="RUL141" s="22"/>
      <c r="RUM141" s="22"/>
      <c r="RUN141" s="22"/>
      <c r="RUO141" s="22"/>
      <c r="RUP141" s="22"/>
      <c r="RUQ141" s="22"/>
      <c r="RUR141" s="22"/>
      <c r="RUS141" s="22"/>
      <c r="RUT141" s="22"/>
      <c r="RUU141" s="22"/>
      <c r="RUV141" s="22"/>
      <c r="RUW141" s="22"/>
      <c r="RUX141" s="22"/>
      <c r="RUY141" s="22"/>
      <c r="RUZ141" s="22"/>
      <c r="RVA141" s="22"/>
      <c r="RVB141" s="22"/>
      <c r="RVC141" s="22"/>
      <c r="RVD141" s="22"/>
      <c r="RVE141" s="22"/>
      <c r="RVF141" s="22"/>
      <c r="RVG141" s="22"/>
      <c r="RVH141" s="22"/>
      <c r="RVI141" s="22"/>
      <c r="RVJ141" s="22"/>
      <c r="RVK141" s="22"/>
      <c r="RVL141" s="22"/>
      <c r="RVM141" s="22"/>
      <c r="RVN141" s="22"/>
      <c r="RVO141" s="22"/>
      <c r="RVP141" s="22"/>
      <c r="RVQ141" s="22"/>
      <c r="RVR141" s="22"/>
      <c r="RVS141" s="22"/>
      <c r="RVT141" s="22"/>
      <c r="RVU141" s="22"/>
      <c r="RVV141" s="22"/>
      <c r="RVW141" s="22"/>
      <c r="RVX141" s="22"/>
      <c r="RVY141" s="22"/>
      <c r="RVZ141" s="22"/>
      <c r="RWA141" s="22"/>
      <c r="RWB141" s="22"/>
      <c r="RWC141" s="22"/>
      <c r="RWD141" s="22"/>
      <c r="RWE141" s="22"/>
      <c r="RWF141" s="22"/>
      <c r="RWG141" s="22"/>
      <c r="RWH141" s="22"/>
      <c r="RWI141" s="22"/>
      <c r="RWJ141" s="22"/>
      <c r="RWK141" s="22"/>
      <c r="RWL141" s="22"/>
      <c r="RWM141" s="22"/>
      <c r="RWN141" s="22"/>
      <c r="RWO141" s="22"/>
      <c r="RWP141" s="22"/>
      <c r="RWQ141" s="22"/>
      <c r="RWR141" s="22"/>
      <c r="RWS141" s="22"/>
      <c r="RWT141" s="22"/>
      <c r="RWU141" s="22"/>
      <c r="RWV141" s="22"/>
      <c r="RWW141" s="22"/>
      <c r="RWX141" s="22"/>
      <c r="RWY141" s="22"/>
      <c r="RWZ141" s="22"/>
      <c r="RXA141" s="22"/>
      <c r="RXB141" s="22"/>
      <c r="RXC141" s="22"/>
      <c r="RXD141" s="22"/>
      <c r="RXE141" s="22"/>
      <c r="RXF141" s="22"/>
      <c r="RXG141" s="22"/>
      <c r="RXH141" s="22"/>
      <c r="RXI141" s="22"/>
      <c r="RXJ141" s="22"/>
      <c r="RXK141" s="22"/>
      <c r="RXL141" s="22"/>
      <c r="RXM141" s="22"/>
      <c r="RXN141" s="22"/>
      <c r="RXO141" s="22"/>
      <c r="RXP141" s="22"/>
      <c r="RXQ141" s="22"/>
      <c r="RXR141" s="22"/>
      <c r="RXS141" s="22"/>
      <c r="RXT141" s="22"/>
      <c r="RXU141" s="22"/>
      <c r="RXV141" s="22"/>
      <c r="RXW141" s="22"/>
      <c r="RXX141" s="22"/>
      <c r="RXY141" s="22"/>
      <c r="RXZ141" s="22"/>
      <c r="RYA141" s="22"/>
      <c r="RYB141" s="22"/>
      <c r="RYC141" s="22"/>
      <c r="RYD141" s="22"/>
      <c r="RYE141" s="22"/>
      <c r="RYF141" s="22"/>
      <c r="RYG141" s="22"/>
      <c r="RYH141" s="22"/>
      <c r="RYI141" s="22"/>
      <c r="RYJ141" s="22"/>
      <c r="RYK141" s="22"/>
      <c r="RYL141" s="22"/>
      <c r="RYM141" s="22"/>
      <c r="RYN141" s="22"/>
      <c r="RYO141" s="22"/>
      <c r="RYP141" s="22"/>
      <c r="RYQ141" s="22"/>
      <c r="RYR141" s="22"/>
      <c r="RYS141" s="22"/>
      <c r="RYT141" s="22"/>
      <c r="RYU141" s="22"/>
      <c r="RYV141" s="22"/>
      <c r="RYW141" s="22"/>
      <c r="RYX141" s="22"/>
      <c r="RYY141" s="22"/>
      <c r="RYZ141" s="22"/>
      <c r="RZA141" s="22"/>
      <c r="RZB141" s="22"/>
      <c r="RZC141" s="22"/>
      <c r="RZD141" s="22"/>
      <c r="RZE141" s="22"/>
      <c r="RZF141" s="22"/>
      <c r="RZG141" s="22"/>
      <c r="RZH141" s="22"/>
      <c r="RZI141" s="22"/>
      <c r="RZJ141" s="22"/>
      <c r="RZK141" s="22"/>
      <c r="RZL141" s="22"/>
      <c r="RZM141" s="22"/>
      <c r="RZN141" s="22"/>
      <c r="RZO141" s="22"/>
      <c r="RZP141" s="22"/>
      <c r="RZQ141" s="22"/>
      <c r="RZR141" s="22"/>
      <c r="RZS141" s="22"/>
      <c r="RZT141" s="22"/>
      <c r="RZU141" s="22"/>
      <c r="RZV141" s="22"/>
      <c r="RZW141" s="22"/>
      <c r="RZX141" s="22"/>
      <c r="RZY141" s="22"/>
      <c r="RZZ141" s="22"/>
      <c r="SAA141" s="22"/>
      <c r="SAB141" s="22"/>
      <c r="SAC141" s="22"/>
      <c r="SAD141" s="22"/>
      <c r="SAE141" s="22"/>
      <c r="SAF141" s="22"/>
      <c r="SAG141" s="22"/>
      <c r="SAH141" s="22"/>
      <c r="SAI141" s="22"/>
      <c r="SAJ141" s="22"/>
      <c r="SAK141" s="22"/>
      <c r="SAL141" s="22"/>
      <c r="SAM141" s="22"/>
      <c r="SAN141" s="22"/>
      <c r="SAO141" s="22"/>
      <c r="SAP141" s="22"/>
      <c r="SAQ141" s="22"/>
      <c r="SAR141" s="22"/>
      <c r="SAS141" s="22"/>
      <c r="SAT141" s="22"/>
      <c r="SAU141" s="22"/>
      <c r="SAV141" s="22"/>
      <c r="SAW141" s="22"/>
      <c r="SAX141" s="22"/>
      <c r="SAY141" s="22"/>
      <c r="SAZ141" s="22"/>
      <c r="SBA141" s="22"/>
      <c r="SBB141" s="22"/>
      <c r="SBC141" s="22"/>
      <c r="SBD141" s="22"/>
      <c r="SBE141" s="22"/>
      <c r="SBF141" s="22"/>
      <c r="SBG141" s="22"/>
      <c r="SBH141" s="22"/>
      <c r="SBI141" s="22"/>
      <c r="SBJ141" s="22"/>
      <c r="SBK141" s="22"/>
      <c r="SBL141" s="22"/>
      <c r="SBM141" s="22"/>
      <c r="SBN141" s="22"/>
      <c r="SBO141" s="22"/>
      <c r="SBP141" s="22"/>
      <c r="SBQ141" s="22"/>
      <c r="SBR141" s="22"/>
      <c r="SBS141" s="22"/>
      <c r="SBT141" s="22"/>
      <c r="SBU141" s="22"/>
      <c r="SBV141" s="22"/>
      <c r="SBW141" s="22"/>
      <c r="SBX141" s="22"/>
      <c r="SBY141" s="22"/>
      <c r="SBZ141" s="22"/>
      <c r="SCA141" s="22"/>
      <c r="SCB141" s="22"/>
      <c r="SCC141" s="22"/>
      <c r="SCD141" s="22"/>
      <c r="SCE141" s="22"/>
      <c r="SCF141" s="22"/>
      <c r="SCG141" s="22"/>
      <c r="SCH141" s="22"/>
      <c r="SCI141" s="22"/>
      <c r="SCJ141" s="22"/>
      <c r="SCK141" s="22"/>
      <c r="SCL141" s="22"/>
      <c r="SCM141" s="22"/>
      <c r="SCN141" s="22"/>
      <c r="SCO141" s="22"/>
      <c r="SCP141" s="22"/>
      <c r="SCQ141" s="22"/>
      <c r="SCR141" s="22"/>
      <c r="SCS141" s="22"/>
      <c r="SCT141" s="22"/>
      <c r="SCU141" s="22"/>
      <c r="SCV141" s="22"/>
      <c r="SCW141" s="22"/>
      <c r="SCX141" s="22"/>
      <c r="SCY141" s="22"/>
      <c r="SCZ141" s="22"/>
      <c r="SDA141" s="22"/>
      <c r="SDB141" s="22"/>
      <c r="SDC141" s="22"/>
      <c r="SDD141" s="22"/>
      <c r="SDE141" s="22"/>
      <c r="SDF141" s="22"/>
      <c r="SDG141" s="22"/>
      <c r="SDH141" s="22"/>
      <c r="SDI141" s="22"/>
      <c r="SDJ141" s="22"/>
      <c r="SDK141" s="22"/>
      <c r="SDL141" s="22"/>
      <c r="SDM141" s="22"/>
      <c r="SDN141" s="22"/>
      <c r="SDO141" s="22"/>
      <c r="SDP141" s="22"/>
      <c r="SDQ141" s="22"/>
      <c r="SDR141" s="22"/>
      <c r="SDS141" s="22"/>
      <c r="SDT141" s="22"/>
      <c r="SDU141" s="22"/>
      <c r="SDV141" s="22"/>
      <c r="SDW141" s="22"/>
      <c r="SDX141" s="22"/>
      <c r="SDY141" s="22"/>
      <c r="SDZ141" s="22"/>
      <c r="SEA141" s="22"/>
      <c r="SEB141" s="22"/>
      <c r="SEC141" s="22"/>
      <c r="SED141" s="22"/>
      <c r="SEE141" s="22"/>
      <c r="SEF141" s="22"/>
      <c r="SEG141" s="22"/>
      <c r="SEH141" s="22"/>
      <c r="SEI141" s="22"/>
      <c r="SEJ141" s="22"/>
      <c r="SEK141" s="22"/>
      <c r="SEL141" s="22"/>
      <c r="SEM141" s="22"/>
      <c r="SEN141" s="22"/>
      <c r="SEO141" s="22"/>
      <c r="SEP141" s="22"/>
      <c r="SEQ141" s="22"/>
      <c r="SER141" s="22"/>
      <c r="SES141" s="22"/>
      <c r="SET141" s="22"/>
      <c r="SEU141" s="22"/>
      <c r="SEV141" s="22"/>
      <c r="SEW141" s="22"/>
      <c r="SEX141" s="22"/>
      <c r="SEY141" s="22"/>
      <c r="SEZ141" s="22"/>
      <c r="SFA141" s="22"/>
      <c r="SFB141" s="22"/>
      <c r="SFC141" s="22"/>
      <c r="SFD141" s="22"/>
      <c r="SFE141" s="22"/>
      <c r="SFF141" s="22"/>
      <c r="SFG141" s="22"/>
      <c r="SFH141" s="22"/>
      <c r="SFI141" s="22"/>
      <c r="SFJ141" s="22"/>
      <c r="SFK141" s="22"/>
      <c r="SFL141" s="22"/>
      <c r="SFM141" s="22"/>
      <c r="SFN141" s="22"/>
      <c r="SFO141" s="22"/>
      <c r="SFP141" s="22"/>
      <c r="SFQ141" s="22"/>
      <c r="SFR141" s="22"/>
      <c r="SFS141" s="22"/>
      <c r="SFT141" s="22"/>
      <c r="SFU141" s="22"/>
      <c r="SFV141" s="22"/>
      <c r="SFW141" s="22"/>
      <c r="SFX141" s="22"/>
      <c r="SFY141" s="22"/>
      <c r="SFZ141" s="22"/>
      <c r="SGA141" s="22"/>
      <c r="SGB141" s="22"/>
      <c r="SGC141" s="22"/>
      <c r="SGD141" s="22"/>
      <c r="SGE141" s="22"/>
      <c r="SGF141" s="22"/>
      <c r="SGG141" s="22"/>
      <c r="SGH141" s="22"/>
      <c r="SGI141" s="22"/>
      <c r="SGJ141" s="22"/>
      <c r="SGK141" s="22"/>
      <c r="SGL141" s="22"/>
      <c r="SGM141" s="22"/>
      <c r="SGN141" s="22"/>
      <c r="SGO141" s="22"/>
      <c r="SGP141" s="22"/>
      <c r="SGQ141" s="22"/>
      <c r="SGR141" s="22"/>
      <c r="SGS141" s="22"/>
      <c r="SGT141" s="22"/>
      <c r="SGU141" s="22"/>
      <c r="SGV141" s="22"/>
      <c r="SGW141" s="22"/>
      <c r="SGX141" s="22"/>
      <c r="SGY141" s="22"/>
      <c r="SGZ141" s="22"/>
      <c r="SHA141" s="22"/>
      <c r="SHB141" s="22"/>
      <c r="SHC141" s="22"/>
      <c r="SHD141" s="22"/>
      <c r="SHE141" s="22"/>
      <c r="SHF141" s="22"/>
      <c r="SHG141" s="22"/>
      <c r="SHH141" s="22"/>
      <c r="SHI141" s="22"/>
      <c r="SHJ141" s="22"/>
      <c r="SHK141" s="22"/>
      <c r="SHL141" s="22"/>
      <c r="SHM141" s="22"/>
      <c r="SHN141" s="22"/>
      <c r="SHO141" s="22"/>
      <c r="SHP141" s="22"/>
      <c r="SHQ141" s="22"/>
      <c r="SHR141" s="22"/>
      <c r="SHS141" s="22"/>
      <c r="SHT141" s="22"/>
      <c r="SHU141" s="22"/>
      <c r="SHV141" s="22"/>
      <c r="SHW141" s="22"/>
      <c r="SHX141" s="22"/>
      <c r="SHY141" s="22"/>
      <c r="SHZ141" s="22"/>
      <c r="SIA141" s="22"/>
      <c r="SIB141" s="22"/>
      <c r="SIC141" s="22"/>
      <c r="SID141" s="22"/>
      <c r="SIE141" s="22"/>
      <c r="SIF141" s="22"/>
      <c r="SIG141" s="22"/>
      <c r="SIH141" s="22"/>
      <c r="SII141" s="22"/>
      <c r="SIJ141" s="22"/>
      <c r="SIK141" s="22"/>
      <c r="SIL141" s="22"/>
      <c r="SIM141" s="22"/>
      <c r="SIN141" s="22"/>
      <c r="SIO141" s="22"/>
      <c r="SIP141" s="22"/>
      <c r="SIQ141" s="22"/>
      <c r="SIR141" s="22"/>
      <c r="SIS141" s="22"/>
      <c r="SIT141" s="22"/>
      <c r="SIU141" s="22"/>
      <c r="SIV141" s="22"/>
      <c r="SIW141" s="22"/>
      <c r="SIX141" s="22"/>
      <c r="SIY141" s="22"/>
      <c r="SIZ141" s="22"/>
      <c r="SJA141" s="22"/>
      <c r="SJB141" s="22"/>
      <c r="SJC141" s="22"/>
      <c r="SJD141" s="22"/>
      <c r="SJE141" s="22"/>
      <c r="SJF141" s="22"/>
      <c r="SJG141" s="22"/>
      <c r="SJH141" s="22"/>
      <c r="SJI141" s="22"/>
      <c r="SJJ141" s="22"/>
      <c r="SJK141" s="22"/>
      <c r="SJL141" s="22"/>
      <c r="SJM141" s="22"/>
      <c r="SJN141" s="22"/>
      <c r="SJO141" s="22"/>
      <c r="SJP141" s="22"/>
      <c r="SJQ141" s="22"/>
      <c r="SJR141" s="22"/>
      <c r="SJS141" s="22"/>
      <c r="SJT141" s="22"/>
      <c r="SJU141" s="22"/>
      <c r="SJV141" s="22"/>
      <c r="SJW141" s="22"/>
      <c r="SJX141" s="22"/>
      <c r="SJY141" s="22"/>
      <c r="SJZ141" s="22"/>
      <c r="SKA141" s="22"/>
      <c r="SKB141" s="22"/>
      <c r="SKC141" s="22"/>
      <c r="SKD141" s="22"/>
      <c r="SKE141" s="22"/>
      <c r="SKF141" s="22"/>
      <c r="SKG141" s="22"/>
      <c r="SKH141" s="22"/>
      <c r="SKI141" s="22"/>
      <c r="SKJ141" s="22"/>
      <c r="SKK141" s="22"/>
      <c r="SKL141" s="22"/>
      <c r="SKM141" s="22"/>
      <c r="SKN141" s="22"/>
      <c r="SKO141" s="22"/>
      <c r="SKP141" s="22"/>
      <c r="SKQ141" s="22"/>
      <c r="SKR141" s="22"/>
      <c r="SKS141" s="22"/>
      <c r="SKT141" s="22"/>
      <c r="SKU141" s="22"/>
      <c r="SKV141" s="22"/>
      <c r="SKW141" s="22"/>
      <c r="SKX141" s="22"/>
      <c r="SKY141" s="22"/>
      <c r="SKZ141" s="22"/>
      <c r="SLA141" s="22"/>
      <c r="SLB141" s="22"/>
      <c r="SLC141" s="22"/>
      <c r="SLD141" s="22"/>
      <c r="SLE141" s="22"/>
      <c r="SLF141" s="22"/>
      <c r="SLG141" s="22"/>
      <c r="SLH141" s="22"/>
      <c r="SLI141" s="22"/>
      <c r="SLJ141" s="22"/>
      <c r="SLK141" s="22"/>
      <c r="SLL141" s="22"/>
      <c r="SLM141" s="22"/>
      <c r="SLN141" s="22"/>
      <c r="SLO141" s="22"/>
      <c r="SLP141" s="22"/>
      <c r="SLQ141" s="22"/>
      <c r="SLR141" s="22"/>
      <c r="SLS141" s="22"/>
      <c r="SLT141" s="22"/>
      <c r="SLU141" s="22"/>
      <c r="SLV141" s="22"/>
      <c r="SLW141" s="22"/>
      <c r="SLX141" s="22"/>
      <c r="SLY141" s="22"/>
      <c r="SLZ141" s="22"/>
      <c r="SMA141" s="22"/>
      <c r="SMB141" s="22"/>
      <c r="SMC141" s="22"/>
      <c r="SMD141" s="22"/>
      <c r="SME141" s="22"/>
      <c r="SMF141" s="22"/>
      <c r="SMG141" s="22"/>
      <c r="SMH141" s="22"/>
      <c r="SMI141" s="22"/>
      <c r="SMJ141" s="22"/>
      <c r="SMK141" s="22"/>
      <c r="SML141" s="22"/>
      <c r="SMM141" s="22"/>
      <c r="SMN141" s="22"/>
      <c r="SMO141" s="22"/>
      <c r="SMP141" s="22"/>
      <c r="SMQ141" s="22"/>
      <c r="SMR141" s="22"/>
      <c r="SMS141" s="22"/>
      <c r="SMT141" s="22"/>
      <c r="SMU141" s="22"/>
      <c r="SMV141" s="22"/>
      <c r="SMW141" s="22"/>
      <c r="SMX141" s="22"/>
      <c r="SMY141" s="22"/>
      <c r="SMZ141" s="22"/>
      <c r="SNA141" s="22"/>
      <c r="SNB141" s="22"/>
      <c r="SNC141" s="22"/>
      <c r="SND141" s="22"/>
      <c r="SNE141" s="22"/>
      <c r="SNF141" s="22"/>
      <c r="SNG141" s="22"/>
      <c r="SNH141" s="22"/>
      <c r="SNI141" s="22"/>
      <c r="SNJ141" s="22"/>
      <c r="SNK141" s="22"/>
      <c r="SNL141" s="22"/>
      <c r="SNM141" s="22"/>
      <c r="SNN141" s="22"/>
      <c r="SNO141" s="22"/>
      <c r="SNP141" s="22"/>
      <c r="SNQ141" s="22"/>
      <c r="SNR141" s="22"/>
      <c r="SNS141" s="22"/>
      <c r="SNT141" s="22"/>
      <c r="SNU141" s="22"/>
      <c r="SNV141" s="22"/>
      <c r="SNW141" s="22"/>
      <c r="SNX141" s="22"/>
      <c r="SNY141" s="22"/>
      <c r="SNZ141" s="22"/>
      <c r="SOA141" s="22"/>
      <c r="SOB141" s="22"/>
      <c r="SOC141" s="22"/>
      <c r="SOD141" s="22"/>
      <c r="SOE141" s="22"/>
      <c r="SOF141" s="22"/>
      <c r="SOG141" s="22"/>
      <c r="SOH141" s="22"/>
      <c r="SOI141" s="22"/>
      <c r="SOJ141" s="22"/>
      <c r="SOK141" s="22"/>
      <c r="SOL141" s="22"/>
      <c r="SOM141" s="22"/>
      <c r="SON141" s="22"/>
      <c r="SOO141" s="22"/>
      <c r="SOP141" s="22"/>
      <c r="SOQ141" s="22"/>
      <c r="SOR141" s="22"/>
      <c r="SOS141" s="22"/>
      <c r="SOT141" s="22"/>
      <c r="SOU141" s="22"/>
      <c r="SOV141" s="22"/>
      <c r="SOW141" s="22"/>
      <c r="SOX141" s="22"/>
      <c r="SOY141" s="22"/>
      <c r="SOZ141" s="22"/>
      <c r="SPA141" s="22"/>
      <c r="SPB141" s="22"/>
      <c r="SPC141" s="22"/>
      <c r="SPD141" s="22"/>
      <c r="SPE141" s="22"/>
      <c r="SPF141" s="22"/>
      <c r="SPG141" s="22"/>
      <c r="SPH141" s="22"/>
      <c r="SPI141" s="22"/>
      <c r="SPJ141" s="22"/>
      <c r="SPK141" s="22"/>
      <c r="SPL141" s="22"/>
      <c r="SPM141" s="22"/>
      <c r="SPN141" s="22"/>
      <c r="SPO141" s="22"/>
      <c r="SPP141" s="22"/>
      <c r="SPQ141" s="22"/>
      <c r="SPR141" s="22"/>
      <c r="SPS141" s="22"/>
      <c r="SPT141" s="22"/>
      <c r="SPU141" s="22"/>
      <c r="SPV141" s="22"/>
      <c r="SPW141" s="22"/>
      <c r="SPX141" s="22"/>
      <c r="SPY141" s="22"/>
      <c r="SPZ141" s="22"/>
      <c r="SQA141" s="22"/>
      <c r="SQB141" s="22"/>
      <c r="SQC141" s="22"/>
      <c r="SQD141" s="22"/>
      <c r="SQE141" s="22"/>
      <c r="SQF141" s="22"/>
      <c r="SQG141" s="22"/>
      <c r="SQH141" s="22"/>
      <c r="SQI141" s="22"/>
      <c r="SQJ141" s="22"/>
      <c r="SQK141" s="22"/>
      <c r="SQL141" s="22"/>
      <c r="SQM141" s="22"/>
      <c r="SQN141" s="22"/>
      <c r="SQO141" s="22"/>
      <c r="SQP141" s="22"/>
      <c r="SQQ141" s="22"/>
      <c r="SQR141" s="22"/>
      <c r="SQS141" s="22"/>
      <c r="SQT141" s="22"/>
      <c r="SQU141" s="22"/>
      <c r="SQV141" s="22"/>
      <c r="SQW141" s="22"/>
      <c r="SQX141" s="22"/>
      <c r="SQY141" s="22"/>
      <c r="SQZ141" s="22"/>
      <c r="SRA141" s="22"/>
      <c r="SRB141" s="22"/>
      <c r="SRC141" s="22"/>
      <c r="SRD141" s="22"/>
      <c r="SRE141" s="22"/>
      <c r="SRF141" s="22"/>
      <c r="SRG141" s="22"/>
      <c r="SRH141" s="22"/>
      <c r="SRI141" s="22"/>
      <c r="SRJ141" s="22"/>
      <c r="SRK141" s="22"/>
      <c r="SRL141" s="22"/>
      <c r="SRM141" s="22"/>
      <c r="SRN141" s="22"/>
      <c r="SRO141" s="22"/>
      <c r="SRP141" s="22"/>
      <c r="SRQ141" s="22"/>
      <c r="SRR141" s="22"/>
      <c r="SRS141" s="22"/>
      <c r="SRT141" s="22"/>
      <c r="SRU141" s="22"/>
      <c r="SRV141" s="22"/>
      <c r="SRW141" s="22"/>
      <c r="SRX141" s="22"/>
      <c r="SRY141" s="22"/>
      <c r="SRZ141" s="22"/>
      <c r="SSA141" s="22"/>
      <c r="SSB141" s="22"/>
      <c r="SSC141" s="22"/>
      <c r="SSD141" s="22"/>
      <c r="SSE141" s="22"/>
      <c r="SSF141" s="22"/>
      <c r="SSG141" s="22"/>
      <c r="SSH141" s="22"/>
      <c r="SSI141" s="22"/>
      <c r="SSJ141" s="22"/>
      <c r="SSK141" s="22"/>
      <c r="SSL141" s="22"/>
      <c r="SSM141" s="22"/>
      <c r="SSN141" s="22"/>
      <c r="SSO141" s="22"/>
      <c r="SSP141" s="22"/>
      <c r="SSQ141" s="22"/>
      <c r="SSR141" s="22"/>
      <c r="SSS141" s="22"/>
      <c r="SST141" s="22"/>
      <c r="SSU141" s="22"/>
      <c r="SSV141" s="22"/>
      <c r="SSW141" s="22"/>
      <c r="SSX141" s="22"/>
      <c r="SSY141" s="22"/>
      <c r="SSZ141" s="22"/>
      <c r="STA141" s="22"/>
      <c r="STB141" s="22"/>
      <c r="STC141" s="22"/>
      <c r="STD141" s="22"/>
      <c r="STE141" s="22"/>
      <c r="STF141" s="22"/>
      <c r="STG141" s="22"/>
      <c r="STH141" s="22"/>
      <c r="STI141" s="22"/>
      <c r="STJ141" s="22"/>
      <c r="STK141" s="22"/>
      <c r="STL141" s="22"/>
      <c r="STM141" s="22"/>
      <c r="STN141" s="22"/>
      <c r="STO141" s="22"/>
      <c r="STP141" s="22"/>
      <c r="STQ141" s="22"/>
      <c r="STR141" s="22"/>
      <c r="STS141" s="22"/>
      <c r="STT141" s="22"/>
      <c r="STU141" s="22"/>
      <c r="STV141" s="22"/>
      <c r="STW141" s="22"/>
      <c r="STX141" s="22"/>
      <c r="STY141" s="22"/>
      <c r="STZ141" s="22"/>
      <c r="SUA141" s="22"/>
      <c r="SUB141" s="22"/>
      <c r="SUC141" s="22"/>
      <c r="SUD141" s="22"/>
      <c r="SUE141" s="22"/>
      <c r="SUF141" s="22"/>
      <c r="SUG141" s="22"/>
      <c r="SUH141" s="22"/>
      <c r="SUI141" s="22"/>
      <c r="SUJ141" s="22"/>
      <c r="SUK141" s="22"/>
      <c r="SUL141" s="22"/>
      <c r="SUM141" s="22"/>
      <c r="SUN141" s="22"/>
      <c r="SUO141" s="22"/>
      <c r="SUP141" s="22"/>
      <c r="SUQ141" s="22"/>
      <c r="SUR141" s="22"/>
      <c r="SUS141" s="22"/>
      <c r="SUT141" s="22"/>
      <c r="SUU141" s="22"/>
      <c r="SUV141" s="22"/>
      <c r="SUW141" s="22"/>
      <c r="SUX141" s="22"/>
      <c r="SUY141" s="22"/>
      <c r="SUZ141" s="22"/>
      <c r="SVA141" s="22"/>
      <c r="SVB141" s="22"/>
      <c r="SVC141" s="22"/>
      <c r="SVD141" s="22"/>
      <c r="SVE141" s="22"/>
      <c r="SVF141" s="22"/>
      <c r="SVG141" s="22"/>
      <c r="SVH141" s="22"/>
      <c r="SVI141" s="22"/>
      <c r="SVJ141" s="22"/>
      <c r="SVK141" s="22"/>
      <c r="SVL141" s="22"/>
      <c r="SVM141" s="22"/>
      <c r="SVN141" s="22"/>
      <c r="SVO141" s="22"/>
      <c r="SVP141" s="22"/>
      <c r="SVQ141" s="22"/>
      <c r="SVR141" s="22"/>
      <c r="SVS141" s="22"/>
      <c r="SVT141" s="22"/>
      <c r="SVU141" s="22"/>
      <c r="SVV141" s="22"/>
      <c r="SVW141" s="22"/>
      <c r="SVX141" s="22"/>
      <c r="SVY141" s="22"/>
      <c r="SVZ141" s="22"/>
      <c r="SWA141" s="22"/>
      <c r="SWB141" s="22"/>
      <c r="SWC141" s="22"/>
      <c r="SWD141" s="22"/>
      <c r="SWE141" s="22"/>
      <c r="SWF141" s="22"/>
      <c r="SWG141" s="22"/>
      <c r="SWH141" s="22"/>
      <c r="SWI141" s="22"/>
      <c r="SWJ141" s="22"/>
      <c r="SWK141" s="22"/>
      <c r="SWL141" s="22"/>
      <c r="SWM141" s="22"/>
      <c r="SWN141" s="22"/>
      <c r="SWO141" s="22"/>
      <c r="SWP141" s="22"/>
      <c r="SWQ141" s="22"/>
      <c r="SWR141" s="22"/>
      <c r="SWS141" s="22"/>
      <c r="SWT141" s="22"/>
      <c r="SWU141" s="22"/>
      <c r="SWV141" s="22"/>
      <c r="SWW141" s="22"/>
      <c r="SWX141" s="22"/>
      <c r="SWY141" s="22"/>
      <c r="SWZ141" s="22"/>
      <c r="SXA141" s="22"/>
      <c r="SXB141" s="22"/>
      <c r="SXC141" s="22"/>
      <c r="SXD141" s="22"/>
      <c r="SXE141" s="22"/>
      <c r="SXF141" s="22"/>
      <c r="SXG141" s="22"/>
      <c r="SXH141" s="22"/>
      <c r="SXI141" s="22"/>
      <c r="SXJ141" s="22"/>
      <c r="SXK141" s="22"/>
      <c r="SXL141" s="22"/>
      <c r="SXM141" s="22"/>
      <c r="SXN141" s="22"/>
      <c r="SXO141" s="22"/>
      <c r="SXP141" s="22"/>
      <c r="SXQ141" s="22"/>
      <c r="SXR141" s="22"/>
      <c r="SXS141" s="22"/>
      <c r="SXT141" s="22"/>
      <c r="SXU141" s="22"/>
      <c r="SXV141" s="22"/>
      <c r="SXW141" s="22"/>
      <c r="SXX141" s="22"/>
      <c r="SXY141" s="22"/>
      <c r="SXZ141" s="22"/>
      <c r="SYA141" s="22"/>
      <c r="SYB141" s="22"/>
      <c r="SYC141" s="22"/>
      <c r="SYD141" s="22"/>
      <c r="SYE141" s="22"/>
      <c r="SYF141" s="22"/>
      <c r="SYG141" s="22"/>
      <c r="SYH141" s="22"/>
      <c r="SYI141" s="22"/>
      <c r="SYJ141" s="22"/>
      <c r="SYK141" s="22"/>
      <c r="SYL141" s="22"/>
      <c r="SYM141" s="22"/>
      <c r="SYN141" s="22"/>
      <c r="SYO141" s="22"/>
      <c r="SYP141" s="22"/>
      <c r="SYQ141" s="22"/>
      <c r="SYR141" s="22"/>
      <c r="SYS141" s="22"/>
      <c r="SYT141" s="22"/>
      <c r="SYU141" s="22"/>
      <c r="SYV141" s="22"/>
      <c r="SYW141" s="22"/>
      <c r="SYX141" s="22"/>
      <c r="SYY141" s="22"/>
      <c r="SYZ141" s="22"/>
      <c r="SZA141" s="22"/>
      <c r="SZB141" s="22"/>
      <c r="SZC141" s="22"/>
      <c r="SZD141" s="22"/>
      <c r="SZE141" s="22"/>
      <c r="SZF141" s="22"/>
      <c r="SZG141" s="22"/>
      <c r="SZH141" s="22"/>
      <c r="SZI141" s="22"/>
      <c r="SZJ141" s="22"/>
      <c r="SZK141" s="22"/>
      <c r="SZL141" s="22"/>
      <c r="SZM141" s="22"/>
      <c r="SZN141" s="22"/>
      <c r="SZO141" s="22"/>
      <c r="SZP141" s="22"/>
      <c r="SZQ141" s="22"/>
      <c r="SZR141" s="22"/>
      <c r="SZS141" s="22"/>
      <c r="SZT141" s="22"/>
      <c r="SZU141" s="22"/>
      <c r="SZV141" s="22"/>
      <c r="SZW141" s="22"/>
      <c r="SZX141" s="22"/>
      <c r="SZY141" s="22"/>
      <c r="SZZ141" s="22"/>
      <c r="TAA141" s="22"/>
      <c r="TAB141" s="22"/>
      <c r="TAC141" s="22"/>
      <c r="TAD141" s="22"/>
      <c r="TAE141" s="22"/>
      <c r="TAF141" s="22"/>
      <c r="TAG141" s="22"/>
      <c r="TAH141" s="22"/>
      <c r="TAI141" s="22"/>
      <c r="TAJ141" s="22"/>
      <c r="TAK141" s="22"/>
      <c r="TAL141" s="22"/>
      <c r="TAM141" s="22"/>
      <c r="TAN141" s="22"/>
      <c r="TAO141" s="22"/>
      <c r="TAP141" s="22"/>
      <c r="TAQ141" s="22"/>
      <c r="TAR141" s="22"/>
      <c r="TAS141" s="22"/>
      <c r="TAT141" s="22"/>
      <c r="TAU141" s="22"/>
      <c r="TAV141" s="22"/>
      <c r="TAW141" s="22"/>
      <c r="TAX141" s="22"/>
      <c r="TAY141" s="22"/>
      <c r="TAZ141" s="22"/>
      <c r="TBA141" s="22"/>
      <c r="TBB141" s="22"/>
      <c r="TBC141" s="22"/>
      <c r="TBD141" s="22"/>
      <c r="TBE141" s="22"/>
      <c r="TBF141" s="22"/>
      <c r="TBG141" s="22"/>
      <c r="TBH141" s="22"/>
      <c r="TBI141" s="22"/>
      <c r="TBJ141" s="22"/>
      <c r="TBK141" s="22"/>
      <c r="TBL141" s="22"/>
      <c r="TBM141" s="22"/>
      <c r="TBN141" s="22"/>
      <c r="TBO141" s="22"/>
      <c r="TBP141" s="22"/>
      <c r="TBQ141" s="22"/>
      <c r="TBR141" s="22"/>
      <c r="TBS141" s="22"/>
      <c r="TBT141" s="22"/>
      <c r="TBU141" s="22"/>
      <c r="TBV141" s="22"/>
      <c r="TBW141" s="22"/>
      <c r="TBX141" s="22"/>
      <c r="TBY141" s="22"/>
      <c r="TBZ141" s="22"/>
      <c r="TCA141" s="22"/>
      <c r="TCB141" s="22"/>
      <c r="TCC141" s="22"/>
      <c r="TCD141" s="22"/>
      <c r="TCE141" s="22"/>
      <c r="TCF141" s="22"/>
      <c r="TCG141" s="22"/>
      <c r="TCH141" s="22"/>
      <c r="TCI141" s="22"/>
      <c r="TCJ141" s="22"/>
      <c r="TCK141" s="22"/>
      <c r="TCL141" s="22"/>
      <c r="TCM141" s="22"/>
      <c r="TCN141" s="22"/>
      <c r="TCO141" s="22"/>
      <c r="TCP141" s="22"/>
      <c r="TCQ141" s="22"/>
      <c r="TCR141" s="22"/>
      <c r="TCS141" s="22"/>
      <c r="TCT141" s="22"/>
      <c r="TCU141" s="22"/>
      <c r="TCV141" s="22"/>
      <c r="TCW141" s="22"/>
      <c r="TCX141" s="22"/>
      <c r="TCY141" s="22"/>
      <c r="TCZ141" s="22"/>
      <c r="TDA141" s="22"/>
      <c r="TDB141" s="22"/>
      <c r="TDC141" s="22"/>
      <c r="TDD141" s="22"/>
      <c r="TDE141" s="22"/>
      <c r="TDF141" s="22"/>
      <c r="TDG141" s="22"/>
      <c r="TDH141" s="22"/>
      <c r="TDI141" s="22"/>
      <c r="TDJ141" s="22"/>
      <c r="TDK141" s="22"/>
      <c r="TDL141" s="22"/>
      <c r="TDM141" s="22"/>
      <c r="TDN141" s="22"/>
      <c r="TDO141" s="22"/>
      <c r="TDP141" s="22"/>
      <c r="TDQ141" s="22"/>
      <c r="TDR141" s="22"/>
      <c r="TDS141" s="22"/>
      <c r="TDT141" s="22"/>
      <c r="TDU141" s="22"/>
      <c r="TDV141" s="22"/>
      <c r="TDW141" s="22"/>
      <c r="TDX141" s="22"/>
      <c r="TDY141" s="22"/>
      <c r="TDZ141" s="22"/>
      <c r="TEA141" s="22"/>
      <c r="TEB141" s="22"/>
      <c r="TEC141" s="22"/>
      <c r="TED141" s="22"/>
      <c r="TEE141" s="22"/>
      <c r="TEF141" s="22"/>
      <c r="TEG141" s="22"/>
      <c r="TEH141" s="22"/>
      <c r="TEI141" s="22"/>
      <c r="TEJ141" s="22"/>
      <c r="TEK141" s="22"/>
      <c r="TEL141" s="22"/>
      <c r="TEM141" s="22"/>
      <c r="TEN141" s="22"/>
      <c r="TEO141" s="22"/>
      <c r="TEP141" s="22"/>
      <c r="TEQ141" s="22"/>
      <c r="TER141" s="22"/>
      <c r="TES141" s="22"/>
      <c r="TET141" s="22"/>
      <c r="TEU141" s="22"/>
      <c r="TEV141" s="22"/>
      <c r="TEW141" s="22"/>
      <c r="TEX141" s="22"/>
      <c r="TEY141" s="22"/>
      <c r="TEZ141" s="22"/>
      <c r="TFA141" s="22"/>
      <c r="TFB141" s="22"/>
      <c r="TFC141" s="22"/>
      <c r="TFD141" s="22"/>
      <c r="TFE141" s="22"/>
      <c r="TFF141" s="22"/>
      <c r="TFG141" s="22"/>
      <c r="TFH141" s="22"/>
      <c r="TFI141" s="22"/>
      <c r="TFJ141" s="22"/>
      <c r="TFK141" s="22"/>
      <c r="TFL141" s="22"/>
      <c r="TFM141" s="22"/>
      <c r="TFN141" s="22"/>
      <c r="TFO141" s="22"/>
      <c r="TFP141" s="22"/>
      <c r="TFQ141" s="22"/>
      <c r="TFR141" s="22"/>
      <c r="TFS141" s="22"/>
      <c r="TFT141" s="22"/>
      <c r="TFU141" s="22"/>
      <c r="TFV141" s="22"/>
      <c r="TFW141" s="22"/>
      <c r="TFX141" s="22"/>
      <c r="TFY141" s="22"/>
      <c r="TFZ141" s="22"/>
      <c r="TGA141" s="22"/>
      <c r="TGB141" s="22"/>
      <c r="TGC141" s="22"/>
      <c r="TGD141" s="22"/>
      <c r="TGE141" s="22"/>
      <c r="TGF141" s="22"/>
      <c r="TGG141" s="22"/>
      <c r="TGH141" s="22"/>
      <c r="TGI141" s="22"/>
      <c r="TGJ141" s="22"/>
      <c r="TGK141" s="22"/>
      <c r="TGL141" s="22"/>
      <c r="TGM141" s="22"/>
      <c r="TGN141" s="22"/>
      <c r="TGO141" s="22"/>
      <c r="TGP141" s="22"/>
      <c r="TGQ141" s="22"/>
      <c r="TGR141" s="22"/>
      <c r="TGS141" s="22"/>
      <c r="TGT141" s="22"/>
      <c r="TGU141" s="22"/>
      <c r="TGV141" s="22"/>
      <c r="TGW141" s="22"/>
      <c r="TGX141" s="22"/>
      <c r="TGY141" s="22"/>
      <c r="TGZ141" s="22"/>
      <c r="THA141" s="22"/>
      <c r="THB141" s="22"/>
      <c r="THC141" s="22"/>
      <c r="THD141" s="22"/>
      <c r="THE141" s="22"/>
      <c r="THF141" s="22"/>
      <c r="THG141" s="22"/>
      <c r="THH141" s="22"/>
      <c r="THI141" s="22"/>
      <c r="THJ141" s="22"/>
      <c r="THK141" s="22"/>
      <c r="THL141" s="22"/>
      <c r="THM141" s="22"/>
      <c r="THN141" s="22"/>
      <c r="THO141" s="22"/>
      <c r="THP141" s="22"/>
      <c r="THQ141" s="22"/>
      <c r="THR141" s="22"/>
      <c r="THS141" s="22"/>
      <c r="THT141" s="22"/>
      <c r="THU141" s="22"/>
      <c r="THV141" s="22"/>
      <c r="THW141" s="22"/>
      <c r="THX141" s="22"/>
      <c r="THY141" s="22"/>
      <c r="THZ141" s="22"/>
      <c r="TIA141" s="22"/>
      <c r="TIB141" s="22"/>
      <c r="TIC141" s="22"/>
      <c r="TID141" s="22"/>
      <c r="TIE141" s="22"/>
      <c r="TIF141" s="22"/>
      <c r="TIG141" s="22"/>
      <c r="TIH141" s="22"/>
      <c r="TII141" s="22"/>
      <c r="TIJ141" s="22"/>
      <c r="TIK141" s="22"/>
      <c r="TIL141" s="22"/>
      <c r="TIM141" s="22"/>
      <c r="TIN141" s="22"/>
      <c r="TIO141" s="22"/>
      <c r="TIP141" s="22"/>
      <c r="TIQ141" s="22"/>
      <c r="TIR141" s="22"/>
      <c r="TIS141" s="22"/>
      <c r="TIT141" s="22"/>
      <c r="TIU141" s="22"/>
      <c r="TIV141" s="22"/>
      <c r="TIW141" s="22"/>
      <c r="TIX141" s="22"/>
      <c r="TIY141" s="22"/>
      <c r="TIZ141" s="22"/>
      <c r="TJA141" s="22"/>
      <c r="TJB141" s="22"/>
      <c r="TJC141" s="22"/>
      <c r="TJD141" s="22"/>
      <c r="TJE141" s="22"/>
      <c r="TJF141" s="22"/>
      <c r="TJG141" s="22"/>
      <c r="TJH141" s="22"/>
      <c r="TJI141" s="22"/>
      <c r="TJJ141" s="22"/>
      <c r="TJK141" s="22"/>
      <c r="TJL141" s="22"/>
      <c r="TJM141" s="22"/>
      <c r="TJN141" s="22"/>
      <c r="TJO141" s="22"/>
      <c r="TJP141" s="22"/>
      <c r="TJQ141" s="22"/>
      <c r="TJR141" s="22"/>
      <c r="TJS141" s="22"/>
      <c r="TJT141" s="22"/>
      <c r="TJU141" s="22"/>
      <c r="TJV141" s="22"/>
      <c r="TJW141" s="22"/>
      <c r="TJX141" s="22"/>
      <c r="TJY141" s="22"/>
      <c r="TJZ141" s="22"/>
      <c r="TKA141" s="22"/>
      <c r="TKB141" s="22"/>
      <c r="TKC141" s="22"/>
      <c r="TKD141" s="22"/>
      <c r="TKE141" s="22"/>
      <c r="TKF141" s="22"/>
      <c r="TKG141" s="22"/>
      <c r="TKH141" s="22"/>
      <c r="TKI141" s="22"/>
      <c r="TKJ141" s="22"/>
      <c r="TKK141" s="22"/>
      <c r="TKL141" s="22"/>
      <c r="TKM141" s="22"/>
      <c r="TKN141" s="22"/>
      <c r="TKO141" s="22"/>
      <c r="TKP141" s="22"/>
      <c r="TKQ141" s="22"/>
      <c r="TKR141" s="22"/>
      <c r="TKS141" s="22"/>
      <c r="TKT141" s="22"/>
      <c r="TKU141" s="22"/>
      <c r="TKV141" s="22"/>
      <c r="TKW141" s="22"/>
      <c r="TKX141" s="22"/>
      <c r="TKY141" s="22"/>
      <c r="TKZ141" s="22"/>
      <c r="TLA141" s="22"/>
      <c r="TLB141" s="22"/>
      <c r="TLC141" s="22"/>
      <c r="TLD141" s="22"/>
      <c r="TLE141" s="22"/>
      <c r="TLF141" s="22"/>
      <c r="TLG141" s="22"/>
      <c r="TLH141" s="22"/>
      <c r="TLI141" s="22"/>
      <c r="TLJ141" s="22"/>
      <c r="TLK141" s="22"/>
      <c r="TLL141" s="22"/>
      <c r="TLM141" s="22"/>
      <c r="TLN141" s="22"/>
      <c r="TLO141" s="22"/>
      <c r="TLP141" s="22"/>
      <c r="TLQ141" s="22"/>
      <c r="TLR141" s="22"/>
      <c r="TLS141" s="22"/>
      <c r="TLT141" s="22"/>
      <c r="TLU141" s="22"/>
      <c r="TLV141" s="22"/>
      <c r="TLW141" s="22"/>
      <c r="TLX141" s="22"/>
      <c r="TLY141" s="22"/>
      <c r="TLZ141" s="22"/>
      <c r="TMA141" s="22"/>
      <c r="TMB141" s="22"/>
      <c r="TMC141" s="22"/>
      <c r="TMD141" s="22"/>
      <c r="TME141" s="22"/>
      <c r="TMF141" s="22"/>
      <c r="TMG141" s="22"/>
      <c r="TMH141" s="22"/>
      <c r="TMI141" s="22"/>
      <c r="TMJ141" s="22"/>
      <c r="TMK141" s="22"/>
      <c r="TML141" s="22"/>
      <c r="TMM141" s="22"/>
      <c r="TMN141" s="22"/>
      <c r="TMO141" s="22"/>
      <c r="TMP141" s="22"/>
      <c r="TMQ141" s="22"/>
      <c r="TMR141" s="22"/>
      <c r="TMS141" s="22"/>
      <c r="TMT141" s="22"/>
      <c r="TMU141" s="22"/>
      <c r="TMV141" s="22"/>
      <c r="TMW141" s="22"/>
      <c r="TMX141" s="22"/>
      <c r="TMY141" s="22"/>
      <c r="TMZ141" s="22"/>
      <c r="TNA141" s="22"/>
      <c r="TNB141" s="22"/>
      <c r="TNC141" s="22"/>
      <c r="TND141" s="22"/>
      <c r="TNE141" s="22"/>
      <c r="TNF141" s="22"/>
      <c r="TNG141" s="22"/>
      <c r="TNH141" s="22"/>
      <c r="TNI141" s="22"/>
      <c r="TNJ141" s="22"/>
      <c r="TNK141" s="22"/>
      <c r="TNL141" s="22"/>
      <c r="TNM141" s="22"/>
      <c r="TNN141" s="22"/>
      <c r="TNO141" s="22"/>
      <c r="TNP141" s="22"/>
      <c r="TNQ141" s="22"/>
      <c r="TNR141" s="22"/>
      <c r="TNS141" s="22"/>
      <c r="TNT141" s="22"/>
      <c r="TNU141" s="22"/>
      <c r="TNV141" s="22"/>
      <c r="TNW141" s="22"/>
      <c r="TNX141" s="22"/>
      <c r="TNY141" s="22"/>
      <c r="TNZ141" s="22"/>
      <c r="TOA141" s="22"/>
      <c r="TOB141" s="22"/>
      <c r="TOC141" s="22"/>
      <c r="TOD141" s="22"/>
      <c r="TOE141" s="22"/>
      <c r="TOF141" s="22"/>
      <c r="TOG141" s="22"/>
      <c r="TOH141" s="22"/>
      <c r="TOI141" s="22"/>
      <c r="TOJ141" s="22"/>
      <c r="TOK141" s="22"/>
      <c r="TOL141" s="22"/>
      <c r="TOM141" s="22"/>
      <c r="TON141" s="22"/>
      <c r="TOO141" s="22"/>
      <c r="TOP141" s="22"/>
      <c r="TOQ141" s="22"/>
      <c r="TOR141" s="22"/>
      <c r="TOS141" s="22"/>
      <c r="TOT141" s="22"/>
      <c r="TOU141" s="22"/>
      <c r="TOV141" s="22"/>
      <c r="TOW141" s="22"/>
      <c r="TOX141" s="22"/>
      <c r="TOY141" s="22"/>
      <c r="TOZ141" s="22"/>
      <c r="TPA141" s="22"/>
      <c r="TPB141" s="22"/>
      <c r="TPC141" s="22"/>
      <c r="TPD141" s="22"/>
      <c r="TPE141" s="22"/>
      <c r="TPF141" s="22"/>
      <c r="TPG141" s="22"/>
      <c r="TPH141" s="22"/>
      <c r="TPI141" s="22"/>
      <c r="TPJ141" s="22"/>
      <c r="TPK141" s="22"/>
      <c r="TPL141" s="22"/>
      <c r="TPM141" s="22"/>
      <c r="TPN141" s="22"/>
      <c r="TPO141" s="22"/>
      <c r="TPP141" s="22"/>
      <c r="TPQ141" s="22"/>
      <c r="TPR141" s="22"/>
      <c r="TPS141" s="22"/>
      <c r="TPT141" s="22"/>
      <c r="TPU141" s="22"/>
      <c r="TPV141" s="22"/>
      <c r="TPW141" s="22"/>
      <c r="TPX141" s="22"/>
      <c r="TPY141" s="22"/>
      <c r="TPZ141" s="22"/>
      <c r="TQA141" s="22"/>
      <c r="TQB141" s="22"/>
      <c r="TQC141" s="22"/>
      <c r="TQD141" s="22"/>
      <c r="TQE141" s="22"/>
      <c r="TQF141" s="22"/>
      <c r="TQG141" s="22"/>
      <c r="TQH141" s="22"/>
      <c r="TQI141" s="22"/>
      <c r="TQJ141" s="22"/>
      <c r="TQK141" s="22"/>
      <c r="TQL141" s="22"/>
      <c r="TQM141" s="22"/>
      <c r="TQN141" s="22"/>
      <c r="TQO141" s="22"/>
      <c r="TQP141" s="22"/>
      <c r="TQQ141" s="22"/>
      <c r="TQR141" s="22"/>
      <c r="TQS141" s="22"/>
      <c r="TQT141" s="22"/>
      <c r="TQU141" s="22"/>
      <c r="TQV141" s="22"/>
      <c r="TQW141" s="22"/>
      <c r="TQX141" s="22"/>
      <c r="TQY141" s="22"/>
      <c r="TQZ141" s="22"/>
      <c r="TRA141" s="22"/>
      <c r="TRB141" s="22"/>
      <c r="TRC141" s="22"/>
      <c r="TRD141" s="22"/>
      <c r="TRE141" s="22"/>
      <c r="TRF141" s="22"/>
      <c r="TRG141" s="22"/>
      <c r="TRH141" s="22"/>
      <c r="TRI141" s="22"/>
      <c r="TRJ141" s="22"/>
      <c r="TRK141" s="22"/>
      <c r="TRL141" s="22"/>
      <c r="TRM141" s="22"/>
      <c r="TRN141" s="22"/>
      <c r="TRO141" s="22"/>
      <c r="TRP141" s="22"/>
      <c r="TRQ141" s="22"/>
      <c r="TRR141" s="22"/>
      <c r="TRS141" s="22"/>
      <c r="TRT141" s="22"/>
      <c r="TRU141" s="22"/>
      <c r="TRV141" s="22"/>
      <c r="TRW141" s="22"/>
      <c r="TRX141" s="22"/>
      <c r="TRY141" s="22"/>
      <c r="TRZ141" s="22"/>
      <c r="TSA141" s="22"/>
      <c r="TSB141" s="22"/>
      <c r="TSC141" s="22"/>
      <c r="TSD141" s="22"/>
      <c r="TSE141" s="22"/>
      <c r="TSF141" s="22"/>
      <c r="TSG141" s="22"/>
      <c r="TSH141" s="22"/>
      <c r="TSI141" s="22"/>
      <c r="TSJ141" s="22"/>
      <c r="TSK141" s="22"/>
      <c r="TSL141" s="22"/>
      <c r="TSM141" s="22"/>
      <c r="TSN141" s="22"/>
      <c r="TSO141" s="22"/>
      <c r="TSP141" s="22"/>
      <c r="TSQ141" s="22"/>
      <c r="TSR141" s="22"/>
      <c r="TSS141" s="22"/>
      <c r="TST141" s="22"/>
      <c r="TSU141" s="22"/>
      <c r="TSV141" s="22"/>
      <c r="TSW141" s="22"/>
      <c r="TSX141" s="22"/>
      <c r="TSY141" s="22"/>
      <c r="TSZ141" s="22"/>
      <c r="TTA141" s="22"/>
      <c r="TTB141" s="22"/>
      <c r="TTC141" s="22"/>
      <c r="TTD141" s="22"/>
      <c r="TTE141" s="22"/>
      <c r="TTF141" s="22"/>
      <c r="TTG141" s="22"/>
      <c r="TTH141" s="22"/>
      <c r="TTI141" s="22"/>
      <c r="TTJ141" s="22"/>
      <c r="TTK141" s="22"/>
      <c r="TTL141" s="22"/>
      <c r="TTM141" s="22"/>
      <c r="TTN141" s="22"/>
      <c r="TTO141" s="22"/>
      <c r="TTP141" s="22"/>
      <c r="TTQ141" s="22"/>
      <c r="TTR141" s="22"/>
      <c r="TTS141" s="22"/>
      <c r="TTT141" s="22"/>
      <c r="TTU141" s="22"/>
      <c r="TTV141" s="22"/>
      <c r="TTW141" s="22"/>
      <c r="TTX141" s="22"/>
      <c r="TTY141" s="22"/>
      <c r="TTZ141" s="22"/>
      <c r="TUA141" s="22"/>
      <c r="TUB141" s="22"/>
      <c r="TUC141" s="22"/>
      <c r="TUD141" s="22"/>
      <c r="TUE141" s="22"/>
      <c r="TUF141" s="22"/>
      <c r="TUG141" s="22"/>
      <c r="TUH141" s="22"/>
      <c r="TUI141" s="22"/>
      <c r="TUJ141" s="22"/>
      <c r="TUK141" s="22"/>
      <c r="TUL141" s="22"/>
      <c r="TUM141" s="22"/>
      <c r="TUN141" s="22"/>
      <c r="TUO141" s="22"/>
      <c r="TUP141" s="22"/>
      <c r="TUQ141" s="22"/>
      <c r="TUR141" s="22"/>
      <c r="TUS141" s="22"/>
      <c r="TUT141" s="22"/>
      <c r="TUU141" s="22"/>
      <c r="TUV141" s="22"/>
      <c r="TUW141" s="22"/>
      <c r="TUX141" s="22"/>
      <c r="TUY141" s="22"/>
      <c r="TUZ141" s="22"/>
      <c r="TVA141" s="22"/>
      <c r="TVB141" s="22"/>
      <c r="TVC141" s="22"/>
      <c r="TVD141" s="22"/>
      <c r="TVE141" s="22"/>
      <c r="TVF141" s="22"/>
      <c r="TVG141" s="22"/>
      <c r="TVH141" s="22"/>
      <c r="TVI141" s="22"/>
      <c r="TVJ141" s="22"/>
      <c r="TVK141" s="22"/>
      <c r="TVL141" s="22"/>
      <c r="TVM141" s="22"/>
      <c r="TVN141" s="22"/>
      <c r="TVO141" s="22"/>
      <c r="TVP141" s="22"/>
      <c r="TVQ141" s="22"/>
      <c r="TVR141" s="22"/>
      <c r="TVS141" s="22"/>
      <c r="TVT141" s="22"/>
      <c r="TVU141" s="22"/>
      <c r="TVV141" s="22"/>
      <c r="TVW141" s="22"/>
      <c r="TVX141" s="22"/>
      <c r="TVY141" s="22"/>
      <c r="TVZ141" s="22"/>
      <c r="TWA141" s="22"/>
      <c r="TWB141" s="22"/>
      <c r="TWC141" s="22"/>
      <c r="TWD141" s="22"/>
      <c r="TWE141" s="22"/>
      <c r="TWF141" s="22"/>
      <c r="TWG141" s="22"/>
      <c r="TWH141" s="22"/>
      <c r="TWI141" s="22"/>
      <c r="TWJ141" s="22"/>
      <c r="TWK141" s="22"/>
      <c r="TWL141" s="22"/>
      <c r="TWM141" s="22"/>
      <c r="TWN141" s="22"/>
      <c r="TWO141" s="22"/>
      <c r="TWP141" s="22"/>
      <c r="TWQ141" s="22"/>
      <c r="TWR141" s="22"/>
      <c r="TWS141" s="22"/>
      <c r="TWT141" s="22"/>
      <c r="TWU141" s="22"/>
      <c r="TWV141" s="22"/>
      <c r="TWW141" s="22"/>
      <c r="TWX141" s="22"/>
      <c r="TWY141" s="22"/>
      <c r="TWZ141" s="22"/>
      <c r="TXA141" s="22"/>
      <c r="TXB141" s="22"/>
      <c r="TXC141" s="22"/>
      <c r="TXD141" s="22"/>
      <c r="TXE141" s="22"/>
      <c r="TXF141" s="22"/>
      <c r="TXG141" s="22"/>
      <c r="TXH141" s="22"/>
      <c r="TXI141" s="22"/>
      <c r="TXJ141" s="22"/>
      <c r="TXK141" s="22"/>
      <c r="TXL141" s="22"/>
      <c r="TXM141" s="22"/>
      <c r="TXN141" s="22"/>
      <c r="TXO141" s="22"/>
      <c r="TXP141" s="22"/>
      <c r="TXQ141" s="22"/>
      <c r="TXR141" s="22"/>
      <c r="TXS141" s="22"/>
      <c r="TXT141" s="22"/>
      <c r="TXU141" s="22"/>
      <c r="TXV141" s="22"/>
      <c r="TXW141" s="22"/>
      <c r="TXX141" s="22"/>
      <c r="TXY141" s="22"/>
      <c r="TXZ141" s="22"/>
      <c r="TYA141" s="22"/>
      <c r="TYB141" s="22"/>
      <c r="TYC141" s="22"/>
      <c r="TYD141" s="22"/>
      <c r="TYE141" s="22"/>
      <c r="TYF141" s="22"/>
      <c r="TYG141" s="22"/>
      <c r="TYH141" s="22"/>
      <c r="TYI141" s="22"/>
      <c r="TYJ141" s="22"/>
      <c r="TYK141" s="22"/>
      <c r="TYL141" s="22"/>
      <c r="TYM141" s="22"/>
      <c r="TYN141" s="22"/>
      <c r="TYO141" s="22"/>
      <c r="TYP141" s="22"/>
      <c r="TYQ141" s="22"/>
      <c r="TYR141" s="22"/>
      <c r="TYS141" s="22"/>
      <c r="TYT141" s="22"/>
      <c r="TYU141" s="22"/>
      <c r="TYV141" s="22"/>
      <c r="TYW141" s="22"/>
      <c r="TYX141" s="22"/>
      <c r="TYY141" s="22"/>
      <c r="TYZ141" s="22"/>
      <c r="TZA141" s="22"/>
      <c r="TZB141" s="22"/>
      <c r="TZC141" s="22"/>
      <c r="TZD141" s="22"/>
      <c r="TZE141" s="22"/>
      <c r="TZF141" s="22"/>
      <c r="TZG141" s="22"/>
      <c r="TZH141" s="22"/>
      <c r="TZI141" s="22"/>
      <c r="TZJ141" s="22"/>
      <c r="TZK141" s="22"/>
      <c r="TZL141" s="22"/>
      <c r="TZM141" s="22"/>
      <c r="TZN141" s="22"/>
      <c r="TZO141" s="22"/>
      <c r="TZP141" s="22"/>
      <c r="TZQ141" s="22"/>
      <c r="TZR141" s="22"/>
      <c r="TZS141" s="22"/>
      <c r="TZT141" s="22"/>
      <c r="TZU141" s="22"/>
      <c r="TZV141" s="22"/>
      <c r="TZW141" s="22"/>
      <c r="TZX141" s="22"/>
      <c r="TZY141" s="22"/>
      <c r="TZZ141" s="22"/>
      <c r="UAA141" s="22"/>
      <c r="UAB141" s="22"/>
      <c r="UAC141" s="22"/>
      <c r="UAD141" s="22"/>
      <c r="UAE141" s="22"/>
      <c r="UAF141" s="22"/>
      <c r="UAG141" s="22"/>
      <c r="UAH141" s="22"/>
      <c r="UAI141" s="22"/>
      <c r="UAJ141" s="22"/>
      <c r="UAK141" s="22"/>
      <c r="UAL141" s="22"/>
      <c r="UAM141" s="22"/>
      <c r="UAN141" s="22"/>
      <c r="UAO141" s="22"/>
      <c r="UAP141" s="22"/>
      <c r="UAQ141" s="22"/>
      <c r="UAR141" s="22"/>
      <c r="UAS141" s="22"/>
      <c r="UAT141" s="22"/>
      <c r="UAU141" s="22"/>
      <c r="UAV141" s="22"/>
      <c r="UAW141" s="22"/>
      <c r="UAX141" s="22"/>
      <c r="UAY141" s="22"/>
      <c r="UAZ141" s="22"/>
      <c r="UBA141" s="22"/>
      <c r="UBB141" s="22"/>
      <c r="UBC141" s="22"/>
      <c r="UBD141" s="22"/>
      <c r="UBE141" s="22"/>
      <c r="UBF141" s="22"/>
      <c r="UBG141" s="22"/>
      <c r="UBH141" s="22"/>
      <c r="UBI141" s="22"/>
      <c r="UBJ141" s="22"/>
      <c r="UBK141" s="22"/>
      <c r="UBL141" s="22"/>
      <c r="UBM141" s="22"/>
      <c r="UBN141" s="22"/>
      <c r="UBO141" s="22"/>
      <c r="UBP141" s="22"/>
      <c r="UBQ141" s="22"/>
      <c r="UBR141" s="22"/>
      <c r="UBS141" s="22"/>
      <c r="UBT141" s="22"/>
      <c r="UBU141" s="22"/>
      <c r="UBV141" s="22"/>
      <c r="UBW141" s="22"/>
      <c r="UBX141" s="22"/>
      <c r="UBY141" s="22"/>
      <c r="UBZ141" s="22"/>
      <c r="UCA141" s="22"/>
      <c r="UCB141" s="22"/>
      <c r="UCC141" s="22"/>
      <c r="UCD141" s="22"/>
      <c r="UCE141" s="22"/>
      <c r="UCF141" s="22"/>
      <c r="UCG141" s="22"/>
      <c r="UCH141" s="22"/>
      <c r="UCI141" s="22"/>
      <c r="UCJ141" s="22"/>
      <c r="UCK141" s="22"/>
      <c r="UCL141" s="22"/>
      <c r="UCM141" s="22"/>
      <c r="UCN141" s="22"/>
      <c r="UCO141" s="22"/>
      <c r="UCP141" s="22"/>
      <c r="UCQ141" s="22"/>
      <c r="UCR141" s="22"/>
      <c r="UCS141" s="22"/>
      <c r="UCT141" s="22"/>
      <c r="UCU141" s="22"/>
      <c r="UCV141" s="22"/>
      <c r="UCW141" s="22"/>
      <c r="UCX141" s="22"/>
      <c r="UCY141" s="22"/>
      <c r="UCZ141" s="22"/>
      <c r="UDA141" s="22"/>
      <c r="UDB141" s="22"/>
      <c r="UDC141" s="22"/>
      <c r="UDD141" s="22"/>
      <c r="UDE141" s="22"/>
      <c r="UDF141" s="22"/>
      <c r="UDG141" s="22"/>
      <c r="UDH141" s="22"/>
      <c r="UDI141" s="22"/>
      <c r="UDJ141" s="22"/>
      <c r="UDK141" s="22"/>
      <c r="UDL141" s="22"/>
      <c r="UDM141" s="22"/>
      <c r="UDN141" s="22"/>
      <c r="UDO141" s="22"/>
      <c r="UDP141" s="22"/>
      <c r="UDQ141" s="22"/>
      <c r="UDR141" s="22"/>
      <c r="UDS141" s="22"/>
      <c r="UDT141" s="22"/>
      <c r="UDU141" s="22"/>
      <c r="UDV141" s="22"/>
      <c r="UDW141" s="22"/>
      <c r="UDX141" s="22"/>
      <c r="UDY141" s="22"/>
      <c r="UDZ141" s="22"/>
      <c r="UEA141" s="22"/>
      <c r="UEB141" s="22"/>
      <c r="UEC141" s="22"/>
      <c r="UED141" s="22"/>
      <c r="UEE141" s="22"/>
      <c r="UEF141" s="22"/>
      <c r="UEG141" s="22"/>
      <c r="UEH141" s="22"/>
      <c r="UEI141" s="22"/>
      <c r="UEJ141" s="22"/>
      <c r="UEK141" s="22"/>
      <c r="UEL141" s="22"/>
      <c r="UEM141" s="22"/>
      <c r="UEN141" s="22"/>
      <c r="UEO141" s="22"/>
      <c r="UEP141" s="22"/>
      <c r="UEQ141" s="22"/>
      <c r="UER141" s="22"/>
      <c r="UES141" s="22"/>
      <c r="UET141" s="22"/>
      <c r="UEU141" s="22"/>
      <c r="UEV141" s="22"/>
      <c r="UEW141" s="22"/>
      <c r="UEX141" s="22"/>
      <c r="UEY141" s="22"/>
      <c r="UEZ141" s="22"/>
      <c r="UFA141" s="22"/>
      <c r="UFB141" s="22"/>
      <c r="UFC141" s="22"/>
      <c r="UFD141" s="22"/>
      <c r="UFE141" s="22"/>
      <c r="UFF141" s="22"/>
      <c r="UFG141" s="22"/>
      <c r="UFH141" s="22"/>
      <c r="UFI141" s="22"/>
      <c r="UFJ141" s="22"/>
      <c r="UFK141" s="22"/>
      <c r="UFL141" s="22"/>
      <c r="UFM141" s="22"/>
      <c r="UFN141" s="22"/>
      <c r="UFO141" s="22"/>
      <c r="UFP141" s="22"/>
      <c r="UFQ141" s="22"/>
      <c r="UFR141" s="22"/>
      <c r="UFS141" s="22"/>
      <c r="UFT141" s="22"/>
      <c r="UFU141" s="22"/>
      <c r="UFV141" s="22"/>
      <c r="UFW141" s="22"/>
      <c r="UFX141" s="22"/>
      <c r="UFY141" s="22"/>
      <c r="UFZ141" s="22"/>
      <c r="UGA141" s="22"/>
      <c r="UGB141" s="22"/>
      <c r="UGC141" s="22"/>
      <c r="UGD141" s="22"/>
      <c r="UGE141" s="22"/>
      <c r="UGF141" s="22"/>
      <c r="UGG141" s="22"/>
      <c r="UGH141" s="22"/>
      <c r="UGI141" s="22"/>
      <c r="UGJ141" s="22"/>
      <c r="UGK141" s="22"/>
      <c r="UGL141" s="22"/>
      <c r="UGM141" s="22"/>
      <c r="UGN141" s="22"/>
      <c r="UGO141" s="22"/>
      <c r="UGP141" s="22"/>
      <c r="UGQ141" s="22"/>
      <c r="UGR141" s="22"/>
      <c r="UGS141" s="22"/>
      <c r="UGT141" s="22"/>
      <c r="UGU141" s="22"/>
      <c r="UGV141" s="22"/>
      <c r="UGW141" s="22"/>
      <c r="UGX141" s="22"/>
      <c r="UGY141" s="22"/>
      <c r="UGZ141" s="22"/>
      <c r="UHA141" s="22"/>
      <c r="UHB141" s="22"/>
      <c r="UHC141" s="22"/>
      <c r="UHD141" s="22"/>
      <c r="UHE141" s="22"/>
      <c r="UHF141" s="22"/>
      <c r="UHG141" s="22"/>
      <c r="UHH141" s="22"/>
      <c r="UHI141" s="22"/>
      <c r="UHJ141" s="22"/>
      <c r="UHK141" s="22"/>
      <c r="UHL141" s="22"/>
      <c r="UHM141" s="22"/>
      <c r="UHN141" s="22"/>
      <c r="UHO141" s="22"/>
      <c r="UHP141" s="22"/>
      <c r="UHQ141" s="22"/>
      <c r="UHR141" s="22"/>
      <c r="UHS141" s="22"/>
      <c r="UHT141" s="22"/>
      <c r="UHU141" s="22"/>
      <c r="UHV141" s="22"/>
      <c r="UHW141" s="22"/>
      <c r="UHX141" s="22"/>
      <c r="UHY141" s="22"/>
      <c r="UHZ141" s="22"/>
      <c r="UIA141" s="22"/>
      <c r="UIB141" s="22"/>
      <c r="UIC141" s="22"/>
      <c r="UID141" s="22"/>
      <c r="UIE141" s="22"/>
      <c r="UIF141" s="22"/>
      <c r="UIG141" s="22"/>
      <c r="UIH141" s="22"/>
      <c r="UII141" s="22"/>
      <c r="UIJ141" s="22"/>
      <c r="UIK141" s="22"/>
      <c r="UIL141" s="22"/>
      <c r="UIM141" s="22"/>
      <c r="UIN141" s="22"/>
      <c r="UIO141" s="22"/>
      <c r="UIP141" s="22"/>
      <c r="UIQ141" s="22"/>
      <c r="UIR141" s="22"/>
      <c r="UIS141" s="22"/>
      <c r="UIT141" s="22"/>
      <c r="UIU141" s="22"/>
      <c r="UIV141" s="22"/>
      <c r="UIW141" s="22"/>
      <c r="UIX141" s="22"/>
      <c r="UIY141" s="22"/>
      <c r="UIZ141" s="22"/>
      <c r="UJA141" s="22"/>
      <c r="UJB141" s="22"/>
      <c r="UJC141" s="22"/>
      <c r="UJD141" s="22"/>
      <c r="UJE141" s="22"/>
      <c r="UJF141" s="22"/>
      <c r="UJG141" s="22"/>
      <c r="UJH141" s="22"/>
      <c r="UJI141" s="22"/>
      <c r="UJJ141" s="22"/>
      <c r="UJK141" s="22"/>
      <c r="UJL141" s="22"/>
      <c r="UJM141" s="22"/>
      <c r="UJN141" s="22"/>
      <c r="UJO141" s="22"/>
      <c r="UJP141" s="22"/>
      <c r="UJQ141" s="22"/>
      <c r="UJR141" s="22"/>
      <c r="UJS141" s="22"/>
      <c r="UJT141" s="22"/>
      <c r="UJU141" s="22"/>
      <c r="UJV141" s="22"/>
      <c r="UJW141" s="22"/>
      <c r="UJX141" s="22"/>
      <c r="UJY141" s="22"/>
      <c r="UJZ141" s="22"/>
      <c r="UKA141" s="22"/>
      <c r="UKB141" s="22"/>
      <c r="UKC141" s="22"/>
      <c r="UKD141" s="22"/>
      <c r="UKE141" s="22"/>
      <c r="UKF141" s="22"/>
      <c r="UKG141" s="22"/>
      <c r="UKH141" s="22"/>
      <c r="UKI141" s="22"/>
      <c r="UKJ141" s="22"/>
      <c r="UKK141" s="22"/>
      <c r="UKL141" s="22"/>
      <c r="UKM141" s="22"/>
      <c r="UKN141" s="22"/>
      <c r="UKO141" s="22"/>
      <c r="UKP141" s="22"/>
      <c r="UKQ141" s="22"/>
      <c r="UKR141" s="22"/>
      <c r="UKS141" s="22"/>
      <c r="UKT141" s="22"/>
      <c r="UKU141" s="22"/>
      <c r="UKV141" s="22"/>
      <c r="UKW141" s="22"/>
      <c r="UKX141" s="22"/>
      <c r="UKY141" s="22"/>
      <c r="UKZ141" s="22"/>
      <c r="ULA141" s="22"/>
      <c r="ULB141" s="22"/>
      <c r="ULC141" s="22"/>
      <c r="ULD141" s="22"/>
      <c r="ULE141" s="22"/>
      <c r="ULF141" s="22"/>
      <c r="ULG141" s="22"/>
      <c r="ULH141" s="22"/>
      <c r="ULI141" s="22"/>
      <c r="ULJ141" s="22"/>
      <c r="ULK141" s="22"/>
      <c r="ULL141" s="22"/>
      <c r="ULM141" s="22"/>
      <c r="ULN141" s="22"/>
      <c r="ULO141" s="22"/>
      <c r="ULP141" s="22"/>
      <c r="ULQ141" s="22"/>
      <c r="ULR141" s="22"/>
      <c r="ULS141" s="22"/>
      <c r="ULT141" s="22"/>
      <c r="ULU141" s="22"/>
      <c r="ULV141" s="22"/>
      <c r="ULW141" s="22"/>
      <c r="ULX141" s="22"/>
      <c r="ULY141" s="22"/>
      <c r="ULZ141" s="22"/>
      <c r="UMA141" s="22"/>
      <c r="UMB141" s="22"/>
      <c r="UMC141" s="22"/>
      <c r="UMD141" s="22"/>
      <c r="UME141" s="22"/>
      <c r="UMF141" s="22"/>
      <c r="UMG141" s="22"/>
      <c r="UMH141" s="22"/>
      <c r="UMI141" s="22"/>
      <c r="UMJ141" s="22"/>
      <c r="UMK141" s="22"/>
      <c r="UML141" s="22"/>
      <c r="UMM141" s="22"/>
      <c r="UMN141" s="22"/>
      <c r="UMO141" s="22"/>
      <c r="UMP141" s="22"/>
      <c r="UMQ141" s="22"/>
      <c r="UMR141" s="22"/>
      <c r="UMS141" s="22"/>
      <c r="UMT141" s="22"/>
      <c r="UMU141" s="22"/>
      <c r="UMV141" s="22"/>
      <c r="UMW141" s="22"/>
      <c r="UMX141" s="22"/>
      <c r="UMY141" s="22"/>
      <c r="UMZ141" s="22"/>
      <c r="UNA141" s="22"/>
      <c r="UNB141" s="22"/>
      <c r="UNC141" s="22"/>
      <c r="UND141" s="22"/>
      <c r="UNE141" s="22"/>
      <c r="UNF141" s="22"/>
      <c r="UNG141" s="22"/>
      <c r="UNH141" s="22"/>
      <c r="UNI141" s="22"/>
      <c r="UNJ141" s="22"/>
      <c r="UNK141" s="22"/>
      <c r="UNL141" s="22"/>
      <c r="UNM141" s="22"/>
      <c r="UNN141" s="22"/>
      <c r="UNO141" s="22"/>
      <c r="UNP141" s="22"/>
      <c r="UNQ141" s="22"/>
      <c r="UNR141" s="22"/>
      <c r="UNS141" s="22"/>
      <c r="UNT141" s="22"/>
      <c r="UNU141" s="22"/>
      <c r="UNV141" s="22"/>
      <c r="UNW141" s="22"/>
      <c r="UNX141" s="22"/>
      <c r="UNY141" s="22"/>
      <c r="UNZ141" s="22"/>
      <c r="UOA141" s="22"/>
      <c r="UOB141" s="22"/>
      <c r="UOC141" s="22"/>
      <c r="UOD141" s="22"/>
      <c r="UOE141" s="22"/>
      <c r="UOF141" s="22"/>
      <c r="UOG141" s="22"/>
      <c r="UOH141" s="22"/>
      <c r="UOI141" s="22"/>
      <c r="UOJ141" s="22"/>
      <c r="UOK141" s="22"/>
      <c r="UOL141" s="22"/>
      <c r="UOM141" s="22"/>
      <c r="UON141" s="22"/>
      <c r="UOO141" s="22"/>
      <c r="UOP141" s="22"/>
      <c r="UOQ141" s="22"/>
      <c r="UOR141" s="22"/>
      <c r="UOS141" s="22"/>
      <c r="UOT141" s="22"/>
      <c r="UOU141" s="22"/>
      <c r="UOV141" s="22"/>
      <c r="UOW141" s="22"/>
      <c r="UOX141" s="22"/>
      <c r="UOY141" s="22"/>
      <c r="UOZ141" s="22"/>
      <c r="UPA141" s="22"/>
      <c r="UPB141" s="22"/>
      <c r="UPC141" s="22"/>
      <c r="UPD141" s="22"/>
      <c r="UPE141" s="22"/>
      <c r="UPF141" s="22"/>
      <c r="UPG141" s="22"/>
      <c r="UPH141" s="22"/>
      <c r="UPI141" s="22"/>
      <c r="UPJ141" s="22"/>
      <c r="UPK141" s="22"/>
      <c r="UPL141" s="22"/>
      <c r="UPM141" s="22"/>
      <c r="UPN141" s="22"/>
      <c r="UPO141" s="22"/>
      <c r="UPP141" s="22"/>
      <c r="UPQ141" s="22"/>
      <c r="UPR141" s="22"/>
      <c r="UPS141" s="22"/>
      <c r="UPT141" s="22"/>
      <c r="UPU141" s="22"/>
      <c r="UPV141" s="22"/>
      <c r="UPW141" s="22"/>
      <c r="UPX141" s="22"/>
      <c r="UPY141" s="22"/>
      <c r="UPZ141" s="22"/>
      <c r="UQA141" s="22"/>
      <c r="UQB141" s="22"/>
      <c r="UQC141" s="22"/>
      <c r="UQD141" s="22"/>
      <c r="UQE141" s="22"/>
      <c r="UQF141" s="22"/>
      <c r="UQG141" s="22"/>
      <c r="UQH141" s="22"/>
      <c r="UQI141" s="22"/>
      <c r="UQJ141" s="22"/>
      <c r="UQK141" s="22"/>
      <c r="UQL141" s="22"/>
      <c r="UQM141" s="22"/>
      <c r="UQN141" s="22"/>
      <c r="UQO141" s="22"/>
      <c r="UQP141" s="22"/>
      <c r="UQQ141" s="22"/>
      <c r="UQR141" s="22"/>
      <c r="UQS141" s="22"/>
      <c r="UQT141" s="22"/>
      <c r="UQU141" s="22"/>
      <c r="UQV141" s="22"/>
      <c r="UQW141" s="22"/>
      <c r="UQX141" s="22"/>
      <c r="UQY141" s="22"/>
      <c r="UQZ141" s="22"/>
      <c r="URA141" s="22"/>
      <c r="URB141" s="22"/>
      <c r="URC141" s="22"/>
      <c r="URD141" s="22"/>
      <c r="URE141" s="22"/>
      <c r="URF141" s="22"/>
      <c r="URG141" s="22"/>
      <c r="URH141" s="22"/>
      <c r="URI141" s="22"/>
      <c r="URJ141" s="22"/>
      <c r="URK141" s="22"/>
      <c r="URL141" s="22"/>
      <c r="URM141" s="22"/>
      <c r="URN141" s="22"/>
      <c r="URO141" s="22"/>
      <c r="URP141" s="22"/>
      <c r="URQ141" s="22"/>
      <c r="URR141" s="22"/>
      <c r="URS141" s="22"/>
      <c r="URT141" s="22"/>
      <c r="URU141" s="22"/>
      <c r="URV141" s="22"/>
      <c r="URW141" s="22"/>
      <c r="URX141" s="22"/>
      <c r="URY141" s="22"/>
      <c r="URZ141" s="22"/>
      <c r="USA141" s="22"/>
      <c r="USB141" s="22"/>
      <c r="USC141" s="22"/>
      <c r="USD141" s="22"/>
      <c r="USE141" s="22"/>
      <c r="USF141" s="22"/>
      <c r="USG141" s="22"/>
      <c r="USH141" s="22"/>
      <c r="USI141" s="22"/>
      <c r="USJ141" s="22"/>
      <c r="USK141" s="22"/>
      <c r="USL141" s="22"/>
      <c r="USM141" s="22"/>
      <c r="USN141" s="22"/>
      <c r="USO141" s="22"/>
      <c r="USP141" s="22"/>
      <c r="USQ141" s="22"/>
      <c r="USR141" s="22"/>
      <c r="USS141" s="22"/>
      <c r="UST141" s="22"/>
      <c r="USU141" s="22"/>
      <c r="USV141" s="22"/>
      <c r="USW141" s="22"/>
      <c r="USX141" s="22"/>
      <c r="USY141" s="22"/>
      <c r="USZ141" s="22"/>
      <c r="UTA141" s="22"/>
      <c r="UTB141" s="22"/>
      <c r="UTC141" s="22"/>
      <c r="UTD141" s="22"/>
      <c r="UTE141" s="22"/>
      <c r="UTF141" s="22"/>
      <c r="UTG141" s="22"/>
      <c r="UTH141" s="22"/>
      <c r="UTI141" s="22"/>
      <c r="UTJ141" s="22"/>
      <c r="UTK141" s="22"/>
      <c r="UTL141" s="22"/>
      <c r="UTM141" s="22"/>
      <c r="UTN141" s="22"/>
      <c r="UTO141" s="22"/>
      <c r="UTP141" s="22"/>
      <c r="UTQ141" s="22"/>
      <c r="UTR141" s="22"/>
      <c r="UTS141" s="22"/>
      <c r="UTT141" s="22"/>
      <c r="UTU141" s="22"/>
      <c r="UTV141" s="22"/>
      <c r="UTW141" s="22"/>
      <c r="UTX141" s="22"/>
      <c r="UTY141" s="22"/>
      <c r="UTZ141" s="22"/>
      <c r="UUA141" s="22"/>
      <c r="UUB141" s="22"/>
      <c r="UUC141" s="22"/>
      <c r="UUD141" s="22"/>
      <c r="UUE141" s="22"/>
      <c r="UUF141" s="22"/>
      <c r="UUG141" s="22"/>
      <c r="UUH141" s="22"/>
      <c r="UUI141" s="22"/>
      <c r="UUJ141" s="22"/>
      <c r="UUK141" s="22"/>
      <c r="UUL141" s="22"/>
      <c r="UUM141" s="22"/>
      <c r="UUN141" s="22"/>
      <c r="UUO141" s="22"/>
      <c r="UUP141" s="22"/>
      <c r="UUQ141" s="22"/>
      <c r="UUR141" s="22"/>
      <c r="UUS141" s="22"/>
      <c r="UUT141" s="22"/>
      <c r="UUU141" s="22"/>
      <c r="UUV141" s="22"/>
      <c r="UUW141" s="22"/>
      <c r="UUX141" s="22"/>
      <c r="UUY141" s="22"/>
      <c r="UUZ141" s="22"/>
      <c r="UVA141" s="22"/>
      <c r="UVB141" s="22"/>
      <c r="UVC141" s="22"/>
      <c r="UVD141" s="22"/>
      <c r="UVE141" s="22"/>
      <c r="UVF141" s="22"/>
      <c r="UVG141" s="22"/>
      <c r="UVH141" s="22"/>
      <c r="UVI141" s="22"/>
      <c r="UVJ141" s="22"/>
      <c r="UVK141" s="22"/>
      <c r="UVL141" s="22"/>
      <c r="UVM141" s="22"/>
      <c r="UVN141" s="22"/>
      <c r="UVO141" s="22"/>
      <c r="UVP141" s="22"/>
      <c r="UVQ141" s="22"/>
      <c r="UVR141" s="22"/>
      <c r="UVS141" s="22"/>
      <c r="UVT141" s="22"/>
      <c r="UVU141" s="22"/>
      <c r="UVV141" s="22"/>
      <c r="UVW141" s="22"/>
      <c r="UVX141" s="22"/>
      <c r="UVY141" s="22"/>
      <c r="UVZ141" s="22"/>
      <c r="UWA141" s="22"/>
      <c r="UWB141" s="22"/>
      <c r="UWC141" s="22"/>
      <c r="UWD141" s="22"/>
      <c r="UWE141" s="22"/>
      <c r="UWF141" s="22"/>
      <c r="UWG141" s="22"/>
      <c r="UWH141" s="22"/>
      <c r="UWI141" s="22"/>
      <c r="UWJ141" s="22"/>
      <c r="UWK141" s="22"/>
      <c r="UWL141" s="22"/>
      <c r="UWM141" s="22"/>
      <c r="UWN141" s="22"/>
      <c r="UWO141" s="22"/>
      <c r="UWP141" s="22"/>
      <c r="UWQ141" s="22"/>
      <c r="UWR141" s="22"/>
      <c r="UWS141" s="22"/>
      <c r="UWT141" s="22"/>
      <c r="UWU141" s="22"/>
      <c r="UWV141" s="22"/>
      <c r="UWW141" s="22"/>
      <c r="UWX141" s="22"/>
      <c r="UWY141" s="22"/>
      <c r="UWZ141" s="22"/>
      <c r="UXA141" s="22"/>
      <c r="UXB141" s="22"/>
      <c r="UXC141" s="22"/>
      <c r="UXD141" s="22"/>
      <c r="UXE141" s="22"/>
      <c r="UXF141" s="22"/>
      <c r="UXG141" s="22"/>
      <c r="UXH141" s="22"/>
      <c r="UXI141" s="22"/>
      <c r="UXJ141" s="22"/>
      <c r="UXK141" s="22"/>
      <c r="UXL141" s="22"/>
      <c r="UXM141" s="22"/>
      <c r="UXN141" s="22"/>
      <c r="UXO141" s="22"/>
      <c r="UXP141" s="22"/>
      <c r="UXQ141" s="22"/>
      <c r="UXR141" s="22"/>
      <c r="UXS141" s="22"/>
      <c r="UXT141" s="22"/>
      <c r="UXU141" s="22"/>
      <c r="UXV141" s="22"/>
      <c r="UXW141" s="22"/>
      <c r="UXX141" s="22"/>
      <c r="UXY141" s="22"/>
      <c r="UXZ141" s="22"/>
      <c r="UYA141" s="22"/>
      <c r="UYB141" s="22"/>
      <c r="UYC141" s="22"/>
      <c r="UYD141" s="22"/>
      <c r="UYE141" s="22"/>
      <c r="UYF141" s="22"/>
      <c r="UYG141" s="22"/>
      <c r="UYH141" s="22"/>
      <c r="UYI141" s="22"/>
      <c r="UYJ141" s="22"/>
      <c r="UYK141" s="22"/>
      <c r="UYL141" s="22"/>
      <c r="UYM141" s="22"/>
      <c r="UYN141" s="22"/>
      <c r="UYO141" s="22"/>
      <c r="UYP141" s="22"/>
      <c r="UYQ141" s="22"/>
      <c r="UYR141" s="22"/>
      <c r="UYS141" s="22"/>
      <c r="UYT141" s="22"/>
      <c r="UYU141" s="22"/>
      <c r="UYV141" s="22"/>
      <c r="UYW141" s="22"/>
      <c r="UYX141" s="22"/>
      <c r="UYY141" s="22"/>
      <c r="UYZ141" s="22"/>
      <c r="UZA141" s="22"/>
      <c r="UZB141" s="22"/>
      <c r="UZC141" s="22"/>
      <c r="UZD141" s="22"/>
      <c r="UZE141" s="22"/>
      <c r="UZF141" s="22"/>
      <c r="UZG141" s="22"/>
      <c r="UZH141" s="22"/>
      <c r="UZI141" s="22"/>
      <c r="UZJ141" s="22"/>
      <c r="UZK141" s="22"/>
      <c r="UZL141" s="22"/>
      <c r="UZM141" s="22"/>
      <c r="UZN141" s="22"/>
      <c r="UZO141" s="22"/>
      <c r="UZP141" s="22"/>
      <c r="UZQ141" s="22"/>
      <c r="UZR141" s="22"/>
      <c r="UZS141" s="22"/>
      <c r="UZT141" s="22"/>
      <c r="UZU141" s="22"/>
      <c r="UZV141" s="22"/>
      <c r="UZW141" s="22"/>
      <c r="UZX141" s="22"/>
      <c r="UZY141" s="22"/>
      <c r="UZZ141" s="22"/>
      <c r="VAA141" s="22"/>
      <c r="VAB141" s="22"/>
      <c r="VAC141" s="22"/>
      <c r="VAD141" s="22"/>
      <c r="VAE141" s="22"/>
      <c r="VAF141" s="22"/>
      <c r="VAG141" s="22"/>
      <c r="VAH141" s="22"/>
      <c r="VAI141" s="22"/>
      <c r="VAJ141" s="22"/>
      <c r="VAK141" s="22"/>
      <c r="VAL141" s="22"/>
      <c r="VAM141" s="22"/>
      <c r="VAN141" s="22"/>
      <c r="VAO141" s="22"/>
      <c r="VAP141" s="22"/>
      <c r="VAQ141" s="22"/>
      <c r="VAR141" s="22"/>
      <c r="VAS141" s="22"/>
      <c r="VAT141" s="22"/>
      <c r="VAU141" s="22"/>
      <c r="VAV141" s="22"/>
      <c r="VAW141" s="22"/>
      <c r="VAX141" s="22"/>
      <c r="VAY141" s="22"/>
      <c r="VAZ141" s="22"/>
      <c r="VBA141" s="22"/>
      <c r="VBB141" s="22"/>
      <c r="VBC141" s="22"/>
      <c r="VBD141" s="22"/>
      <c r="VBE141" s="22"/>
      <c r="VBF141" s="22"/>
      <c r="VBG141" s="22"/>
      <c r="VBH141" s="22"/>
      <c r="VBI141" s="22"/>
      <c r="VBJ141" s="22"/>
      <c r="VBK141" s="22"/>
      <c r="VBL141" s="22"/>
      <c r="VBM141" s="22"/>
      <c r="VBN141" s="22"/>
      <c r="VBO141" s="22"/>
      <c r="VBP141" s="22"/>
      <c r="VBQ141" s="22"/>
      <c r="VBR141" s="22"/>
      <c r="VBS141" s="22"/>
      <c r="VBT141" s="22"/>
      <c r="VBU141" s="22"/>
      <c r="VBV141" s="22"/>
      <c r="VBW141" s="22"/>
      <c r="VBX141" s="22"/>
      <c r="VBY141" s="22"/>
      <c r="VBZ141" s="22"/>
      <c r="VCA141" s="22"/>
      <c r="VCB141" s="22"/>
      <c r="VCC141" s="22"/>
      <c r="VCD141" s="22"/>
      <c r="VCE141" s="22"/>
      <c r="VCF141" s="22"/>
      <c r="VCG141" s="22"/>
      <c r="VCH141" s="22"/>
      <c r="VCI141" s="22"/>
      <c r="VCJ141" s="22"/>
      <c r="VCK141" s="22"/>
      <c r="VCL141" s="22"/>
      <c r="VCM141" s="22"/>
      <c r="VCN141" s="22"/>
      <c r="VCO141" s="22"/>
      <c r="VCP141" s="22"/>
      <c r="VCQ141" s="22"/>
      <c r="VCR141" s="22"/>
      <c r="VCS141" s="22"/>
      <c r="VCT141" s="22"/>
      <c r="VCU141" s="22"/>
      <c r="VCV141" s="22"/>
      <c r="VCW141" s="22"/>
      <c r="VCX141" s="22"/>
      <c r="VCY141" s="22"/>
      <c r="VCZ141" s="22"/>
      <c r="VDA141" s="22"/>
      <c r="VDB141" s="22"/>
      <c r="VDC141" s="22"/>
      <c r="VDD141" s="22"/>
      <c r="VDE141" s="22"/>
      <c r="VDF141" s="22"/>
      <c r="VDG141" s="22"/>
      <c r="VDH141" s="22"/>
      <c r="VDI141" s="22"/>
      <c r="VDJ141" s="22"/>
      <c r="VDK141" s="22"/>
      <c r="VDL141" s="22"/>
      <c r="VDM141" s="22"/>
      <c r="VDN141" s="22"/>
      <c r="VDO141" s="22"/>
      <c r="VDP141" s="22"/>
      <c r="VDQ141" s="22"/>
      <c r="VDR141" s="22"/>
      <c r="VDS141" s="22"/>
      <c r="VDT141" s="22"/>
      <c r="VDU141" s="22"/>
      <c r="VDV141" s="22"/>
      <c r="VDW141" s="22"/>
      <c r="VDX141" s="22"/>
      <c r="VDY141" s="22"/>
      <c r="VDZ141" s="22"/>
      <c r="VEA141" s="22"/>
      <c r="VEB141" s="22"/>
      <c r="VEC141" s="22"/>
      <c r="VED141" s="22"/>
      <c r="VEE141" s="22"/>
      <c r="VEF141" s="22"/>
      <c r="VEG141" s="22"/>
      <c r="VEH141" s="22"/>
      <c r="VEI141" s="22"/>
      <c r="VEJ141" s="22"/>
      <c r="VEK141" s="22"/>
      <c r="VEL141" s="22"/>
      <c r="VEM141" s="22"/>
      <c r="VEN141" s="22"/>
      <c r="VEO141" s="22"/>
      <c r="VEP141" s="22"/>
      <c r="VEQ141" s="22"/>
      <c r="VER141" s="22"/>
      <c r="VES141" s="22"/>
      <c r="VET141" s="22"/>
      <c r="VEU141" s="22"/>
      <c r="VEV141" s="22"/>
      <c r="VEW141" s="22"/>
      <c r="VEX141" s="22"/>
      <c r="VEY141" s="22"/>
      <c r="VEZ141" s="22"/>
      <c r="VFA141" s="22"/>
      <c r="VFB141" s="22"/>
      <c r="VFC141" s="22"/>
      <c r="VFD141" s="22"/>
      <c r="VFE141" s="22"/>
      <c r="VFF141" s="22"/>
      <c r="VFG141" s="22"/>
      <c r="VFH141" s="22"/>
      <c r="VFI141" s="22"/>
      <c r="VFJ141" s="22"/>
      <c r="VFK141" s="22"/>
      <c r="VFL141" s="22"/>
      <c r="VFM141" s="22"/>
      <c r="VFN141" s="22"/>
      <c r="VFO141" s="22"/>
      <c r="VFP141" s="22"/>
      <c r="VFQ141" s="22"/>
      <c r="VFR141" s="22"/>
      <c r="VFS141" s="22"/>
      <c r="VFT141" s="22"/>
      <c r="VFU141" s="22"/>
      <c r="VFV141" s="22"/>
      <c r="VFW141" s="22"/>
      <c r="VFX141" s="22"/>
      <c r="VFY141" s="22"/>
      <c r="VFZ141" s="22"/>
      <c r="VGA141" s="22"/>
      <c r="VGB141" s="22"/>
      <c r="VGC141" s="22"/>
      <c r="VGD141" s="22"/>
      <c r="VGE141" s="22"/>
      <c r="VGF141" s="22"/>
      <c r="VGG141" s="22"/>
      <c r="VGH141" s="22"/>
      <c r="VGI141" s="22"/>
      <c r="VGJ141" s="22"/>
      <c r="VGK141" s="22"/>
      <c r="VGL141" s="22"/>
      <c r="VGM141" s="22"/>
      <c r="VGN141" s="22"/>
      <c r="VGO141" s="22"/>
      <c r="VGP141" s="22"/>
      <c r="VGQ141" s="22"/>
      <c r="VGR141" s="22"/>
      <c r="VGS141" s="22"/>
      <c r="VGT141" s="22"/>
      <c r="VGU141" s="22"/>
      <c r="VGV141" s="22"/>
      <c r="VGW141" s="22"/>
      <c r="VGX141" s="22"/>
      <c r="VGY141" s="22"/>
      <c r="VGZ141" s="22"/>
      <c r="VHA141" s="22"/>
      <c r="VHB141" s="22"/>
      <c r="VHC141" s="22"/>
      <c r="VHD141" s="22"/>
      <c r="VHE141" s="22"/>
      <c r="VHF141" s="22"/>
      <c r="VHG141" s="22"/>
      <c r="VHH141" s="22"/>
      <c r="VHI141" s="22"/>
      <c r="VHJ141" s="22"/>
      <c r="VHK141" s="22"/>
      <c r="VHL141" s="22"/>
      <c r="VHM141" s="22"/>
      <c r="VHN141" s="22"/>
      <c r="VHO141" s="22"/>
      <c r="VHP141" s="22"/>
      <c r="VHQ141" s="22"/>
      <c r="VHR141" s="22"/>
      <c r="VHS141" s="22"/>
      <c r="VHT141" s="22"/>
      <c r="VHU141" s="22"/>
      <c r="VHV141" s="22"/>
      <c r="VHW141" s="22"/>
      <c r="VHX141" s="22"/>
      <c r="VHY141" s="22"/>
      <c r="VHZ141" s="22"/>
      <c r="VIA141" s="22"/>
      <c r="VIB141" s="22"/>
      <c r="VIC141" s="22"/>
      <c r="VID141" s="22"/>
      <c r="VIE141" s="22"/>
      <c r="VIF141" s="22"/>
      <c r="VIG141" s="22"/>
      <c r="VIH141" s="22"/>
      <c r="VII141" s="22"/>
      <c r="VIJ141" s="22"/>
      <c r="VIK141" s="22"/>
      <c r="VIL141" s="22"/>
      <c r="VIM141" s="22"/>
      <c r="VIN141" s="22"/>
      <c r="VIO141" s="22"/>
      <c r="VIP141" s="22"/>
      <c r="VIQ141" s="22"/>
      <c r="VIR141" s="22"/>
      <c r="VIS141" s="22"/>
      <c r="VIT141" s="22"/>
      <c r="VIU141" s="22"/>
      <c r="VIV141" s="22"/>
      <c r="VIW141" s="22"/>
      <c r="VIX141" s="22"/>
      <c r="VIY141" s="22"/>
      <c r="VIZ141" s="22"/>
      <c r="VJA141" s="22"/>
      <c r="VJB141" s="22"/>
      <c r="VJC141" s="22"/>
      <c r="VJD141" s="22"/>
      <c r="VJE141" s="22"/>
      <c r="VJF141" s="22"/>
      <c r="VJG141" s="22"/>
      <c r="VJH141" s="22"/>
      <c r="VJI141" s="22"/>
      <c r="VJJ141" s="22"/>
      <c r="VJK141" s="22"/>
      <c r="VJL141" s="22"/>
      <c r="VJM141" s="22"/>
      <c r="VJN141" s="22"/>
      <c r="VJO141" s="22"/>
      <c r="VJP141" s="22"/>
      <c r="VJQ141" s="22"/>
      <c r="VJR141" s="22"/>
      <c r="VJS141" s="22"/>
      <c r="VJT141" s="22"/>
      <c r="VJU141" s="22"/>
      <c r="VJV141" s="22"/>
      <c r="VJW141" s="22"/>
      <c r="VJX141" s="22"/>
      <c r="VJY141" s="22"/>
      <c r="VJZ141" s="22"/>
      <c r="VKA141" s="22"/>
      <c r="VKB141" s="22"/>
      <c r="VKC141" s="22"/>
      <c r="VKD141" s="22"/>
      <c r="VKE141" s="22"/>
      <c r="VKF141" s="22"/>
      <c r="VKG141" s="22"/>
      <c r="VKH141" s="22"/>
      <c r="VKI141" s="22"/>
      <c r="VKJ141" s="22"/>
      <c r="VKK141" s="22"/>
      <c r="VKL141" s="22"/>
      <c r="VKM141" s="22"/>
      <c r="VKN141" s="22"/>
      <c r="VKO141" s="22"/>
      <c r="VKP141" s="22"/>
      <c r="VKQ141" s="22"/>
      <c r="VKR141" s="22"/>
      <c r="VKS141" s="22"/>
      <c r="VKT141" s="22"/>
      <c r="VKU141" s="22"/>
      <c r="VKV141" s="22"/>
      <c r="VKW141" s="22"/>
      <c r="VKX141" s="22"/>
      <c r="VKY141" s="22"/>
      <c r="VKZ141" s="22"/>
      <c r="VLA141" s="22"/>
      <c r="VLB141" s="22"/>
      <c r="VLC141" s="22"/>
      <c r="VLD141" s="22"/>
      <c r="VLE141" s="22"/>
      <c r="VLF141" s="22"/>
      <c r="VLG141" s="22"/>
      <c r="VLH141" s="22"/>
      <c r="VLI141" s="22"/>
      <c r="VLJ141" s="22"/>
      <c r="VLK141" s="22"/>
      <c r="VLL141" s="22"/>
      <c r="VLM141" s="22"/>
      <c r="VLN141" s="22"/>
      <c r="VLO141" s="22"/>
      <c r="VLP141" s="22"/>
      <c r="VLQ141" s="22"/>
      <c r="VLR141" s="22"/>
      <c r="VLS141" s="22"/>
      <c r="VLT141" s="22"/>
      <c r="VLU141" s="22"/>
      <c r="VLV141" s="22"/>
      <c r="VLW141" s="22"/>
      <c r="VLX141" s="22"/>
      <c r="VLY141" s="22"/>
      <c r="VLZ141" s="22"/>
      <c r="VMA141" s="22"/>
      <c r="VMB141" s="22"/>
      <c r="VMC141" s="22"/>
      <c r="VMD141" s="22"/>
      <c r="VME141" s="22"/>
      <c r="VMF141" s="22"/>
      <c r="VMG141" s="22"/>
      <c r="VMH141" s="22"/>
      <c r="VMI141" s="22"/>
      <c r="VMJ141" s="22"/>
      <c r="VMK141" s="22"/>
      <c r="VML141" s="22"/>
      <c r="VMM141" s="22"/>
      <c r="VMN141" s="22"/>
      <c r="VMO141" s="22"/>
      <c r="VMP141" s="22"/>
      <c r="VMQ141" s="22"/>
      <c r="VMR141" s="22"/>
      <c r="VMS141" s="22"/>
      <c r="VMT141" s="22"/>
      <c r="VMU141" s="22"/>
      <c r="VMV141" s="22"/>
      <c r="VMW141" s="22"/>
      <c r="VMX141" s="22"/>
      <c r="VMY141" s="22"/>
      <c r="VMZ141" s="22"/>
      <c r="VNA141" s="22"/>
      <c r="VNB141" s="22"/>
      <c r="VNC141" s="22"/>
      <c r="VND141" s="22"/>
      <c r="VNE141" s="22"/>
      <c r="VNF141" s="22"/>
      <c r="VNG141" s="22"/>
      <c r="VNH141" s="22"/>
      <c r="VNI141" s="22"/>
      <c r="VNJ141" s="22"/>
      <c r="VNK141" s="22"/>
      <c r="VNL141" s="22"/>
      <c r="VNM141" s="22"/>
      <c r="VNN141" s="22"/>
      <c r="VNO141" s="22"/>
      <c r="VNP141" s="22"/>
      <c r="VNQ141" s="22"/>
      <c r="VNR141" s="22"/>
      <c r="VNS141" s="22"/>
      <c r="VNT141" s="22"/>
      <c r="VNU141" s="22"/>
      <c r="VNV141" s="22"/>
      <c r="VNW141" s="22"/>
      <c r="VNX141" s="22"/>
      <c r="VNY141" s="22"/>
      <c r="VNZ141" s="22"/>
      <c r="VOA141" s="22"/>
      <c r="VOB141" s="22"/>
      <c r="VOC141" s="22"/>
      <c r="VOD141" s="22"/>
      <c r="VOE141" s="22"/>
      <c r="VOF141" s="22"/>
      <c r="VOG141" s="22"/>
      <c r="VOH141" s="22"/>
      <c r="VOI141" s="22"/>
      <c r="VOJ141" s="22"/>
      <c r="VOK141" s="22"/>
      <c r="VOL141" s="22"/>
      <c r="VOM141" s="22"/>
      <c r="VON141" s="22"/>
      <c r="VOO141" s="22"/>
      <c r="VOP141" s="22"/>
      <c r="VOQ141" s="22"/>
      <c r="VOR141" s="22"/>
      <c r="VOS141" s="22"/>
      <c r="VOT141" s="22"/>
      <c r="VOU141" s="22"/>
      <c r="VOV141" s="22"/>
      <c r="VOW141" s="22"/>
      <c r="VOX141" s="22"/>
      <c r="VOY141" s="22"/>
      <c r="VOZ141" s="22"/>
      <c r="VPA141" s="22"/>
      <c r="VPB141" s="22"/>
      <c r="VPC141" s="22"/>
      <c r="VPD141" s="22"/>
      <c r="VPE141" s="22"/>
      <c r="VPF141" s="22"/>
      <c r="VPG141" s="22"/>
      <c r="VPH141" s="22"/>
      <c r="VPI141" s="22"/>
      <c r="VPJ141" s="22"/>
      <c r="VPK141" s="22"/>
      <c r="VPL141" s="22"/>
      <c r="VPM141" s="22"/>
      <c r="VPN141" s="22"/>
      <c r="VPO141" s="22"/>
      <c r="VPP141" s="22"/>
      <c r="VPQ141" s="22"/>
      <c r="VPR141" s="22"/>
      <c r="VPS141" s="22"/>
      <c r="VPT141" s="22"/>
      <c r="VPU141" s="22"/>
      <c r="VPV141" s="22"/>
      <c r="VPW141" s="22"/>
      <c r="VPX141" s="22"/>
      <c r="VPY141" s="22"/>
      <c r="VPZ141" s="22"/>
      <c r="VQA141" s="22"/>
      <c r="VQB141" s="22"/>
      <c r="VQC141" s="22"/>
      <c r="VQD141" s="22"/>
      <c r="VQE141" s="22"/>
      <c r="VQF141" s="22"/>
      <c r="VQG141" s="22"/>
      <c r="VQH141" s="22"/>
      <c r="VQI141" s="22"/>
      <c r="VQJ141" s="22"/>
      <c r="VQK141" s="22"/>
      <c r="VQL141" s="22"/>
      <c r="VQM141" s="22"/>
      <c r="VQN141" s="22"/>
      <c r="VQO141" s="22"/>
      <c r="VQP141" s="22"/>
      <c r="VQQ141" s="22"/>
      <c r="VQR141" s="22"/>
      <c r="VQS141" s="22"/>
      <c r="VQT141" s="22"/>
      <c r="VQU141" s="22"/>
      <c r="VQV141" s="22"/>
      <c r="VQW141" s="22"/>
      <c r="VQX141" s="22"/>
      <c r="VQY141" s="22"/>
      <c r="VQZ141" s="22"/>
      <c r="VRA141" s="22"/>
      <c r="VRB141" s="22"/>
      <c r="VRC141" s="22"/>
      <c r="VRD141" s="22"/>
      <c r="VRE141" s="22"/>
      <c r="VRF141" s="22"/>
      <c r="VRG141" s="22"/>
      <c r="VRH141" s="22"/>
      <c r="VRI141" s="22"/>
      <c r="VRJ141" s="22"/>
      <c r="VRK141" s="22"/>
      <c r="VRL141" s="22"/>
      <c r="VRM141" s="22"/>
      <c r="VRN141" s="22"/>
      <c r="VRO141" s="22"/>
      <c r="VRP141" s="22"/>
      <c r="VRQ141" s="22"/>
      <c r="VRR141" s="22"/>
      <c r="VRS141" s="22"/>
      <c r="VRT141" s="22"/>
      <c r="VRU141" s="22"/>
      <c r="VRV141" s="22"/>
      <c r="VRW141" s="22"/>
      <c r="VRX141" s="22"/>
      <c r="VRY141" s="22"/>
      <c r="VRZ141" s="22"/>
      <c r="VSA141" s="22"/>
      <c r="VSB141" s="22"/>
      <c r="VSC141" s="22"/>
      <c r="VSD141" s="22"/>
      <c r="VSE141" s="22"/>
      <c r="VSF141" s="22"/>
      <c r="VSG141" s="22"/>
      <c r="VSH141" s="22"/>
      <c r="VSI141" s="22"/>
      <c r="VSJ141" s="22"/>
      <c r="VSK141" s="22"/>
      <c r="VSL141" s="22"/>
      <c r="VSM141" s="22"/>
      <c r="VSN141" s="22"/>
      <c r="VSO141" s="22"/>
      <c r="VSP141" s="22"/>
      <c r="VSQ141" s="22"/>
      <c r="VSR141" s="22"/>
      <c r="VSS141" s="22"/>
      <c r="VST141" s="22"/>
      <c r="VSU141" s="22"/>
      <c r="VSV141" s="22"/>
      <c r="VSW141" s="22"/>
      <c r="VSX141" s="22"/>
      <c r="VSY141" s="22"/>
      <c r="VSZ141" s="22"/>
      <c r="VTA141" s="22"/>
      <c r="VTB141" s="22"/>
      <c r="VTC141" s="22"/>
      <c r="VTD141" s="22"/>
      <c r="VTE141" s="22"/>
      <c r="VTF141" s="22"/>
      <c r="VTG141" s="22"/>
      <c r="VTH141" s="22"/>
      <c r="VTI141" s="22"/>
      <c r="VTJ141" s="22"/>
      <c r="VTK141" s="22"/>
      <c r="VTL141" s="22"/>
      <c r="VTM141" s="22"/>
      <c r="VTN141" s="22"/>
      <c r="VTO141" s="22"/>
      <c r="VTP141" s="22"/>
      <c r="VTQ141" s="22"/>
      <c r="VTR141" s="22"/>
      <c r="VTS141" s="22"/>
      <c r="VTT141" s="22"/>
      <c r="VTU141" s="22"/>
      <c r="VTV141" s="22"/>
      <c r="VTW141" s="22"/>
      <c r="VTX141" s="22"/>
      <c r="VTY141" s="22"/>
      <c r="VTZ141" s="22"/>
      <c r="VUA141" s="22"/>
      <c r="VUB141" s="22"/>
      <c r="VUC141" s="22"/>
      <c r="VUD141" s="22"/>
      <c r="VUE141" s="22"/>
      <c r="VUF141" s="22"/>
      <c r="VUG141" s="22"/>
      <c r="VUH141" s="22"/>
      <c r="VUI141" s="22"/>
      <c r="VUJ141" s="22"/>
      <c r="VUK141" s="22"/>
      <c r="VUL141" s="22"/>
      <c r="VUM141" s="22"/>
      <c r="VUN141" s="22"/>
      <c r="VUO141" s="22"/>
      <c r="VUP141" s="22"/>
      <c r="VUQ141" s="22"/>
      <c r="VUR141" s="22"/>
      <c r="VUS141" s="22"/>
      <c r="VUT141" s="22"/>
      <c r="VUU141" s="22"/>
      <c r="VUV141" s="22"/>
      <c r="VUW141" s="22"/>
      <c r="VUX141" s="22"/>
      <c r="VUY141" s="22"/>
      <c r="VUZ141" s="22"/>
      <c r="VVA141" s="22"/>
      <c r="VVB141" s="22"/>
      <c r="VVC141" s="22"/>
      <c r="VVD141" s="22"/>
      <c r="VVE141" s="22"/>
      <c r="VVF141" s="22"/>
      <c r="VVG141" s="22"/>
      <c r="VVH141" s="22"/>
      <c r="VVI141" s="22"/>
      <c r="VVJ141" s="22"/>
      <c r="VVK141" s="22"/>
      <c r="VVL141" s="22"/>
      <c r="VVM141" s="22"/>
      <c r="VVN141" s="22"/>
      <c r="VVO141" s="22"/>
      <c r="VVP141" s="22"/>
      <c r="VVQ141" s="22"/>
      <c r="VVR141" s="22"/>
      <c r="VVS141" s="22"/>
      <c r="VVT141" s="22"/>
      <c r="VVU141" s="22"/>
      <c r="VVV141" s="22"/>
      <c r="VVW141" s="22"/>
      <c r="VVX141" s="22"/>
      <c r="VVY141" s="22"/>
      <c r="VVZ141" s="22"/>
      <c r="VWA141" s="22"/>
      <c r="VWB141" s="22"/>
      <c r="VWC141" s="22"/>
      <c r="VWD141" s="22"/>
      <c r="VWE141" s="22"/>
      <c r="VWF141" s="22"/>
      <c r="VWG141" s="22"/>
      <c r="VWH141" s="22"/>
      <c r="VWI141" s="22"/>
      <c r="VWJ141" s="22"/>
      <c r="VWK141" s="22"/>
      <c r="VWL141" s="22"/>
      <c r="VWM141" s="22"/>
      <c r="VWN141" s="22"/>
      <c r="VWO141" s="22"/>
      <c r="VWP141" s="22"/>
      <c r="VWQ141" s="22"/>
      <c r="VWR141" s="22"/>
      <c r="VWS141" s="22"/>
      <c r="VWT141" s="22"/>
      <c r="VWU141" s="22"/>
      <c r="VWV141" s="22"/>
      <c r="VWW141" s="22"/>
      <c r="VWX141" s="22"/>
      <c r="VWY141" s="22"/>
      <c r="VWZ141" s="22"/>
      <c r="VXA141" s="22"/>
      <c r="VXB141" s="22"/>
      <c r="VXC141" s="22"/>
      <c r="VXD141" s="22"/>
      <c r="VXE141" s="22"/>
      <c r="VXF141" s="22"/>
      <c r="VXG141" s="22"/>
      <c r="VXH141" s="22"/>
      <c r="VXI141" s="22"/>
      <c r="VXJ141" s="22"/>
      <c r="VXK141" s="22"/>
      <c r="VXL141" s="22"/>
      <c r="VXM141" s="22"/>
      <c r="VXN141" s="22"/>
      <c r="VXO141" s="22"/>
      <c r="VXP141" s="22"/>
      <c r="VXQ141" s="22"/>
      <c r="VXR141" s="22"/>
      <c r="VXS141" s="22"/>
      <c r="VXT141" s="22"/>
      <c r="VXU141" s="22"/>
      <c r="VXV141" s="22"/>
      <c r="VXW141" s="22"/>
      <c r="VXX141" s="22"/>
      <c r="VXY141" s="22"/>
      <c r="VXZ141" s="22"/>
      <c r="VYA141" s="22"/>
      <c r="VYB141" s="22"/>
      <c r="VYC141" s="22"/>
      <c r="VYD141" s="22"/>
      <c r="VYE141" s="22"/>
      <c r="VYF141" s="22"/>
      <c r="VYG141" s="22"/>
      <c r="VYH141" s="22"/>
      <c r="VYI141" s="22"/>
      <c r="VYJ141" s="22"/>
      <c r="VYK141" s="22"/>
      <c r="VYL141" s="22"/>
      <c r="VYM141" s="22"/>
      <c r="VYN141" s="22"/>
      <c r="VYO141" s="22"/>
      <c r="VYP141" s="22"/>
      <c r="VYQ141" s="22"/>
      <c r="VYR141" s="22"/>
      <c r="VYS141" s="22"/>
      <c r="VYT141" s="22"/>
      <c r="VYU141" s="22"/>
      <c r="VYV141" s="22"/>
      <c r="VYW141" s="22"/>
      <c r="VYX141" s="22"/>
      <c r="VYY141" s="22"/>
      <c r="VYZ141" s="22"/>
      <c r="VZA141" s="22"/>
      <c r="VZB141" s="22"/>
      <c r="VZC141" s="22"/>
      <c r="VZD141" s="22"/>
      <c r="VZE141" s="22"/>
      <c r="VZF141" s="22"/>
      <c r="VZG141" s="22"/>
      <c r="VZH141" s="22"/>
      <c r="VZI141" s="22"/>
      <c r="VZJ141" s="22"/>
      <c r="VZK141" s="22"/>
      <c r="VZL141" s="22"/>
      <c r="VZM141" s="22"/>
      <c r="VZN141" s="22"/>
      <c r="VZO141" s="22"/>
      <c r="VZP141" s="22"/>
      <c r="VZQ141" s="22"/>
      <c r="VZR141" s="22"/>
      <c r="VZS141" s="22"/>
      <c r="VZT141" s="22"/>
      <c r="VZU141" s="22"/>
      <c r="VZV141" s="22"/>
      <c r="VZW141" s="22"/>
      <c r="VZX141" s="22"/>
      <c r="VZY141" s="22"/>
      <c r="VZZ141" s="22"/>
      <c r="WAA141" s="22"/>
      <c r="WAB141" s="22"/>
      <c r="WAC141" s="22"/>
      <c r="WAD141" s="22"/>
      <c r="WAE141" s="22"/>
      <c r="WAF141" s="22"/>
      <c r="WAG141" s="22"/>
      <c r="WAH141" s="22"/>
      <c r="WAI141" s="22"/>
      <c r="WAJ141" s="22"/>
      <c r="WAK141" s="22"/>
      <c r="WAL141" s="22"/>
      <c r="WAM141" s="22"/>
      <c r="WAN141" s="22"/>
      <c r="WAO141" s="22"/>
      <c r="WAP141" s="22"/>
      <c r="WAQ141" s="22"/>
      <c r="WAR141" s="22"/>
      <c r="WAS141" s="22"/>
      <c r="WAT141" s="22"/>
      <c r="WAU141" s="22"/>
      <c r="WAV141" s="22"/>
      <c r="WAW141" s="22"/>
      <c r="WAX141" s="22"/>
      <c r="WAY141" s="22"/>
      <c r="WAZ141" s="22"/>
      <c r="WBA141" s="22"/>
      <c r="WBB141" s="22"/>
      <c r="WBC141" s="22"/>
      <c r="WBD141" s="22"/>
      <c r="WBE141" s="22"/>
      <c r="WBF141" s="22"/>
      <c r="WBG141" s="22"/>
      <c r="WBH141" s="22"/>
      <c r="WBI141" s="22"/>
      <c r="WBJ141" s="22"/>
      <c r="WBK141" s="22"/>
      <c r="WBL141" s="22"/>
      <c r="WBM141" s="22"/>
      <c r="WBN141" s="22"/>
      <c r="WBO141" s="22"/>
      <c r="WBP141" s="22"/>
      <c r="WBQ141" s="22"/>
      <c r="WBR141" s="22"/>
      <c r="WBS141" s="22"/>
      <c r="WBT141" s="22"/>
      <c r="WBU141" s="22"/>
      <c r="WBV141" s="22"/>
      <c r="WBW141" s="22"/>
      <c r="WBX141" s="22"/>
      <c r="WBY141" s="22"/>
      <c r="WBZ141" s="22"/>
      <c r="WCA141" s="22"/>
      <c r="WCB141" s="22"/>
      <c r="WCC141" s="22"/>
      <c r="WCD141" s="22"/>
      <c r="WCE141" s="22"/>
      <c r="WCF141" s="22"/>
      <c r="WCG141" s="22"/>
      <c r="WCH141" s="22"/>
      <c r="WCI141" s="22"/>
      <c r="WCJ141" s="22"/>
      <c r="WCK141" s="22"/>
      <c r="WCL141" s="22"/>
      <c r="WCM141" s="22"/>
      <c r="WCN141" s="22"/>
      <c r="WCO141" s="22"/>
      <c r="WCP141" s="22"/>
      <c r="WCQ141" s="22"/>
      <c r="WCR141" s="22"/>
      <c r="WCS141" s="22"/>
      <c r="WCT141" s="22"/>
      <c r="WCU141" s="22"/>
      <c r="WCV141" s="22"/>
      <c r="WCW141" s="22"/>
      <c r="WCX141" s="22"/>
      <c r="WCY141" s="22"/>
      <c r="WCZ141" s="22"/>
      <c r="WDA141" s="22"/>
      <c r="WDB141" s="22"/>
      <c r="WDC141" s="22"/>
      <c r="WDD141" s="22"/>
      <c r="WDE141" s="22"/>
      <c r="WDF141" s="22"/>
      <c r="WDG141" s="22"/>
      <c r="WDH141" s="22"/>
      <c r="WDI141" s="22"/>
      <c r="WDJ141" s="22"/>
      <c r="WDK141" s="22"/>
      <c r="WDL141" s="22"/>
      <c r="WDM141" s="22"/>
      <c r="WDN141" s="22"/>
      <c r="WDO141" s="22"/>
      <c r="WDP141" s="22"/>
      <c r="WDQ141" s="22"/>
      <c r="WDR141" s="22"/>
      <c r="WDS141" s="22"/>
      <c r="WDT141" s="22"/>
      <c r="WDU141" s="22"/>
      <c r="WDV141" s="22"/>
      <c r="WDW141" s="22"/>
      <c r="WDX141" s="22"/>
      <c r="WDY141" s="22"/>
      <c r="WDZ141" s="22"/>
      <c r="WEA141" s="22"/>
      <c r="WEB141" s="22"/>
      <c r="WEC141" s="22"/>
      <c r="WED141" s="22"/>
      <c r="WEE141" s="22"/>
      <c r="WEF141" s="22"/>
      <c r="WEG141" s="22"/>
      <c r="WEH141" s="22"/>
      <c r="WEI141" s="22"/>
      <c r="WEJ141" s="22"/>
      <c r="WEK141" s="22"/>
      <c r="WEL141" s="22"/>
      <c r="WEM141" s="22"/>
      <c r="WEN141" s="22"/>
      <c r="WEO141" s="22"/>
      <c r="WEP141" s="22"/>
      <c r="WEQ141" s="22"/>
      <c r="WER141" s="22"/>
      <c r="WES141" s="22"/>
      <c r="WET141" s="22"/>
      <c r="WEU141" s="22"/>
      <c r="WEV141" s="22"/>
      <c r="WEW141" s="22"/>
      <c r="WEX141" s="22"/>
      <c r="WEY141" s="22"/>
      <c r="WEZ141" s="22"/>
      <c r="WFA141" s="22"/>
      <c r="WFB141" s="22"/>
      <c r="WFC141" s="22"/>
      <c r="WFD141" s="22"/>
      <c r="WFE141" s="22"/>
      <c r="WFF141" s="22"/>
      <c r="WFG141" s="22"/>
      <c r="WFH141" s="22"/>
      <c r="WFI141" s="22"/>
      <c r="WFJ141" s="22"/>
      <c r="WFK141" s="22"/>
      <c r="WFL141" s="22"/>
      <c r="WFM141" s="22"/>
      <c r="WFN141" s="22"/>
      <c r="WFO141" s="22"/>
      <c r="WFP141" s="22"/>
      <c r="WFQ141" s="22"/>
      <c r="WFR141" s="22"/>
      <c r="WFS141" s="22"/>
      <c r="WFT141" s="22"/>
      <c r="WFU141" s="22"/>
      <c r="WFV141" s="22"/>
      <c r="WFW141" s="22"/>
      <c r="WFX141" s="22"/>
      <c r="WFY141" s="22"/>
      <c r="WFZ141" s="22"/>
      <c r="WGA141" s="22"/>
      <c r="WGB141" s="22"/>
      <c r="WGC141" s="22"/>
      <c r="WGD141" s="22"/>
      <c r="WGE141" s="22"/>
      <c r="WGF141" s="22"/>
      <c r="WGG141" s="22"/>
      <c r="WGH141" s="22"/>
      <c r="WGI141" s="22"/>
      <c r="WGJ141" s="22"/>
      <c r="WGK141" s="22"/>
      <c r="WGL141" s="22"/>
      <c r="WGM141" s="22"/>
      <c r="WGN141" s="22"/>
      <c r="WGO141" s="22"/>
      <c r="WGP141" s="22"/>
      <c r="WGQ141" s="22"/>
      <c r="WGR141" s="22"/>
      <c r="WGS141" s="22"/>
      <c r="WGT141" s="22"/>
      <c r="WGU141" s="22"/>
      <c r="WGV141" s="22"/>
      <c r="WGW141" s="22"/>
      <c r="WGX141" s="22"/>
      <c r="WGY141" s="22"/>
      <c r="WGZ141" s="22"/>
      <c r="WHA141" s="22"/>
      <c r="WHB141" s="22"/>
      <c r="WHC141" s="22"/>
      <c r="WHD141" s="22"/>
      <c r="WHE141" s="22"/>
      <c r="WHF141" s="22"/>
      <c r="WHG141" s="22"/>
      <c r="WHH141" s="22"/>
      <c r="WHI141" s="22"/>
      <c r="WHJ141" s="22"/>
      <c r="WHK141" s="22"/>
      <c r="WHL141" s="22"/>
      <c r="WHM141" s="22"/>
      <c r="WHN141" s="22"/>
      <c r="WHO141" s="22"/>
      <c r="WHP141" s="22"/>
      <c r="WHQ141" s="22"/>
      <c r="WHR141" s="22"/>
      <c r="WHS141" s="22"/>
      <c r="WHT141" s="22"/>
      <c r="WHU141" s="22"/>
      <c r="WHV141" s="22"/>
      <c r="WHW141" s="22"/>
      <c r="WHX141" s="22"/>
      <c r="WHY141" s="22"/>
      <c r="WHZ141" s="22"/>
      <c r="WIA141" s="22"/>
      <c r="WIB141" s="22"/>
      <c r="WIC141" s="22"/>
      <c r="WID141" s="22"/>
      <c r="WIE141" s="22"/>
      <c r="WIF141" s="22"/>
      <c r="WIG141" s="22"/>
      <c r="WIH141" s="22"/>
      <c r="WII141" s="22"/>
      <c r="WIJ141" s="22"/>
      <c r="WIK141" s="22"/>
      <c r="WIL141" s="22"/>
      <c r="WIM141" s="22"/>
      <c r="WIN141" s="22"/>
      <c r="WIO141" s="22"/>
      <c r="WIP141" s="22"/>
      <c r="WIQ141" s="22"/>
      <c r="WIR141" s="22"/>
      <c r="WIS141" s="22"/>
      <c r="WIT141" s="22"/>
      <c r="WIU141" s="22"/>
      <c r="WIV141" s="22"/>
      <c r="WIW141" s="22"/>
      <c r="WIX141" s="22"/>
      <c r="WIY141" s="22"/>
      <c r="WIZ141" s="22"/>
      <c r="WJA141" s="22"/>
      <c r="WJB141" s="22"/>
      <c r="WJC141" s="22"/>
      <c r="WJD141" s="22"/>
      <c r="WJE141" s="22"/>
      <c r="WJF141" s="22"/>
      <c r="WJG141" s="22"/>
      <c r="WJH141" s="22"/>
      <c r="WJI141" s="22"/>
      <c r="WJJ141" s="22"/>
      <c r="WJK141" s="22"/>
      <c r="WJL141" s="22"/>
      <c r="WJM141" s="22"/>
      <c r="WJN141" s="22"/>
      <c r="WJO141" s="22"/>
      <c r="WJP141" s="22"/>
      <c r="WJQ141" s="22"/>
      <c r="WJR141" s="22"/>
      <c r="WJS141" s="22"/>
      <c r="WJT141" s="22"/>
      <c r="WJU141" s="22"/>
      <c r="WJV141" s="22"/>
      <c r="WJW141" s="22"/>
      <c r="WJX141" s="22"/>
      <c r="WJY141" s="22"/>
      <c r="WJZ141" s="22"/>
      <c r="WKA141" s="22"/>
      <c r="WKB141" s="22"/>
      <c r="WKC141" s="22"/>
      <c r="WKD141" s="22"/>
      <c r="WKE141" s="22"/>
      <c r="WKF141" s="22"/>
      <c r="WKG141" s="22"/>
      <c r="WKH141" s="22"/>
      <c r="WKI141" s="22"/>
      <c r="WKJ141" s="22"/>
      <c r="WKK141" s="22"/>
      <c r="WKL141" s="22"/>
      <c r="WKM141" s="22"/>
      <c r="WKN141" s="22"/>
      <c r="WKO141" s="22"/>
      <c r="WKP141" s="22"/>
      <c r="WKQ141" s="22"/>
      <c r="WKR141" s="22"/>
      <c r="WKS141" s="22"/>
      <c r="WKT141" s="22"/>
      <c r="WKU141" s="22"/>
      <c r="WKV141" s="22"/>
      <c r="WKW141" s="22"/>
      <c r="WKX141" s="22"/>
      <c r="WKY141" s="22"/>
      <c r="WKZ141" s="22"/>
      <c r="WLA141" s="22"/>
      <c r="WLB141" s="22"/>
      <c r="WLC141" s="22"/>
      <c r="WLD141" s="22"/>
      <c r="WLE141" s="22"/>
      <c r="WLF141" s="22"/>
      <c r="WLG141" s="22"/>
      <c r="WLH141" s="22"/>
      <c r="WLI141" s="22"/>
      <c r="WLJ141" s="22"/>
      <c r="WLK141" s="22"/>
      <c r="WLL141" s="22"/>
      <c r="WLM141" s="22"/>
      <c r="WLN141" s="22"/>
      <c r="WLO141" s="22"/>
      <c r="WLP141" s="22"/>
      <c r="WLQ141" s="22"/>
      <c r="WLR141" s="22"/>
      <c r="WLS141" s="22"/>
      <c r="WLT141" s="22"/>
      <c r="WLU141" s="22"/>
      <c r="WLV141" s="22"/>
      <c r="WLW141" s="22"/>
      <c r="WLX141" s="22"/>
      <c r="WLY141" s="22"/>
      <c r="WLZ141" s="22"/>
      <c r="WMA141" s="22"/>
      <c r="WMB141" s="22"/>
      <c r="WMC141" s="22"/>
      <c r="WMD141" s="22"/>
      <c r="WME141" s="22"/>
      <c r="WMF141" s="22"/>
      <c r="WMG141" s="22"/>
      <c r="WMH141" s="22"/>
      <c r="WMI141" s="22"/>
      <c r="WMJ141" s="22"/>
      <c r="WMK141" s="22"/>
      <c r="WML141" s="22"/>
      <c r="WMM141" s="22"/>
      <c r="WMN141" s="22"/>
      <c r="WMO141" s="22"/>
      <c r="WMP141" s="22"/>
      <c r="WMQ141" s="22"/>
      <c r="WMR141" s="22"/>
      <c r="WMS141" s="22"/>
      <c r="WMT141" s="22"/>
      <c r="WMU141" s="22"/>
      <c r="WMV141" s="22"/>
      <c r="WMW141" s="22"/>
      <c r="WMX141" s="22"/>
      <c r="WMY141" s="22"/>
      <c r="WMZ141" s="22"/>
      <c r="WNA141" s="22"/>
      <c r="WNB141" s="22"/>
      <c r="WNC141" s="22"/>
      <c r="WND141" s="22"/>
      <c r="WNE141" s="22"/>
      <c r="WNF141" s="22"/>
      <c r="WNG141" s="22"/>
      <c r="WNH141" s="22"/>
      <c r="WNI141" s="22"/>
      <c r="WNJ141" s="22"/>
      <c r="WNK141" s="22"/>
      <c r="WNL141" s="22"/>
      <c r="WNM141" s="22"/>
      <c r="WNN141" s="22"/>
      <c r="WNO141" s="22"/>
      <c r="WNP141" s="22"/>
      <c r="WNQ141" s="22"/>
      <c r="WNR141" s="22"/>
      <c r="WNS141" s="22"/>
      <c r="WNT141" s="22"/>
      <c r="WNU141" s="22"/>
      <c r="WNV141" s="22"/>
      <c r="WNW141" s="22"/>
      <c r="WNX141" s="22"/>
      <c r="WNY141" s="22"/>
      <c r="WNZ141" s="22"/>
      <c r="WOA141" s="22"/>
      <c r="WOB141" s="22"/>
      <c r="WOC141" s="22"/>
      <c r="WOD141" s="22"/>
      <c r="WOE141" s="22"/>
      <c r="WOF141" s="22"/>
      <c r="WOG141" s="22"/>
      <c r="WOH141" s="22"/>
      <c r="WOI141" s="22"/>
      <c r="WOJ141" s="22"/>
      <c r="WOK141" s="22"/>
      <c r="WOL141" s="22"/>
      <c r="WOM141" s="22"/>
      <c r="WON141" s="22"/>
      <c r="WOO141" s="22"/>
      <c r="WOP141" s="22"/>
      <c r="WOQ141" s="22"/>
      <c r="WOR141" s="22"/>
      <c r="WOS141" s="22"/>
      <c r="WOT141" s="22"/>
      <c r="WOU141" s="22"/>
      <c r="WOV141" s="22"/>
      <c r="WOW141" s="22"/>
      <c r="WOX141" s="22"/>
      <c r="WOY141" s="22"/>
      <c r="WOZ141" s="22"/>
      <c r="WPA141" s="22"/>
      <c r="WPB141" s="22"/>
      <c r="WPC141" s="22"/>
      <c r="WPD141" s="22"/>
      <c r="WPE141" s="22"/>
      <c r="WPF141" s="22"/>
      <c r="WPG141" s="22"/>
      <c r="WPH141" s="22"/>
      <c r="WPI141" s="22"/>
      <c r="WPJ141" s="22"/>
      <c r="WPK141" s="22"/>
      <c r="WPL141" s="22"/>
      <c r="WPM141" s="22"/>
      <c r="WPN141" s="22"/>
      <c r="WPO141" s="22"/>
      <c r="WPP141" s="22"/>
      <c r="WPQ141" s="22"/>
      <c r="WPR141" s="22"/>
      <c r="WPS141" s="22"/>
      <c r="WPT141" s="22"/>
      <c r="WPU141" s="22"/>
      <c r="WPV141" s="22"/>
      <c r="WPW141" s="22"/>
      <c r="WPX141" s="22"/>
      <c r="WPY141" s="22"/>
      <c r="WPZ141" s="22"/>
      <c r="WQA141" s="22"/>
      <c r="WQB141" s="22"/>
      <c r="WQC141" s="22"/>
      <c r="WQD141" s="22"/>
      <c r="WQE141" s="22"/>
      <c r="WQF141" s="22"/>
      <c r="WQG141" s="22"/>
      <c r="WQH141" s="22"/>
      <c r="WQI141" s="22"/>
      <c r="WQJ141" s="22"/>
      <c r="WQK141" s="22"/>
      <c r="WQL141" s="22"/>
      <c r="WQM141" s="22"/>
      <c r="WQN141" s="22"/>
      <c r="WQO141" s="22"/>
      <c r="WQP141" s="22"/>
      <c r="WQQ141" s="22"/>
      <c r="WQR141" s="22"/>
      <c r="WQS141" s="22"/>
      <c r="WQT141" s="22"/>
      <c r="WQU141" s="22"/>
      <c r="WQV141" s="22"/>
      <c r="WQW141" s="22"/>
      <c r="WQX141" s="22"/>
      <c r="WQY141" s="22"/>
      <c r="WQZ141" s="22"/>
      <c r="WRA141" s="22"/>
      <c r="WRB141" s="22"/>
      <c r="WRC141" s="22"/>
      <c r="WRD141" s="22"/>
      <c r="WRE141" s="22"/>
      <c r="WRF141" s="22"/>
      <c r="WRG141" s="22"/>
      <c r="WRH141" s="22"/>
      <c r="WRI141" s="22"/>
      <c r="WRJ141" s="22"/>
      <c r="WRK141" s="22"/>
      <c r="WRL141" s="22"/>
      <c r="WRM141" s="22"/>
      <c r="WRN141" s="22"/>
      <c r="WRO141" s="22"/>
      <c r="WRP141" s="22"/>
      <c r="WRQ141" s="22"/>
      <c r="WRR141" s="22"/>
      <c r="WRS141" s="22"/>
      <c r="WRT141" s="22"/>
      <c r="WRU141" s="22"/>
      <c r="WRV141" s="22"/>
      <c r="WRW141" s="22"/>
      <c r="WRX141" s="22"/>
      <c r="WRY141" s="22"/>
      <c r="WRZ141" s="22"/>
      <c r="WSA141" s="22"/>
      <c r="WSB141" s="22"/>
      <c r="WSC141" s="22"/>
      <c r="WSD141" s="22"/>
      <c r="WSE141" s="22"/>
      <c r="WSF141" s="22"/>
      <c r="WSG141" s="22"/>
      <c r="WSH141" s="22"/>
      <c r="WSI141" s="22"/>
      <c r="WSJ141" s="22"/>
      <c r="WSK141" s="22"/>
      <c r="WSL141" s="22"/>
      <c r="WSM141" s="22"/>
      <c r="WSN141" s="22"/>
      <c r="WSO141" s="22"/>
      <c r="WSP141" s="22"/>
      <c r="WSQ141" s="22"/>
      <c r="WSR141" s="22"/>
      <c r="WSS141" s="22"/>
      <c r="WST141" s="22"/>
      <c r="WSU141" s="22"/>
      <c r="WSV141" s="22"/>
      <c r="WSW141" s="22"/>
      <c r="WSX141" s="22"/>
      <c r="WSY141" s="22"/>
      <c r="WSZ141" s="22"/>
      <c r="WTA141" s="22"/>
      <c r="WTB141" s="22"/>
      <c r="WTC141" s="22"/>
      <c r="WTD141" s="22"/>
      <c r="WTE141" s="22"/>
      <c r="WTF141" s="22"/>
      <c r="WTG141" s="22"/>
      <c r="WTH141" s="22"/>
      <c r="WTI141" s="22"/>
      <c r="WTJ141" s="22"/>
      <c r="WTK141" s="22"/>
      <c r="WTL141" s="22"/>
      <c r="WTM141" s="22"/>
      <c r="WTN141" s="22"/>
      <c r="WTO141" s="22"/>
      <c r="WTP141" s="22"/>
      <c r="WTQ141" s="22"/>
      <c r="WTR141" s="22"/>
      <c r="WTS141" s="22"/>
      <c r="WTT141" s="22"/>
      <c r="WTU141" s="22"/>
      <c r="WTV141" s="22"/>
      <c r="WTW141" s="22"/>
      <c r="WTX141" s="22"/>
      <c r="WTY141" s="22"/>
      <c r="WTZ141" s="22"/>
      <c r="WUA141" s="22"/>
      <c r="WUB141" s="22"/>
      <c r="WUC141" s="22"/>
      <c r="WUD141" s="22"/>
      <c r="WUE141" s="22"/>
      <c r="WUF141" s="22"/>
      <c r="WUG141" s="22"/>
      <c r="WUH141" s="22"/>
      <c r="WUI141" s="22"/>
      <c r="WUJ141" s="22"/>
      <c r="WUK141" s="22"/>
      <c r="WUL141" s="22"/>
      <c r="WUM141" s="22"/>
      <c r="WUN141" s="22"/>
      <c r="WUO141" s="22"/>
      <c r="WUP141" s="22"/>
      <c r="WUQ141" s="22"/>
      <c r="WUR141" s="22"/>
      <c r="WUS141" s="22"/>
      <c r="WUT141" s="22"/>
      <c r="WUU141" s="22"/>
      <c r="WUV141" s="22"/>
      <c r="WUW141" s="22"/>
      <c r="WUX141" s="22"/>
      <c r="WUY141" s="22"/>
      <c r="WUZ141" s="22"/>
      <c r="WVA141" s="22"/>
      <c r="WVB141" s="22"/>
      <c r="WVC141" s="22"/>
      <c r="WVD141" s="22"/>
      <c r="WVE141" s="22"/>
      <c r="WVF141" s="22"/>
      <c r="WVG141" s="22"/>
      <c r="WVH141" s="22"/>
      <c r="WVI141" s="22"/>
      <c r="WVJ141" s="22"/>
      <c r="WVK141" s="22"/>
      <c r="WVL141" s="22"/>
      <c r="WVM141" s="22"/>
      <c r="WVN141" s="22"/>
      <c r="WVO141" s="22"/>
      <c r="WVP141" s="22"/>
      <c r="WVQ141" s="22"/>
      <c r="WVR141" s="22"/>
      <c r="WVS141" s="22"/>
      <c r="WVT141" s="22"/>
      <c r="WVU141" s="22"/>
      <c r="WVV141" s="22"/>
      <c r="WVW141" s="22"/>
      <c r="WVX141" s="22"/>
      <c r="WVY141" s="22"/>
      <c r="WVZ141" s="22"/>
      <c r="WWA141" s="22"/>
      <c r="WWB141" s="22"/>
      <c r="WWC141" s="22"/>
      <c r="WWD141" s="22"/>
      <c r="WWE141" s="22"/>
      <c r="WWF141" s="22"/>
      <c r="WWG141" s="22"/>
      <c r="WWH141" s="22"/>
      <c r="WWI141" s="22"/>
      <c r="WWJ141" s="22"/>
      <c r="WWK141" s="22"/>
      <c r="WWL141" s="22"/>
      <c r="WWM141" s="22"/>
      <c r="WWN141" s="22"/>
      <c r="WWO141" s="22"/>
      <c r="WWP141" s="22"/>
      <c r="WWQ141" s="22"/>
      <c r="WWR141" s="22"/>
      <c r="WWS141" s="22"/>
      <c r="WWT141" s="22"/>
      <c r="WWU141" s="22"/>
      <c r="WWV141" s="22"/>
      <c r="WWW141" s="22"/>
      <c r="WWX141" s="22"/>
      <c r="WWY141" s="22"/>
      <c r="WWZ141" s="22"/>
      <c r="WXA141" s="22"/>
      <c r="WXB141" s="22"/>
      <c r="WXC141" s="22"/>
      <c r="WXD141" s="22"/>
      <c r="WXE141" s="22"/>
      <c r="WXF141" s="22"/>
      <c r="WXG141" s="22"/>
      <c r="WXH141" s="22"/>
      <c r="WXI141" s="22"/>
      <c r="WXJ141" s="22"/>
      <c r="WXK141" s="22"/>
      <c r="WXL141" s="22"/>
      <c r="WXM141" s="22"/>
      <c r="WXN141" s="22"/>
      <c r="WXO141" s="22"/>
      <c r="WXP141" s="22"/>
      <c r="WXQ141" s="22"/>
      <c r="WXR141" s="22"/>
      <c r="WXS141" s="22"/>
      <c r="WXT141" s="22"/>
      <c r="WXU141" s="22"/>
      <c r="WXV141" s="22"/>
      <c r="WXW141" s="22"/>
      <c r="WXX141" s="22"/>
      <c r="WXY141" s="22"/>
      <c r="WXZ141" s="22"/>
      <c r="WYA141" s="22"/>
      <c r="WYB141" s="22"/>
      <c r="WYC141" s="22"/>
      <c r="WYD141" s="22"/>
      <c r="WYE141" s="22"/>
      <c r="WYF141" s="22"/>
      <c r="WYG141" s="22"/>
      <c r="WYH141" s="22"/>
      <c r="WYI141" s="22"/>
      <c r="WYJ141" s="22"/>
      <c r="WYK141" s="22"/>
      <c r="WYL141" s="22"/>
      <c r="WYM141" s="22"/>
      <c r="WYN141" s="22"/>
      <c r="WYO141" s="22"/>
      <c r="WYP141" s="22"/>
      <c r="WYQ141" s="22"/>
      <c r="WYR141" s="22"/>
      <c r="WYS141" s="22"/>
      <c r="WYT141" s="22"/>
      <c r="WYU141" s="22"/>
      <c r="WYV141" s="22"/>
      <c r="WYW141" s="22"/>
      <c r="WYX141" s="22"/>
      <c r="WYY141" s="22"/>
      <c r="WYZ141" s="22"/>
      <c r="WZA141" s="22"/>
      <c r="WZB141" s="22"/>
      <c r="WZC141" s="22"/>
      <c r="WZD141" s="22"/>
      <c r="WZE141" s="22"/>
      <c r="WZF141" s="22"/>
      <c r="WZG141" s="22"/>
      <c r="WZH141" s="22"/>
      <c r="WZI141" s="22"/>
      <c r="WZJ141" s="22"/>
      <c r="WZK141" s="22"/>
      <c r="WZL141" s="22"/>
      <c r="WZM141" s="22"/>
      <c r="WZN141" s="22"/>
      <c r="WZO141" s="22"/>
      <c r="WZP141" s="22"/>
      <c r="WZQ141" s="22"/>
      <c r="WZR141" s="22"/>
      <c r="WZS141" s="22"/>
      <c r="WZT141" s="22"/>
      <c r="WZU141" s="22"/>
      <c r="WZV141" s="22"/>
      <c r="WZW141" s="22"/>
      <c r="WZX141" s="22"/>
      <c r="WZY141" s="22"/>
      <c r="WZZ141" s="22"/>
      <c r="XAA141" s="22"/>
      <c r="XAB141" s="22"/>
      <c r="XAC141" s="22"/>
      <c r="XAD141" s="22"/>
      <c r="XAE141" s="22"/>
      <c r="XAF141" s="22"/>
      <c r="XAG141" s="22"/>
      <c r="XAH141" s="22"/>
      <c r="XAI141" s="22"/>
      <c r="XAJ141" s="22"/>
      <c r="XAK141" s="22"/>
      <c r="XAL141" s="22"/>
      <c r="XAM141" s="22"/>
      <c r="XAN141" s="22"/>
      <c r="XAO141" s="22"/>
      <c r="XAP141" s="22"/>
      <c r="XAQ141" s="22"/>
      <c r="XAR141" s="22"/>
      <c r="XAS141" s="22"/>
      <c r="XAT141" s="22"/>
      <c r="XAU141" s="22"/>
      <c r="XAV141" s="22"/>
      <c r="XAW141" s="22"/>
      <c r="XAX141" s="22"/>
      <c r="XAY141" s="22"/>
      <c r="XAZ141" s="22"/>
      <c r="XBA141" s="22"/>
      <c r="XBB141" s="22"/>
      <c r="XBC141" s="22"/>
      <c r="XBD141" s="22"/>
      <c r="XBE141" s="22"/>
      <c r="XBF141" s="22"/>
      <c r="XBG141" s="22"/>
      <c r="XBH141" s="22"/>
      <c r="XBI141" s="22"/>
      <c r="XBJ141" s="22"/>
      <c r="XBK141" s="22"/>
      <c r="XBL141" s="22"/>
      <c r="XBM141" s="22"/>
      <c r="XBN141" s="22"/>
      <c r="XBO141" s="22"/>
      <c r="XBP141" s="22"/>
      <c r="XBQ141" s="22"/>
      <c r="XBR141" s="22"/>
      <c r="XBS141" s="22"/>
      <c r="XBT141" s="22"/>
      <c r="XBU141" s="22"/>
      <c r="XBV141" s="22"/>
      <c r="XBW141" s="22"/>
      <c r="XBX141" s="22"/>
      <c r="XBY141" s="22"/>
      <c r="XBZ141" s="22"/>
      <c r="XCA141" s="22"/>
      <c r="XCB141" s="22"/>
      <c r="XCC141" s="22"/>
      <c r="XCD141" s="22"/>
      <c r="XCE141" s="22"/>
      <c r="XCF141" s="22"/>
      <c r="XCG141" s="22"/>
      <c r="XCH141" s="22"/>
      <c r="XCI141" s="22"/>
      <c r="XCJ141" s="22"/>
      <c r="XCK141" s="22"/>
      <c r="XCL141" s="22"/>
      <c r="XCM141" s="22"/>
      <c r="XCN141" s="22"/>
      <c r="XCO141" s="22"/>
      <c r="XCP141" s="22"/>
      <c r="XCQ141" s="22"/>
      <c r="XCR141" s="22"/>
      <c r="XCS141" s="22"/>
      <c r="XCT141" s="22"/>
      <c r="XCU141" s="22"/>
      <c r="XCV141" s="22"/>
      <c r="XCW141" s="22"/>
      <c r="XCX141" s="22"/>
      <c r="XCY141" s="22"/>
      <c r="XCZ141" s="22"/>
      <c r="XDA141" s="22"/>
      <c r="XDB141" s="22"/>
      <c r="XDC141" s="22"/>
      <c r="XDD141" s="22"/>
      <c r="XDE141" s="22"/>
      <c r="XDF141" s="22"/>
      <c r="XDG141" s="22"/>
      <c r="XDH141" s="22"/>
      <c r="XDI141" s="22"/>
      <c r="XDJ141" s="22"/>
      <c r="XDK141" s="22"/>
      <c r="XDL141" s="22"/>
      <c r="XDM141" s="22"/>
      <c r="XDN141" s="22"/>
      <c r="XDO141" s="22"/>
      <c r="XDP141" s="22"/>
      <c r="XDQ141" s="22"/>
      <c r="XDR141" s="22"/>
      <c r="XDS141" s="22"/>
      <c r="XDT141" s="22"/>
      <c r="XDU141" s="22"/>
      <c r="XDV141" s="22"/>
      <c r="XDW141" s="22"/>
      <c r="XDX141" s="22"/>
      <c r="XDY141" s="22"/>
      <c r="XDZ141" s="22"/>
      <c r="XEA141" s="22"/>
      <c r="XEB141" s="22"/>
      <c r="XEC141" s="22"/>
      <c r="XED141" s="22"/>
      <c r="XEE141" s="22"/>
      <c r="XEF141" s="22"/>
      <c r="XEG141" s="22"/>
      <c r="XEH141" s="22"/>
      <c r="XEI141" s="22"/>
      <c r="XEJ141" s="22"/>
      <c r="XEK141" s="22"/>
      <c r="XEL141" s="22"/>
      <c r="XEM141" s="22"/>
      <c r="XEN141" s="22"/>
      <c r="XEO141" s="22"/>
      <c r="XEP141" s="22"/>
      <c r="XEQ141" s="22"/>
      <c r="XER141" s="22"/>
      <c r="XES141" s="22"/>
      <c r="XET141" s="22"/>
      <c r="XEU141" s="22"/>
      <c r="XEV141" s="22"/>
      <c r="XEW141" s="22"/>
      <c r="XEX141" s="22"/>
      <c r="XEY141" s="22"/>
      <c r="XEZ141" s="22"/>
      <c r="XFA141" s="22"/>
      <c r="XFB141" s="22"/>
      <c r="XFC141" s="22"/>
      <c r="XFD141" s="22"/>
    </row>
    <row r="142" spans="1:16384" s="145" customFormat="1" x14ac:dyDescent="0.25">
      <c r="A142" s="60" t="s">
        <v>1130</v>
      </c>
      <c r="B142" s="60" t="s">
        <v>33</v>
      </c>
      <c r="C142" s="60" t="s">
        <v>17522</v>
      </c>
      <c r="D142" s="60" t="s">
        <v>17523</v>
      </c>
      <c r="E142" s="60" t="s">
        <v>41</v>
      </c>
      <c r="F142" s="60" t="s">
        <v>45</v>
      </c>
      <c r="G142" s="60" t="s">
        <v>45</v>
      </c>
      <c r="H142" s="60" t="s">
        <v>43</v>
      </c>
      <c r="I142" s="60" t="s">
        <v>197</v>
      </c>
      <c r="J142" s="61">
        <v>46301</v>
      </c>
      <c r="K142" s="61">
        <v>46299</v>
      </c>
      <c r="L142" s="61">
        <v>46301</v>
      </c>
      <c r="M142" s="61">
        <v>46302</v>
      </c>
      <c r="N142" s="61">
        <v>46302</v>
      </c>
      <c r="O142" s="60"/>
      <c r="P142" s="60"/>
      <c r="Q142" s="60"/>
      <c r="R142" s="143" t="s">
        <v>30</v>
      </c>
      <c r="S142" s="143" t="s">
        <v>30</v>
      </c>
      <c r="T142" s="143" t="s">
        <v>30</v>
      </c>
      <c r="U142" s="143" t="s">
        <v>30</v>
      </c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  <c r="IZ142" s="22"/>
      <c r="JA142" s="22"/>
      <c r="JB142" s="22"/>
      <c r="JC142" s="22"/>
      <c r="JD142" s="22"/>
      <c r="JE142" s="22"/>
      <c r="JF142" s="22"/>
      <c r="JG142" s="22"/>
      <c r="JH142" s="22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2"/>
      <c r="LK142" s="22"/>
      <c r="LL142" s="22"/>
      <c r="LM142" s="22"/>
      <c r="LN142" s="22"/>
      <c r="LO142" s="22"/>
      <c r="LP142" s="22"/>
      <c r="LQ142" s="22"/>
      <c r="LR142" s="22"/>
      <c r="LS142" s="22"/>
      <c r="LT142" s="22"/>
      <c r="LU142" s="22"/>
      <c r="LV142" s="22"/>
      <c r="LW142" s="22"/>
      <c r="LX142" s="22"/>
      <c r="LY142" s="22"/>
      <c r="LZ142" s="22"/>
      <c r="MA142" s="22"/>
      <c r="MB142" s="22"/>
      <c r="MC142" s="22"/>
      <c r="MD142" s="22"/>
      <c r="ME142" s="22"/>
      <c r="MF142" s="22"/>
      <c r="MG142" s="22"/>
      <c r="MH142" s="22"/>
      <c r="MI142" s="22"/>
      <c r="MJ142" s="22"/>
      <c r="MK142" s="22"/>
      <c r="ML142" s="22"/>
      <c r="MM142" s="22"/>
      <c r="MN142" s="22"/>
      <c r="MO142" s="22"/>
      <c r="MP142" s="22"/>
      <c r="MQ142" s="22"/>
      <c r="MR142" s="22"/>
      <c r="MS142" s="22"/>
      <c r="MT142" s="22"/>
      <c r="MU142" s="22"/>
      <c r="MV142" s="22"/>
      <c r="MW142" s="22"/>
      <c r="MX142" s="22"/>
      <c r="MY142" s="22"/>
      <c r="MZ142" s="22"/>
      <c r="NA142" s="22"/>
      <c r="NB142" s="22"/>
      <c r="NC142" s="22"/>
      <c r="ND142" s="22"/>
      <c r="NE142" s="22"/>
      <c r="NF142" s="22"/>
      <c r="NG142" s="22"/>
      <c r="NH142" s="22"/>
      <c r="NI142" s="22"/>
      <c r="NJ142" s="22"/>
      <c r="NK142" s="22"/>
      <c r="NL142" s="22"/>
      <c r="NM142" s="22"/>
      <c r="NN142" s="22"/>
      <c r="NO142" s="22"/>
      <c r="NP142" s="22"/>
      <c r="NQ142" s="22"/>
      <c r="NR142" s="22"/>
      <c r="NS142" s="22"/>
      <c r="NT142" s="22"/>
      <c r="NU142" s="22"/>
      <c r="NV142" s="22"/>
      <c r="NW142" s="22"/>
      <c r="NX142" s="22"/>
      <c r="NY142" s="22"/>
      <c r="NZ142" s="22"/>
      <c r="OA142" s="22"/>
      <c r="OB142" s="22"/>
      <c r="OC142" s="22"/>
      <c r="OD142" s="22"/>
      <c r="OE142" s="22"/>
      <c r="OF142" s="22"/>
      <c r="OG142" s="22"/>
      <c r="OH142" s="22"/>
      <c r="OI142" s="22"/>
      <c r="OJ142" s="22"/>
      <c r="OK142" s="22"/>
      <c r="OL142" s="22"/>
      <c r="OM142" s="22"/>
      <c r="ON142" s="22"/>
      <c r="OO142" s="22"/>
      <c r="OP142" s="22"/>
      <c r="OQ142" s="22"/>
      <c r="OR142" s="22"/>
      <c r="OS142" s="22"/>
      <c r="OT142" s="22"/>
      <c r="OU142" s="22"/>
      <c r="OV142" s="22"/>
      <c r="OW142" s="22"/>
      <c r="OX142" s="22"/>
      <c r="OY142" s="22"/>
      <c r="OZ142" s="22"/>
      <c r="PA142" s="22"/>
      <c r="PB142" s="22"/>
      <c r="PC142" s="22"/>
      <c r="PD142" s="22"/>
      <c r="PE142" s="22"/>
      <c r="PF142" s="22"/>
      <c r="PG142" s="22"/>
      <c r="PH142" s="22"/>
      <c r="PI142" s="22"/>
      <c r="PJ142" s="22"/>
      <c r="PK142" s="22"/>
      <c r="PL142" s="22"/>
      <c r="PM142" s="22"/>
      <c r="PN142" s="22"/>
      <c r="PO142" s="22"/>
      <c r="PP142" s="22"/>
      <c r="PQ142" s="22"/>
      <c r="PR142" s="22"/>
      <c r="PS142" s="22"/>
      <c r="PT142" s="22"/>
      <c r="PU142" s="22"/>
      <c r="PV142" s="22"/>
      <c r="PW142" s="22"/>
      <c r="PX142" s="22"/>
      <c r="PY142" s="22"/>
      <c r="PZ142" s="22"/>
      <c r="QA142" s="22"/>
      <c r="QB142" s="22"/>
      <c r="QC142" s="22"/>
      <c r="QD142" s="22"/>
      <c r="QE142" s="22"/>
      <c r="QF142" s="22"/>
      <c r="QG142" s="22"/>
      <c r="QH142" s="22"/>
      <c r="QI142" s="22"/>
      <c r="QJ142" s="22"/>
      <c r="QK142" s="22"/>
      <c r="QL142" s="22"/>
      <c r="QM142" s="22"/>
      <c r="QN142" s="22"/>
      <c r="QO142" s="22"/>
      <c r="QP142" s="22"/>
      <c r="QQ142" s="22"/>
      <c r="QR142" s="22"/>
      <c r="QS142" s="22"/>
      <c r="QT142" s="22"/>
      <c r="QU142" s="22"/>
      <c r="QV142" s="22"/>
      <c r="QW142" s="22"/>
      <c r="QX142" s="22"/>
      <c r="QY142" s="22"/>
      <c r="QZ142" s="22"/>
      <c r="RA142" s="22"/>
      <c r="RB142" s="22"/>
      <c r="RC142" s="22"/>
      <c r="RD142" s="22"/>
      <c r="RE142" s="22"/>
      <c r="RF142" s="22"/>
      <c r="RG142" s="22"/>
      <c r="RH142" s="22"/>
      <c r="RI142" s="22"/>
      <c r="RJ142" s="22"/>
      <c r="RK142" s="22"/>
      <c r="RL142" s="22"/>
      <c r="RM142" s="22"/>
      <c r="RN142" s="22"/>
      <c r="RO142" s="22"/>
      <c r="RP142" s="22"/>
      <c r="RQ142" s="22"/>
      <c r="RR142" s="22"/>
      <c r="RS142" s="22"/>
      <c r="RT142" s="22"/>
      <c r="RU142" s="22"/>
      <c r="RV142" s="22"/>
      <c r="RW142" s="22"/>
      <c r="RX142" s="22"/>
      <c r="RY142" s="22"/>
      <c r="RZ142" s="22"/>
      <c r="SA142" s="22"/>
      <c r="SB142" s="22"/>
      <c r="SC142" s="22"/>
      <c r="SD142" s="22"/>
      <c r="SE142" s="22"/>
      <c r="SF142" s="22"/>
      <c r="SG142" s="22"/>
      <c r="SH142" s="22"/>
      <c r="SI142" s="22"/>
      <c r="SJ142" s="22"/>
      <c r="SK142" s="22"/>
      <c r="SL142" s="22"/>
      <c r="SM142" s="22"/>
      <c r="SN142" s="22"/>
      <c r="SO142" s="22"/>
      <c r="SP142" s="22"/>
      <c r="SQ142" s="22"/>
      <c r="SR142" s="22"/>
      <c r="SS142" s="22"/>
      <c r="ST142" s="22"/>
      <c r="SU142" s="22"/>
      <c r="SV142" s="22"/>
      <c r="SW142" s="22"/>
      <c r="SX142" s="22"/>
      <c r="SY142" s="22"/>
      <c r="SZ142" s="22"/>
      <c r="TA142" s="22"/>
      <c r="TB142" s="22"/>
      <c r="TC142" s="22"/>
      <c r="TD142" s="22"/>
      <c r="TE142" s="22"/>
      <c r="TF142" s="22"/>
      <c r="TG142" s="22"/>
      <c r="TH142" s="22"/>
      <c r="TI142" s="22"/>
      <c r="TJ142" s="22"/>
      <c r="TK142" s="22"/>
      <c r="TL142" s="22"/>
      <c r="TM142" s="22"/>
      <c r="TN142" s="22"/>
      <c r="TO142" s="22"/>
      <c r="TP142" s="22"/>
      <c r="TQ142" s="22"/>
      <c r="TR142" s="22"/>
      <c r="TS142" s="22"/>
      <c r="TT142" s="22"/>
      <c r="TU142" s="22"/>
      <c r="TV142" s="22"/>
      <c r="TW142" s="22"/>
      <c r="TX142" s="22"/>
      <c r="TY142" s="22"/>
      <c r="TZ142" s="22"/>
      <c r="UA142" s="22"/>
      <c r="UB142" s="22"/>
      <c r="UC142" s="22"/>
      <c r="UD142" s="22"/>
      <c r="UE142" s="22"/>
      <c r="UF142" s="22"/>
      <c r="UG142" s="22"/>
      <c r="UH142" s="22"/>
      <c r="UI142" s="22"/>
      <c r="UJ142" s="22"/>
      <c r="UK142" s="22"/>
      <c r="UL142" s="22"/>
      <c r="UM142" s="22"/>
      <c r="UN142" s="22"/>
      <c r="UO142" s="22"/>
      <c r="UP142" s="22"/>
      <c r="UQ142" s="22"/>
      <c r="UR142" s="22"/>
      <c r="US142" s="22"/>
      <c r="UT142" s="22"/>
      <c r="UU142" s="22"/>
      <c r="UV142" s="22"/>
      <c r="UW142" s="22"/>
      <c r="UX142" s="22"/>
      <c r="UY142" s="22"/>
      <c r="UZ142" s="22"/>
      <c r="VA142" s="22"/>
      <c r="VB142" s="22"/>
      <c r="VC142" s="22"/>
      <c r="VD142" s="22"/>
      <c r="VE142" s="22"/>
      <c r="VF142" s="22"/>
      <c r="VG142" s="22"/>
      <c r="VH142" s="22"/>
      <c r="VI142" s="22"/>
      <c r="VJ142" s="22"/>
      <c r="VK142" s="22"/>
      <c r="VL142" s="22"/>
      <c r="VM142" s="22"/>
      <c r="VN142" s="22"/>
      <c r="VO142" s="22"/>
      <c r="VP142" s="22"/>
      <c r="VQ142" s="22"/>
      <c r="VR142" s="22"/>
      <c r="VS142" s="22"/>
      <c r="VT142" s="22"/>
      <c r="VU142" s="22"/>
      <c r="VV142" s="22"/>
      <c r="VW142" s="22"/>
      <c r="VX142" s="22"/>
      <c r="VY142" s="22"/>
      <c r="VZ142" s="22"/>
      <c r="WA142" s="22"/>
      <c r="WB142" s="22"/>
      <c r="WC142" s="22"/>
      <c r="WD142" s="22"/>
      <c r="WE142" s="22"/>
      <c r="WF142" s="22"/>
      <c r="WG142" s="22"/>
      <c r="WH142" s="22"/>
      <c r="WI142" s="22"/>
      <c r="WJ142" s="22"/>
      <c r="WK142" s="22"/>
      <c r="WL142" s="22"/>
      <c r="WM142" s="22"/>
      <c r="WN142" s="22"/>
      <c r="WO142" s="22"/>
      <c r="WP142" s="22"/>
      <c r="WQ142" s="22"/>
      <c r="WR142" s="22"/>
      <c r="WS142" s="22"/>
      <c r="WT142" s="22"/>
      <c r="WU142" s="22"/>
      <c r="WV142" s="22"/>
      <c r="WW142" s="22"/>
      <c r="WX142" s="22"/>
      <c r="WY142" s="22"/>
      <c r="WZ142" s="22"/>
      <c r="XA142" s="22"/>
      <c r="XB142" s="22"/>
      <c r="XC142" s="22"/>
      <c r="XD142" s="22"/>
      <c r="XE142" s="22"/>
      <c r="XF142" s="22"/>
      <c r="XG142" s="22"/>
      <c r="XH142" s="22"/>
      <c r="XI142" s="22"/>
      <c r="XJ142" s="22"/>
      <c r="XK142" s="22"/>
      <c r="XL142" s="22"/>
      <c r="XM142" s="22"/>
      <c r="XN142" s="22"/>
      <c r="XO142" s="22"/>
      <c r="XP142" s="22"/>
      <c r="XQ142" s="22"/>
      <c r="XR142" s="22"/>
      <c r="XS142" s="22"/>
      <c r="XT142" s="22"/>
      <c r="XU142" s="22"/>
      <c r="XV142" s="22"/>
      <c r="XW142" s="22"/>
      <c r="XX142" s="22"/>
      <c r="XY142" s="22"/>
      <c r="XZ142" s="22"/>
      <c r="YA142" s="22"/>
      <c r="YB142" s="22"/>
      <c r="YC142" s="22"/>
      <c r="YD142" s="22"/>
      <c r="YE142" s="22"/>
      <c r="YF142" s="22"/>
      <c r="YG142" s="22"/>
      <c r="YH142" s="22"/>
      <c r="YI142" s="22"/>
      <c r="YJ142" s="22"/>
      <c r="YK142" s="22"/>
      <c r="YL142" s="22"/>
      <c r="YM142" s="22"/>
      <c r="YN142" s="22"/>
      <c r="YO142" s="22"/>
      <c r="YP142" s="22"/>
      <c r="YQ142" s="22"/>
      <c r="YR142" s="22"/>
      <c r="YS142" s="22"/>
      <c r="YT142" s="22"/>
      <c r="YU142" s="22"/>
      <c r="YV142" s="22"/>
      <c r="YW142" s="22"/>
      <c r="YX142" s="22"/>
      <c r="YY142" s="22"/>
      <c r="YZ142" s="22"/>
      <c r="ZA142" s="22"/>
      <c r="ZB142" s="22"/>
      <c r="ZC142" s="22"/>
      <c r="ZD142" s="22"/>
      <c r="ZE142" s="22"/>
      <c r="ZF142" s="22"/>
      <c r="ZG142" s="22"/>
      <c r="ZH142" s="22"/>
      <c r="ZI142" s="22"/>
      <c r="ZJ142" s="22"/>
      <c r="ZK142" s="22"/>
      <c r="ZL142" s="22"/>
      <c r="ZM142" s="22"/>
      <c r="ZN142" s="22"/>
      <c r="ZO142" s="22"/>
      <c r="ZP142" s="22"/>
      <c r="ZQ142" s="22"/>
      <c r="ZR142" s="22"/>
      <c r="ZS142" s="22"/>
      <c r="ZT142" s="22"/>
      <c r="ZU142" s="22"/>
      <c r="ZV142" s="22"/>
      <c r="ZW142" s="22"/>
      <c r="ZX142" s="22"/>
      <c r="ZY142" s="22"/>
      <c r="ZZ142" s="22"/>
      <c r="AAA142" s="22"/>
      <c r="AAB142" s="22"/>
      <c r="AAC142" s="22"/>
      <c r="AAD142" s="22"/>
      <c r="AAE142" s="22"/>
      <c r="AAF142" s="22"/>
      <c r="AAG142" s="22"/>
      <c r="AAH142" s="22"/>
      <c r="AAI142" s="22"/>
      <c r="AAJ142" s="22"/>
      <c r="AAK142" s="22"/>
      <c r="AAL142" s="22"/>
      <c r="AAM142" s="22"/>
      <c r="AAN142" s="22"/>
      <c r="AAO142" s="22"/>
      <c r="AAP142" s="22"/>
      <c r="AAQ142" s="22"/>
      <c r="AAR142" s="22"/>
      <c r="AAS142" s="22"/>
      <c r="AAT142" s="22"/>
      <c r="AAU142" s="22"/>
      <c r="AAV142" s="22"/>
      <c r="AAW142" s="22"/>
      <c r="AAX142" s="22"/>
      <c r="AAY142" s="22"/>
      <c r="AAZ142" s="22"/>
      <c r="ABA142" s="22"/>
      <c r="ABB142" s="22"/>
      <c r="ABC142" s="22"/>
      <c r="ABD142" s="22"/>
      <c r="ABE142" s="22"/>
      <c r="ABF142" s="22"/>
      <c r="ABG142" s="22"/>
      <c r="ABH142" s="22"/>
      <c r="ABI142" s="22"/>
      <c r="ABJ142" s="22"/>
      <c r="ABK142" s="22"/>
      <c r="ABL142" s="22"/>
      <c r="ABM142" s="22"/>
      <c r="ABN142" s="22"/>
      <c r="ABO142" s="22"/>
      <c r="ABP142" s="22"/>
      <c r="ABQ142" s="22"/>
      <c r="ABR142" s="22"/>
      <c r="ABS142" s="22"/>
      <c r="ABT142" s="22"/>
      <c r="ABU142" s="22"/>
      <c r="ABV142" s="22"/>
      <c r="ABW142" s="22"/>
      <c r="ABX142" s="22"/>
      <c r="ABY142" s="22"/>
      <c r="ABZ142" s="22"/>
      <c r="ACA142" s="22"/>
      <c r="ACB142" s="22"/>
      <c r="ACC142" s="22"/>
      <c r="ACD142" s="22"/>
      <c r="ACE142" s="22"/>
      <c r="ACF142" s="22"/>
      <c r="ACG142" s="22"/>
      <c r="ACH142" s="22"/>
      <c r="ACI142" s="22"/>
      <c r="ACJ142" s="22"/>
      <c r="ACK142" s="22"/>
      <c r="ACL142" s="22"/>
      <c r="ACM142" s="22"/>
      <c r="ACN142" s="22"/>
      <c r="ACO142" s="22"/>
      <c r="ACP142" s="22"/>
      <c r="ACQ142" s="22"/>
      <c r="ACR142" s="22"/>
      <c r="ACS142" s="22"/>
      <c r="ACT142" s="22"/>
      <c r="ACU142" s="22"/>
      <c r="ACV142" s="22"/>
      <c r="ACW142" s="22"/>
      <c r="ACX142" s="22"/>
      <c r="ACY142" s="22"/>
      <c r="ACZ142" s="22"/>
      <c r="ADA142" s="22"/>
      <c r="ADB142" s="22"/>
      <c r="ADC142" s="22"/>
      <c r="ADD142" s="22"/>
      <c r="ADE142" s="22"/>
      <c r="ADF142" s="22"/>
      <c r="ADG142" s="22"/>
      <c r="ADH142" s="22"/>
      <c r="ADI142" s="22"/>
      <c r="ADJ142" s="22"/>
      <c r="ADK142" s="22"/>
      <c r="ADL142" s="22"/>
      <c r="ADM142" s="22"/>
      <c r="ADN142" s="22"/>
      <c r="ADO142" s="22"/>
      <c r="ADP142" s="22"/>
      <c r="ADQ142" s="22"/>
      <c r="ADR142" s="22"/>
      <c r="ADS142" s="22"/>
      <c r="ADT142" s="22"/>
      <c r="ADU142" s="22"/>
      <c r="ADV142" s="22"/>
      <c r="ADW142" s="22"/>
      <c r="ADX142" s="22"/>
      <c r="ADY142" s="22"/>
      <c r="ADZ142" s="22"/>
      <c r="AEA142" s="22"/>
      <c r="AEB142" s="22"/>
      <c r="AEC142" s="22"/>
      <c r="AED142" s="22"/>
      <c r="AEE142" s="22"/>
      <c r="AEF142" s="22"/>
      <c r="AEG142" s="22"/>
      <c r="AEH142" s="22"/>
      <c r="AEI142" s="22"/>
      <c r="AEJ142" s="22"/>
      <c r="AEK142" s="22"/>
      <c r="AEL142" s="22"/>
      <c r="AEM142" s="22"/>
      <c r="AEN142" s="22"/>
      <c r="AEO142" s="22"/>
      <c r="AEP142" s="22"/>
      <c r="AEQ142" s="22"/>
      <c r="AER142" s="22"/>
      <c r="AES142" s="22"/>
      <c r="AET142" s="22"/>
      <c r="AEU142" s="22"/>
      <c r="AEV142" s="22"/>
      <c r="AEW142" s="22"/>
      <c r="AEX142" s="22"/>
      <c r="AEY142" s="22"/>
      <c r="AEZ142" s="22"/>
      <c r="AFA142" s="22"/>
      <c r="AFB142" s="22"/>
      <c r="AFC142" s="22"/>
      <c r="AFD142" s="22"/>
      <c r="AFE142" s="22"/>
      <c r="AFF142" s="22"/>
      <c r="AFG142" s="22"/>
      <c r="AFH142" s="22"/>
      <c r="AFI142" s="22"/>
      <c r="AFJ142" s="22"/>
      <c r="AFK142" s="22"/>
      <c r="AFL142" s="22"/>
      <c r="AFM142" s="22"/>
      <c r="AFN142" s="22"/>
      <c r="AFO142" s="22"/>
      <c r="AFP142" s="22"/>
      <c r="AFQ142" s="22"/>
      <c r="AFR142" s="22"/>
      <c r="AFS142" s="22"/>
      <c r="AFT142" s="22"/>
      <c r="AFU142" s="22"/>
      <c r="AFV142" s="22"/>
      <c r="AFW142" s="22"/>
      <c r="AFX142" s="22"/>
      <c r="AFY142" s="22"/>
      <c r="AFZ142" s="22"/>
      <c r="AGA142" s="22"/>
      <c r="AGB142" s="22"/>
      <c r="AGC142" s="22"/>
      <c r="AGD142" s="22"/>
      <c r="AGE142" s="22"/>
      <c r="AGF142" s="22"/>
      <c r="AGG142" s="22"/>
      <c r="AGH142" s="22"/>
      <c r="AGI142" s="22"/>
      <c r="AGJ142" s="22"/>
      <c r="AGK142" s="22"/>
      <c r="AGL142" s="22"/>
      <c r="AGM142" s="22"/>
      <c r="AGN142" s="22"/>
      <c r="AGO142" s="22"/>
      <c r="AGP142" s="22"/>
      <c r="AGQ142" s="22"/>
      <c r="AGR142" s="22"/>
      <c r="AGS142" s="22"/>
      <c r="AGT142" s="22"/>
      <c r="AGU142" s="22"/>
      <c r="AGV142" s="22"/>
      <c r="AGW142" s="22"/>
      <c r="AGX142" s="22"/>
      <c r="AGY142" s="22"/>
      <c r="AGZ142" s="22"/>
      <c r="AHA142" s="22"/>
      <c r="AHB142" s="22"/>
      <c r="AHC142" s="22"/>
      <c r="AHD142" s="22"/>
      <c r="AHE142" s="22"/>
      <c r="AHF142" s="22"/>
      <c r="AHG142" s="22"/>
      <c r="AHH142" s="22"/>
      <c r="AHI142" s="22"/>
      <c r="AHJ142" s="22"/>
      <c r="AHK142" s="22"/>
      <c r="AHL142" s="22"/>
      <c r="AHM142" s="22"/>
      <c r="AHN142" s="22"/>
      <c r="AHO142" s="22"/>
      <c r="AHP142" s="22"/>
      <c r="AHQ142" s="22"/>
      <c r="AHR142" s="22"/>
      <c r="AHS142" s="22"/>
      <c r="AHT142" s="22"/>
      <c r="AHU142" s="22"/>
      <c r="AHV142" s="22"/>
      <c r="AHW142" s="22"/>
      <c r="AHX142" s="22"/>
      <c r="AHY142" s="22"/>
      <c r="AHZ142" s="22"/>
      <c r="AIA142" s="22"/>
      <c r="AIB142" s="22"/>
      <c r="AIC142" s="22"/>
      <c r="AID142" s="22"/>
      <c r="AIE142" s="22"/>
      <c r="AIF142" s="22"/>
      <c r="AIG142" s="22"/>
      <c r="AIH142" s="22"/>
      <c r="AII142" s="22"/>
      <c r="AIJ142" s="22"/>
      <c r="AIK142" s="22"/>
      <c r="AIL142" s="22"/>
      <c r="AIM142" s="22"/>
      <c r="AIN142" s="22"/>
      <c r="AIO142" s="22"/>
      <c r="AIP142" s="22"/>
      <c r="AIQ142" s="22"/>
      <c r="AIR142" s="22"/>
      <c r="AIS142" s="22"/>
      <c r="AIT142" s="22"/>
      <c r="AIU142" s="22"/>
      <c r="AIV142" s="22"/>
      <c r="AIW142" s="22"/>
      <c r="AIX142" s="22"/>
      <c r="AIY142" s="22"/>
      <c r="AIZ142" s="22"/>
      <c r="AJA142" s="22"/>
      <c r="AJB142" s="22"/>
      <c r="AJC142" s="22"/>
      <c r="AJD142" s="22"/>
      <c r="AJE142" s="22"/>
      <c r="AJF142" s="22"/>
      <c r="AJG142" s="22"/>
      <c r="AJH142" s="22"/>
      <c r="AJI142" s="22"/>
      <c r="AJJ142" s="22"/>
      <c r="AJK142" s="22"/>
      <c r="AJL142" s="22"/>
      <c r="AJM142" s="22"/>
      <c r="AJN142" s="22"/>
      <c r="AJO142" s="22"/>
      <c r="AJP142" s="22"/>
      <c r="AJQ142" s="22"/>
      <c r="AJR142" s="22"/>
      <c r="AJS142" s="22"/>
      <c r="AJT142" s="22"/>
      <c r="AJU142" s="22"/>
      <c r="AJV142" s="22"/>
      <c r="AJW142" s="22"/>
      <c r="AJX142" s="22"/>
      <c r="AJY142" s="22"/>
      <c r="AJZ142" s="22"/>
      <c r="AKA142" s="22"/>
      <c r="AKB142" s="22"/>
      <c r="AKC142" s="22"/>
      <c r="AKD142" s="22"/>
      <c r="AKE142" s="22"/>
      <c r="AKF142" s="22"/>
      <c r="AKG142" s="22"/>
      <c r="AKH142" s="22"/>
      <c r="AKI142" s="22"/>
      <c r="AKJ142" s="22"/>
      <c r="AKK142" s="22"/>
      <c r="AKL142" s="22"/>
      <c r="AKM142" s="22"/>
      <c r="AKN142" s="22"/>
      <c r="AKO142" s="22"/>
      <c r="AKP142" s="22"/>
      <c r="AKQ142" s="22"/>
      <c r="AKR142" s="22"/>
      <c r="AKS142" s="22"/>
      <c r="AKT142" s="22"/>
      <c r="AKU142" s="22"/>
      <c r="AKV142" s="22"/>
      <c r="AKW142" s="22"/>
      <c r="AKX142" s="22"/>
      <c r="AKY142" s="22"/>
      <c r="AKZ142" s="22"/>
      <c r="ALA142" s="22"/>
      <c r="ALB142" s="22"/>
      <c r="ALC142" s="22"/>
      <c r="ALD142" s="22"/>
      <c r="ALE142" s="22"/>
      <c r="ALF142" s="22"/>
      <c r="ALG142" s="22"/>
      <c r="ALH142" s="22"/>
      <c r="ALI142" s="22"/>
      <c r="ALJ142" s="22"/>
      <c r="ALK142" s="22"/>
      <c r="ALL142" s="22"/>
      <c r="ALM142" s="22"/>
      <c r="ALN142" s="22"/>
      <c r="ALO142" s="22"/>
      <c r="ALP142" s="22"/>
      <c r="ALQ142" s="22"/>
      <c r="ALR142" s="22"/>
      <c r="ALS142" s="22"/>
      <c r="ALT142" s="22"/>
      <c r="ALU142" s="22"/>
      <c r="ALV142" s="22"/>
      <c r="ALW142" s="22"/>
      <c r="ALX142" s="22"/>
      <c r="ALY142" s="22"/>
      <c r="ALZ142" s="22"/>
      <c r="AMA142" s="22"/>
      <c r="AMB142" s="22"/>
      <c r="AMC142" s="22"/>
      <c r="AMD142" s="22"/>
      <c r="AME142" s="22"/>
      <c r="AMF142" s="22"/>
      <c r="AMG142" s="22"/>
      <c r="AMH142" s="22"/>
      <c r="AMI142" s="22"/>
      <c r="AMJ142" s="22"/>
      <c r="AMK142" s="22"/>
      <c r="AML142" s="22"/>
      <c r="AMM142" s="22"/>
      <c r="AMN142" s="22"/>
      <c r="AMO142" s="22"/>
      <c r="AMP142" s="22"/>
      <c r="AMQ142" s="22"/>
      <c r="AMR142" s="22"/>
      <c r="AMS142" s="22"/>
      <c r="AMT142" s="22"/>
      <c r="AMU142" s="22"/>
      <c r="AMV142" s="22"/>
      <c r="AMW142" s="22"/>
      <c r="AMX142" s="22"/>
      <c r="AMY142" s="22"/>
      <c r="AMZ142" s="22"/>
      <c r="ANA142" s="22"/>
      <c r="ANB142" s="22"/>
      <c r="ANC142" s="22"/>
      <c r="AND142" s="22"/>
      <c r="ANE142" s="22"/>
      <c r="ANF142" s="22"/>
      <c r="ANG142" s="22"/>
      <c r="ANH142" s="22"/>
      <c r="ANI142" s="22"/>
      <c r="ANJ142" s="22"/>
      <c r="ANK142" s="22"/>
      <c r="ANL142" s="22"/>
      <c r="ANM142" s="22"/>
      <c r="ANN142" s="22"/>
      <c r="ANO142" s="22"/>
      <c r="ANP142" s="22"/>
      <c r="ANQ142" s="22"/>
      <c r="ANR142" s="22"/>
      <c r="ANS142" s="22"/>
      <c r="ANT142" s="22"/>
      <c r="ANU142" s="22"/>
      <c r="ANV142" s="22"/>
      <c r="ANW142" s="22"/>
      <c r="ANX142" s="22"/>
      <c r="ANY142" s="22"/>
      <c r="ANZ142" s="22"/>
      <c r="AOA142" s="22"/>
      <c r="AOB142" s="22"/>
      <c r="AOC142" s="22"/>
      <c r="AOD142" s="22"/>
      <c r="AOE142" s="22"/>
      <c r="AOF142" s="22"/>
      <c r="AOG142" s="22"/>
      <c r="AOH142" s="22"/>
      <c r="AOI142" s="22"/>
      <c r="AOJ142" s="22"/>
      <c r="AOK142" s="22"/>
      <c r="AOL142" s="22"/>
      <c r="AOM142" s="22"/>
      <c r="AON142" s="22"/>
      <c r="AOO142" s="22"/>
      <c r="AOP142" s="22"/>
      <c r="AOQ142" s="22"/>
      <c r="AOR142" s="22"/>
      <c r="AOS142" s="22"/>
      <c r="AOT142" s="22"/>
      <c r="AOU142" s="22"/>
      <c r="AOV142" s="22"/>
      <c r="AOW142" s="22"/>
      <c r="AOX142" s="22"/>
      <c r="AOY142" s="22"/>
      <c r="AOZ142" s="22"/>
      <c r="APA142" s="22"/>
      <c r="APB142" s="22"/>
      <c r="APC142" s="22"/>
      <c r="APD142" s="22"/>
      <c r="APE142" s="22"/>
      <c r="APF142" s="22"/>
      <c r="APG142" s="22"/>
      <c r="APH142" s="22"/>
      <c r="API142" s="22"/>
      <c r="APJ142" s="22"/>
      <c r="APK142" s="22"/>
      <c r="APL142" s="22"/>
      <c r="APM142" s="22"/>
      <c r="APN142" s="22"/>
      <c r="APO142" s="22"/>
      <c r="APP142" s="22"/>
      <c r="APQ142" s="22"/>
      <c r="APR142" s="22"/>
      <c r="APS142" s="22"/>
      <c r="APT142" s="22"/>
      <c r="APU142" s="22"/>
      <c r="APV142" s="22"/>
      <c r="APW142" s="22"/>
      <c r="APX142" s="22"/>
      <c r="APY142" s="22"/>
      <c r="APZ142" s="22"/>
      <c r="AQA142" s="22"/>
      <c r="AQB142" s="22"/>
      <c r="AQC142" s="22"/>
      <c r="AQD142" s="22"/>
      <c r="AQE142" s="22"/>
      <c r="AQF142" s="22"/>
      <c r="AQG142" s="22"/>
      <c r="AQH142" s="22"/>
      <c r="AQI142" s="22"/>
      <c r="AQJ142" s="22"/>
      <c r="AQK142" s="22"/>
      <c r="AQL142" s="22"/>
      <c r="AQM142" s="22"/>
      <c r="AQN142" s="22"/>
      <c r="AQO142" s="22"/>
      <c r="AQP142" s="22"/>
      <c r="AQQ142" s="22"/>
      <c r="AQR142" s="22"/>
      <c r="AQS142" s="22"/>
      <c r="AQT142" s="22"/>
      <c r="AQU142" s="22"/>
      <c r="AQV142" s="22"/>
      <c r="AQW142" s="22"/>
      <c r="AQX142" s="22"/>
      <c r="AQY142" s="22"/>
      <c r="AQZ142" s="22"/>
      <c r="ARA142" s="22"/>
      <c r="ARB142" s="22"/>
      <c r="ARC142" s="22"/>
      <c r="ARD142" s="22"/>
      <c r="ARE142" s="22"/>
      <c r="ARF142" s="22"/>
      <c r="ARG142" s="22"/>
      <c r="ARH142" s="22"/>
      <c r="ARI142" s="22"/>
      <c r="ARJ142" s="22"/>
      <c r="ARK142" s="22"/>
      <c r="ARL142" s="22"/>
      <c r="ARM142" s="22"/>
      <c r="ARN142" s="22"/>
      <c r="ARO142" s="22"/>
      <c r="ARP142" s="22"/>
      <c r="ARQ142" s="22"/>
      <c r="ARR142" s="22"/>
      <c r="ARS142" s="22"/>
      <c r="ART142" s="22"/>
      <c r="ARU142" s="22"/>
      <c r="ARV142" s="22"/>
      <c r="ARW142" s="22"/>
      <c r="ARX142" s="22"/>
      <c r="ARY142" s="22"/>
      <c r="ARZ142" s="22"/>
      <c r="ASA142" s="22"/>
      <c r="ASB142" s="22"/>
      <c r="ASC142" s="22"/>
      <c r="ASD142" s="22"/>
      <c r="ASE142" s="22"/>
      <c r="ASF142" s="22"/>
      <c r="ASG142" s="22"/>
      <c r="ASH142" s="22"/>
      <c r="ASI142" s="22"/>
      <c r="ASJ142" s="22"/>
      <c r="ASK142" s="22"/>
      <c r="ASL142" s="22"/>
      <c r="ASM142" s="22"/>
      <c r="ASN142" s="22"/>
      <c r="ASO142" s="22"/>
      <c r="ASP142" s="22"/>
      <c r="ASQ142" s="22"/>
      <c r="ASR142" s="22"/>
      <c r="ASS142" s="22"/>
      <c r="AST142" s="22"/>
      <c r="ASU142" s="22"/>
      <c r="ASV142" s="22"/>
      <c r="ASW142" s="22"/>
      <c r="ASX142" s="22"/>
      <c r="ASY142" s="22"/>
      <c r="ASZ142" s="22"/>
      <c r="ATA142" s="22"/>
      <c r="ATB142" s="22"/>
      <c r="ATC142" s="22"/>
      <c r="ATD142" s="22"/>
      <c r="ATE142" s="22"/>
      <c r="ATF142" s="22"/>
      <c r="ATG142" s="22"/>
      <c r="ATH142" s="22"/>
      <c r="ATI142" s="22"/>
      <c r="ATJ142" s="22"/>
      <c r="ATK142" s="22"/>
      <c r="ATL142" s="22"/>
      <c r="ATM142" s="22"/>
      <c r="ATN142" s="22"/>
      <c r="ATO142" s="22"/>
      <c r="ATP142" s="22"/>
      <c r="ATQ142" s="22"/>
      <c r="ATR142" s="22"/>
      <c r="ATS142" s="22"/>
      <c r="ATT142" s="22"/>
      <c r="ATU142" s="22"/>
      <c r="ATV142" s="22"/>
      <c r="ATW142" s="22"/>
      <c r="ATX142" s="22"/>
      <c r="ATY142" s="22"/>
      <c r="ATZ142" s="22"/>
      <c r="AUA142" s="22"/>
      <c r="AUB142" s="22"/>
      <c r="AUC142" s="22"/>
      <c r="AUD142" s="22"/>
      <c r="AUE142" s="22"/>
      <c r="AUF142" s="22"/>
      <c r="AUG142" s="22"/>
      <c r="AUH142" s="22"/>
      <c r="AUI142" s="22"/>
      <c r="AUJ142" s="22"/>
      <c r="AUK142" s="22"/>
      <c r="AUL142" s="22"/>
      <c r="AUM142" s="22"/>
      <c r="AUN142" s="22"/>
      <c r="AUO142" s="22"/>
      <c r="AUP142" s="22"/>
      <c r="AUQ142" s="22"/>
      <c r="AUR142" s="22"/>
      <c r="AUS142" s="22"/>
      <c r="AUT142" s="22"/>
      <c r="AUU142" s="22"/>
      <c r="AUV142" s="22"/>
      <c r="AUW142" s="22"/>
      <c r="AUX142" s="22"/>
      <c r="AUY142" s="22"/>
      <c r="AUZ142" s="22"/>
      <c r="AVA142" s="22"/>
      <c r="AVB142" s="22"/>
      <c r="AVC142" s="22"/>
      <c r="AVD142" s="22"/>
      <c r="AVE142" s="22"/>
      <c r="AVF142" s="22"/>
      <c r="AVG142" s="22"/>
      <c r="AVH142" s="22"/>
      <c r="AVI142" s="22"/>
      <c r="AVJ142" s="22"/>
      <c r="AVK142" s="22"/>
      <c r="AVL142" s="22"/>
      <c r="AVM142" s="22"/>
      <c r="AVN142" s="22"/>
      <c r="AVO142" s="22"/>
      <c r="AVP142" s="22"/>
      <c r="AVQ142" s="22"/>
      <c r="AVR142" s="22"/>
      <c r="AVS142" s="22"/>
      <c r="AVT142" s="22"/>
      <c r="AVU142" s="22"/>
      <c r="AVV142" s="22"/>
      <c r="AVW142" s="22"/>
      <c r="AVX142" s="22"/>
      <c r="AVY142" s="22"/>
      <c r="AVZ142" s="22"/>
      <c r="AWA142" s="22"/>
      <c r="AWB142" s="22"/>
      <c r="AWC142" s="22"/>
      <c r="AWD142" s="22"/>
      <c r="AWE142" s="22"/>
      <c r="AWF142" s="22"/>
      <c r="AWG142" s="22"/>
      <c r="AWH142" s="22"/>
      <c r="AWI142" s="22"/>
      <c r="AWJ142" s="22"/>
      <c r="AWK142" s="22"/>
      <c r="AWL142" s="22"/>
      <c r="AWM142" s="22"/>
      <c r="AWN142" s="22"/>
      <c r="AWO142" s="22"/>
      <c r="AWP142" s="22"/>
      <c r="AWQ142" s="22"/>
      <c r="AWR142" s="22"/>
      <c r="AWS142" s="22"/>
      <c r="AWT142" s="22"/>
      <c r="AWU142" s="22"/>
      <c r="AWV142" s="22"/>
      <c r="AWW142" s="22"/>
      <c r="AWX142" s="22"/>
      <c r="AWY142" s="22"/>
      <c r="AWZ142" s="22"/>
      <c r="AXA142" s="22"/>
      <c r="AXB142" s="22"/>
      <c r="AXC142" s="22"/>
      <c r="AXD142" s="22"/>
      <c r="AXE142" s="22"/>
      <c r="AXF142" s="22"/>
      <c r="AXG142" s="22"/>
      <c r="AXH142" s="22"/>
      <c r="AXI142" s="22"/>
      <c r="AXJ142" s="22"/>
      <c r="AXK142" s="22"/>
      <c r="AXL142" s="22"/>
      <c r="AXM142" s="22"/>
      <c r="AXN142" s="22"/>
      <c r="AXO142" s="22"/>
      <c r="AXP142" s="22"/>
      <c r="AXQ142" s="22"/>
      <c r="AXR142" s="22"/>
      <c r="AXS142" s="22"/>
      <c r="AXT142" s="22"/>
      <c r="AXU142" s="22"/>
      <c r="AXV142" s="22"/>
      <c r="AXW142" s="22"/>
      <c r="AXX142" s="22"/>
      <c r="AXY142" s="22"/>
      <c r="AXZ142" s="22"/>
      <c r="AYA142" s="22"/>
      <c r="AYB142" s="22"/>
      <c r="AYC142" s="22"/>
      <c r="AYD142" s="22"/>
      <c r="AYE142" s="22"/>
      <c r="AYF142" s="22"/>
      <c r="AYG142" s="22"/>
      <c r="AYH142" s="22"/>
      <c r="AYI142" s="22"/>
      <c r="AYJ142" s="22"/>
      <c r="AYK142" s="22"/>
      <c r="AYL142" s="22"/>
      <c r="AYM142" s="22"/>
      <c r="AYN142" s="22"/>
      <c r="AYO142" s="22"/>
      <c r="AYP142" s="22"/>
      <c r="AYQ142" s="22"/>
      <c r="AYR142" s="22"/>
      <c r="AYS142" s="22"/>
      <c r="AYT142" s="22"/>
      <c r="AYU142" s="22"/>
      <c r="AYV142" s="22"/>
      <c r="AYW142" s="22"/>
      <c r="AYX142" s="22"/>
      <c r="AYY142" s="22"/>
      <c r="AYZ142" s="22"/>
      <c r="AZA142" s="22"/>
      <c r="AZB142" s="22"/>
      <c r="AZC142" s="22"/>
      <c r="AZD142" s="22"/>
      <c r="AZE142" s="22"/>
      <c r="AZF142" s="22"/>
      <c r="AZG142" s="22"/>
      <c r="AZH142" s="22"/>
      <c r="AZI142" s="22"/>
      <c r="AZJ142" s="22"/>
      <c r="AZK142" s="22"/>
      <c r="AZL142" s="22"/>
      <c r="AZM142" s="22"/>
      <c r="AZN142" s="22"/>
      <c r="AZO142" s="22"/>
      <c r="AZP142" s="22"/>
      <c r="AZQ142" s="22"/>
      <c r="AZR142" s="22"/>
      <c r="AZS142" s="22"/>
      <c r="AZT142" s="22"/>
      <c r="AZU142" s="22"/>
      <c r="AZV142" s="22"/>
      <c r="AZW142" s="22"/>
      <c r="AZX142" s="22"/>
      <c r="AZY142" s="22"/>
      <c r="AZZ142" s="22"/>
      <c r="BAA142" s="22"/>
      <c r="BAB142" s="22"/>
      <c r="BAC142" s="22"/>
      <c r="BAD142" s="22"/>
      <c r="BAE142" s="22"/>
      <c r="BAF142" s="22"/>
      <c r="BAG142" s="22"/>
      <c r="BAH142" s="22"/>
      <c r="BAI142" s="22"/>
      <c r="BAJ142" s="22"/>
      <c r="BAK142" s="22"/>
      <c r="BAL142" s="22"/>
      <c r="BAM142" s="22"/>
      <c r="BAN142" s="22"/>
      <c r="BAO142" s="22"/>
      <c r="BAP142" s="22"/>
      <c r="BAQ142" s="22"/>
      <c r="BAR142" s="22"/>
      <c r="BAS142" s="22"/>
      <c r="BAT142" s="22"/>
      <c r="BAU142" s="22"/>
      <c r="BAV142" s="22"/>
      <c r="BAW142" s="22"/>
      <c r="BAX142" s="22"/>
      <c r="BAY142" s="22"/>
      <c r="BAZ142" s="22"/>
      <c r="BBA142" s="22"/>
      <c r="BBB142" s="22"/>
      <c r="BBC142" s="22"/>
      <c r="BBD142" s="22"/>
      <c r="BBE142" s="22"/>
      <c r="BBF142" s="22"/>
      <c r="BBG142" s="22"/>
      <c r="BBH142" s="22"/>
      <c r="BBI142" s="22"/>
      <c r="BBJ142" s="22"/>
      <c r="BBK142" s="22"/>
      <c r="BBL142" s="22"/>
      <c r="BBM142" s="22"/>
      <c r="BBN142" s="22"/>
      <c r="BBO142" s="22"/>
      <c r="BBP142" s="22"/>
      <c r="BBQ142" s="22"/>
      <c r="BBR142" s="22"/>
      <c r="BBS142" s="22"/>
      <c r="BBT142" s="22"/>
      <c r="BBU142" s="22"/>
      <c r="BBV142" s="22"/>
      <c r="BBW142" s="22"/>
      <c r="BBX142" s="22"/>
      <c r="BBY142" s="22"/>
      <c r="BBZ142" s="22"/>
      <c r="BCA142" s="22"/>
      <c r="BCB142" s="22"/>
      <c r="BCC142" s="22"/>
      <c r="BCD142" s="22"/>
      <c r="BCE142" s="22"/>
      <c r="BCF142" s="22"/>
      <c r="BCG142" s="22"/>
      <c r="BCH142" s="22"/>
      <c r="BCI142" s="22"/>
      <c r="BCJ142" s="22"/>
      <c r="BCK142" s="22"/>
      <c r="BCL142" s="22"/>
      <c r="BCM142" s="22"/>
      <c r="BCN142" s="22"/>
      <c r="BCO142" s="22"/>
      <c r="BCP142" s="22"/>
      <c r="BCQ142" s="22"/>
      <c r="BCR142" s="22"/>
      <c r="BCS142" s="22"/>
      <c r="BCT142" s="22"/>
      <c r="BCU142" s="22"/>
      <c r="BCV142" s="22"/>
      <c r="BCW142" s="22"/>
      <c r="BCX142" s="22"/>
      <c r="BCY142" s="22"/>
      <c r="BCZ142" s="22"/>
      <c r="BDA142" s="22"/>
      <c r="BDB142" s="22"/>
      <c r="BDC142" s="22"/>
      <c r="BDD142" s="22"/>
      <c r="BDE142" s="22"/>
      <c r="BDF142" s="22"/>
      <c r="BDG142" s="22"/>
      <c r="BDH142" s="22"/>
      <c r="BDI142" s="22"/>
      <c r="BDJ142" s="22"/>
      <c r="BDK142" s="22"/>
      <c r="BDL142" s="22"/>
      <c r="BDM142" s="22"/>
      <c r="BDN142" s="22"/>
      <c r="BDO142" s="22"/>
      <c r="BDP142" s="22"/>
      <c r="BDQ142" s="22"/>
      <c r="BDR142" s="22"/>
      <c r="BDS142" s="22"/>
      <c r="BDT142" s="22"/>
      <c r="BDU142" s="22"/>
      <c r="BDV142" s="22"/>
      <c r="BDW142" s="22"/>
      <c r="BDX142" s="22"/>
      <c r="BDY142" s="22"/>
      <c r="BDZ142" s="22"/>
      <c r="BEA142" s="22"/>
      <c r="BEB142" s="22"/>
      <c r="BEC142" s="22"/>
      <c r="BED142" s="22"/>
      <c r="BEE142" s="22"/>
      <c r="BEF142" s="22"/>
      <c r="BEG142" s="22"/>
      <c r="BEH142" s="22"/>
      <c r="BEI142" s="22"/>
      <c r="BEJ142" s="22"/>
      <c r="BEK142" s="22"/>
      <c r="BEL142" s="22"/>
      <c r="BEM142" s="22"/>
      <c r="BEN142" s="22"/>
      <c r="BEO142" s="22"/>
      <c r="BEP142" s="22"/>
      <c r="BEQ142" s="22"/>
      <c r="BER142" s="22"/>
      <c r="BES142" s="22"/>
      <c r="BET142" s="22"/>
      <c r="BEU142" s="22"/>
      <c r="BEV142" s="22"/>
      <c r="BEW142" s="22"/>
      <c r="BEX142" s="22"/>
      <c r="BEY142" s="22"/>
      <c r="BEZ142" s="22"/>
      <c r="BFA142" s="22"/>
      <c r="BFB142" s="22"/>
      <c r="BFC142" s="22"/>
      <c r="BFD142" s="22"/>
      <c r="BFE142" s="22"/>
      <c r="BFF142" s="22"/>
      <c r="BFG142" s="22"/>
      <c r="BFH142" s="22"/>
      <c r="BFI142" s="22"/>
      <c r="BFJ142" s="22"/>
      <c r="BFK142" s="22"/>
      <c r="BFL142" s="22"/>
      <c r="BFM142" s="22"/>
      <c r="BFN142" s="22"/>
      <c r="BFO142" s="22"/>
      <c r="BFP142" s="22"/>
      <c r="BFQ142" s="22"/>
      <c r="BFR142" s="22"/>
      <c r="BFS142" s="22"/>
      <c r="BFT142" s="22"/>
      <c r="BFU142" s="22"/>
      <c r="BFV142" s="22"/>
      <c r="BFW142" s="22"/>
      <c r="BFX142" s="22"/>
      <c r="BFY142" s="22"/>
      <c r="BFZ142" s="22"/>
      <c r="BGA142" s="22"/>
      <c r="BGB142" s="22"/>
      <c r="BGC142" s="22"/>
      <c r="BGD142" s="22"/>
      <c r="BGE142" s="22"/>
      <c r="BGF142" s="22"/>
      <c r="BGG142" s="22"/>
      <c r="BGH142" s="22"/>
      <c r="BGI142" s="22"/>
      <c r="BGJ142" s="22"/>
      <c r="BGK142" s="22"/>
      <c r="BGL142" s="22"/>
      <c r="BGM142" s="22"/>
      <c r="BGN142" s="22"/>
      <c r="BGO142" s="22"/>
      <c r="BGP142" s="22"/>
      <c r="BGQ142" s="22"/>
      <c r="BGR142" s="22"/>
      <c r="BGS142" s="22"/>
      <c r="BGT142" s="22"/>
      <c r="BGU142" s="22"/>
      <c r="BGV142" s="22"/>
      <c r="BGW142" s="22"/>
      <c r="BGX142" s="22"/>
      <c r="BGY142" s="22"/>
      <c r="BGZ142" s="22"/>
      <c r="BHA142" s="22"/>
      <c r="BHB142" s="22"/>
      <c r="BHC142" s="22"/>
      <c r="BHD142" s="22"/>
      <c r="BHE142" s="22"/>
      <c r="BHF142" s="22"/>
      <c r="BHG142" s="22"/>
      <c r="BHH142" s="22"/>
      <c r="BHI142" s="22"/>
      <c r="BHJ142" s="22"/>
      <c r="BHK142" s="22"/>
      <c r="BHL142" s="22"/>
      <c r="BHM142" s="22"/>
      <c r="BHN142" s="22"/>
      <c r="BHO142" s="22"/>
      <c r="BHP142" s="22"/>
      <c r="BHQ142" s="22"/>
      <c r="BHR142" s="22"/>
      <c r="BHS142" s="22"/>
      <c r="BHT142" s="22"/>
      <c r="BHU142" s="22"/>
      <c r="BHV142" s="22"/>
      <c r="BHW142" s="22"/>
      <c r="BHX142" s="22"/>
      <c r="BHY142" s="22"/>
      <c r="BHZ142" s="22"/>
      <c r="BIA142" s="22"/>
      <c r="BIB142" s="22"/>
      <c r="BIC142" s="22"/>
      <c r="BID142" s="22"/>
      <c r="BIE142" s="22"/>
      <c r="BIF142" s="22"/>
      <c r="BIG142" s="22"/>
      <c r="BIH142" s="22"/>
      <c r="BII142" s="22"/>
      <c r="BIJ142" s="22"/>
      <c r="BIK142" s="22"/>
      <c r="BIL142" s="22"/>
      <c r="BIM142" s="22"/>
      <c r="BIN142" s="22"/>
      <c r="BIO142" s="22"/>
      <c r="BIP142" s="22"/>
      <c r="BIQ142" s="22"/>
      <c r="BIR142" s="22"/>
      <c r="BIS142" s="22"/>
      <c r="BIT142" s="22"/>
      <c r="BIU142" s="22"/>
      <c r="BIV142" s="22"/>
      <c r="BIW142" s="22"/>
      <c r="BIX142" s="22"/>
      <c r="BIY142" s="22"/>
      <c r="BIZ142" s="22"/>
      <c r="BJA142" s="22"/>
      <c r="BJB142" s="22"/>
      <c r="BJC142" s="22"/>
      <c r="BJD142" s="22"/>
      <c r="BJE142" s="22"/>
      <c r="BJF142" s="22"/>
      <c r="BJG142" s="22"/>
      <c r="BJH142" s="22"/>
      <c r="BJI142" s="22"/>
      <c r="BJJ142" s="22"/>
      <c r="BJK142" s="22"/>
      <c r="BJL142" s="22"/>
      <c r="BJM142" s="22"/>
      <c r="BJN142" s="22"/>
      <c r="BJO142" s="22"/>
      <c r="BJP142" s="22"/>
      <c r="BJQ142" s="22"/>
      <c r="BJR142" s="22"/>
      <c r="BJS142" s="22"/>
      <c r="BJT142" s="22"/>
      <c r="BJU142" s="22"/>
      <c r="BJV142" s="22"/>
      <c r="BJW142" s="22"/>
      <c r="BJX142" s="22"/>
      <c r="BJY142" s="22"/>
      <c r="BJZ142" s="22"/>
      <c r="BKA142" s="22"/>
      <c r="BKB142" s="22"/>
      <c r="BKC142" s="22"/>
      <c r="BKD142" s="22"/>
      <c r="BKE142" s="22"/>
      <c r="BKF142" s="22"/>
      <c r="BKG142" s="22"/>
      <c r="BKH142" s="22"/>
      <c r="BKI142" s="22"/>
      <c r="BKJ142" s="22"/>
      <c r="BKK142" s="22"/>
      <c r="BKL142" s="22"/>
      <c r="BKM142" s="22"/>
      <c r="BKN142" s="22"/>
      <c r="BKO142" s="22"/>
      <c r="BKP142" s="22"/>
      <c r="BKQ142" s="22"/>
      <c r="BKR142" s="22"/>
      <c r="BKS142" s="22"/>
      <c r="BKT142" s="22"/>
      <c r="BKU142" s="22"/>
      <c r="BKV142" s="22"/>
      <c r="BKW142" s="22"/>
      <c r="BKX142" s="22"/>
      <c r="BKY142" s="22"/>
      <c r="BKZ142" s="22"/>
      <c r="BLA142" s="22"/>
      <c r="BLB142" s="22"/>
      <c r="BLC142" s="22"/>
      <c r="BLD142" s="22"/>
      <c r="BLE142" s="22"/>
      <c r="BLF142" s="22"/>
      <c r="BLG142" s="22"/>
      <c r="BLH142" s="22"/>
      <c r="BLI142" s="22"/>
      <c r="BLJ142" s="22"/>
      <c r="BLK142" s="22"/>
      <c r="BLL142" s="22"/>
      <c r="BLM142" s="22"/>
      <c r="BLN142" s="22"/>
      <c r="BLO142" s="22"/>
      <c r="BLP142" s="22"/>
      <c r="BLQ142" s="22"/>
      <c r="BLR142" s="22"/>
      <c r="BLS142" s="22"/>
      <c r="BLT142" s="22"/>
      <c r="BLU142" s="22"/>
      <c r="BLV142" s="22"/>
      <c r="BLW142" s="22"/>
      <c r="BLX142" s="22"/>
      <c r="BLY142" s="22"/>
      <c r="BLZ142" s="22"/>
      <c r="BMA142" s="22"/>
      <c r="BMB142" s="22"/>
      <c r="BMC142" s="22"/>
      <c r="BMD142" s="22"/>
      <c r="BME142" s="22"/>
      <c r="BMF142" s="22"/>
      <c r="BMG142" s="22"/>
      <c r="BMH142" s="22"/>
      <c r="BMI142" s="22"/>
      <c r="BMJ142" s="22"/>
      <c r="BMK142" s="22"/>
      <c r="BML142" s="22"/>
      <c r="BMM142" s="22"/>
      <c r="BMN142" s="22"/>
      <c r="BMO142" s="22"/>
      <c r="BMP142" s="22"/>
      <c r="BMQ142" s="22"/>
      <c r="BMR142" s="22"/>
      <c r="BMS142" s="22"/>
      <c r="BMT142" s="22"/>
      <c r="BMU142" s="22"/>
      <c r="BMV142" s="22"/>
      <c r="BMW142" s="22"/>
      <c r="BMX142" s="22"/>
      <c r="BMY142" s="22"/>
      <c r="BMZ142" s="22"/>
      <c r="BNA142" s="22"/>
      <c r="BNB142" s="22"/>
      <c r="BNC142" s="22"/>
      <c r="BND142" s="22"/>
      <c r="BNE142" s="22"/>
      <c r="BNF142" s="22"/>
      <c r="BNG142" s="22"/>
      <c r="BNH142" s="22"/>
      <c r="BNI142" s="22"/>
      <c r="BNJ142" s="22"/>
      <c r="BNK142" s="22"/>
      <c r="BNL142" s="22"/>
      <c r="BNM142" s="22"/>
      <c r="BNN142" s="22"/>
      <c r="BNO142" s="22"/>
      <c r="BNP142" s="22"/>
      <c r="BNQ142" s="22"/>
      <c r="BNR142" s="22"/>
      <c r="BNS142" s="22"/>
      <c r="BNT142" s="22"/>
      <c r="BNU142" s="22"/>
      <c r="BNV142" s="22"/>
      <c r="BNW142" s="22"/>
      <c r="BNX142" s="22"/>
      <c r="BNY142" s="22"/>
      <c r="BNZ142" s="22"/>
      <c r="BOA142" s="22"/>
      <c r="BOB142" s="22"/>
      <c r="BOC142" s="22"/>
      <c r="BOD142" s="22"/>
      <c r="BOE142" s="22"/>
      <c r="BOF142" s="22"/>
      <c r="BOG142" s="22"/>
      <c r="BOH142" s="22"/>
      <c r="BOI142" s="22"/>
      <c r="BOJ142" s="22"/>
      <c r="BOK142" s="22"/>
      <c r="BOL142" s="22"/>
      <c r="BOM142" s="22"/>
      <c r="BON142" s="22"/>
      <c r="BOO142" s="22"/>
      <c r="BOP142" s="22"/>
      <c r="BOQ142" s="22"/>
      <c r="BOR142" s="22"/>
      <c r="BOS142" s="22"/>
      <c r="BOT142" s="22"/>
      <c r="BOU142" s="22"/>
      <c r="BOV142" s="22"/>
      <c r="BOW142" s="22"/>
      <c r="BOX142" s="22"/>
      <c r="BOY142" s="22"/>
      <c r="BOZ142" s="22"/>
      <c r="BPA142" s="22"/>
      <c r="BPB142" s="22"/>
      <c r="BPC142" s="22"/>
      <c r="BPD142" s="22"/>
      <c r="BPE142" s="22"/>
      <c r="BPF142" s="22"/>
      <c r="BPG142" s="22"/>
      <c r="BPH142" s="22"/>
      <c r="BPI142" s="22"/>
      <c r="BPJ142" s="22"/>
      <c r="BPK142" s="22"/>
      <c r="BPL142" s="22"/>
      <c r="BPM142" s="22"/>
      <c r="BPN142" s="22"/>
      <c r="BPO142" s="22"/>
      <c r="BPP142" s="22"/>
      <c r="BPQ142" s="22"/>
      <c r="BPR142" s="22"/>
      <c r="BPS142" s="22"/>
      <c r="BPT142" s="22"/>
      <c r="BPU142" s="22"/>
      <c r="BPV142" s="22"/>
      <c r="BPW142" s="22"/>
      <c r="BPX142" s="22"/>
      <c r="BPY142" s="22"/>
      <c r="BPZ142" s="22"/>
      <c r="BQA142" s="22"/>
      <c r="BQB142" s="22"/>
      <c r="BQC142" s="22"/>
      <c r="BQD142" s="22"/>
      <c r="BQE142" s="22"/>
      <c r="BQF142" s="22"/>
      <c r="BQG142" s="22"/>
      <c r="BQH142" s="22"/>
      <c r="BQI142" s="22"/>
      <c r="BQJ142" s="22"/>
      <c r="BQK142" s="22"/>
      <c r="BQL142" s="22"/>
      <c r="BQM142" s="22"/>
      <c r="BQN142" s="22"/>
      <c r="BQO142" s="22"/>
      <c r="BQP142" s="22"/>
      <c r="BQQ142" s="22"/>
      <c r="BQR142" s="22"/>
      <c r="BQS142" s="22"/>
      <c r="BQT142" s="22"/>
      <c r="BQU142" s="22"/>
      <c r="BQV142" s="22"/>
      <c r="BQW142" s="22"/>
      <c r="BQX142" s="22"/>
      <c r="BQY142" s="22"/>
      <c r="BQZ142" s="22"/>
      <c r="BRA142" s="22"/>
      <c r="BRB142" s="22"/>
      <c r="BRC142" s="22"/>
      <c r="BRD142" s="22"/>
      <c r="BRE142" s="22"/>
      <c r="BRF142" s="22"/>
      <c r="BRG142" s="22"/>
      <c r="BRH142" s="22"/>
      <c r="BRI142" s="22"/>
      <c r="BRJ142" s="22"/>
      <c r="BRK142" s="22"/>
      <c r="BRL142" s="22"/>
      <c r="BRM142" s="22"/>
      <c r="BRN142" s="22"/>
      <c r="BRO142" s="22"/>
      <c r="BRP142" s="22"/>
      <c r="BRQ142" s="22"/>
      <c r="BRR142" s="22"/>
      <c r="BRS142" s="22"/>
      <c r="BRT142" s="22"/>
      <c r="BRU142" s="22"/>
      <c r="BRV142" s="22"/>
      <c r="BRW142" s="22"/>
      <c r="BRX142" s="22"/>
      <c r="BRY142" s="22"/>
      <c r="BRZ142" s="22"/>
      <c r="BSA142" s="22"/>
      <c r="BSB142" s="22"/>
      <c r="BSC142" s="22"/>
      <c r="BSD142" s="22"/>
      <c r="BSE142" s="22"/>
      <c r="BSF142" s="22"/>
      <c r="BSG142" s="22"/>
      <c r="BSH142" s="22"/>
      <c r="BSI142" s="22"/>
      <c r="BSJ142" s="22"/>
      <c r="BSK142" s="22"/>
      <c r="BSL142" s="22"/>
      <c r="BSM142" s="22"/>
      <c r="BSN142" s="22"/>
      <c r="BSO142" s="22"/>
      <c r="BSP142" s="22"/>
      <c r="BSQ142" s="22"/>
      <c r="BSR142" s="22"/>
      <c r="BSS142" s="22"/>
      <c r="BST142" s="22"/>
      <c r="BSU142" s="22"/>
      <c r="BSV142" s="22"/>
      <c r="BSW142" s="22"/>
      <c r="BSX142" s="22"/>
      <c r="BSY142" s="22"/>
      <c r="BSZ142" s="22"/>
      <c r="BTA142" s="22"/>
      <c r="BTB142" s="22"/>
      <c r="BTC142" s="22"/>
      <c r="BTD142" s="22"/>
      <c r="BTE142" s="22"/>
      <c r="BTF142" s="22"/>
      <c r="BTG142" s="22"/>
      <c r="BTH142" s="22"/>
      <c r="BTI142" s="22"/>
      <c r="BTJ142" s="22"/>
      <c r="BTK142" s="22"/>
      <c r="BTL142" s="22"/>
      <c r="BTM142" s="22"/>
      <c r="BTN142" s="22"/>
      <c r="BTO142" s="22"/>
      <c r="BTP142" s="22"/>
      <c r="BTQ142" s="22"/>
      <c r="BTR142" s="22"/>
      <c r="BTS142" s="22"/>
      <c r="BTT142" s="22"/>
      <c r="BTU142" s="22"/>
      <c r="BTV142" s="22"/>
      <c r="BTW142" s="22"/>
      <c r="BTX142" s="22"/>
      <c r="BTY142" s="22"/>
      <c r="BTZ142" s="22"/>
      <c r="BUA142" s="22"/>
      <c r="BUB142" s="22"/>
      <c r="BUC142" s="22"/>
      <c r="BUD142" s="22"/>
      <c r="BUE142" s="22"/>
      <c r="BUF142" s="22"/>
      <c r="BUG142" s="22"/>
      <c r="BUH142" s="22"/>
      <c r="BUI142" s="22"/>
      <c r="BUJ142" s="22"/>
      <c r="BUK142" s="22"/>
      <c r="BUL142" s="22"/>
      <c r="BUM142" s="22"/>
      <c r="BUN142" s="22"/>
      <c r="BUO142" s="22"/>
      <c r="BUP142" s="22"/>
      <c r="BUQ142" s="22"/>
      <c r="BUR142" s="22"/>
      <c r="BUS142" s="22"/>
      <c r="BUT142" s="22"/>
      <c r="BUU142" s="22"/>
      <c r="BUV142" s="22"/>
      <c r="BUW142" s="22"/>
      <c r="BUX142" s="22"/>
      <c r="BUY142" s="22"/>
      <c r="BUZ142" s="22"/>
      <c r="BVA142" s="22"/>
      <c r="BVB142" s="22"/>
      <c r="BVC142" s="22"/>
      <c r="BVD142" s="22"/>
      <c r="BVE142" s="22"/>
      <c r="BVF142" s="22"/>
      <c r="BVG142" s="22"/>
      <c r="BVH142" s="22"/>
      <c r="BVI142" s="22"/>
      <c r="BVJ142" s="22"/>
      <c r="BVK142" s="22"/>
      <c r="BVL142" s="22"/>
      <c r="BVM142" s="22"/>
      <c r="BVN142" s="22"/>
      <c r="BVO142" s="22"/>
      <c r="BVP142" s="22"/>
      <c r="BVQ142" s="22"/>
      <c r="BVR142" s="22"/>
      <c r="BVS142" s="22"/>
      <c r="BVT142" s="22"/>
      <c r="BVU142" s="22"/>
      <c r="BVV142" s="22"/>
      <c r="BVW142" s="22"/>
      <c r="BVX142" s="22"/>
      <c r="BVY142" s="22"/>
      <c r="BVZ142" s="22"/>
      <c r="BWA142" s="22"/>
      <c r="BWB142" s="22"/>
      <c r="BWC142" s="22"/>
      <c r="BWD142" s="22"/>
      <c r="BWE142" s="22"/>
      <c r="BWF142" s="22"/>
      <c r="BWG142" s="22"/>
      <c r="BWH142" s="22"/>
      <c r="BWI142" s="22"/>
      <c r="BWJ142" s="22"/>
      <c r="BWK142" s="22"/>
      <c r="BWL142" s="22"/>
      <c r="BWM142" s="22"/>
      <c r="BWN142" s="22"/>
      <c r="BWO142" s="22"/>
      <c r="BWP142" s="22"/>
      <c r="BWQ142" s="22"/>
      <c r="BWR142" s="22"/>
      <c r="BWS142" s="22"/>
      <c r="BWT142" s="22"/>
      <c r="BWU142" s="22"/>
      <c r="BWV142" s="22"/>
      <c r="BWW142" s="22"/>
      <c r="BWX142" s="22"/>
      <c r="BWY142" s="22"/>
      <c r="BWZ142" s="22"/>
      <c r="BXA142" s="22"/>
      <c r="BXB142" s="22"/>
      <c r="BXC142" s="22"/>
      <c r="BXD142" s="22"/>
      <c r="BXE142" s="22"/>
      <c r="BXF142" s="22"/>
      <c r="BXG142" s="22"/>
      <c r="BXH142" s="22"/>
      <c r="BXI142" s="22"/>
      <c r="BXJ142" s="22"/>
      <c r="BXK142" s="22"/>
      <c r="BXL142" s="22"/>
      <c r="BXM142" s="22"/>
      <c r="BXN142" s="22"/>
      <c r="BXO142" s="22"/>
      <c r="BXP142" s="22"/>
      <c r="BXQ142" s="22"/>
      <c r="BXR142" s="22"/>
      <c r="BXS142" s="22"/>
      <c r="BXT142" s="22"/>
      <c r="BXU142" s="22"/>
      <c r="BXV142" s="22"/>
      <c r="BXW142" s="22"/>
      <c r="BXX142" s="22"/>
      <c r="BXY142" s="22"/>
      <c r="BXZ142" s="22"/>
      <c r="BYA142" s="22"/>
      <c r="BYB142" s="22"/>
      <c r="BYC142" s="22"/>
      <c r="BYD142" s="22"/>
      <c r="BYE142" s="22"/>
      <c r="BYF142" s="22"/>
      <c r="BYG142" s="22"/>
      <c r="BYH142" s="22"/>
      <c r="BYI142" s="22"/>
      <c r="BYJ142" s="22"/>
      <c r="BYK142" s="22"/>
      <c r="BYL142" s="22"/>
      <c r="BYM142" s="22"/>
      <c r="BYN142" s="22"/>
      <c r="BYO142" s="22"/>
      <c r="BYP142" s="22"/>
      <c r="BYQ142" s="22"/>
      <c r="BYR142" s="22"/>
      <c r="BYS142" s="22"/>
      <c r="BYT142" s="22"/>
      <c r="BYU142" s="22"/>
      <c r="BYV142" s="22"/>
      <c r="BYW142" s="22"/>
      <c r="BYX142" s="22"/>
      <c r="BYY142" s="22"/>
      <c r="BYZ142" s="22"/>
      <c r="BZA142" s="22"/>
      <c r="BZB142" s="22"/>
      <c r="BZC142" s="22"/>
      <c r="BZD142" s="22"/>
      <c r="BZE142" s="22"/>
      <c r="BZF142" s="22"/>
      <c r="BZG142" s="22"/>
      <c r="BZH142" s="22"/>
      <c r="BZI142" s="22"/>
      <c r="BZJ142" s="22"/>
      <c r="BZK142" s="22"/>
      <c r="BZL142" s="22"/>
      <c r="BZM142" s="22"/>
      <c r="BZN142" s="22"/>
      <c r="BZO142" s="22"/>
      <c r="BZP142" s="22"/>
      <c r="BZQ142" s="22"/>
      <c r="BZR142" s="22"/>
      <c r="BZS142" s="22"/>
      <c r="BZT142" s="22"/>
      <c r="BZU142" s="22"/>
      <c r="BZV142" s="22"/>
      <c r="BZW142" s="22"/>
      <c r="BZX142" s="22"/>
      <c r="BZY142" s="22"/>
      <c r="BZZ142" s="22"/>
      <c r="CAA142" s="22"/>
      <c r="CAB142" s="22"/>
      <c r="CAC142" s="22"/>
      <c r="CAD142" s="22"/>
      <c r="CAE142" s="22"/>
      <c r="CAF142" s="22"/>
      <c r="CAG142" s="22"/>
      <c r="CAH142" s="22"/>
      <c r="CAI142" s="22"/>
      <c r="CAJ142" s="22"/>
      <c r="CAK142" s="22"/>
      <c r="CAL142" s="22"/>
      <c r="CAM142" s="22"/>
      <c r="CAN142" s="22"/>
      <c r="CAO142" s="22"/>
      <c r="CAP142" s="22"/>
      <c r="CAQ142" s="22"/>
      <c r="CAR142" s="22"/>
      <c r="CAS142" s="22"/>
      <c r="CAT142" s="22"/>
      <c r="CAU142" s="22"/>
      <c r="CAV142" s="22"/>
      <c r="CAW142" s="22"/>
      <c r="CAX142" s="22"/>
      <c r="CAY142" s="22"/>
      <c r="CAZ142" s="22"/>
      <c r="CBA142" s="22"/>
      <c r="CBB142" s="22"/>
      <c r="CBC142" s="22"/>
      <c r="CBD142" s="22"/>
      <c r="CBE142" s="22"/>
      <c r="CBF142" s="22"/>
      <c r="CBG142" s="22"/>
      <c r="CBH142" s="22"/>
      <c r="CBI142" s="22"/>
      <c r="CBJ142" s="22"/>
      <c r="CBK142" s="22"/>
      <c r="CBL142" s="22"/>
      <c r="CBM142" s="22"/>
      <c r="CBN142" s="22"/>
      <c r="CBO142" s="22"/>
      <c r="CBP142" s="22"/>
      <c r="CBQ142" s="22"/>
      <c r="CBR142" s="22"/>
      <c r="CBS142" s="22"/>
      <c r="CBT142" s="22"/>
      <c r="CBU142" s="22"/>
      <c r="CBV142" s="22"/>
      <c r="CBW142" s="22"/>
      <c r="CBX142" s="22"/>
      <c r="CBY142" s="22"/>
      <c r="CBZ142" s="22"/>
      <c r="CCA142" s="22"/>
      <c r="CCB142" s="22"/>
      <c r="CCC142" s="22"/>
      <c r="CCD142" s="22"/>
      <c r="CCE142" s="22"/>
      <c r="CCF142" s="22"/>
      <c r="CCG142" s="22"/>
      <c r="CCH142" s="22"/>
      <c r="CCI142" s="22"/>
      <c r="CCJ142" s="22"/>
      <c r="CCK142" s="22"/>
      <c r="CCL142" s="22"/>
      <c r="CCM142" s="22"/>
      <c r="CCN142" s="22"/>
      <c r="CCO142" s="22"/>
      <c r="CCP142" s="22"/>
      <c r="CCQ142" s="22"/>
      <c r="CCR142" s="22"/>
      <c r="CCS142" s="22"/>
      <c r="CCT142" s="22"/>
      <c r="CCU142" s="22"/>
      <c r="CCV142" s="22"/>
      <c r="CCW142" s="22"/>
      <c r="CCX142" s="22"/>
      <c r="CCY142" s="22"/>
      <c r="CCZ142" s="22"/>
      <c r="CDA142" s="22"/>
      <c r="CDB142" s="22"/>
      <c r="CDC142" s="22"/>
      <c r="CDD142" s="22"/>
      <c r="CDE142" s="22"/>
      <c r="CDF142" s="22"/>
      <c r="CDG142" s="22"/>
      <c r="CDH142" s="22"/>
      <c r="CDI142" s="22"/>
      <c r="CDJ142" s="22"/>
      <c r="CDK142" s="22"/>
      <c r="CDL142" s="22"/>
      <c r="CDM142" s="22"/>
      <c r="CDN142" s="22"/>
      <c r="CDO142" s="22"/>
      <c r="CDP142" s="22"/>
      <c r="CDQ142" s="22"/>
      <c r="CDR142" s="22"/>
      <c r="CDS142" s="22"/>
      <c r="CDT142" s="22"/>
      <c r="CDU142" s="22"/>
      <c r="CDV142" s="22"/>
      <c r="CDW142" s="22"/>
      <c r="CDX142" s="22"/>
      <c r="CDY142" s="22"/>
      <c r="CDZ142" s="22"/>
      <c r="CEA142" s="22"/>
      <c r="CEB142" s="22"/>
      <c r="CEC142" s="22"/>
      <c r="CED142" s="22"/>
      <c r="CEE142" s="22"/>
      <c r="CEF142" s="22"/>
      <c r="CEG142" s="22"/>
      <c r="CEH142" s="22"/>
      <c r="CEI142" s="22"/>
      <c r="CEJ142" s="22"/>
      <c r="CEK142" s="22"/>
      <c r="CEL142" s="22"/>
      <c r="CEM142" s="22"/>
      <c r="CEN142" s="22"/>
      <c r="CEO142" s="22"/>
      <c r="CEP142" s="22"/>
      <c r="CEQ142" s="22"/>
      <c r="CER142" s="22"/>
      <c r="CES142" s="22"/>
      <c r="CET142" s="22"/>
      <c r="CEU142" s="22"/>
      <c r="CEV142" s="22"/>
      <c r="CEW142" s="22"/>
      <c r="CEX142" s="22"/>
      <c r="CEY142" s="22"/>
      <c r="CEZ142" s="22"/>
      <c r="CFA142" s="22"/>
      <c r="CFB142" s="22"/>
      <c r="CFC142" s="22"/>
      <c r="CFD142" s="22"/>
      <c r="CFE142" s="22"/>
      <c r="CFF142" s="22"/>
      <c r="CFG142" s="22"/>
      <c r="CFH142" s="22"/>
      <c r="CFI142" s="22"/>
      <c r="CFJ142" s="22"/>
      <c r="CFK142" s="22"/>
      <c r="CFL142" s="22"/>
      <c r="CFM142" s="22"/>
      <c r="CFN142" s="22"/>
      <c r="CFO142" s="22"/>
      <c r="CFP142" s="22"/>
      <c r="CFQ142" s="22"/>
      <c r="CFR142" s="22"/>
      <c r="CFS142" s="22"/>
      <c r="CFT142" s="22"/>
      <c r="CFU142" s="22"/>
      <c r="CFV142" s="22"/>
      <c r="CFW142" s="22"/>
      <c r="CFX142" s="22"/>
      <c r="CFY142" s="22"/>
      <c r="CFZ142" s="22"/>
      <c r="CGA142" s="22"/>
      <c r="CGB142" s="22"/>
      <c r="CGC142" s="22"/>
      <c r="CGD142" s="22"/>
      <c r="CGE142" s="22"/>
      <c r="CGF142" s="22"/>
      <c r="CGG142" s="22"/>
      <c r="CGH142" s="22"/>
      <c r="CGI142" s="22"/>
      <c r="CGJ142" s="22"/>
      <c r="CGK142" s="22"/>
      <c r="CGL142" s="22"/>
      <c r="CGM142" s="22"/>
      <c r="CGN142" s="22"/>
      <c r="CGO142" s="22"/>
      <c r="CGP142" s="22"/>
      <c r="CGQ142" s="22"/>
      <c r="CGR142" s="22"/>
      <c r="CGS142" s="22"/>
      <c r="CGT142" s="22"/>
      <c r="CGU142" s="22"/>
      <c r="CGV142" s="22"/>
      <c r="CGW142" s="22"/>
      <c r="CGX142" s="22"/>
      <c r="CGY142" s="22"/>
      <c r="CGZ142" s="22"/>
      <c r="CHA142" s="22"/>
      <c r="CHB142" s="22"/>
      <c r="CHC142" s="22"/>
      <c r="CHD142" s="22"/>
      <c r="CHE142" s="22"/>
      <c r="CHF142" s="22"/>
      <c r="CHG142" s="22"/>
      <c r="CHH142" s="22"/>
      <c r="CHI142" s="22"/>
      <c r="CHJ142" s="22"/>
      <c r="CHK142" s="22"/>
      <c r="CHL142" s="22"/>
      <c r="CHM142" s="22"/>
      <c r="CHN142" s="22"/>
      <c r="CHO142" s="22"/>
      <c r="CHP142" s="22"/>
      <c r="CHQ142" s="22"/>
      <c r="CHR142" s="22"/>
      <c r="CHS142" s="22"/>
      <c r="CHT142" s="22"/>
      <c r="CHU142" s="22"/>
      <c r="CHV142" s="22"/>
      <c r="CHW142" s="22"/>
      <c r="CHX142" s="22"/>
      <c r="CHY142" s="22"/>
      <c r="CHZ142" s="22"/>
      <c r="CIA142" s="22"/>
      <c r="CIB142" s="22"/>
      <c r="CIC142" s="22"/>
      <c r="CID142" s="22"/>
      <c r="CIE142" s="22"/>
      <c r="CIF142" s="22"/>
      <c r="CIG142" s="22"/>
      <c r="CIH142" s="22"/>
      <c r="CII142" s="22"/>
      <c r="CIJ142" s="22"/>
      <c r="CIK142" s="22"/>
      <c r="CIL142" s="22"/>
      <c r="CIM142" s="22"/>
      <c r="CIN142" s="22"/>
      <c r="CIO142" s="22"/>
      <c r="CIP142" s="22"/>
      <c r="CIQ142" s="22"/>
      <c r="CIR142" s="22"/>
      <c r="CIS142" s="22"/>
      <c r="CIT142" s="22"/>
      <c r="CIU142" s="22"/>
      <c r="CIV142" s="22"/>
      <c r="CIW142" s="22"/>
      <c r="CIX142" s="22"/>
      <c r="CIY142" s="22"/>
      <c r="CIZ142" s="22"/>
      <c r="CJA142" s="22"/>
      <c r="CJB142" s="22"/>
      <c r="CJC142" s="22"/>
      <c r="CJD142" s="22"/>
      <c r="CJE142" s="22"/>
      <c r="CJF142" s="22"/>
      <c r="CJG142" s="22"/>
      <c r="CJH142" s="22"/>
      <c r="CJI142" s="22"/>
      <c r="CJJ142" s="22"/>
      <c r="CJK142" s="22"/>
      <c r="CJL142" s="22"/>
      <c r="CJM142" s="22"/>
      <c r="CJN142" s="22"/>
      <c r="CJO142" s="22"/>
      <c r="CJP142" s="22"/>
      <c r="CJQ142" s="22"/>
      <c r="CJR142" s="22"/>
      <c r="CJS142" s="22"/>
      <c r="CJT142" s="22"/>
      <c r="CJU142" s="22"/>
      <c r="CJV142" s="22"/>
      <c r="CJW142" s="22"/>
      <c r="CJX142" s="22"/>
      <c r="CJY142" s="22"/>
      <c r="CJZ142" s="22"/>
      <c r="CKA142" s="22"/>
      <c r="CKB142" s="22"/>
      <c r="CKC142" s="22"/>
      <c r="CKD142" s="22"/>
      <c r="CKE142" s="22"/>
      <c r="CKF142" s="22"/>
      <c r="CKG142" s="22"/>
      <c r="CKH142" s="22"/>
      <c r="CKI142" s="22"/>
      <c r="CKJ142" s="22"/>
      <c r="CKK142" s="22"/>
      <c r="CKL142" s="22"/>
      <c r="CKM142" s="22"/>
      <c r="CKN142" s="22"/>
      <c r="CKO142" s="22"/>
      <c r="CKP142" s="22"/>
      <c r="CKQ142" s="22"/>
      <c r="CKR142" s="22"/>
      <c r="CKS142" s="22"/>
      <c r="CKT142" s="22"/>
      <c r="CKU142" s="22"/>
      <c r="CKV142" s="22"/>
      <c r="CKW142" s="22"/>
      <c r="CKX142" s="22"/>
      <c r="CKY142" s="22"/>
      <c r="CKZ142" s="22"/>
      <c r="CLA142" s="22"/>
      <c r="CLB142" s="22"/>
      <c r="CLC142" s="22"/>
      <c r="CLD142" s="22"/>
      <c r="CLE142" s="22"/>
      <c r="CLF142" s="22"/>
      <c r="CLG142" s="22"/>
      <c r="CLH142" s="22"/>
      <c r="CLI142" s="22"/>
      <c r="CLJ142" s="22"/>
      <c r="CLK142" s="22"/>
      <c r="CLL142" s="22"/>
      <c r="CLM142" s="22"/>
      <c r="CLN142" s="22"/>
      <c r="CLO142" s="22"/>
      <c r="CLP142" s="22"/>
      <c r="CLQ142" s="22"/>
      <c r="CLR142" s="22"/>
      <c r="CLS142" s="22"/>
      <c r="CLT142" s="22"/>
      <c r="CLU142" s="22"/>
      <c r="CLV142" s="22"/>
      <c r="CLW142" s="22"/>
      <c r="CLX142" s="22"/>
      <c r="CLY142" s="22"/>
      <c r="CLZ142" s="22"/>
      <c r="CMA142" s="22"/>
      <c r="CMB142" s="22"/>
      <c r="CMC142" s="22"/>
      <c r="CMD142" s="22"/>
      <c r="CME142" s="22"/>
      <c r="CMF142" s="22"/>
      <c r="CMG142" s="22"/>
      <c r="CMH142" s="22"/>
      <c r="CMI142" s="22"/>
      <c r="CMJ142" s="22"/>
      <c r="CMK142" s="22"/>
      <c r="CML142" s="22"/>
      <c r="CMM142" s="22"/>
      <c r="CMN142" s="22"/>
      <c r="CMO142" s="22"/>
      <c r="CMP142" s="22"/>
      <c r="CMQ142" s="22"/>
      <c r="CMR142" s="22"/>
      <c r="CMS142" s="22"/>
      <c r="CMT142" s="22"/>
      <c r="CMU142" s="22"/>
      <c r="CMV142" s="22"/>
      <c r="CMW142" s="22"/>
      <c r="CMX142" s="22"/>
      <c r="CMY142" s="22"/>
      <c r="CMZ142" s="22"/>
      <c r="CNA142" s="22"/>
      <c r="CNB142" s="22"/>
      <c r="CNC142" s="22"/>
      <c r="CND142" s="22"/>
      <c r="CNE142" s="22"/>
      <c r="CNF142" s="22"/>
      <c r="CNG142" s="22"/>
      <c r="CNH142" s="22"/>
      <c r="CNI142" s="22"/>
      <c r="CNJ142" s="22"/>
      <c r="CNK142" s="22"/>
      <c r="CNL142" s="22"/>
      <c r="CNM142" s="22"/>
      <c r="CNN142" s="22"/>
      <c r="CNO142" s="22"/>
      <c r="CNP142" s="22"/>
      <c r="CNQ142" s="22"/>
      <c r="CNR142" s="22"/>
      <c r="CNS142" s="22"/>
      <c r="CNT142" s="22"/>
      <c r="CNU142" s="22"/>
      <c r="CNV142" s="22"/>
      <c r="CNW142" s="22"/>
      <c r="CNX142" s="22"/>
      <c r="CNY142" s="22"/>
      <c r="CNZ142" s="22"/>
      <c r="COA142" s="22"/>
      <c r="COB142" s="22"/>
      <c r="COC142" s="22"/>
      <c r="COD142" s="22"/>
      <c r="COE142" s="22"/>
      <c r="COF142" s="22"/>
      <c r="COG142" s="22"/>
      <c r="COH142" s="22"/>
      <c r="COI142" s="22"/>
      <c r="COJ142" s="22"/>
      <c r="COK142" s="22"/>
      <c r="COL142" s="22"/>
      <c r="COM142" s="22"/>
      <c r="CON142" s="22"/>
      <c r="COO142" s="22"/>
      <c r="COP142" s="22"/>
      <c r="COQ142" s="22"/>
      <c r="COR142" s="22"/>
      <c r="COS142" s="22"/>
      <c r="COT142" s="22"/>
      <c r="COU142" s="22"/>
      <c r="COV142" s="22"/>
      <c r="COW142" s="22"/>
      <c r="COX142" s="22"/>
      <c r="COY142" s="22"/>
      <c r="COZ142" s="22"/>
      <c r="CPA142" s="22"/>
      <c r="CPB142" s="22"/>
      <c r="CPC142" s="22"/>
      <c r="CPD142" s="22"/>
      <c r="CPE142" s="22"/>
      <c r="CPF142" s="22"/>
      <c r="CPG142" s="22"/>
      <c r="CPH142" s="22"/>
      <c r="CPI142" s="22"/>
      <c r="CPJ142" s="22"/>
      <c r="CPK142" s="22"/>
      <c r="CPL142" s="22"/>
      <c r="CPM142" s="22"/>
      <c r="CPN142" s="22"/>
      <c r="CPO142" s="22"/>
      <c r="CPP142" s="22"/>
      <c r="CPQ142" s="22"/>
      <c r="CPR142" s="22"/>
      <c r="CPS142" s="22"/>
      <c r="CPT142" s="22"/>
      <c r="CPU142" s="22"/>
      <c r="CPV142" s="22"/>
      <c r="CPW142" s="22"/>
      <c r="CPX142" s="22"/>
      <c r="CPY142" s="22"/>
      <c r="CPZ142" s="22"/>
      <c r="CQA142" s="22"/>
      <c r="CQB142" s="22"/>
      <c r="CQC142" s="22"/>
      <c r="CQD142" s="22"/>
      <c r="CQE142" s="22"/>
      <c r="CQF142" s="22"/>
      <c r="CQG142" s="22"/>
      <c r="CQH142" s="22"/>
      <c r="CQI142" s="22"/>
      <c r="CQJ142" s="22"/>
      <c r="CQK142" s="22"/>
      <c r="CQL142" s="22"/>
      <c r="CQM142" s="22"/>
      <c r="CQN142" s="22"/>
      <c r="CQO142" s="22"/>
      <c r="CQP142" s="22"/>
      <c r="CQQ142" s="22"/>
      <c r="CQR142" s="22"/>
      <c r="CQS142" s="22"/>
      <c r="CQT142" s="22"/>
      <c r="CQU142" s="22"/>
      <c r="CQV142" s="22"/>
      <c r="CQW142" s="22"/>
      <c r="CQX142" s="22"/>
      <c r="CQY142" s="22"/>
      <c r="CQZ142" s="22"/>
      <c r="CRA142" s="22"/>
      <c r="CRB142" s="22"/>
      <c r="CRC142" s="22"/>
      <c r="CRD142" s="22"/>
      <c r="CRE142" s="22"/>
      <c r="CRF142" s="22"/>
      <c r="CRG142" s="22"/>
      <c r="CRH142" s="22"/>
      <c r="CRI142" s="22"/>
      <c r="CRJ142" s="22"/>
      <c r="CRK142" s="22"/>
      <c r="CRL142" s="22"/>
      <c r="CRM142" s="22"/>
      <c r="CRN142" s="22"/>
      <c r="CRO142" s="22"/>
      <c r="CRP142" s="22"/>
      <c r="CRQ142" s="22"/>
      <c r="CRR142" s="22"/>
      <c r="CRS142" s="22"/>
      <c r="CRT142" s="22"/>
      <c r="CRU142" s="22"/>
      <c r="CRV142" s="22"/>
      <c r="CRW142" s="22"/>
      <c r="CRX142" s="22"/>
      <c r="CRY142" s="22"/>
      <c r="CRZ142" s="22"/>
      <c r="CSA142" s="22"/>
      <c r="CSB142" s="22"/>
      <c r="CSC142" s="22"/>
      <c r="CSD142" s="22"/>
      <c r="CSE142" s="22"/>
      <c r="CSF142" s="22"/>
      <c r="CSG142" s="22"/>
      <c r="CSH142" s="22"/>
      <c r="CSI142" s="22"/>
      <c r="CSJ142" s="22"/>
      <c r="CSK142" s="22"/>
      <c r="CSL142" s="22"/>
      <c r="CSM142" s="22"/>
      <c r="CSN142" s="22"/>
      <c r="CSO142" s="22"/>
      <c r="CSP142" s="22"/>
      <c r="CSQ142" s="22"/>
      <c r="CSR142" s="22"/>
      <c r="CSS142" s="22"/>
      <c r="CST142" s="22"/>
      <c r="CSU142" s="22"/>
      <c r="CSV142" s="22"/>
      <c r="CSW142" s="22"/>
      <c r="CSX142" s="22"/>
      <c r="CSY142" s="22"/>
      <c r="CSZ142" s="22"/>
      <c r="CTA142" s="22"/>
      <c r="CTB142" s="22"/>
      <c r="CTC142" s="22"/>
      <c r="CTD142" s="22"/>
      <c r="CTE142" s="22"/>
      <c r="CTF142" s="22"/>
      <c r="CTG142" s="22"/>
      <c r="CTH142" s="22"/>
      <c r="CTI142" s="22"/>
      <c r="CTJ142" s="22"/>
      <c r="CTK142" s="22"/>
      <c r="CTL142" s="22"/>
      <c r="CTM142" s="22"/>
      <c r="CTN142" s="22"/>
      <c r="CTO142" s="22"/>
      <c r="CTP142" s="22"/>
      <c r="CTQ142" s="22"/>
      <c r="CTR142" s="22"/>
      <c r="CTS142" s="22"/>
      <c r="CTT142" s="22"/>
      <c r="CTU142" s="22"/>
      <c r="CTV142" s="22"/>
      <c r="CTW142" s="22"/>
      <c r="CTX142" s="22"/>
      <c r="CTY142" s="22"/>
      <c r="CTZ142" s="22"/>
      <c r="CUA142" s="22"/>
      <c r="CUB142" s="22"/>
      <c r="CUC142" s="22"/>
      <c r="CUD142" s="22"/>
      <c r="CUE142" s="22"/>
      <c r="CUF142" s="22"/>
      <c r="CUG142" s="22"/>
      <c r="CUH142" s="22"/>
      <c r="CUI142" s="22"/>
      <c r="CUJ142" s="22"/>
      <c r="CUK142" s="22"/>
      <c r="CUL142" s="22"/>
      <c r="CUM142" s="22"/>
      <c r="CUN142" s="22"/>
      <c r="CUO142" s="22"/>
      <c r="CUP142" s="22"/>
      <c r="CUQ142" s="22"/>
      <c r="CUR142" s="22"/>
      <c r="CUS142" s="22"/>
      <c r="CUT142" s="22"/>
      <c r="CUU142" s="22"/>
      <c r="CUV142" s="22"/>
      <c r="CUW142" s="22"/>
      <c r="CUX142" s="22"/>
      <c r="CUY142" s="22"/>
      <c r="CUZ142" s="22"/>
      <c r="CVA142" s="22"/>
      <c r="CVB142" s="22"/>
      <c r="CVC142" s="22"/>
      <c r="CVD142" s="22"/>
      <c r="CVE142" s="22"/>
      <c r="CVF142" s="22"/>
      <c r="CVG142" s="22"/>
      <c r="CVH142" s="22"/>
      <c r="CVI142" s="22"/>
      <c r="CVJ142" s="22"/>
      <c r="CVK142" s="22"/>
      <c r="CVL142" s="22"/>
      <c r="CVM142" s="22"/>
      <c r="CVN142" s="22"/>
      <c r="CVO142" s="22"/>
      <c r="CVP142" s="22"/>
      <c r="CVQ142" s="22"/>
      <c r="CVR142" s="22"/>
      <c r="CVS142" s="22"/>
      <c r="CVT142" s="22"/>
      <c r="CVU142" s="22"/>
      <c r="CVV142" s="22"/>
      <c r="CVW142" s="22"/>
      <c r="CVX142" s="22"/>
      <c r="CVY142" s="22"/>
      <c r="CVZ142" s="22"/>
      <c r="CWA142" s="22"/>
      <c r="CWB142" s="22"/>
      <c r="CWC142" s="22"/>
      <c r="CWD142" s="22"/>
      <c r="CWE142" s="22"/>
      <c r="CWF142" s="22"/>
      <c r="CWG142" s="22"/>
      <c r="CWH142" s="22"/>
      <c r="CWI142" s="22"/>
      <c r="CWJ142" s="22"/>
      <c r="CWK142" s="22"/>
      <c r="CWL142" s="22"/>
      <c r="CWM142" s="22"/>
      <c r="CWN142" s="22"/>
      <c r="CWO142" s="22"/>
      <c r="CWP142" s="22"/>
      <c r="CWQ142" s="22"/>
      <c r="CWR142" s="22"/>
      <c r="CWS142" s="22"/>
      <c r="CWT142" s="22"/>
      <c r="CWU142" s="22"/>
      <c r="CWV142" s="22"/>
      <c r="CWW142" s="22"/>
      <c r="CWX142" s="22"/>
      <c r="CWY142" s="22"/>
      <c r="CWZ142" s="22"/>
      <c r="CXA142" s="22"/>
      <c r="CXB142" s="22"/>
      <c r="CXC142" s="22"/>
      <c r="CXD142" s="22"/>
      <c r="CXE142" s="22"/>
      <c r="CXF142" s="22"/>
      <c r="CXG142" s="22"/>
      <c r="CXH142" s="22"/>
      <c r="CXI142" s="22"/>
      <c r="CXJ142" s="22"/>
      <c r="CXK142" s="22"/>
      <c r="CXL142" s="22"/>
      <c r="CXM142" s="22"/>
      <c r="CXN142" s="22"/>
      <c r="CXO142" s="22"/>
      <c r="CXP142" s="22"/>
      <c r="CXQ142" s="22"/>
      <c r="CXR142" s="22"/>
      <c r="CXS142" s="22"/>
      <c r="CXT142" s="22"/>
      <c r="CXU142" s="22"/>
      <c r="CXV142" s="22"/>
      <c r="CXW142" s="22"/>
      <c r="CXX142" s="22"/>
      <c r="CXY142" s="22"/>
      <c r="CXZ142" s="22"/>
      <c r="CYA142" s="22"/>
      <c r="CYB142" s="22"/>
      <c r="CYC142" s="22"/>
      <c r="CYD142" s="22"/>
      <c r="CYE142" s="22"/>
      <c r="CYF142" s="22"/>
      <c r="CYG142" s="22"/>
      <c r="CYH142" s="22"/>
      <c r="CYI142" s="22"/>
      <c r="CYJ142" s="22"/>
      <c r="CYK142" s="22"/>
      <c r="CYL142" s="22"/>
      <c r="CYM142" s="22"/>
      <c r="CYN142" s="22"/>
      <c r="CYO142" s="22"/>
      <c r="CYP142" s="22"/>
      <c r="CYQ142" s="22"/>
      <c r="CYR142" s="22"/>
      <c r="CYS142" s="22"/>
      <c r="CYT142" s="22"/>
      <c r="CYU142" s="22"/>
      <c r="CYV142" s="22"/>
      <c r="CYW142" s="22"/>
      <c r="CYX142" s="22"/>
      <c r="CYY142" s="22"/>
      <c r="CYZ142" s="22"/>
      <c r="CZA142" s="22"/>
      <c r="CZB142" s="22"/>
      <c r="CZC142" s="22"/>
      <c r="CZD142" s="22"/>
      <c r="CZE142" s="22"/>
      <c r="CZF142" s="22"/>
      <c r="CZG142" s="22"/>
      <c r="CZH142" s="22"/>
      <c r="CZI142" s="22"/>
      <c r="CZJ142" s="22"/>
      <c r="CZK142" s="22"/>
      <c r="CZL142" s="22"/>
      <c r="CZM142" s="22"/>
      <c r="CZN142" s="22"/>
      <c r="CZO142" s="22"/>
      <c r="CZP142" s="22"/>
      <c r="CZQ142" s="22"/>
      <c r="CZR142" s="22"/>
      <c r="CZS142" s="22"/>
      <c r="CZT142" s="22"/>
      <c r="CZU142" s="22"/>
      <c r="CZV142" s="22"/>
      <c r="CZW142" s="22"/>
      <c r="CZX142" s="22"/>
      <c r="CZY142" s="22"/>
      <c r="CZZ142" s="22"/>
      <c r="DAA142" s="22"/>
      <c r="DAB142" s="22"/>
      <c r="DAC142" s="22"/>
      <c r="DAD142" s="22"/>
      <c r="DAE142" s="22"/>
      <c r="DAF142" s="22"/>
      <c r="DAG142" s="22"/>
      <c r="DAH142" s="22"/>
      <c r="DAI142" s="22"/>
      <c r="DAJ142" s="22"/>
      <c r="DAK142" s="22"/>
      <c r="DAL142" s="22"/>
      <c r="DAM142" s="22"/>
      <c r="DAN142" s="22"/>
      <c r="DAO142" s="22"/>
      <c r="DAP142" s="22"/>
      <c r="DAQ142" s="22"/>
      <c r="DAR142" s="22"/>
      <c r="DAS142" s="22"/>
      <c r="DAT142" s="22"/>
      <c r="DAU142" s="22"/>
      <c r="DAV142" s="22"/>
      <c r="DAW142" s="22"/>
      <c r="DAX142" s="22"/>
      <c r="DAY142" s="22"/>
      <c r="DAZ142" s="22"/>
      <c r="DBA142" s="22"/>
      <c r="DBB142" s="22"/>
      <c r="DBC142" s="22"/>
      <c r="DBD142" s="22"/>
      <c r="DBE142" s="22"/>
      <c r="DBF142" s="22"/>
      <c r="DBG142" s="22"/>
      <c r="DBH142" s="22"/>
      <c r="DBI142" s="22"/>
      <c r="DBJ142" s="22"/>
      <c r="DBK142" s="22"/>
      <c r="DBL142" s="22"/>
      <c r="DBM142" s="22"/>
      <c r="DBN142" s="22"/>
      <c r="DBO142" s="22"/>
      <c r="DBP142" s="22"/>
      <c r="DBQ142" s="22"/>
      <c r="DBR142" s="22"/>
      <c r="DBS142" s="22"/>
      <c r="DBT142" s="22"/>
      <c r="DBU142" s="22"/>
      <c r="DBV142" s="22"/>
      <c r="DBW142" s="22"/>
      <c r="DBX142" s="22"/>
      <c r="DBY142" s="22"/>
      <c r="DBZ142" s="22"/>
      <c r="DCA142" s="22"/>
      <c r="DCB142" s="22"/>
      <c r="DCC142" s="22"/>
      <c r="DCD142" s="22"/>
      <c r="DCE142" s="22"/>
      <c r="DCF142" s="22"/>
      <c r="DCG142" s="22"/>
      <c r="DCH142" s="22"/>
      <c r="DCI142" s="22"/>
      <c r="DCJ142" s="22"/>
      <c r="DCK142" s="22"/>
      <c r="DCL142" s="22"/>
      <c r="DCM142" s="22"/>
      <c r="DCN142" s="22"/>
      <c r="DCO142" s="22"/>
      <c r="DCP142" s="22"/>
      <c r="DCQ142" s="22"/>
      <c r="DCR142" s="22"/>
      <c r="DCS142" s="22"/>
      <c r="DCT142" s="22"/>
      <c r="DCU142" s="22"/>
      <c r="DCV142" s="22"/>
      <c r="DCW142" s="22"/>
      <c r="DCX142" s="22"/>
      <c r="DCY142" s="22"/>
      <c r="DCZ142" s="22"/>
      <c r="DDA142" s="22"/>
      <c r="DDB142" s="22"/>
      <c r="DDC142" s="22"/>
      <c r="DDD142" s="22"/>
      <c r="DDE142" s="22"/>
      <c r="DDF142" s="22"/>
      <c r="DDG142" s="22"/>
      <c r="DDH142" s="22"/>
      <c r="DDI142" s="22"/>
      <c r="DDJ142" s="22"/>
      <c r="DDK142" s="22"/>
      <c r="DDL142" s="22"/>
      <c r="DDM142" s="22"/>
      <c r="DDN142" s="22"/>
      <c r="DDO142" s="22"/>
      <c r="DDP142" s="22"/>
      <c r="DDQ142" s="22"/>
      <c r="DDR142" s="22"/>
      <c r="DDS142" s="22"/>
      <c r="DDT142" s="22"/>
      <c r="DDU142" s="22"/>
      <c r="DDV142" s="22"/>
      <c r="DDW142" s="22"/>
      <c r="DDX142" s="22"/>
      <c r="DDY142" s="22"/>
      <c r="DDZ142" s="22"/>
      <c r="DEA142" s="22"/>
      <c r="DEB142" s="22"/>
      <c r="DEC142" s="22"/>
      <c r="DED142" s="22"/>
      <c r="DEE142" s="22"/>
      <c r="DEF142" s="22"/>
      <c r="DEG142" s="22"/>
      <c r="DEH142" s="22"/>
      <c r="DEI142" s="22"/>
      <c r="DEJ142" s="22"/>
      <c r="DEK142" s="22"/>
      <c r="DEL142" s="22"/>
      <c r="DEM142" s="22"/>
      <c r="DEN142" s="22"/>
      <c r="DEO142" s="22"/>
      <c r="DEP142" s="22"/>
      <c r="DEQ142" s="22"/>
      <c r="DER142" s="22"/>
      <c r="DES142" s="22"/>
      <c r="DET142" s="22"/>
      <c r="DEU142" s="22"/>
      <c r="DEV142" s="22"/>
      <c r="DEW142" s="22"/>
      <c r="DEX142" s="22"/>
      <c r="DEY142" s="22"/>
      <c r="DEZ142" s="22"/>
      <c r="DFA142" s="22"/>
      <c r="DFB142" s="22"/>
      <c r="DFC142" s="22"/>
      <c r="DFD142" s="22"/>
      <c r="DFE142" s="22"/>
      <c r="DFF142" s="22"/>
      <c r="DFG142" s="22"/>
      <c r="DFH142" s="22"/>
      <c r="DFI142" s="22"/>
      <c r="DFJ142" s="22"/>
      <c r="DFK142" s="22"/>
      <c r="DFL142" s="22"/>
      <c r="DFM142" s="22"/>
      <c r="DFN142" s="22"/>
      <c r="DFO142" s="22"/>
      <c r="DFP142" s="22"/>
      <c r="DFQ142" s="22"/>
      <c r="DFR142" s="22"/>
      <c r="DFS142" s="22"/>
      <c r="DFT142" s="22"/>
      <c r="DFU142" s="22"/>
      <c r="DFV142" s="22"/>
      <c r="DFW142" s="22"/>
      <c r="DFX142" s="22"/>
      <c r="DFY142" s="22"/>
      <c r="DFZ142" s="22"/>
      <c r="DGA142" s="22"/>
      <c r="DGB142" s="22"/>
      <c r="DGC142" s="22"/>
      <c r="DGD142" s="22"/>
      <c r="DGE142" s="22"/>
      <c r="DGF142" s="22"/>
      <c r="DGG142" s="22"/>
      <c r="DGH142" s="22"/>
      <c r="DGI142" s="22"/>
      <c r="DGJ142" s="22"/>
      <c r="DGK142" s="22"/>
      <c r="DGL142" s="22"/>
      <c r="DGM142" s="22"/>
      <c r="DGN142" s="22"/>
      <c r="DGO142" s="22"/>
      <c r="DGP142" s="22"/>
      <c r="DGQ142" s="22"/>
      <c r="DGR142" s="22"/>
      <c r="DGS142" s="22"/>
      <c r="DGT142" s="22"/>
      <c r="DGU142" s="22"/>
      <c r="DGV142" s="22"/>
      <c r="DGW142" s="22"/>
      <c r="DGX142" s="22"/>
      <c r="DGY142" s="22"/>
      <c r="DGZ142" s="22"/>
      <c r="DHA142" s="22"/>
      <c r="DHB142" s="22"/>
      <c r="DHC142" s="22"/>
      <c r="DHD142" s="22"/>
      <c r="DHE142" s="22"/>
      <c r="DHF142" s="22"/>
      <c r="DHG142" s="22"/>
      <c r="DHH142" s="22"/>
      <c r="DHI142" s="22"/>
      <c r="DHJ142" s="22"/>
      <c r="DHK142" s="22"/>
      <c r="DHL142" s="22"/>
      <c r="DHM142" s="22"/>
      <c r="DHN142" s="22"/>
      <c r="DHO142" s="22"/>
      <c r="DHP142" s="22"/>
      <c r="DHQ142" s="22"/>
      <c r="DHR142" s="22"/>
      <c r="DHS142" s="22"/>
      <c r="DHT142" s="22"/>
      <c r="DHU142" s="22"/>
      <c r="DHV142" s="22"/>
      <c r="DHW142" s="22"/>
      <c r="DHX142" s="22"/>
      <c r="DHY142" s="22"/>
      <c r="DHZ142" s="22"/>
      <c r="DIA142" s="22"/>
      <c r="DIB142" s="22"/>
      <c r="DIC142" s="22"/>
      <c r="DID142" s="22"/>
      <c r="DIE142" s="22"/>
      <c r="DIF142" s="22"/>
      <c r="DIG142" s="22"/>
      <c r="DIH142" s="22"/>
      <c r="DII142" s="22"/>
      <c r="DIJ142" s="22"/>
      <c r="DIK142" s="22"/>
      <c r="DIL142" s="22"/>
      <c r="DIM142" s="22"/>
      <c r="DIN142" s="22"/>
      <c r="DIO142" s="22"/>
      <c r="DIP142" s="22"/>
      <c r="DIQ142" s="22"/>
      <c r="DIR142" s="22"/>
      <c r="DIS142" s="22"/>
      <c r="DIT142" s="22"/>
      <c r="DIU142" s="22"/>
      <c r="DIV142" s="22"/>
      <c r="DIW142" s="22"/>
      <c r="DIX142" s="22"/>
      <c r="DIY142" s="22"/>
      <c r="DIZ142" s="22"/>
      <c r="DJA142" s="22"/>
      <c r="DJB142" s="22"/>
      <c r="DJC142" s="22"/>
      <c r="DJD142" s="22"/>
      <c r="DJE142" s="22"/>
      <c r="DJF142" s="22"/>
      <c r="DJG142" s="22"/>
      <c r="DJH142" s="22"/>
      <c r="DJI142" s="22"/>
      <c r="DJJ142" s="22"/>
      <c r="DJK142" s="22"/>
      <c r="DJL142" s="22"/>
      <c r="DJM142" s="22"/>
      <c r="DJN142" s="22"/>
      <c r="DJO142" s="22"/>
      <c r="DJP142" s="22"/>
      <c r="DJQ142" s="22"/>
      <c r="DJR142" s="22"/>
      <c r="DJS142" s="22"/>
      <c r="DJT142" s="22"/>
      <c r="DJU142" s="22"/>
      <c r="DJV142" s="22"/>
      <c r="DJW142" s="22"/>
      <c r="DJX142" s="22"/>
      <c r="DJY142" s="22"/>
      <c r="DJZ142" s="22"/>
      <c r="DKA142" s="22"/>
      <c r="DKB142" s="22"/>
      <c r="DKC142" s="22"/>
      <c r="DKD142" s="22"/>
      <c r="DKE142" s="22"/>
      <c r="DKF142" s="22"/>
      <c r="DKG142" s="22"/>
      <c r="DKH142" s="22"/>
      <c r="DKI142" s="22"/>
      <c r="DKJ142" s="22"/>
      <c r="DKK142" s="22"/>
      <c r="DKL142" s="22"/>
      <c r="DKM142" s="22"/>
      <c r="DKN142" s="22"/>
      <c r="DKO142" s="22"/>
      <c r="DKP142" s="22"/>
      <c r="DKQ142" s="22"/>
      <c r="DKR142" s="22"/>
      <c r="DKS142" s="22"/>
      <c r="DKT142" s="22"/>
      <c r="DKU142" s="22"/>
      <c r="DKV142" s="22"/>
      <c r="DKW142" s="22"/>
      <c r="DKX142" s="22"/>
      <c r="DKY142" s="22"/>
      <c r="DKZ142" s="22"/>
      <c r="DLA142" s="22"/>
      <c r="DLB142" s="22"/>
      <c r="DLC142" s="22"/>
      <c r="DLD142" s="22"/>
      <c r="DLE142" s="22"/>
      <c r="DLF142" s="22"/>
      <c r="DLG142" s="22"/>
      <c r="DLH142" s="22"/>
      <c r="DLI142" s="22"/>
      <c r="DLJ142" s="22"/>
      <c r="DLK142" s="22"/>
      <c r="DLL142" s="22"/>
      <c r="DLM142" s="22"/>
      <c r="DLN142" s="22"/>
      <c r="DLO142" s="22"/>
      <c r="DLP142" s="22"/>
      <c r="DLQ142" s="22"/>
      <c r="DLR142" s="22"/>
      <c r="DLS142" s="22"/>
      <c r="DLT142" s="22"/>
      <c r="DLU142" s="22"/>
      <c r="DLV142" s="22"/>
      <c r="DLW142" s="22"/>
      <c r="DLX142" s="22"/>
      <c r="DLY142" s="22"/>
      <c r="DLZ142" s="22"/>
      <c r="DMA142" s="22"/>
      <c r="DMB142" s="22"/>
      <c r="DMC142" s="22"/>
      <c r="DMD142" s="22"/>
      <c r="DME142" s="22"/>
      <c r="DMF142" s="22"/>
      <c r="DMG142" s="22"/>
      <c r="DMH142" s="22"/>
      <c r="DMI142" s="22"/>
      <c r="DMJ142" s="22"/>
      <c r="DMK142" s="22"/>
      <c r="DML142" s="22"/>
      <c r="DMM142" s="22"/>
      <c r="DMN142" s="22"/>
      <c r="DMO142" s="22"/>
      <c r="DMP142" s="22"/>
      <c r="DMQ142" s="22"/>
      <c r="DMR142" s="22"/>
      <c r="DMS142" s="22"/>
      <c r="DMT142" s="22"/>
      <c r="DMU142" s="22"/>
      <c r="DMV142" s="22"/>
      <c r="DMW142" s="22"/>
      <c r="DMX142" s="22"/>
      <c r="DMY142" s="22"/>
      <c r="DMZ142" s="22"/>
      <c r="DNA142" s="22"/>
      <c r="DNB142" s="22"/>
      <c r="DNC142" s="22"/>
      <c r="DND142" s="22"/>
      <c r="DNE142" s="22"/>
      <c r="DNF142" s="22"/>
      <c r="DNG142" s="22"/>
      <c r="DNH142" s="22"/>
      <c r="DNI142" s="22"/>
      <c r="DNJ142" s="22"/>
      <c r="DNK142" s="22"/>
      <c r="DNL142" s="22"/>
      <c r="DNM142" s="22"/>
      <c r="DNN142" s="22"/>
      <c r="DNO142" s="22"/>
      <c r="DNP142" s="22"/>
      <c r="DNQ142" s="22"/>
      <c r="DNR142" s="22"/>
      <c r="DNS142" s="22"/>
      <c r="DNT142" s="22"/>
      <c r="DNU142" s="22"/>
      <c r="DNV142" s="22"/>
      <c r="DNW142" s="22"/>
      <c r="DNX142" s="22"/>
      <c r="DNY142" s="22"/>
      <c r="DNZ142" s="22"/>
      <c r="DOA142" s="22"/>
      <c r="DOB142" s="22"/>
      <c r="DOC142" s="22"/>
      <c r="DOD142" s="22"/>
      <c r="DOE142" s="22"/>
      <c r="DOF142" s="22"/>
      <c r="DOG142" s="22"/>
      <c r="DOH142" s="22"/>
      <c r="DOI142" s="22"/>
      <c r="DOJ142" s="22"/>
      <c r="DOK142" s="22"/>
      <c r="DOL142" s="22"/>
      <c r="DOM142" s="22"/>
      <c r="DON142" s="22"/>
      <c r="DOO142" s="22"/>
      <c r="DOP142" s="22"/>
      <c r="DOQ142" s="22"/>
      <c r="DOR142" s="22"/>
      <c r="DOS142" s="22"/>
      <c r="DOT142" s="22"/>
      <c r="DOU142" s="22"/>
      <c r="DOV142" s="22"/>
      <c r="DOW142" s="22"/>
      <c r="DOX142" s="22"/>
      <c r="DOY142" s="22"/>
      <c r="DOZ142" s="22"/>
      <c r="DPA142" s="22"/>
      <c r="DPB142" s="22"/>
      <c r="DPC142" s="22"/>
      <c r="DPD142" s="22"/>
      <c r="DPE142" s="22"/>
      <c r="DPF142" s="22"/>
      <c r="DPG142" s="22"/>
      <c r="DPH142" s="22"/>
      <c r="DPI142" s="22"/>
      <c r="DPJ142" s="22"/>
      <c r="DPK142" s="22"/>
      <c r="DPL142" s="22"/>
      <c r="DPM142" s="22"/>
      <c r="DPN142" s="22"/>
      <c r="DPO142" s="22"/>
      <c r="DPP142" s="22"/>
      <c r="DPQ142" s="22"/>
      <c r="DPR142" s="22"/>
      <c r="DPS142" s="22"/>
      <c r="DPT142" s="22"/>
      <c r="DPU142" s="22"/>
      <c r="DPV142" s="22"/>
      <c r="DPW142" s="22"/>
      <c r="DPX142" s="22"/>
      <c r="DPY142" s="22"/>
      <c r="DPZ142" s="22"/>
      <c r="DQA142" s="22"/>
      <c r="DQB142" s="22"/>
      <c r="DQC142" s="22"/>
      <c r="DQD142" s="22"/>
      <c r="DQE142" s="22"/>
      <c r="DQF142" s="22"/>
      <c r="DQG142" s="22"/>
      <c r="DQH142" s="22"/>
      <c r="DQI142" s="22"/>
      <c r="DQJ142" s="22"/>
      <c r="DQK142" s="22"/>
      <c r="DQL142" s="22"/>
      <c r="DQM142" s="22"/>
      <c r="DQN142" s="22"/>
      <c r="DQO142" s="22"/>
      <c r="DQP142" s="22"/>
      <c r="DQQ142" s="22"/>
      <c r="DQR142" s="22"/>
      <c r="DQS142" s="22"/>
      <c r="DQT142" s="22"/>
      <c r="DQU142" s="22"/>
      <c r="DQV142" s="22"/>
      <c r="DQW142" s="22"/>
      <c r="DQX142" s="22"/>
      <c r="DQY142" s="22"/>
      <c r="DQZ142" s="22"/>
      <c r="DRA142" s="22"/>
      <c r="DRB142" s="22"/>
      <c r="DRC142" s="22"/>
      <c r="DRD142" s="22"/>
      <c r="DRE142" s="22"/>
      <c r="DRF142" s="22"/>
      <c r="DRG142" s="22"/>
      <c r="DRH142" s="22"/>
      <c r="DRI142" s="22"/>
      <c r="DRJ142" s="22"/>
      <c r="DRK142" s="22"/>
      <c r="DRL142" s="22"/>
      <c r="DRM142" s="22"/>
      <c r="DRN142" s="22"/>
      <c r="DRO142" s="22"/>
      <c r="DRP142" s="22"/>
      <c r="DRQ142" s="22"/>
      <c r="DRR142" s="22"/>
      <c r="DRS142" s="22"/>
      <c r="DRT142" s="22"/>
      <c r="DRU142" s="22"/>
      <c r="DRV142" s="22"/>
      <c r="DRW142" s="22"/>
      <c r="DRX142" s="22"/>
      <c r="DRY142" s="22"/>
      <c r="DRZ142" s="22"/>
      <c r="DSA142" s="22"/>
      <c r="DSB142" s="22"/>
      <c r="DSC142" s="22"/>
      <c r="DSD142" s="22"/>
      <c r="DSE142" s="22"/>
      <c r="DSF142" s="22"/>
      <c r="DSG142" s="22"/>
      <c r="DSH142" s="22"/>
      <c r="DSI142" s="22"/>
      <c r="DSJ142" s="22"/>
      <c r="DSK142" s="22"/>
      <c r="DSL142" s="22"/>
      <c r="DSM142" s="22"/>
      <c r="DSN142" s="22"/>
      <c r="DSO142" s="22"/>
      <c r="DSP142" s="22"/>
      <c r="DSQ142" s="22"/>
      <c r="DSR142" s="22"/>
      <c r="DSS142" s="22"/>
      <c r="DST142" s="22"/>
      <c r="DSU142" s="22"/>
      <c r="DSV142" s="22"/>
      <c r="DSW142" s="22"/>
      <c r="DSX142" s="22"/>
      <c r="DSY142" s="22"/>
      <c r="DSZ142" s="22"/>
      <c r="DTA142" s="22"/>
      <c r="DTB142" s="22"/>
      <c r="DTC142" s="22"/>
      <c r="DTD142" s="22"/>
      <c r="DTE142" s="22"/>
      <c r="DTF142" s="22"/>
      <c r="DTG142" s="22"/>
      <c r="DTH142" s="22"/>
      <c r="DTI142" s="22"/>
      <c r="DTJ142" s="22"/>
      <c r="DTK142" s="22"/>
      <c r="DTL142" s="22"/>
      <c r="DTM142" s="22"/>
      <c r="DTN142" s="22"/>
      <c r="DTO142" s="22"/>
      <c r="DTP142" s="22"/>
      <c r="DTQ142" s="22"/>
      <c r="DTR142" s="22"/>
      <c r="DTS142" s="22"/>
      <c r="DTT142" s="22"/>
      <c r="DTU142" s="22"/>
      <c r="DTV142" s="22"/>
      <c r="DTW142" s="22"/>
      <c r="DTX142" s="22"/>
      <c r="DTY142" s="22"/>
      <c r="DTZ142" s="22"/>
      <c r="DUA142" s="22"/>
      <c r="DUB142" s="22"/>
      <c r="DUC142" s="22"/>
      <c r="DUD142" s="22"/>
      <c r="DUE142" s="22"/>
      <c r="DUF142" s="22"/>
      <c r="DUG142" s="22"/>
      <c r="DUH142" s="22"/>
      <c r="DUI142" s="22"/>
      <c r="DUJ142" s="22"/>
      <c r="DUK142" s="22"/>
      <c r="DUL142" s="22"/>
      <c r="DUM142" s="22"/>
      <c r="DUN142" s="22"/>
      <c r="DUO142" s="22"/>
      <c r="DUP142" s="22"/>
      <c r="DUQ142" s="22"/>
      <c r="DUR142" s="22"/>
      <c r="DUS142" s="22"/>
      <c r="DUT142" s="22"/>
      <c r="DUU142" s="22"/>
      <c r="DUV142" s="22"/>
      <c r="DUW142" s="22"/>
      <c r="DUX142" s="22"/>
      <c r="DUY142" s="22"/>
      <c r="DUZ142" s="22"/>
      <c r="DVA142" s="22"/>
      <c r="DVB142" s="22"/>
      <c r="DVC142" s="22"/>
      <c r="DVD142" s="22"/>
      <c r="DVE142" s="22"/>
      <c r="DVF142" s="22"/>
      <c r="DVG142" s="22"/>
      <c r="DVH142" s="22"/>
      <c r="DVI142" s="22"/>
      <c r="DVJ142" s="22"/>
      <c r="DVK142" s="22"/>
      <c r="DVL142" s="22"/>
      <c r="DVM142" s="22"/>
      <c r="DVN142" s="22"/>
      <c r="DVO142" s="22"/>
      <c r="DVP142" s="22"/>
      <c r="DVQ142" s="22"/>
      <c r="DVR142" s="22"/>
      <c r="DVS142" s="22"/>
      <c r="DVT142" s="22"/>
      <c r="DVU142" s="22"/>
      <c r="DVV142" s="22"/>
      <c r="DVW142" s="22"/>
      <c r="DVX142" s="22"/>
      <c r="DVY142" s="22"/>
      <c r="DVZ142" s="22"/>
      <c r="DWA142" s="22"/>
      <c r="DWB142" s="22"/>
      <c r="DWC142" s="22"/>
      <c r="DWD142" s="22"/>
      <c r="DWE142" s="22"/>
      <c r="DWF142" s="22"/>
      <c r="DWG142" s="22"/>
      <c r="DWH142" s="22"/>
      <c r="DWI142" s="22"/>
      <c r="DWJ142" s="22"/>
      <c r="DWK142" s="22"/>
      <c r="DWL142" s="22"/>
      <c r="DWM142" s="22"/>
      <c r="DWN142" s="22"/>
      <c r="DWO142" s="22"/>
      <c r="DWP142" s="22"/>
      <c r="DWQ142" s="22"/>
      <c r="DWR142" s="22"/>
      <c r="DWS142" s="22"/>
      <c r="DWT142" s="22"/>
      <c r="DWU142" s="22"/>
      <c r="DWV142" s="22"/>
      <c r="DWW142" s="22"/>
      <c r="DWX142" s="22"/>
      <c r="DWY142" s="22"/>
      <c r="DWZ142" s="22"/>
      <c r="DXA142" s="22"/>
      <c r="DXB142" s="22"/>
      <c r="DXC142" s="22"/>
      <c r="DXD142" s="22"/>
      <c r="DXE142" s="22"/>
      <c r="DXF142" s="22"/>
      <c r="DXG142" s="22"/>
      <c r="DXH142" s="22"/>
      <c r="DXI142" s="22"/>
      <c r="DXJ142" s="22"/>
      <c r="DXK142" s="22"/>
      <c r="DXL142" s="22"/>
      <c r="DXM142" s="22"/>
      <c r="DXN142" s="22"/>
      <c r="DXO142" s="22"/>
      <c r="DXP142" s="22"/>
      <c r="DXQ142" s="22"/>
      <c r="DXR142" s="22"/>
      <c r="DXS142" s="22"/>
      <c r="DXT142" s="22"/>
      <c r="DXU142" s="22"/>
      <c r="DXV142" s="22"/>
      <c r="DXW142" s="22"/>
      <c r="DXX142" s="22"/>
      <c r="DXY142" s="22"/>
      <c r="DXZ142" s="22"/>
      <c r="DYA142" s="22"/>
      <c r="DYB142" s="22"/>
      <c r="DYC142" s="22"/>
      <c r="DYD142" s="22"/>
      <c r="DYE142" s="22"/>
      <c r="DYF142" s="22"/>
      <c r="DYG142" s="22"/>
      <c r="DYH142" s="22"/>
      <c r="DYI142" s="22"/>
      <c r="DYJ142" s="22"/>
      <c r="DYK142" s="22"/>
      <c r="DYL142" s="22"/>
      <c r="DYM142" s="22"/>
      <c r="DYN142" s="22"/>
      <c r="DYO142" s="22"/>
      <c r="DYP142" s="22"/>
      <c r="DYQ142" s="22"/>
      <c r="DYR142" s="22"/>
      <c r="DYS142" s="22"/>
      <c r="DYT142" s="22"/>
      <c r="DYU142" s="22"/>
      <c r="DYV142" s="22"/>
      <c r="DYW142" s="22"/>
      <c r="DYX142" s="22"/>
      <c r="DYY142" s="22"/>
      <c r="DYZ142" s="22"/>
      <c r="DZA142" s="22"/>
      <c r="DZB142" s="22"/>
      <c r="DZC142" s="22"/>
      <c r="DZD142" s="22"/>
      <c r="DZE142" s="22"/>
      <c r="DZF142" s="22"/>
      <c r="DZG142" s="22"/>
      <c r="DZH142" s="22"/>
      <c r="DZI142" s="22"/>
      <c r="DZJ142" s="22"/>
      <c r="DZK142" s="22"/>
      <c r="DZL142" s="22"/>
      <c r="DZM142" s="22"/>
      <c r="DZN142" s="22"/>
      <c r="DZO142" s="22"/>
      <c r="DZP142" s="22"/>
      <c r="DZQ142" s="22"/>
      <c r="DZR142" s="22"/>
      <c r="DZS142" s="22"/>
      <c r="DZT142" s="22"/>
      <c r="DZU142" s="22"/>
      <c r="DZV142" s="22"/>
      <c r="DZW142" s="22"/>
      <c r="DZX142" s="22"/>
      <c r="DZY142" s="22"/>
      <c r="DZZ142" s="22"/>
      <c r="EAA142" s="22"/>
      <c r="EAB142" s="22"/>
      <c r="EAC142" s="22"/>
      <c r="EAD142" s="22"/>
      <c r="EAE142" s="22"/>
      <c r="EAF142" s="22"/>
      <c r="EAG142" s="22"/>
      <c r="EAH142" s="22"/>
      <c r="EAI142" s="22"/>
      <c r="EAJ142" s="22"/>
      <c r="EAK142" s="22"/>
      <c r="EAL142" s="22"/>
      <c r="EAM142" s="22"/>
      <c r="EAN142" s="22"/>
      <c r="EAO142" s="22"/>
      <c r="EAP142" s="22"/>
      <c r="EAQ142" s="22"/>
      <c r="EAR142" s="22"/>
      <c r="EAS142" s="22"/>
      <c r="EAT142" s="22"/>
      <c r="EAU142" s="22"/>
      <c r="EAV142" s="22"/>
      <c r="EAW142" s="22"/>
      <c r="EAX142" s="22"/>
      <c r="EAY142" s="22"/>
      <c r="EAZ142" s="22"/>
      <c r="EBA142" s="22"/>
      <c r="EBB142" s="22"/>
      <c r="EBC142" s="22"/>
      <c r="EBD142" s="22"/>
      <c r="EBE142" s="22"/>
      <c r="EBF142" s="22"/>
      <c r="EBG142" s="22"/>
      <c r="EBH142" s="22"/>
      <c r="EBI142" s="22"/>
      <c r="EBJ142" s="22"/>
      <c r="EBK142" s="22"/>
      <c r="EBL142" s="22"/>
      <c r="EBM142" s="22"/>
      <c r="EBN142" s="22"/>
      <c r="EBO142" s="22"/>
      <c r="EBP142" s="22"/>
      <c r="EBQ142" s="22"/>
      <c r="EBR142" s="22"/>
      <c r="EBS142" s="22"/>
      <c r="EBT142" s="22"/>
      <c r="EBU142" s="22"/>
      <c r="EBV142" s="22"/>
      <c r="EBW142" s="22"/>
      <c r="EBX142" s="22"/>
      <c r="EBY142" s="22"/>
      <c r="EBZ142" s="22"/>
      <c r="ECA142" s="22"/>
      <c r="ECB142" s="22"/>
      <c r="ECC142" s="22"/>
      <c r="ECD142" s="22"/>
      <c r="ECE142" s="22"/>
      <c r="ECF142" s="22"/>
      <c r="ECG142" s="22"/>
      <c r="ECH142" s="22"/>
      <c r="ECI142" s="22"/>
      <c r="ECJ142" s="22"/>
      <c r="ECK142" s="22"/>
      <c r="ECL142" s="22"/>
      <c r="ECM142" s="22"/>
      <c r="ECN142" s="22"/>
      <c r="ECO142" s="22"/>
      <c r="ECP142" s="22"/>
      <c r="ECQ142" s="22"/>
      <c r="ECR142" s="22"/>
      <c r="ECS142" s="22"/>
      <c r="ECT142" s="22"/>
      <c r="ECU142" s="22"/>
      <c r="ECV142" s="22"/>
      <c r="ECW142" s="22"/>
      <c r="ECX142" s="22"/>
      <c r="ECY142" s="22"/>
      <c r="ECZ142" s="22"/>
      <c r="EDA142" s="22"/>
      <c r="EDB142" s="22"/>
      <c r="EDC142" s="22"/>
      <c r="EDD142" s="22"/>
      <c r="EDE142" s="22"/>
      <c r="EDF142" s="22"/>
      <c r="EDG142" s="22"/>
      <c r="EDH142" s="22"/>
      <c r="EDI142" s="22"/>
      <c r="EDJ142" s="22"/>
      <c r="EDK142" s="22"/>
      <c r="EDL142" s="22"/>
      <c r="EDM142" s="22"/>
      <c r="EDN142" s="22"/>
      <c r="EDO142" s="22"/>
      <c r="EDP142" s="22"/>
      <c r="EDQ142" s="22"/>
      <c r="EDR142" s="22"/>
      <c r="EDS142" s="22"/>
      <c r="EDT142" s="22"/>
      <c r="EDU142" s="22"/>
      <c r="EDV142" s="22"/>
      <c r="EDW142" s="22"/>
      <c r="EDX142" s="22"/>
      <c r="EDY142" s="22"/>
      <c r="EDZ142" s="22"/>
      <c r="EEA142" s="22"/>
      <c r="EEB142" s="22"/>
      <c r="EEC142" s="22"/>
      <c r="EED142" s="22"/>
      <c r="EEE142" s="22"/>
      <c r="EEF142" s="22"/>
      <c r="EEG142" s="22"/>
      <c r="EEH142" s="22"/>
      <c r="EEI142" s="22"/>
      <c r="EEJ142" s="22"/>
      <c r="EEK142" s="22"/>
      <c r="EEL142" s="22"/>
      <c r="EEM142" s="22"/>
      <c r="EEN142" s="22"/>
      <c r="EEO142" s="22"/>
      <c r="EEP142" s="22"/>
      <c r="EEQ142" s="22"/>
      <c r="EER142" s="22"/>
      <c r="EES142" s="22"/>
      <c r="EET142" s="22"/>
      <c r="EEU142" s="22"/>
      <c r="EEV142" s="22"/>
      <c r="EEW142" s="22"/>
      <c r="EEX142" s="22"/>
      <c r="EEY142" s="22"/>
      <c r="EEZ142" s="22"/>
      <c r="EFA142" s="22"/>
      <c r="EFB142" s="22"/>
      <c r="EFC142" s="22"/>
      <c r="EFD142" s="22"/>
      <c r="EFE142" s="22"/>
      <c r="EFF142" s="22"/>
      <c r="EFG142" s="22"/>
      <c r="EFH142" s="22"/>
      <c r="EFI142" s="22"/>
      <c r="EFJ142" s="22"/>
      <c r="EFK142" s="22"/>
      <c r="EFL142" s="22"/>
      <c r="EFM142" s="22"/>
      <c r="EFN142" s="22"/>
      <c r="EFO142" s="22"/>
      <c r="EFP142" s="22"/>
      <c r="EFQ142" s="22"/>
      <c r="EFR142" s="22"/>
      <c r="EFS142" s="22"/>
      <c r="EFT142" s="22"/>
      <c r="EFU142" s="22"/>
      <c r="EFV142" s="22"/>
      <c r="EFW142" s="22"/>
      <c r="EFX142" s="22"/>
      <c r="EFY142" s="22"/>
      <c r="EFZ142" s="22"/>
      <c r="EGA142" s="22"/>
      <c r="EGB142" s="22"/>
      <c r="EGC142" s="22"/>
      <c r="EGD142" s="22"/>
      <c r="EGE142" s="22"/>
      <c r="EGF142" s="22"/>
      <c r="EGG142" s="22"/>
      <c r="EGH142" s="22"/>
      <c r="EGI142" s="22"/>
      <c r="EGJ142" s="22"/>
      <c r="EGK142" s="22"/>
      <c r="EGL142" s="22"/>
      <c r="EGM142" s="22"/>
      <c r="EGN142" s="22"/>
      <c r="EGO142" s="22"/>
      <c r="EGP142" s="22"/>
      <c r="EGQ142" s="22"/>
      <c r="EGR142" s="22"/>
      <c r="EGS142" s="22"/>
      <c r="EGT142" s="22"/>
      <c r="EGU142" s="22"/>
      <c r="EGV142" s="22"/>
      <c r="EGW142" s="22"/>
      <c r="EGX142" s="22"/>
      <c r="EGY142" s="22"/>
      <c r="EGZ142" s="22"/>
      <c r="EHA142" s="22"/>
      <c r="EHB142" s="22"/>
      <c r="EHC142" s="22"/>
      <c r="EHD142" s="22"/>
      <c r="EHE142" s="22"/>
      <c r="EHF142" s="22"/>
      <c r="EHG142" s="22"/>
      <c r="EHH142" s="22"/>
      <c r="EHI142" s="22"/>
      <c r="EHJ142" s="22"/>
      <c r="EHK142" s="22"/>
      <c r="EHL142" s="22"/>
      <c r="EHM142" s="22"/>
      <c r="EHN142" s="22"/>
      <c r="EHO142" s="22"/>
      <c r="EHP142" s="22"/>
      <c r="EHQ142" s="22"/>
      <c r="EHR142" s="22"/>
      <c r="EHS142" s="22"/>
      <c r="EHT142" s="22"/>
      <c r="EHU142" s="22"/>
      <c r="EHV142" s="22"/>
      <c r="EHW142" s="22"/>
      <c r="EHX142" s="22"/>
      <c r="EHY142" s="22"/>
      <c r="EHZ142" s="22"/>
      <c r="EIA142" s="22"/>
      <c r="EIB142" s="22"/>
      <c r="EIC142" s="22"/>
      <c r="EID142" s="22"/>
      <c r="EIE142" s="22"/>
      <c r="EIF142" s="22"/>
      <c r="EIG142" s="22"/>
      <c r="EIH142" s="22"/>
      <c r="EII142" s="22"/>
      <c r="EIJ142" s="22"/>
      <c r="EIK142" s="22"/>
      <c r="EIL142" s="22"/>
      <c r="EIM142" s="22"/>
      <c r="EIN142" s="22"/>
      <c r="EIO142" s="22"/>
      <c r="EIP142" s="22"/>
      <c r="EIQ142" s="22"/>
      <c r="EIR142" s="22"/>
      <c r="EIS142" s="22"/>
      <c r="EIT142" s="22"/>
      <c r="EIU142" s="22"/>
      <c r="EIV142" s="22"/>
      <c r="EIW142" s="22"/>
      <c r="EIX142" s="22"/>
      <c r="EIY142" s="22"/>
      <c r="EIZ142" s="22"/>
      <c r="EJA142" s="22"/>
      <c r="EJB142" s="22"/>
      <c r="EJC142" s="22"/>
      <c r="EJD142" s="22"/>
      <c r="EJE142" s="22"/>
      <c r="EJF142" s="22"/>
      <c r="EJG142" s="22"/>
      <c r="EJH142" s="22"/>
      <c r="EJI142" s="22"/>
      <c r="EJJ142" s="22"/>
      <c r="EJK142" s="22"/>
      <c r="EJL142" s="22"/>
      <c r="EJM142" s="22"/>
      <c r="EJN142" s="22"/>
      <c r="EJO142" s="22"/>
      <c r="EJP142" s="22"/>
      <c r="EJQ142" s="22"/>
      <c r="EJR142" s="22"/>
      <c r="EJS142" s="22"/>
      <c r="EJT142" s="22"/>
      <c r="EJU142" s="22"/>
      <c r="EJV142" s="22"/>
      <c r="EJW142" s="22"/>
      <c r="EJX142" s="22"/>
      <c r="EJY142" s="22"/>
      <c r="EJZ142" s="22"/>
      <c r="EKA142" s="22"/>
      <c r="EKB142" s="22"/>
      <c r="EKC142" s="22"/>
      <c r="EKD142" s="22"/>
      <c r="EKE142" s="22"/>
      <c r="EKF142" s="22"/>
      <c r="EKG142" s="22"/>
      <c r="EKH142" s="22"/>
      <c r="EKI142" s="22"/>
      <c r="EKJ142" s="22"/>
      <c r="EKK142" s="22"/>
      <c r="EKL142" s="22"/>
      <c r="EKM142" s="22"/>
      <c r="EKN142" s="22"/>
      <c r="EKO142" s="22"/>
      <c r="EKP142" s="22"/>
      <c r="EKQ142" s="22"/>
      <c r="EKR142" s="22"/>
      <c r="EKS142" s="22"/>
      <c r="EKT142" s="22"/>
      <c r="EKU142" s="22"/>
      <c r="EKV142" s="22"/>
      <c r="EKW142" s="22"/>
      <c r="EKX142" s="22"/>
      <c r="EKY142" s="22"/>
      <c r="EKZ142" s="22"/>
      <c r="ELA142" s="22"/>
      <c r="ELB142" s="22"/>
      <c r="ELC142" s="22"/>
      <c r="ELD142" s="22"/>
      <c r="ELE142" s="22"/>
      <c r="ELF142" s="22"/>
      <c r="ELG142" s="22"/>
      <c r="ELH142" s="22"/>
      <c r="ELI142" s="22"/>
      <c r="ELJ142" s="22"/>
      <c r="ELK142" s="22"/>
      <c r="ELL142" s="22"/>
      <c r="ELM142" s="22"/>
      <c r="ELN142" s="22"/>
      <c r="ELO142" s="22"/>
      <c r="ELP142" s="22"/>
      <c r="ELQ142" s="22"/>
      <c r="ELR142" s="22"/>
      <c r="ELS142" s="22"/>
      <c r="ELT142" s="22"/>
      <c r="ELU142" s="22"/>
      <c r="ELV142" s="22"/>
      <c r="ELW142" s="22"/>
      <c r="ELX142" s="22"/>
      <c r="ELY142" s="22"/>
      <c r="ELZ142" s="22"/>
      <c r="EMA142" s="22"/>
      <c r="EMB142" s="22"/>
      <c r="EMC142" s="22"/>
      <c r="EMD142" s="22"/>
      <c r="EME142" s="22"/>
      <c r="EMF142" s="22"/>
      <c r="EMG142" s="22"/>
      <c r="EMH142" s="22"/>
      <c r="EMI142" s="22"/>
      <c r="EMJ142" s="22"/>
      <c r="EMK142" s="22"/>
      <c r="EML142" s="22"/>
      <c r="EMM142" s="22"/>
      <c r="EMN142" s="22"/>
      <c r="EMO142" s="22"/>
      <c r="EMP142" s="22"/>
      <c r="EMQ142" s="22"/>
      <c r="EMR142" s="22"/>
      <c r="EMS142" s="22"/>
      <c r="EMT142" s="22"/>
      <c r="EMU142" s="22"/>
      <c r="EMV142" s="22"/>
      <c r="EMW142" s="22"/>
      <c r="EMX142" s="22"/>
      <c r="EMY142" s="22"/>
      <c r="EMZ142" s="22"/>
      <c r="ENA142" s="22"/>
      <c r="ENB142" s="22"/>
      <c r="ENC142" s="22"/>
      <c r="END142" s="22"/>
      <c r="ENE142" s="22"/>
      <c r="ENF142" s="22"/>
      <c r="ENG142" s="22"/>
      <c r="ENH142" s="22"/>
      <c r="ENI142" s="22"/>
      <c r="ENJ142" s="22"/>
      <c r="ENK142" s="22"/>
      <c r="ENL142" s="22"/>
      <c r="ENM142" s="22"/>
      <c r="ENN142" s="22"/>
      <c r="ENO142" s="22"/>
      <c r="ENP142" s="22"/>
      <c r="ENQ142" s="22"/>
      <c r="ENR142" s="22"/>
      <c r="ENS142" s="22"/>
      <c r="ENT142" s="22"/>
      <c r="ENU142" s="22"/>
      <c r="ENV142" s="22"/>
      <c r="ENW142" s="22"/>
      <c r="ENX142" s="22"/>
      <c r="ENY142" s="22"/>
      <c r="ENZ142" s="22"/>
      <c r="EOA142" s="22"/>
      <c r="EOB142" s="22"/>
      <c r="EOC142" s="22"/>
      <c r="EOD142" s="22"/>
      <c r="EOE142" s="22"/>
      <c r="EOF142" s="22"/>
      <c r="EOG142" s="22"/>
      <c r="EOH142" s="22"/>
      <c r="EOI142" s="22"/>
      <c r="EOJ142" s="22"/>
      <c r="EOK142" s="22"/>
      <c r="EOL142" s="22"/>
      <c r="EOM142" s="22"/>
      <c r="EON142" s="22"/>
      <c r="EOO142" s="22"/>
      <c r="EOP142" s="22"/>
      <c r="EOQ142" s="22"/>
      <c r="EOR142" s="22"/>
      <c r="EOS142" s="22"/>
      <c r="EOT142" s="22"/>
      <c r="EOU142" s="22"/>
      <c r="EOV142" s="22"/>
      <c r="EOW142" s="22"/>
      <c r="EOX142" s="22"/>
      <c r="EOY142" s="22"/>
      <c r="EOZ142" s="22"/>
      <c r="EPA142" s="22"/>
      <c r="EPB142" s="22"/>
      <c r="EPC142" s="22"/>
      <c r="EPD142" s="22"/>
      <c r="EPE142" s="22"/>
      <c r="EPF142" s="22"/>
      <c r="EPG142" s="22"/>
      <c r="EPH142" s="22"/>
      <c r="EPI142" s="22"/>
      <c r="EPJ142" s="22"/>
      <c r="EPK142" s="22"/>
      <c r="EPL142" s="22"/>
      <c r="EPM142" s="22"/>
      <c r="EPN142" s="22"/>
      <c r="EPO142" s="22"/>
      <c r="EPP142" s="22"/>
      <c r="EPQ142" s="22"/>
      <c r="EPR142" s="22"/>
      <c r="EPS142" s="22"/>
      <c r="EPT142" s="22"/>
      <c r="EPU142" s="22"/>
      <c r="EPV142" s="22"/>
      <c r="EPW142" s="22"/>
      <c r="EPX142" s="22"/>
      <c r="EPY142" s="22"/>
      <c r="EPZ142" s="22"/>
      <c r="EQA142" s="22"/>
      <c r="EQB142" s="22"/>
      <c r="EQC142" s="22"/>
      <c r="EQD142" s="22"/>
      <c r="EQE142" s="22"/>
      <c r="EQF142" s="22"/>
      <c r="EQG142" s="22"/>
      <c r="EQH142" s="22"/>
      <c r="EQI142" s="22"/>
      <c r="EQJ142" s="22"/>
      <c r="EQK142" s="22"/>
      <c r="EQL142" s="22"/>
      <c r="EQM142" s="22"/>
      <c r="EQN142" s="22"/>
      <c r="EQO142" s="22"/>
      <c r="EQP142" s="22"/>
      <c r="EQQ142" s="22"/>
      <c r="EQR142" s="22"/>
      <c r="EQS142" s="22"/>
      <c r="EQT142" s="22"/>
      <c r="EQU142" s="22"/>
      <c r="EQV142" s="22"/>
      <c r="EQW142" s="22"/>
      <c r="EQX142" s="22"/>
      <c r="EQY142" s="22"/>
      <c r="EQZ142" s="22"/>
      <c r="ERA142" s="22"/>
      <c r="ERB142" s="22"/>
      <c r="ERC142" s="22"/>
      <c r="ERD142" s="22"/>
      <c r="ERE142" s="22"/>
      <c r="ERF142" s="22"/>
      <c r="ERG142" s="22"/>
      <c r="ERH142" s="22"/>
      <c r="ERI142" s="22"/>
      <c r="ERJ142" s="22"/>
      <c r="ERK142" s="22"/>
      <c r="ERL142" s="22"/>
      <c r="ERM142" s="22"/>
      <c r="ERN142" s="22"/>
      <c r="ERO142" s="22"/>
      <c r="ERP142" s="22"/>
      <c r="ERQ142" s="22"/>
      <c r="ERR142" s="22"/>
      <c r="ERS142" s="22"/>
      <c r="ERT142" s="22"/>
      <c r="ERU142" s="22"/>
      <c r="ERV142" s="22"/>
      <c r="ERW142" s="22"/>
      <c r="ERX142" s="22"/>
      <c r="ERY142" s="22"/>
      <c r="ERZ142" s="22"/>
      <c r="ESA142" s="22"/>
      <c r="ESB142" s="22"/>
      <c r="ESC142" s="22"/>
      <c r="ESD142" s="22"/>
      <c r="ESE142" s="22"/>
      <c r="ESF142" s="22"/>
      <c r="ESG142" s="22"/>
      <c r="ESH142" s="22"/>
      <c r="ESI142" s="22"/>
      <c r="ESJ142" s="22"/>
      <c r="ESK142" s="22"/>
      <c r="ESL142" s="22"/>
      <c r="ESM142" s="22"/>
      <c r="ESN142" s="22"/>
      <c r="ESO142" s="22"/>
      <c r="ESP142" s="22"/>
      <c r="ESQ142" s="22"/>
      <c r="ESR142" s="22"/>
      <c r="ESS142" s="22"/>
      <c r="EST142" s="22"/>
      <c r="ESU142" s="22"/>
      <c r="ESV142" s="22"/>
      <c r="ESW142" s="22"/>
      <c r="ESX142" s="22"/>
      <c r="ESY142" s="22"/>
      <c r="ESZ142" s="22"/>
      <c r="ETA142" s="22"/>
      <c r="ETB142" s="22"/>
      <c r="ETC142" s="22"/>
      <c r="ETD142" s="22"/>
      <c r="ETE142" s="22"/>
      <c r="ETF142" s="22"/>
      <c r="ETG142" s="22"/>
      <c r="ETH142" s="22"/>
      <c r="ETI142" s="22"/>
      <c r="ETJ142" s="22"/>
      <c r="ETK142" s="22"/>
      <c r="ETL142" s="22"/>
      <c r="ETM142" s="22"/>
      <c r="ETN142" s="22"/>
      <c r="ETO142" s="22"/>
      <c r="ETP142" s="22"/>
      <c r="ETQ142" s="22"/>
      <c r="ETR142" s="22"/>
      <c r="ETS142" s="22"/>
      <c r="ETT142" s="22"/>
      <c r="ETU142" s="22"/>
      <c r="ETV142" s="22"/>
      <c r="ETW142" s="22"/>
      <c r="ETX142" s="22"/>
      <c r="ETY142" s="22"/>
      <c r="ETZ142" s="22"/>
      <c r="EUA142" s="22"/>
      <c r="EUB142" s="22"/>
      <c r="EUC142" s="22"/>
      <c r="EUD142" s="22"/>
      <c r="EUE142" s="22"/>
      <c r="EUF142" s="22"/>
      <c r="EUG142" s="22"/>
      <c r="EUH142" s="22"/>
      <c r="EUI142" s="22"/>
      <c r="EUJ142" s="22"/>
      <c r="EUK142" s="22"/>
      <c r="EUL142" s="22"/>
      <c r="EUM142" s="22"/>
      <c r="EUN142" s="22"/>
      <c r="EUO142" s="22"/>
      <c r="EUP142" s="22"/>
      <c r="EUQ142" s="22"/>
      <c r="EUR142" s="22"/>
      <c r="EUS142" s="22"/>
      <c r="EUT142" s="22"/>
      <c r="EUU142" s="22"/>
      <c r="EUV142" s="22"/>
      <c r="EUW142" s="22"/>
      <c r="EUX142" s="22"/>
      <c r="EUY142" s="22"/>
      <c r="EUZ142" s="22"/>
      <c r="EVA142" s="22"/>
      <c r="EVB142" s="22"/>
      <c r="EVC142" s="22"/>
      <c r="EVD142" s="22"/>
      <c r="EVE142" s="22"/>
      <c r="EVF142" s="22"/>
      <c r="EVG142" s="22"/>
      <c r="EVH142" s="22"/>
      <c r="EVI142" s="22"/>
      <c r="EVJ142" s="22"/>
      <c r="EVK142" s="22"/>
      <c r="EVL142" s="22"/>
      <c r="EVM142" s="22"/>
      <c r="EVN142" s="22"/>
      <c r="EVO142" s="22"/>
      <c r="EVP142" s="22"/>
      <c r="EVQ142" s="22"/>
      <c r="EVR142" s="22"/>
      <c r="EVS142" s="22"/>
      <c r="EVT142" s="22"/>
      <c r="EVU142" s="22"/>
      <c r="EVV142" s="22"/>
      <c r="EVW142" s="22"/>
      <c r="EVX142" s="22"/>
      <c r="EVY142" s="22"/>
      <c r="EVZ142" s="22"/>
      <c r="EWA142" s="22"/>
      <c r="EWB142" s="22"/>
      <c r="EWC142" s="22"/>
      <c r="EWD142" s="22"/>
      <c r="EWE142" s="22"/>
      <c r="EWF142" s="22"/>
      <c r="EWG142" s="22"/>
      <c r="EWH142" s="22"/>
      <c r="EWI142" s="22"/>
      <c r="EWJ142" s="22"/>
      <c r="EWK142" s="22"/>
      <c r="EWL142" s="22"/>
      <c r="EWM142" s="22"/>
      <c r="EWN142" s="22"/>
      <c r="EWO142" s="22"/>
      <c r="EWP142" s="22"/>
      <c r="EWQ142" s="22"/>
      <c r="EWR142" s="22"/>
      <c r="EWS142" s="22"/>
      <c r="EWT142" s="22"/>
      <c r="EWU142" s="22"/>
      <c r="EWV142" s="22"/>
      <c r="EWW142" s="22"/>
      <c r="EWX142" s="22"/>
      <c r="EWY142" s="22"/>
      <c r="EWZ142" s="22"/>
      <c r="EXA142" s="22"/>
      <c r="EXB142" s="22"/>
      <c r="EXC142" s="22"/>
      <c r="EXD142" s="22"/>
      <c r="EXE142" s="22"/>
      <c r="EXF142" s="22"/>
      <c r="EXG142" s="22"/>
      <c r="EXH142" s="22"/>
      <c r="EXI142" s="22"/>
      <c r="EXJ142" s="22"/>
      <c r="EXK142" s="22"/>
      <c r="EXL142" s="22"/>
      <c r="EXM142" s="22"/>
      <c r="EXN142" s="22"/>
      <c r="EXO142" s="22"/>
      <c r="EXP142" s="22"/>
      <c r="EXQ142" s="22"/>
      <c r="EXR142" s="22"/>
      <c r="EXS142" s="22"/>
      <c r="EXT142" s="22"/>
      <c r="EXU142" s="22"/>
      <c r="EXV142" s="22"/>
      <c r="EXW142" s="22"/>
      <c r="EXX142" s="22"/>
      <c r="EXY142" s="22"/>
      <c r="EXZ142" s="22"/>
      <c r="EYA142" s="22"/>
      <c r="EYB142" s="22"/>
      <c r="EYC142" s="22"/>
      <c r="EYD142" s="22"/>
      <c r="EYE142" s="22"/>
      <c r="EYF142" s="22"/>
      <c r="EYG142" s="22"/>
      <c r="EYH142" s="22"/>
      <c r="EYI142" s="22"/>
      <c r="EYJ142" s="22"/>
      <c r="EYK142" s="22"/>
      <c r="EYL142" s="22"/>
      <c r="EYM142" s="22"/>
      <c r="EYN142" s="22"/>
      <c r="EYO142" s="22"/>
      <c r="EYP142" s="22"/>
      <c r="EYQ142" s="22"/>
      <c r="EYR142" s="22"/>
      <c r="EYS142" s="22"/>
      <c r="EYT142" s="22"/>
      <c r="EYU142" s="22"/>
      <c r="EYV142" s="22"/>
      <c r="EYW142" s="22"/>
      <c r="EYX142" s="22"/>
      <c r="EYY142" s="22"/>
      <c r="EYZ142" s="22"/>
      <c r="EZA142" s="22"/>
      <c r="EZB142" s="22"/>
      <c r="EZC142" s="22"/>
      <c r="EZD142" s="22"/>
      <c r="EZE142" s="22"/>
      <c r="EZF142" s="22"/>
      <c r="EZG142" s="22"/>
      <c r="EZH142" s="22"/>
      <c r="EZI142" s="22"/>
      <c r="EZJ142" s="22"/>
      <c r="EZK142" s="22"/>
      <c r="EZL142" s="22"/>
      <c r="EZM142" s="22"/>
      <c r="EZN142" s="22"/>
      <c r="EZO142" s="22"/>
      <c r="EZP142" s="22"/>
      <c r="EZQ142" s="22"/>
      <c r="EZR142" s="22"/>
      <c r="EZS142" s="22"/>
      <c r="EZT142" s="22"/>
      <c r="EZU142" s="22"/>
      <c r="EZV142" s="22"/>
      <c r="EZW142" s="22"/>
      <c r="EZX142" s="22"/>
      <c r="EZY142" s="22"/>
      <c r="EZZ142" s="22"/>
      <c r="FAA142" s="22"/>
      <c r="FAB142" s="22"/>
      <c r="FAC142" s="22"/>
      <c r="FAD142" s="22"/>
      <c r="FAE142" s="22"/>
      <c r="FAF142" s="22"/>
      <c r="FAG142" s="22"/>
      <c r="FAH142" s="22"/>
      <c r="FAI142" s="22"/>
      <c r="FAJ142" s="22"/>
      <c r="FAK142" s="22"/>
      <c r="FAL142" s="22"/>
      <c r="FAM142" s="22"/>
      <c r="FAN142" s="22"/>
      <c r="FAO142" s="22"/>
      <c r="FAP142" s="22"/>
      <c r="FAQ142" s="22"/>
      <c r="FAR142" s="22"/>
      <c r="FAS142" s="22"/>
      <c r="FAT142" s="22"/>
      <c r="FAU142" s="22"/>
      <c r="FAV142" s="22"/>
      <c r="FAW142" s="22"/>
      <c r="FAX142" s="22"/>
      <c r="FAY142" s="22"/>
      <c r="FAZ142" s="22"/>
      <c r="FBA142" s="22"/>
      <c r="FBB142" s="22"/>
      <c r="FBC142" s="22"/>
      <c r="FBD142" s="22"/>
      <c r="FBE142" s="22"/>
      <c r="FBF142" s="22"/>
      <c r="FBG142" s="22"/>
      <c r="FBH142" s="22"/>
      <c r="FBI142" s="22"/>
      <c r="FBJ142" s="22"/>
      <c r="FBK142" s="22"/>
      <c r="FBL142" s="22"/>
      <c r="FBM142" s="22"/>
      <c r="FBN142" s="22"/>
      <c r="FBO142" s="22"/>
      <c r="FBP142" s="22"/>
      <c r="FBQ142" s="22"/>
      <c r="FBR142" s="22"/>
      <c r="FBS142" s="22"/>
      <c r="FBT142" s="22"/>
      <c r="FBU142" s="22"/>
      <c r="FBV142" s="22"/>
      <c r="FBW142" s="22"/>
      <c r="FBX142" s="22"/>
      <c r="FBY142" s="22"/>
      <c r="FBZ142" s="22"/>
      <c r="FCA142" s="22"/>
      <c r="FCB142" s="22"/>
      <c r="FCC142" s="22"/>
      <c r="FCD142" s="22"/>
      <c r="FCE142" s="22"/>
      <c r="FCF142" s="22"/>
      <c r="FCG142" s="22"/>
      <c r="FCH142" s="22"/>
      <c r="FCI142" s="22"/>
      <c r="FCJ142" s="22"/>
      <c r="FCK142" s="22"/>
      <c r="FCL142" s="22"/>
      <c r="FCM142" s="22"/>
      <c r="FCN142" s="22"/>
      <c r="FCO142" s="22"/>
      <c r="FCP142" s="22"/>
      <c r="FCQ142" s="22"/>
      <c r="FCR142" s="22"/>
      <c r="FCS142" s="22"/>
      <c r="FCT142" s="22"/>
      <c r="FCU142" s="22"/>
      <c r="FCV142" s="22"/>
      <c r="FCW142" s="22"/>
      <c r="FCX142" s="22"/>
      <c r="FCY142" s="22"/>
      <c r="FCZ142" s="22"/>
      <c r="FDA142" s="22"/>
      <c r="FDB142" s="22"/>
      <c r="FDC142" s="22"/>
      <c r="FDD142" s="22"/>
      <c r="FDE142" s="22"/>
      <c r="FDF142" s="22"/>
      <c r="FDG142" s="22"/>
      <c r="FDH142" s="22"/>
      <c r="FDI142" s="22"/>
      <c r="FDJ142" s="22"/>
      <c r="FDK142" s="22"/>
      <c r="FDL142" s="22"/>
      <c r="FDM142" s="22"/>
      <c r="FDN142" s="22"/>
      <c r="FDO142" s="22"/>
      <c r="FDP142" s="22"/>
      <c r="FDQ142" s="22"/>
      <c r="FDR142" s="22"/>
      <c r="FDS142" s="22"/>
      <c r="FDT142" s="22"/>
      <c r="FDU142" s="22"/>
      <c r="FDV142" s="22"/>
      <c r="FDW142" s="22"/>
      <c r="FDX142" s="22"/>
      <c r="FDY142" s="22"/>
      <c r="FDZ142" s="22"/>
      <c r="FEA142" s="22"/>
      <c r="FEB142" s="22"/>
      <c r="FEC142" s="22"/>
      <c r="FED142" s="22"/>
      <c r="FEE142" s="22"/>
      <c r="FEF142" s="22"/>
      <c r="FEG142" s="22"/>
      <c r="FEH142" s="22"/>
      <c r="FEI142" s="22"/>
      <c r="FEJ142" s="22"/>
      <c r="FEK142" s="22"/>
      <c r="FEL142" s="22"/>
      <c r="FEM142" s="22"/>
      <c r="FEN142" s="22"/>
      <c r="FEO142" s="22"/>
      <c r="FEP142" s="22"/>
      <c r="FEQ142" s="22"/>
      <c r="FER142" s="22"/>
      <c r="FES142" s="22"/>
      <c r="FET142" s="22"/>
      <c r="FEU142" s="22"/>
      <c r="FEV142" s="22"/>
      <c r="FEW142" s="22"/>
      <c r="FEX142" s="22"/>
      <c r="FEY142" s="22"/>
      <c r="FEZ142" s="22"/>
      <c r="FFA142" s="22"/>
      <c r="FFB142" s="22"/>
      <c r="FFC142" s="22"/>
      <c r="FFD142" s="22"/>
      <c r="FFE142" s="22"/>
      <c r="FFF142" s="22"/>
      <c r="FFG142" s="22"/>
      <c r="FFH142" s="22"/>
      <c r="FFI142" s="22"/>
      <c r="FFJ142" s="22"/>
      <c r="FFK142" s="22"/>
      <c r="FFL142" s="22"/>
      <c r="FFM142" s="22"/>
      <c r="FFN142" s="22"/>
      <c r="FFO142" s="22"/>
      <c r="FFP142" s="22"/>
      <c r="FFQ142" s="22"/>
      <c r="FFR142" s="22"/>
      <c r="FFS142" s="22"/>
      <c r="FFT142" s="22"/>
      <c r="FFU142" s="22"/>
      <c r="FFV142" s="22"/>
      <c r="FFW142" s="22"/>
      <c r="FFX142" s="22"/>
      <c r="FFY142" s="22"/>
      <c r="FFZ142" s="22"/>
      <c r="FGA142" s="22"/>
      <c r="FGB142" s="22"/>
      <c r="FGC142" s="22"/>
      <c r="FGD142" s="22"/>
      <c r="FGE142" s="22"/>
      <c r="FGF142" s="22"/>
      <c r="FGG142" s="22"/>
      <c r="FGH142" s="22"/>
      <c r="FGI142" s="22"/>
      <c r="FGJ142" s="22"/>
      <c r="FGK142" s="22"/>
      <c r="FGL142" s="22"/>
      <c r="FGM142" s="22"/>
      <c r="FGN142" s="22"/>
      <c r="FGO142" s="22"/>
      <c r="FGP142" s="22"/>
      <c r="FGQ142" s="22"/>
      <c r="FGR142" s="22"/>
      <c r="FGS142" s="22"/>
      <c r="FGT142" s="22"/>
      <c r="FGU142" s="22"/>
      <c r="FGV142" s="22"/>
      <c r="FGW142" s="22"/>
      <c r="FGX142" s="22"/>
      <c r="FGY142" s="22"/>
      <c r="FGZ142" s="22"/>
      <c r="FHA142" s="22"/>
      <c r="FHB142" s="22"/>
      <c r="FHC142" s="22"/>
      <c r="FHD142" s="22"/>
      <c r="FHE142" s="22"/>
      <c r="FHF142" s="22"/>
      <c r="FHG142" s="22"/>
      <c r="FHH142" s="22"/>
      <c r="FHI142" s="22"/>
      <c r="FHJ142" s="22"/>
      <c r="FHK142" s="22"/>
      <c r="FHL142" s="22"/>
      <c r="FHM142" s="22"/>
      <c r="FHN142" s="22"/>
      <c r="FHO142" s="22"/>
      <c r="FHP142" s="22"/>
      <c r="FHQ142" s="22"/>
      <c r="FHR142" s="22"/>
      <c r="FHS142" s="22"/>
      <c r="FHT142" s="22"/>
      <c r="FHU142" s="22"/>
      <c r="FHV142" s="22"/>
      <c r="FHW142" s="22"/>
      <c r="FHX142" s="22"/>
      <c r="FHY142" s="22"/>
      <c r="FHZ142" s="22"/>
      <c r="FIA142" s="22"/>
      <c r="FIB142" s="22"/>
      <c r="FIC142" s="22"/>
      <c r="FID142" s="22"/>
      <c r="FIE142" s="22"/>
      <c r="FIF142" s="22"/>
      <c r="FIG142" s="22"/>
      <c r="FIH142" s="22"/>
      <c r="FII142" s="22"/>
      <c r="FIJ142" s="22"/>
      <c r="FIK142" s="22"/>
      <c r="FIL142" s="22"/>
      <c r="FIM142" s="22"/>
      <c r="FIN142" s="22"/>
      <c r="FIO142" s="22"/>
      <c r="FIP142" s="22"/>
      <c r="FIQ142" s="22"/>
      <c r="FIR142" s="22"/>
      <c r="FIS142" s="22"/>
      <c r="FIT142" s="22"/>
      <c r="FIU142" s="22"/>
      <c r="FIV142" s="22"/>
      <c r="FIW142" s="22"/>
      <c r="FIX142" s="22"/>
      <c r="FIY142" s="22"/>
      <c r="FIZ142" s="22"/>
      <c r="FJA142" s="22"/>
      <c r="FJB142" s="22"/>
      <c r="FJC142" s="22"/>
      <c r="FJD142" s="22"/>
      <c r="FJE142" s="22"/>
      <c r="FJF142" s="22"/>
      <c r="FJG142" s="22"/>
      <c r="FJH142" s="22"/>
      <c r="FJI142" s="22"/>
      <c r="FJJ142" s="22"/>
      <c r="FJK142" s="22"/>
      <c r="FJL142" s="22"/>
      <c r="FJM142" s="22"/>
      <c r="FJN142" s="22"/>
      <c r="FJO142" s="22"/>
      <c r="FJP142" s="22"/>
      <c r="FJQ142" s="22"/>
      <c r="FJR142" s="22"/>
      <c r="FJS142" s="22"/>
      <c r="FJT142" s="22"/>
      <c r="FJU142" s="22"/>
      <c r="FJV142" s="22"/>
      <c r="FJW142" s="22"/>
      <c r="FJX142" s="22"/>
      <c r="FJY142" s="22"/>
      <c r="FJZ142" s="22"/>
      <c r="FKA142" s="22"/>
      <c r="FKB142" s="22"/>
      <c r="FKC142" s="22"/>
      <c r="FKD142" s="22"/>
      <c r="FKE142" s="22"/>
      <c r="FKF142" s="22"/>
      <c r="FKG142" s="22"/>
      <c r="FKH142" s="22"/>
      <c r="FKI142" s="22"/>
      <c r="FKJ142" s="22"/>
      <c r="FKK142" s="22"/>
      <c r="FKL142" s="22"/>
      <c r="FKM142" s="22"/>
      <c r="FKN142" s="22"/>
      <c r="FKO142" s="22"/>
      <c r="FKP142" s="22"/>
      <c r="FKQ142" s="22"/>
      <c r="FKR142" s="22"/>
      <c r="FKS142" s="22"/>
      <c r="FKT142" s="22"/>
      <c r="FKU142" s="22"/>
      <c r="FKV142" s="22"/>
      <c r="FKW142" s="22"/>
      <c r="FKX142" s="22"/>
      <c r="FKY142" s="22"/>
      <c r="FKZ142" s="22"/>
      <c r="FLA142" s="22"/>
      <c r="FLB142" s="22"/>
      <c r="FLC142" s="22"/>
      <c r="FLD142" s="22"/>
      <c r="FLE142" s="22"/>
      <c r="FLF142" s="22"/>
      <c r="FLG142" s="22"/>
      <c r="FLH142" s="22"/>
      <c r="FLI142" s="22"/>
      <c r="FLJ142" s="22"/>
      <c r="FLK142" s="22"/>
      <c r="FLL142" s="22"/>
      <c r="FLM142" s="22"/>
      <c r="FLN142" s="22"/>
      <c r="FLO142" s="22"/>
      <c r="FLP142" s="22"/>
      <c r="FLQ142" s="22"/>
      <c r="FLR142" s="22"/>
      <c r="FLS142" s="22"/>
      <c r="FLT142" s="22"/>
      <c r="FLU142" s="22"/>
      <c r="FLV142" s="22"/>
      <c r="FLW142" s="22"/>
      <c r="FLX142" s="22"/>
      <c r="FLY142" s="22"/>
      <c r="FLZ142" s="22"/>
      <c r="FMA142" s="22"/>
      <c r="FMB142" s="22"/>
      <c r="FMC142" s="22"/>
      <c r="FMD142" s="22"/>
      <c r="FME142" s="22"/>
      <c r="FMF142" s="22"/>
      <c r="FMG142" s="22"/>
      <c r="FMH142" s="22"/>
      <c r="FMI142" s="22"/>
      <c r="FMJ142" s="22"/>
      <c r="FMK142" s="22"/>
      <c r="FML142" s="22"/>
      <c r="FMM142" s="22"/>
      <c r="FMN142" s="22"/>
      <c r="FMO142" s="22"/>
      <c r="FMP142" s="22"/>
      <c r="FMQ142" s="22"/>
      <c r="FMR142" s="22"/>
      <c r="FMS142" s="22"/>
      <c r="FMT142" s="22"/>
      <c r="FMU142" s="22"/>
      <c r="FMV142" s="22"/>
      <c r="FMW142" s="22"/>
      <c r="FMX142" s="22"/>
      <c r="FMY142" s="22"/>
      <c r="FMZ142" s="22"/>
      <c r="FNA142" s="22"/>
      <c r="FNB142" s="22"/>
      <c r="FNC142" s="22"/>
      <c r="FND142" s="22"/>
      <c r="FNE142" s="22"/>
      <c r="FNF142" s="22"/>
      <c r="FNG142" s="22"/>
      <c r="FNH142" s="22"/>
      <c r="FNI142" s="22"/>
      <c r="FNJ142" s="22"/>
      <c r="FNK142" s="22"/>
      <c r="FNL142" s="22"/>
      <c r="FNM142" s="22"/>
      <c r="FNN142" s="22"/>
      <c r="FNO142" s="22"/>
      <c r="FNP142" s="22"/>
      <c r="FNQ142" s="22"/>
      <c r="FNR142" s="22"/>
      <c r="FNS142" s="22"/>
      <c r="FNT142" s="22"/>
      <c r="FNU142" s="22"/>
      <c r="FNV142" s="22"/>
      <c r="FNW142" s="22"/>
      <c r="FNX142" s="22"/>
      <c r="FNY142" s="22"/>
      <c r="FNZ142" s="22"/>
      <c r="FOA142" s="22"/>
      <c r="FOB142" s="22"/>
      <c r="FOC142" s="22"/>
      <c r="FOD142" s="22"/>
      <c r="FOE142" s="22"/>
      <c r="FOF142" s="22"/>
      <c r="FOG142" s="22"/>
      <c r="FOH142" s="22"/>
      <c r="FOI142" s="22"/>
      <c r="FOJ142" s="22"/>
      <c r="FOK142" s="22"/>
      <c r="FOL142" s="22"/>
      <c r="FOM142" s="22"/>
      <c r="FON142" s="22"/>
      <c r="FOO142" s="22"/>
      <c r="FOP142" s="22"/>
      <c r="FOQ142" s="22"/>
      <c r="FOR142" s="22"/>
      <c r="FOS142" s="22"/>
      <c r="FOT142" s="22"/>
      <c r="FOU142" s="22"/>
      <c r="FOV142" s="22"/>
      <c r="FOW142" s="22"/>
      <c r="FOX142" s="22"/>
      <c r="FOY142" s="22"/>
      <c r="FOZ142" s="22"/>
      <c r="FPA142" s="22"/>
      <c r="FPB142" s="22"/>
      <c r="FPC142" s="22"/>
      <c r="FPD142" s="22"/>
      <c r="FPE142" s="22"/>
      <c r="FPF142" s="22"/>
      <c r="FPG142" s="22"/>
      <c r="FPH142" s="22"/>
      <c r="FPI142" s="22"/>
      <c r="FPJ142" s="22"/>
      <c r="FPK142" s="22"/>
      <c r="FPL142" s="22"/>
      <c r="FPM142" s="22"/>
      <c r="FPN142" s="22"/>
      <c r="FPO142" s="22"/>
      <c r="FPP142" s="22"/>
      <c r="FPQ142" s="22"/>
      <c r="FPR142" s="22"/>
      <c r="FPS142" s="22"/>
      <c r="FPT142" s="22"/>
      <c r="FPU142" s="22"/>
      <c r="FPV142" s="22"/>
      <c r="FPW142" s="22"/>
      <c r="FPX142" s="22"/>
      <c r="FPY142" s="22"/>
      <c r="FPZ142" s="22"/>
      <c r="FQA142" s="22"/>
      <c r="FQB142" s="22"/>
      <c r="FQC142" s="22"/>
      <c r="FQD142" s="22"/>
      <c r="FQE142" s="22"/>
      <c r="FQF142" s="22"/>
      <c r="FQG142" s="22"/>
      <c r="FQH142" s="22"/>
      <c r="FQI142" s="22"/>
      <c r="FQJ142" s="22"/>
      <c r="FQK142" s="22"/>
      <c r="FQL142" s="22"/>
      <c r="FQM142" s="22"/>
      <c r="FQN142" s="22"/>
      <c r="FQO142" s="22"/>
      <c r="FQP142" s="22"/>
      <c r="FQQ142" s="22"/>
      <c r="FQR142" s="22"/>
      <c r="FQS142" s="22"/>
      <c r="FQT142" s="22"/>
      <c r="FQU142" s="22"/>
      <c r="FQV142" s="22"/>
      <c r="FQW142" s="22"/>
      <c r="FQX142" s="22"/>
      <c r="FQY142" s="22"/>
      <c r="FQZ142" s="22"/>
      <c r="FRA142" s="22"/>
      <c r="FRB142" s="22"/>
      <c r="FRC142" s="22"/>
      <c r="FRD142" s="22"/>
      <c r="FRE142" s="22"/>
      <c r="FRF142" s="22"/>
      <c r="FRG142" s="22"/>
      <c r="FRH142" s="22"/>
      <c r="FRI142" s="22"/>
      <c r="FRJ142" s="22"/>
      <c r="FRK142" s="22"/>
      <c r="FRL142" s="22"/>
      <c r="FRM142" s="22"/>
      <c r="FRN142" s="22"/>
      <c r="FRO142" s="22"/>
      <c r="FRP142" s="22"/>
      <c r="FRQ142" s="22"/>
      <c r="FRR142" s="22"/>
      <c r="FRS142" s="22"/>
      <c r="FRT142" s="22"/>
      <c r="FRU142" s="22"/>
      <c r="FRV142" s="22"/>
      <c r="FRW142" s="22"/>
      <c r="FRX142" s="22"/>
      <c r="FRY142" s="22"/>
      <c r="FRZ142" s="22"/>
      <c r="FSA142" s="22"/>
      <c r="FSB142" s="22"/>
      <c r="FSC142" s="22"/>
      <c r="FSD142" s="22"/>
      <c r="FSE142" s="22"/>
      <c r="FSF142" s="22"/>
      <c r="FSG142" s="22"/>
      <c r="FSH142" s="22"/>
      <c r="FSI142" s="22"/>
      <c r="FSJ142" s="22"/>
      <c r="FSK142" s="22"/>
      <c r="FSL142" s="22"/>
      <c r="FSM142" s="22"/>
      <c r="FSN142" s="22"/>
      <c r="FSO142" s="22"/>
      <c r="FSP142" s="22"/>
      <c r="FSQ142" s="22"/>
      <c r="FSR142" s="22"/>
      <c r="FSS142" s="22"/>
      <c r="FST142" s="22"/>
      <c r="FSU142" s="22"/>
      <c r="FSV142" s="22"/>
      <c r="FSW142" s="22"/>
      <c r="FSX142" s="22"/>
      <c r="FSY142" s="22"/>
      <c r="FSZ142" s="22"/>
      <c r="FTA142" s="22"/>
      <c r="FTB142" s="22"/>
      <c r="FTC142" s="22"/>
      <c r="FTD142" s="22"/>
      <c r="FTE142" s="22"/>
      <c r="FTF142" s="22"/>
      <c r="FTG142" s="22"/>
      <c r="FTH142" s="22"/>
      <c r="FTI142" s="22"/>
      <c r="FTJ142" s="22"/>
      <c r="FTK142" s="22"/>
      <c r="FTL142" s="22"/>
      <c r="FTM142" s="22"/>
      <c r="FTN142" s="22"/>
      <c r="FTO142" s="22"/>
      <c r="FTP142" s="22"/>
      <c r="FTQ142" s="22"/>
      <c r="FTR142" s="22"/>
      <c r="FTS142" s="22"/>
      <c r="FTT142" s="22"/>
      <c r="FTU142" s="22"/>
      <c r="FTV142" s="22"/>
      <c r="FTW142" s="22"/>
      <c r="FTX142" s="22"/>
      <c r="FTY142" s="22"/>
      <c r="FTZ142" s="22"/>
      <c r="FUA142" s="22"/>
      <c r="FUB142" s="22"/>
      <c r="FUC142" s="22"/>
      <c r="FUD142" s="22"/>
      <c r="FUE142" s="22"/>
      <c r="FUF142" s="22"/>
      <c r="FUG142" s="22"/>
      <c r="FUH142" s="22"/>
      <c r="FUI142" s="22"/>
      <c r="FUJ142" s="22"/>
      <c r="FUK142" s="22"/>
      <c r="FUL142" s="22"/>
      <c r="FUM142" s="22"/>
      <c r="FUN142" s="22"/>
      <c r="FUO142" s="22"/>
      <c r="FUP142" s="22"/>
      <c r="FUQ142" s="22"/>
      <c r="FUR142" s="22"/>
      <c r="FUS142" s="22"/>
      <c r="FUT142" s="22"/>
      <c r="FUU142" s="22"/>
      <c r="FUV142" s="22"/>
      <c r="FUW142" s="22"/>
      <c r="FUX142" s="22"/>
      <c r="FUY142" s="22"/>
      <c r="FUZ142" s="22"/>
      <c r="FVA142" s="22"/>
      <c r="FVB142" s="22"/>
      <c r="FVC142" s="22"/>
      <c r="FVD142" s="22"/>
      <c r="FVE142" s="22"/>
      <c r="FVF142" s="22"/>
      <c r="FVG142" s="22"/>
      <c r="FVH142" s="22"/>
      <c r="FVI142" s="22"/>
      <c r="FVJ142" s="22"/>
      <c r="FVK142" s="22"/>
      <c r="FVL142" s="22"/>
      <c r="FVM142" s="22"/>
      <c r="FVN142" s="22"/>
      <c r="FVO142" s="22"/>
      <c r="FVP142" s="22"/>
      <c r="FVQ142" s="22"/>
      <c r="FVR142" s="22"/>
      <c r="FVS142" s="22"/>
      <c r="FVT142" s="22"/>
      <c r="FVU142" s="22"/>
      <c r="FVV142" s="22"/>
      <c r="FVW142" s="22"/>
      <c r="FVX142" s="22"/>
      <c r="FVY142" s="22"/>
      <c r="FVZ142" s="22"/>
      <c r="FWA142" s="22"/>
      <c r="FWB142" s="22"/>
      <c r="FWC142" s="22"/>
      <c r="FWD142" s="22"/>
      <c r="FWE142" s="22"/>
      <c r="FWF142" s="22"/>
      <c r="FWG142" s="22"/>
      <c r="FWH142" s="22"/>
      <c r="FWI142" s="22"/>
      <c r="FWJ142" s="22"/>
      <c r="FWK142" s="22"/>
      <c r="FWL142" s="22"/>
      <c r="FWM142" s="22"/>
      <c r="FWN142" s="22"/>
      <c r="FWO142" s="22"/>
      <c r="FWP142" s="22"/>
      <c r="FWQ142" s="22"/>
      <c r="FWR142" s="22"/>
      <c r="FWS142" s="22"/>
      <c r="FWT142" s="22"/>
      <c r="FWU142" s="22"/>
      <c r="FWV142" s="22"/>
      <c r="FWW142" s="22"/>
      <c r="FWX142" s="22"/>
      <c r="FWY142" s="22"/>
      <c r="FWZ142" s="22"/>
      <c r="FXA142" s="22"/>
      <c r="FXB142" s="22"/>
      <c r="FXC142" s="22"/>
      <c r="FXD142" s="22"/>
      <c r="FXE142" s="22"/>
      <c r="FXF142" s="22"/>
      <c r="FXG142" s="22"/>
      <c r="FXH142" s="22"/>
      <c r="FXI142" s="22"/>
      <c r="FXJ142" s="22"/>
      <c r="FXK142" s="22"/>
      <c r="FXL142" s="22"/>
      <c r="FXM142" s="22"/>
      <c r="FXN142" s="22"/>
      <c r="FXO142" s="22"/>
      <c r="FXP142" s="22"/>
      <c r="FXQ142" s="22"/>
      <c r="FXR142" s="22"/>
      <c r="FXS142" s="22"/>
      <c r="FXT142" s="22"/>
      <c r="FXU142" s="22"/>
      <c r="FXV142" s="22"/>
      <c r="FXW142" s="22"/>
      <c r="FXX142" s="22"/>
      <c r="FXY142" s="22"/>
      <c r="FXZ142" s="22"/>
      <c r="FYA142" s="22"/>
      <c r="FYB142" s="22"/>
      <c r="FYC142" s="22"/>
      <c r="FYD142" s="22"/>
      <c r="FYE142" s="22"/>
      <c r="FYF142" s="22"/>
      <c r="FYG142" s="22"/>
      <c r="FYH142" s="22"/>
      <c r="FYI142" s="22"/>
      <c r="FYJ142" s="22"/>
      <c r="FYK142" s="22"/>
      <c r="FYL142" s="22"/>
      <c r="FYM142" s="22"/>
      <c r="FYN142" s="22"/>
      <c r="FYO142" s="22"/>
      <c r="FYP142" s="22"/>
      <c r="FYQ142" s="22"/>
      <c r="FYR142" s="22"/>
      <c r="FYS142" s="22"/>
      <c r="FYT142" s="22"/>
      <c r="FYU142" s="22"/>
      <c r="FYV142" s="22"/>
      <c r="FYW142" s="22"/>
      <c r="FYX142" s="22"/>
      <c r="FYY142" s="22"/>
      <c r="FYZ142" s="22"/>
      <c r="FZA142" s="22"/>
      <c r="FZB142" s="22"/>
      <c r="FZC142" s="22"/>
      <c r="FZD142" s="22"/>
      <c r="FZE142" s="22"/>
      <c r="FZF142" s="22"/>
      <c r="FZG142" s="22"/>
      <c r="FZH142" s="22"/>
      <c r="FZI142" s="22"/>
      <c r="FZJ142" s="22"/>
      <c r="FZK142" s="22"/>
      <c r="FZL142" s="22"/>
      <c r="FZM142" s="22"/>
      <c r="FZN142" s="22"/>
      <c r="FZO142" s="22"/>
      <c r="FZP142" s="22"/>
      <c r="FZQ142" s="22"/>
      <c r="FZR142" s="22"/>
      <c r="FZS142" s="22"/>
      <c r="FZT142" s="22"/>
      <c r="FZU142" s="22"/>
      <c r="FZV142" s="22"/>
      <c r="FZW142" s="22"/>
      <c r="FZX142" s="22"/>
      <c r="FZY142" s="22"/>
      <c r="FZZ142" s="22"/>
      <c r="GAA142" s="22"/>
      <c r="GAB142" s="22"/>
      <c r="GAC142" s="22"/>
      <c r="GAD142" s="22"/>
      <c r="GAE142" s="22"/>
      <c r="GAF142" s="22"/>
      <c r="GAG142" s="22"/>
      <c r="GAH142" s="22"/>
      <c r="GAI142" s="22"/>
      <c r="GAJ142" s="22"/>
      <c r="GAK142" s="22"/>
      <c r="GAL142" s="22"/>
      <c r="GAM142" s="22"/>
      <c r="GAN142" s="22"/>
      <c r="GAO142" s="22"/>
      <c r="GAP142" s="22"/>
      <c r="GAQ142" s="22"/>
      <c r="GAR142" s="22"/>
      <c r="GAS142" s="22"/>
      <c r="GAT142" s="22"/>
      <c r="GAU142" s="22"/>
      <c r="GAV142" s="22"/>
      <c r="GAW142" s="22"/>
      <c r="GAX142" s="22"/>
      <c r="GAY142" s="22"/>
      <c r="GAZ142" s="22"/>
      <c r="GBA142" s="22"/>
      <c r="GBB142" s="22"/>
      <c r="GBC142" s="22"/>
      <c r="GBD142" s="22"/>
      <c r="GBE142" s="22"/>
      <c r="GBF142" s="22"/>
      <c r="GBG142" s="22"/>
      <c r="GBH142" s="22"/>
      <c r="GBI142" s="22"/>
      <c r="GBJ142" s="22"/>
      <c r="GBK142" s="22"/>
      <c r="GBL142" s="22"/>
      <c r="GBM142" s="22"/>
      <c r="GBN142" s="22"/>
      <c r="GBO142" s="22"/>
      <c r="GBP142" s="22"/>
      <c r="GBQ142" s="22"/>
      <c r="GBR142" s="22"/>
      <c r="GBS142" s="22"/>
      <c r="GBT142" s="22"/>
      <c r="GBU142" s="22"/>
      <c r="GBV142" s="22"/>
      <c r="GBW142" s="22"/>
      <c r="GBX142" s="22"/>
      <c r="GBY142" s="22"/>
      <c r="GBZ142" s="22"/>
      <c r="GCA142" s="22"/>
      <c r="GCB142" s="22"/>
      <c r="GCC142" s="22"/>
      <c r="GCD142" s="22"/>
      <c r="GCE142" s="22"/>
      <c r="GCF142" s="22"/>
      <c r="GCG142" s="22"/>
      <c r="GCH142" s="22"/>
      <c r="GCI142" s="22"/>
      <c r="GCJ142" s="22"/>
      <c r="GCK142" s="22"/>
      <c r="GCL142" s="22"/>
      <c r="GCM142" s="22"/>
      <c r="GCN142" s="22"/>
      <c r="GCO142" s="22"/>
      <c r="GCP142" s="22"/>
      <c r="GCQ142" s="22"/>
      <c r="GCR142" s="22"/>
      <c r="GCS142" s="22"/>
      <c r="GCT142" s="22"/>
      <c r="GCU142" s="22"/>
      <c r="GCV142" s="22"/>
      <c r="GCW142" s="22"/>
      <c r="GCX142" s="22"/>
      <c r="GCY142" s="22"/>
      <c r="GCZ142" s="22"/>
      <c r="GDA142" s="22"/>
      <c r="GDB142" s="22"/>
      <c r="GDC142" s="22"/>
      <c r="GDD142" s="22"/>
      <c r="GDE142" s="22"/>
      <c r="GDF142" s="22"/>
      <c r="GDG142" s="22"/>
      <c r="GDH142" s="22"/>
      <c r="GDI142" s="22"/>
      <c r="GDJ142" s="22"/>
      <c r="GDK142" s="22"/>
      <c r="GDL142" s="22"/>
      <c r="GDM142" s="22"/>
      <c r="GDN142" s="22"/>
      <c r="GDO142" s="22"/>
      <c r="GDP142" s="22"/>
      <c r="GDQ142" s="22"/>
      <c r="GDR142" s="22"/>
      <c r="GDS142" s="22"/>
      <c r="GDT142" s="22"/>
      <c r="GDU142" s="22"/>
      <c r="GDV142" s="22"/>
      <c r="GDW142" s="22"/>
      <c r="GDX142" s="22"/>
      <c r="GDY142" s="22"/>
      <c r="GDZ142" s="22"/>
      <c r="GEA142" s="22"/>
      <c r="GEB142" s="22"/>
      <c r="GEC142" s="22"/>
      <c r="GED142" s="22"/>
      <c r="GEE142" s="22"/>
      <c r="GEF142" s="22"/>
      <c r="GEG142" s="22"/>
      <c r="GEH142" s="22"/>
      <c r="GEI142" s="22"/>
      <c r="GEJ142" s="22"/>
      <c r="GEK142" s="22"/>
      <c r="GEL142" s="22"/>
      <c r="GEM142" s="22"/>
      <c r="GEN142" s="22"/>
      <c r="GEO142" s="22"/>
      <c r="GEP142" s="22"/>
      <c r="GEQ142" s="22"/>
      <c r="GER142" s="22"/>
      <c r="GES142" s="22"/>
      <c r="GET142" s="22"/>
      <c r="GEU142" s="22"/>
      <c r="GEV142" s="22"/>
      <c r="GEW142" s="22"/>
      <c r="GEX142" s="22"/>
      <c r="GEY142" s="22"/>
      <c r="GEZ142" s="22"/>
      <c r="GFA142" s="22"/>
      <c r="GFB142" s="22"/>
      <c r="GFC142" s="22"/>
      <c r="GFD142" s="22"/>
      <c r="GFE142" s="22"/>
      <c r="GFF142" s="22"/>
      <c r="GFG142" s="22"/>
      <c r="GFH142" s="22"/>
      <c r="GFI142" s="22"/>
      <c r="GFJ142" s="22"/>
      <c r="GFK142" s="22"/>
      <c r="GFL142" s="22"/>
      <c r="GFM142" s="22"/>
      <c r="GFN142" s="22"/>
      <c r="GFO142" s="22"/>
      <c r="GFP142" s="22"/>
      <c r="GFQ142" s="22"/>
      <c r="GFR142" s="22"/>
      <c r="GFS142" s="22"/>
      <c r="GFT142" s="22"/>
      <c r="GFU142" s="22"/>
      <c r="GFV142" s="22"/>
      <c r="GFW142" s="22"/>
      <c r="GFX142" s="22"/>
      <c r="GFY142" s="22"/>
      <c r="GFZ142" s="22"/>
      <c r="GGA142" s="22"/>
      <c r="GGB142" s="22"/>
      <c r="GGC142" s="22"/>
      <c r="GGD142" s="22"/>
      <c r="GGE142" s="22"/>
      <c r="GGF142" s="22"/>
      <c r="GGG142" s="22"/>
      <c r="GGH142" s="22"/>
      <c r="GGI142" s="22"/>
      <c r="GGJ142" s="22"/>
      <c r="GGK142" s="22"/>
      <c r="GGL142" s="22"/>
      <c r="GGM142" s="22"/>
      <c r="GGN142" s="22"/>
      <c r="GGO142" s="22"/>
      <c r="GGP142" s="22"/>
      <c r="GGQ142" s="22"/>
      <c r="GGR142" s="22"/>
      <c r="GGS142" s="22"/>
      <c r="GGT142" s="22"/>
      <c r="GGU142" s="22"/>
      <c r="GGV142" s="22"/>
      <c r="GGW142" s="22"/>
      <c r="GGX142" s="22"/>
      <c r="GGY142" s="22"/>
      <c r="GGZ142" s="22"/>
      <c r="GHA142" s="22"/>
      <c r="GHB142" s="22"/>
      <c r="GHC142" s="22"/>
      <c r="GHD142" s="22"/>
      <c r="GHE142" s="22"/>
      <c r="GHF142" s="22"/>
      <c r="GHG142" s="22"/>
      <c r="GHH142" s="22"/>
      <c r="GHI142" s="22"/>
      <c r="GHJ142" s="22"/>
      <c r="GHK142" s="22"/>
      <c r="GHL142" s="22"/>
      <c r="GHM142" s="22"/>
      <c r="GHN142" s="22"/>
      <c r="GHO142" s="22"/>
      <c r="GHP142" s="22"/>
      <c r="GHQ142" s="22"/>
      <c r="GHR142" s="22"/>
      <c r="GHS142" s="22"/>
      <c r="GHT142" s="22"/>
      <c r="GHU142" s="22"/>
      <c r="GHV142" s="22"/>
      <c r="GHW142" s="22"/>
      <c r="GHX142" s="22"/>
      <c r="GHY142" s="22"/>
      <c r="GHZ142" s="22"/>
      <c r="GIA142" s="22"/>
      <c r="GIB142" s="22"/>
      <c r="GIC142" s="22"/>
      <c r="GID142" s="22"/>
      <c r="GIE142" s="22"/>
      <c r="GIF142" s="22"/>
      <c r="GIG142" s="22"/>
      <c r="GIH142" s="22"/>
      <c r="GII142" s="22"/>
      <c r="GIJ142" s="22"/>
      <c r="GIK142" s="22"/>
      <c r="GIL142" s="22"/>
      <c r="GIM142" s="22"/>
      <c r="GIN142" s="22"/>
      <c r="GIO142" s="22"/>
      <c r="GIP142" s="22"/>
      <c r="GIQ142" s="22"/>
      <c r="GIR142" s="22"/>
      <c r="GIS142" s="22"/>
      <c r="GIT142" s="22"/>
      <c r="GIU142" s="22"/>
      <c r="GIV142" s="22"/>
      <c r="GIW142" s="22"/>
      <c r="GIX142" s="22"/>
      <c r="GIY142" s="22"/>
      <c r="GIZ142" s="22"/>
      <c r="GJA142" s="22"/>
      <c r="GJB142" s="22"/>
      <c r="GJC142" s="22"/>
      <c r="GJD142" s="22"/>
      <c r="GJE142" s="22"/>
      <c r="GJF142" s="22"/>
      <c r="GJG142" s="22"/>
      <c r="GJH142" s="22"/>
      <c r="GJI142" s="22"/>
      <c r="GJJ142" s="22"/>
      <c r="GJK142" s="22"/>
      <c r="GJL142" s="22"/>
      <c r="GJM142" s="22"/>
      <c r="GJN142" s="22"/>
      <c r="GJO142" s="22"/>
      <c r="GJP142" s="22"/>
      <c r="GJQ142" s="22"/>
      <c r="GJR142" s="22"/>
      <c r="GJS142" s="22"/>
      <c r="GJT142" s="22"/>
      <c r="GJU142" s="22"/>
      <c r="GJV142" s="22"/>
      <c r="GJW142" s="22"/>
      <c r="GJX142" s="22"/>
      <c r="GJY142" s="22"/>
      <c r="GJZ142" s="22"/>
      <c r="GKA142" s="22"/>
      <c r="GKB142" s="22"/>
      <c r="GKC142" s="22"/>
      <c r="GKD142" s="22"/>
      <c r="GKE142" s="22"/>
      <c r="GKF142" s="22"/>
      <c r="GKG142" s="22"/>
      <c r="GKH142" s="22"/>
      <c r="GKI142" s="22"/>
      <c r="GKJ142" s="22"/>
      <c r="GKK142" s="22"/>
      <c r="GKL142" s="22"/>
      <c r="GKM142" s="22"/>
      <c r="GKN142" s="22"/>
      <c r="GKO142" s="22"/>
      <c r="GKP142" s="22"/>
      <c r="GKQ142" s="22"/>
      <c r="GKR142" s="22"/>
      <c r="GKS142" s="22"/>
      <c r="GKT142" s="22"/>
      <c r="GKU142" s="22"/>
      <c r="GKV142" s="22"/>
      <c r="GKW142" s="22"/>
      <c r="GKX142" s="22"/>
      <c r="GKY142" s="22"/>
      <c r="GKZ142" s="22"/>
      <c r="GLA142" s="22"/>
      <c r="GLB142" s="22"/>
      <c r="GLC142" s="22"/>
      <c r="GLD142" s="22"/>
      <c r="GLE142" s="22"/>
      <c r="GLF142" s="22"/>
      <c r="GLG142" s="22"/>
      <c r="GLH142" s="22"/>
      <c r="GLI142" s="22"/>
      <c r="GLJ142" s="22"/>
      <c r="GLK142" s="22"/>
      <c r="GLL142" s="22"/>
      <c r="GLM142" s="22"/>
      <c r="GLN142" s="22"/>
      <c r="GLO142" s="22"/>
      <c r="GLP142" s="22"/>
      <c r="GLQ142" s="22"/>
      <c r="GLR142" s="22"/>
      <c r="GLS142" s="22"/>
      <c r="GLT142" s="22"/>
      <c r="GLU142" s="22"/>
      <c r="GLV142" s="22"/>
      <c r="GLW142" s="22"/>
      <c r="GLX142" s="22"/>
      <c r="GLY142" s="22"/>
      <c r="GLZ142" s="22"/>
      <c r="GMA142" s="22"/>
      <c r="GMB142" s="22"/>
      <c r="GMC142" s="22"/>
      <c r="GMD142" s="22"/>
      <c r="GME142" s="22"/>
      <c r="GMF142" s="22"/>
      <c r="GMG142" s="22"/>
      <c r="GMH142" s="22"/>
      <c r="GMI142" s="22"/>
      <c r="GMJ142" s="22"/>
      <c r="GMK142" s="22"/>
      <c r="GML142" s="22"/>
      <c r="GMM142" s="22"/>
      <c r="GMN142" s="22"/>
      <c r="GMO142" s="22"/>
      <c r="GMP142" s="22"/>
      <c r="GMQ142" s="22"/>
      <c r="GMR142" s="22"/>
      <c r="GMS142" s="22"/>
      <c r="GMT142" s="22"/>
      <c r="GMU142" s="22"/>
      <c r="GMV142" s="22"/>
      <c r="GMW142" s="22"/>
      <c r="GMX142" s="22"/>
      <c r="GMY142" s="22"/>
      <c r="GMZ142" s="22"/>
      <c r="GNA142" s="22"/>
      <c r="GNB142" s="22"/>
      <c r="GNC142" s="22"/>
      <c r="GND142" s="22"/>
      <c r="GNE142" s="22"/>
      <c r="GNF142" s="22"/>
      <c r="GNG142" s="22"/>
      <c r="GNH142" s="22"/>
      <c r="GNI142" s="22"/>
      <c r="GNJ142" s="22"/>
      <c r="GNK142" s="22"/>
      <c r="GNL142" s="22"/>
      <c r="GNM142" s="22"/>
      <c r="GNN142" s="22"/>
      <c r="GNO142" s="22"/>
      <c r="GNP142" s="22"/>
      <c r="GNQ142" s="22"/>
      <c r="GNR142" s="22"/>
      <c r="GNS142" s="22"/>
      <c r="GNT142" s="22"/>
      <c r="GNU142" s="22"/>
      <c r="GNV142" s="22"/>
      <c r="GNW142" s="22"/>
      <c r="GNX142" s="22"/>
      <c r="GNY142" s="22"/>
      <c r="GNZ142" s="22"/>
      <c r="GOA142" s="22"/>
      <c r="GOB142" s="22"/>
      <c r="GOC142" s="22"/>
      <c r="GOD142" s="22"/>
      <c r="GOE142" s="22"/>
      <c r="GOF142" s="22"/>
      <c r="GOG142" s="22"/>
      <c r="GOH142" s="22"/>
      <c r="GOI142" s="22"/>
      <c r="GOJ142" s="22"/>
      <c r="GOK142" s="22"/>
      <c r="GOL142" s="22"/>
      <c r="GOM142" s="22"/>
      <c r="GON142" s="22"/>
      <c r="GOO142" s="22"/>
      <c r="GOP142" s="22"/>
      <c r="GOQ142" s="22"/>
      <c r="GOR142" s="22"/>
      <c r="GOS142" s="22"/>
      <c r="GOT142" s="22"/>
      <c r="GOU142" s="22"/>
      <c r="GOV142" s="22"/>
      <c r="GOW142" s="22"/>
      <c r="GOX142" s="22"/>
      <c r="GOY142" s="22"/>
      <c r="GOZ142" s="22"/>
      <c r="GPA142" s="22"/>
      <c r="GPB142" s="22"/>
      <c r="GPC142" s="22"/>
      <c r="GPD142" s="22"/>
      <c r="GPE142" s="22"/>
      <c r="GPF142" s="22"/>
      <c r="GPG142" s="22"/>
      <c r="GPH142" s="22"/>
      <c r="GPI142" s="22"/>
      <c r="GPJ142" s="22"/>
      <c r="GPK142" s="22"/>
      <c r="GPL142" s="22"/>
      <c r="GPM142" s="22"/>
      <c r="GPN142" s="22"/>
      <c r="GPO142" s="22"/>
      <c r="GPP142" s="22"/>
      <c r="GPQ142" s="22"/>
      <c r="GPR142" s="22"/>
      <c r="GPS142" s="22"/>
      <c r="GPT142" s="22"/>
      <c r="GPU142" s="22"/>
      <c r="GPV142" s="22"/>
      <c r="GPW142" s="22"/>
      <c r="GPX142" s="22"/>
      <c r="GPY142" s="22"/>
      <c r="GPZ142" s="22"/>
      <c r="GQA142" s="22"/>
      <c r="GQB142" s="22"/>
      <c r="GQC142" s="22"/>
      <c r="GQD142" s="22"/>
      <c r="GQE142" s="22"/>
      <c r="GQF142" s="22"/>
      <c r="GQG142" s="22"/>
      <c r="GQH142" s="22"/>
      <c r="GQI142" s="22"/>
      <c r="GQJ142" s="22"/>
      <c r="GQK142" s="22"/>
      <c r="GQL142" s="22"/>
      <c r="GQM142" s="22"/>
      <c r="GQN142" s="22"/>
      <c r="GQO142" s="22"/>
      <c r="GQP142" s="22"/>
      <c r="GQQ142" s="22"/>
      <c r="GQR142" s="22"/>
      <c r="GQS142" s="22"/>
      <c r="GQT142" s="22"/>
      <c r="GQU142" s="22"/>
      <c r="GQV142" s="22"/>
      <c r="GQW142" s="22"/>
      <c r="GQX142" s="22"/>
      <c r="GQY142" s="22"/>
      <c r="GQZ142" s="22"/>
      <c r="GRA142" s="22"/>
      <c r="GRB142" s="22"/>
      <c r="GRC142" s="22"/>
      <c r="GRD142" s="22"/>
      <c r="GRE142" s="22"/>
      <c r="GRF142" s="22"/>
      <c r="GRG142" s="22"/>
      <c r="GRH142" s="22"/>
      <c r="GRI142" s="22"/>
      <c r="GRJ142" s="22"/>
      <c r="GRK142" s="22"/>
      <c r="GRL142" s="22"/>
      <c r="GRM142" s="22"/>
      <c r="GRN142" s="22"/>
      <c r="GRO142" s="22"/>
      <c r="GRP142" s="22"/>
      <c r="GRQ142" s="22"/>
      <c r="GRR142" s="22"/>
      <c r="GRS142" s="22"/>
      <c r="GRT142" s="22"/>
      <c r="GRU142" s="22"/>
      <c r="GRV142" s="22"/>
      <c r="GRW142" s="22"/>
      <c r="GRX142" s="22"/>
      <c r="GRY142" s="22"/>
      <c r="GRZ142" s="22"/>
      <c r="GSA142" s="22"/>
      <c r="GSB142" s="22"/>
      <c r="GSC142" s="22"/>
      <c r="GSD142" s="22"/>
      <c r="GSE142" s="22"/>
      <c r="GSF142" s="22"/>
      <c r="GSG142" s="22"/>
      <c r="GSH142" s="22"/>
      <c r="GSI142" s="22"/>
      <c r="GSJ142" s="22"/>
      <c r="GSK142" s="22"/>
      <c r="GSL142" s="22"/>
      <c r="GSM142" s="22"/>
      <c r="GSN142" s="22"/>
      <c r="GSO142" s="22"/>
      <c r="GSP142" s="22"/>
      <c r="GSQ142" s="22"/>
      <c r="GSR142" s="22"/>
      <c r="GSS142" s="22"/>
      <c r="GST142" s="22"/>
      <c r="GSU142" s="22"/>
      <c r="GSV142" s="22"/>
      <c r="GSW142" s="22"/>
      <c r="GSX142" s="22"/>
      <c r="GSY142" s="22"/>
      <c r="GSZ142" s="22"/>
      <c r="GTA142" s="22"/>
      <c r="GTB142" s="22"/>
      <c r="GTC142" s="22"/>
      <c r="GTD142" s="22"/>
      <c r="GTE142" s="22"/>
      <c r="GTF142" s="22"/>
      <c r="GTG142" s="22"/>
      <c r="GTH142" s="22"/>
      <c r="GTI142" s="22"/>
      <c r="GTJ142" s="22"/>
      <c r="GTK142" s="22"/>
      <c r="GTL142" s="22"/>
      <c r="GTM142" s="22"/>
      <c r="GTN142" s="22"/>
      <c r="GTO142" s="22"/>
      <c r="GTP142" s="22"/>
      <c r="GTQ142" s="22"/>
      <c r="GTR142" s="22"/>
      <c r="GTS142" s="22"/>
      <c r="GTT142" s="22"/>
      <c r="GTU142" s="22"/>
      <c r="GTV142" s="22"/>
      <c r="GTW142" s="22"/>
      <c r="GTX142" s="22"/>
      <c r="GTY142" s="22"/>
      <c r="GTZ142" s="22"/>
      <c r="GUA142" s="22"/>
      <c r="GUB142" s="22"/>
      <c r="GUC142" s="22"/>
      <c r="GUD142" s="22"/>
      <c r="GUE142" s="22"/>
      <c r="GUF142" s="22"/>
      <c r="GUG142" s="22"/>
      <c r="GUH142" s="22"/>
      <c r="GUI142" s="22"/>
      <c r="GUJ142" s="22"/>
      <c r="GUK142" s="22"/>
      <c r="GUL142" s="22"/>
      <c r="GUM142" s="22"/>
      <c r="GUN142" s="22"/>
      <c r="GUO142" s="22"/>
      <c r="GUP142" s="22"/>
      <c r="GUQ142" s="22"/>
      <c r="GUR142" s="22"/>
      <c r="GUS142" s="22"/>
      <c r="GUT142" s="22"/>
      <c r="GUU142" s="22"/>
      <c r="GUV142" s="22"/>
      <c r="GUW142" s="22"/>
      <c r="GUX142" s="22"/>
      <c r="GUY142" s="22"/>
      <c r="GUZ142" s="22"/>
      <c r="GVA142" s="22"/>
      <c r="GVB142" s="22"/>
      <c r="GVC142" s="22"/>
      <c r="GVD142" s="22"/>
      <c r="GVE142" s="22"/>
      <c r="GVF142" s="22"/>
      <c r="GVG142" s="22"/>
      <c r="GVH142" s="22"/>
      <c r="GVI142" s="22"/>
      <c r="GVJ142" s="22"/>
      <c r="GVK142" s="22"/>
      <c r="GVL142" s="22"/>
      <c r="GVM142" s="22"/>
      <c r="GVN142" s="22"/>
      <c r="GVO142" s="22"/>
      <c r="GVP142" s="22"/>
      <c r="GVQ142" s="22"/>
      <c r="GVR142" s="22"/>
      <c r="GVS142" s="22"/>
      <c r="GVT142" s="22"/>
      <c r="GVU142" s="22"/>
      <c r="GVV142" s="22"/>
      <c r="GVW142" s="22"/>
      <c r="GVX142" s="22"/>
      <c r="GVY142" s="22"/>
      <c r="GVZ142" s="22"/>
      <c r="GWA142" s="22"/>
      <c r="GWB142" s="22"/>
      <c r="GWC142" s="22"/>
      <c r="GWD142" s="22"/>
      <c r="GWE142" s="22"/>
      <c r="GWF142" s="22"/>
      <c r="GWG142" s="22"/>
      <c r="GWH142" s="22"/>
      <c r="GWI142" s="22"/>
      <c r="GWJ142" s="22"/>
      <c r="GWK142" s="22"/>
      <c r="GWL142" s="22"/>
      <c r="GWM142" s="22"/>
      <c r="GWN142" s="22"/>
      <c r="GWO142" s="22"/>
      <c r="GWP142" s="22"/>
      <c r="GWQ142" s="22"/>
      <c r="GWR142" s="22"/>
      <c r="GWS142" s="22"/>
      <c r="GWT142" s="22"/>
      <c r="GWU142" s="22"/>
      <c r="GWV142" s="22"/>
      <c r="GWW142" s="22"/>
      <c r="GWX142" s="22"/>
      <c r="GWY142" s="22"/>
      <c r="GWZ142" s="22"/>
      <c r="GXA142" s="22"/>
      <c r="GXB142" s="22"/>
      <c r="GXC142" s="22"/>
      <c r="GXD142" s="22"/>
      <c r="GXE142" s="22"/>
      <c r="GXF142" s="22"/>
      <c r="GXG142" s="22"/>
      <c r="GXH142" s="22"/>
      <c r="GXI142" s="22"/>
      <c r="GXJ142" s="22"/>
      <c r="GXK142" s="22"/>
      <c r="GXL142" s="22"/>
      <c r="GXM142" s="22"/>
      <c r="GXN142" s="22"/>
      <c r="GXO142" s="22"/>
      <c r="GXP142" s="22"/>
      <c r="GXQ142" s="22"/>
      <c r="GXR142" s="22"/>
      <c r="GXS142" s="22"/>
      <c r="GXT142" s="22"/>
      <c r="GXU142" s="22"/>
      <c r="GXV142" s="22"/>
      <c r="GXW142" s="22"/>
      <c r="GXX142" s="22"/>
      <c r="GXY142" s="22"/>
      <c r="GXZ142" s="22"/>
      <c r="GYA142" s="22"/>
      <c r="GYB142" s="22"/>
      <c r="GYC142" s="22"/>
      <c r="GYD142" s="22"/>
      <c r="GYE142" s="22"/>
      <c r="GYF142" s="22"/>
      <c r="GYG142" s="22"/>
      <c r="GYH142" s="22"/>
      <c r="GYI142" s="22"/>
      <c r="GYJ142" s="22"/>
      <c r="GYK142" s="22"/>
      <c r="GYL142" s="22"/>
      <c r="GYM142" s="22"/>
      <c r="GYN142" s="22"/>
      <c r="GYO142" s="22"/>
      <c r="GYP142" s="22"/>
      <c r="GYQ142" s="22"/>
      <c r="GYR142" s="22"/>
      <c r="GYS142" s="22"/>
      <c r="GYT142" s="22"/>
      <c r="GYU142" s="22"/>
      <c r="GYV142" s="22"/>
      <c r="GYW142" s="22"/>
      <c r="GYX142" s="22"/>
      <c r="GYY142" s="22"/>
      <c r="GYZ142" s="22"/>
      <c r="GZA142" s="22"/>
      <c r="GZB142" s="22"/>
      <c r="GZC142" s="22"/>
      <c r="GZD142" s="22"/>
      <c r="GZE142" s="22"/>
      <c r="GZF142" s="22"/>
      <c r="GZG142" s="22"/>
      <c r="GZH142" s="22"/>
      <c r="GZI142" s="22"/>
      <c r="GZJ142" s="22"/>
      <c r="GZK142" s="22"/>
      <c r="GZL142" s="22"/>
      <c r="GZM142" s="22"/>
      <c r="GZN142" s="22"/>
      <c r="GZO142" s="22"/>
      <c r="GZP142" s="22"/>
      <c r="GZQ142" s="22"/>
      <c r="GZR142" s="22"/>
      <c r="GZS142" s="22"/>
      <c r="GZT142" s="22"/>
      <c r="GZU142" s="22"/>
      <c r="GZV142" s="22"/>
      <c r="GZW142" s="22"/>
      <c r="GZX142" s="22"/>
      <c r="GZY142" s="22"/>
      <c r="GZZ142" s="22"/>
      <c r="HAA142" s="22"/>
      <c r="HAB142" s="22"/>
      <c r="HAC142" s="22"/>
      <c r="HAD142" s="22"/>
      <c r="HAE142" s="22"/>
      <c r="HAF142" s="22"/>
      <c r="HAG142" s="22"/>
      <c r="HAH142" s="22"/>
      <c r="HAI142" s="22"/>
      <c r="HAJ142" s="22"/>
      <c r="HAK142" s="22"/>
      <c r="HAL142" s="22"/>
      <c r="HAM142" s="22"/>
      <c r="HAN142" s="22"/>
      <c r="HAO142" s="22"/>
      <c r="HAP142" s="22"/>
      <c r="HAQ142" s="22"/>
      <c r="HAR142" s="22"/>
      <c r="HAS142" s="22"/>
      <c r="HAT142" s="22"/>
      <c r="HAU142" s="22"/>
      <c r="HAV142" s="22"/>
      <c r="HAW142" s="22"/>
      <c r="HAX142" s="22"/>
      <c r="HAY142" s="22"/>
      <c r="HAZ142" s="22"/>
      <c r="HBA142" s="22"/>
      <c r="HBB142" s="22"/>
      <c r="HBC142" s="22"/>
      <c r="HBD142" s="22"/>
      <c r="HBE142" s="22"/>
      <c r="HBF142" s="22"/>
      <c r="HBG142" s="22"/>
      <c r="HBH142" s="22"/>
      <c r="HBI142" s="22"/>
      <c r="HBJ142" s="22"/>
      <c r="HBK142" s="22"/>
      <c r="HBL142" s="22"/>
      <c r="HBM142" s="22"/>
      <c r="HBN142" s="22"/>
      <c r="HBO142" s="22"/>
      <c r="HBP142" s="22"/>
      <c r="HBQ142" s="22"/>
      <c r="HBR142" s="22"/>
      <c r="HBS142" s="22"/>
      <c r="HBT142" s="22"/>
      <c r="HBU142" s="22"/>
      <c r="HBV142" s="22"/>
      <c r="HBW142" s="22"/>
      <c r="HBX142" s="22"/>
      <c r="HBY142" s="22"/>
      <c r="HBZ142" s="22"/>
      <c r="HCA142" s="22"/>
      <c r="HCB142" s="22"/>
      <c r="HCC142" s="22"/>
      <c r="HCD142" s="22"/>
      <c r="HCE142" s="22"/>
      <c r="HCF142" s="22"/>
      <c r="HCG142" s="22"/>
      <c r="HCH142" s="22"/>
      <c r="HCI142" s="22"/>
      <c r="HCJ142" s="22"/>
      <c r="HCK142" s="22"/>
      <c r="HCL142" s="22"/>
      <c r="HCM142" s="22"/>
      <c r="HCN142" s="22"/>
      <c r="HCO142" s="22"/>
      <c r="HCP142" s="22"/>
      <c r="HCQ142" s="22"/>
      <c r="HCR142" s="22"/>
      <c r="HCS142" s="22"/>
      <c r="HCT142" s="22"/>
      <c r="HCU142" s="22"/>
      <c r="HCV142" s="22"/>
      <c r="HCW142" s="22"/>
      <c r="HCX142" s="22"/>
      <c r="HCY142" s="22"/>
      <c r="HCZ142" s="22"/>
      <c r="HDA142" s="22"/>
      <c r="HDB142" s="22"/>
      <c r="HDC142" s="22"/>
      <c r="HDD142" s="22"/>
      <c r="HDE142" s="22"/>
      <c r="HDF142" s="22"/>
      <c r="HDG142" s="22"/>
      <c r="HDH142" s="22"/>
      <c r="HDI142" s="22"/>
      <c r="HDJ142" s="22"/>
      <c r="HDK142" s="22"/>
      <c r="HDL142" s="22"/>
      <c r="HDM142" s="22"/>
      <c r="HDN142" s="22"/>
      <c r="HDO142" s="22"/>
      <c r="HDP142" s="22"/>
      <c r="HDQ142" s="22"/>
      <c r="HDR142" s="22"/>
      <c r="HDS142" s="22"/>
      <c r="HDT142" s="22"/>
      <c r="HDU142" s="22"/>
      <c r="HDV142" s="22"/>
      <c r="HDW142" s="22"/>
      <c r="HDX142" s="22"/>
      <c r="HDY142" s="22"/>
      <c r="HDZ142" s="22"/>
      <c r="HEA142" s="22"/>
      <c r="HEB142" s="22"/>
      <c r="HEC142" s="22"/>
      <c r="HED142" s="22"/>
      <c r="HEE142" s="22"/>
      <c r="HEF142" s="22"/>
      <c r="HEG142" s="22"/>
      <c r="HEH142" s="22"/>
      <c r="HEI142" s="22"/>
      <c r="HEJ142" s="22"/>
      <c r="HEK142" s="22"/>
      <c r="HEL142" s="22"/>
      <c r="HEM142" s="22"/>
      <c r="HEN142" s="22"/>
      <c r="HEO142" s="22"/>
      <c r="HEP142" s="22"/>
      <c r="HEQ142" s="22"/>
      <c r="HER142" s="22"/>
      <c r="HES142" s="22"/>
      <c r="HET142" s="22"/>
      <c r="HEU142" s="22"/>
      <c r="HEV142" s="22"/>
      <c r="HEW142" s="22"/>
      <c r="HEX142" s="22"/>
      <c r="HEY142" s="22"/>
      <c r="HEZ142" s="22"/>
      <c r="HFA142" s="22"/>
      <c r="HFB142" s="22"/>
      <c r="HFC142" s="22"/>
      <c r="HFD142" s="22"/>
      <c r="HFE142" s="22"/>
      <c r="HFF142" s="22"/>
      <c r="HFG142" s="22"/>
      <c r="HFH142" s="22"/>
      <c r="HFI142" s="22"/>
      <c r="HFJ142" s="22"/>
      <c r="HFK142" s="22"/>
      <c r="HFL142" s="22"/>
      <c r="HFM142" s="22"/>
      <c r="HFN142" s="22"/>
      <c r="HFO142" s="22"/>
      <c r="HFP142" s="22"/>
      <c r="HFQ142" s="22"/>
      <c r="HFR142" s="22"/>
      <c r="HFS142" s="22"/>
      <c r="HFT142" s="22"/>
      <c r="HFU142" s="22"/>
      <c r="HFV142" s="22"/>
      <c r="HFW142" s="22"/>
      <c r="HFX142" s="22"/>
      <c r="HFY142" s="22"/>
      <c r="HFZ142" s="22"/>
      <c r="HGA142" s="22"/>
      <c r="HGB142" s="22"/>
      <c r="HGC142" s="22"/>
      <c r="HGD142" s="22"/>
      <c r="HGE142" s="22"/>
      <c r="HGF142" s="22"/>
      <c r="HGG142" s="22"/>
      <c r="HGH142" s="22"/>
      <c r="HGI142" s="22"/>
      <c r="HGJ142" s="22"/>
      <c r="HGK142" s="22"/>
      <c r="HGL142" s="22"/>
      <c r="HGM142" s="22"/>
      <c r="HGN142" s="22"/>
      <c r="HGO142" s="22"/>
      <c r="HGP142" s="22"/>
      <c r="HGQ142" s="22"/>
      <c r="HGR142" s="22"/>
      <c r="HGS142" s="22"/>
      <c r="HGT142" s="22"/>
      <c r="HGU142" s="22"/>
      <c r="HGV142" s="22"/>
      <c r="HGW142" s="22"/>
      <c r="HGX142" s="22"/>
      <c r="HGY142" s="22"/>
      <c r="HGZ142" s="22"/>
      <c r="HHA142" s="22"/>
      <c r="HHB142" s="22"/>
      <c r="HHC142" s="22"/>
      <c r="HHD142" s="22"/>
      <c r="HHE142" s="22"/>
      <c r="HHF142" s="22"/>
      <c r="HHG142" s="22"/>
      <c r="HHH142" s="22"/>
      <c r="HHI142" s="22"/>
      <c r="HHJ142" s="22"/>
      <c r="HHK142" s="22"/>
      <c r="HHL142" s="22"/>
      <c r="HHM142" s="22"/>
      <c r="HHN142" s="22"/>
      <c r="HHO142" s="22"/>
      <c r="HHP142" s="22"/>
      <c r="HHQ142" s="22"/>
      <c r="HHR142" s="22"/>
      <c r="HHS142" s="22"/>
      <c r="HHT142" s="22"/>
      <c r="HHU142" s="22"/>
      <c r="HHV142" s="22"/>
      <c r="HHW142" s="22"/>
      <c r="HHX142" s="22"/>
      <c r="HHY142" s="22"/>
      <c r="HHZ142" s="22"/>
      <c r="HIA142" s="22"/>
      <c r="HIB142" s="22"/>
      <c r="HIC142" s="22"/>
      <c r="HID142" s="22"/>
      <c r="HIE142" s="22"/>
      <c r="HIF142" s="22"/>
      <c r="HIG142" s="22"/>
      <c r="HIH142" s="22"/>
      <c r="HII142" s="22"/>
      <c r="HIJ142" s="22"/>
      <c r="HIK142" s="22"/>
      <c r="HIL142" s="22"/>
      <c r="HIM142" s="22"/>
      <c r="HIN142" s="22"/>
      <c r="HIO142" s="22"/>
      <c r="HIP142" s="22"/>
      <c r="HIQ142" s="22"/>
      <c r="HIR142" s="22"/>
      <c r="HIS142" s="22"/>
      <c r="HIT142" s="22"/>
      <c r="HIU142" s="22"/>
      <c r="HIV142" s="22"/>
      <c r="HIW142" s="22"/>
      <c r="HIX142" s="22"/>
      <c r="HIY142" s="22"/>
      <c r="HIZ142" s="22"/>
      <c r="HJA142" s="22"/>
      <c r="HJB142" s="22"/>
      <c r="HJC142" s="22"/>
      <c r="HJD142" s="22"/>
      <c r="HJE142" s="22"/>
      <c r="HJF142" s="22"/>
      <c r="HJG142" s="22"/>
      <c r="HJH142" s="22"/>
      <c r="HJI142" s="22"/>
      <c r="HJJ142" s="22"/>
      <c r="HJK142" s="22"/>
      <c r="HJL142" s="22"/>
      <c r="HJM142" s="22"/>
      <c r="HJN142" s="22"/>
      <c r="HJO142" s="22"/>
      <c r="HJP142" s="22"/>
      <c r="HJQ142" s="22"/>
      <c r="HJR142" s="22"/>
      <c r="HJS142" s="22"/>
      <c r="HJT142" s="22"/>
      <c r="HJU142" s="22"/>
      <c r="HJV142" s="22"/>
      <c r="HJW142" s="22"/>
      <c r="HJX142" s="22"/>
      <c r="HJY142" s="22"/>
      <c r="HJZ142" s="22"/>
      <c r="HKA142" s="22"/>
      <c r="HKB142" s="22"/>
      <c r="HKC142" s="22"/>
      <c r="HKD142" s="22"/>
      <c r="HKE142" s="22"/>
      <c r="HKF142" s="22"/>
      <c r="HKG142" s="22"/>
      <c r="HKH142" s="22"/>
      <c r="HKI142" s="22"/>
      <c r="HKJ142" s="22"/>
      <c r="HKK142" s="22"/>
      <c r="HKL142" s="22"/>
      <c r="HKM142" s="22"/>
      <c r="HKN142" s="22"/>
      <c r="HKO142" s="22"/>
      <c r="HKP142" s="22"/>
      <c r="HKQ142" s="22"/>
      <c r="HKR142" s="22"/>
      <c r="HKS142" s="22"/>
      <c r="HKT142" s="22"/>
      <c r="HKU142" s="22"/>
      <c r="HKV142" s="22"/>
      <c r="HKW142" s="22"/>
      <c r="HKX142" s="22"/>
      <c r="HKY142" s="22"/>
      <c r="HKZ142" s="22"/>
      <c r="HLA142" s="22"/>
      <c r="HLB142" s="22"/>
      <c r="HLC142" s="22"/>
      <c r="HLD142" s="22"/>
      <c r="HLE142" s="22"/>
      <c r="HLF142" s="22"/>
      <c r="HLG142" s="22"/>
      <c r="HLH142" s="22"/>
      <c r="HLI142" s="22"/>
      <c r="HLJ142" s="22"/>
      <c r="HLK142" s="22"/>
      <c r="HLL142" s="22"/>
      <c r="HLM142" s="22"/>
      <c r="HLN142" s="22"/>
      <c r="HLO142" s="22"/>
      <c r="HLP142" s="22"/>
      <c r="HLQ142" s="22"/>
      <c r="HLR142" s="22"/>
      <c r="HLS142" s="22"/>
      <c r="HLT142" s="22"/>
      <c r="HLU142" s="22"/>
      <c r="HLV142" s="22"/>
      <c r="HLW142" s="22"/>
      <c r="HLX142" s="22"/>
      <c r="HLY142" s="22"/>
      <c r="HLZ142" s="22"/>
      <c r="HMA142" s="22"/>
      <c r="HMB142" s="22"/>
      <c r="HMC142" s="22"/>
      <c r="HMD142" s="22"/>
      <c r="HME142" s="22"/>
      <c r="HMF142" s="22"/>
      <c r="HMG142" s="22"/>
      <c r="HMH142" s="22"/>
      <c r="HMI142" s="22"/>
      <c r="HMJ142" s="22"/>
      <c r="HMK142" s="22"/>
      <c r="HML142" s="22"/>
      <c r="HMM142" s="22"/>
      <c r="HMN142" s="22"/>
      <c r="HMO142" s="22"/>
      <c r="HMP142" s="22"/>
      <c r="HMQ142" s="22"/>
      <c r="HMR142" s="22"/>
      <c r="HMS142" s="22"/>
      <c r="HMT142" s="22"/>
      <c r="HMU142" s="22"/>
      <c r="HMV142" s="22"/>
      <c r="HMW142" s="22"/>
      <c r="HMX142" s="22"/>
      <c r="HMY142" s="22"/>
      <c r="HMZ142" s="22"/>
      <c r="HNA142" s="22"/>
      <c r="HNB142" s="22"/>
      <c r="HNC142" s="22"/>
      <c r="HND142" s="22"/>
      <c r="HNE142" s="22"/>
      <c r="HNF142" s="22"/>
      <c r="HNG142" s="22"/>
      <c r="HNH142" s="22"/>
      <c r="HNI142" s="22"/>
      <c r="HNJ142" s="22"/>
      <c r="HNK142" s="22"/>
      <c r="HNL142" s="22"/>
      <c r="HNM142" s="22"/>
      <c r="HNN142" s="22"/>
      <c r="HNO142" s="22"/>
      <c r="HNP142" s="22"/>
      <c r="HNQ142" s="22"/>
      <c r="HNR142" s="22"/>
      <c r="HNS142" s="22"/>
      <c r="HNT142" s="22"/>
      <c r="HNU142" s="22"/>
      <c r="HNV142" s="22"/>
      <c r="HNW142" s="22"/>
      <c r="HNX142" s="22"/>
      <c r="HNY142" s="22"/>
      <c r="HNZ142" s="22"/>
      <c r="HOA142" s="22"/>
      <c r="HOB142" s="22"/>
      <c r="HOC142" s="22"/>
      <c r="HOD142" s="22"/>
      <c r="HOE142" s="22"/>
      <c r="HOF142" s="22"/>
      <c r="HOG142" s="22"/>
      <c r="HOH142" s="22"/>
      <c r="HOI142" s="22"/>
      <c r="HOJ142" s="22"/>
      <c r="HOK142" s="22"/>
      <c r="HOL142" s="22"/>
      <c r="HOM142" s="22"/>
      <c r="HON142" s="22"/>
      <c r="HOO142" s="22"/>
      <c r="HOP142" s="22"/>
      <c r="HOQ142" s="22"/>
      <c r="HOR142" s="22"/>
      <c r="HOS142" s="22"/>
      <c r="HOT142" s="22"/>
      <c r="HOU142" s="22"/>
      <c r="HOV142" s="22"/>
      <c r="HOW142" s="22"/>
      <c r="HOX142" s="22"/>
      <c r="HOY142" s="22"/>
      <c r="HOZ142" s="22"/>
      <c r="HPA142" s="22"/>
      <c r="HPB142" s="22"/>
      <c r="HPC142" s="22"/>
      <c r="HPD142" s="22"/>
      <c r="HPE142" s="22"/>
      <c r="HPF142" s="22"/>
      <c r="HPG142" s="22"/>
      <c r="HPH142" s="22"/>
      <c r="HPI142" s="22"/>
      <c r="HPJ142" s="22"/>
      <c r="HPK142" s="22"/>
      <c r="HPL142" s="22"/>
      <c r="HPM142" s="22"/>
      <c r="HPN142" s="22"/>
      <c r="HPO142" s="22"/>
      <c r="HPP142" s="22"/>
      <c r="HPQ142" s="22"/>
      <c r="HPR142" s="22"/>
      <c r="HPS142" s="22"/>
      <c r="HPT142" s="22"/>
      <c r="HPU142" s="22"/>
      <c r="HPV142" s="22"/>
      <c r="HPW142" s="22"/>
      <c r="HPX142" s="22"/>
      <c r="HPY142" s="22"/>
      <c r="HPZ142" s="22"/>
      <c r="HQA142" s="22"/>
      <c r="HQB142" s="22"/>
      <c r="HQC142" s="22"/>
      <c r="HQD142" s="22"/>
      <c r="HQE142" s="22"/>
      <c r="HQF142" s="22"/>
      <c r="HQG142" s="22"/>
      <c r="HQH142" s="22"/>
      <c r="HQI142" s="22"/>
      <c r="HQJ142" s="22"/>
      <c r="HQK142" s="22"/>
      <c r="HQL142" s="22"/>
      <c r="HQM142" s="22"/>
      <c r="HQN142" s="22"/>
      <c r="HQO142" s="22"/>
      <c r="HQP142" s="22"/>
      <c r="HQQ142" s="22"/>
      <c r="HQR142" s="22"/>
      <c r="HQS142" s="22"/>
      <c r="HQT142" s="22"/>
      <c r="HQU142" s="22"/>
      <c r="HQV142" s="22"/>
      <c r="HQW142" s="22"/>
      <c r="HQX142" s="22"/>
      <c r="HQY142" s="22"/>
      <c r="HQZ142" s="22"/>
      <c r="HRA142" s="22"/>
      <c r="HRB142" s="22"/>
      <c r="HRC142" s="22"/>
      <c r="HRD142" s="22"/>
      <c r="HRE142" s="22"/>
      <c r="HRF142" s="22"/>
      <c r="HRG142" s="22"/>
      <c r="HRH142" s="22"/>
      <c r="HRI142" s="22"/>
      <c r="HRJ142" s="22"/>
      <c r="HRK142" s="22"/>
      <c r="HRL142" s="22"/>
      <c r="HRM142" s="22"/>
      <c r="HRN142" s="22"/>
      <c r="HRO142" s="22"/>
      <c r="HRP142" s="22"/>
      <c r="HRQ142" s="22"/>
      <c r="HRR142" s="22"/>
      <c r="HRS142" s="22"/>
      <c r="HRT142" s="22"/>
      <c r="HRU142" s="22"/>
      <c r="HRV142" s="22"/>
      <c r="HRW142" s="22"/>
      <c r="HRX142" s="22"/>
      <c r="HRY142" s="22"/>
      <c r="HRZ142" s="22"/>
      <c r="HSA142" s="22"/>
      <c r="HSB142" s="22"/>
      <c r="HSC142" s="22"/>
      <c r="HSD142" s="22"/>
      <c r="HSE142" s="22"/>
      <c r="HSF142" s="22"/>
      <c r="HSG142" s="22"/>
      <c r="HSH142" s="22"/>
      <c r="HSI142" s="22"/>
      <c r="HSJ142" s="22"/>
      <c r="HSK142" s="22"/>
      <c r="HSL142" s="22"/>
      <c r="HSM142" s="22"/>
      <c r="HSN142" s="22"/>
      <c r="HSO142" s="22"/>
      <c r="HSP142" s="22"/>
      <c r="HSQ142" s="22"/>
      <c r="HSR142" s="22"/>
      <c r="HSS142" s="22"/>
      <c r="HST142" s="22"/>
      <c r="HSU142" s="22"/>
      <c r="HSV142" s="22"/>
      <c r="HSW142" s="22"/>
      <c r="HSX142" s="22"/>
      <c r="HSY142" s="22"/>
      <c r="HSZ142" s="22"/>
      <c r="HTA142" s="22"/>
      <c r="HTB142" s="22"/>
      <c r="HTC142" s="22"/>
      <c r="HTD142" s="22"/>
      <c r="HTE142" s="22"/>
      <c r="HTF142" s="22"/>
      <c r="HTG142" s="22"/>
      <c r="HTH142" s="22"/>
      <c r="HTI142" s="22"/>
      <c r="HTJ142" s="22"/>
      <c r="HTK142" s="22"/>
      <c r="HTL142" s="22"/>
      <c r="HTM142" s="22"/>
      <c r="HTN142" s="22"/>
      <c r="HTO142" s="22"/>
      <c r="HTP142" s="22"/>
      <c r="HTQ142" s="22"/>
      <c r="HTR142" s="22"/>
      <c r="HTS142" s="22"/>
      <c r="HTT142" s="22"/>
      <c r="HTU142" s="22"/>
      <c r="HTV142" s="22"/>
      <c r="HTW142" s="22"/>
      <c r="HTX142" s="22"/>
      <c r="HTY142" s="22"/>
      <c r="HTZ142" s="22"/>
      <c r="HUA142" s="22"/>
      <c r="HUB142" s="22"/>
      <c r="HUC142" s="22"/>
      <c r="HUD142" s="22"/>
      <c r="HUE142" s="22"/>
      <c r="HUF142" s="22"/>
      <c r="HUG142" s="22"/>
      <c r="HUH142" s="22"/>
      <c r="HUI142" s="22"/>
      <c r="HUJ142" s="22"/>
      <c r="HUK142" s="22"/>
      <c r="HUL142" s="22"/>
      <c r="HUM142" s="22"/>
      <c r="HUN142" s="22"/>
      <c r="HUO142" s="22"/>
      <c r="HUP142" s="22"/>
      <c r="HUQ142" s="22"/>
      <c r="HUR142" s="22"/>
      <c r="HUS142" s="22"/>
      <c r="HUT142" s="22"/>
      <c r="HUU142" s="22"/>
      <c r="HUV142" s="22"/>
      <c r="HUW142" s="22"/>
      <c r="HUX142" s="22"/>
      <c r="HUY142" s="22"/>
      <c r="HUZ142" s="22"/>
      <c r="HVA142" s="22"/>
      <c r="HVB142" s="22"/>
      <c r="HVC142" s="22"/>
      <c r="HVD142" s="22"/>
      <c r="HVE142" s="22"/>
      <c r="HVF142" s="22"/>
      <c r="HVG142" s="22"/>
      <c r="HVH142" s="22"/>
      <c r="HVI142" s="22"/>
      <c r="HVJ142" s="22"/>
      <c r="HVK142" s="22"/>
      <c r="HVL142" s="22"/>
      <c r="HVM142" s="22"/>
      <c r="HVN142" s="22"/>
      <c r="HVO142" s="22"/>
      <c r="HVP142" s="22"/>
      <c r="HVQ142" s="22"/>
      <c r="HVR142" s="22"/>
      <c r="HVS142" s="22"/>
      <c r="HVT142" s="22"/>
      <c r="HVU142" s="22"/>
      <c r="HVV142" s="22"/>
      <c r="HVW142" s="22"/>
      <c r="HVX142" s="22"/>
      <c r="HVY142" s="22"/>
      <c r="HVZ142" s="22"/>
      <c r="HWA142" s="22"/>
      <c r="HWB142" s="22"/>
      <c r="HWC142" s="22"/>
      <c r="HWD142" s="22"/>
      <c r="HWE142" s="22"/>
      <c r="HWF142" s="22"/>
      <c r="HWG142" s="22"/>
      <c r="HWH142" s="22"/>
      <c r="HWI142" s="22"/>
      <c r="HWJ142" s="22"/>
      <c r="HWK142" s="22"/>
      <c r="HWL142" s="22"/>
      <c r="HWM142" s="22"/>
      <c r="HWN142" s="22"/>
      <c r="HWO142" s="22"/>
      <c r="HWP142" s="22"/>
      <c r="HWQ142" s="22"/>
      <c r="HWR142" s="22"/>
      <c r="HWS142" s="22"/>
      <c r="HWT142" s="22"/>
      <c r="HWU142" s="22"/>
      <c r="HWV142" s="22"/>
      <c r="HWW142" s="22"/>
      <c r="HWX142" s="22"/>
      <c r="HWY142" s="22"/>
      <c r="HWZ142" s="22"/>
      <c r="HXA142" s="22"/>
      <c r="HXB142" s="22"/>
      <c r="HXC142" s="22"/>
      <c r="HXD142" s="22"/>
      <c r="HXE142" s="22"/>
      <c r="HXF142" s="22"/>
      <c r="HXG142" s="22"/>
      <c r="HXH142" s="22"/>
      <c r="HXI142" s="22"/>
      <c r="HXJ142" s="22"/>
      <c r="HXK142" s="22"/>
      <c r="HXL142" s="22"/>
      <c r="HXM142" s="22"/>
      <c r="HXN142" s="22"/>
      <c r="HXO142" s="22"/>
      <c r="HXP142" s="22"/>
      <c r="HXQ142" s="22"/>
      <c r="HXR142" s="22"/>
      <c r="HXS142" s="22"/>
      <c r="HXT142" s="22"/>
      <c r="HXU142" s="22"/>
      <c r="HXV142" s="22"/>
      <c r="HXW142" s="22"/>
      <c r="HXX142" s="22"/>
      <c r="HXY142" s="22"/>
      <c r="HXZ142" s="22"/>
      <c r="HYA142" s="22"/>
      <c r="HYB142" s="22"/>
      <c r="HYC142" s="22"/>
      <c r="HYD142" s="22"/>
      <c r="HYE142" s="22"/>
      <c r="HYF142" s="22"/>
      <c r="HYG142" s="22"/>
      <c r="HYH142" s="22"/>
      <c r="HYI142" s="22"/>
      <c r="HYJ142" s="22"/>
      <c r="HYK142" s="22"/>
      <c r="HYL142" s="22"/>
      <c r="HYM142" s="22"/>
      <c r="HYN142" s="22"/>
      <c r="HYO142" s="22"/>
      <c r="HYP142" s="22"/>
      <c r="HYQ142" s="22"/>
      <c r="HYR142" s="22"/>
      <c r="HYS142" s="22"/>
      <c r="HYT142" s="22"/>
      <c r="HYU142" s="22"/>
      <c r="HYV142" s="22"/>
      <c r="HYW142" s="22"/>
      <c r="HYX142" s="22"/>
      <c r="HYY142" s="22"/>
      <c r="HYZ142" s="22"/>
      <c r="HZA142" s="22"/>
      <c r="HZB142" s="22"/>
      <c r="HZC142" s="22"/>
      <c r="HZD142" s="22"/>
      <c r="HZE142" s="22"/>
      <c r="HZF142" s="22"/>
      <c r="HZG142" s="22"/>
      <c r="HZH142" s="22"/>
      <c r="HZI142" s="22"/>
      <c r="HZJ142" s="22"/>
      <c r="HZK142" s="22"/>
      <c r="HZL142" s="22"/>
      <c r="HZM142" s="22"/>
      <c r="HZN142" s="22"/>
      <c r="HZO142" s="22"/>
      <c r="HZP142" s="22"/>
      <c r="HZQ142" s="22"/>
      <c r="HZR142" s="22"/>
      <c r="HZS142" s="22"/>
      <c r="HZT142" s="22"/>
      <c r="HZU142" s="22"/>
      <c r="HZV142" s="22"/>
      <c r="HZW142" s="22"/>
      <c r="HZX142" s="22"/>
      <c r="HZY142" s="22"/>
      <c r="HZZ142" s="22"/>
      <c r="IAA142" s="22"/>
      <c r="IAB142" s="22"/>
      <c r="IAC142" s="22"/>
      <c r="IAD142" s="22"/>
      <c r="IAE142" s="22"/>
      <c r="IAF142" s="22"/>
      <c r="IAG142" s="22"/>
      <c r="IAH142" s="22"/>
      <c r="IAI142" s="22"/>
      <c r="IAJ142" s="22"/>
      <c r="IAK142" s="22"/>
      <c r="IAL142" s="22"/>
      <c r="IAM142" s="22"/>
      <c r="IAN142" s="22"/>
      <c r="IAO142" s="22"/>
      <c r="IAP142" s="22"/>
      <c r="IAQ142" s="22"/>
      <c r="IAR142" s="22"/>
      <c r="IAS142" s="22"/>
      <c r="IAT142" s="22"/>
      <c r="IAU142" s="22"/>
      <c r="IAV142" s="22"/>
      <c r="IAW142" s="22"/>
      <c r="IAX142" s="22"/>
      <c r="IAY142" s="22"/>
      <c r="IAZ142" s="22"/>
      <c r="IBA142" s="22"/>
      <c r="IBB142" s="22"/>
      <c r="IBC142" s="22"/>
      <c r="IBD142" s="22"/>
      <c r="IBE142" s="22"/>
      <c r="IBF142" s="22"/>
      <c r="IBG142" s="22"/>
      <c r="IBH142" s="22"/>
      <c r="IBI142" s="22"/>
      <c r="IBJ142" s="22"/>
      <c r="IBK142" s="22"/>
      <c r="IBL142" s="22"/>
      <c r="IBM142" s="22"/>
      <c r="IBN142" s="22"/>
      <c r="IBO142" s="22"/>
      <c r="IBP142" s="22"/>
      <c r="IBQ142" s="22"/>
      <c r="IBR142" s="22"/>
      <c r="IBS142" s="22"/>
      <c r="IBT142" s="22"/>
      <c r="IBU142" s="22"/>
      <c r="IBV142" s="22"/>
      <c r="IBW142" s="22"/>
      <c r="IBX142" s="22"/>
      <c r="IBY142" s="22"/>
      <c r="IBZ142" s="22"/>
      <c r="ICA142" s="22"/>
      <c r="ICB142" s="22"/>
      <c r="ICC142" s="22"/>
      <c r="ICD142" s="22"/>
      <c r="ICE142" s="22"/>
      <c r="ICF142" s="22"/>
      <c r="ICG142" s="22"/>
      <c r="ICH142" s="22"/>
      <c r="ICI142" s="22"/>
      <c r="ICJ142" s="22"/>
      <c r="ICK142" s="22"/>
      <c r="ICL142" s="22"/>
      <c r="ICM142" s="22"/>
      <c r="ICN142" s="22"/>
      <c r="ICO142" s="22"/>
      <c r="ICP142" s="22"/>
      <c r="ICQ142" s="22"/>
      <c r="ICR142" s="22"/>
      <c r="ICS142" s="22"/>
      <c r="ICT142" s="22"/>
      <c r="ICU142" s="22"/>
      <c r="ICV142" s="22"/>
      <c r="ICW142" s="22"/>
      <c r="ICX142" s="22"/>
      <c r="ICY142" s="22"/>
      <c r="ICZ142" s="22"/>
      <c r="IDA142" s="22"/>
      <c r="IDB142" s="22"/>
      <c r="IDC142" s="22"/>
      <c r="IDD142" s="22"/>
      <c r="IDE142" s="22"/>
      <c r="IDF142" s="22"/>
      <c r="IDG142" s="22"/>
      <c r="IDH142" s="22"/>
      <c r="IDI142" s="22"/>
      <c r="IDJ142" s="22"/>
      <c r="IDK142" s="22"/>
      <c r="IDL142" s="22"/>
      <c r="IDM142" s="22"/>
      <c r="IDN142" s="22"/>
      <c r="IDO142" s="22"/>
      <c r="IDP142" s="22"/>
      <c r="IDQ142" s="22"/>
      <c r="IDR142" s="22"/>
      <c r="IDS142" s="22"/>
      <c r="IDT142" s="22"/>
      <c r="IDU142" s="22"/>
      <c r="IDV142" s="22"/>
      <c r="IDW142" s="22"/>
      <c r="IDX142" s="22"/>
      <c r="IDY142" s="22"/>
      <c r="IDZ142" s="22"/>
      <c r="IEA142" s="22"/>
      <c r="IEB142" s="22"/>
      <c r="IEC142" s="22"/>
      <c r="IED142" s="22"/>
      <c r="IEE142" s="22"/>
      <c r="IEF142" s="22"/>
      <c r="IEG142" s="22"/>
      <c r="IEH142" s="22"/>
      <c r="IEI142" s="22"/>
      <c r="IEJ142" s="22"/>
      <c r="IEK142" s="22"/>
      <c r="IEL142" s="22"/>
      <c r="IEM142" s="22"/>
      <c r="IEN142" s="22"/>
      <c r="IEO142" s="22"/>
      <c r="IEP142" s="22"/>
      <c r="IEQ142" s="22"/>
      <c r="IER142" s="22"/>
      <c r="IES142" s="22"/>
      <c r="IET142" s="22"/>
      <c r="IEU142" s="22"/>
      <c r="IEV142" s="22"/>
      <c r="IEW142" s="22"/>
      <c r="IEX142" s="22"/>
      <c r="IEY142" s="22"/>
      <c r="IEZ142" s="22"/>
      <c r="IFA142" s="22"/>
      <c r="IFB142" s="22"/>
      <c r="IFC142" s="22"/>
      <c r="IFD142" s="22"/>
      <c r="IFE142" s="22"/>
      <c r="IFF142" s="22"/>
      <c r="IFG142" s="22"/>
      <c r="IFH142" s="22"/>
      <c r="IFI142" s="22"/>
      <c r="IFJ142" s="22"/>
      <c r="IFK142" s="22"/>
      <c r="IFL142" s="22"/>
      <c r="IFM142" s="22"/>
      <c r="IFN142" s="22"/>
      <c r="IFO142" s="22"/>
      <c r="IFP142" s="22"/>
      <c r="IFQ142" s="22"/>
      <c r="IFR142" s="22"/>
      <c r="IFS142" s="22"/>
      <c r="IFT142" s="22"/>
      <c r="IFU142" s="22"/>
      <c r="IFV142" s="22"/>
      <c r="IFW142" s="22"/>
      <c r="IFX142" s="22"/>
      <c r="IFY142" s="22"/>
      <c r="IFZ142" s="22"/>
      <c r="IGA142" s="22"/>
      <c r="IGB142" s="22"/>
      <c r="IGC142" s="22"/>
      <c r="IGD142" s="22"/>
      <c r="IGE142" s="22"/>
      <c r="IGF142" s="22"/>
      <c r="IGG142" s="22"/>
      <c r="IGH142" s="22"/>
      <c r="IGI142" s="22"/>
      <c r="IGJ142" s="22"/>
      <c r="IGK142" s="22"/>
      <c r="IGL142" s="22"/>
      <c r="IGM142" s="22"/>
      <c r="IGN142" s="22"/>
      <c r="IGO142" s="22"/>
      <c r="IGP142" s="22"/>
      <c r="IGQ142" s="22"/>
      <c r="IGR142" s="22"/>
      <c r="IGS142" s="22"/>
      <c r="IGT142" s="22"/>
      <c r="IGU142" s="22"/>
      <c r="IGV142" s="22"/>
      <c r="IGW142" s="22"/>
      <c r="IGX142" s="22"/>
      <c r="IGY142" s="22"/>
      <c r="IGZ142" s="22"/>
      <c r="IHA142" s="22"/>
      <c r="IHB142" s="22"/>
      <c r="IHC142" s="22"/>
      <c r="IHD142" s="22"/>
      <c r="IHE142" s="22"/>
      <c r="IHF142" s="22"/>
      <c r="IHG142" s="22"/>
      <c r="IHH142" s="22"/>
      <c r="IHI142" s="22"/>
      <c r="IHJ142" s="22"/>
      <c r="IHK142" s="22"/>
      <c r="IHL142" s="22"/>
      <c r="IHM142" s="22"/>
      <c r="IHN142" s="22"/>
      <c r="IHO142" s="22"/>
      <c r="IHP142" s="22"/>
      <c r="IHQ142" s="22"/>
      <c r="IHR142" s="22"/>
      <c r="IHS142" s="22"/>
      <c r="IHT142" s="22"/>
      <c r="IHU142" s="22"/>
      <c r="IHV142" s="22"/>
      <c r="IHW142" s="22"/>
      <c r="IHX142" s="22"/>
      <c r="IHY142" s="22"/>
      <c r="IHZ142" s="22"/>
      <c r="IIA142" s="22"/>
      <c r="IIB142" s="22"/>
      <c r="IIC142" s="22"/>
      <c r="IID142" s="22"/>
      <c r="IIE142" s="22"/>
      <c r="IIF142" s="22"/>
      <c r="IIG142" s="22"/>
      <c r="IIH142" s="22"/>
      <c r="III142" s="22"/>
      <c r="IIJ142" s="22"/>
      <c r="IIK142" s="22"/>
      <c r="IIL142" s="22"/>
      <c r="IIM142" s="22"/>
      <c r="IIN142" s="22"/>
      <c r="IIO142" s="22"/>
      <c r="IIP142" s="22"/>
      <c r="IIQ142" s="22"/>
      <c r="IIR142" s="22"/>
      <c r="IIS142" s="22"/>
      <c r="IIT142" s="22"/>
      <c r="IIU142" s="22"/>
      <c r="IIV142" s="22"/>
      <c r="IIW142" s="22"/>
      <c r="IIX142" s="22"/>
      <c r="IIY142" s="22"/>
      <c r="IIZ142" s="22"/>
      <c r="IJA142" s="22"/>
      <c r="IJB142" s="22"/>
      <c r="IJC142" s="22"/>
      <c r="IJD142" s="22"/>
      <c r="IJE142" s="22"/>
      <c r="IJF142" s="22"/>
      <c r="IJG142" s="22"/>
      <c r="IJH142" s="22"/>
      <c r="IJI142" s="22"/>
      <c r="IJJ142" s="22"/>
      <c r="IJK142" s="22"/>
      <c r="IJL142" s="22"/>
      <c r="IJM142" s="22"/>
      <c r="IJN142" s="22"/>
      <c r="IJO142" s="22"/>
      <c r="IJP142" s="22"/>
      <c r="IJQ142" s="22"/>
      <c r="IJR142" s="22"/>
      <c r="IJS142" s="22"/>
      <c r="IJT142" s="22"/>
      <c r="IJU142" s="22"/>
      <c r="IJV142" s="22"/>
      <c r="IJW142" s="22"/>
      <c r="IJX142" s="22"/>
      <c r="IJY142" s="22"/>
      <c r="IJZ142" s="22"/>
      <c r="IKA142" s="22"/>
      <c r="IKB142" s="22"/>
      <c r="IKC142" s="22"/>
      <c r="IKD142" s="22"/>
      <c r="IKE142" s="22"/>
      <c r="IKF142" s="22"/>
      <c r="IKG142" s="22"/>
      <c r="IKH142" s="22"/>
      <c r="IKI142" s="22"/>
      <c r="IKJ142" s="22"/>
      <c r="IKK142" s="22"/>
      <c r="IKL142" s="22"/>
      <c r="IKM142" s="22"/>
      <c r="IKN142" s="22"/>
      <c r="IKO142" s="22"/>
      <c r="IKP142" s="22"/>
      <c r="IKQ142" s="22"/>
      <c r="IKR142" s="22"/>
      <c r="IKS142" s="22"/>
      <c r="IKT142" s="22"/>
      <c r="IKU142" s="22"/>
      <c r="IKV142" s="22"/>
      <c r="IKW142" s="22"/>
      <c r="IKX142" s="22"/>
      <c r="IKY142" s="22"/>
      <c r="IKZ142" s="22"/>
      <c r="ILA142" s="22"/>
      <c r="ILB142" s="22"/>
      <c r="ILC142" s="22"/>
      <c r="ILD142" s="22"/>
      <c r="ILE142" s="22"/>
      <c r="ILF142" s="22"/>
      <c r="ILG142" s="22"/>
      <c r="ILH142" s="22"/>
      <c r="ILI142" s="22"/>
      <c r="ILJ142" s="22"/>
      <c r="ILK142" s="22"/>
      <c r="ILL142" s="22"/>
      <c r="ILM142" s="22"/>
      <c r="ILN142" s="22"/>
      <c r="ILO142" s="22"/>
      <c r="ILP142" s="22"/>
      <c r="ILQ142" s="22"/>
      <c r="ILR142" s="22"/>
      <c r="ILS142" s="22"/>
      <c r="ILT142" s="22"/>
      <c r="ILU142" s="22"/>
      <c r="ILV142" s="22"/>
      <c r="ILW142" s="22"/>
      <c r="ILX142" s="22"/>
      <c r="ILY142" s="22"/>
      <c r="ILZ142" s="22"/>
      <c r="IMA142" s="22"/>
      <c r="IMB142" s="22"/>
      <c r="IMC142" s="22"/>
      <c r="IMD142" s="22"/>
      <c r="IME142" s="22"/>
      <c r="IMF142" s="22"/>
      <c r="IMG142" s="22"/>
      <c r="IMH142" s="22"/>
      <c r="IMI142" s="22"/>
      <c r="IMJ142" s="22"/>
      <c r="IMK142" s="22"/>
      <c r="IML142" s="22"/>
      <c r="IMM142" s="22"/>
      <c r="IMN142" s="22"/>
      <c r="IMO142" s="22"/>
      <c r="IMP142" s="22"/>
      <c r="IMQ142" s="22"/>
      <c r="IMR142" s="22"/>
      <c r="IMS142" s="22"/>
      <c r="IMT142" s="22"/>
      <c r="IMU142" s="22"/>
      <c r="IMV142" s="22"/>
      <c r="IMW142" s="22"/>
      <c r="IMX142" s="22"/>
      <c r="IMY142" s="22"/>
      <c r="IMZ142" s="22"/>
      <c r="INA142" s="22"/>
      <c r="INB142" s="22"/>
      <c r="INC142" s="22"/>
      <c r="IND142" s="22"/>
      <c r="INE142" s="22"/>
      <c r="INF142" s="22"/>
      <c r="ING142" s="22"/>
      <c r="INH142" s="22"/>
      <c r="INI142" s="22"/>
      <c r="INJ142" s="22"/>
      <c r="INK142" s="22"/>
      <c r="INL142" s="22"/>
      <c r="INM142" s="22"/>
      <c r="INN142" s="22"/>
      <c r="INO142" s="22"/>
      <c r="INP142" s="22"/>
      <c r="INQ142" s="22"/>
      <c r="INR142" s="22"/>
      <c r="INS142" s="22"/>
      <c r="INT142" s="22"/>
      <c r="INU142" s="22"/>
      <c r="INV142" s="22"/>
      <c r="INW142" s="22"/>
      <c r="INX142" s="22"/>
      <c r="INY142" s="22"/>
      <c r="INZ142" s="22"/>
      <c r="IOA142" s="22"/>
      <c r="IOB142" s="22"/>
      <c r="IOC142" s="22"/>
      <c r="IOD142" s="22"/>
      <c r="IOE142" s="22"/>
      <c r="IOF142" s="22"/>
      <c r="IOG142" s="22"/>
      <c r="IOH142" s="22"/>
      <c r="IOI142" s="22"/>
      <c r="IOJ142" s="22"/>
      <c r="IOK142" s="22"/>
      <c r="IOL142" s="22"/>
      <c r="IOM142" s="22"/>
      <c r="ION142" s="22"/>
      <c r="IOO142" s="22"/>
      <c r="IOP142" s="22"/>
      <c r="IOQ142" s="22"/>
      <c r="IOR142" s="22"/>
      <c r="IOS142" s="22"/>
      <c r="IOT142" s="22"/>
      <c r="IOU142" s="22"/>
      <c r="IOV142" s="22"/>
      <c r="IOW142" s="22"/>
      <c r="IOX142" s="22"/>
      <c r="IOY142" s="22"/>
      <c r="IOZ142" s="22"/>
      <c r="IPA142" s="22"/>
      <c r="IPB142" s="22"/>
      <c r="IPC142" s="22"/>
      <c r="IPD142" s="22"/>
      <c r="IPE142" s="22"/>
      <c r="IPF142" s="22"/>
      <c r="IPG142" s="22"/>
      <c r="IPH142" s="22"/>
      <c r="IPI142" s="22"/>
      <c r="IPJ142" s="22"/>
      <c r="IPK142" s="22"/>
      <c r="IPL142" s="22"/>
      <c r="IPM142" s="22"/>
      <c r="IPN142" s="22"/>
      <c r="IPO142" s="22"/>
      <c r="IPP142" s="22"/>
      <c r="IPQ142" s="22"/>
      <c r="IPR142" s="22"/>
      <c r="IPS142" s="22"/>
      <c r="IPT142" s="22"/>
      <c r="IPU142" s="22"/>
      <c r="IPV142" s="22"/>
      <c r="IPW142" s="22"/>
      <c r="IPX142" s="22"/>
      <c r="IPY142" s="22"/>
      <c r="IPZ142" s="22"/>
      <c r="IQA142" s="22"/>
      <c r="IQB142" s="22"/>
      <c r="IQC142" s="22"/>
      <c r="IQD142" s="22"/>
      <c r="IQE142" s="22"/>
      <c r="IQF142" s="22"/>
      <c r="IQG142" s="22"/>
      <c r="IQH142" s="22"/>
      <c r="IQI142" s="22"/>
      <c r="IQJ142" s="22"/>
      <c r="IQK142" s="22"/>
      <c r="IQL142" s="22"/>
      <c r="IQM142" s="22"/>
      <c r="IQN142" s="22"/>
      <c r="IQO142" s="22"/>
      <c r="IQP142" s="22"/>
      <c r="IQQ142" s="22"/>
      <c r="IQR142" s="22"/>
      <c r="IQS142" s="22"/>
      <c r="IQT142" s="22"/>
      <c r="IQU142" s="22"/>
      <c r="IQV142" s="22"/>
      <c r="IQW142" s="22"/>
      <c r="IQX142" s="22"/>
      <c r="IQY142" s="22"/>
      <c r="IQZ142" s="22"/>
      <c r="IRA142" s="22"/>
      <c r="IRB142" s="22"/>
      <c r="IRC142" s="22"/>
      <c r="IRD142" s="22"/>
      <c r="IRE142" s="22"/>
      <c r="IRF142" s="22"/>
      <c r="IRG142" s="22"/>
      <c r="IRH142" s="22"/>
      <c r="IRI142" s="22"/>
      <c r="IRJ142" s="22"/>
      <c r="IRK142" s="22"/>
      <c r="IRL142" s="22"/>
      <c r="IRM142" s="22"/>
      <c r="IRN142" s="22"/>
      <c r="IRO142" s="22"/>
      <c r="IRP142" s="22"/>
      <c r="IRQ142" s="22"/>
      <c r="IRR142" s="22"/>
      <c r="IRS142" s="22"/>
      <c r="IRT142" s="22"/>
      <c r="IRU142" s="22"/>
      <c r="IRV142" s="22"/>
      <c r="IRW142" s="22"/>
      <c r="IRX142" s="22"/>
      <c r="IRY142" s="22"/>
      <c r="IRZ142" s="22"/>
      <c r="ISA142" s="22"/>
      <c r="ISB142" s="22"/>
      <c r="ISC142" s="22"/>
      <c r="ISD142" s="22"/>
      <c r="ISE142" s="22"/>
      <c r="ISF142" s="22"/>
      <c r="ISG142" s="22"/>
      <c r="ISH142" s="22"/>
      <c r="ISI142" s="22"/>
      <c r="ISJ142" s="22"/>
      <c r="ISK142" s="22"/>
      <c r="ISL142" s="22"/>
      <c r="ISM142" s="22"/>
      <c r="ISN142" s="22"/>
      <c r="ISO142" s="22"/>
      <c r="ISP142" s="22"/>
      <c r="ISQ142" s="22"/>
      <c r="ISR142" s="22"/>
      <c r="ISS142" s="22"/>
      <c r="IST142" s="22"/>
      <c r="ISU142" s="22"/>
      <c r="ISV142" s="22"/>
      <c r="ISW142" s="22"/>
      <c r="ISX142" s="22"/>
      <c r="ISY142" s="22"/>
      <c r="ISZ142" s="22"/>
      <c r="ITA142" s="22"/>
      <c r="ITB142" s="22"/>
      <c r="ITC142" s="22"/>
      <c r="ITD142" s="22"/>
      <c r="ITE142" s="22"/>
      <c r="ITF142" s="22"/>
      <c r="ITG142" s="22"/>
      <c r="ITH142" s="22"/>
      <c r="ITI142" s="22"/>
      <c r="ITJ142" s="22"/>
      <c r="ITK142" s="22"/>
      <c r="ITL142" s="22"/>
      <c r="ITM142" s="22"/>
      <c r="ITN142" s="22"/>
      <c r="ITO142" s="22"/>
      <c r="ITP142" s="22"/>
      <c r="ITQ142" s="22"/>
      <c r="ITR142" s="22"/>
      <c r="ITS142" s="22"/>
      <c r="ITT142" s="22"/>
      <c r="ITU142" s="22"/>
      <c r="ITV142" s="22"/>
      <c r="ITW142" s="22"/>
      <c r="ITX142" s="22"/>
      <c r="ITY142" s="22"/>
      <c r="ITZ142" s="22"/>
      <c r="IUA142" s="22"/>
      <c r="IUB142" s="22"/>
      <c r="IUC142" s="22"/>
      <c r="IUD142" s="22"/>
      <c r="IUE142" s="22"/>
      <c r="IUF142" s="22"/>
      <c r="IUG142" s="22"/>
      <c r="IUH142" s="22"/>
      <c r="IUI142" s="22"/>
      <c r="IUJ142" s="22"/>
      <c r="IUK142" s="22"/>
      <c r="IUL142" s="22"/>
      <c r="IUM142" s="22"/>
      <c r="IUN142" s="22"/>
      <c r="IUO142" s="22"/>
      <c r="IUP142" s="22"/>
      <c r="IUQ142" s="22"/>
      <c r="IUR142" s="22"/>
      <c r="IUS142" s="22"/>
      <c r="IUT142" s="22"/>
      <c r="IUU142" s="22"/>
      <c r="IUV142" s="22"/>
      <c r="IUW142" s="22"/>
      <c r="IUX142" s="22"/>
      <c r="IUY142" s="22"/>
      <c r="IUZ142" s="22"/>
      <c r="IVA142" s="22"/>
      <c r="IVB142" s="22"/>
      <c r="IVC142" s="22"/>
      <c r="IVD142" s="22"/>
      <c r="IVE142" s="22"/>
      <c r="IVF142" s="22"/>
      <c r="IVG142" s="22"/>
      <c r="IVH142" s="22"/>
      <c r="IVI142" s="22"/>
      <c r="IVJ142" s="22"/>
      <c r="IVK142" s="22"/>
      <c r="IVL142" s="22"/>
      <c r="IVM142" s="22"/>
      <c r="IVN142" s="22"/>
      <c r="IVO142" s="22"/>
      <c r="IVP142" s="22"/>
      <c r="IVQ142" s="22"/>
      <c r="IVR142" s="22"/>
      <c r="IVS142" s="22"/>
      <c r="IVT142" s="22"/>
      <c r="IVU142" s="22"/>
      <c r="IVV142" s="22"/>
      <c r="IVW142" s="22"/>
      <c r="IVX142" s="22"/>
      <c r="IVY142" s="22"/>
      <c r="IVZ142" s="22"/>
      <c r="IWA142" s="22"/>
      <c r="IWB142" s="22"/>
      <c r="IWC142" s="22"/>
      <c r="IWD142" s="22"/>
      <c r="IWE142" s="22"/>
      <c r="IWF142" s="22"/>
      <c r="IWG142" s="22"/>
      <c r="IWH142" s="22"/>
      <c r="IWI142" s="22"/>
      <c r="IWJ142" s="22"/>
      <c r="IWK142" s="22"/>
      <c r="IWL142" s="22"/>
      <c r="IWM142" s="22"/>
      <c r="IWN142" s="22"/>
      <c r="IWO142" s="22"/>
      <c r="IWP142" s="22"/>
      <c r="IWQ142" s="22"/>
      <c r="IWR142" s="22"/>
      <c r="IWS142" s="22"/>
      <c r="IWT142" s="22"/>
      <c r="IWU142" s="22"/>
      <c r="IWV142" s="22"/>
      <c r="IWW142" s="22"/>
      <c r="IWX142" s="22"/>
      <c r="IWY142" s="22"/>
      <c r="IWZ142" s="22"/>
      <c r="IXA142" s="22"/>
      <c r="IXB142" s="22"/>
      <c r="IXC142" s="22"/>
      <c r="IXD142" s="22"/>
      <c r="IXE142" s="22"/>
      <c r="IXF142" s="22"/>
      <c r="IXG142" s="22"/>
      <c r="IXH142" s="22"/>
      <c r="IXI142" s="22"/>
      <c r="IXJ142" s="22"/>
      <c r="IXK142" s="22"/>
      <c r="IXL142" s="22"/>
      <c r="IXM142" s="22"/>
      <c r="IXN142" s="22"/>
      <c r="IXO142" s="22"/>
      <c r="IXP142" s="22"/>
      <c r="IXQ142" s="22"/>
      <c r="IXR142" s="22"/>
      <c r="IXS142" s="22"/>
      <c r="IXT142" s="22"/>
      <c r="IXU142" s="22"/>
      <c r="IXV142" s="22"/>
      <c r="IXW142" s="22"/>
      <c r="IXX142" s="22"/>
      <c r="IXY142" s="22"/>
      <c r="IXZ142" s="22"/>
      <c r="IYA142" s="22"/>
      <c r="IYB142" s="22"/>
      <c r="IYC142" s="22"/>
      <c r="IYD142" s="22"/>
      <c r="IYE142" s="22"/>
      <c r="IYF142" s="22"/>
      <c r="IYG142" s="22"/>
      <c r="IYH142" s="22"/>
      <c r="IYI142" s="22"/>
      <c r="IYJ142" s="22"/>
      <c r="IYK142" s="22"/>
      <c r="IYL142" s="22"/>
      <c r="IYM142" s="22"/>
      <c r="IYN142" s="22"/>
      <c r="IYO142" s="22"/>
      <c r="IYP142" s="22"/>
      <c r="IYQ142" s="22"/>
      <c r="IYR142" s="22"/>
      <c r="IYS142" s="22"/>
      <c r="IYT142" s="22"/>
      <c r="IYU142" s="22"/>
      <c r="IYV142" s="22"/>
      <c r="IYW142" s="22"/>
      <c r="IYX142" s="22"/>
      <c r="IYY142" s="22"/>
      <c r="IYZ142" s="22"/>
      <c r="IZA142" s="22"/>
      <c r="IZB142" s="22"/>
      <c r="IZC142" s="22"/>
      <c r="IZD142" s="22"/>
      <c r="IZE142" s="22"/>
      <c r="IZF142" s="22"/>
      <c r="IZG142" s="22"/>
      <c r="IZH142" s="22"/>
      <c r="IZI142" s="22"/>
      <c r="IZJ142" s="22"/>
      <c r="IZK142" s="22"/>
      <c r="IZL142" s="22"/>
      <c r="IZM142" s="22"/>
      <c r="IZN142" s="22"/>
      <c r="IZO142" s="22"/>
      <c r="IZP142" s="22"/>
      <c r="IZQ142" s="22"/>
      <c r="IZR142" s="22"/>
      <c r="IZS142" s="22"/>
      <c r="IZT142" s="22"/>
      <c r="IZU142" s="22"/>
      <c r="IZV142" s="22"/>
      <c r="IZW142" s="22"/>
      <c r="IZX142" s="22"/>
      <c r="IZY142" s="22"/>
      <c r="IZZ142" s="22"/>
      <c r="JAA142" s="22"/>
      <c r="JAB142" s="22"/>
      <c r="JAC142" s="22"/>
      <c r="JAD142" s="22"/>
      <c r="JAE142" s="22"/>
      <c r="JAF142" s="22"/>
      <c r="JAG142" s="22"/>
      <c r="JAH142" s="22"/>
      <c r="JAI142" s="22"/>
      <c r="JAJ142" s="22"/>
      <c r="JAK142" s="22"/>
      <c r="JAL142" s="22"/>
      <c r="JAM142" s="22"/>
      <c r="JAN142" s="22"/>
      <c r="JAO142" s="22"/>
      <c r="JAP142" s="22"/>
      <c r="JAQ142" s="22"/>
      <c r="JAR142" s="22"/>
      <c r="JAS142" s="22"/>
      <c r="JAT142" s="22"/>
      <c r="JAU142" s="22"/>
      <c r="JAV142" s="22"/>
      <c r="JAW142" s="22"/>
      <c r="JAX142" s="22"/>
      <c r="JAY142" s="22"/>
      <c r="JAZ142" s="22"/>
      <c r="JBA142" s="22"/>
      <c r="JBB142" s="22"/>
      <c r="JBC142" s="22"/>
      <c r="JBD142" s="22"/>
      <c r="JBE142" s="22"/>
      <c r="JBF142" s="22"/>
      <c r="JBG142" s="22"/>
      <c r="JBH142" s="22"/>
      <c r="JBI142" s="22"/>
      <c r="JBJ142" s="22"/>
      <c r="JBK142" s="22"/>
      <c r="JBL142" s="22"/>
      <c r="JBM142" s="22"/>
      <c r="JBN142" s="22"/>
      <c r="JBO142" s="22"/>
      <c r="JBP142" s="22"/>
      <c r="JBQ142" s="22"/>
      <c r="JBR142" s="22"/>
      <c r="JBS142" s="22"/>
      <c r="JBT142" s="22"/>
      <c r="JBU142" s="22"/>
      <c r="JBV142" s="22"/>
      <c r="JBW142" s="22"/>
      <c r="JBX142" s="22"/>
      <c r="JBY142" s="22"/>
      <c r="JBZ142" s="22"/>
      <c r="JCA142" s="22"/>
      <c r="JCB142" s="22"/>
      <c r="JCC142" s="22"/>
      <c r="JCD142" s="22"/>
      <c r="JCE142" s="22"/>
      <c r="JCF142" s="22"/>
      <c r="JCG142" s="22"/>
      <c r="JCH142" s="22"/>
      <c r="JCI142" s="22"/>
      <c r="JCJ142" s="22"/>
      <c r="JCK142" s="22"/>
      <c r="JCL142" s="22"/>
      <c r="JCM142" s="22"/>
      <c r="JCN142" s="22"/>
      <c r="JCO142" s="22"/>
      <c r="JCP142" s="22"/>
      <c r="JCQ142" s="22"/>
      <c r="JCR142" s="22"/>
      <c r="JCS142" s="22"/>
      <c r="JCT142" s="22"/>
      <c r="JCU142" s="22"/>
      <c r="JCV142" s="22"/>
      <c r="JCW142" s="22"/>
      <c r="JCX142" s="22"/>
      <c r="JCY142" s="22"/>
      <c r="JCZ142" s="22"/>
      <c r="JDA142" s="22"/>
      <c r="JDB142" s="22"/>
      <c r="JDC142" s="22"/>
      <c r="JDD142" s="22"/>
      <c r="JDE142" s="22"/>
      <c r="JDF142" s="22"/>
      <c r="JDG142" s="22"/>
      <c r="JDH142" s="22"/>
      <c r="JDI142" s="22"/>
      <c r="JDJ142" s="22"/>
      <c r="JDK142" s="22"/>
      <c r="JDL142" s="22"/>
      <c r="JDM142" s="22"/>
      <c r="JDN142" s="22"/>
      <c r="JDO142" s="22"/>
      <c r="JDP142" s="22"/>
      <c r="JDQ142" s="22"/>
      <c r="JDR142" s="22"/>
      <c r="JDS142" s="22"/>
      <c r="JDT142" s="22"/>
      <c r="JDU142" s="22"/>
      <c r="JDV142" s="22"/>
      <c r="JDW142" s="22"/>
      <c r="JDX142" s="22"/>
      <c r="JDY142" s="22"/>
      <c r="JDZ142" s="22"/>
      <c r="JEA142" s="22"/>
      <c r="JEB142" s="22"/>
      <c r="JEC142" s="22"/>
      <c r="JED142" s="22"/>
      <c r="JEE142" s="22"/>
      <c r="JEF142" s="22"/>
      <c r="JEG142" s="22"/>
      <c r="JEH142" s="22"/>
      <c r="JEI142" s="22"/>
      <c r="JEJ142" s="22"/>
      <c r="JEK142" s="22"/>
      <c r="JEL142" s="22"/>
      <c r="JEM142" s="22"/>
      <c r="JEN142" s="22"/>
      <c r="JEO142" s="22"/>
      <c r="JEP142" s="22"/>
      <c r="JEQ142" s="22"/>
      <c r="JER142" s="22"/>
      <c r="JES142" s="22"/>
      <c r="JET142" s="22"/>
      <c r="JEU142" s="22"/>
      <c r="JEV142" s="22"/>
      <c r="JEW142" s="22"/>
      <c r="JEX142" s="22"/>
      <c r="JEY142" s="22"/>
      <c r="JEZ142" s="22"/>
      <c r="JFA142" s="22"/>
      <c r="JFB142" s="22"/>
      <c r="JFC142" s="22"/>
      <c r="JFD142" s="22"/>
      <c r="JFE142" s="22"/>
      <c r="JFF142" s="22"/>
      <c r="JFG142" s="22"/>
      <c r="JFH142" s="22"/>
      <c r="JFI142" s="22"/>
      <c r="JFJ142" s="22"/>
      <c r="JFK142" s="22"/>
      <c r="JFL142" s="22"/>
      <c r="JFM142" s="22"/>
      <c r="JFN142" s="22"/>
      <c r="JFO142" s="22"/>
      <c r="JFP142" s="22"/>
      <c r="JFQ142" s="22"/>
      <c r="JFR142" s="22"/>
      <c r="JFS142" s="22"/>
      <c r="JFT142" s="22"/>
      <c r="JFU142" s="22"/>
      <c r="JFV142" s="22"/>
      <c r="JFW142" s="22"/>
      <c r="JFX142" s="22"/>
      <c r="JFY142" s="22"/>
      <c r="JFZ142" s="22"/>
      <c r="JGA142" s="22"/>
      <c r="JGB142" s="22"/>
      <c r="JGC142" s="22"/>
      <c r="JGD142" s="22"/>
      <c r="JGE142" s="22"/>
      <c r="JGF142" s="22"/>
      <c r="JGG142" s="22"/>
      <c r="JGH142" s="22"/>
      <c r="JGI142" s="22"/>
      <c r="JGJ142" s="22"/>
      <c r="JGK142" s="22"/>
      <c r="JGL142" s="22"/>
      <c r="JGM142" s="22"/>
      <c r="JGN142" s="22"/>
      <c r="JGO142" s="22"/>
      <c r="JGP142" s="22"/>
      <c r="JGQ142" s="22"/>
      <c r="JGR142" s="22"/>
      <c r="JGS142" s="22"/>
      <c r="JGT142" s="22"/>
      <c r="JGU142" s="22"/>
      <c r="JGV142" s="22"/>
      <c r="JGW142" s="22"/>
      <c r="JGX142" s="22"/>
      <c r="JGY142" s="22"/>
      <c r="JGZ142" s="22"/>
      <c r="JHA142" s="22"/>
      <c r="JHB142" s="22"/>
      <c r="JHC142" s="22"/>
      <c r="JHD142" s="22"/>
      <c r="JHE142" s="22"/>
      <c r="JHF142" s="22"/>
      <c r="JHG142" s="22"/>
      <c r="JHH142" s="22"/>
      <c r="JHI142" s="22"/>
      <c r="JHJ142" s="22"/>
      <c r="JHK142" s="22"/>
      <c r="JHL142" s="22"/>
      <c r="JHM142" s="22"/>
      <c r="JHN142" s="22"/>
      <c r="JHO142" s="22"/>
      <c r="JHP142" s="22"/>
      <c r="JHQ142" s="22"/>
      <c r="JHR142" s="22"/>
      <c r="JHS142" s="22"/>
      <c r="JHT142" s="22"/>
      <c r="JHU142" s="22"/>
      <c r="JHV142" s="22"/>
      <c r="JHW142" s="22"/>
      <c r="JHX142" s="22"/>
      <c r="JHY142" s="22"/>
      <c r="JHZ142" s="22"/>
      <c r="JIA142" s="22"/>
      <c r="JIB142" s="22"/>
      <c r="JIC142" s="22"/>
      <c r="JID142" s="22"/>
      <c r="JIE142" s="22"/>
      <c r="JIF142" s="22"/>
      <c r="JIG142" s="22"/>
      <c r="JIH142" s="22"/>
      <c r="JII142" s="22"/>
      <c r="JIJ142" s="22"/>
      <c r="JIK142" s="22"/>
      <c r="JIL142" s="22"/>
      <c r="JIM142" s="22"/>
      <c r="JIN142" s="22"/>
      <c r="JIO142" s="22"/>
      <c r="JIP142" s="22"/>
      <c r="JIQ142" s="22"/>
      <c r="JIR142" s="22"/>
      <c r="JIS142" s="22"/>
      <c r="JIT142" s="22"/>
      <c r="JIU142" s="22"/>
      <c r="JIV142" s="22"/>
      <c r="JIW142" s="22"/>
      <c r="JIX142" s="22"/>
      <c r="JIY142" s="22"/>
      <c r="JIZ142" s="22"/>
      <c r="JJA142" s="22"/>
      <c r="JJB142" s="22"/>
      <c r="JJC142" s="22"/>
      <c r="JJD142" s="22"/>
      <c r="JJE142" s="22"/>
      <c r="JJF142" s="22"/>
      <c r="JJG142" s="22"/>
      <c r="JJH142" s="22"/>
      <c r="JJI142" s="22"/>
      <c r="JJJ142" s="22"/>
      <c r="JJK142" s="22"/>
      <c r="JJL142" s="22"/>
      <c r="JJM142" s="22"/>
      <c r="JJN142" s="22"/>
      <c r="JJO142" s="22"/>
      <c r="JJP142" s="22"/>
      <c r="JJQ142" s="22"/>
      <c r="JJR142" s="22"/>
      <c r="JJS142" s="22"/>
      <c r="JJT142" s="22"/>
      <c r="JJU142" s="22"/>
      <c r="JJV142" s="22"/>
      <c r="JJW142" s="22"/>
      <c r="JJX142" s="22"/>
      <c r="JJY142" s="22"/>
      <c r="JJZ142" s="22"/>
      <c r="JKA142" s="22"/>
      <c r="JKB142" s="22"/>
      <c r="JKC142" s="22"/>
      <c r="JKD142" s="22"/>
      <c r="JKE142" s="22"/>
      <c r="JKF142" s="22"/>
      <c r="JKG142" s="22"/>
      <c r="JKH142" s="22"/>
      <c r="JKI142" s="22"/>
      <c r="JKJ142" s="22"/>
      <c r="JKK142" s="22"/>
      <c r="JKL142" s="22"/>
      <c r="JKM142" s="22"/>
      <c r="JKN142" s="22"/>
      <c r="JKO142" s="22"/>
      <c r="JKP142" s="22"/>
      <c r="JKQ142" s="22"/>
      <c r="JKR142" s="22"/>
      <c r="JKS142" s="22"/>
      <c r="JKT142" s="22"/>
      <c r="JKU142" s="22"/>
      <c r="JKV142" s="22"/>
      <c r="JKW142" s="22"/>
      <c r="JKX142" s="22"/>
      <c r="JKY142" s="22"/>
      <c r="JKZ142" s="22"/>
      <c r="JLA142" s="22"/>
      <c r="JLB142" s="22"/>
      <c r="JLC142" s="22"/>
      <c r="JLD142" s="22"/>
      <c r="JLE142" s="22"/>
      <c r="JLF142" s="22"/>
      <c r="JLG142" s="22"/>
      <c r="JLH142" s="22"/>
      <c r="JLI142" s="22"/>
      <c r="JLJ142" s="22"/>
      <c r="JLK142" s="22"/>
      <c r="JLL142" s="22"/>
      <c r="JLM142" s="22"/>
      <c r="JLN142" s="22"/>
      <c r="JLO142" s="22"/>
      <c r="JLP142" s="22"/>
      <c r="JLQ142" s="22"/>
      <c r="JLR142" s="22"/>
      <c r="JLS142" s="22"/>
      <c r="JLT142" s="22"/>
      <c r="JLU142" s="22"/>
      <c r="JLV142" s="22"/>
      <c r="JLW142" s="22"/>
      <c r="JLX142" s="22"/>
      <c r="JLY142" s="22"/>
      <c r="JLZ142" s="22"/>
      <c r="JMA142" s="22"/>
      <c r="JMB142" s="22"/>
      <c r="JMC142" s="22"/>
      <c r="JMD142" s="22"/>
      <c r="JME142" s="22"/>
      <c r="JMF142" s="22"/>
      <c r="JMG142" s="22"/>
      <c r="JMH142" s="22"/>
      <c r="JMI142" s="22"/>
      <c r="JMJ142" s="22"/>
      <c r="JMK142" s="22"/>
      <c r="JML142" s="22"/>
      <c r="JMM142" s="22"/>
      <c r="JMN142" s="22"/>
      <c r="JMO142" s="22"/>
      <c r="JMP142" s="22"/>
      <c r="JMQ142" s="22"/>
      <c r="JMR142" s="22"/>
      <c r="JMS142" s="22"/>
      <c r="JMT142" s="22"/>
      <c r="JMU142" s="22"/>
      <c r="JMV142" s="22"/>
      <c r="JMW142" s="22"/>
      <c r="JMX142" s="22"/>
      <c r="JMY142" s="22"/>
      <c r="JMZ142" s="22"/>
      <c r="JNA142" s="22"/>
      <c r="JNB142" s="22"/>
      <c r="JNC142" s="22"/>
      <c r="JND142" s="22"/>
      <c r="JNE142" s="22"/>
      <c r="JNF142" s="22"/>
      <c r="JNG142" s="22"/>
      <c r="JNH142" s="22"/>
      <c r="JNI142" s="22"/>
      <c r="JNJ142" s="22"/>
      <c r="JNK142" s="22"/>
      <c r="JNL142" s="22"/>
      <c r="JNM142" s="22"/>
      <c r="JNN142" s="22"/>
      <c r="JNO142" s="22"/>
      <c r="JNP142" s="22"/>
      <c r="JNQ142" s="22"/>
      <c r="JNR142" s="22"/>
      <c r="JNS142" s="22"/>
      <c r="JNT142" s="22"/>
      <c r="JNU142" s="22"/>
      <c r="JNV142" s="22"/>
      <c r="JNW142" s="22"/>
      <c r="JNX142" s="22"/>
      <c r="JNY142" s="22"/>
      <c r="JNZ142" s="22"/>
      <c r="JOA142" s="22"/>
      <c r="JOB142" s="22"/>
      <c r="JOC142" s="22"/>
      <c r="JOD142" s="22"/>
      <c r="JOE142" s="22"/>
      <c r="JOF142" s="22"/>
      <c r="JOG142" s="22"/>
      <c r="JOH142" s="22"/>
      <c r="JOI142" s="22"/>
      <c r="JOJ142" s="22"/>
      <c r="JOK142" s="22"/>
      <c r="JOL142" s="22"/>
      <c r="JOM142" s="22"/>
      <c r="JON142" s="22"/>
      <c r="JOO142" s="22"/>
      <c r="JOP142" s="22"/>
      <c r="JOQ142" s="22"/>
      <c r="JOR142" s="22"/>
      <c r="JOS142" s="22"/>
      <c r="JOT142" s="22"/>
      <c r="JOU142" s="22"/>
      <c r="JOV142" s="22"/>
      <c r="JOW142" s="22"/>
      <c r="JOX142" s="22"/>
      <c r="JOY142" s="22"/>
      <c r="JOZ142" s="22"/>
      <c r="JPA142" s="22"/>
      <c r="JPB142" s="22"/>
      <c r="JPC142" s="22"/>
      <c r="JPD142" s="22"/>
      <c r="JPE142" s="22"/>
      <c r="JPF142" s="22"/>
      <c r="JPG142" s="22"/>
      <c r="JPH142" s="22"/>
      <c r="JPI142" s="22"/>
      <c r="JPJ142" s="22"/>
      <c r="JPK142" s="22"/>
      <c r="JPL142" s="22"/>
      <c r="JPM142" s="22"/>
      <c r="JPN142" s="22"/>
      <c r="JPO142" s="22"/>
      <c r="JPP142" s="22"/>
      <c r="JPQ142" s="22"/>
      <c r="JPR142" s="22"/>
      <c r="JPS142" s="22"/>
      <c r="JPT142" s="22"/>
      <c r="JPU142" s="22"/>
      <c r="JPV142" s="22"/>
      <c r="JPW142" s="22"/>
      <c r="JPX142" s="22"/>
      <c r="JPY142" s="22"/>
      <c r="JPZ142" s="22"/>
      <c r="JQA142" s="22"/>
      <c r="JQB142" s="22"/>
      <c r="JQC142" s="22"/>
      <c r="JQD142" s="22"/>
      <c r="JQE142" s="22"/>
      <c r="JQF142" s="22"/>
      <c r="JQG142" s="22"/>
      <c r="JQH142" s="22"/>
      <c r="JQI142" s="22"/>
      <c r="JQJ142" s="22"/>
      <c r="JQK142" s="22"/>
      <c r="JQL142" s="22"/>
      <c r="JQM142" s="22"/>
      <c r="JQN142" s="22"/>
      <c r="JQO142" s="22"/>
      <c r="JQP142" s="22"/>
      <c r="JQQ142" s="22"/>
      <c r="JQR142" s="22"/>
      <c r="JQS142" s="22"/>
      <c r="JQT142" s="22"/>
      <c r="JQU142" s="22"/>
      <c r="JQV142" s="22"/>
      <c r="JQW142" s="22"/>
      <c r="JQX142" s="22"/>
      <c r="JQY142" s="22"/>
      <c r="JQZ142" s="22"/>
      <c r="JRA142" s="22"/>
      <c r="JRB142" s="22"/>
      <c r="JRC142" s="22"/>
      <c r="JRD142" s="22"/>
      <c r="JRE142" s="22"/>
      <c r="JRF142" s="22"/>
      <c r="JRG142" s="22"/>
      <c r="JRH142" s="22"/>
      <c r="JRI142" s="22"/>
      <c r="JRJ142" s="22"/>
      <c r="JRK142" s="22"/>
      <c r="JRL142" s="22"/>
      <c r="JRM142" s="22"/>
      <c r="JRN142" s="22"/>
      <c r="JRO142" s="22"/>
      <c r="JRP142" s="22"/>
      <c r="JRQ142" s="22"/>
      <c r="JRR142" s="22"/>
      <c r="JRS142" s="22"/>
      <c r="JRT142" s="22"/>
      <c r="JRU142" s="22"/>
      <c r="JRV142" s="22"/>
      <c r="JRW142" s="22"/>
      <c r="JRX142" s="22"/>
      <c r="JRY142" s="22"/>
      <c r="JRZ142" s="22"/>
      <c r="JSA142" s="22"/>
      <c r="JSB142" s="22"/>
      <c r="JSC142" s="22"/>
      <c r="JSD142" s="22"/>
      <c r="JSE142" s="22"/>
      <c r="JSF142" s="22"/>
      <c r="JSG142" s="22"/>
      <c r="JSH142" s="22"/>
      <c r="JSI142" s="22"/>
      <c r="JSJ142" s="22"/>
      <c r="JSK142" s="22"/>
      <c r="JSL142" s="22"/>
      <c r="JSM142" s="22"/>
      <c r="JSN142" s="22"/>
      <c r="JSO142" s="22"/>
      <c r="JSP142" s="22"/>
      <c r="JSQ142" s="22"/>
      <c r="JSR142" s="22"/>
      <c r="JSS142" s="22"/>
      <c r="JST142" s="22"/>
      <c r="JSU142" s="22"/>
      <c r="JSV142" s="22"/>
      <c r="JSW142" s="22"/>
      <c r="JSX142" s="22"/>
      <c r="JSY142" s="22"/>
      <c r="JSZ142" s="22"/>
      <c r="JTA142" s="22"/>
      <c r="JTB142" s="22"/>
      <c r="JTC142" s="22"/>
      <c r="JTD142" s="22"/>
      <c r="JTE142" s="22"/>
      <c r="JTF142" s="22"/>
      <c r="JTG142" s="22"/>
      <c r="JTH142" s="22"/>
      <c r="JTI142" s="22"/>
      <c r="JTJ142" s="22"/>
      <c r="JTK142" s="22"/>
      <c r="JTL142" s="22"/>
      <c r="JTM142" s="22"/>
      <c r="JTN142" s="22"/>
      <c r="JTO142" s="22"/>
      <c r="JTP142" s="22"/>
      <c r="JTQ142" s="22"/>
      <c r="JTR142" s="22"/>
      <c r="JTS142" s="22"/>
      <c r="JTT142" s="22"/>
      <c r="JTU142" s="22"/>
      <c r="JTV142" s="22"/>
      <c r="JTW142" s="22"/>
      <c r="JTX142" s="22"/>
      <c r="JTY142" s="22"/>
      <c r="JTZ142" s="22"/>
      <c r="JUA142" s="22"/>
      <c r="JUB142" s="22"/>
      <c r="JUC142" s="22"/>
      <c r="JUD142" s="22"/>
      <c r="JUE142" s="22"/>
      <c r="JUF142" s="22"/>
      <c r="JUG142" s="22"/>
      <c r="JUH142" s="22"/>
      <c r="JUI142" s="22"/>
      <c r="JUJ142" s="22"/>
      <c r="JUK142" s="22"/>
      <c r="JUL142" s="22"/>
      <c r="JUM142" s="22"/>
      <c r="JUN142" s="22"/>
      <c r="JUO142" s="22"/>
      <c r="JUP142" s="22"/>
      <c r="JUQ142" s="22"/>
      <c r="JUR142" s="22"/>
      <c r="JUS142" s="22"/>
      <c r="JUT142" s="22"/>
      <c r="JUU142" s="22"/>
      <c r="JUV142" s="22"/>
      <c r="JUW142" s="22"/>
      <c r="JUX142" s="22"/>
      <c r="JUY142" s="22"/>
      <c r="JUZ142" s="22"/>
      <c r="JVA142" s="22"/>
      <c r="JVB142" s="22"/>
      <c r="JVC142" s="22"/>
      <c r="JVD142" s="22"/>
      <c r="JVE142" s="22"/>
      <c r="JVF142" s="22"/>
      <c r="JVG142" s="22"/>
      <c r="JVH142" s="22"/>
      <c r="JVI142" s="22"/>
      <c r="JVJ142" s="22"/>
      <c r="JVK142" s="22"/>
      <c r="JVL142" s="22"/>
      <c r="JVM142" s="22"/>
      <c r="JVN142" s="22"/>
      <c r="JVO142" s="22"/>
      <c r="JVP142" s="22"/>
      <c r="JVQ142" s="22"/>
      <c r="JVR142" s="22"/>
      <c r="JVS142" s="22"/>
      <c r="JVT142" s="22"/>
      <c r="JVU142" s="22"/>
      <c r="JVV142" s="22"/>
      <c r="JVW142" s="22"/>
      <c r="JVX142" s="22"/>
      <c r="JVY142" s="22"/>
      <c r="JVZ142" s="22"/>
      <c r="JWA142" s="22"/>
      <c r="JWB142" s="22"/>
      <c r="JWC142" s="22"/>
      <c r="JWD142" s="22"/>
      <c r="JWE142" s="22"/>
      <c r="JWF142" s="22"/>
      <c r="JWG142" s="22"/>
      <c r="JWH142" s="22"/>
      <c r="JWI142" s="22"/>
      <c r="JWJ142" s="22"/>
      <c r="JWK142" s="22"/>
      <c r="JWL142" s="22"/>
      <c r="JWM142" s="22"/>
      <c r="JWN142" s="22"/>
      <c r="JWO142" s="22"/>
      <c r="JWP142" s="22"/>
      <c r="JWQ142" s="22"/>
      <c r="JWR142" s="22"/>
      <c r="JWS142" s="22"/>
      <c r="JWT142" s="22"/>
      <c r="JWU142" s="22"/>
      <c r="JWV142" s="22"/>
      <c r="JWW142" s="22"/>
      <c r="JWX142" s="22"/>
      <c r="JWY142" s="22"/>
      <c r="JWZ142" s="22"/>
      <c r="JXA142" s="22"/>
      <c r="JXB142" s="22"/>
      <c r="JXC142" s="22"/>
      <c r="JXD142" s="22"/>
      <c r="JXE142" s="22"/>
      <c r="JXF142" s="22"/>
      <c r="JXG142" s="22"/>
      <c r="JXH142" s="22"/>
      <c r="JXI142" s="22"/>
      <c r="JXJ142" s="22"/>
      <c r="JXK142" s="22"/>
      <c r="JXL142" s="22"/>
      <c r="JXM142" s="22"/>
      <c r="JXN142" s="22"/>
      <c r="JXO142" s="22"/>
      <c r="JXP142" s="22"/>
      <c r="JXQ142" s="22"/>
      <c r="JXR142" s="22"/>
      <c r="JXS142" s="22"/>
      <c r="JXT142" s="22"/>
      <c r="JXU142" s="22"/>
      <c r="JXV142" s="22"/>
      <c r="JXW142" s="22"/>
      <c r="JXX142" s="22"/>
      <c r="JXY142" s="22"/>
      <c r="JXZ142" s="22"/>
      <c r="JYA142" s="22"/>
      <c r="JYB142" s="22"/>
      <c r="JYC142" s="22"/>
      <c r="JYD142" s="22"/>
      <c r="JYE142" s="22"/>
      <c r="JYF142" s="22"/>
      <c r="JYG142" s="22"/>
      <c r="JYH142" s="22"/>
      <c r="JYI142" s="22"/>
      <c r="JYJ142" s="22"/>
      <c r="JYK142" s="22"/>
      <c r="JYL142" s="22"/>
      <c r="JYM142" s="22"/>
      <c r="JYN142" s="22"/>
      <c r="JYO142" s="22"/>
      <c r="JYP142" s="22"/>
      <c r="JYQ142" s="22"/>
      <c r="JYR142" s="22"/>
      <c r="JYS142" s="22"/>
      <c r="JYT142" s="22"/>
      <c r="JYU142" s="22"/>
      <c r="JYV142" s="22"/>
      <c r="JYW142" s="22"/>
      <c r="JYX142" s="22"/>
      <c r="JYY142" s="22"/>
      <c r="JYZ142" s="22"/>
      <c r="JZA142" s="22"/>
      <c r="JZB142" s="22"/>
      <c r="JZC142" s="22"/>
      <c r="JZD142" s="22"/>
      <c r="JZE142" s="22"/>
      <c r="JZF142" s="22"/>
      <c r="JZG142" s="22"/>
      <c r="JZH142" s="22"/>
      <c r="JZI142" s="22"/>
      <c r="JZJ142" s="22"/>
      <c r="JZK142" s="22"/>
      <c r="JZL142" s="22"/>
      <c r="JZM142" s="22"/>
      <c r="JZN142" s="22"/>
      <c r="JZO142" s="22"/>
      <c r="JZP142" s="22"/>
      <c r="JZQ142" s="22"/>
      <c r="JZR142" s="22"/>
      <c r="JZS142" s="22"/>
      <c r="JZT142" s="22"/>
      <c r="JZU142" s="22"/>
      <c r="JZV142" s="22"/>
      <c r="JZW142" s="22"/>
      <c r="JZX142" s="22"/>
      <c r="JZY142" s="22"/>
      <c r="JZZ142" s="22"/>
      <c r="KAA142" s="22"/>
      <c r="KAB142" s="22"/>
      <c r="KAC142" s="22"/>
      <c r="KAD142" s="22"/>
      <c r="KAE142" s="22"/>
      <c r="KAF142" s="22"/>
      <c r="KAG142" s="22"/>
      <c r="KAH142" s="22"/>
      <c r="KAI142" s="22"/>
      <c r="KAJ142" s="22"/>
      <c r="KAK142" s="22"/>
      <c r="KAL142" s="22"/>
      <c r="KAM142" s="22"/>
      <c r="KAN142" s="22"/>
      <c r="KAO142" s="22"/>
      <c r="KAP142" s="22"/>
      <c r="KAQ142" s="22"/>
      <c r="KAR142" s="22"/>
      <c r="KAS142" s="22"/>
      <c r="KAT142" s="22"/>
      <c r="KAU142" s="22"/>
      <c r="KAV142" s="22"/>
      <c r="KAW142" s="22"/>
      <c r="KAX142" s="22"/>
      <c r="KAY142" s="22"/>
      <c r="KAZ142" s="22"/>
      <c r="KBA142" s="22"/>
      <c r="KBB142" s="22"/>
      <c r="KBC142" s="22"/>
      <c r="KBD142" s="22"/>
      <c r="KBE142" s="22"/>
      <c r="KBF142" s="22"/>
      <c r="KBG142" s="22"/>
      <c r="KBH142" s="22"/>
      <c r="KBI142" s="22"/>
      <c r="KBJ142" s="22"/>
      <c r="KBK142" s="22"/>
      <c r="KBL142" s="22"/>
      <c r="KBM142" s="22"/>
      <c r="KBN142" s="22"/>
      <c r="KBO142" s="22"/>
      <c r="KBP142" s="22"/>
      <c r="KBQ142" s="22"/>
      <c r="KBR142" s="22"/>
      <c r="KBS142" s="22"/>
      <c r="KBT142" s="22"/>
      <c r="KBU142" s="22"/>
      <c r="KBV142" s="22"/>
      <c r="KBW142" s="22"/>
      <c r="KBX142" s="22"/>
      <c r="KBY142" s="22"/>
      <c r="KBZ142" s="22"/>
      <c r="KCA142" s="22"/>
      <c r="KCB142" s="22"/>
      <c r="KCC142" s="22"/>
      <c r="KCD142" s="22"/>
      <c r="KCE142" s="22"/>
      <c r="KCF142" s="22"/>
      <c r="KCG142" s="22"/>
      <c r="KCH142" s="22"/>
      <c r="KCI142" s="22"/>
      <c r="KCJ142" s="22"/>
      <c r="KCK142" s="22"/>
      <c r="KCL142" s="22"/>
      <c r="KCM142" s="22"/>
      <c r="KCN142" s="22"/>
      <c r="KCO142" s="22"/>
      <c r="KCP142" s="22"/>
      <c r="KCQ142" s="22"/>
      <c r="KCR142" s="22"/>
      <c r="KCS142" s="22"/>
      <c r="KCT142" s="22"/>
      <c r="KCU142" s="22"/>
      <c r="KCV142" s="22"/>
      <c r="KCW142" s="22"/>
      <c r="KCX142" s="22"/>
      <c r="KCY142" s="22"/>
      <c r="KCZ142" s="22"/>
      <c r="KDA142" s="22"/>
      <c r="KDB142" s="22"/>
      <c r="KDC142" s="22"/>
      <c r="KDD142" s="22"/>
      <c r="KDE142" s="22"/>
      <c r="KDF142" s="22"/>
      <c r="KDG142" s="22"/>
      <c r="KDH142" s="22"/>
      <c r="KDI142" s="22"/>
      <c r="KDJ142" s="22"/>
      <c r="KDK142" s="22"/>
      <c r="KDL142" s="22"/>
      <c r="KDM142" s="22"/>
      <c r="KDN142" s="22"/>
      <c r="KDO142" s="22"/>
      <c r="KDP142" s="22"/>
      <c r="KDQ142" s="22"/>
      <c r="KDR142" s="22"/>
      <c r="KDS142" s="22"/>
      <c r="KDT142" s="22"/>
      <c r="KDU142" s="22"/>
      <c r="KDV142" s="22"/>
      <c r="KDW142" s="22"/>
      <c r="KDX142" s="22"/>
      <c r="KDY142" s="22"/>
      <c r="KDZ142" s="22"/>
      <c r="KEA142" s="22"/>
      <c r="KEB142" s="22"/>
      <c r="KEC142" s="22"/>
      <c r="KED142" s="22"/>
      <c r="KEE142" s="22"/>
      <c r="KEF142" s="22"/>
      <c r="KEG142" s="22"/>
      <c r="KEH142" s="22"/>
      <c r="KEI142" s="22"/>
      <c r="KEJ142" s="22"/>
      <c r="KEK142" s="22"/>
      <c r="KEL142" s="22"/>
      <c r="KEM142" s="22"/>
      <c r="KEN142" s="22"/>
      <c r="KEO142" s="22"/>
      <c r="KEP142" s="22"/>
      <c r="KEQ142" s="22"/>
      <c r="KER142" s="22"/>
      <c r="KES142" s="22"/>
      <c r="KET142" s="22"/>
      <c r="KEU142" s="22"/>
      <c r="KEV142" s="22"/>
      <c r="KEW142" s="22"/>
      <c r="KEX142" s="22"/>
      <c r="KEY142" s="22"/>
      <c r="KEZ142" s="22"/>
      <c r="KFA142" s="22"/>
      <c r="KFB142" s="22"/>
      <c r="KFC142" s="22"/>
      <c r="KFD142" s="22"/>
      <c r="KFE142" s="22"/>
      <c r="KFF142" s="22"/>
      <c r="KFG142" s="22"/>
      <c r="KFH142" s="22"/>
      <c r="KFI142" s="22"/>
      <c r="KFJ142" s="22"/>
      <c r="KFK142" s="22"/>
      <c r="KFL142" s="22"/>
      <c r="KFM142" s="22"/>
      <c r="KFN142" s="22"/>
      <c r="KFO142" s="22"/>
      <c r="KFP142" s="22"/>
      <c r="KFQ142" s="22"/>
      <c r="KFR142" s="22"/>
      <c r="KFS142" s="22"/>
      <c r="KFT142" s="22"/>
      <c r="KFU142" s="22"/>
      <c r="KFV142" s="22"/>
      <c r="KFW142" s="22"/>
      <c r="KFX142" s="22"/>
      <c r="KFY142" s="22"/>
      <c r="KFZ142" s="22"/>
      <c r="KGA142" s="22"/>
      <c r="KGB142" s="22"/>
      <c r="KGC142" s="22"/>
      <c r="KGD142" s="22"/>
      <c r="KGE142" s="22"/>
      <c r="KGF142" s="22"/>
      <c r="KGG142" s="22"/>
      <c r="KGH142" s="22"/>
      <c r="KGI142" s="22"/>
      <c r="KGJ142" s="22"/>
      <c r="KGK142" s="22"/>
      <c r="KGL142" s="22"/>
      <c r="KGM142" s="22"/>
      <c r="KGN142" s="22"/>
      <c r="KGO142" s="22"/>
      <c r="KGP142" s="22"/>
      <c r="KGQ142" s="22"/>
      <c r="KGR142" s="22"/>
      <c r="KGS142" s="22"/>
      <c r="KGT142" s="22"/>
      <c r="KGU142" s="22"/>
      <c r="KGV142" s="22"/>
      <c r="KGW142" s="22"/>
      <c r="KGX142" s="22"/>
      <c r="KGY142" s="22"/>
      <c r="KGZ142" s="22"/>
      <c r="KHA142" s="22"/>
      <c r="KHB142" s="22"/>
      <c r="KHC142" s="22"/>
      <c r="KHD142" s="22"/>
      <c r="KHE142" s="22"/>
      <c r="KHF142" s="22"/>
      <c r="KHG142" s="22"/>
      <c r="KHH142" s="22"/>
      <c r="KHI142" s="22"/>
      <c r="KHJ142" s="22"/>
      <c r="KHK142" s="22"/>
      <c r="KHL142" s="22"/>
      <c r="KHM142" s="22"/>
      <c r="KHN142" s="22"/>
      <c r="KHO142" s="22"/>
      <c r="KHP142" s="22"/>
      <c r="KHQ142" s="22"/>
      <c r="KHR142" s="22"/>
      <c r="KHS142" s="22"/>
      <c r="KHT142" s="22"/>
      <c r="KHU142" s="22"/>
      <c r="KHV142" s="22"/>
      <c r="KHW142" s="22"/>
      <c r="KHX142" s="22"/>
      <c r="KHY142" s="22"/>
      <c r="KHZ142" s="22"/>
      <c r="KIA142" s="22"/>
      <c r="KIB142" s="22"/>
      <c r="KIC142" s="22"/>
      <c r="KID142" s="22"/>
      <c r="KIE142" s="22"/>
      <c r="KIF142" s="22"/>
      <c r="KIG142" s="22"/>
      <c r="KIH142" s="22"/>
      <c r="KII142" s="22"/>
      <c r="KIJ142" s="22"/>
      <c r="KIK142" s="22"/>
      <c r="KIL142" s="22"/>
      <c r="KIM142" s="22"/>
      <c r="KIN142" s="22"/>
      <c r="KIO142" s="22"/>
      <c r="KIP142" s="22"/>
      <c r="KIQ142" s="22"/>
      <c r="KIR142" s="22"/>
      <c r="KIS142" s="22"/>
      <c r="KIT142" s="22"/>
      <c r="KIU142" s="22"/>
      <c r="KIV142" s="22"/>
      <c r="KIW142" s="22"/>
      <c r="KIX142" s="22"/>
      <c r="KIY142" s="22"/>
      <c r="KIZ142" s="22"/>
      <c r="KJA142" s="22"/>
      <c r="KJB142" s="22"/>
      <c r="KJC142" s="22"/>
      <c r="KJD142" s="22"/>
      <c r="KJE142" s="22"/>
      <c r="KJF142" s="22"/>
      <c r="KJG142" s="22"/>
      <c r="KJH142" s="22"/>
      <c r="KJI142" s="22"/>
      <c r="KJJ142" s="22"/>
      <c r="KJK142" s="22"/>
      <c r="KJL142" s="22"/>
      <c r="KJM142" s="22"/>
      <c r="KJN142" s="22"/>
      <c r="KJO142" s="22"/>
      <c r="KJP142" s="22"/>
      <c r="KJQ142" s="22"/>
      <c r="KJR142" s="22"/>
      <c r="KJS142" s="22"/>
      <c r="KJT142" s="22"/>
      <c r="KJU142" s="22"/>
      <c r="KJV142" s="22"/>
      <c r="KJW142" s="22"/>
      <c r="KJX142" s="22"/>
      <c r="KJY142" s="22"/>
      <c r="KJZ142" s="22"/>
      <c r="KKA142" s="22"/>
      <c r="KKB142" s="22"/>
      <c r="KKC142" s="22"/>
      <c r="KKD142" s="22"/>
      <c r="KKE142" s="22"/>
      <c r="KKF142" s="22"/>
      <c r="KKG142" s="22"/>
      <c r="KKH142" s="22"/>
      <c r="KKI142" s="22"/>
      <c r="KKJ142" s="22"/>
      <c r="KKK142" s="22"/>
      <c r="KKL142" s="22"/>
      <c r="KKM142" s="22"/>
      <c r="KKN142" s="22"/>
      <c r="KKO142" s="22"/>
      <c r="KKP142" s="22"/>
      <c r="KKQ142" s="22"/>
      <c r="KKR142" s="22"/>
      <c r="KKS142" s="22"/>
      <c r="KKT142" s="22"/>
      <c r="KKU142" s="22"/>
      <c r="KKV142" s="22"/>
      <c r="KKW142" s="22"/>
      <c r="KKX142" s="22"/>
      <c r="KKY142" s="22"/>
      <c r="KKZ142" s="22"/>
      <c r="KLA142" s="22"/>
      <c r="KLB142" s="22"/>
      <c r="KLC142" s="22"/>
      <c r="KLD142" s="22"/>
      <c r="KLE142" s="22"/>
      <c r="KLF142" s="22"/>
      <c r="KLG142" s="22"/>
      <c r="KLH142" s="22"/>
      <c r="KLI142" s="22"/>
      <c r="KLJ142" s="22"/>
      <c r="KLK142" s="22"/>
      <c r="KLL142" s="22"/>
      <c r="KLM142" s="22"/>
      <c r="KLN142" s="22"/>
      <c r="KLO142" s="22"/>
      <c r="KLP142" s="22"/>
      <c r="KLQ142" s="22"/>
      <c r="KLR142" s="22"/>
      <c r="KLS142" s="22"/>
      <c r="KLT142" s="22"/>
      <c r="KLU142" s="22"/>
      <c r="KLV142" s="22"/>
      <c r="KLW142" s="22"/>
      <c r="KLX142" s="22"/>
      <c r="KLY142" s="22"/>
      <c r="KLZ142" s="22"/>
      <c r="KMA142" s="22"/>
      <c r="KMB142" s="22"/>
      <c r="KMC142" s="22"/>
      <c r="KMD142" s="22"/>
      <c r="KME142" s="22"/>
      <c r="KMF142" s="22"/>
      <c r="KMG142" s="22"/>
      <c r="KMH142" s="22"/>
      <c r="KMI142" s="22"/>
      <c r="KMJ142" s="22"/>
      <c r="KMK142" s="22"/>
      <c r="KML142" s="22"/>
      <c r="KMM142" s="22"/>
      <c r="KMN142" s="22"/>
      <c r="KMO142" s="22"/>
      <c r="KMP142" s="22"/>
      <c r="KMQ142" s="22"/>
      <c r="KMR142" s="22"/>
      <c r="KMS142" s="22"/>
      <c r="KMT142" s="22"/>
      <c r="KMU142" s="22"/>
      <c r="KMV142" s="22"/>
      <c r="KMW142" s="22"/>
      <c r="KMX142" s="22"/>
      <c r="KMY142" s="22"/>
      <c r="KMZ142" s="22"/>
      <c r="KNA142" s="22"/>
      <c r="KNB142" s="22"/>
      <c r="KNC142" s="22"/>
      <c r="KND142" s="22"/>
      <c r="KNE142" s="22"/>
      <c r="KNF142" s="22"/>
      <c r="KNG142" s="22"/>
      <c r="KNH142" s="22"/>
      <c r="KNI142" s="22"/>
      <c r="KNJ142" s="22"/>
      <c r="KNK142" s="22"/>
      <c r="KNL142" s="22"/>
      <c r="KNM142" s="22"/>
      <c r="KNN142" s="22"/>
      <c r="KNO142" s="22"/>
      <c r="KNP142" s="22"/>
      <c r="KNQ142" s="22"/>
      <c r="KNR142" s="22"/>
      <c r="KNS142" s="22"/>
      <c r="KNT142" s="22"/>
      <c r="KNU142" s="22"/>
      <c r="KNV142" s="22"/>
      <c r="KNW142" s="22"/>
      <c r="KNX142" s="22"/>
      <c r="KNY142" s="22"/>
      <c r="KNZ142" s="22"/>
      <c r="KOA142" s="22"/>
      <c r="KOB142" s="22"/>
      <c r="KOC142" s="22"/>
      <c r="KOD142" s="22"/>
      <c r="KOE142" s="22"/>
      <c r="KOF142" s="22"/>
      <c r="KOG142" s="22"/>
      <c r="KOH142" s="22"/>
      <c r="KOI142" s="22"/>
      <c r="KOJ142" s="22"/>
      <c r="KOK142" s="22"/>
      <c r="KOL142" s="22"/>
      <c r="KOM142" s="22"/>
      <c r="KON142" s="22"/>
      <c r="KOO142" s="22"/>
      <c r="KOP142" s="22"/>
      <c r="KOQ142" s="22"/>
      <c r="KOR142" s="22"/>
      <c r="KOS142" s="22"/>
      <c r="KOT142" s="22"/>
      <c r="KOU142" s="22"/>
      <c r="KOV142" s="22"/>
      <c r="KOW142" s="22"/>
      <c r="KOX142" s="22"/>
      <c r="KOY142" s="22"/>
      <c r="KOZ142" s="22"/>
      <c r="KPA142" s="22"/>
      <c r="KPB142" s="22"/>
      <c r="KPC142" s="22"/>
      <c r="KPD142" s="22"/>
      <c r="KPE142" s="22"/>
      <c r="KPF142" s="22"/>
      <c r="KPG142" s="22"/>
      <c r="KPH142" s="22"/>
      <c r="KPI142" s="22"/>
      <c r="KPJ142" s="22"/>
      <c r="KPK142" s="22"/>
      <c r="KPL142" s="22"/>
      <c r="KPM142" s="22"/>
      <c r="KPN142" s="22"/>
      <c r="KPO142" s="22"/>
      <c r="KPP142" s="22"/>
      <c r="KPQ142" s="22"/>
      <c r="KPR142" s="22"/>
      <c r="KPS142" s="22"/>
      <c r="KPT142" s="22"/>
      <c r="KPU142" s="22"/>
      <c r="KPV142" s="22"/>
      <c r="KPW142" s="22"/>
      <c r="KPX142" s="22"/>
      <c r="KPY142" s="22"/>
      <c r="KPZ142" s="22"/>
      <c r="KQA142" s="22"/>
      <c r="KQB142" s="22"/>
      <c r="KQC142" s="22"/>
      <c r="KQD142" s="22"/>
      <c r="KQE142" s="22"/>
      <c r="KQF142" s="22"/>
      <c r="KQG142" s="22"/>
      <c r="KQH142" s="22"/>
      <c r="KQI142" s="22"/>
      <c r="KQJ142" s="22"/>
      <c r="KQK142" s="22"/>
      <c r="KQL142" s="22"/>
      <c r="KQM142" s="22"/>
      <c r="KQN142" s="22"/>
      <c r="KQO142" s="22"/>
      <c r="KQP142" s="22"/>
      <c r="KQQ142" s="22"/>
      <c r="KQR142" s="22"/>
      <c r="KQS142" s="22"/>
      <c r="KQT142" s="22"/>
      <c r="KQU142" s="22"/>
      <c r="KQV142" s="22"/>
      <c r="KQW142" s="22"/>
      <c r="KQX142" s="22"/>
      <c r="KQY142" s="22"/>
      <c r="KQZ142" s="22"/>
      <c r="KRA142" s="22"/>
      <c r="KRB142" s="22"/>
      <c r="KRC142" s="22"/>
      <c r="KRD142" s="22"/>
      <c r="KRE142" s="22"/>
      <c r="KRF142" s="22"/>
      <c r="KRG142" s="22"/>
      <c r="KRH142" s="22"/>
      <c r="KRI142" s="22"/>
      <c r="KRJ142" s="22"/>
      <c r="KRK142" s="22"/>
      <c r="KRL142" s="22"/>
      <c r="KRM142" s="22"/>
      <c r="KRN142" s="22"/>
      <c r="KRO142" s="22"/>
      <c r="KRP142" s="22"/>
      <c r="KRQ142" s="22"/>
      <c r="KRR142" s="22"/>
      <c r="KRS142" s="22"/>
      <c r="KRT142" s="22"/>
      <c r="KRU142" s="22"/>
      <c r="KRV142" s="22"/>
      <c r="KRW142" s="22"/>
      <c r="KRX142" s="22"/>
      <c r="KRY142" s="22"/>
      <c r="KRZ142" s="22"/>
      <c r="KSA142" s="22"/>
      <c r="KSB142" s="22"/>
      <c r="KSC142" s="22"/>
      <c r="KSD142" s="22"/>
      <c r="KSE142" s="22"/>
      <c r="KSF142" s="22"/>
      <c r="KSG142" s="22"/>
      <c r="KSH142" s="22"/>
      <c r="KSI142" s="22"/>
      <c r="KSJ142" s="22"/>
      <c r="KSK142" s="22"/>
      <c r="KSL142" s="22"/>
      <c r="KSM142" s="22"/>
      <c r="KSN142" s="22"/>
      <c r="KSO142" s="22"/>
      <c r="KSP142" s="22"/>
      <c r="KSQ142" s="22"/>
      <c r="KSR142" s="22"/>
      <c r="KSS142" s="22"/>
      <c r="KST142" s="22"/>
      <c r="KSU142" s="22"/>
      <c r="KSV142" s="22"/>
      <c r="KSW142" s="22"/>
      <c r="KSX142" s="22"/>
      <c r="KSY142" s="22"/>
      <c r="KSZ142" s="22"/>
      <c r="KTA142" s="22"/>
      <c r="KTB142" s="22"/>
      <c r="KTC142" s="22"/>
      <c r="KTD142" s="22"/>
      <c r="KTE142" s="22"/>
      <c r="KTF142" s="22"/>
      <c r="KTG142" s="22"/>
      <c r="KTH142" s="22"/>
      <c r="KTI142" s="22"/>
      <c r="KTJ142" s="22"/>
      <c r="KTK142" s="22"/>
      <c r="KTL142" s="22"/>
      <c r="KTM142" s="22"/>
      <c r="KTN142" s="22"/>
      <c r="KTO142" s="22"/>
      <c r="KTP142" s="22"/>
      <c r="KTQ142" s="22"/>
      <c r="KTR142" s="22"/>
      <c r="KTS142" s="22"/>
      <c r="KTT142" s="22"/>
      <c r="KTU142" s="22"/>
      <c r="KTV142" s="22"/>
      <c r="KTW142" s="22"/>
      <c r="KTX142" s="22"/>
      <c r="KTY142" s="22"/>
      <c r="KTZ142" s="22"/>
      <c r="KUA142" s="22"/>
      <c r="KUB142" s="22"/>
      <c r="KUC142" s="22"/>
      <c r="KUD142" s="22"/>
      <c r="KUE142" s="22"/>
      <c r="KUF142" s="22"/>
      <c r="KUG142" s="22"/>
      <c r="KUH142" s="22"/>
      <c r="KUI142" s="22"/>
      <c r="KUJ142" s="22"/>
      <c r="KUK142" s="22"/>
      <c r="KUL142" s="22"/>
      <c r="KUM142" s="22"/>
      <c r="KUN142" s="22"/>
      <c r="KUO142" s="22"/>
      <c r="KUP142" s="22"/>
      <c r="KUQ142" s="22"/>
      <c r="KUR142" s="22"/>
      <c r="KUS142" s="22"/>
      <c r="KUT142" s="22"/>
      <c r="KUU142" s="22"/>
      <c r="KUV142" s="22"/>
      <c r="KUW142" s="22"/>
      <c r="KUX142" s="22"/>
      <c r="KUY142" s="22"/>
      <c r="KUZ142" s="22"/>
      <c r="KVA142" s="22"/>
      <c r="KVB142" s="22"/>
      <c r="KVC142" s="22"/>
      <c r="KVD142" s="22"/>
      <c r="KVE142" s="22"/>
      <c r="KVF142" s="22"/>
      <c r="KVG142" s="22"/>
      <c r="KVH142" s="22"/>
      <c r="KVI142" s="22"/>
      <c r="KVJ142" s="22"/>
      <c r="KVK142" s="22"/>
      <c r="KVL142" s="22"/>
      <c r="KVM142" s="22"/>
      <c r="KVN142" s="22"/>
      <c r="KVO142" s="22"/>
      <c r="KVP142" s="22"/>
      <c r="KVQ142" s="22"/>
      <c r="KVR142" s="22"/>
      <c r="KVS142" s="22"/>
      <c r="KVT142" s="22"/>
      <c r="KVU142" s="22"/>
      <c r="KVV142" s="22"/>
      <c r="KVW142" s="22"/>
      <c r="KVX142" s="22"/>
      <c r="KVY142" s="22"/>
      <c r="KVZ142" s="22"/>
      <c r="KWA142" s="22"/>
      <c r="KWB142" s="22"/>
      <c r="KWC142" s="22"/>
      <c r="KWD142" s="22"/>
      <c r="KWE142" s="22"/>
      <c r="KWF142" s="22"/>
      <c r="KWG142" s="22"/>
      <c r="KWH142" s="22"/>
      <c r="KWI142" s="22"/>
      <c r="KWJ142" s="22"/>
      <c r="KWK142" s="22"/>
      <c r="KWL142" s="22"/>
      <c r="KWM142" s="22"/>
      <c r="KWN142" s="22"/>
      <c r="KWO142" s="22"/>
      <c r="KWP142" s="22"/>
      <c r="KWQ142" s="22"/>
      <c r="KWR142" s="22"/>
      <c r="KWS142" s="22"/>
      <c r="KWT142" s="22"/>
      <c r="KWU142" s="22"/>
      <c r="KWV142" s="22"/>
      <c r="KWW142" s="22"/>
      <c r="KWX142" s="22"/>
      <c r="KWY142" s="22"/>
      <c r="KWZ142" s="22"/>
      <c r="KXA142" s="22"/>
      <c r="KXB142" s="22"/>
      <c r="KXC142" s="22"/>
      <c r="KXD142" s="22"/>
      <c r="KXE142" s="22"/>
      <c r="KXF142" s="22"/>
      <c r="KXG142" s="22"/>
      <c r="KXH142" s="22"/>
      <c r="KXI142" s="22"/>
      <c r="KXJ142" s="22"/>
      <c r="KXK142" s="22"/>
      <c r="KXL142" s="22"/>
      <c r="KXM142" s="22"/>
      <c r="KXN142" s="22"/>
      <c r="KXO142" s="22"/>
      <c r="KXP142" s="22"/>
      <c r="KXQ142" s="22"/>
      <c r="KXR142" s="22"/>
      <c r="KXS142" s="22"/>
      <c r="KXT142" s="22"/>
      <c r="KXU142" s="22"/>
      <c r="KXV142" s="22"/>
      <c r="KXW142" s="22"/>
      <c r="KXX142" s="22"/>
      <c r="KXY142" s="22"/>
      <c r="KXZ142" s="22"/>
      <c r="KYA142" s="22"/>
      <c r="KYB142" s="22"/>
      <c r="KYC142" s="22"/>
      <c r="KYD142" s="22"/>
      <c r="KYE142" s="22"/>
      <c r="KYF142" s="22"/>
      <c r="KYG142" s="22"/>
      <c r="KYH142" s="22"/>
      <c r="KYI142" s="22"/>
      <c r="KYJ142" s="22"/>
      <c r="KYK142" s="22"/>
      <c r="KYL142" s="22"/>
      <c r="KYM142" s="22"/>
      <c r="KYN142" s="22"/>
      <c r="KYO142" s="22"/>
      <c r="KYP142" s="22"/>
      <c r="KYQ142" s="22"/>
      <c r="KYR142" s="22"/>
      <c r="KYS142" s="22"/>
      <c r="KYT142" s="22"/>
      <c r="KYU142" s="22"/>
      <c r="KYV142" s="22"/>
      <c r="KYW142" s="22"/>
      <c r="KYX142" s="22"/>
      <c r="KYY142" s="22"/>
      <c r="KYZ142" s="22"/>
      <c r="KZA142" s="22"/>
      <c r="KZB142" s="22"/>
      <c r="KZC142" s="22"/>
      <c r="KZD142" s="22"/>
      <c r="KZE142" s="22"/>
      <c r="KZF142" s="22"/>
      <c r="KZG142" s="22"/>
      <c r="KZH142" s="22"/>
      <c r="KZI142" s="22"/>
      <c r="KZJ142" s="22"/>
      <c r="KZK142" s="22"/>
      <c r="KZL142" s="22"/>
      <c r="KZM142" s="22"/>
      <c r="KZN142" s="22"/>
      <c r="KZO142" s="22"/>
      <c r="KZP142" s="22"/>
      <c r="KZQ142" s="22"/>
      <c r="KZR142" s="22"/>
      <c r="KZS142" s="22"/>
      <c r="KZT142" s="22"/>
      <c r="KZU142" s="22"/>
      <c r="KZV142" s="22"/>
      <c r="KZW142" s="22"/>
      <c r="KZX142" s="22"/>
      <c r="KZY142" s="22"/>
      <c r="KZZ142" s="22"/>
      <c r="LAA142" s="22"/>
      <c r="LAB142" s="22"/>
      <c r="LAC142" s="22"/>
      <c r="LAD142" s="22"/>
      <c r="LAE142" s="22"/>
      <c r="LAF142" s="22"/>
      <c r="LAG142" s="22"/>
      <c r="LAH142" s="22"/>
      <c r="LAI142" s="22"/>
      <c r="LAJ142" s="22"/>
      <c r="LAK142" s="22"/>
      <c r="LAL142" s="22"/>
      <c r="LAM142" s="22"/>
      <c r="LAN142" s="22"/>
      <c r="LAO142" s="22"/>
      <c r="LAP142" s="22"/>
      <c r="LAQ142" s="22"/>
      <c r="LAR142" s="22"/>
      <c r="LAS142" s="22"/>
      <c r="LAT142" s="22"/>
      <c r="LAU142" s="22"/>
      <c r="LAV142" s="22"/>
      <c r="LAW142" s="22"/>
      <c r="LAX142" s="22"/>
      <c r="LAY142" s="22"/>
      <c r="LAZ142" s="22"/>
      <c r="LBA142" s="22"/>
      <c r="LBB142" s="22"/>
      <c r="LBC142" s="22"/>
      <c r="LBD142" s="22"/>
      <c r="LBE142" s="22"/>
      <c r="LBF142" s="22"/>
      <c r="LBG142" s="22"/>
      <c r="LBH142" s="22"/>
      <c r="LBI142" s="22"/>
      <c r="LBJ142" s="22"/>
      <c r="LBK142" s="22"/>
      <c r="LBL142" s="22"/>
      <c r="LBM142" s="22"/>
      <c r="LBN142" s="22"/>
      <c r="LBO142" s="22"/>
      <c r="LBP142" s="22"/>
      <c r="LBQ142" s="22"/>
      <c r="LBR142" s="22"/>
      <c r="LBS142" s="22"/>
      <c r="LBT142" s="22"/>
      <c r="LBU142" s="22"/>
      <c r="LBV142" s="22"/>
      <c r="LBW142" s="22"/>
      <c r="LBX142" s="22"/>
      <c r="LBY142" s="22"/>
      <c r="LBZ142" s="22"/>
      <c r="LCA142" s="22"/>
      <c r="LCB142" s="22"/>
      <c r="LCC142" s="22"/>
      <c r="LCD142" s="22"/>
      <c r="LCE142" s="22"/>
      <c r="LCF142" s="22"/>
      <c r="LCG142" s="22"/>
      <c r="LCH142" s="22"/>
      <c r="LCI142" s="22"/>
      <c r="LCJ142" s="22"/>
      <c r="LCK142" s="22"/>
      <c r="LCL142" s="22"/>
      <c r="LCM142" s="22"/>
      <c r="LCN142" s="22"/>
      <c r="LCO142" s="22"/>
      <c r="LCP142" s="22"/>
      <c r="LCQ142" s="22"/>
      <c r="LCR142" s="22"/>
      <c r="LCS142" s="22"/>
      <c r="LCT142" s="22"/>
      <c r="LCU142" s="22"/>
      <c r="LCV142" s="22"/>
      <c r="LCW142" s="22"/>
      <c r="LCX142" s="22"/>
      <c r="LCY142" s="22"/>
      <c r="LCZ142" s="22"/>
      <c r="LDA142" s="22"/>
      <c r="LDB142" s="22"/>
      <c r="LDC142" s="22"/>
      <c r="LDD142" s="22"/>
      <c r="LDE142" s="22"/>
      <c r="LDF142" s="22"/>
      <c r="LDG142" s="22"/>
      <c r="LDH142" s="22"/>
      <c r="LDI142" s="22"/>
      <c r="LDJ142" s="22"/>
      <c r="LDK142" s="22"/>
      <c r="LDL142" s="22"/>
      <c r="LDM142" s="22"/>
      <c r="LDN142" s="22"/>
      <c r="LDO142" s="22"/>
      <c r="LDP142" s="22"/>
      <c r="LDQ142" s="22"/>
      <c r="LDR142" s="22"/>
      <c r="LDS142" s="22"/>
      <c r="LDT142" s="22"/>
      <c r="LDU142" s="22"/>
      <c r="LDV142" s="22"/>
      <c r="LDW142" s="22"/>
      <c r="LDX142" s="22"/>
      <c r="LDY142" s="22"/>
      <c r="LDZ142" s="22"/>
      <c r="LEA142" s="22"/>
      <c r="LEB142" s="22"/>
      <c r="LEC142" s="22"/>
      <c r="LED142" s="22"/>
      <c r="LEE142" s="22"/>
      <c r="LEF142" s="22"/>
      <c r="LEG142" s="22"/>
      <c r="LEH142" s="22"/>
      <c r="LEI142" s="22"/>
      <c r="LEJ142" s="22"/>
      <c r="LEK142" s="22"/>
      <c r="LEL142" s="22"/>
      <c r="LEM142" s="22"/>
      <c r="LEN142" s="22"/>
      <c r="LEO142" s="22"/>
      <c r="LEP142" s="22"/>
      <c r="LEQ142" s="22"/>
      <c r="LER142" s="22"/>
      <c r="LES142" s="22"/>
      <c r="LET142" s="22"/>
      <c r="LEU142" s="22"/>
      <c r="LEV142" s="22"/>
      <c r="LEW142" s="22"/>
      <c r="LEX142" s="22"/>
      <c r="LEY142" s="22"/>
      <c r="LEZ142" s="22"/>
      <c r="LFA142" s="22"/>
      <c r="LFB142" s="22"/>
      <c r="LFC142" s="22"/>
      <c r="LFD142" s="22"/>
      <c r="LFE142" s="22"/>
      <c r="LFF142" s="22"/>
      <c r="LFG142" s="22"/>
      <c r="LFH142" s="22"/>
      <c r="LFI142" s="22"/>
      <c r="LFJ142" s="22"/>
      <c r="LFK142" s="22"/>
      <c r="LFL142" s="22"/>
      <c r="LFM142" s="22"/>
      <c r="LFN142" s="22"/>
      <c r="LFO142" s="22"/>
      <c r="LFP142" s="22"/>
      <c r="LFQ142" s="22"/>
      <c r="LFR142" s="22"/>
      <c r="LFS142" s="22"/>
      <c r="LFT142" s="22"/>
      <c r="LFU142" s="22"/>
      <c r="LFV142" s="22"/>
      <c r="LFW142" s="22"/>
      <c r="LFX142" s="22"/>
      <c r="LFY142" s="22"/>
      <c r="LFZ142" s="22"/>
      <c r="LGA142" s="22"/>
      <c r="LGB142" s="22"/>
      <c r="LGC142" s="22"/>
      <c r="LGD142" s="22"/>
      <c r="LGE142" s="22"/>
      <c r="LGF142" s="22"/>
      <c r="LGG142" s="22"/>
      <c r="LGH142" s="22"/>
      <c r="LGI142" s="22"/>
      <c r="LGJ142" s="22"/>
      <c r="LGK142" s="22"/>
      <c r="LGL142" s="22"/>
      <c r="LGM142" s="22"/>
      <c r="LGN142" s="22"/>
      <c r="LGO142" s="22"/>
      <c r="LGP142" s="22"/>
      <c r="LGQ142" s="22"/>
      <c r="LGR142" s="22"/>
      <c r="LGS142" s="22"/>
      <c r="LGT142" s="22"/>
      <c r="LGU142" s="22"/>
      <c r="LGV142" s="22"/>
      <c r="LGW142" s="22"/>
      <c r="LGX142" s="22"/>
      <c r="LGY142" s="22"/>
      <c r="LGZ142" s="22"/>
      <c r="LHA142" s="22"/>
      <c r="LHB142" s="22"/>
      <c r="LHC142" s="22"/>
      <c r="LHD142" s="22"/>
      <c r="LHE142" s="22"/>
      <c r="LHF142" s="22"/>
      <c r="LHG142" s="22"/>
      <c r="LHH142" s="22"/>
      <c r="LHI142" s="22"/>
      <c r="LHJ142" s="22"/>
      <c r="LHK142" s="22"/>
      <c r="LHL142" s="22"/>
      <c r="LHM142" s="22"/>
      <c r="LHN142" s="22"/>
      <c r="LHO142" s="22"/>
      <c r="LHP142" s="22"/>
      <c r="LHQ142" s="22"/>
      <c r="LHR142" s="22"/>
      <c r="LHS142" s="22"/>
      <c r="LHT142" s="22"/>
      <c r="LHU142" s="22"/>
      <c r="LHV142" s="22"/>
      <c r="LHW142" s="22"/>
      <c r="LHX142" s="22"/>
      <c r="LHY142" s="22"/>
      <c r="LHZ142" s="22"/>
      <c r="LIA142" s="22"/>
      <c r="LIB142" s="22"/>
      <c r="LIC142" s="22"/>
      <c r="LID142" s="22"/>
      <c r="LIE142" s="22"/>
      <c r="LIF142" s="22"/>
      <c r="LIG142" s="22"/>
      <c r="LIH142" s="22"/>
      <c r="LII142" s="22"/>
      <c r="LIJ142" s="22"/>
      <c r="LIK142" s="22"/>
      <c r="LIL142" s="22"/>
      <c r="LIM142" s="22"/>
      <c r="LIN142" s="22"/>
      <c r="LIO142" s="22"/>
      <c r="LIP142" s="22"/>
      <c r="LIQ142" s="22"/>
      <c r="LIR142" s="22"/>
      <c r="LIS142" s="22"/>
      <c r="LIT142" s="22"/>
      <c r="LIU142" s="22"/>
      <c r="LIV142" s="22"/>
      <c r="LIW142" s="22"/>
      <c r="LIX142" s="22"/>
      <c r="LIY142" s="22"/>
      <c r="LIZ142" s="22"/>
      <c r="LJA142" s="22"/>
      <c r="LJB142" s="22"/>
      <c r="LJC142" s="22"/>
      <c r="LJD142" s="22"/>
      <c r="LJE142" s="22"/>
      <c r="LJF142" s="22"/>
      <c r="LJG142" s="22"/>
      <c r="LJH142" s="22"/>
      <c r="LJI142" s="22"/>
      <c r="LJJ142" s="22"/>
      <c r="LJK142" s="22"/>
      <c r="LJL142" s="22"/>
      <c r="LJM142" s="22"/>
      <c r="LJN142" s="22"/>
      <c r="LJO142" s="22"/>
      <c r="LJP142" s="22"/>
      <c r="LJQ142" s="22"/>
      <c r="LJR142" s="22"/>
      <c r="LJS142" s="22"/>
      <c r="LJT142" s="22"/>
      <c r="LJU142" s="22"/>
      <c r="LJV142" s="22"/>
      <c r="LJW142" s="22"/>
      <c r="LJX142" s="22"/>
      <c r="LJY142" s="22"/>
      <c r="LJZ142" s="22"/>
      <c r="LKA142" s="22"/>
      <c r="LKB142" s="22"/>
      <c r="LKC142" s="22"/>
      <c r="LKD142" s="22"/>
      <c r="LKE142" s="22"/>
      <c r="LKF142" s="22"/>
      <c r="LKG142" s="22"/>
      <c r="LKH142" s="22"/>
      <c r="LKI142" s="22"/>
      <c r="LKJ142" s="22"/>
      <c r="LKK142" s="22"/>
      <c r="LKL142" s="22"/>
      <c r="LKM142" s="22"/>
      <c r="LKN142" s="22"/>
      <c r="LKO142" s="22"/>
      <c r="LKP142" s="22"/>
      <c r="LKQ142" s="22"/>
      <c r="LKR142" s="22"/>
      <c r="LKS142" s="22"/>
      <c r="LKT142" s="22"/>
      <c r="LKU142" s="22"/>
      <c r="LKV142" s="22"/>
      <c r="LKW142" s="22"/>
      <c r="LKX142" s="22"/>
      <c r="LKY142" s="22"/>
      <c r="LKZ142" s="22"/>
      <c r="LLA142" s="22"/>
      <c r="LLB142" s="22"/>
      <c r="LLC142" s="22"/>
      <c r="LLD142" s="22"/>
      <c r="LLE142" s="22"/>
      <c r="LLF142" s="22"/>
      <c r="LLG142" s="22"/>
      <c r="LLH142" s="22"/>
      <c r="LLI142" s="22"/>
      <c r="LLJ142" s="22"/>
      <c r="LLK142" s="22"/>
      <c r="LLL142" s="22"/>
      <c r="LLM142" s="22"/>
      <c r="LLN142" s="22"/>
      <c r="LLO142" s="22"/>
      <c r="LLP142" s="22"/>
      <c r="LLQ142" s="22"/>
      <c r="LLR142" s="22"/>
      <c r="LLS142" s="22"/>
      <c r="LLT142" s="22"/>
      <c r="LLU142" s="22"/>
      <c r="LLV142" s="22"/>
      <c r="LLW142" s="22"/>
      <c r="LLX142" s="22"/>
      <c r="LLY142" s="22"/>
      <c r="LLZ142" s="22"/>
      <c r="LMA142" s="22"/>
      <c r="LMB142" s="22"/>
      <c r="LMC142" s="22"/>
      <c r="LMD142" s="22"/>
      <c r="LME142" s="22"/>
      <c r="LMF142" s="22"/>
      <c r="LMG142" s="22"/>
      <c r="LMH142" s="22"/>
      <c r="LMI142" s="22"/>
      <c r="LMJ142" s="22"/>
      <c r="LMK142" s="22"/>
      <c r="LML142" s="22"/>
      <c r="LMM142" s="22"/>
      <c r="LMN142" s="22"/>
      <c r="LMO142" s="22"/>
      <c r="LMP142" s="22"/>
      <c r="LMQ142" s="22"/>
      <c r="LMR142" s="22"/>
      <c r="LMS142" s="22"/>
      <c r="LMT142" s="22"/>
      <c r="LMU142" s="22"/>
      <c r="LMV142" s="22"/>
      <c r="LMW142" s="22"/>
      <c r="LMX142" s="22"/>
      <c r="LMY142" s="22"/>
      <c r="LMZ142" s="22"/>
      <c r="LNA142" s="22"/>
      <c r="LNB142" s="22"/>
      <c r="LNC142" s="22"/>
      <c r="LND142" s="22"/>
      <c r="LNE142" s="22"/>
      <c r="LNF142" s="22"/>
      <c r="LNG142" s="22"/>
      <c r="LNH142" s="22"/>
      <c r="LNI142" s="22"/>
      <c r="LNJ142" s="22"/>
      <c r="LNK142" s="22"/>
      <c r="LNL142" s="22"/>
      <c r="LNM142" s="22"/>
      <c r="LNN142" s="22"/>
      <c r="LNO142" s="22"/>
      <c r="LNP142" s="22"/>
      <c r="LNQ142" s="22"/>
      <c r="LNR142" s="22"/>
      <c r="LNS142" s="22"/>
      <c r="LNT142" s="22"/>
      <c r="LNU142" s="22"/>
      <c r="LNV142" s="22"/>
      <c r="LNW142" s="22"/>
      <c r="LNX142" s="22"/>
      <c r="LNY142" s="22"/>
      <c r="LNZ142" s="22"/>
      <c r="LOA142" s="22"/>
      <c r="LOB142" s="22"/>
      <c r="LOC142" s="22"/>
      <c r="LOD142" s="22"/>
      <c r="LOE142" s="22"/>
      <c r="LOF142" s="22"/>
      <c r="LOG142" s="22"/>
      <c r="LOH142" s="22"/>
      <c r="LOI142" s="22"/>
      <c r="LOJ142" s="22"/>
      <c r="LOK142" s="22"/>
      <c r="LOL142" s="22"/>
      <c r="LOM142" s="22"/>
      <c r="LON142" s="22"/>
      <c r="LOO142" s="22"/>
      <c r="LOP142" s="22"/>
      <c r="LOQ142" s="22"/>
      <c r="LOR142" s="22"/>
      <c r="LOS142" s="22"/>
      <c r="LOT142" s="22"/>
      <c r="LOU142" s="22"/>
      <c r="LOV142" s="22"/>
      <c r="LOW142" s="22"/>
      <c r="LOX142" s="22"/>
      <c r="LOY142" s="22"/>
      <c r="LOZ142" s="22"/>
      <c r="LPA142" s="22"/>
      <c r="LPB142" s="22"/>
      <c r="LPC142" s="22"/>
      <c r="LPD142" s="22"/>
      <c r="LPE142" s="22"/>
      <c r="LPF142" s="22"/>
      <c r="LPG142" s="22"/>
      <c r="LPH142" s="22"/>
      <c r="LPI142" s="22"/>
      <c r="LPJ142" s="22"/>
      <c r="LPK142" s="22"/>
      <c r="LPL142" s="22"/>
      <c r="LPM142" s="22"/>
      <c r="LPN142" s="22"/>
      <c r="LPO142" s="22"/>
      <c r="LPP142" s="22"/>
      <c r="LPQ142" s="22"/>
      <c r="LPR142" s="22"/>
      <c r="LPS142" s="22"/>
      <c r="LPT142" s="22"/>
      <c r="LPU142" s="22"/>
      <c r="LPV142" s="22"/>
      <c r="LPW142" s="22"/>
      <c r="LPX142" s="22"/>
      <c r="LPY142" s="22"/>
      <c r="LPZ142" s="22"/>
      <c r="LQA142" s="22"/>
      <c r="LQB142" s="22"/>
      <c r="LQC142" s="22"/>
      <c r="LQD142" s="22"/>
      <c r="LQE142" s="22"/>
      <c r="LQF142" s="22"/>
      <c r="LQG142" s="22"/>
      <c r="LQH142" s="22"/>
      <c r="LQI142" s="22"/>
      <c r="LQJ142" s="22"/>
      <c r="LQK142" s="22"/>
      <c r="LQL142" s="22"/>
      <c r="LQM142" s="22"/>
      <c r="LQN142" s="22"/>
      <c r="LQO142" s="22"/>
      <c r="LQP142" s="22"/>
      <c r="LQQ142" s="22"/>
      <c r="LQR142" s="22"/>
      <c r="LQS142" s="22"/>
      <c r="LQT142" s="22"/>
      <c r="LQU142" s="22"/>
      <c r="LQV142" s="22"/>
      <c r="LQW142" s="22"/>
      <c r="LQX142" s="22"/>
      <c r="LQY142" s="22"/>
      <c r="LQZ142" s="22"/>
      <c r="LRA142" s="22"/>
      <c r="LRB142" s="22"/>
      <c r="LRC142" s="22"/>
      <c r="LRD142" s="22"/>
      <c r="LRE142" s="22"/>
      <c r="LRF142" s="22"/>
      <c r="LRG142" s="22"/>
      <c r="LRH142" s="22"/>
      <c r="LRI142" s="22"/>
      <c r="LRJ142" s="22"/>
      <c r="LRK142" s="22"/>
      <c r="LRL142" s="22"/>
      <c r="LRM142" s="22"/>
      <c r="LRN142" s="22"/>
      <c r="LRO142" s="22"/>
      <c r="LRP142" s="22"/>
      <c r="LRQ142" s="22"/>
      <c r="LRR142" s="22"/>
      <c r="LRS142" s="22"/>
      <c r="LRT142" s="22"/>
      <c r="LRU142" s="22"/>
      <c r="LRV142" s="22"/>
      <c r="LRW142" s="22"/>
      <c r="LRX142" s="22"/>
      <c r="LRY142" s="22"/>
      <c r="LRZ142" s="22"/>
      <c r="LSA142" s="22"/>
      <c r="LSB142" s="22"/>
      <c r="LSC142" s="22"/>
      <c r="LSD142" s="22"/>
      <c r="LSE142" s="22"/>
      <c r="LSF142" s="22"/>
      <c r="LSG142" s="22"/>
      <c r="LSH142" s="22"/>
      <c r="LSI142" s="22"/>
      <c r="LSJ142" s="22"/>
      <c r="LSK142" s="22"/>
      <c r="LSL142" s="22"/>
      <c r="LSM142" s="22"/>
      <c r="LSN142" s="22"/>
      <c r="LSO142" s="22"/>
      <c r="LSP142" s="22"/>
      <c r="LSQ142" s="22"/>
      <c r="LSR142" s="22"/>
      <c r="LSS142" s="22"/>
      <c r="LST142" s="22"/>
      <c r="LSU142" s="22"/>
      <c r="LSV142" s="22"/>
      <c r="LSW142" s="22"/>
      <c r="LSX142" s="22"/>
      <c r="LSY142" s="22"/>
      <c r="LSZ142" s="22"/>
      <c r="LTA142" s="22"/>
      <c r="LTB142" s="22"/>
      <c r="LTC142" s="22"/>
      <c r="LTD142" s="22"/>
      <c r="LTE142" s="22"/>
      <c r="LTF142" s="22"/>
      <c r="LTG142" s="22"/>
      <c r="LTH142" s="22"/>
      <c r="LTI142" s="22"/>
      <c r="LTJ142" s="22"/>
      <c r="LTK142" s="22"/>
      <c r="LTL142" s="22"/>
      <c r="LTM142" s="22"/>
      <c r="LTN142" s="22"/>
      <c r="LTO142" s="22"/>
      <c r="LTP142" s="22"/>
      <c r="LTQ142" s="22"/>
      <c r="LTR142" s="22"/>
      <c r="LTS142" s="22"/>
      <c r="LTT142" s="22"/>
      <c r="LTU142" s="22"/>
      <c r="LTV142" s="22"/>
      <c r="LTW142" s="22"/>
      <c r="LTX142" s="22"/>
      <c r="LTY142" s="22"/>
      <c r="LTZ142" s="22"/>
      <c r="LUA142" s="22"/>
      <c r="LUB142" s="22"/>
      <c r="LUC142" s="22"/>
      <c r="LUD142" s="22"/>
      <c r="LUE142" s="22"/>
      <c r="LUF142" s="22"/>
      <c r="LUG142" s="22"/>
      <c r="LUH142" s="22"/>
      <c r="LUI142" s="22"/>
      <c r="LUJ142" s="22"/>
      <c r="LUK142" s="22"/>
      <c r="LUL142" s="22"/>
      <c r="LUM142" s="22"/>
      <c r="LUN142" s="22"/>
      <c r="LUO142" s="22"/>
      <c r="LUP142" s="22"/>
      <c r="LUQ142" s="22"/>
      <c r="LUR142" s="22"/>
      <c r="LUS142" s="22"/>
      <c r="LUT142" s="22"/>
      <c r="LUU142" s="22"/>
      <c r="LUV142" s="22"/>
      <c r="LUW142" s="22"/>
      <c r="LUX142" s="22"/>
      <c r="LUY142" s="22"/>
      <c r="LUZ142" s="22"/>
      <c r="LVA142" s="22"/>
      <c r="LVB142" s="22"/>
      <c r="LVC142" s="22"/>
      <c r="LVD142" s="22"/>
      <c r="LVE142" s="22"/>
      <c r="LVF142" s="22"/>
      <c r="LVG142" s="22"/>
      <c r="LVH142" s="22"/>
      <c r="LVI142" s="22"/>
      <c r="LVJ142" s="22"/>
      <c r="LVK142" s="22"/>
      <c r="LVL142" s="22"/>
      <c r="LVM142" s="22"/>
      <c r="LVN142" s="22"/>
      <c r="LVO142" s="22"/>
      <c r="LVP142" s="22"/>
      <c r="LVQ142" s="22"/>
      <c r="LVR142" s="22"/>
      <c r="LVS142" s="22"/>
      <c r="LVT142" s="22"/>
      <c r="LVU142" s="22"/>
      <c r="LVV142" s="22"/>
      <c r="LVW142" s="22"/>
      <c r="LVX142" s="22"/>
      <c r="LVY142" s="22"/>
      <c r="LVZ142" s="22"/>
      <c r="LWA142" s="22"/>
      <c r="LWB142" s="22"/>
      <c r="LWC142" s="22"/>
      <c r="LWD142" s="22"/>
      <c r="LWE142" s="22"/>
      <c r="LWF142" s="22"/>
      <c r="LWG142" s="22"/>
      <c r="LWH142" s="22"/>
      <c r="LWI142" s="22"/>
      <c r="LWJ142" s="22"/>
      <c r="LWK142" s="22"/>
      <c r="LWL142" s="22"/>
      <c r="LWM142" s="22"/>
      <c r="LWN142" s="22"/>
      <c r="LWO142" s="22"/>
      <c r="LWP142" s="22"/>
      <c r="LWQ142" s="22"/>
      <c r="LWR142" s="22"/>
      <c r="LWS142" s="22"/>
      <c r="LWT142" s="22"/>
      <c r="LWU142" s="22"/>
      <c r="LWV142" s="22"/>
      <c r="LWW142" s="22"/>
      <c r="LWX142" s="22"/>
      <c r="LWY142" s="22"/>
      <c r="LWZ142" s="22"/>
      <c r="LXA142" s="22"/>
      <c r="LXB142" s="22"/>
      <c r="LXC142" s="22"/>
      <c r="LXD142" s="22"/>
      <c r="LXE142" s="22"/>
      <c r="LXF142" s="22"/>
      <c r="LXG142" s="22"/>
      <c r="LXH142" s="22"/>
      <c r="LXI142" s="22"/>
      <c r="LXJ142" s="22"/>
      <c r="LXK142" s="22"/>
      <c r="LXL142" s="22"/>
      <c r="LXM142" s="22"/>
      <c r="LXN142" s="22"/>
      <c r="LXO142" s="22"/>
      <c r="LXP142" s="22"/>
      <c r="LXQ142" s="22"/>
      <c r="LXR142" s="22"/>
      <c r="LXS142" s="22"/>
      <c r="LXT142" s="22"/>
      <c r="LXU142" s="22"/>
      <c r="LXV142" s="22"/>
      <c r="LXW142" s="22"/>
      <c r="LXX142" s="22"/>
      <c r="LXY142" s="22"/>
      <c r="LXZ142" s="22"/>
      <c r="LYA142" s="22"/>
      <c r="LYB142" s="22"/>
      <c r="LYC142" s="22"/>
      <c r="LYD142" s="22"/>
      <c r="LYE142" s="22"/>
      <c r="LYF142" s="22"/>
      <c r="LYG142" s="22"/>
      <c r="LYH142" s="22"/>
      <c r="LYI142" s="22"/>
      <c r="LYJ142" s="22"/>
      <c r="LYK142" s="22"/>
      <c r="LYL142" s="22"/>
      <c r="LYM142" s="22"/>
      <c r="LYN142" s="22"/>
      <c r="LYO142" s="22"/>
      <c r="LYP142" s="22"/>
      <c r="LYQ142" s="22"/>
      <c r="LYR142" s="22"/>
      <c r="LYS142" s="22"/>
      <c r="LYT142" s="22"/>
      <c r="LYU142" s="22"/>
      <c r="LYV142" s="22"/>
      <c r="LYW142" s="22"/>
      <c r="LYX142" s="22"/>
      <c r="LYY142" s="22"/>
      <c r="LYZ142" s="22"/>
      <c r="LZA142" s="22"/>
      <c r="LZB142" s="22"/>
      <c r="LZC142" s="22"/>
      <c r="LZD142" s="22"/>
      <c r="LZE142" s="22"/>
      <c r="LZF142" s="22"/>
      <c r="LZG142" s="22"/>
      <c r="LZH142" s="22"/>
      <c r="LZI142" s="22"/>
      <c r="LZJ142" s="22"/>
      <c r="LZK142" s="22"/>
      <c r="LZL142" s="22"/>
      <c r="LZM142" s="22"/>
      <c r="LZN142" s="22"/>
      <c r="LZO142" s="22"/>
      <c r="LZP142" s="22"/>
      <c r="LZQ142" s="22"/>
      <c r="LZR142" s="22"/>
      <c r="LZS142" s="22"/>
      <c r="LZT142" s="22"/>
      <c r="LZU142" s="22"/>
      <c r="LZV142" s="22"/>
      <c r="LZW142" s="22"/>
      <c r="LZX142" s="22"/>
      <c r="LZY142" s="22"/>
      <c r="LZZ142" s="22"/>
      <c r="MAA142" s="22"/>
      <c r="MAB142" s="22"/>
      <c r="MAC142" s="22"/>
      <c r="MAD142" s="22"/>
      <c r="MAE142" s="22"/>
      <c r="MAF142" s="22"/>
      <c r="MAG142" s="22"/>
      <c r="MAH142" s="22"/>
      <c r="MAI142" s="22"/>
      <c r="MAJ142" s="22"/>
      <c r="MAK142" s="22"/>
      <c r="MAL142" s="22"/>
      <c r="MAM142" s="22"/>
      <c r="MAN142" s="22"/>
      <c r="MAO142" s="22"/>
      <c r="MAP142" s="22"/>
      <c r="MAQ142" s="22"/>
      <c r="MAR142" s="22"/>
      <c r="MAS142" s="22"/>
      <c r="MAT142" s="22"/>
      <c r="MAU142" s="22"/>
      <c r="MAV142" s="22"/>
      <c r="MAW142" s="22"/>
      <c r="MAX142" s="22"/>
      <c r="MAY142" s="22"/>
      <c r="MAZ142" s="22"/>
      <c r="MBA142" s="22"/>
      <c r="MBB142" s="22"/>
      <c r="MBC142" s="22"/>
      <c r="MBD142" s="22"/>
      <c r="MBE142" s="22"/>
      <c r="MBF142" s="22"/>
      <c r="MBG142" s="22"/>
      <c r="MBH142" s="22"/>
      <c r="MBI142" s="22"/>
      <c r="MBJ142" s="22"/>
      <c r="MBK142" s="22"/>
      <c r="MBL142" s="22"/>
      <c r="MBM142" s="22"/>
      <c r="MBN142" s="22"/>
      <c r="MBO142" s="22"/>
      <c r="MBP142" s="22"/>
      <c r="MBQ142" s="22"/>
      <c r="MBR142" s="22"/>
      <c r="MBS142" s="22"/>
      <c r="MBT142" s="22"/>
      <c r="MBU142" s="22"/>
      <c r="MBV142" s="22"/>
      <c r="MBW142" s="22"/>
      <c r="MBX142" s="22"/>
      <c r="MBY142" s="22"/>
      <c r="MBZ142" s="22"/>
      <c r="MCA142" s="22"/>
      <c r="MCB142" s="22"/>
      <c r="MCC142" s="22"/>
      <c r="MCD142" s="22"/>
      <c r="MCE142" s="22"/>
      <c r="MCF142" s="22"/>
      <c r="MCG142" s="22"/>
      <c r="MCH142" s="22"/>
      <c r="MCI142" s="22"/>
      <c r="MCJ142" s="22"/>
      <c r="MCK142" s="22"/>
      <c r="MCL142" s="22"/>
      <c r="MCM142" s="22"/>
      <c r="MCN142" s="22"/>
      <c r="MCO142" s="22"/>
      <c r="MCP142" s="22"/>
      <c r="MCQ142" s="22"/>
      <c r="MCR142" s="22"/>
      <c r="MCS142" s="22"/>
      <c r="MCT142" s="22"/>
      <c r="MCU142" s="22"/>
      <c r="MCV142" s="22"/>
      <c r="MCW142" s="22"/>
      <c r="MCX142" s="22"/>
      <c r="MCY142" s="22"/>
      <c r="MCZ142" s="22"/>
      <c r="MDA142" s="22"/>
      <c r="MDB142" s="22"/>
      <c r="MDC142" s="22"/>
      <c r="MDD142" s="22"/>
      <c r="MDE142" s="22"/>
      <c r="MDF142" s="22"/>
      <c r="MDG142" s="22"/>
      <c r="MDH142" s="22"/>
      <c r="MDI142" s="22"/>
      <c r="MDJ142" s="22"/>
      <c r="MDK142" s="22"/>
      <c r="MDL142" s="22"/>
      <c r="MDM142" s="22"/>
      <c r="MDN142" s="22"/>
      <c r="MDO142" s="22"/>
      <c r="MDP142" s="22"/>
      <c r="MDQ142" s="22"/>
      <c r="MDR142" s="22"/>
      <c r="MDS142" s="22"/>
      <c r="MDT142" s="22"/>
      <c r="MDU142" s="22"/>
      <c r="MDV142" s="22"/>
      <c r="MDW142" s="22"/>
      <c r="MDX142" s="22"/>
      <c r="MDY142" s="22"/>
      <c r="MDZ142" s="22"/>
      <c r="MEA142" s="22"/>
      <c r="MEB142" s="22"/>
      <c r="MEC142" s="22"/>
      <c r="MED142" s="22"/>
      <c r="MEE142" s="22"/>
      <c r="MEF142" s="22"/>
      <c r="MEG142" s="22"/>
      <c r="MEH142" s="22"/>
      <c r="MEI142" s="22"/>
      <c r="MEJ142" s="22"/>
      <c r="MEK142" s="22"/>
      <c r="MEL142" s="22"/>
      <c r="MEM142" s="22"/>
      <c r="MEN142" s="22"/>
      <c r="MEO142" s="22"/>
      <c r="MEP142" s="22"/>
      <c r="MEQ142" s="22"/>
      <c r="MER142" s="22"/>
      <c r="MES142" s="22"/>
      <c r="MET142" s="22"/>
      <c r="MEU142" s="22"/>
      <c r="MEV142" s="22"/>
      <c r="MEW142" s="22"/>
      <c r="MEX142" s="22"/>
      <c r="MEY142" s="22"/>
      <c r="MEZ142" s="22"/>
      <c r="MFA142" s="22"/>
      <c r="MFB142" s="22"/>
      <c r="MFC142" s="22"/>
      <c r="MFD142" s="22"/>
      <c r="MFE142" s="22"/>
      <c r="MFF142" s="22"/>
      <c r="MFG142" s="22"/>
      <c r="MFH142" s="22"/>
      <c r="MFI142" s="22"/>
      <c r="MFJ142" s="22"/>
      <c r="MFK142" s="22"/>
      <c r="MFL142" s="22"/>
      <c r="MFM142" s="22"/>
      <c r="MFN142" s="22"/>
      <c r="MFO142" s="22"/>
      <c r="MFP142" s="22"/>
      <c r="MFQ142" s="22"/>
      <c r="MFR142" s="22"/>
      <c r="MFS142" s="22"/>
      <c r="MFT142" s="22"/>
      <c r="MFU142" s="22"/>
      <c r="MFV142" s="22"/>
      <c r="MFW142" s="22"/>
      <c r="MFX142" s="22"/>
      <c r="MFY142" s="22"/>
      <c r="MFZ142" s="22"/>
      <c r="MGA142" s="22"/>
      <c r="MGB142" s="22"/>
      <c r="MGC142" s="22"/>
      <c r="MGD142" s="22"/>
      <c r="MGE142" s="22"/>
      <c r="MGF142" s="22"/>
      <c r="MGG142" s="22"/>
      <c r="MGH142" s="22"/>
      <c r="MGI142" s="22"/>
      <c r="MGJ142" s="22"/>
      <c r="MGK142" s="22"/>
      <c r="MGL142" s="22"/>
      <c r="MGM142" s="22"/>
      <c r="MGN142" s="22"/>
      <c r="MGO142" s="22"/>
      <c r="MGP142" s="22"/>
      <c r="MGQ142" s="22"/>
      <c r="MGR142" s="22"/>
      <c r="MGS142" s="22"/>
      <c r="MGT142" s="22"/>
      <c r="MGU142" s="22"/>
      <c r="MGV142" s="22"/>
      <c r="MGW142" s="22"/>
      <c r="MGX142" s="22"/>
      <c r="MGY142" s="22"/>
      <c r="MGZ142" s="22"/>
      <c r="MHA142" s="22"/>
      <c r="MHB142" s="22"/>
      <c r="MHC142" s="22"/>
      <c r="MHD142" s="22"/>
      <c r="MHE142" s="22"/>
      <c r="MHF142" s="22"/>
      <c r="MHG142" s="22"/>
      <c r="MHH142" s="22"/>
      <c r="MHI142" s="22"/>
      <c r="MHJ142" s="22"/>
      <c r="MHK142" s="22"/>
      <c r="MHL142" s="22"/>
      <c r="MHM142" s="22"/>
      <c r="MHN142" s="22"/>
      <c r="MHO142" s="22"/>
      <c r="MHP142" s="22"/>
      <c r="MHQ142" s="22"/>
      <c r="MHR142" s="22"/>
      <c r="MHS142" s="22"/>
      <c r="MHT142" s="22"/>
      <c r="MHU142" s="22"/>
      <c r="MHV142" s="22"/>
      <c r="MHW142" s="22"/>
      <c r="MHX142" s="22"/>
      <c r="MHY142" s="22"/>
      <c r="MHZ142" s="22"/>
      <c r="MIA142" s="22"/>
      <c r="MIB142" s="22"/>
      <c r="MIC142" s="22"/>
      <c r="MID142" s="22"/>
      <c r="MIE142" s="22"/>
      <c r="MIF142" s="22"/>
      <c r="MIG142" s="22"/>
      <c r="MIH142" s="22"/>
      <c r="MII142" s="22"/>
      <c r="MIJ142" s="22"/>
      <c r="MIK142" s="22"/>
      <c r="MIL142" s="22"/>
      <c r="MIM142" s="22"/>
      <c r="MIN142" s="22"/>
      <c r="MIO142" s="22"/>
      <c r="MIP142" s="22"/>
      <c r="MIQ142" s="22"/>
      <c r="MIR142" s="22"/>
      <c r="MIS142" s="22"/>
      <c r="MIT142" s="22"/>
      <c r="MIU142" s="22"/>
      <c r="MIV142" s="22"/>
      <c r="MIW142" s="22"/>
      <c r="MIX142" s="22"/>
      <c r="MIY142" s="22"/>
      <c r="MIZ142" s="22"/>
      <c r="MJA142" s="22"/>
      <c r="MJB142" s="22"/>
      <c r="MJC142" s="22"/>
      <c r="MJD142" s="22"/>
      <c r="MJE142" s="22"/>
      <c r="MJF142" s="22"/>
      <c r="MJG142" s="22"/>
      <c r="MJH142" s="22"/>
      <c r="MJI142" s="22"/>
      <c r="MJJ142" s="22"/>
      <c r="MJK142" s="22"/>
      <c r="MJL142" s="22"/>
      <c r="MJM142" s="22"/>
      <c r="MJN142" s="22"/>
      <c r="MJO142" s="22"/>
      <c r="MJP142" s="22"/>
      <c r="MJQ142" s="22"/>
      <c r="MJR142" s="22"/>
      <c r="MJS142" s="22"/>
      <c r="MJT142" s="22"/>
      <c r="MJU142" s="22"/>
      <c r="MJV142" s="22"/>
      <c r="MJW142" s="22"/>
      <c r="MJX142" s="22"/>
      <c r="MJY142" s="22"/>
      <c r="MJZ142" s="22"/>
      <c r="MKA142" s="22"/>
      <c r="MKB142" s="22"/>
      <c r="MKC142" s="22"/>
      <c r="MKD142" s="22"/>
      <c r="MKE142" s="22"/>
      <c r="MKF142" s="22"/>
      <c r="MKG142" s="22"/>
      <c r="MKH142" s="22"/>
      <c r="MKI142" s="22"/>
      <c r="MKJ142" s="22"/>
      <c r="MKK142" s="22"/>
      <c r="MKL142" s="22"/>
      <c r="MKM142" s="22"/>
      <c r="MKN142" s="22"/>
      <c r="MKO142" s="22"/>
      <c r="MKP142" s="22"/>
      <c r="MKQ142" s="22"/>
      <c r="MKR142" s="22"/>
      <c r="MKS142" s="22"/>
      <c r="MKT142" s="22"/>
      <c r="MKU142" s="22"/>
      <c r="MKV142" s="22"/>
      <c r="MKW142" s="22"/>
      <c r="MKX142" s="22"/>
      <c r="MKY142" s="22"/>
      <c r="MKZ142" s="22"/>
      <c r="MLA142" s="22"/>
      <c r="MLB142" s="22"/>
      <c r="MLC142" s="22"/>
      <c r="MLD142" s="22"/>
      <c r="MLE142" s="22"/>
      <c r="MLF142" s="22"/>
      <c r="MLG142" s="22"/>
      <c r="MLH142" s="22"/>
      <c r="MLI142" s="22"/>
      <c r="MLJ142" s="22"/>
      <c r="MLK142" s="22"/>
      <c r="MLL142" s="22"/>
      <c r="MLM142" s="22"/>
      <c r="MLN142" s="22"/>
      <c r="MLO142" s="22"/>
      <c r="MLP142" s="22"/>
      <c r="MLQ142" s="22"/>
      <c r="MLR142" s="22"/>
      <c r="MLS142" s="22"/>
      <c r="MLT142" s="22"/>
      <c r="MLU142" s="22"/>
      <c r="MLV142" s="22"/>
      <c r="MLW142" s="22"/>
      <c r="MLX142" s="22"/>
      <c r="MLY142" s="22"/>
      <c r="MLZ142" s="22"/>
      <c r="MMA142" s="22"/>
      <c r="MMB142" s="22"/>
      <c r="MMC142" s="22"/>
      <c r="MMD142" s="22"/>
      <c r="MME142" s="22"/>
      <c r="MMF142" s="22"/>
      <c r="MMG142" s="22"/>
      <c r="MMH142" s="22"/>
      <c r="MMI142" s="22"/>
      <c r="MMJ142" s="22"/>
      <c r="MMK142" s="22"/>
      <c r="MML142" s="22"/>
      <c r="MMM142" s="22"/>
      <c r="MMN142" s="22"/>
      <c r="MMO142" s="22"/>
      <c r="MMP142" s="22"/>
      <c r="MMQ142" s="22"/>
      <c r="MMR142" s="22"/>
      <c r="MMS142" s="22"/>
      <c r="MMT142" s="22"/>
      <c r="MMU142" s="22"/>
      <c r="MMV142" s="22"/>
      <c r="MMW142" s="22"/>
      <c r="MMX142" s="22"/>
      <c r="MMY142" s="22"/>
      <c r="MMZ142" s="22"/>
      <c r="MNA142" s="22"/>
      <c r="MNB142" s="22"/>
      <c r="MNC142" s="22"/>
      <c r="MND142" s="22"/>
      <c r="MNE142" s="22"/>
      <c r="MNF142" s="22"/>
      <c r="MNG142" s="22"/>
      <c r="MNH142" s="22"/>
      <c r="MNI142" s="22"/>
      <c r="MNJ142" s="22"/>
      <c r="MNK142" s="22"/>
      <c r="MNL142" s="22"/>
      <c r="MNM142" s="22"/>
      <c r="MNN142" s="22"/>
      <c r="MNO142" s="22"/>
      <c r="MNP142" s="22"/>
      <c r="MNQ142" s="22"/>
      <c r="MNR142" s="22"/>
      <c r="MNS142" s="22"/>
      <c r="MNT142" s="22"/>
      <c r="MNU142" s="22"/>
      <c r="MNV142" s="22"/>
      <c r="MNW142" s="22"/>
      <c r="MNX142" s="22"/>
      <c r="MNY142" s="22"/>
      <c r="MNZ142" s="22"/>
      <c r="MOA142" s="22"/>
      <c r="MOB142" s="22"/>
      <c r="MOC142" s="22"/>
      <c r="MOD142" s="22"/>
      <c r="MOE142" s="22"/>
      <c r="MOF142" s="22"/>
      <c r="MOG142" s="22"/>
      <c r="MOH142" s="22"/>
      <c r="MOI142" s="22"/>
      <c r="MOJ142" s="22"/>
      <c r="MOK142" s="22"/>
      <c r="MOL142" s="22"/>
      <c r="MOM142" s="22"/>
      <c r="MON142" s="22"/>
      <c r="MOO142" s="22"/>
      <c r="MOP142" s="22"/>
      <c r="MOQ142" s="22"/>
      <c r="MOR142" s="22"/>
      <c r="MOS142" s="22"/>
      <c r="MOT142" s="22"/>
      <c r="MOU142" s="22"/>
      <c r="MOV142" s="22"/>
      <c r="MOW142" s="22"/>
      <c r="MOX142" s="22"/>
      <c r="MOY142" s="22"/>
      <c r="MOZ142" s="22"/>
      <c r="MPA142" s="22"/>
      <c r="MPB142" s="22"/>
      <c r="MPC142" s="22"/>
      <c r="MPD142" s="22"/>
      <c r="MPE142" s="22"/>
      <c r="MPF142" s="22"/>
      <c r="MPG142" s="22"/>
      <c r="MPH142" s="22"/>
      <c r="MPI142" s="22"/>
      <c r="MPJ142" s="22"/>
      <c r="MPK142" s="22"/>
      <c r="MPL142" s="22"/>
      <c r="MPM142" s="22"/>
      <c r="MPN142" s="22"/>
      <c r="MPO142" s="22"/>
      <c r="MPP142" s="22"/>
      <c r="MPQ142" s="22"/>
      <c r="MPR142" s="22"/>
      <c r="MPS142" s="22"/>
      <c r="MPT142" s="22"/>
      <c r="MPU142" s="22"/>
      <c r="MPV142" s="22"/>
      <c r="MPW142" s="22"/>
      <c r="MPX142" s="22"/>
      <c r="MPY142" s="22"/>
      <c r="MPZ142" s="22"/>
      <c r="MQA142" s="22"/>
      <c r="MQB142" s="22"/>
      <c r="MQC142" s="22"/>
      <c r="MQD142" s="22"/>
      <c r="MQE142" s="22"/>
      <c r="MQF142" s="22"/>
      <c r="MQG142" s="22"/>
      <c r="MQH142" s="22"/>
      <c r="MQI142" s="22"/>
      <c r="MQJ142" s="22"/>
      <c r="MQK142" s="22"/>
      <c r="MQL142" s="22"/>
      <c r="MQM142" s="22"/>
      <c r="MQN142" s="22"/>
      <c r="MQO142" s="22"/>
      <c r="MQP142" s="22"/>
      <c r="MQQ142" s="22"/>
      <c r="MQR142" s="22"/>
      <c r="MQS142" s="22"/>
      <c r="MQT142" s="22"/>
      <c r="MQU142" s="22"/>
      <c r="MQV142" s="22"/>
      <c r="MQW142" s="22"/>
      <c r="MQX142" s="22"/>
      <c r="MQY142" s="22"/>
      <c r="MQZ142" s="22"/>
      <c r="MRA142" s="22"/>
      <c r="MRB142" s="22"/>
      <c r="MRC142" s="22"/>
      <c r="MRD142" s="22"/>
      <c r="MRE142" s="22"/>
      <c r="MRF142" s="22"/>
      <c r="MRG142" s="22"/>
      <c r="MRH142" s="22"/>
      <c r="MRI142" s="22"/>
      <c r="MRJ142" s="22"/>
      <c r="MRK142" s="22"/>
      <c r="MRL142" s="22"/>
      <c r="MRM142" s="22"/>
      <c r="MRN142" s="22"/>
      <c r="MRO142" s="22"/>
      <c r="MRP142" s="22"/>
      <c r="MRQ142" s="22"/>
      <c r="MRR142" s="22"/>
      <c r="MRS142" s="22"/>
      <c r="MRT142" s="22"/>
      <c r="MRU142" s="22"/>
      <c r="MRV142" s="22"/>
      <c r="MRW142" s="22"/>
      <c r="MRX142" s="22"/>
      <c r="MRY142" s="22"/>
      <c r="MRZ142" s="22"/>
      <c r="MSA142" s="22"/>
      <c r="MSB142" s="22"/>
      <c r="MSC142" s="22"/>
      <c r="MSD142" s="22"/>
      <c r="MSE142" s="22"/>
      <c r="MSF142" s="22"/>
      <c r="MSG142" s="22"/>
      <c r="MSH142" s="22"/>
      <c r="MSI142" s="22"/>
      <c r="MSJ142" s="22"/>
      <c r="MSK142" s="22"/>
      <c r="MSL142" s="22"/>
      <c r="MSM142" s="22"/>
      <c r="MSN142" s="22"/>
      <c r="MSO142" s="22"/>
      <c r="MSP142" s="22"/>
      <c r="MSQ142" s="22"/>
      <c r="MSR142" s="22"/>
      <c r="MSS142" s="22"/>
      <c r="MST142" s="22"/>
      <c r="MSU142" s="22"/>
      <c r="MSV142" s="22"/>
      <c r="MSW142" s="22"/>
      <c r="MSX142" s="22"/>
      <c r="MSY142" s="22"/>
      <c r="MSZ142" s="22"/>
      <c r="MTA142" s="22"/>
      <c r="MTB142" s="22"/>
      <c r="MTC142" s="22"/>
      <c r="MTD142" s="22"/>
      <c r="MTE142" s="22"/>
      <c r="MTF142" s="22"/>
      <c r="MTG142" s="22"/>
      <c r="MTH142" s="22"/>
      <c r="MTI142" s="22"/>
      <c r="MTJ142" s="22"/>
      <c r="MTK142" s="22"/>
      <c r="MTL142" s="22"/>
      <c r="MTM142" s="22"/>
      <c r="MTN142" s="22"/>
      <c r="MTO142" s="22"/>
      <c r="MTP142" s="22"/>
      <c r="MTQ142" s="22"/>
      <c r="MTR142" s="22"/>
      <c r="MTS142" s="22"/>
      <c r="MTT142" s="22"/>
      <c r="MTU142" s="22"/>
      <c r="MTV142" s="22"/>
      <c r="MTW142" s="22"/>
      <c r="MTX142" s="22"/>
      <c r="MTY142" s="22"/>
      <c r="MTZ142" s="22"/>
      <c r="MUA142" s="22"/>
      <c r="MUB142" s="22"/>
      <c r="MUC142" s="22"/>
      <c r="MUD142" s="22"/>
      <c r="MUE142" s="22"/>
      <c r="MUF142" s="22"/>
      <c r="MUG142" s="22"/>
      <c r="MUH142" s="22"/>
      <c r="MUI142" s="22"/>
      <c r="MUJ142" s="22"/>
      <c r="MUK142" s="22"/>
      <c r="MUL142" s="22"/>
      <c r="MUM142" s="22"/>
      <c r="MUN142" s="22"/>
      <c r="MUO142" s="22"/>
      <c r="MUP142" s="22"/>
      <c r="MUQ142" s="22"/>
      <c r="MUR142" s="22"/>
      <c r="MUS142" s="22"/>
      <c r="MUT142" s="22"/>
      <c r="MUU142" s="22"/>
      <c r="MUV142" s="22"/>
      <c r="MUW142" s="22"/>
      <c r="MUX142" s="22"/>
      <c r="MUY142" s="22"/>
      <c r="MUZ142" s="22"/>
      <c r="MVA142" s="22"/>
      <c r="MVB142" s="22"/>
      <c r="MVC142" s="22"/>
      <c r="MVD142" s="22"/>
      <c r="MVE142" s="22"/>
      <c r="MVF142" s="22"/>
      <c r="MVG142" s="22"/>
      <c r="MVH142" s="22"/>
      <c r="MVI142" s="22"/>
      <c r="MVJ142" s="22"/>
      <c r="MVK142" s="22"/>
      <c r="MVL142" s="22"/>
      <c r="MVM142" s="22"/>
      <c r="MVN142" s="22"/>
      <c r="MVO142" s="22"/>
      <c r="MVP142" s="22"/>
      <c r="MVQ142" s="22"/>
      <c r="MVR142" s="22"/>
      <c r="MVS142" s="22"/>
      <c r="MVT142" s="22"/>
      <c r="MVU142" s="22"/>
      <c r="MVV142" s="22"/>
      <c r="MVW142" s="22"/>
      <c r="MVX142" s="22"/>
      <c r="MVY142" s="22"/>
      <c r="MVZ142" s="22"/>
      <c r="MWA142" s="22"/>
      <c r="MWB142" s="22"/>
      <c r="MWC142" s="22"/>
      <c r="MWD142" s="22"/>
      <c r="MWE142" s="22"/>
      <c r="MWF142" s="22"/>
      <c r="MWG142" s="22"/>
      <c r="MWH142" s="22"/>
      <c r="MWI142" s="22"/>
      <c r="MWJ142" s="22"/>
      <c r="MWK142" s="22"/>
      <c r="MWL142" s="22"/>
      <c r="MWM142" s="22"/>
      <c r="MWN142" s="22"/>
      <c r="MWO142" s="22"/>
      <c r="MWP142" s="22"/>
      <c r="MWQ142" s="22"/>
      <c r="MWR142" s="22"/>
      <c r="MWS142" s="22"/>
      <c r="MWT142" s="22"/>
      <c r="MWU142" s="22"/>
      <c r="MWV142" s="22"/>
      <c r="MWW142" s="22"/>
      <c r="MWX142" s="22"/>
      <c r="MWY142" s="22"/>
      <c r="MWZ142" s="22"/>
      <c r="MXA142" s="22"/>
      <c r="MXB142" s="22"/>
      <c r="MXC142" s="22"/>
      <c r="MXD142" s="22"/>
      <c r="MXE142" s="22"/>
      <c r="MXF142" s="22"/>
      <c r="MXG142" s="22"/>
      <c r="MXH142" s="22"/>
      <c r="MXI142" s="22"/>
      <c r="MXJ142" s="22"/>
      <c r="MXK142" s="22"/>
      <c r="MXL142" s="22"/>
      <c r="MXM142" s="22"/>
      <c r="MXN142" s="22"/>
      <c r="MXO142" s="22"/>
      <c r="MXP142" s="22"/>
      <c r="MXQ142" s="22"/>
      <c r="MXR142" s="22"/>
      <c r="MXS142" s="22"/>
      <c r="MXT142" s="22"/>
      <c r="MXU142" s="22"/>
      <c r="MXV142" s="22"/>
      <c r="MXW142" s="22"/>
      <c r="MXX142" s="22"/>
      <c r="MXY142" s="22"/>
      <c r="MXZ142" s="22"/>
      <c r="MYA142" s="22"/>
      <c r="MYB142" s="22"/>
      <c r="MYC142" s="22"/>
      <c r="MYD142" s="22"/>
      <c r="MYE142" s="22"/>
      <c r="MYF142" s="22"/>
      <c r="MYG142" s="22"/>
      <c r="MYH142" s="22"/>
      <c r="MYI142" s="22"/>
      <c r="MYJ142" s="22"/>
      <c r="MYK142" s="22"/>
      <c r="MYL142" s="22"/>
      <c r="MYM142" s="22"/>
      <c r="MYN142" s="22"/>
      <c r="MYO142" s="22"/>
      <c r="MYP142" s="22"/>
      <c r="MYQ142" s="22"/>
      <c r="MYR142" s="22"/>
      <c r="MYS142" s="22"/>
      <c r="MYT142" s="22"/>
      <c r="MYU142" s="22"/>
      <c r="MYV142" s="22"/>
      <c r="MYW142" s="22"/>
      <c r="MYX142" s="22"/>
      <c r="MYY142" s="22"/>
      <c r="MYZ142" s="22"/>
      <c r="MZA142" s="22"/>
      <c r="MZB142" s="22"/>
      <c r="MZC142" s="22"/>
      <c r="MZD142" s="22"/>
      <c r="MZE142" s="22"/>
      <c r="MZF142" s="22"/>
      <c r="MZG142" s="22"/>
      <c r="MZH142" s="22"/>
      <c r="MZI142" s="22"/>
      <c r="MZJ142" s="22"/>
      <c r="MZK142" s="22"/>
      <c r="MZL142" s="22"/>
      <c r="MZM142" s="22"/>
      <c r="MZN142" s="22"/>
      <c r="MZO142" s="22"/>
      <c r="MZP142" s="22"/>
      <c r="MZQ142" s="22"/>
      <c r="MZR142" s="22"/>
      <c r="MZS142" s="22"/>
      <c r="MZT142" s="22"/>
      <c r="MZU142" s="22"/>
      <c r="MZV142" s="22"/>
      <c r="MZW142" s="22"/>
      <c r="MZX142" s="22"/>
      <c r="MZY142" s="22"/>
      <c r="MZZ142" s="22"/>
      <c r="NAA142" s="22"/>
      <c r="NAB142" s="22"/>
      <c r="NAC142" s="22"/>
      <c r="NAD142" s="22"/>
      <c r="NAE142" s="22"/>
      <c r="NAF142" s="22"/>
      <c r="NAG142" s="22"/>
      <c r="NAH142" s="22"/>
      <c r="NAI142" s="22"/>
      <c r="NAJ142" s="22"/>
      <c r="NAK142" s="22"/>
      <c r="NAL142" s="22"/>
      <c r="NAM142" s="22"/>
      <c r="NAN142" s="22"/>
      <c r="NAO142" s="22"/>
      <c r="NAP142" s="22"/>
      <c r="NAQ142" s="22"/>
      <c r="NAR142" s="22"/>
      <c r="NAS142" s="22"/>
      <c r="NAT142" s="22"/>
      <c r="NAU142" s="22"/>
      <c r="NAV142" s="22"/>
      <c r="NAW142" s="22"/>
      <c r="NAX142" s="22"/>
      <c r="NAY142" s="22"/>
      <c r="NAZ142" s="22"/>
      <c r="NBA142" s="22"/>
      <c r="NBB142" s="22"/>
      <c r="NBC142" s="22"/>
      <c r="NBD142" s="22"/>
      <c r="NBE142" s="22"/>
      <c r="NBF142" s="22"/>
      <c r="NBG142" s="22"/>
      <c r="NBH142" s="22"/>
      <c r="NBI142" s="22"/>
      <c r="NBJ142" s="22"/>
      <c r="NBK142" s="22"/>
      <c r="NBL142" s="22"/>
      <c r="NBM142" s="22"/>
      <c r="NBN142" s="22"/>
      <c r="NBO142" s="22"/>
      <c r="NBP142" s="22"/>
      <c r="NBQ142" s="22"/>
      <c r="NBR142" s="22"/>
      <c r="NBS142" s="22"/>
      <c r="NBT142" s="22"/>
      <c r="NBU142" s="22"/>
      <c r="NBV142" s="22"/>
      <c r="NBW142" s="22"/>
      <c r="NBX142" s="22"/>
      <c r="NBY142" s="22"/>
      <c r="NBZ142" s="22"/>
      <c r="NCA142" s="22"/>
      <c r="NCB142" s="22"/>
      <c r="NCC142" s="22"/>
      <c r="NCD142" s="22"/>
      <c r="NCE142" s="22"/>
      <c r="NCF142" s="22"/>
      <c r="NCG142" s="22"/>
      <c r="NCH142" s="22"/>
      <c r="NCI142" s="22"/>
      <c r="NCJ142" s="22"/>
      <c r="NCK142" s="22"/>
      <c r="NCL142" s="22"/>
      <c r="NCM142" s="22"/>
      <c r="NCN142" s="22"/>
      <c r="NCO142" s="22"/>
      <c r="NCP142" s="22"/>
      <c r="NCQ142" s="22"/>
      <c r="NCR142" s="22"/>
      <c r="NCS142" s="22"/>
      <c r="NCT142" s="22"/>
      <c r="NCU142" s="22"/>
      <c r="NCV142" s="22"/>
      <c r="NCW142" s="22"/>
      <c r="NCX142" s="22"/>
      <c r="NCY142" s="22"/>
      <c r="NCZ142" s="22"/>
      <c r="NDA142" s="22"/>
      <c r="NDB142" s="22"/>
      <c r="NDC142" s="22"/>
      <c r="NDD142" s="22"/>
      <c r="NDE142" s="22"/>
      <c r="NDF142" s="22"/>
      <c r="NDG142" s="22"/>
      <c r="NDH142" s="22"/>
      <c r="NDI142" s="22"/>
      <c r="NDJ142" s="22"/>
      <c r="NDK142" s="22"/>
      <c r="NDL142" s="22"/>
      <c r="NDM142" s="22"/>
      <c r="NDN142" s="22"/>
      <c r="NDO142" s="22"/>
      <c r="NDP142" s="22"/>
      <c r="NDQ142" s="22"/>
      <c r="NDR142" s="22"/>
      <c r="NDS142" s="22"/>
      <c r="NDT142" s="22"/>
      <c r="NDU142" s="22"/>
      <c r="NDV142" s="22"/>
      <c r="NDW142" s="22"/>
      <c r="NDX142" s="22"/>
      <c r="NDY142" s="22"/>
      <c r="NDZ142" s="22"/>
      <c r="NEA142" s="22"/>
      <c r="NEB142" s="22"/>
      <c r="NEC142" s="22"/>
      <c r="NED142" s="22"/>
      <c r="NEE142" s="22"/>
      <c r="NEF142" s="22"/>
      <c r="NEG142" s="22"/>
      <c r="NEH142" s="22"/>
      <c r="NEI142" s="22"/>
      <c r="NEJ142" s="22"/>
      <c r="NEK142" s="22"/>
      <c r="NEL142" s="22"/>
      <c r="NEM142" s="22"/>
      <c r="NEN142" s="22"/>
      <c r="NEO142" s="22"/>
      <c r="NEP142" s="22"/>
      <c r="NEQ142" s="22"/>
      <c r="NER142" s="22"/>
      <c r="NES142" s="22"/>
      <c r="NET142" s="22"/>
      <c r="NEU142" s="22"/>
      <c r="NEV142" s="22"/>
      <c r="NEW142" s="22"/>
      <c r="NEX142" s="22"/>
      <c r="NEY142" s="22"/>
      <c r="NEZ142" s="22"/>
      <c r="NFA142" s="22"/>
      <c r="NFB142" s="22"/>
      <c r="NFC142" s="22"/>
      <c r="NFD142" s="22"/>
      <c r="NFE142" s="22"/>
      <c r="NFF142" s="22"/>
      <c r="NFG142" s="22"/>
      <c r="NFH142" s="22"/>
      <c r="NFI142" s="22"/>
      <c r="NFJ142" s="22"/>
      <c r="NFK142" s="22"/>
      <c r="NFL142" s="22"/>
      <c r="NFM142" s="22"/>
      <c r="NFN142" s="22"/>
      <c r="NFO142" s="22"/>
      <c r="NFP142" s="22"/>
      <c r="NFQ142" s="22"/>
      <c r="NFR142" s="22"/>
      <c r="NFS142" s="22"/>
      <c r="NFT142" s="22"/>
      <c r="NFU142" s="22"/>
      <c r="NFV142" s="22"/>
      <c r="NFW142" s="22"/>
      <c r="NFX142" s="22"/>
      <c r="NFY142" s="22"/>
      <c r="NFZ142" s="22"/>
      <c r="NGA142" s="22"/>
      <c r="NGB142" s="22"/>
      <c r="NGC142" s="22"/>
      <c r="NGD142" s="22"/>
      <c r="NGE142" s="22"/>
      <c r="NGF142" s="22"/>
      <c r="NGG142" s="22"/>
      <c r="NGH142" s="22"/>
      <c r="NGI142" s="22"/>
      <c r="NGJ142" s="22"/>
      <c r="NGK142" s="22"/>
      <c r="NGL142" s="22"/>
      <c r="NGM142" s="22"/>
      <c r="NGN142" s="22"/>
      <c r="NGO142" s="22"/>
      <c r="NGP142" s="22"/>
      <c r="NGQ142" s="22"/>
      <c r="NGR142" s="22"/>
      <c r="NGS142" s="22"/>
      <c r="NGT142" s="22"/>
      <c r="NGU142" s="22"/>
      <c r="NGV142" s="22"/>
      <c r="NGW142" s="22"/>
      <c r="NGX142" s="22"/>
      <c r="NGY142" s="22"/>
      <c r="NGZ142" s="22"/>
      <c r="NHA142" s="22"/>
      <c r="NHB142" s="22"/>
      <c r="NHC142" s="22"/>
      <c r="NHD142" s="22"/>
      <c r="NHE142" s="22"/>
      <c r="NHF142" s="22"/>
      <c r="NHG142" s="22"/>
      <c r="NHH142" s="22"/>
      <c r="NHI142" s="22"/>
      <c r="NHJ142" s="22"/>
      <c r="NHK142" s="22"/>
      <c r="NHL142" s="22"/>
      <c r="NHM142" s="22"/>
      <c r="NHN142" s="22"/>
      <c r="NHO142" s="22"/>
      <c r="NHP142" s="22"/>
      <c r="NHQ142" s="22"/>
      <c r="NHR142" s="22"/>
      <c r="NHS142" s="22"/>
      <c r="NHT142" s="22"/>
      <c r="NHU142" s="22"/>
      <c r="NHV142" s="22"/>
      <c r="NHW142" s="22"/>
      <c r="NHX142" s="22"/>
      <c r="NHY142" s="22"/>
      <c r="NHZ142" s="22"/>
      <c r="NIA142" s="22"/>
      <c r="NIB142" s="22"/>
      <c r="NIC142" s="22"/>
      <c r="NID142" s="22"/>
      <c r="NIE142" s="22"/>
      <c r="NIF142" s="22"/>
      <c r="NIG142" s="22"/>
      <c r="NIH142" s="22"/>
      <c r="NII142" s="22"/>
      <c r="NIJ142" s="22"/>
      <c r="NIK142" s="22"/>
      <c r="NIL142" s="22"/>
      <c r="NIM142" s="22"/>
      <c r="NIN142" s="22"/>
      <c r="NIO142" s="22"/>
      <c r="NIP142" s="22"/>
      <c r="NIQ142" s="22"/>
      <c r="NIR142" s="22"/>
      <c r="NIS142" s="22"/>
      <c r="NIT142" s="22"/>
      <c r="NIU142" s="22"/>
      <c r="NIV142" s="22"/>
      <c r="NIW142" s="22"/>
      <c r="NIX142" s="22"/>
      <c r="NIY142" s="22"/>
      <c r="NIZ142" s="22"/>
      <c r="NJA142" s="22"/>
      <c r="NJB142" s="22"/>
      <c r="NJC142" s="22"/>
      <c r="NJD142" s="22"/>
      <c r="NJE142" s="22"/>
      <c r="NJF142" s="22"/>
      <c r="NJG142" s="22"/>
      <c r="NJH142" s="22"/>
      <c r="NJI142" s="22"/>
      <c r="NJJ142" s="22"/>
      <c r="NJK142" s="22"/>
      <c r="NJL142" s="22"/>
      <c r="NJM142" s="22"/>
      <c r="NJN142" s="22"/>
      <c r="NJO142" s="22"/>
      <c r="NJP142" s="22"/>
      <c r="NJQ142" s="22"/>
      <c r="NJR142" s="22"/>
      <c r="NJS142" s="22"/>
      <c r="NJT142" s="22"/>
      <c r="NJU142" s="22"/>
      <c r="NJV142" s="22"/>
      <c r="NJW142" s="22"/>
      <c r="NJX142" s="22"/>
      <c r="NJY142" s="22"/>
      <c r="NJZ142" s="22"/>
      <c r="NKA142" s="22"/>
      <c r="NKB142" s="22"/>
      <c r="NKC142" s="22"/>
      <c r="NKD142" s="22"/>
      <c r="NKE142" s="22"/>
      <c r="NKF142" s="22"/>
      <c r="NKG142" s="22"/>
      <c r="NKH142" s="22"/>
      <c r="NKI142" s="22"/>
      <c r="NKJ142" s="22"/>
      <c r="NKK142" s="22"/>
      <c r="NKL142" s="22"/>
      <c r="NKM142" s="22"/>
      <c r="NKN142" s="22"/>
      <c r="NKO142" s="22"/>
      <c r="NKP142" s="22"/>
      <c r="NKQ142" s="22"/>
      <c r="NKR142" s="22"/>
      <c r="NKS142" s="22"/>
      <c r="NKT142" s="22"/>
      <c r="NKU142" s="22"/>
      <c r="NKV142" s="22"/>
      <c r="NKW142" s="22"/>
      <c r="NKX142" s="22"/>
      <c r="NKY142" s="22"/>
      <c r="NKZ142" s="22"/>
      <c r="NLA142" s="22"/>
      <c r="NLB142" s="22"/>
      <c r="NLC142" s="22"/>
      <c r="NLD142" s="22"/>
      <c r="NLE142" s="22"/>
      <c r="NLF142" s="22"/>
      <c r="NLG142" s="22"/>
      <c r="NLH142" s="22"/>
      <c r="NLI142" s="22"/>
      <c r="NLJ142" s="22"/>
      <c r="NLK142" s="22"/>
      <c r="NLL142" s="22"/>
      <c r="NLM142" s="22"/>
      <c r="NLN142" s="22"/>
      <c r="NLO142" s="22"/>
      <c r="NLP142" s="22"/>
      <c r="NLQ142" s="22"/>
      <c r="NLR142" s="22"/>
      <c r="NLS142" s="22"/>
      <c r="NLT142" s="22"/>
      <c r="NLU142" s="22"/>
      <c r="NLV142" s="22"/>
      <c r="NLW142" s="22"/>
      <c r="NLX142" s="22"/>
      <c r="NLY142" s="22"/>
      <c r="NLZ142" s="22"/>
      <c r="NMA142" s="22"/>
      <c r="NMB142" s="22"/>
      <c r="NMC142" s="22"/>
      <c r="NMD142" s="22"/>
      <c r="NME142" s="22"/>
      <c r="NMF142" s="22"/>
      <c r="NMG142" s="22"/>
      <c r="NMH142" s="22"/>
      <c r="NMI142" s="22"/>
      <c r="NMJ142" s="22"/>
      <c r="NMK142" s="22"/>
      <c r="NML142" s="22"/>
      <c r="NMM142" s="22"/>
      <c r="NMN142" s="22"/>
      <c r="NMO142" s="22"/>
      <c r="NMP142" s="22"/>
      <c r="NMQ142" s="22"/>
      <c r="NMR142" s="22"/>
      <c r="NMS142" s="22"/>
      <c r="NMT142" s="22"/>
      <c r="NMU142" s="22"/>
      <c r="NMV142" s="22"/>
      <c r="NMW142" s="22"/>
      <c r="NMX142" s="22"/>
      <c r="NMY142" s="22"/>
      <c r="NMZ142" s="22"/>
      <c r="NNA142" s="22"/>
      <c r="NNB142" s="22"/>
      <c r="NNC142" s="22"/>
      <c r="NND142" s="22"/>
      <c r="NNE142" s="22"/>
      <c r="NNF142" s="22"/>
      <c r="NNG142" s="22"/>
      <c r="NNH142" s="22"/>
      <c r="NNI142" s="22"/>
      <c r="NNJ142" s="22"/>
      <c r="NNK142" s="22"/>
      <c r="NNL142" s="22"/>
      <c r="NNM142" s="22"/>
      <c r="NNN142" s="22"/>
      <c r="NNO142" s="22"/>
      <c r="NNP142" s="22"/>
      <c r="NNQ142" s="22"/>
      <c r="NNR142" s="22"/>
      <c r="NNS142" s="22"/>
      <c r="NNT142" s="22"/>
      <c r="NNU142" s="22"/>
      <c r="NNV142" s="22"/>
      <c r="NNW142" s="22"/>
      <c r="NNX142" s="22"/>
      <c r="NNY142" s="22"/>
      <c r="NNZ142" s="22"/>
      <c r="NOA142" s="22"/>
      <c r="NOB142" s="22"/>
      <c r="NOC142" s="22"/>
      <c r="NOD142" s="22"/>
      <c r="NOE142" s="22"/>
      <c r="NOF142" s="22"/>
      <c r="NOG142" s="22"/>
      <c r="NOH142" s="22"/>
      <c r="NOI142" s="22"/>
      <c r="NOJ142" s="22"/>
      <c r="NOK142" s="22"/>
      <c r="NOL142" s="22"/>
      <c r="NOM142" s="22"/>
      <c r="NON142" s="22"/>
      <c r="NOO142" s="22"/>
      <c r="NOP142" s="22"/>
      <c r="NOQ142" s="22"/>
      <c r="NOR142" s="22"/>
      <c r="NOS142" s="22"/>
      <c r="NOT142" s="22"/>
      <c r="NOU142" s="22"/>
      <c r="NOV142" s="22"/>
      <c r="NOW142" s="22"/>
      <c r="NOX142" s="22"/>
      <c r="NOY142" s="22"/>
      <c r="NOZ142" s="22"/>
      <c r="NPA142" s="22"/>
      <c r="NPB142" s="22"/>
      <c r="NPC142" s="22"/>
      <c r="NPD142" s="22"/>
      <c r="NPE142" s="22"/>
      <c r="NPF142" s="22"/>
      <c r="NPG142" s="22"/>
      <c r="NPH142" s="22"/>
      <c r="NPI142" s="22"/>
      <c r="NPJ142" s="22"/>
      <c r="NPK142" s="22"/>
      <c r="NPL142" s="22"/>
      <c r="NPM142" s="22"/>
      <c r="NPN142" s="22"/>
      <c r="NPO142" s="22"/>
      <c r="NPP142" s="22"/>
      <c r="NPQ142" s="22"/>
      <c r="NPR142" s="22"/>
      <c r="NPS142" s="22"/>
      <c r="NPT142" s="22"/>
      <c r="NPU142" s="22"/>
      <c r="NPV142" s="22"/>
      <c r="NPW142" s="22"/>
      <c r="NPX142" s="22"/>
      <c r="NPY142" s="22"/>
      <c r="NPZ142" s="22"/>
      <c r="NQA142" s="22"/>
      <c r="NQB142" s="22"/>
      <c r="NQC142" s="22"/>
      <c r="NQD142" s="22"/>
      <c r="NQE142" s="22"/>
      <c r="NQF142" s="22"/>
      <c r="NQG142" s="22"/>
      <c r="NQH142" s="22"/>
      <c r="NQI142" s="22"/>
      <c r="NQJ142" s="22"/>
      <c r="NQK142" s="22"/>
      <c r="NQL142" s="22"/>
      <c r="NQM142" s="22"/>
      <c r="NQN142" s="22"/>
      <c r="NQO142" s="22"/>
      <c r="NQP142" s="22"/>
      <c r="NQQ142" s="22"/>
      <c r="NQR142" s="22"/>
      <c r="NQS142" s="22"/>
      <c r="NQT142" s="22"/>
      <c r="NQU142" s="22"/>
      <c r="NQV142" s="22"/>
      <c r="NQW142" s="22"/>
      <c r="NQX142" s="22"/>
      <c r="NQY142" s="22"/>
      <c r="NQZ142" s="22"/>
      <c r="NRA142" s="22"/>
      <c r="NRB142" s="22"/>
      <c r="NRC142" s="22"/>
      <c r="NRD142" s="22"/>
      <c r="NRE142" s="22"/>
      <c r="NRF142" s="22"/>
      <c r="NRG142" s="22"/>
      <c r="NRH142" s="22"/>
      <c r="NRI142" s="22"/>
      <c r="NRJ142" s="22"/>
      <c r="NRK142" s="22"/>
      <c r="NRL142" s="22"/>
      <c r="NRM142" s="22"/>
      <c r="NRN142" s="22"/>
      <c r="NRO142" s="22"/>
      <c r="NRP142" s="22"/>
      <c r="NRQ142" s="22"/>
      <c r="NRR142" s="22"/>
      <c r="NRS142" s="22"/>
      <c r="NRT142" s="22"/>
      <c r="NRU142" s="22"/>
      <c r="NRV142" s="22"/>
      <c r="NRW142" s="22"/>
      <c r="NRX142" s="22"/>
      <c r="NRY142" s="22"/>
      <c r="NRZ142" s="22"/>
      <c r="NSA142" s="22"/>
      <c r="NSB142" s="22"/>
      <c r="NSC142" s="22"/>
      <c r="NSD142" s="22"/>
      <c r="NSE142" s="22"/>
      <c r="NSF142" s="22"/>
      <c r="NSG142" s="22"/>
      <c r="NSH142" s="22"/>
      <c r="NSI142" s="22"/>
      <c r="NSJ142" s="22"/>
      <c r="NSK142" s="22"/>
      <c r="NSL142" s="22"/>
      <c r="NSM142" s="22"/>
      <c r="NSN142" s="22"/>
      <c r="NSO142" s="22"/>
      <c r="NSP142" s="22"/>
      <c r="NSQ142" s="22"/>
      <c r="NSR142" s="22"/>
      <c r="NSS142" s="22"/>
      <c r="NST142" s="22"/>
      <c r="NSU142" s="22"/>
      <c r="NSV142" s="22"/>
      <c r="NSW142" s="22"/>
      <c r="NSX142" s="22"/>
      <c r="NSY142" s="22"/>
      <c r="NSZ142" s="22"/>
      <c r="NTA142" s="22"/>
      <c r="NTB142" s="22"/>
      <c r="NTC142" s="22"/>
      <c r="NTD142" s="22"/>
      <c r="NTE142" s="22"/>
      <c r="NTF142" s="22"/>
      <c r="NTG142" s="22"/>
      <c r="NTH142" s="22"/>
      <c r="NTI142" s="22"/>
      <c r="NTJ142" s="22"/>
      <c r="NTK142" s="22"/>
      <c r="NTL142" s="22"/>
      <c r="NTM142" s="22"/>
      <c r="NTN142" s="22"/>
      <c r="NTO142" s="22"/>
      <c r="NTP142" s="22"/>
      <c r="NTQ142" s="22"/>
      <c r="NTR142" s="22"/>
      <c r="NTS142" s="22"/>
      <c r="NTT142" s="22"/>
      <c r="NTU142" s="22"/>
      <c r="NTV142" s="22"/>
      <c r="NTW142" s="22"/>
      <c r="NTX142" s="22"/>
      <c r="NTY142" s="22"/>
      <c r="NTZ142" s="22"/>
      <c r="NUA142" s="22"/>
      <c r="NUB142" s="22"/>
      <c r="NUC142" s="22"/>
      <c r="NUD142" s="22"/>
      <c r="NUE142" s="22"/>
      <c r="NUF142" s="22"/>
      <c r="NUG142" s="22"/>
      <c r="NUH142" s="22"/>
      <c r="NUI142" s="22"/>
      <c r="NUJ142" s="22"/>
      <c r="NUK142" s="22"/>
      <c r="NUL142" s="22"/>
      <c r="NUM142" s="22"/>
      <c r="NUN142" s="22"/>
      <c r="NUO142" s="22"/>
      <c r="NUP142" s="22"/>
      <c r="NUQ142" s="22"/>
      <c r="NUR142" s="22"/>
      <c r="NUS142" s="22"/>
      <c r="NUT142" s="22"/>
      <c r="NUU142" s="22"/>
      <c r="NUV142" s="22"/>
      <c r="NUW142" s="22"/>
      <c r="NUX142" s="22"/>
      <c r="NUY142" s="22"/>
      <c r="NUZ142" s="22"/>
      <c r="NVA142" s="22"/>
      <c r="NVB142" s="22"/>
      <c r="NVC142" s="22"/>
      <c r="NVD142" s="22"/>
      <c r="NVE142" s="22"/>
      <c r="NVF142" s="22"/>
      <c r="NVG142" s="22"/>
      <c r="NVH142" s="22"/>
      <c r="NVI142" s="22"/>
      <c r="NVJ142" s="22"/>
      <c r="NVK142" s="22"/>
      <c r="NVL142" s="22"/>
      <c r="NVM142" s="22"/>
      <c r="NVN142" s="22"/>
      <c r="NVO142" s="22"/>
      <c r="NVP142" s="22"/>
      <c r="NVQ142" s="22"/>
      <c r="NVR142" s="22"/>
      <c r="NVS142" s="22"/>
      <c r="NVT142" s="22"/>
      <c r="NVU142" s="22"/>
      <c r="NVV142" s="22"/>
      <c r="NVW142" s="22"/>
      <c r="NVX142" s="22"/>
      <c r="NVY142" s="22"/>
      <c r="NVZ142" s="22"/>
      <c r="NWA142" s="22"/>
      <c r="NWB142" s="22"/>
      <c r="NWC142" s="22"/>
      <c r="NWD142" s="22"/>
      <c r="NWE142" s="22"/>
      <c r="NWF142" s="22"/>
      <c r="NWG142" s="22"/>
      <c r="NWH142" s="22"/>
      <c r="NWI142" s="22"/>
      <c r="NWJ142" s="22"/>
      <c r="NWK142" s="22"/>
      <c r="NWL142" s="22"/>
      <c r="NWM142" s="22"/>
      <c r="NWN142" s="22"/>
      <c r="NWO142" s="22"/>
      <c r="NWP142" s="22"/>
      <c r="NWQ142" s="22"/>
      <c r="NWR142" s="22"/>
      <c r="NWS142" s="22"/>
      <c r="NWT142" s="22"/>
      <c r="NWU142" s="22"/>
      <c r="NWV142" s="22"/>
      <c r="NWW142" s="22"/>
      <c r="NWX142" s="22"/>
      <c r="NWY142" s="22"/>
      <c r="NWZ142" s="22"/>
      <c r="NXA142" s="22"/>
      <c r="NXB142" s="22"/>
      <c r="NXC142" s="22"/>
      <c r="NXD142" s="22"/>
      <c r="NXE142" s="22"/>
      <c r="NXF142" s="22"/>
      <c r="NXG142" s="22"/>
      <c r="NXH142" s="22"/>
      <c r="NXI142" s="22"/>
      <c r="NXJ142" s="22"/>
      <c r="NXK142" s="22"/>
      <c r="NXL142" s="22"/>
      <c r="NXM142" s="22"/>
      <c r="NXN142" s="22"/>
      <c r="NXO142" s="22"/>
      <c r="NXP142" s="22"/>
      <c r="NXQ142" s="22"/>
      <c r="NXR142" s="22"/>
      <c r="NXS142" s="22"/>
      <c r="NXT142" s="22"/>
      <c r="NXU142" s="22"/>
      <c r="NXV142" s="22"/>
      <c r="NXW142" s="22"/>
      <c r="NXX142" s="22"/>
      <c r="NXY142" s="22"/>
      <c r="NXZ142" s="22"/>
      <c r="NYA142" s="22"/>
      <c r="NYB142" s="22"/>
      <c r="NYC142" s="22"/>
      <c r="NYD142" s="22"/>
      <c r="NYE142" s="22"/>
      <c r="NYF142" s="22"/>
      <c r="NYG142" s="22"/>
      <c r="NYH142" s="22"/>
      <c r="NYI142" s="22"/>
      <c r="NYJ142" s="22"/>
      <c r="NYK142" s="22"/>
      <c r="NYL142" s="22"/>
      <c r="NYM142" s="22"/>
      <c r="NYN142" s="22"/>
      <c r="NYO142" s="22"/>
      <c r="NYP142" s="22"/>
      <c r="NYQ142" s="22"/>
      <c r="NYR142" s="22"/>
      <c r="NYS142" s="22"/>
      <c r="NYT142" s="22"/>
      <c r="NYU142" s="22"/>
      <c r="NYV142" s="22"/>
      <c r="NYW142" s="22"/>
      <c r="NYX142" s="22"/>
      <c r="NYY142" s="22"/>
      <c r="NYZ142" s="22"/>
      <c r="NZA142" s="22"/>
      <c r="NZB142" s="22"/>
      <c r="NZC142" s="22"/>
      <c r="NZD142" s="22"/>
      <c r="NZE142" s="22"/>
      <c r="NZF142" s="22"/>
      <c r="NZG142" s="22"/>
      <c r="NZH142" s="22"/>
      <c r="NZI142" s="22"/>
      <c r="NZJ142" s="22"/>
      <c r="NZK142" s="22"/>
      <c r="NZL142" s="22"/>
      <c r="NZM142" s="22"/>
      <c r="NZN142" s="22"/>
      <c r="NZO142" s="22"/>
      <c r="NZP142" s="22"/>
      <c r="NZQ142" s="22"/>
      <c r="NZR142" s="22"/>
      <c r="NZS142" s="22"/>
      <c r="NZT142" s="22"/>
      <c r="NZU142" s="22"/>
      <c r="NZV142" s="22"/>
      <c r="NZW142" s="22"/>
      <c r="NZX142" s="22"/>
      <c r="NZY142" s="22"/>
      <c r="NZZ142" s="22"/>
      <c r="OAA142" s="22"/>
      <c r="OAB142" s="22"/>
      <c r="OAC142" s="22"/>
      <c r="OAD142" s="22"/>
      <c r="OAE142" s="22"/>
      <c r="OAF142" s="22"/>
      <c r="OAG142" s="22"/>
      <c r="OAH142" s="22"/>
      <c r="OAI142" s="22"/>
      <c r="OAJ142" s="22"/>
      <c r="OAK142" s="22"/>
      <c r="OAL142" s="22"/>
      <c r="OAM142" s="22"/>
      <c r="OAN142" s="22"/>
      <c r="OAO142" s="22"/>
      <c r="OAP142" s="22"/>
      <c r="OAQ142" s="22"/>
      <c r="OAR142" s="22"/>
      <c r="OAS142" s="22"/>
      <c r="OAT142" s="22"/>
      <c r="OAU142" s="22"/>
      <c r="OAV142" s="22"/>
      <c r="OAW142" s="22"/>
      <c r="OAX142" s="22"/>
      <c r="OAY142" s="22"/>
      <c r="OAZ142" s="22"/>
      <c r="OBA142" s="22"/>
      <c r="OBB142" s="22"/>
      <c r="OBC142" s="22"/>
      <c r="OBD142" s="22"/>
      <c r="OBE142" s="22"/>
      <c r="OBF142" s="22"/>
      <c r="OBG142" s="22"/>
      <c r="OBH142" s="22"/>
      <c r="OBI142" s="22"/>
      <c r="OBJ142" s="22"/>
      <c r="OBK142" s="22"/>
      <c r="OBL142" s="22"/>
      <c r="OBM142" s="22"/>
      <c r="OBN142" s="22"/>
      <c r="OBO142" s="22"/>
      <c r="OBP142" s="22"/>
      <c r="OBQ142" s="22"/>
      <c r="OBR142" s="22"/>
      <c r="OBS142" s="22"/>
      <c r="OBT142" s="22"/>
      <c r="OBU142" s="22"/>
      <c r="OBV142" s="22"/>
      <c r="OBW142" s="22"/>
      <c r="OBX142" s="22"/>
      <c r="OBY142" s="22"/>
      <c r="OBZ142" s="22"/>
      <c r="OCA142" s="22"/>
      <c r="OCB142" s="22"/>
      <c r="OCC142" s="22"/>
      <c r="OCD142" s="22"/>
      <c r="OCE142" s="22"/>
      <c r="OCF142" s="22"/>
      <c r="OCG142" s="22"/>
      <c r="OCH142" s="22"/>
      <c r="OCI142" s="22"/>
      <c r="OCJ142" s="22"/>
      <c r="OCK142" s="22"/>
      <c r="OCL142" s="22"/>
      <c r="OCM142" s="22"/>
      <c r="OCN142" s="22"/>
      <c r="OCO142" s="22"/>
      <c r="OCP142" s="22"/>
      <c r="OCQ142" s="22"/>
      <c r="OCR142" s="22"/>
      <c r="OCS142" s="22"/>
      <c r="OCT142" s="22"/>
      <c r="OCU142" s="22"/>
      <c r="OCV142" s="22"/>
      <c r="OCW142" s="22"/>
      <c r="OCX142" s="22"/>
      <c r="OCY142" s="22"/>
      <c r="OCZ142" s="22"/>
      <c r="ODA142" s="22"/>
      <c r="ODB142" s="22"/>
      <c r="ODC142" s="22"/>
      <c r="ODD142" s="22"/>
      <c r="ODE142" s="22"/>
      <c r="ODF142" s="22"/>
      <c r="ODG142" s="22"/>
      <c r="ODH142" s="22"/>
      <c r="ODI142" s="22"/>
      <c r="ODJ142" s="22"/>
      <c r="ODK142" s="22"/>
      <c r="ODL142" s="22"/>
      <c r="ODM142" s="22"/>
      <c r="ODN142" s="22"/>
      <c r="ODO142" s="22"/>
      <c r="ODP142" s="22"/>
      <c r="ODQ142" s="22"/>
      <c r="ODR142" s="22"/>
      <c r="ODS142" s="22"/>
      <c r="ODT142" s="22"/>
      <c r="ODU142" s="22"/>
      <c r="ODV142" s="22"/>
      <c r="ODW142" s="22"/>
      <c r="ODX142" s="22"/>
      <c r="ODY142" s="22"/>
      <c r="ODZ142" s="22"/>
      <c r="OEA142" s="22"/>
      <c r="OEB142" s="22"/>
      <c r="OEC142" s="22"/>
      <c r="OED142" s="22"/>
      <c r="OEE142" s="22"/>
      <c r="OEF142" s="22"/>
      <c r="OEG142" s="22"/>
      <c r="OEH142" s="22"/>
      <c r="OEI142" s="22"/>
      <c r="OEJ142" s="22"/>
      <c r="OEK142" s="22"/>
      <c r="OEL142" s="22"/>
      <c r="OEM142" s="22"/>
      <c r="OEN142" s="22"/>
      <c r="OEO142" s="22"/>
      <c r="OEP142" s="22"/>
      <c r="OEQ142" s="22"/>
      <c r="OER142" s="22"/>
      <c r="OES142" s="22"/>
      <c r="OET142" s="22"/>
      <c r="OEU142" s="22"/>
      <c r="OEV142" s="22"/>
      <c r="OEW142" s="22"/>
      <c r="OEX142" s="22"/>
      <c r="OEY142" s="22"/>
      <c r="OEZ142" s="22"/>
      <c r="OFA142" s="22"/>
      <c r="OFB142" s="22"/>
      <c r="OFC142" s="22"/>
      <c r="OFD142" s="22"/>
      <c r="OFE142" s="22"/>
      <c r="OFF142" s="22"/>
      <c r="OFG142" s="22"/>
      <c r="OFH142" s="22"/>
      <c r="OFI142" s="22"/>
      <c r="OFJ142" s="22"/>
      <c r="OFK142" s="22"/>
      <c r="OFL142" s="22"/>
      <c r="OFM142" s="22"/>
      <c r="OFN142" s="22"/>
      <c r="OFO142" s="22"/>
      <c r="OFP142" s="22"/>
      <c r="OFQ142" s="22"/>
      <c r="OFR142" s="22"/>
      <c r="OFS142" s="22"/>
      <c r="OFT142" s="22"/>
      <c r="OFU142" s="22"/>
      <c r="OFV142" s="22"/>
      <c r="OFW142" s="22"/>
      <c r="OFX142" s="22"/>
      <c r="OFY142" s="22"/>
      <c r="OFZ142" s="22"/>
      <c r="OGA142" s="22"/>
      <c r="OGB142" s="22"/>
      <c r="OGC142" s="22"/>
      <c r="OGD142" s="22"/>
      <c r="OGE142" s="22"/>
      <c r="OGF142" s="22"/>
      <c r="OGG142" s="22"/>
      <c r="OGH142" s="22"/>
      <c r="OGI142" s="22"/>
      <c r="OGJ142" s="22"/>
      <c r="OGK142" s="22"/>
      <c r="OGL142" s="22"/>
      <c r="OGM142" s="22"/>
      <c r="OGN142" s="22"/>
      <c r="OGO142" s="22"/>
      <c r="OGP142" s="22"/>
      <c r="OGQ142" s="22"/>
      <c r="OGR142" s="22"/>
      <c r="OGS142" s="22"/>
      <c r="OGT142" s="22"/>
      <c r="OGU142" s="22"/>
      <c r="OGV142" s="22"/>
      <c r="OGW142" s="22"/>
      <c r="OGX142" s="22"/>
      <c r="OGY142" s="22"/>
      <c r="OGZ142" s="22"/>
      <c r="OHA142" s="22"/>
      <c r="OHB142" s="22"/>
      <c r="OHC142" s="22"/>
      <c r="OHD142" s="22"/>
      <c r="OHE142" s="22"/>
      <c r="OHF142" s="22"/>
      <c r="OHG142" s="22"/>
      <c r="OHH142" s="22"/>
      <c r="OHI142" s="22"/>
      <c r="OHJ142" s="22"/>
      <c r="OHK142" s="22"/>
      <c r="OHL142" s="22"/>
      <c r="OHM142" s="22"/>
      <c r="OHN142" s="22"/>
      <c r="OHO142" s="22"/>
      <c r="OHP142" s="22"/>
      <c r="OHQ142" s="22"/>
      <c r="OHR142" s="22"/>
      <c r="OHS142" s="22"/>
      <c r="OHT142" s="22"/>
      <c r="OHU142" s="22"/>
      <c r="OHV142" s="22"/>
      <c r="OHW142" s="22"/>
      <c r="OHX142" s="22"/>
      <c r="OHY142" s="22"/>
      <c r="OHZ142" s="22"/>
      <c r="OIA142" s="22"/>
      <c r="OIB142" s="22"/>
      <c r="OIC142" s="22"/>
      <c r="OID142" s="22"/>
      <c r="OIE142" s="22"/>
      <c r="OIF142" s="22"/>
      <c r="OIG142" s="22"/>
      <c r="OIH142" s="22"/>
      <c r="OII142" s="22"/>
      <c r="OIJ142" s="22"/>
      <c r="OIK142" s="22"/>
      <c r="OIL142" s="22"/>
      <c r="OIM142" s="22"/>
      <c r="OIN142" s="22"/>
      <c r="OIO142" s="22"/>
      <c r="OIP142" s="22"/>
      <c r="OIQ142" s="22"/>
      <c r="OIR142" s="22"/>
      <c r="OIS142" s="22"/>
      <c r="OIT142" s="22"/>
      <c r="OIU142" s="22"/>
      <c r="OIV142" s="22"/>
      <c r="OIW142" s="22"/>
      <c r="OIX142" s="22"/>
      <c r="OIY142" s="22"/>
      <c r="OIZ142" s="22"/>
      <c r="OJA142" s="22"/>
      <c r="OJB142" s="22"/>
      <c r="OJC142" s="22"/>
      <c r="OJD142" s="22"/>
      <c r="OJE142" s="22"/>
      <c r="OJF142" s="22"/>
      <c r="OJG142" s="22"/>
      <c r="OJH142" s="22"/>
      <c r="OJI142" s="22"/>
      <c r="OJJ142" s="22"/>
      <c r="OJK142" s="22"/>
      <c r="OJL142" s="22"/>
      <c r="OJM142" s="22"/>
      <c r="OJN142" s="22"/>
      <c r="OJO142" s="22"/>
      <c r="OJP142" s="22"/>
      <c r="OJQ142" s="22"/>
      <c r="OJR142" s="22"/>
      <c r="OJS142" s="22"/>
      <c r="OJT142" s="22"/>
      <c r="OJU142" s="22"/>
      <c r="OJV142" s="22"/>
      <c r="OJW142" s="22"/>
      <c r="OJX142" s="22"/>
      <c r="OJY142" s="22"/>
      <c r="OJZ142" s="22"/>
      <c r="OKA142" s="22"/>
      <c r="OKB142" s="22"/>
      <c r="OKC142" s="22"/>
      <c r="OKD142" s="22"/>
      <c r="OKE142" s="22"/>
      <c r="OKF142" s="22"/>
      <c r="OKG142" s="22"/>
      <c r="OKH142" s="22"/>
      <c r="OKI142" s="22"/>
      <c r="OKJ142" s="22"/>
      <c r="OKK142" s="22"/>
      <c r="OKL142" s="22"/>
      <c r="OKM142" s="22"/>
      <c r="OKN142" s="22"/>
      <c r="OKO142" s="22"/>
      <c r="OKP142" s="22"/>
      <c r="OKQ142" s="22"/>
      <c r="OKR142" s="22"/>
      <c r="OKS142" s="22"/>
      <c r="OKT142" s="22"/>
      <c r="OKU142" s="22"/>
      <c r="OKV142" s="22"/>
      <c r="OKW142" s="22"/>
      <c r="OKX142" s="22"/>
      <c r="OKY142" s="22"/>
      <c r="OKZ142" s="22"/>
      <c r="OLA142" s="22"/>
      <c r="OLB142" s="22"/>
      <c r="OLC142" s="22"/>
      <c r="OLD142" s="22"/>
      <c r="OLE142" s="22"/>
      <c r="OLF142" s="22"/>
      <c r="OLG142" s="22"/>
      <c r="OLH142" s="22"/>
      <c r="OLI142" s="22"/>
      <c r="OLJ142" s="22"/>
      <c r="OLK142" s="22"/>
      <c r="OLL142" s="22"/>
      <c r="OLM142" s="22"/>
      <c r="OLN142" s="22"/>
      <c r="OLO142" s="22"/>
      <c r="OLP142" s="22"/>
      <c r="OLQ142" s="22"/>
      <c r="OLR142" s="22"/>
      <c r="OLS142" s="22"/>
      <c r="OLT142" s="22"/>
      <c r="OLU142" s="22"/>
      <c r="OLV142" s="22"/>
      <c r="OLW142" s="22"/>
      <c r="OLX142" s="22"/>
      <c r="OLY142" s="22"/>
      <c r="OLZ142" s="22"/>
      <c r="OMA142" s="22"/>
      <c r="OMB142" s="22"/>
      <c r="OMC142" s="22"/>
      <c r="OMD142" s="22"/>
      <c r="OME142" s="22"/>
      <c r="OMF142" s="22"/>
      <c r="OMG142" s="22"/>
      <c r="OMH142" s="22"/>
      <c r="OMI142" s="22"/>
      <c r="OMJ142" s="22"/>
      <c r="OMK142" s="22"/>
      <c r="OML142" s="22"/>
      <c r="OMM142" s="22"/>
      <c r="OMN142" s="22"/>
      <c r="OMO142" s="22"/>
      <c r="OMP142" s="22"/>
      <c r="OMQ142" s="22"/>
      <c r="OMR142" s="22"/>
      <c r="OMS142" s="22"/>
      <c r="OMT142" s="22"/>
      <c r="OMU142" s="22"/>
      <c r="OMV142" s="22"/>
      <c r="OMW142" s="22"/>
      <c r="OMX142" s="22"/>
      <c r="OMY142" s="22"/>
      <c r="OMZ142" s="22"/>
      <c r="ONA142" s="22"/>
      <c r="ONB142" s="22"/>
      <c r="ONC142" s="22"/>
      <c r="OND142" s="22"/>
      <c r="ONE142" s="22"/>
      <c r="ONF142" s="22"/>
      <c r="ONG142" s="22"/>
      <c r="ONH142" s="22"/>
      <c r="ONI142" s="22"/>
      <c r="ONJ142" s="22"/>
      <c r="ONK142" s="22"/>
      <c r="ONL142" s="22"/>
      <c r="ONM142" s="22"/>
      <c r="ONN142" s="22"/>
      <c r="ONO142" s="22"/>
      <c r="ONP142" s="22"/>
      <c r="ONQ142" s="22"/>
      <c r="ONR142" s="22"/>
      <c r="ONS142" s="22"/>
      <c r="ONT142" s="22"/>
      <c r="ONU142" s="22"/>
      <c r="ONV142" s="22"/>
      <c r="ONW142" s="22"/>
      <c r="ONX142" s="22"/>
      <c r="ONY142" s="22"/>
      <c r="ONZ142" s="22"/>
      <c r="OOA142" s="22"/>
      <c r="OOB142" s="22"/>
      <c r="OOC142" s="22"/>
      <c r="OOD142" s="22"/>
      <c r="OOE142" s="22"/>
      <c r="OOF142" s="22"/>
      <c r="OOG142" s="22"/>
      <c r="OOH142" s="22"/>
      <c r="OOI142" s="22"/>
      <c r="OOJ142" s="22"/>
      <c r="OOK142" s="22"/>
      <c r="OOL142" s="22"/>
      <c r="OOM142" s="22"/>
      <c r="OON142" s="22"/>
      <c r="OOO142" s="22"/>
      <c r="OOP142" s="22"/>
      <c r="OOQ142" s="22"/>
      <c r="OOR142" s="22"/>
      <c r="OOS142" s="22"/>
      <c r="OOT142" s="22"/>
      <c r="OOU142" s="22"/>
      <c r="OOV142" s="22"/>
      <c r="OOW142" s="22"/>
      <c r="OOX142" s="22"/>
      <c r="OOY142" s="22"/>
      <c r="OOZ142" s="22"/>
      <c r="OPA142" s="22"/>
      <c r="OPB142" s="22"/>
      <c r="OPC142" s="22"/>
      <c r="OPD142" s="22"/>
      <c r="OPE142" s="22"/>
      <c r="OPF142" s="22"/>
      <c r="OPG142" s="22"/>
      <c r="OPH142" s="22"/>
      <c r="OPI142" s="22"/>
      <c r="OPJ142" s="22"/>
      <c r="OPK142" s="22"/>
      <c r="OPL142" s="22"/>
      <c r="OPM142" s="22"/>
      <c r="OPN142" s="22"/>
      <c r="OPO142" s="22"/>
      <c r="OPP142" s="22"/>
      <c r="OPQ142" s="22"/>
      <c r="OPR142" s="22"/>
      <c r="OPS142" s="22"/>
      <c r="OPT142" s="22"/>
      <c r="OPU142" s="22"/>
      <c r="OPV142" s="22"/>
      <c r="OPW142" s="22"/>
      <c r="OPX142" s="22"/>
      <c r="OPY142" s="22"/>
      <c r="OPZ142" s="22"/>
      <c r="OQA142" s="22"/>
      <c r="OQB142" s="22"/>
      <c r="OQC142" s="22"/>
      <c r="OQD142" s="22"/>
      <c r="OQE142" s="22"/>
      <c r="OQF142" s="22"/>
      <c r="OQG142" s="22"/>
      <c r="OQH142" s="22"/>
      <c r="OQI142" s="22"/>
      <c r="OQJ142" s="22"/>
      <c r="OQK142" s="22"/>
      <c r="OQL142" s="22"/>
      <c r="OQM142" s="22"/>
      <c r="OQN142" s="22"/>
      <c r="OQO142" s="22"/>
      <c r="OQP142" s="22"/>
      <c r="OQQ142" s="22"/>
      <c r="OQR142" s="22"/>
      <c r="OQS142" s="22"/>
      <c r="OQT142" s="22"/>
      <c r="OQU142" s="22"/>
      <c r="OQV142" s="22"/>
      <c r="OQW142" s="22"/>
      <c r="OQX142" s="22"/>
      <c r="OQY142" s="22"/>
      <c r="OQZ142" s="22"/>
      <c r="ORA142" s="22"/>
      <c r="ORB142" s="22"/>
      <c r="ORC142" s="22"/>
      <c r="ORD142" s="22"/>
      <c r="ORE142" s="22"/>
      <c r="ORF142" s="22"/>
      <c r="ORG142" s="22"/>
      <c r="ORH142" s="22"/>
      <c r="ORI142" s="22"/>
      <c r="ORJ142" s="22"/>
      <c r="ORK142" s="22"/>
      <c r="ORL142" s="22"/>
      <c r="ORM142" s="22"/>
      <c r="ORN142" s="22"/>
      <c r="ORO142" s="22"/>
      <c r="ORP142" s="22"/>
      <c r="ORQ142" s="22"/>
      <c r="ORR142" s="22"/>
      <c r="ORS142" s="22"/>
      <c r="ORT142" s="22"/>
      <c r="ORU142" s="22"/>
      <c r="ORV142" s="22"/>
      <c r="ORW142" s="22"/>
      <c r="ORX142" s="22"/>
      <c r="ORY142" s="22"/>
      <c r="ORZ142" s="22"/>
      <c r="OSA142" s="22"/>
      <c r="OSB142" s="22"/>
      <c r="OSC142" s="22"/>
      <c r="OSD142" s="22"/>
      <c r="OSE142" s="22"/>
      <c r="OSF142" s="22"/>
      <c r="OSG142" s="22"/>
      <c r="OSH142" s="22"/>
      <c r="OSI142" s="22"/>
      <c r="OSJ142" s="22"/>
      <c r="OSK142" s="22"/>
      <c r="OSL142" s="22"/>
      <c r="OSM142" s="22"/>
      <c r="OSN142" s="22"/>
      <c r="OSO142" s="22"/>
      <c r="OSP142" s="22"/>
      <c r="OSQ142" s="22"/>
      <c r="OSR142" s="22"/>
      <c r="OSS142" s="22"/>
      <c r="OST142" s="22"/>
      <c r="OSU142" s="22"/>
      <c r="OSV142" s="22"/>
      <c r="OSW142" s="22"/>
      <c r="OSX142" s="22"/>
      <c r="OSY142" s="22"/>
      <c r="OSZ142" s="22"/>
      <c r="OTA142" s="22"/>
      <c r="OTB142" s="22"/>
      <c r="OTC142" s="22"/>
      <c r="OTD142" s="22"/>
      <c r="OTE142" s="22"/>
      <c r="OTF142" s="22"/>
      <c r="OTG142" s="22"/>
      <c r="OTH142" s="22"/>
      <c r="OTI142" s="22"/>
      <c r="OTJ142" s="22"/>
      <c r="OTK142" s="22"/>
      <c r="OTL142" s="22"/>
      <c r="OTM142" s="22"/>
      <c r="OTN142" s="22"/>
      <c r="OTO142" s="22"/>
      <c r="OTP142" s="22"/>
      <c r="OTQ142" s="22"/>
      <c r="OTR142" s="22"/>
      <c r="OTS142" s="22"/>
      <c r="OTT142" s="22"/>
      <c r="OTU142" s="22"/>
      <c r="OTV142" s="22"/>
      <c r="OTW142" s="22"/>
      <c r="OTX142" s="22"/>
      <c r="OTY142" s="22"/>
      <c r="OTZ142" s="22"/>
      <c r="OUA142" s="22"/>
      <c r="OUB142" s="22"/>
      <c r="OUC142" s="22"/>
      <c r="OUD142" s="22"/>
      <c r="OUE142" s="22"/>
      <c r="OUF142" s="22"/>
      <c r="OUG142" s="22"/>
      <c r="OUH142" s="22"/>
      <c r="OUI142" s="22"/>
      <c r="OUJ142" s="22"/>
      <c r="OUK142" s="22"/>
      <c r="OUL142" s="22"/>
      <c r="OUM142" s="22"/>
      <c r="OUN142" s="22"/>
      <c r="OUO142" s="22"/>
      <c r="OUP142" s="22"/>
      <c r="OUQ142" s="22"/>
      <c r="OUR142" s="22"/>
      <c r="OUS142" s="22"/>
      <c r="OUT142" s="22"/>
      <c r="OUU142" s="22"/>
      <c r="OUV142" s="22"/>
      <c r="OUW142" s="22"/>
      <c r="OUX142" s="22"/>
      <c r="OUY142" s="22"/>
      <c r="OUZ142" s="22"/>
      <c r="OVA142" s="22"/>
      <c r="OVB142" s="22"/>
      <c r="OVC142" s="22"/>
      <c r="OVD142" s="22"/>
      <c r="OVE142" s="22"/>
      <c r="OVF142" s="22"/>
      <c r="OVG142" s="22"/>
      <c r="OVH142" s="22"/>
      <c r="OVI142" s="22"/>
      <c r="OVJ142" s="22"/>
      <c r="OVK142" s="22"/>
      <c r="OVL142" s="22"/>
      <c r="OVM142" s="22"/>
      <c r="OVN142" s="22"/>
      <c r="OVO142" s="22"/>
      <c r="OVP142" s="22"/>
      <c r="OVQ142" s="22"/>
      <c r="OVR142" s="22"/>
      <c r="OVS142" s="22"/>
      <c r="OVT142" s="22"/>
      <c r="OVU142" s="22"/>
      <c r="OVV142" s="22"/>
      <c r="OVW142" s="22"/>
      <c r="OVX142" s="22"/>
      <c r="OVY142" s="22"/>
      <c r="OVZ142" s="22"/>
      <c r="OWA142" s="22"/>
      <c r="OWB142" s="22"/>
      <c r="OWC142" s="22"/>
      <c r="OWD142" s="22"/>
      <c r="OWE142" s="22"/>
      <c r="OWF142" s="22"/>
      <c r="OWG142" s="22"/>
      <c r="OWH142" s="22"/>
      <c r="OWI142" s="22"/>
      <c r="OWJ142" s="22"/>
      <c r="OWK142" s="22"/>
      <c r="OWL142" s="22"/>
      <c r="OWM142" s="22"/>
      <c r="OWN142" s="22"/>
      <c r="OWO142" s="22"/>
      <c r="OWP142" s="22"/>
      <c r="OWQ142" s="22"/>
      <c r="OWR142" s="22"/>
      <c r="OWS142" s="22"/>
      <c r="OWT142" s="22"/>
      <c r="OWU142" s="22"/>
      <c r="OWV142" s="22"/>
      <c r="OWW142" s="22"/>
      <c r="OWX142" s="22"/>
      <c r="OWY142" s="22"/>
      <c r="OWZ142" s="22"/>
      <c r="OXA142" s="22"/>
      <c r="OXB142" s="22"/>
      <c r="OXC142" s="22"/>
      <c r="OXD142" s="22"/>
      <c r="OXE142" s="22"/>
      <c r="OXF142" s="22"/>
      <c r="OXG142" s="22"/>
      <c r="OXH142" s="22"/>
      <c r="OXI142" s="22"/>
      <c r="OXJ142" s="22"/>
      <c r="OXK142" s="22"/>
      <c r="OXL142" s="22"/>
      <c r="OXM142" s="22"/>
      <c r="OXN142" s="22"/>
      <c r="OXO142" s="22"/>
      <c r="OXP142" s="22"/>
      <c r="OXQ142" s="22"/>
      <c r="OXR142" s="22"/>
      <c r="OXS142" s="22"/>
      <c r="OXT142" s="22"/>
      <c r="OXU142" s="22"/>
      <c r="OXV142" s="22"/>
      <c r="OXW142" s="22"/>
      <c r="OXX142" s="22"/>
      <c r="OXY142" s="22"/>
      <c r="OXZ142" s="22"/>
      <c r="OYA142" s="22"/>
      <c r="OYB142" s="22"/>
      <c r="OYC142" s="22"/>
      <c r="OYD142" s="22"/>
      <c r="OYE142" s="22"/>
      <c r="OYF142" s="22"/>
      <c r="OYG142" s="22"/>
      <c r="OYH142" s="22"/>
      <c r="OYI142" s="22"/>
      <c r="OYJ142" s="22"/>
      <c r="OYK142" s="22"/>
      <c r="OYL142" s="22"/>
      <c r="OYM142" s="22"/>
      <c r="OYN142" s="22"/>
      <c r="OYO142" s="22"/>
      <c r="OYP142" s="22"/>
      <c r="OYQ142" s="22"/>
      <c r="OYR142" s="22"/>
      <c r="OYS142" s="22"/>
      <c r="OYT142" s="22"/>
      <c r="OYU142" s="22"/>
      <c r="OYV142" s="22"/>
      <c r="OYW142" s="22"/>
      <c r="OYX142" s="22"/>
      <c r="OYY142" s="22"/>
      <c r="OYZ142" s="22"/>
      <c r="OZA142" s="22"/>
      <c r="OZB142" s="22"/>
      <c r="OZC142" s="22"/>
      <c r="OZD142" s="22"/>
      <c r="OZE142" s="22"/>
      <c r="OZF142" s="22"/>
      <c r="OZG142" s="22"/>
      <c r="OZH142" s="22"/>
      <c r="OZI142" s="22"/>
      <c r="OZJ142" s="22"/>
      <c r="OZK142" s="22"/>
      <c r="OZL142" s="22"/>
      <c r="OZM142" s="22"/>
      <c r="OZN142" s="22"/>
      <c r="OZO142" s="22"/>
      <c r="OZP142" s="22"/>
      <c r="OZQ142" s="22"/>
      <c r="OZR142" s="22"/>
      <c r="OZS142" s="22"/>
      <c r="OZT142" s="22"/>
      <c r="OZU142" s="22"/>
      <c r="OZV142" s="22"/>
      <c r="OZW142" s="22"/>
      <c r="OZX142" s="22"/>
      <c r="OZY142" s="22"/>
      <c r="OZZ142" s="22"/>
      <c r="PAA142" s="22"/>
      <c r="PAB142" s="22"/>
      <c r="PAC142" s="22"/>
      <c r="PAD142" s="22"/>
      <c r="PAE142" s="22"/>
      <c r="PAF142" s="22"/>
      <c r="PAG142" s="22"/>
      <c r="PAH142" s="22"/>
      <c r="PAI142" s="22"/>
      <c r="PAJ142" s="22"/>
      <c r="PAK142" s="22"/>
      <c r="PAL142" s="22"/>
      <c r="PAM142" s="22"/>
      <c r="PAN142" s="22"/>
      <c r="PAO142" s="22"/>
      <c r="PAP142" s="22"/>
      <c r="PAQ142" s="22"/>
      <c r="PAR142" s="22"/>
      <c r="PAS142" s="22"/>
      <c r="PAT142" s="22"/>
      <c r="PAU142" s="22"/>
      <c r="PAV142" s="22"/>
      <c r="PAW142" s="22"/>
      <c r="PAX142" s="22"/>
      <c r="PAY142" s="22"/>
      <c r="PAZ142" s="22"/>
      <c r="PBA142" s="22"/>
      <c r="PBB142" s="22"/>
      <c r="PBC142" s="22"/>
      <c r="PBD142" s="22"/>
      <c r="PBE142" s="22"/>
      <c r="PBF142" s="22"/>
      <c r="PBG142" s="22"/>
      <c r="PBH142" s="22"/>
      <c r="PBI142" s="22"/>
      <c r="PBJ142" s="22"/>
      <c r="PBK142" s="22"/>
      <c r="PBL142" s="22"/>
      <c r="PBM142" s="22"/>
      <c r="PBN142" s="22"/>
      <c r="PBO142" s="22"/>
      <c r="PBP142" s="22"/>
      <c r="PBQ142" s="22"/>
      <c r="PBR142" s="22"/>
      <c r="PBS142" s="22"/>
      <c r="PBT142" s="22"/>
      <c r="PBU142" s="22"/>
      <c r="PBV142" s="22"/>
      <c r="PBW142" s="22"/>
      <c r="PBX142" s="22"/>
      <c r="PBY142" s="22"/>
      <c r="PBZ142" s="22"/>
      <c r="PCA142" s="22"/>
      <c r="PCB142" s="22"/>
      <c r="PCC142" s="22"/>
      <c r="PCD142" s="22"/>
      <c r="PCE142" s="22"/>
      <c r="PCF142" s="22"/>
      <c r="PCG142" s="22"/>
      <c r="PCH142" s="22"/>
      <c r="PCI142" s="22"/>
      <c r="PCJ142" s="22"/>
      <c r="PCK142" s="22"/>
      <c r="PCL142" s="22"/>
      <c r="PCM142" s="22"/>
      <c r="PCN142" s="22"/>
      <c r="PCO142" s="22"/>
      <c r="PCP142" s="22"/>
      <c r="PCQ142" s="22"/>
      <c r="PCR142" s="22"/>
      <c r="PCS142" s="22"/>
      <c r="PCT142" s="22"/>
      <c r="PCU142" s="22"/>
      <c r="PCV142" s="22"/>
      <c r="PCW142" s="22"/>
      <c r="PCX142" s="22"/>
      <c r="PCY142" s="22"/>
      <c r="PCZ142" s="22"/>
      <c r="PDA142" s="22"/>
      <c r="PDB142" s="22"/>
      <c r="PDC142" s="22"/>
      <c r="PDD142" s="22"/>
      <c r="PDE142" s="22"/>
      <c r="PDF142" s="22"/>
      <c r="PDG142" s="22"/>
      <c r="PDH142" s="22"/>
      <c r="PDI142" s="22"/>
      <c r="PDJ142" s="22"/>
      <c r="PDK142" s="22"/>
      <c r="PDL142" s="22"/>
      <c r="PDM142" s="22"/>
      <c r="PDN142" s="22"/>
      <c r="PDO142" s="22"/>
      <c r="PDP142" s="22"/>
      <c r="PDQ142" s="22"/>
      <c r="PDR142" s="22"/>
      <c r="PDS142" s="22"/>
      <c r="PDT142" s="22"/>
      <c r="PDU142" s="22"/>
      <c r="PDV142" s="22"/>
      <c r="PDW142" s="22"/>
      <c r="PDX142" s="22"/>
      <c r="PDY142" s="22"/>
      <c r="PDZ142" s="22"/>
      <c r="PEA142" s="22"/>
      <c r="PEB142" s="22"/>
      <c r="PEC142" s="22"/>
      <c r="PED142" s="22"/>
      <c r="PEE142" s="22"/>
      <c r="PEF142" s="22"/>
      <c r="PEG142" s="22"/>
      <c r="PEH142" s="22"/>
      <c r="PEI142" s="22"/>
      <c r="PEJ142" s="22"/>
      <c r="PEK142" s="22"/>
      <c r="PEL142" s="22"/>
      <c r="PEM142" s="22"/>
      <c r="PEN142" s="22"/>
      <c r="PEO142" s="22"/>
      <c r="PEP142" s="22"/>
      <c r="PEQ142" s="22"/>
      <c r="PER142" s="22"/>
      <c r="PES142" s="22"/>
      <c r="PET142" s="22"/>
      <c r="PEU142" s="22"/>
      <c r="PEV142" s="22"/>
      <c r="PEW142" s="22"/>
      <c r="PEX142" s="22"/>
      <c r="PEY142" s="22"/>
      <c r="PEZ142" s="22"/>
      <c r="PFA142" s="22"/>
      <c r="PFB142" s="22"/>
      <c r="PFC142" s="22"/>
      <c r="PFD142" s="22"/>
      <c r="PFE142" s="22"/>
      <c r="PFF142" s="22"/>
      <c r="PFG142" s="22"/>
      <c r="PFH142" s="22"/>
      <c r="PFI142" s="22"/>
      <c r="PFJ142" s="22"/>
      <c r="PFK142" s="22"/>
      <c r="PFL142" s="22"/>
      <c r="PFM142" s="22"/>
      <c r="PFN142" s="22"/>
      <c r="PFO142" s="22"/>
      <c r="PFP142" s="22"/>
      <c r="PFQ142" s="22"/>
      <c r="PFR142" s="22"/>
      <c r="PFS142" s="22"/>
      <c r="PFT142" s="22"/>
      <c r="PFU142" s="22"/>
      <c r="PFV142" s="22"/>
      <c r="PFW142" s="22"/>
      <c r="PFX142" s="22"/>
      <c r="PFY142" s="22"/>
      <c r="PFZ142" s="22"/>
      <c r="PGA142" s="22"/>
      <c r="PGB142" s="22"/>
      <c r="PGC142" s="22"/>
      <c r="PGD142" s="22"/>
      <c r="PGE142" s="22"/>
      <c r="PGF142" s="22"/>
      <c r="PGG142" s="22"/>
      <c r="PGH142" s="22"/>
      <c r="PGI142" s="22"/>
      <c r="PGJ142" s="22"/>
      <c r="PGK142" s="22"/>
      <c r="PGL142" s="22"/>
      <c r="PGM142" s="22"/>
      <c r="PGN142" s="22"/>
      <c r="PGO142" s="22"/>
      <c r="PGP142" s="22"/>
      <c r="PGQ142" s="22"/>
      <c r="PGR142" s="22"/>
      <c r="PGS142" s="22"/>
      <c r="PGT142" s="22"/>
      <c r="PGU142" s="22"/>
      <c r="PGV142" s="22"/>
      <c r="PGW142" s="22"/>
      <c r="PGX142" s="22"/>
      <c r="PGY142" s="22"/>
      <c r="PGZ142" s="22"/>
      <c r="PHA142" s="22"/>
      <c r="PHB142" s="22"/>
      <c r="PHC142" s="22"/>
      <c r="PHD142" s="22"/>
      <c r="PHE142" s="22"/>
      <c r="PHF142" s="22"/>
      <c r="PHG142" s="22"/>
      <c r="PHH142" s="22"/>
      <c r="PHI142" s="22"/>
      <c r="PHJ142" s="22"/>
      <c r="PHK142" s="22"/>
      <c r="PHL142" s="22"/>
      <c r="PHM142" s="22"/>
      <c r="PHN142" s="22"/>
      <c r="PHO142" s="22"/>
      <c r="PHP142" s="22"/>
      <c r="PHQ142" s="22"/>
      <c r="PHR142" s="22"/>
      <c r="PHS142" s="22"/>
      <c r="PHT142" s="22"/>
      <c r="PHU142" s="22"/>
      <c r="PHV142" s="22"/>
      <c r="PHW142" s="22"/>
      <c r="PHX142" s="22"/>
      <c r="PHY142" s="22"/>
      <c r="PHZ142" s="22"/>
      <c r="PIA142" s="22"/>
      <c r="PIB142" s="22"/>
      <c r="PIC142" s="22"/>
      <c r="PID142" s="22"/>
      <c r="PIE142" s="22"/>
      <c r="PIF142" s="22"/>
      <c r="PIG142" s="22"/>
      <c r="PIH142" s="22"/>
      <c r="PII142" s="22"/>
      <c r="PIJ142" s="22"/>
      <c r="PIK142" s="22"/>
      <c r="PIL142" s="22"/>
      <c r="PIM142" s="22"/>
      <c r="PIN142" s="22"/>
      <c r="PIO142" s="22"/>
      <c r="PIP142" s="22"/>
      <c r="PIQ142" s="22"/>
      <c r="PIR142" s="22"/>
      <c r="PIS142" s="22"/>
      <c r="PIT142" s="22"/>
      <c r="PIU142" s="22"/>
      <c r="PIV142" s="22"/>
      <c r="PIW142" s="22"/>
      <c r="PIX142" s="22"/>
      <c r="PIY142" s="22"/>
      <c r="PIZ142" s="22"/>
      <c r="PJA142" s="22"/>
      <c r="PJB142" s="22"/>
      <c r="PJC142" s="22"/>
      <c r="PJD142" s="22"/>
      <c r="PJE142" s="22"/>
      <c r="PJF142" s="22"/>
      <c r="PJG142" s="22"/>
      <c r="PJH142" s="22"/>
      <c r="PJI142" s="22"/>
      <c r="PJJ142" s="22"/>
      <c r="PJK142" s="22"/>
      <c r="PJL142" s="22"/>
      <c r="PJM142" s="22"/>
      <c r="PJN142" s="22"/>
      <c r="PJO142" s="22"/>
      <c r="PJP142" s="22"/>
      <c r="PJQ142" s="22"/>
      <c r="PJR142" s="22"/>
      <c r="PJS142" s="22"/>
      <c r="PJT142" s="22"/>
      <c r="PJU142" s="22"/>
      <c r="PJV142" s="22"/>
      <c r="PJW142" s="22"/>
      <c r="PJX142" s="22"/>
      <c r="PJY142" s="22"/>
      <c r="PJZ142" s="22"/>
      <c r="PKA142" s="22"/>
      <c r="PKB142" s="22"/>
      <c r="PKC142" s="22"/>
      <c r="PKD142" s="22"/>
      <c r="PKE142" s="22"/>
      <c r="PKF142" s="22"/>
      <c r="PKG142" s="22"/>
      <c r="PKH142" s="22"/>
      <c r="PKI142" s="22"/>
      <c r="PKJ142" s="22"/>
      <c r="PKK142" s="22"/>
      <c r="PKL142" s="22"/>
      <c r="PKM142" s="22"/>
      <c r="PKN142" s="22"/>
      <c r="PKO142" s="22"/>
      <c r="PKP142" s="22"/>
      <c r="PKQ142" s="22"/>
      <c r="PKR142" s="22"/>
      <c r="PKS142" s="22"/>
      <c r="PKT142" s="22"/>
      <c r="PKU142" s="22"/>
      <c r="PKV142" s="22"/>
      <c r="PKW142" s="22"/>
      <c r="PKX142" s="22"/>
      <c r="PKY142" s="22"/>
      <c r="PKZ142" s="22"/>
      <c r="PLA142" s="22"/>
      <c r="PLB142" s="22"/>
      <c r="PLC142" s="22"/>
      <c r="PLD142" s="22"/>
      <c r="PLE142" s="22"/>
      <c r="PLF142" s="22"/>
      <c r="PLG142" s="22"/>
      <c r="PLH142" s="22"/>
      <c r="PLI142" s="22"/>
      <c r="PLJ142" s="22"/>
      <c r="PLK142" s="22"/>
      <c r="PLL142" s="22"/>
      <c r="PLM142" s="22"/>
      <c r="PLN142" s="22"/>
      <c r="PLO142" s="22"/>
      <c r="PLP142" s="22"/>
      <c r="PLQ142" s="22"/>
      <c r="PLR142" s="22"/>
      <c r="PLS142" s="22"/>
      <c r="PLT142" s="22"/>
      <c r="PLU142" s="22"/>
      <c r="PLV142" s="22"/>
      <c r="PLW142" s="22"/>
      <c r="PLX142" s="22"/>
      <c r="PLY142" s="22"/>
      <c r="PLZ142" s="22"/>
      <c r="PMA142" s="22"/>
      <c r="PMB142" s="22"/>
      <c r="PMC142" s="22"/>
      <c r="PMD142" s="22"/>
      <c r="PME142" s="22"/>
      <c r="PMF142" s="22"/>
      <c r="PMG142" s="22"/>
      <c r="PMH142" s="22"/>
      <c r="PMI142" s="22"/>
      <c r="PMJ142" s="22"/>
      <c r="PMK142" s="22"/>
      <c r="PML142" s="22"/>
      <c r="PMM142" s="22"/>
      <c r="PMN142" s="22"/>
      <c r="PMO142" s="22"/>
      <c r="PMP142" s="22"/>
      <c r="PMQ142" s="22"/>
      <c r="PMR142" s="22"/>
      <c r="PMS142" s="22"/>
      <c r="PMT142" s="22"/>
      <c r="PMU142" s="22"/>
      <c r="PMV142" s="22"/>
      <c r="PMW142" s="22"/>
      <c r="PMX142" s="22"/>
      <c r="PMY142" s="22"/>
      <c r="PMZ142" s="22"/>
      <c r="PNA142" s="22"/>
      <c r="PNB142" s="22"/>
      <c r="PNC142" s="22"/>
      <c r="PND142" s="22"/>
      <c r="PNE142" s="22"/>
      <c r="PNF142" s="22"/>
      <c r="PNG142" s="22"/>
      <c r="PNH142" s="22"/>
      <c r="PNI142" s="22"/>
      <c r="PNJ142" s="22"/>
      <c r="PNK142" s="22"/>
      <c r="PNL142" s="22"/>
      <c r="PNM142" s="22"/>
      <c r="PNN142" s="22"/>
      <c r="PNO142" s="22"/>
      <c r="PNP142" s="22"/>
      <c r="PNQ142" s="22"/>
      <c r="PNR142" s="22"/>
      <c r="PNS142" s="22"/>
      <c r="PNT142" s="22"/>
      <c r="PNU142" s="22"/>
      <c r="PNV142" s="22"/>
      <c r="PNW142" s="22"/>
      <c r="PNX142" s="22"/>
      <c r="PNY142" s="22"/>
      <c r="PNZ142" s="22"/>
      <c r="POA142" s="22"/>
      <c r="POB142" s="22"/>
      <c r="POC142" s="22"/>
      <c r="POD142" s="22"/>
      <c r="POE142" s="22"/>
      <c r="POF142" s="22"/>
      <c r="POG142" s="22"/>
      <c r="POH142" s="22"/>
      <c r="POI142" s="22"/>
      <c r="POJ142" s="22"/>
      <c r="POK142" s="22"/>
      <c r="POL142" s="22"/>
      <c r="POM142" s="22"/>
      <c r="PON142" s="22"/>
      <c r="POO142" s="22"/>
      <c r="POP142" s="22"/>
      <c r="POQ142" s="22"/>
      <c r="POR142" s="22"/>
      <c r="POS142" s="22"/>
      <c r="POT142" s="22"/>
      <c r="POU142" s="22"/>
      <c r="POV142" s="22"/>
      <c r="POW142" s="22"/>
      <c r="POX142" s="22"/>
      <c r="POY142" s="22"/>
      <c r="POZ142" s="22"/>
      <c r="PPA142" s="22"/>
      <c r="PPB142" s="22"/>
      <c r="PPC142" s="22"/>
      <c r="PPD142" s="22"/>
      <c r="PPE142" s="22"/>
      <c r="PPF142" s="22"/>
      <c r="PPG142" s="22"/>
      <c r="PPH142" s="22"/>
      <c r="PPI142" s="22"/>
      <c r="PPJ142" s="22"/>
      <c r="PPK142" s="22"/>
      <c r="PPL142" s="22"/>
      <c r="PPM142" s="22"/>
      <c r="PPN142" s="22"/>
      <c r="PPO142" s="22"/>
      <c r="PPP142" s="22"/>
      <c r="PPQ142" s="22"/>
      <c r="PPR142" s="22"/>
      <c r="PPS142" s="22"/>
      <c r="PPT142" s="22"/>
      <c r="PPU142" s="22"/>
      <c r="PPV142" s="22"/>
      <c r="PPW142" s="22"/>
      <c r="PPX142" s="22"/>
      <c r="PPY142" s="22"/>
      <c r="PPZ142" s="22"/>
      <c r="PQA142" s="22"/>
      <c r="PQB142" s="22"/>
      <c r="PQC142" s="22"/>
      <c r="PQD142" s="22"/>
      <c r="PQE142" s="22"/>
      <c r="PQF142" s="22"/>
      <c r="PQG142" s="22"/>
      <c r="PQH142" s="22"/>
      <c r="PQI142" s="22"/>
      <c r="PQJ142" s="22"/>
      <c r="PQK142" s="22"/>
      <c r="PQL142" s="22"/>
      <c r="PQM142" s="22"/>
      <c r="PQN142" s="22"/>
      <c r="PQO142" s="22"/>
      <c r="PQP142" s="22"/>
      <c r="PQQ142" s="22"/>
      <c r="PQR142" s="22"/>
      <c r="PQS142" s="22"/>
      <c r="PQT142" s="22"/>
      <c r="PQU142" s="22"/>
      <c r="PQV142" s="22"/>
      <c r="PQW142" s="22"/>
      <c r="PQX142" s="22"/>
      <c r="PQY142" s="22"/>
      <c r="PQZ142" s="22"/>
      <c r="PRA142" s="22"/>
      <c r="PRB142" s="22"/>
      <c r="PRC142" s="22"/>
      <c r="PRD142" s="22"/>
      <c r="PRE142" s="22"/>
      <c r="PRF142" s="22"/>
      <c r="PRG142" s="22"/>
      <c r="PRH142" s="22"/>
      <c r="PRI142" s="22"/>
      <c r="PRJ142" s="22"/>
      <c r="PRK142" s="22"/>
      <c r="PRL142" s="22"/>
      <c r="PRM142" s="22"/>
      <c r="PRN142" s="22"/>
      <c r="PRO142" s="22"/>
      <c r="PRP142" s="22"/>
      <c r="PRQ142" s="22"/>
      <c r="PRR142" s="22"/>
      <c r="PRS142" s="22"/>
      <c r="PRT142" s="22"/>
      <c r="PRU142" s="22"/>
      <c r="PRV142" s="22"/>
      <c r="PRW142" s="22"/>
      <c r="PRX142" s="22"/>
      <c r="PRY142" s="22"/>
      <c r="PRZ142" s="22"/>
      <c r="PSA142" s="22"/>
      <c r="PSB142" s="22"/>
      <c r="PSC142" s="22"/>
      <c r="PSD142" s="22"/>
      <c r="PSE142" s="22"/>
      <c r="PSF142" s="22"/>
      <c r="PSG142" s="22"/>
      <c r="PSH142" s="22"/>
      <c r="PSI142" s="22"/>
      <c r="PSJ142" s="22"/>
      <c r="PSK142" s="22"/>
      <c r="PSL142" s="22"/>
      <c r="PSM142" s="22"/>
      <c r="PSN142" s="22"/>
      <c r="PSO142" s="22"/>
      <c r="PSP142" s="22"/>
      <c r="PSQ142" s="22"/>
      <c r="PSR142" s="22"/>
      <c r="PSS142" s="22"/>
      <c r="PST142" s="22"/>
      <c r="PSU142" s="22"/>
      <c r="PSV142" s="22"/>
      <c r="PSW142" s="22"/>
      <c r="PSX142" s="22"/>
      <c r="PSY142" s="22"/>
      <c r="PSZ142" s="22"/>
      <c r="PTA142" s="22"/>
      <c r="PTB142" s="22"/>
      <c r="PTC142" s="22"/>
      <c r="PTD142" s="22"/>
      <c r="PTE142" s="22"/>
      <c r="PTF142" s="22"/>
      <c r="PTG142" s="22"/>
      <c r="PTH142" s="22"/>
      <c r="PTI142" s="22"/>
      <c r="PTJ142" s="22"/>
      <c r="PTK142" s="22"/>
      <c r="PTL142" s="22"/>
      <c r="PTM142" s="22"/>
      <c r="PTN142" s="22"/>
      <c r="PTO142" s="22"/>
      <c r="PTP142" s="22"/>
      <c r="PTQ142" s="22"/>
      <c r="PTR142" s="22"/>
      <c r="PTS142" s="22"/>
      <c r="PTT142" s="22"/>
      <c r="PTU142" s="22"/>
      <c r="PTV142" s="22"/>
      <c r="PTW142" s="22"/>
      <c r="PTX142" s="22"/>
      <c r="PTY142" s="22"/>
      <c r="PTZ142" s="22"/>
      <c r="PUA142" s="22"/>
      <c r="PUB142" s="22"/>
      <c r="PUC142" s="22"/>
      <c r="PUD142" s="22"/>
      <c r="PUE142" s="22"/>
      <c r="PUF142" s="22"/>
      <c r="PUG142" s="22"/>
      <c r="PUH142" s="22"/>
      <c r="PUI142" s="22"/>
      <c r="PUJ142" s="22"/>
      <c r="PUK142" s="22"/>
      <c r="PUL142" s="22"/>
      <c r="PUM142" s="22"/>
      <c r="PUN142" s="22"/>
      <c r="PUO142" s="22"/>
      <c r="PUP142" s="22"/>
      <c r="PUQ142" s="22"/>
      <c r="PUR142" s="22"/>
      <c r="PUS142" s="22"/>
      <c r="PUT142" s="22"/>
      <c r="PUU142" s="22"/>
      <c r="PUV142" s="22"/>
      <c r="PUW142" s="22"/>
      <c r="PUX142" s="22"/>
      <c r="PUY142" s="22"/>
      <c r="PUZ142" s="22"/>
      <c r="PVA142" s="22"/>
      <c r="PVB142" s="22"/>
      <c r="PVC142" s="22"/>
      <c r="PVD142" s="22"/>
      <c r="PVE142" s="22"/>
      <c r="PVF142" s="22"/>
      <c r="PVG142" s="22"/>
      <c r="PVH142" s="22"/>
      <c r="PVI142" s="22"/>
      <c r="PVJ142" s="22"/>
      <c r="PVK142" s="22"/>
      <c r="PVL142" s="22"/>
      <c r="PVM142" s="22"/>
      <c r="PVN142" s="22"/>
      <c r="PVO142" s="22"/>
      <c r="PVP142" s="22"/>
      <c r="PVQ142" s="22"/>
      <c r="PVR142" s="22"/>
      <c r="PVS142" s="22"/>
      <c r="PVT142" s="22"/>
      <c r="PVU142" s="22"/>
      <c r="PVV142" s="22"/>
      <c r="PVW142" s="22"/>
      <c r="PVX142" s="22"/>
      <c r="PVY142" s="22"/>
      <c r="PVZ142" s="22"/>
      <c r="PWA142" s="22"/>
      <c r="PWB142" s="22"/>
      <c r="PWC142" s="22"/>
      <c r="PWD142" s="22"/>
      <c r="PWE142" s="22"/>
      <c r="PWF142" s="22"/>
      <c r="PWG142" s="22"/>
      <c r="PWH142" s="22"/>
      <c r="PWI142" s="22"/>
      <c r="PWJ142" s="22"/>
      <c r="PWK142" s="22"/>
      <c r="PWL142" s="22"/>
      <c r="PWM142" s="22"/>
      <c r="PWN142" s="22"/>
      <c r="PWO142" s="22"/>
      <c r="PWP142" s="22"/>
      <c r="PWQ142" s="22"/>
      <c r="PWR142" s="22"/>
      <c r="PWS142" s="22"/>
      <c r="PWT142" s="22"/>
      <c r="PWU142" s="22"/>
      <c r="PWV142" s="22"/>
      <c r="PWW142" s="22"/>
      <c r="PWX142" s="22"/>
      <c r="PWY142" s="22"/>
      <c r="PWZ142" s="22"/>
      <c r="PXA142" s="22"/>
      <c r="PXB142" s="22"/>
      <c r="PXC142" s="22"/>
      <c r="PXD142" s="22"/>
      <c r="PXE142" s="22"/>
      <c r="PXF142" s="22"/>
      <c r="PXG142" s="22"/>
      <c r="PXH142" s="22"/>
      <c r="PXI142" s="22"/>
      <c r="PXJ142" s="22"/>
      <c r="PXK142" s="22"/>
      <c r="PXL142" s="22"/>
      <c r="PXM142" s="22"/>
      <c r="PXN142" s="22"/>
      <c r="PXO142" s="22"/>
      <c r="PXP142" s="22"/>
      <c r="PXQ142" s="22"/>
      <c r="PXR142" s="22"/>
      <c r="PXS142" s="22"/>
      <c r="PXT142" s="22"/>
      <c r="PXU142" s="22"/>
      <c r="PXV142" s="22"/>
      <c r="PXW142" s="22"/>
      <c r="PXX142" s="22"/>
      <c r="PXY142" s="22"/>
      <c r="PXZ142" s="22"/>
      <c r="PYA142" s="22"/>
      <c r="PYB142" s="22"/>
      <c r="PYC142" s="22"/>
      <c r="PYD142" s="22"/>
      <c r="PYE142" s="22"/>
      <c r="PYF142" s="22"/>
      <c r="PYG142" s="22"/>
      <c r="PYH142" s="22"/>
      <c r="PYI142" s="22"/>
      <c r="PYJ142" s="22"/>
      <c r="PYK142" s="22"/>
      <c r="PYL142" s="22"/>
      <c r="PYM142" s="22"/>
      <c r="PYN142" s="22"/>
      <c r="PYO142" s="22"/>
      <c r="PYP142" s="22"/>
      <c r="PYQ142" s="22"/>
      <c r="PYR142" s="22"/>
      <c r="PYS142" s="22"/>
      <c r="PYT142" s="22"/>
      <c r="PYU142" s="22"/>
      <c r="PYV142" s="22"/>
      <c r="PYW142" s="22"/>
      <c r="PYX142" s="22"/>
      <c r="PYY142" s="22"/>
      <c r="PYZ142" s="22"/>
      <c r="PZA142" s="22"/>
      <c r="PZB142" s="22"/>
      <c r="PZC142" s="22"/>
      <c r="PZD142" s="22"/>
      <c r="PZE142" s="22"/>
      <c r="PZF142" s="22"/>
      <c r="PZG142" s="22"/>
      <c r="PZH142" s="22"/>
      <c r="PZI142" s="22"/>
      <c r="PZJ142" s="22"/>
      <c r="PZK142" s="22"/>
      <c r="PZL142" s="22"/>
      <c r="PZM142" s="22"/>
      <c r="PZN142" s="22"/>
      <c r="PZO142" s="22"/>
      <c r="PZP142" s="22"/>
      <c r="PZQ142" s="22"/>
      <c r="PZR142" s="22"/>
      <c r="PZS142" s="22"/>
      <c r="PZT142" s="22"/>
      <c r="PZU142" s="22"/>
      <c r="PZV142" s="22"/>
      <c r="PZW142" s="22"/>
      <c r="PZX142" s="22"/>
      <c r="PZY142" s="22"/>
      <c r="PZZ142" s="22"/>
      <c r="QAA142" s="22"/>
      <c r="QAB142" s="22"/>
      <c r="QAC142" s="22"/>
      <c r="QAD142" s="22"/>
      <c r="QAE142" s="22"/>
      <c r="QAF142" s="22"/>
      <c r="QAG142" s="22"/>
      <c r="QAH142" s="22"/>
      <c r="QAI142" s="22"/>
      <c r="QAJ142" s="22"/>
      <c r="QAK142" s="22"/>
      <c r="QAL142" s="22"/>
      <c r="QAM142" s="22"/>
      <c r="QAN142" s="22"/>
      <c r="QAO142" s="22"/>
      <c r="QAP142" s="22"/>
      <c r="QAQ142" s="22"/>
      <c r="QAR142" s="22"/>
      <c r="QAS142" s="22"/>
      <c r="QAT142" s="22"/>
      <c r="QAU142" s="22"/>
      <c r="QAV142" s="22"/>
      <c r="QAW142" s="22"/>
      <c r="QAX142" s="22"/>
      <c r="QAY142" s="22"/>
      <c r="QAZ142" s="22"/>
      <c r="QBA142" s="22"/>
      <c r="QBB142" s="22"/>
      <c r="QBC142" s="22"/>
      <c r="QBD142" s="22"/>
      <c r="QBE142" s="22"/>
      <c r="QBF142" s="22"/>
      <c r="QBG142" s="22"/>
      <c r="QBH142" s="22"/>
      <c r="QBI142" s="22"/>
      <c r="QBJ142" s="22"/>
      <c r="QBK142" s="22"/>
      <c r="QBL142" s="22"/>
      <c r="QBM142" s="22"/>
      <c r="QBN142" s="22"/>
      <c r="QBO142" s="22"/>
      <c r="QBP142" s="22"/>
      <c r="QBQ142" s="22"/>
      <c r="QBR142" s="22"/>
      <c r="QBS142" s="22"/>
      <c r="QBT142" s="22"/>
      <c r="QBU142" s="22"/>
      <c r="QBV142" s="22"/>
      <c r="QBW142" s="22"/>
      <c r="QBX142" s="22"/>
      <c r="QBY142" s="22"/>
      <c r="QBZ142" s="22"/>
      <c r="QCA142" s="22"/>
      <c r="QCB142" s="22"/>
      <c r="QCC142" s="22"/>
      <c r="QCD142" s="22"/>
      <c r="QCE142" s="22"/>
      <c r="QCF142" s="22"/>
      <c r="QCG142" s="22"/>
      <c r="QCH142" s="22"/>
      <c r="QCI142" s="22"/>
      <c r="QCJ142" s="22"/>
      <c r="QCK142" s="22"/>
      <c r="QCL142" s="22"/>
      <c r="QCM142" s="22"/>
      <c r="QCN142" s="22"/>
      <c r="QCO142" s="22"/>
      <c r="QCP142" s="22"/>
      <c r="QCQ142" s="22"/>
      <c r="QCR142" s="22"/>
      <c r="QCS142" s="22"/>
      <c r="QCT142" s="22"/>
      <c r="QCU142" s="22"/>
      <c r="QCV142" s="22"/>
      <c r="QCW142" s="22"/>
      <c r="QCX142" s="22"/>
      <c r="QCY142" s="22"/>
      <c r="QCZ142" s="22"/>
      <c r="QDA142" s="22"/>
      <c r="QDB142" s="22"/>
      <c r="QDC142" s="22"/>
      <c r="QDD142" s="22"/>
      <c r="QDE142" s="22"/>
      <c r="QDF142" s="22"/>
      <c r="QDG142" s="22"/>
      <c r="QDH142" s="22"/>
      <c r="QDI142" s="22"/>
      <c r="QDJ142" s="22"/>
      <c r="QDK142" s="22"/>
      <c r="QDL142" s="22"/>
      <c r="QDM142" s="22"/>
      <c r="QDN142" s="22"/>
      <c r="QDO142" s="22"/>
      <c r="QDP142" s="22"/>
      <c r="QDQ142" s="22"/>
      <c r="QDR142" s="22"/>
      <c r="QDS142" s="22"/>
      <c r="QDT142" s="22"/>
      <c r="QDU142" s="22"/>
      <c r="QDV142" s="22"/>
      <c r="QDW142" s="22"/>
      <c r="QDX142" s="22"/>
      <c r="QDY142" s="22"/>
      <c r="QDZ142" s="22"/>
      <c r="QEA142" s="22"/>
      <c r="QEB142" s="22"/>
      <c r="QEC142" s="22"/>
      <c r="QED142" s="22"/>
      <c r="QEE142" s="22"/>
      <c r="QEF142" s="22"/>
      <c r="QEG142" s="22"/>
      <c r="QEH142" s="22"/>
      <c r="QEI142" s="22"/>
      <c r="QEJ142" s="22"/>
      <c r="QEK142" s="22"/>
      <c r="QEL142" s="22"/>
      <c r="QEM142" s="22"/>
      <c r="QEN142" s="22"/>
      <c r="QEO142" s="22"/>
      <c r="QEP142" s="22"/>
      <c r="QEQ142" s="22"/>
      <c r="QER142" s="22"/>
      <c r="QES142" s="22"/>
      <c r="QET142" s="22"/>
      <c r="QEU142" s="22"/>
      <c r="QEV142" s="22"/>
      <c r="QEW142" s="22"/>
      <c r="QEX142" s="22"/>
      <c r="QEY142" s="22"/>
      <c r="QEZ142" s="22"/>
      <c r="QFA142" s="22"/>
      <c r="QFB142" s="22"/>
      <c r="QFC142" s="22"/>
      <c r="QFD142" s="22"/>
      <c r="QFE142" s="22"/>
      <c r="QFF142" s="22"/>
      <c r="QFG142" s="22"/>
      <c r="QFH142" s="22"/>
      <c r="QFI142" s="22"/>
      <c r="QFJ142" s="22"/>
      <c r="QFK142" s="22"/>
      <c r="QFL142" s="22"/>
      <c r="QFM142" s="22"/>
      <c r="QFN142" s="22"/>
      <c r="QFO142" s="22"/>
      <c r="QFP142" s="22"/>
      <c r="QFQ142" s="22"/>
      <c r="QFR142" s="22"/>
      <c r="QFS142" s="22"/>
      <c r="QFT142" s="22"/>
      <c r="QFU142" s="22"/>
      <c r="QFV142" s="22"/>
      <c r="QFW142" s="22"/>
      <c r="QFX142" s="22"/>
      <c r="QFY142" s="22"/>
      <c r="QFZ142" s="22"/>
      <c r="QGA142" s="22"/>
      <c r="QGB142" s="22"/>
      <c r="QGC142" s="22"/>
      <c r="QGD142" s="22"/>
      <c r="QGE142" s="22"/>
      <c r="QGF142" s="22"/>
      <c r="QGG142" s="22"/>
      <c r="QGH142" s="22"/>
      <c r="QGI142" s="22"/>
      <c r="QGJ142" s="22"/>
      <c r="QGK142" s="22"/>
      <c r="QGL142" s="22"/>
      <c r="QGM142" s="22"/>
      <c r="QGN142" s="22"/>
      <c r="QGO142" s="22"/>
      <c r="QGP142" s="22"/>
      <c r="QGQ142" s="22"/>
      <c r="QGR142" s="22"/>
      <c r="QGS142" s="22"/>
      <c r="QGT142" s="22"/>
      <c r="QGU142" s="22"/>
      <c r="QGV142" s="22"/>
      <c r="QGW142" s="22"/>
      <c r="QGX142" s="22"/>
      <c r="QGY142" s="22"/>
      <c r="QGZ142" s="22"/>
      <c r="QHA142" s="22"/>
      <c r="QHB142" s="22"/>
      <c r="QHC142" s="22"/>
      <c r="QHD142" s="22"/>
      <c r="QHE142" s="22"/>
      <c r="QHF142" s="22"/>
      <c r="QHG142" s="22"/>
      <c r="QHH142" s="22"/>
      <c r="QHI142" s="22"/>
      <c r="QHJ142" s="22"/>
      <c r="QHK142" s="22"/>
      <c r="QHL142" s="22"/>
      <c r="QHM142" s="22"/>
      <c r="QHN142" s="22"/>
      <c r="QHO142" s="22"/>
      <c r="QHP142" s="22"/>
      <c r="QHQ142" s="22"/>
      <c r="QHR142" s="22"/>
      <c r="QHS142" s="22"/>
      <c r="QHT142" s="22"/>
      <c r="QHU142" s="22"/>
      <c r="QHV142" s="22"/>
      <c r="QHW142" s="22"/>
      <c r="QHX142" s="22"/>
      <c r="QHY142" s="22"/>
      <c r="QHZ142" s="22"/>
      <c r="QIA142" s="22"/>
      <c r="QIB142" s="22"/>
      <c r="QIC142" s="22"/>
      <c r="QID142" s="22"/>
      <c r="QIE142" s="22"/>
      <c r="QIF142" s="22"/>
      <c r="QIG142" s="22"/>
      <c r="QIH142" s="22"/>
      <c r="QII142" s="22"/>
      <c r="QIJ142" s="22"/>
      <c r="QIK142" s="22"/>
      <c r="QIL142" s="22"/>
      <c r="QIM142" s="22"/>
      <c r="QIN142" s="22"/>
      <c r="QIO142" s="22"/>
      <c r="QIP142" s="22"/>
      <c r="QIQ142" s="22"/>
      <c r="QIR142" s="22"/>
      <c r="QIS142" s="22"/>
      <c r="QIT142" s="22"/>
      <c r="QIU142" s="22"/>
      <c r="QIV142" s="22"/>
      <c r="QIW142" s="22"/>
      <c r="QIX142" s="22"/>
      <c r="QIY142" s="22"/>
      <c r="QIZ142" s="22"/>
      <c r="QJA142" s="22"/>
      <c r="QJB142" s="22"/>
      <c r="QJC142" s="22"/>
      <c r="QJD142" s="22"/>
      <c r="QJE142" s="22"/>
      <c r="QJF142" s="22"/>
      <c r="QJG142" s="22"/>
      <c r="QJH142" s="22"/>
      <c r="QJI142" s="22"/>
      <c r="QJJ142" s="22"/>
      <c r="QJK142" s="22"/>
      <c r="QJL142" s="22"/>
      <c r="QJM142" s="22"/>
      <c r="QJN142" s="22"/>
      <c r="QJO142" s="22"/>
      <c r="QJP142" s="22"/>
      <c r="QJQ142" s="22"/>
      <c r="QJR142" s="22"/>
      <c r="QJS142" s="22"/>
      <c r="QJT142" s="22"/>
      <c r="QJU142" s="22"/>
      <c r="QJV142" s="22"/>
      <c r="QJW142" s="22"/>
      <c r="QJX142" s="22"/>
      <c r="QJY142" s="22"/>
      <c r="QJZ142" s="22"/>
      <c r="QKA142" s="22"/>
      <c r="QKB142" s="22"/>
      <c r="QKC142" s="22"/>
      <c r="QKD142" s="22"/>
      <c r="QKE142" s="22"/>
      <c r="QKF142" s="22"/>
      <c r="QKG142" s="22"/>
      <c r="QKH142" s="22"/>
      <c r="QKI142" s="22"/>
      <c r="QKJ142" s="22"/>
      <c r="QKK142" s="22"/>
      <c r="QKL142" s="22"/>
      <c r="QKM142" s="22"/>
      <c r="QKN142" s="22"/>
      <c r="QKO142" s="22"/>
      <c r="QKP142" s="22"/>
      <c r="QKQ142" s="22"/>
      <c r="QKR142" s="22"/>
      <c r="QKS142" s="22"/>
      <c r="QKT142" s="22"/>
      <c r="QKU142" s="22"/>
      <c r="QKV142" s="22"/>
      <c r="QKW142" s="22"/>
      <c r="QKX142" s="22"/>
      <c r="QKY142" s="22"/>
      <c r="QKZ142" s="22"/>
      <c r="QLA142" s="22"/>
      <c r="QLB142" s="22"/>
      <c r="QLC142" s="22"/>
      <c r="QLD142" s="22"/>
      <c r="QLE142" s="22"/>
      <c r="QLF142" s="22"/>
      <c r="QLG142" s="22"/>
      <c r="QLH142" s="22"/>
      <c r="QLI142" s="22"/>
      <c r="QLJ142" s="22"/>
      <c r="QLK142" s="22"/>
      <c r="QLL142" s="22"/>
      <c r="QLM142" s="22"/>
      <c r="QLN142" s="22"/>
      <c r="QLO142" s="22"/>
      <c r="QLP142" s="22"/>
      <c r="QLQ142" s="22"/>
      <c r="QLR142" s="22"/>
      <c r="QLS142" s="22"/>
      <c r="QLT142" s="22"/>
      <c r="QLU142" s="22"/>
      <c r="QLV142" s="22"/>
      <c r="QLW142" s="22"/>
      <c r="QLX142" s="22"/>
      <c r="QLY142" s="22"/>
      <c r="QLZ142" s="22"/>
      <c r="QMA142" s="22"/>
      <c r="QMB142" s="22"/>
      <c r="QMC142" s="22"/>
      <c r="QMD142" s="22"/>
      <c r="QME142" s="22"/>
      <c r="QMF142" s="22"/>
      <c r="QMG142" s="22"/>
      <c r="QMH142" s="22"/>
      <c r="QMI142" s="22"/>
      <c r="QMJ142" s="22"/>
      <c r="QMK142" s="22"/>
      <c r="QML142" s="22"/>
      <c r="QMM142" s="22"/>
      <c r="QMN142" s="22"/>
      <c r="QMO142" s="22"/>
      <c r="QMP142" s="22"/>
      <c r="QMQ142" s="22"/>
      <c r="QMR142" s="22"/>
      <c r="QMS142" s="22"/>
      <c r="QMT142" s="22"/>
      <c r="QMU142" s="22"/>
      <c r="QMV142" s="22"/>
      <c r="QMW142" s="22"/>
      <c r="QMX142" s="22"/>
      <c r="QMY142" s="22"/>
      <c r="QMZ142" s="22"/>
      <c r="QNA142" s="22"/>
      <c r="QNB142" s="22"/>
      <c r="QNC142" s="22"/>
      <c r="QND142" s="22"/>
      <c r="QNE142" s="22"/>
      <c r="QNF142" s="22"/>
      <c r="QNG142" s="22"/>
      <c r="QNH142" s="22"/>
      <c r="QNI142" s="22"/>
      <c r="QNJ142" s="22"/>
      <c r="QNK142" s="22"/>
      <c r="QNL142" s="22"/>
      <c r="QNM142" s="22"/>
      <c r="QNN142" s="22"/>
      <c r="QNO142" s="22"/>
      <c r="QNP142" s="22"/>
      <c r="QNQ142" s="22"/>
      <c r="QNR142" s="22"/>
      <c r="QNS142" s="22"/>
      <c r="QNT142" s="22"/>
      <c r="QNU142" s="22"/>
      <c r="QNV142" s="22"/>
      <c r="QNW142" s="22"/>
      <c r="QNX142" s="22"/>
      <c r="QNY142" s="22"/>
      <c r="QNZ142" s="22"/>
      <c r="QOA142" s="22"/>
      <c r="QOB142" s="22"/>
      <c r="QOC142" s="22"/>
      <c r="QOD142" s="22"/>
      <c r="QOE142" s="22"/>
      <c r="QOF142" s="22"/>
      <c r="QOG142" s="22"/>
      <c r="QOH142" s="22"/>
      <c r="QOI142" s="22"/>
      <c r="QOJ142" s="22"/>
      <c r="QOK142" s="22"/>
      <c r="QOL142" s="22"/>
      <c r="QOM142" s="22"/>
      <c r="QON142" s="22"/>
      <c r="QOO142" s="22"/>
      <c r="QOP142" s="22"/>
      <c r="QOQ142" s="22"/>
      <c r="QOR142" s="22"/>
      <c r="QOS142" s="22"/>
      <c r="QOT142" s="22"/>
      <c r="QOU142" s="22"/>
      <c r="QOV142" s="22"/>
      <c r="QOW142" s="22"/>
      <c r="QOX142" s="22"/>
      <c r="QOY142" s="22"/>
      <c r="QOZ142" s="22"/>
      <c r="QPA142" s="22"/>
      <c r="QPB142" s="22"/>
      <c r="QPC142" s="22"/>
      <c r="QPD142" s="22"/>
      <c r="QPE142" s="22"/>
      <c r="QPF142" s="22"/>
      <c r="QPG142" s="22"/>
      <c r="QPH142" s="22"/>
      <c r="QPI142" s="22"/>
      <c r="QPJ142" s="22"/>
      <c r="QPK142" s="22"/>
      <c r="QPL142" s="22"/>
      <c r="QPM142" s="22"/>
      <c r="QPN142" s="22"/>
      <c r="QPO142" s="22"/>
      <c r="QPP142" s="22"/>
      <c r="QPQ142" s="22"/>
      <c r="QPR142" s="22"/>
      <c r="QPS142" s="22"/>
      <c r="QPT142" s="22"/>
      <c r="QPU142" s="22"/>
      <c r="QPV142" s="22"/>
      <c r="QPW142" s="22"/>
      <c r="QPX142" s="22"/>
      <c r="QPY142" s="22"/>
      <c r="QPZ142" s="22"/>
      <c r="QQA142" s="22"/>
      <c r="QQB142" s="22"/>
      <c r="QQC142" s="22"/>
      <c r="QQD142" s="22"/>
      <c r="QQE142" s="22"/>
      <c r="QQF142" s="22"/>
      <c r="QQG142" s="22"/>
      <c r="QQH142" s="22"/>
      <c r="QQI142" s="22"/>
      <c r="QQJ142" s="22"/>
      <c r="QQK142" s="22"/>
      <c r="QQL142" s="22"/>
      <c r="QQM142" s="22"/>
      <c r="QQN142" s="22"/>
      <c r="QQO142" s="22"/>
      <c r="QQP142" s="22"/>
      <c r="QQQ142" s="22"/>
      <c r="QQR142" s="22"/>
      <c r="QQS142" s="22"/>
      <c r="QQT142" s="22"/>
      <c r="QQU142" s="22"/>
      <c r="QQV142" s="22"/>
      <c r="QQW142" s="22"/>
      <c r="QQX142" s="22"/>
      <c r="QQY142" s="22"/>
      <c r="QQZ142" s="22"/>
      <c r="QRA142" s="22"/>
      <c r="QRB142" s="22"/>
      <c r="QRC142" s="22"/>
      <c r="QRD142" s="22"/>
      <c r="QRE142" s="22"/>
      <c r="QRF142" s="22"/>
      <c r="QRG142" s="22"/>
      <c r="QRH142" s="22"/>
      <c r="QRI142" s="22"/>
      <c r="QRJ142" s="22"/>
      <c r="QRK142" s="22"/>
      <c r="QRL142" s="22"/>
      <c r="QRM142" s="22"/>
      <c r="QRN142" s="22"/>
      <c r="QRO142" s="22"/>
      <c r="QRP142" s="22"/>
      <c r="QRQ142" s="22"/>
      <c r="QRR142" s="22"/>
      <c r="QRS142" s="22"/>
      <c r="QRT142" s="22"/>
      <c r="QRU142" s="22"/>
      <c r="QRV142" s="22"/>
      <c r="QRW142" s="22"/>
      <c r="QRX142" s="22"/>
      <c r="QRY142" s="22"/>
      <c r="QRZ142" s="22"/>
      <c r="QSA142" s="22"/>
      <c r="QSB142" s="22"/>
      <c r="QSC142" s="22"/>
      <c r="QSD142" s="22"/>
      <c r="QSE142" s="22"/>
      <c r="QSF142" s="22"/>
      <c r="QSG142" s="22"/>
      <c r="QSH142" s="22"/>
      <c r="QSI142" s="22"/>
      <c r="QSJ142" s="22"/>
      <c r="QSK142" s="22"/>
      <c r="QSL142" s="22"/>
      <c r="QSM142" s="22"/>
      <c r="QSN142" s="22"/>
      <c r="QSO142" s="22"/>
      <c r="QSP142" s="22"/>
      <c r="QSQ142" s="22"/>
      <c r="QSR142" s="22"/>
      <c r="QSS142" s="22"/>
      <c r="QST142" s="22"/>
      <c r="QSU142" s="22"/>
      <c r="QSV142" s="22"/>
      <c r="QSW142" s="22"/>
      <c r="QSX142" s="22"/>
      <c r="QSY142" s="22"/>
      <c r="QSZ142" s="22"/>
      <c r="QTA142" s="22"/>
      <c r="QTB142" s="22"/>
      <c r="QTC142" s="22"/>
      <c r="QTD142" s="22"/>
      <c r="QTE142" s="22"/>
      <c r="QTF142" s="22"/>
      <c r="QTG142" s="22"/>
      <c r="QTH142" s="22"/>
      <c r="QTI142" s="22"/>
      <c r="QTJ142" s="22"/>
      <c r="QTK142" s="22"/>
      <c r="QTL142" s="22"/>
      <c r="QTM142" s="22"/>
      <c r="QTN142" s="22"/>
      <c r="QTO142" s="22"/>
      <c r="QTP142" s="22"/>
      <c r="QTQ142" s="22"/>
      <c r="QTR142" s="22"/>
      <c r="QTS142" s="22"/>
      <c r="QTT142" s="22"/>
      <c r="QTU142" s="22"/>
      <c r="QTV142" s="22"/>
      <c r="QTW142" s="22"/>
      <c r="QTX142" s="22"/>
      <c r="QTY142" s="22"/>
      <c r="QTZ142" s="22"/>
      <c r="QUA142" s="22"/>
      <c r="QUB142" s="22"/>
      <c r="QUC142" s="22"/>
      <c r="QUD142" s="22"/>
      <c r="QUE142" s="22"/>
      <c r="QUF142" s="22"/>
      <c r="QUG142" s="22"/>
      <c r="QUH142" s="22"/>
      <c r="QUI142" s="22"/>
      <c r="QUJ142" s="22"/>
      <c r="QUK142" s="22"/>
      <c r="QUL142" s="22"/>
      <c r="QUM142" s="22"/>
      <c r="QUN142" s="22"/>
      <c r="QUO142" s="22"/>
      <c r="QUP142" s="22"/>
      <c r="QUQ142" s="22"/>
      <c r="QUR142" s="22"/>
      <c r="QUS142" s="22"/>
      <c r="QUT142" s="22"/>
      <c r="QUU142" s="22"/>
      <c r="QUV142" s="22"/>
      <c r="QUW142" s="22"/>
      <c r="QUX142" s="22"/>
      <c r="QUY142" s="22"/>
      <c r="QUZ142" s="22"/>
      <c r="QVA142" s="22"/>
      <c r="QVB142" s="22"/>
      <c r="QVC142" s="22"/>
      <c r="QVD142" s="22"/>
      <c r="QVE142" s="22"/>
      <c r="QVF142" s="22"/>
      <c r="QVG142" s="22"/>
      <c r="QVH142" s="22"/>
      <c r="QVI142" s="22"/>
      <c r="QVJ142" s="22"/>
      <c r="QVK142" s="22"/>
      <c r="QVL142" s="22"/>
      <c r="QVM142" s="22"/>
      <c r="QVN142" s="22"/>
      <c r="QVO142" s="22"/>
      <c r="QVP142" s="22"/>
      <c r="QVQ142" s="22"/>
      <c r="QVR142" s="22"/>
      <c r="QVS142" s="22"/>
      <c r="QVT142" s="22"/>
      <c r="QVU142" s="22"/>
      <c r="QVV142" s="22"/>
      <c r="QVW142" s="22"/>
      <c r="QVX142" s="22"/>
      <c r="QVY142" s="22"/>
      <c r="QVZ142" s="22"/>
      <c r="QWA142" s="22"/>
      <c r="QWB142" s="22"/>
      <c r="QWC142" s="22"/>
      <c r="QWD142" s="22"/>
      <c r="QWE142" s="22"/>
      <c r="QWF142" s="22"/>
      <c r="QWG142" s="22"/>
      <c r="QWH142" s="22"/>
      <c r="QWI142" s="22"/>
      <c r="QWJ142" s="22"/>
      <c r="QWK142" s="22"/>
      <c r="QWL142" s="22"/>
      <c r="QWM142" s="22"/>
      <c r="QWN142" s="22"/>
      <c r="QWO142" s="22"/>
      <c r="QWP142" s="22"/>
      <c r="QWQ142" s="22"/>
      <c r="QWR142" s="22"/>
      <c r="QWS142" s="22"/>
      <c r="QWT142" s="22"/>
      <c r="QWU142" s="22"/>
      <c r="QWV142" s="22"/>
      <c r="QWW142" s="22"/>
      <c r="QWX142" s="22"/>
      <c r="QWY142" s="22"/>
      <c r="QWZ142" s="22"/>
      <c r="QXA142" s="22"/>
      <c r="QXB142" s="22"/>
      <c r="QXC142" s="22"/>
      <c r="QXD142" s="22"/>
      <c r="QXE142" s="22"/>
      <c r="QXF142" s="22"/>
      <c r="QXG142" s="22"/>
      <c r="QXH142" s="22"/>
      <c r="QXI142" s="22"/>
      <c r="QXJ142" s="22"/>
      <c r="QXK142" s="22"/>
      <c r="QXL142" s="22"/>
      <c r="QXM142" s="22"/>
      <c r="QXN142" s="22"/>
      <c r="QXO142" s="22"/>
      <c r="QXP142" s="22"/>
      <c r="QXQ142" s="22"/>
      <c r="QXR142" s="22"/>
      <c r="QXS142" s="22"/>
      <c r="QXT142" s="22"/>
      <c r="QXU142" s="22"/>
      <c r="QXV142" s="22"/>
      <c r="QXW142" s="22"/>
      <c r="QXX142" s="22"/>
      <c r="QXY142" s="22"/>
      <c r="QXZ142" s="22"/>
      <c r="QYA142" s="22"/>
      <c r="QYB142" s="22"/>
      <c r="QYC142" s="22"/>
      <c r="QYD142" s="22"/>
      <c r="QYE142" s="22"/>
      <c r="QYF142" s="22"/>
      <c r="QYG142" s="22"/>
      <c r="QYH142" s="22"/>
      <c r="QYI142" s="22"/>
      <c r="QYJ142" s="22"/>
      <c r="QYK142" s="22"/>
      <c r="QYL142" s="22"/>
      <c r="QYM142" s="22"/>
      <c r="QYN142" s="22"/>
      <c r="QYO142" s="22"/>
      <c r="QYP142" s="22"/>
      <c r="QYQ142" s="22"/>
      <c r="QYR142" s="22"/>
      <c r="QYS142" s="22"/>
      <c r="QYT142" s="22"/>
      <c r="QYU142" s="22"/>
      <c r="QYV142" s="22"/>
      <c r="QYW142" s="22"/>
      <c r="QYX142" s="22"/>
      <c r="QYY142" s="22"/>
      <c r="QYZ142" s="22"/>
      <c r="QZA142" s="22"/>
      <c r="QZB142" s="22"/>
      <c r="QZC142" s="22"/>
      <c r="QZD142" s="22"/>
      <c r="QZE142" s="22"/>
      <c r="QZF142" s="22"/>
      <c r="QZG142" s="22"/>
      <c r="QZH142" s="22"/>
      <c r="QZI142" s="22"/>
      <c r="QZJ142" s="22"/>
      <c r="QZK142" s="22"/>
      <c r="QZL142" s="22"/>
      <c r="QZM142" s="22"/>
      <c r="QZN142" s="22"/>
      <c r="QZO142" s="22"/>
      <c r="QZP142" s="22"/>
      <c r="QZQ142" s="22"/>
      <c r="QZR142" s="22"/>
      <c r="QZS142" s="22"/>
      <c r="QZT142" s="22"/>
      <c r="QZU142" s="22"/>
      <c r="QZV142" s="22"/>
      <c r="QZW142" s="22"/>
      <c r="QZX142" s="22"/>
      <c r="QZY142" s="22"/>
      <c r="QZZ142" s="22"/>
      <c r="RAA142" s="22"/>
      <c r="RAB142" s="22"/>
      <c r="RAC142" s="22"/>
      <c r="RAD142" s="22"/>
      <c r="RAE142" s="22"/>
      <c r="RAF142" s="22"/>
      <c r="RAG142" s="22"/>
      <c r="RAH142" s="22"/>
      <c r="RAI142" s="22"/>
      <c r="RAJ142" s="22"/>
      <c r="RAK142" s="22"/>
      <c r="RAL142" s="22"/>
      <c r="RAM142" s="22"/>
      <c r="RAN142" s="22"/>
      <c r="RAO142" s="22"/>
      <c r="RAP142" s="22"/>
      <c r="RAQ142" s="22"/>
      <c r="RAR142" s="22"/>
      <c r="RAS142" s="22"/>
      <c r="RAT142" s="22"/>
      <c r="RAU142" s="22"/>
      <c r="RAV142" s="22"/>
      <c r="RAW142" s="22"/>
      <c r="RAX142" s="22"/>
      <c r="RAY142" s="22"/>
      <c r="RAZ142" s="22"/>
      <c r="RBA142" s="22"/>
      <c r="RBB142" s="22"/>
      <c r="RBC142" s="22"/>
      <c r="RBD142" s="22"/>
      <c r="RBE142" s="22"/>
      <c r="RBF142" s="22"/>
      <c r="RBG142" s="22"/>
      <c r="RBH142" s="22"/>
      <c r="RBI142" s="22"/>
      <c r="RBJ142" s="22"/>
      <c r="RBK142" s="22"/>
      <c r="RBL142" s="22"/>
      <c r="RBM142" s="22"/>
      <c r="RBN142" s="22"/>
      <c r="RBO142" s="22"/>
      <c r="RBP142" s="22"/>
      <c r="RBQ142" s="22"/>
      <c r="RBR142" s="22"/>
      <c r="RBS142" s="22"/>
      <c r="RBT142" s="22"/>
      <c r="RBU142" s="22"/>
      <c r="RBV142" s="22"/>
      <c r="RBW142" s="22"/>
      <c r="RBX142" s="22"/>
      <c r="RBY142" s="22"/>
      <c r="RBZ142" s="22"/>
      <c r="RCA142" s="22"/>
      <c r="RCB142" s="22"/>
      <c r="RCC142" s="22"/>
      <c r="RCD142" s="22"/>
      <c r="RCE142" s="22"/>
      <c r="RCF142" s="22"/>
      <c r="RCG142" s="22"/>
      <c r="RCH142" s="22"/>
      <c r="RCI142" s="22"/>
      <c r="RCJ142" s="22"/>
      <c r="RCK142" s="22"/>
      <c r="RCL142" s="22"/>
      <c r="RCM142" s="22"/>
      <c r="RCN142" s="22"/>
      <c r="RCO142" s="22"/>
      <c r="RCP142" s="22"/>
      <c r="RCQ142" s="22"/>
      <c r="RCR142" s="22"/>
      <c r="RCS142" s="22"/>
      <c r="RCT142" s="22"/>
      <c r="RCU142" s="22"/>
      <c r="RCV142" s="22"/>
      <c r="RCW142" s="22"/>
      <c r="RCX142" s="22"/>
      <c r="RCY142" s="22"/>
      <c r="RCZ142" s="22"/>
      <c r="RDA142" s="22"/>
      <c r="RDB142" s="22"/>
      <c r="RDC142" s="22"/>
      <c r="RDD142" s="22"/>
      <c r="RDE142" s="22"/>
      <c r="RDF142" s="22"/>
      <c r="RDG142" s="22"/>
      <c r="RDH142" s="22"/>
      <c r="RDI142" s="22"/>
      <c r="RDJ142" s="22"/>
      <c r="RDK142" s="22"/>
      <c r="RDL142" s="22"/>
      <c r="RDM142" s="22"/>
      <c r="RDN142" s="22"/>
      <c r="RDO142" s="22"/>
      <c r="RDP142" s="22"/>
      <c r="RDQ142" s="22"/>
      <c r="RDR142" s="22"/>
      <c r="RDS142" s="22"/>
      <c r="RDT142" s="22"/>
      <c r="RDU142" s="22"/>
      <c r="RDV142" s="22"/>
      <c r="RDW142" s="22"/>
      <c r="RDX142" s="22"/>
      <c r="RDY142" s="22"/>
      <c r="RDZ142" s="22"/>
      <c r="REA142" s="22"/>
      <c r="REB142" s="22"/>
      <c r="REC142" s="22"/>
      <c r="RED142" s="22"/>
      <c r="REE142" s="22"/>
      <c r="REF142" s="22"/>
      <c r="REG142" s="22"/>
      <c r="REH142" s="22"/>
      <c r="REI142" s="22"/>
      <c r="REJ142" s="22"/>
      <c r="REK142" s="22"/>
      <c r="REL142" s="22"/>
      <c r="REM142" s="22"/>
      <c r="REN142" s="22"/>
      <c r="REO142" s="22"/>
      <c r="REP142" s="22"/>
      <c r="REQ142" s="22"/>
      <c r="RER142" s="22"/>
      <c r="RES142" s="22"/>
      <c r="RET142" s="22"/>
      <c r="REU142" s="22"/>
      <c r="REV142" s="22"/>
      <c r="REW142" s="22"/>
      <c r="REX142" s="22"/>
      <c r="REY142" s="22"/>
      <c r="REZ142" s="22"/>
      <c r="RFA142" s="22"/>
      <c r="RFB142" s="22"/>
      <c r="RFC142" s="22"/>
      <c r="RFD142" s="22"/>
      <c r="RFE142" s="22"/>
      <c r="RFF142" s="22"/>
      <c r="RFG142" s="22"/>
      <c r="RFH142" s="22"/>
      <c r="RFI142" s="22"/>
      <c r="RFJ142" s="22"/>
      <c r="RFK142" s="22"/>
      <c r="RFL142" s="22"/>
      <c r="RFM142" s="22"/>
      <c r="RFN142" s="22"/>
      <c r="RFO142" s="22"/>
      <c r="RFP142" s="22"/>
      <c r="RFQ142" s="22"/>
      <c r="RFR142" s="22"/>
      <c r="RFS142" s="22"/>
      <c r="RFT142" s="22"/>
      <c r="RFU142" s="22"/>
      <c r="RFV142" s="22"/>
      <c r="RFW142" s="22"/>
      <c r="RFX142" s="22"/>
      <c r="RFY142" s="22"/>
      <c r="RFZ142" s="22"/>
      <c r="RGA142" s="22"/>
      <c r="RGB142" s="22"/>
      <c r="RGC142" s="22"/>
      <c r="RGD142" s="22"/>
      <c r="RGE142" s="22"/>
      <c r="RGF142" s="22"/>
      <c r="RGG142" s="22"/>
      <c r="RGH142" s="22"/>
      <c r="RGI142" s="22"/>
      <c r="RGJ142" s="22"/>
      <c r="RGK142" s="22"/>
      <c r="RGL142" s="22"/>
      <c r="RGM142" s="22"/>
      <c r="RGN142" s="22"/>
      <c r="RGO142" s="22"/>
      <c r="RGP142" s="22"/>
      <c r="RGQ142" s="22"/>
      <c r="RGR142" s="22"/>
      <c r="RGS142" s="22"/>
      <c r="RGT142" s="22"/>
      <c r="RGU142" s="22"/>
      <c r="RGV142" s="22"/>
      <c r="RGW142" s="22"/>
      <c r="RGX142" s="22"/>
      <c r="RGY142" s="22"/>
      <c r="RGZ142" s="22"/>
      <c r="RHA142" s="22"/>
      <c r="RHB142" s="22"/>
      <c r="RHC142" s="22"/>
      <c r="RHD142" s="22"/>
      <c r="RHE142" s="22"/>
      <c r="RHF142" s="22"/>
      <c r="RHG142" s="22"/>
      <c r="RHH142" s="22"/>
      <c r="RHI142" s="22"/>
      <c r="RHJ142" s="22"/>
      <c r="RHK142" s="22"/>
      <c r="RHL142" s="22"/>
      <c r="RHM142" s="22"/>
      <c r="RHN142" s="22"/>
      <c r="RHO142" s="22"/>
      <c r="RHP142" s="22"/>
      <c r="RHQ142" s="22"/>
      <c r="RHR142" s="22"/>
      <c r="RHS142" s="22"/>
      <c r="RHT142" s="22"/>
      <c r="RHU142" s="22"/>
      <c r="RHV142" s="22"/>
      <c r="RHW142" s="22"/>
      <c r="RHX142" s="22"/>
      <c r="RHY142" s="22"/>
      <c r="RHZ142" s="22"/>
      <c r="RIA142" s="22"/>
      <c r="RIB142" s="22"/>
      <c r="RIC142" s="22"/>
      <c r="RID142" s="22"/>
      <c r="RIE142" s="22"/>
      <c r="RIF142" s="22"/>
      <c r="RIG142" s="22"/>
      <c r="RIH142" s="22"/>
      <c r="RII142" s="22"/>
      <c r="RIJ142" s="22"/>
      <c r="RIK142" s="22"/>
      <c r="RIL142" s="22"/>
      <c r="RIM142" s="22"/>
      <c r="RIN142" s="22"/>
      <c r="RIO142" s="22"/>
      <c r="RIP142" s="22"/>
      <c r="RIQ142" s="22"/>
      <c r="RIR142" s="22"/>
      <c r="RIS142" s="22"/>
      <c r="RIT142" s="22"/>
      <c r="RIU142" s="22"/>
      <c r="RIV142" s="22"/>
      <c r="RIW142" s="22"/>
      <c r="RIX142" s="22"/>
      <c r="RIY142" s="22"/>
      <c r="RIZ142" s="22"/>
      <c r="RJA142" s="22"/>
      <c r="RJB142" s="22"/>
      <c r="RJC142" s="22"/>
      <c r="RJD142" s="22"/>
      <c r="RJE142" s="22"/>
      <c r="RJF142" s="22"/>
      <c r="RJG142" s="22"/>
      <c r="RJH142" s="22"/>
      <c r="RJI142" s="22"/>
      <c r="RJJ142" s="22"/>
      <c r="RJK142" s="22"/>
      <c r="RJL142" s="22"/>
      <c r="RJM142" s="22"/>
      <c r="RJN142" s="22"/>
      <c r="RJO142" s="22"/>
      <c r="RJP142" s="22"/>
      <c r="RJQ142" s="22"/>
      <c r="RJR142" s="22"/>
      <c r="RJS142" s="22"/>
      <c r="RJT142" s="22"/>
      <c r="RJU142" s="22"/>
      <c r="RJV142" s="22"/>
      <c r="RJW142" s="22"/>
      <c r="RJX142" s="22"/>
      <c r="RJY142" s="22"/>
      <c r="RJZ142" s="22"/>
      <c r="RKA142" s="22"/>
      <c r="RKB142" s="22"/>
      <c r="RKC142" s="22"/>
      <c r="RKD142" s="22"/>
      <c r="RKE142" s="22"/>
      <c r="RKF142" s="22"/>
      <c r="RKG142" s="22"/>
      <c r="RKH142" s="22"/>
      <c r="RKI142" s="22"/>
      <c r="RKJ142" s="22"/>
      <c r="RKK142" s="22"/>
      <c r="RKL142" s="22"/>
      <c r="RKM142" s="22"/>
      <c r="RKN142" s="22"/>
      <c r="RKO142" s="22"/>
      <c r="RKP142" s="22"/>
      <c r="RKQ142" s="22"/>
      <c r="RKR142" s="22"/>
      <c r="RKS142" s="22"/>
      <c r="RKT142" s="22"/>
      <c r="RKU142" s="22"/>
      <c r="RKV142" s="22"/>
      <c r="RKW142" s="22"/>
      <c r="RKX142" s="22"/>
      <c r="RKY142" s="22"/>
      <c r="RKZ142" s="22"/>
      <c r="RLA142" s="22"/>
      <c r="RLB142" s="22"/>
      <c r="RLC142" s="22"/>
      <c r="RLD142" s="22"/>
      <c r="RLE142" s="22"/>
      <c r="RLF142" s="22"/>
      <c r="RLG142" s="22"/>
      <c r="RLH142" s="22"/>
      <c r="RLI142" s="22"/>
      <c r="RLJ142" s="22"/>
      <c r="RLK142" s="22"/>
      <c r="RLL142" s="22"/>
      <c r="RLM142" s="22"/>
      <c r="RLN142" s="22"/>
      <c r="RLO142" s="22"/>
      <c r="RLP142" s="22"/>
      <c r="RLQ142" s="22"/>
      <c r="RLR142" s="22"/>
      <c r="RLS142" s="22"/>
      <c r="RLT142" s="22"/>
      <c r="RLU142" s="22"/>
      <c r="RLV142" s="22"/>
      <c r="RLW142" s="22"/>
      <c r="RLX142" s="22"/>
      <c r="RLY142" s="22"/>
      <c r="RLZ142" s="22"/>
      <c r="RMA142" s="22"/>
      <c r="RMB142" s="22"/>
      <c r="RMC142" s="22"/>
      <c r="RMD142" s="22"/>
      <c r="RME142" s="22"/>
      <c r="RMF142" s="22"/>
      <c r="RMG142" s="22"/>
      <c r="RMH142" s="22"/>
      <c r="RMI142" s="22"/>
      <c r="RMJ142" s="22"/>
      <c r="RMK142" s="22"/>
      <c r="RML142" s="22"/>
      <c r="RMM142" s="22"/>
      <c r="RMN142" s="22"/>
      <c r="RMO142" s="22"/>
      <c r="RMP142" s="22"/>
      <c r="RMQ142" s="22"/>
      <c r="RMR142" s="22"/>
      <c r="RMS142" s="22"/>
      <c r="RMT142" s="22"/>
      <c r="RMU142" s="22"/>
      <c r="RMV142" s="22"/>
      <c r="RMW142" s="22"/>
      <c r="RMX142" s="22"/>
      <c r="RMY142" s="22"/>
      <c r="RMZ142" s="22"/>
      <c r="RNA142" s="22"/>
      <c r="RNB142" s="22"/>
      <c r="RNC142" s="22"/>
      <c r="RND142" s="22"/>
      <c r="RNE142" s="22"/>
      <c r="RNF142" s="22"/>
      <c r="RNG142" s="22"/>
      <c r="RNH142" s="22"/>
      <c r="RNI142" s="22"/>
      <c r="RNJ142" s="22"/>
      <c r="RNK142" s="22"/>
      <c r="RNL142" s="22"/>
      <c r="RNM142" s="22"/>
      <c r="RNN142" s="22"/>
      <c r="RNO142" s="22"/>
      <c r="RNP142" s="22"/>
      <c r="RNQ142" s="22"/>
      <c r="RNR142" s="22"/>
      <c r="RNS142" s="22"/>
      <c r="RNT142" s="22"/>
      <c r="RNU142" s="22"/>
      <c r="RNV142" s="22"/>
      <c r="RNW142" s="22"/>
      <c r="RNX142" s="22"/>
      <c r="RNY142" s="22"/>
      <c r="RNZ142" s="22"/>
      <c r="ROA142" s="22"/>
      <c r="ROB142" s="22"/>
      <c r="ROC142" s="22"/>
      <c r="ROD142" s="22"/>
      <c r="ROE142" s="22"/>
      <c r="ROF142" s="22"/>
      <c r="ROG142" s="22"/>
      <c r="ROH142" s="22"/>
      <c r="ROI142" s="22"/>
      <c r="ROJ142" s="22"/>
      <c r="ROK142" s="22"/>
      <c r="ROL142" s="22"/>
      <c r="ROM142" s="22"/>
      <c r="RON142" s="22"/>
      <c r="ROO142" s="22"/>
      <c r="ROP142" s="22"/>
      <c r="ROQ142" s="22"/>
      <c r="ROR142" s="22"/>
      <c r="ROS142" s="22"/>
      <c r="ROT142" s="22"/>
      <c r="ROU142" s="22"/>
      <c r="ROV142" s="22"/>
      <c r="ROW142" s="22"/>
      <c r="ROX142" s="22"/>
      <c r="ROY142" s="22"/>
      <c r="ROZ142" s="22"/>
      <c r="RPA142" s="22"/>
      <c r="RPB142" s="22"/>
      <c r="RPC142" s="22"/>
      <c r="RPD142" s="22"/>
      <c r="RPE142" s="22"/>
      <c r="RPF142" s="22"/>
      <c r="RPG142" s="22"/>
      <c r="RPH142" s="22"/>
      <c r="RPI142" s="22"/>
      <c r="RPJ142" s="22"/>
      <c r="RPK142" s="22"/>
      <c r="RPL142" s="22"/>
      <c r="RPM142" s="22"/>
      <c r="RPN142" s="22"/>
      <c r="RPO142" s="22"/>
      <c r="RPP142" s="22"/>
      <c r="RPQ142" s="22"/>
      <c r="RPR142" s="22"/>
      <c r="RPS142" s="22"/>
      <c r="RPT142" s="22"/>
      <c r="RPU142" s="22"/>
      <c r="RPV142" s="22"/>
      <c r="RPW142" s="22"/>
      <c r="RPX142" s="22"/>
      <c r="RPY142" s="22"/>
      <c r="RPZ142" s="22"/>
      <c r="RQA142" s="22"/>
      <c r="RQB142" s="22"/>
      <c r="RQC142" s="22"/>
      <c r="RQD142" s="22"/>
      <c r="RQE142" s="22"/>
      <c r="RQF142" s="22"/>
      <c r="RQG142" s="22"/>
      <c r="RQH142" s="22"/>
      <c r="RQI142" s="22"/>
      <c r="RQJ142" s="22"/>
      <c r="RQK142" s="22"/>
      <c r="RQL142" s="22"/>
      <c r="RQM142" s="22"/>
      <c r="RQN142" s="22"/>
      <c r="RQO142" s="22"/>
      <c r="RQP142" s="22"/>
      <c r="RQQ142" s="22"/>
      <c r="RQR142" s="22"/>
      <c r="RQS142" s="22"/>
      <c r="RQT142" s="22"/>
      <c r="RQU142" s="22"/>
      <c r="RQV142" s="22"/>
      <c r="RQW142" s="22"/>
      <c r="RQX142" s="22"/>
      <c r="RQY142" s="22"/>
      <c r="RQZ142" s="22"/>
      <c r="RRA142" s="22"/>
      <c r="RRB142" s="22"/>
      <c r="RRC142" s="22"/>
      <c r="RRD142" s="22"/>
      <c r="RRE142" s="22"/>
      <c r="RRF142" s="22"/>
      <c r="RRG142" s="22"/>
      <c r="RRH142" s="22"/>
      <c r="RRI142" s="22"/>
      <c r="RRJ142" s="22"/>
      <c r="RRK142" s="22"/>
      <c r="RRL142" s="22"/>
      <c r="RRM142" s="22"/>
      <c r="RRN142" s="22"/>
      <c r="RRO142" s="22"/>
      <c r="RRP142" s="22"/>
      <c r="RRQ142" s="22"/>
      <c r="RRR142" s="22"/>
      <c r="RRS142" s="22"/>
      <c r="RRT142" s="22"/>
      <c r="RRU142" s="22"/>
      <c r="RRV142" s="22"/>
      <c r="RRW142" s="22"/>
      <c r="RRX142" s="22"/>
      <c r="RRY142" s="22"/>
      <c r="RRZ142" s="22"/>
      <c r="RSA142" s="22"/>
      <c r="RSB142" s="22"/>
      <c r="RSC142" s="22"/>
      <c r="RSD142" s="22"/>
      <c r="RSE142" s="22"/>
      <c r="RSF142" s="22"/>
      <c r="RSG142" s="22"/>
      <c r="RSH142" s="22"/>
      <c r="RSI142" s="22"/>
      <c r="RSJ142" s="22"/>
      <c r="RSK142" s="22"/>
      <c r="RSL142" s="22"/>
      <c r="RSM142" s="22"/>
      <c r="RSN142" s="22"/>
      <c r="RSO142" s="22"/>
      <c r="RSP142" s="22"/>
      <c r="RSQ142" s="22"/>
      <c r="RSR142" s="22"/>
      <c r="RSS142" s="22"/>
      <c r="RST142" s="22"/>
      <c r="RSU142" s="22"/>
      <c r="RSV142" s="22"/>
      <c r="RSW142" s="22"/>
      <c r="RSX142" s="22"/>
      <c r="RSY142" s="22"/>
      <c r="RSZ142" s="22"/>
      <c r="RTA142" s="22"/>
      <c r="RTB142" s="22"/>
      <c r="RTC142" s="22"/>
      <c r="RTD142" s="22"/>
      <c r="RTE142" s="22"/>
      <c r="RTF142" s="22"/>
      <c r="RTG142" s="22"/>
      <c r="RTH142" s="22"/>
      <c r="RTI142" s="22"/>
      <c r="RTJ142" s="22"/>
      <c r="RTK142" s="22"/>
      <c r="RTL142" s="22"/>
      <c r="RTM142" s="22"/>
      <c r="RTN142" s="22"/>
      <c r="RTO142" s="22"/>
      <c r="RTP142" s="22"/>
      <c r="RTQ142" s="22"/>
      <c r="RTR142" s="22"/>
      <c r="RTS142" s="22"/>
      <c r="RTT142" s="22"/>
      <c r="RTU142" s="22"/>
      <c r="RTV142" s="22"/>
      <c r="RTW142" s="22"/>
      <c r="RTX142" s="22"/>
      <c r="RTY142" s="22"/>
      <c r="RTZ142" s="22"/>
      <c r="RUA142" s="22"/>
      <c r="RUB142" s="22"/>
      <c r="RUC142" s="22"/>
      <c r="RUD142" s="22"/>
      <c r="RUE142" s="22"/>
      <c r="RUF142" s="22"/>
      <c r="RUG142" s="22"/>
      <c r="RUH142" s="22"/>
      <c r="RUI142" s="22"/>
      <c r="RUJ142" s="22"/>
      <c r="RUK142" s="22"/>
      <c r="RUL142" s="22"/>
      <c r="RUM142" s="22"/>
      <c r="RUN142" s="22"/>
      <c r="RUO142" s="22"/>
      <c r="RUP142" s="22"/>
      <c r="RUQ142" s="22"/>
      <c r="RUR142" s="22"/>
      <c r="RUS142" s="22"/>
      <c r="RUT142" s="22"/>
      <c r="RUU142" s="22"/>
      <c r="RUV142" s="22"/>
      <c r="RUW142" s="22"/>
      <c r="RUX142" s="22"/>
      <c r="RUY142" s="22"/>
      <c r="RUZ142" s="22"/>
      <c r="RVA142" s="22"/>
      <c r="RVB142" s="22"/>
      <c r="RVC142" s="22"/>
      <c r="RVD142" s="22"/>
      <c r="RVE142" s="22"/>
      <c r="RVF142" s="22"/>
      <c r="RVG142" s="22"/>
      <c r="RVH142" s="22"/>
      <c r="RVI142" s="22"/>
      <c r="RVJ142" s="22"/>
      <c r="RVK142" s="22"/>
      <c r="RVL142" s="22"/>
      <c r="RVM142" s="22"/>
      <c r="RVN142" s="22"/>
      <c r="RVO142" s="22"/>
      <c r="RVP142" s="22"/>
      <c r="RVQ142" s="22"/>
      <c r="RVR142" s="22"/>
      <c r="RVS142" s="22"/>
      <c r="RVT142" s="22"/>
      <c r="RVU142" s="22"/>
      <c r="RVV142" s="22"/>
      <c r="RVW142" s="22"/>
      <c r="RVX142" s="22"/>
      <c r="RVY142" s="22"/>
      <c r="RVZ142" s="22"/>
      <c r="RWA142" s="22"/>
      <c r="RWB142" s="22"/>
      <c r="RWC142" s="22"/>
      <c r="RWD142" s="22"/>
      <c r="RWE142" s="22"/>
      <c r="RWF142" s="22"/>
      <c r="RWG142" s="22"/>
      <c r="RWH142" s="22"/>
      <c r="RWI142" s="22"/>
      <c r="RWJ142" s="22"/>
      <c r="RWK142" s="22"/>
      <c r="RWL142" s="22"/>
      <c r="RWM142" s="22"/>
      <c r="RWN142" s="22"/>
      <c r="RWO142" s="22"/>
      <c r="RWP142" s="22"/>
      <c r="RWQ142" s="22"/>
      <c r="RWR142" s="22"/>
      <c r="RWS142" s="22"/>
      <c r="RWT142" s="22"/>
      <c r="RWU142" s="22"/>
      <c r="RWV142" s="22"/>
      <c r="RWW142" s="22"/>
      <c r="RWX142" s="22"/>
      <c r="RWY142" s="22"/>
      <c r="RWZ142" s="22"/>
      <c r="RXA142" s="22"/>
      <c r="RXB142" s="22"/>
      <c r="RXC142" s="22"/>
      <c r="RXD142" s="22"/>
      <c r="RXE142" s="22"/>
      <c r="RXF142" s="22"/>
      <c r="RXG142" s="22"/>
      <c r="RXH142" s="22"/>
      <c r="RXI142" s="22"/>
      <c r="RXJ142" s="22"/>
      <c r="RXK142" s="22"/>
      <c r="RXL142" s="22"/>
      <c r="RXM142" s="22"/>
      <c r="RXN142" s="22"/>
      <c r="RXO142" s="22"/>
      <c r="RXP142" s="22"/>
      <c r="RXQ142" s="22"/>
      <c r="RXR142" s="22"/>
      <c r="RXS142" s="22"/>
      <c r="RXT142" s="22"/>
      <c r="RXU142" s="22"/>
      <c r="RXV142" s="22"/>
      <c r="RXW142" s="22"/>
      <c r="RXX142" s="22"/>
      <c r="RXY142" s="22"/>
      <c r="RXZ142" s="22"/>
      <c r="RYA142" s="22"/>
      <c r="RYB142" s="22"/>
      <c r="RYC142" s="22"/>
      <c r="RYD142" s="22"/>
      <c r="RYE142" s="22"/>
      <c r="RYF142" s="22"/>
      <c r="RYG142" s="22"/>
      <c r="RYH142" s="22"/>
      <c r="RYI142" s="22"/>
      <c r="RYJ142" s="22"/>
      <c r="RYK142" s="22"/>
      <c r="RYL142" s="22"/>
      <c r="RYM142" s="22"/>
      <c r="RYN142" s="22"/>
      <c r="RYO142" s="22"/>
      <c r="RYP142" s="22"/>
      <c r="RYQ142" s="22"/>
      <c r="RYR142" s="22"/>
      <c r="RYS142" s="22"/>
      <c r="RYT142" s="22"/>
      <c r="RYU142" s="22"/>
      <c r="RYV142" s="22"/>
      <c r="RYW142" s="22"/>
      <c r="RYX142" s="22"/>
      <c r="RYY142" s="22"/>
      <c r="RYZ142" s="22"/>
      <c r="RZA142" s="22"/>
      <c r="RZB142" s="22"/>
      <c r="RZC142" s="22"/>
      <c r="RZD142" s="22"/>
      <c r="RZE142" s="22"/>
      <c r="RZF142" s="22"/>
      <c r="RZG142" s="22"/>
      <c r="RZH142" s="22"/>
      <c r="RZI142" s="22"/>
      <c r="RZJ142" s="22"/>
      <c r="RZK142" s="22"/>
      <c r="RZL142" s="22"/>
      <c r="RZM142" s="22"/>
      <c r="RZN142" s="22"/>
      <c r="RZO142" s="22"/>
      <c r="RZP142" s="22"/>
      <c r="RZQ142" s="22"/>
      <c r="RZR142" s="22"/>
      <c r="RZS142" s="22"/>
      <c r="RZT142" s="22"/>
      <c r="RZU142" s="22"/>
      <c r="RZV142" s="22"/>
      <c r="RZW142" s="22"/>
      <c r="RZX142" s="22"/>
      <c r="RZY142" s="22"/>
      <c r="RZZ142" s="22"/>
      <c r="SAA142" s="22"/>
      <c r="SAB142" s="22"/>
      <c r="SAC142" s="22"/>
      <c r="SAD142" s="22"/>
      <c r="SAE142" s="22"/>
      <c r="SAF142" s="22"/>
      <c r="SAG142" s="22"/>
      <c r="SAH142" s="22"/>
      <c r="SAI142" s="22"/>
      <c r="SAJ142" s="22"/>
      <c r="SAK142" s="22"/>
      <c r="SAL142" s="22"/>
      <c r="SAM142" s="22"/>
      <c r="SAN142" s="22"/>
      <c r="SAO142" s="22"/>
      <c r="SAP142" s="22"/>
      <c r="SAQ142" s="22"/>
      <c r="SAR142" s="22"/>
      <c r="SAS142" s="22"/>
      <c r="SAT142" s="22"/>
      <c r="SAU142" s="22"/>
      <c r="SAV142" s="22"/>
      <c r="SAW142" s="22"/>
      <c r="SAX142" s="22"/>
      <c r="SAY142" s="22"/>
      <c r="SAZ142" s="22"/>
      <c r="SBA142" s="22"/>
      <c r="SBB142" s="22"/>
      <c r="SBC142" s="22"/>
      <c r="SBD142" s="22"/>
      <c r="SBE142" s="22"/>
      <c r="SBF142" s="22"/>
      <c r="SBG142" s="22"/>
      <c r="SBH142" s="22"/>
      <c r="SBI142" s="22"/>
      <c r="SBJ142" s="22"/>
      <c r="SBK142" s="22"/>
      <c r="SBL142" s="22"/>
      <c r="SBM142" s="22"/>
      <c r="SBN142" s="22"/>
      <c r="SBO142" s="22"/>
      <c r="SBP142" s="22"/>
      <c r="SBQ142" s="22"/>
      <c r="SBR142" s="22"/>
      <c r="SBS142" s="22"/>
      <c r="SBT142" s="22"/>
      <c r="SBU142" s="22"/>
      <c r="SBV142" s="22"/>
      <c r="SBW142" s="22"/>
      <c r="SBX142" s="22"/>
      <c r="SBY142" s="22"/>
      <c r="SBZ142" s="22"/>
      <c r="SCA142" s="22"/>
      <c r="SCB142" s="22"/>
      <c r="SCC142" s="22"/>
      <c r="SCD142" s="22"/>
      <c r="SCE142" s="22"/>
      <c r="SCF142" s="22"/>
      <c r="SCG142" s="22"/>
      <c r="SCH142" s="22"/>
      <c r="SCI142" s="22"/>
      <c r="SCJ142" s="22"/>
      <c r="SCK142" s="22"/>
      <c r="SCL142" s="22"/>
      <c r="SCM142" s="22"/>
      <c r="SCN142" s="22"/>
      <c r="SCO142" s="22"/>
      <c r="SCP142" s="22"/>
      <c r="SCQ142" s="22"/>
      <c r="SCR142" s="22"/>
      <c r="SCS142" s="22"/>
      <c r="SCT142" s="22"/>
      <c r="SCU142" s="22"/>
      <c r="SCV142" s="22"/>
      <c r="SCW142" s="22"/>
      <c r="SCX142" s="22"/>
      <c r="SCY142" s="22"/>
      <c r="SCZ142" s="22"/>
      <c r="SDA142" s="22"/>
      <c r="SDB142" s="22"/>
      <c r="SDC142" s="22"/>
      <c r="SDD142" s="22"/>
      <c r="SDE142" s="22"/>
      <c r="SDF142" s="22"/>
      <c r="SDG142" s="22"/>
      <c r="SDH142" s="22"/>
      <c r="SDI142" s="22"/>
      <c r="SDJ142" s="22"/>
      <c r="SDK142" s="22"/>
      <c r="SDL142" s="22"/>
      <c r="SDM142" s="22"/>
      <c r="SDN142" s="22"/>
      <c r="SDO142" s="22"/>
      <c r="SDP142" s="22"/>
      <c r="SDQ142" s="22"/>
      <c r="SDR142" s="22"/>
      <c r="SDS142" s="22"/>
      <c r="SDT142" s="22"/>
      <c r="SDU142" s="22"/>
      <c r="SDV142" s="22"/>
      <c r="SDW142" s="22"/>
      <c r="SDX142" s="22"/>
      <c r="SDY142" s="22"/>
      <c r="SDZ142" s="22"/>
      <c r="SEA142" s="22"/>
      <c r="SEB142" s="22"/>
      <c r="SEC142" s="22"/>
      <c r="SED142" s="22"/>
      <c r="SEE142" s="22"/>
      <c r="SEF142" s="22"/>
      <c r="SEG142" s="22"/>
      <c r="SEH142" s="22"/>
      <c r="SEI142" s="22"/>
      <c r="SEJ142" s="22"/>
      <c r="SEK142" s="22"/>
      <c r="SEL142" s="22"/>
      <c r="SEM142" s="22"/>
      <c r="SEN142" s="22"/>
      <c r="SEO142" s="22"/>
      <c r="SEP142" s="22"/>
      <c r="SEQ142" s="22"/>
      <c r="SER142" s="22"/>
      <c r="SES142" s="22"/>
      <c r="SET142" s="22"/>
      <c r="SEU142" s="22"/>
      <c r="SEV142" s="22"/>
      <c r="SEW142" s="22"/>
      <c r="SEX142" s="22"/>
      <c r="SEY142" s="22"/>
      <c r="SEZ142" s="22"/>
      <c r="SFA142" s="22"/>
      <c r="SFB142" s="22"/>
      <c r="SFC142" s="22"/>
      <c r="SFD142" s="22"/>
      <c r="SFE142" s="22"/>
      <c r="SFF142" s="22"/>
      <c r="SFG142" s="22"/>
      <c r="SFH142" s="22"/>
      <c r="SFI142" s="22"/>
      <c r="SFJ142" s="22"/>
      <c r="SFK142" s="22"/>
      <c r="SFL142" s="22"/>
      <c r="SFM142" s="22"/>
      <c r="SFN142" s="22"/>
      <c r="SFO142" s="22"/>
      <c r="SFP142" s="22"/>
      <c r="SFQ142" s="22"/>
      <c r="SFR142" s="22"/>
      <c r="SFS142" s="22"/>
      <c r="SFT142" s="22"/>
      <c r="SFU142" s="22"/>
      <c r="SFV142" s="22"/>
      <c r="SFW142" s="22"/>
      <c r="SFX142" s="22"/>
      <c r="SFY142" s="22"/>
      <c r="SFZ142" s="22"/>
      <c r="SGA142" s="22"/>
      <c r="SGB142" s="22"/>
      <c r="SGC142" s="22"/>
      <c r="SGD142" s="22"/>
      <c r="SGE142" s="22"/>
      <c r="SGF142" s="22"/>
      <c r="SGG142" s="22"/>
      <c r="SGH142" s="22"/>
      <c r="SGI142" s="22"/>
      <c r="SGJ142" s="22"/>
      <c r="SGK142" s="22"/>
      <c r="SGL142" s="22"/>
      <c r="SGM142" s="22"/>
      <c r="SGN142" s="22"/>
      <c r="SGO142" s="22"/>
      <c r="SGP142" s="22"/>
      <c r="SGQ142" s="22"/>
      <c r="SGR142" s="22"/>
      <c r="SGS142" s="22"/>
      <c r="SGT142" s="22"/>
      <c r="SGU142" s="22"/>
      <c r="SGV142" s="22"/>
      <c r="SGW142" s="22"/>
      <c r="SGX142" s="22"/>
      <c r="SGY142" s="22"/>
      <c r="SGZ142" s="22"/>
      <c r="SHA142" s="22"/>
      <c r="SHB142" s="22"/>
      <c r="SHC142" s="22"/>
      <c r="SHD142" s="22"/>
      <c r="SHE142" s="22"/>
      <c r="SHF142" s="22"/>
      <c r="SHG142" s="22"/>
      <c r="SHH142" s="22"/>
      <c r="SHI142" s="22"/>
      <c r="SHJ142" s="22"/>
      <c r="SHK142" s="22"/>
      <c r="SHL142" s="22"/>
      <c r="SHM142" s="22"/>
      <c r="SHN142" s="22"/>
      <c r="SHO142" s="22"/>
      <c r="SHP142" s="22"/>
      <c r="SHQ142" s="22"/>
      <c r="SHR142" s="22"/>
      <c r="SHS142" s="22"/>
      <c r="SHT142" s="22"/>
      <c r="SHU142" s="22"/>
      <c r="SHV142" s="22"/>
      <c r="SHW142" s="22"/>
      <c r="SHX142" s="22"/>
      <c r="SHY142" s="22"/>
      <c r="SHZ142" s="22"/>
      <c r="SIA142" s="22"/>
      <c r="SIB142" s="22"/>
      <c r="SIC142" s="22"/>
      <c r="SID142" s="22"/>
      <c r="SIE142" s="22"/>
      <c r="SIF142" s="22"/>
      <c r="SIG142" s="22"/>
      <c r="SIH142" s="22"/>
      <c r="SII142" s="22"/>
      <c r="SIJ142" s="22"/>
      <c r="SIK142" s="22"/>
      <c r="SIL142" s="22"/>
      <c r="SIM142" s="22"/>
      <c r="SIN142" s="22"/>
      <c r="SIO142" s="22"/>
      <c r="SIP142" s="22"/>
      <c r="SIQ142" s="22"/>
      <c r="SIR142" s="22"/>
      <c r="SIS142" s="22"/>
      <c r="SIT142" s="22"/>
      <c r="SIU142" s="22"/>
      <c r="SIV142" s="22"/>
      <c r="SIW142" s="22"/>
      <c r="SIX142" s="22"/>
      <c r="SIY142" s="22"/>
      <c r="SIZ142" s="22"/>
      <c r="SJA142" s="22"/>
      <c r="SJB142" s="22"/>
      <c r="SJC142" s="22"/>
      <c r="SJD142" s="22"/>
      <c r="SJE142" s="22"/>
      <c r="SJF142" s="22"/>
      <c r="SJG142" s="22"/>
      <c r="SJH142" s="22"/>
      <c r="SJI142" s="22"/>
      <c r="SJJ142" s="22"/>
      <c r="SJK142" s="22"/>
      <c r="SJL142" s="22"/>
      <c r="SJM142" s="22"/>
      <c r="SJN142" s="22"/>
      <c r="SJO142" s="22"/>
      <c r="SJP142" s="22"/>
      <c r="SJQ142" s="22"/>
      <c r="SJR142" s="22"/>
      <c r="SJS142" s="22"/>
      <c r="SJT142" s="22"/>
      <c r="SJU142" s="22"/>
      <c r="SJV142" s="22"/>
      <c r="SJW142" s="22"/>
      <c r="SJX142" s="22"/>
      <c r="SJY142" s="22"/>
      <c r="SJZ142" s="22"/>
      <c r="SKA142" s="22"/>
      <c r="SKB142" s="22"/>
      <c r="SKC142" s="22"/>
      <c r="SKD142" s="22"/>
      <c r="SKE142" s="22"/>
      <c r="SKF142" s="22"/>
      <c r="SKG142" s="22"/>
      <c r="SKH142" s="22"/>
      <c r="SKI142" s="22"/>
      <c r="SKJ142" s="22"/>
      <c r="SKK142" s="22"/>
      <c r="SKL142" s="22"/>
      <c r="SKM142" s="22"/>
      <c r="SKN142" s="22"/>
      <c r="SKO142" s="22"/>
      <c r="SKP142" s="22"/>
      <c r="SKQ142" s="22"/>
      <c r="SKR142" s="22"/>
      <c r="SKS142" s="22"/>
      <c r="SKT142" s="22"/>
      <c r="SKU142" s="22"/>
      <c r="SKV142" s="22"/>
      <c r="SKW142" s="22"/>
      <c r="SKX142" s="22"/>
      <c r="SKY142" s="22"/>
      <c r="SKZ142" s="22"/>
      <c r="SLA142" s="22"/>
      <c r="SLB142" s="22"/>
      <c r="SLC142" s="22"/>
      <c r="SLD142" s="22"/>
      <c r="SLE142" s="22"/>
      <c r="SLF142" s="22"/>
      <c r="SLG142" s="22"/>
      <c r="SLH142" s="22"/>
      <c r="SLI142" s="22"/>
      <c r="SLJ142" s="22"/>
      <c r="SLK142" s="22"/>
      <c r="SLL142" s="22"/>
      <c r="SLM142" s="22"/>
      <c r="SLN142" s="22"/>
      <c r="SLO142" s="22"/>
      <c r="SLP142" s="22"/>
      <c r="SLQ142" s="22"/>
      <c r="SLR142" s="22"/>
      <c r="SLS142" s="22"/>
      <c r="SLT142" s="22"/>
      <c r="SLU142" s="22"/>
      <c r="SLV142" s="22"/>
      <c r="SLW142" s="22"/>
      <c r="SLX142" s="22"/>
      <c r="SLY142" s="22"/>
      <c r="SLZ142" s="22"/>
      <c r="SMA142" s="22"/>
      <c r="SMB142" s="22"/>
      <c r="SMC142" s="22"/>
      <c r="SMD142" s="22"/>
      <c r="SME142" s="22"/>
      <c r="SMF142" s="22"/>
      <c r="SMG142" s="22"/>
      <c r="SMH142" s="22"/>
      <c r="SMI142" s="22"/>
      <c r="SMJ142" s="22"/>
      <c r="SMK142" s="22"/>
      <c r="SML142" s="22"/>
      <c r="SMM142" s="22"/>
      <c r="SMN142" s="22"/>
      <c r="SMO142" s="22"/>
      <c r="SMP142" s="22"/>
      <c r="SMQ142" s="22"/>
      <c r="SMR142" s="22"/>
      <c r="SMS142" s="22"/>
      <c r="SMT142" s="22"/>
      <c r="SMU142" s="22"/>
      <c r="SMV142" s="22"/>
      <c r="SMW142" s="22"/>
      <c r="SMX142" s="22"/>
      <c r="SMY142" s="22"/>
      <c r="SMZ142" s="22"/>
      <c r="SNA142" s="22"/>
      <c r="SNB142" s="22"/>
      <c r="SNC142" s="22"/>
      <c r="SND142" s="22"/>
      <c r="SNE142" s="22"/>
      <c r="SNF142" s="22"/>
      <c r="SNG142" s="22"/>
      <c r="SNH142" s="22"/>
      <c r="SNI142" s="22"/>
      <c r="SNJ142" s="22"/>
      <c r="SNK142" s="22"/>
      <c r="SNL142" s="22"/>
      <c r="SNM142" s="22"/>
      <c r="SNN142" s="22"/>
      <c r="SNO142" s="22"/>
      <c r="SNP142" s="22"/>
      <c r="SNQ142" s="22"/>
      <c r="SNR142" s="22"/>
      <c r="SNS142" s="22"/>
      <c r="SNT142" s="22"/>
      <c r="SNU142" s="22"/>
      <c r="SNV142" s="22"/>
      <c r="SNW142" s="22"/>
      <c r="SNX142" s="22"/>
      <c r="SNY142" s="22"/>
      <c r="SNZ142" s="22"/>
      <c r="SOA142" s="22"/>
      <c r="SOB142" s="22"/>
      <c r="SOC142" s="22"/>
      <c r="SOD142" s="22"/>
      <c r="SOE142" s="22"/>
      <c r="SOF142" s="22"/>
      <c r="SOG142" s="22"/>
      <c r="SOH142" s="22"/>
      <c r="SOI142" s="22"/>
      <c r="SOJ142" s="22"/>
      <c r="SOK142" s="22"/>
      <c r="SOL142" s="22"/>
      <c r="SOM142" s="22"/>
      <c r="SON142" s="22"/>
      <c r="SOO142" s="22"/>
      <c r="SOP142" s="22"/>
      <c r="SOQ142" s="22"/>
      <c r="SOR142" s="22"/>
      <c r="SOS142" s="22"/>
      <c r="SOT142" s="22"/>
      <c r="SOU142" s="22"/>
      <c r="SOV142" s="22"/>
      <c r="SOW142" s="22"/>
      <c r="SOX142" s="22"/>
      <c r="SOY142" s="22"/>
      <c r="SOZ142" s="22"/>
      <c r="SPA142" s="22"/>
      <c r="SPB142" s="22"/>
      <c r="SPC142" s="22"/>
      <c r="SPD142" s="22"/>
      <c r="SPE142" s="22"/>
      <c r="SPF142" s="22"/>
      <c r="SPG142" s="22"/>
      <c r="SPH142" s="22"/>
      <c r="SPI142" s="22"/>
      <c r="SPJ142" s="22"/>
      <c r="SPK142" s="22"/>
      <c r="SPL142" s="22"/>
      <c r="SPM142" s="22"/>
      <c r="SPN142" s="22"/>
      <c r="SPO142" s="22"/>
      <c r="SPP142" s="22"/>
      <c r="SPQ142" s="22"/>
      <c r="SPR142" s="22"/>
      <c r="SPS142" s="22"/>
      <c r="SPT142" s="22"/>
      <c r="SPU142" s="22"/>
      <c r="SPV142" s="22"/>
      <c r="SPW142" s="22"/>
      <c r="SPX142" s="22"/>
      <c r="SPY142" s="22"/>
      <c r="SPZ142" s="22"/>
      <c r="SQA142" s="22"/>
      <c r="SQB142" s="22"/>
      <c r="SQC142" s="22"/>
      <c r="SQD142" s="22"/>
      <c r="SQE142" s="22"/>
      <c r="SQF142" s="22"/>
      <c r="SQG142" s="22"/>
      <c r="SQH142" s="22"/>
      <c r="SQI142" s="22"/>
      <c r="SQJ142" s="22"/>
      <c r="SQK142" s="22"/>
      <c r="SQL142" s="22"/>
      <c r="SQM142" s="22"/>
      <c r="SQN142" s="22"/>
      <c r="SQO142" s="22"/>
      <c r="SQP142" s="22"/>
      <c r="SQQ142" s="22"/>
      <c r="SQR142" s="22"/>
      <c r="SQS142" s="22"/>
      <c r="SQT142" s="22"/>
      <c r="SQU142" s="22"/>
      <c r="SQV142" s="22"/>
      <c r="SQW142" s="22"/>
      <c r="SQX142" s="22"/>
      <c r="SQY142" s="22"/>
      <c r="SQZ142" s="22"/>
      <c r="SRA142" s="22"/>
      <c r="SRB142" s="22"/>
      <c r="SRC142" s="22"/>
      <c r="SRD142" s="22"/>
      <c r="SRE142" s="22"/>
      <c r="SRF142" s="22"/>
      <c r="SRG142" s="22"/>
      <c r="SRH142" s="22"/>
      <c r="SRI142" s="22"/>
      <c r="SRJ142" s="22"/>
      <c r="SRK142" s="22"/>
      <c r="SRL142" s="22"/>
      <c r="SRM142" s="22"/>
      <c r="SRN142" s="22"/>
      <c r="SRO142" s="22"/>
      <c r="SRP142" s="22"/>
      <c r="SRQ142" s="22"/>
      <c r="SRR142" s="22"/>
      <c r="SRS142" s="22"/>
      <c r="SRT142" s="22"/>
      <c r="SRU142" s="22"/>
      <c r="SRV142" s="22"/>
      <c r="SRW142" s="22"/>
      <c r="SRX142" s="22"/>
      <c r="SRY142" s="22"/>
      <c r="SRZ142" s="22"/>
      <c r="SSA142" s="22"/>
      <c r="SSB142" s="22"/>
      <c r="SSC142" s="22"/>
      <c r="SSD142" s="22"/>
      <c r="SSE142" s="22"/>
      <c r="SSF142" s="22"/>
      <c r="SSG142" s="22"/>
      <c r="SSH142" s="22"/>
      <c r="SSI142" s="22"/>
      <c r="SSJ142" s="22"/>
      <c r="SSK142" s="22"/>
      <c r="SSL142" s="22"/>
      <c r="SSM142" s="22"/>
      <c r="SSN142" s="22"/>
      <c r="SSO142" s="22"/>
      <c r="SSP142" s="22"/>
      <c r="SSQ142" s="22"/>
      <c r="SSR142" s="22"/>
      <c r="SSS142" s="22"/>
      <c r="SST142" s="22"/>
      <c r="SSU142" s="22"/>
      <c r="SSV142" s="22"/>
      <c r="SSW142" s="22"/>
      <c r="SSX142" s="22"/>
      <c r="SSY142" s="22"/>
      <c r="SSZ142" s="22"/>
      <c r="STA142" s="22"/>
      <c r="STB142" s="22"/>
      <c r="STC142" s="22"/>
      <c r="STD142" s="22"/>
      <c r="STE142" s="22"/>
      <c r="STF142" s="22"/>
      <c r="STG142" s="22"/>
      <c r="STH142" s="22"/>
      <c r="STI142" s="22"/>
      <c r="STJ142" s="22"/>
      <c r="STK142" s="22"/>
      <c r="STL142" s="22"/>
      <c r="STM142" s="22"/>
      <c r="STN142" s="22"/>
      <c r="STO142" s="22"/>
      <c r="STP142" s="22"/>
      <c r="STQ142" s="22"/>
      <c r="STR142" s="22"/>
      <c r="STS142" s="22"/>
      <c r="STT142" s="22"/>
      <c r="STU142" s="22"/>
      <c r="STV142" s="22"/>
      <c r="STW142" s="22"/>
      <c r="STX142" s="22"/>
      <c r="STY142" s="22"/>
      <c r="STZ142" s="22"/>
      <c r="SUA142" s="22"/>
      <c r="SUB142" s="22"/>
      <c r="SUC142" s="22"/>
      <c r="SUD142" s="22"/>
      <c r="SUE142" s="22"/>
      <c r="SUF142" s="22"/>
      <c r="SUG142" s="22"/>
      <c r="SUH142" s="22"/>
      <c r="SUI142" s="22"/>
      <c r="SUJ142" s="22"/>
      <c r="SUK142" s="22"/>
      <c r="SUL142" s="22"/>
      <c r="SUM142" s="22"/>
      <c r="SUN142" s="22"/>
      <c r="SUO142" s="22"/>
      <c r="SUP142" s="22"/>
      <c r="SUQ142" s="22"/>
      <c r="SUR142" s="22"/>
      <c r="SUS142" s="22"/>
      <c r="SUT142" s="22"/>
      <c r="SUU142" s="22"/>
      <c r="SUV142" s="22"/>
      <c r="SUW142" s="22"/>
      <c r="SUX142" s="22"/>
      <c r="SUY142" s="22"/>
      <c r="SUZ142" s="22"/>
      <c r="SVA142" s="22"/>
      <c r="SVB142" s="22"/>
      <c r="SVC142" s="22"/>
      <c r="SVD142" s="22"/>
      <c r="SVE142" s="22"/>
      <c r="SVF142" s="22"/>
      <c r="SVG142" s="22"/>
      <c r="SVH142" s="22"/>
      <c r="SVI142" s="22"/>
      <c r="SVJ142" s="22"/>
      <c r="SVK142" s="22"/>
      <c r="SVL142" s="22"/>
      <c r="SVM142" s="22"/>
      <c r="SVN142" s="22"/>
      <c r="SVO142" s="22"/>
      <c r="SVP142" s="22"/>
      <c r="SVQ142" s="22"/>
      <c r="SVR142" s="22"/>
      <c r="SVS142" s="22"/>
      <c r="SVT142" s="22"/>
      <c r="SVU142" s="22"/>
      <c r="SVV142" s="22"/>
      <c r="SVW142" s="22"/>
      <c r="SVX142" s="22"/>
      <c r="SVY142" s="22"/>
      <c r="SVZ142" s="22"/>
      <c r="SWA142" s="22"/>
      <c r="SWB142" s="22"/>
      <c r="SWC142" s="22"/>
      <c r="SWD142" s="22"/>
      <c r="SWE142" s="22"/>
      <c r="SWF142" s="22"/>
      <c r="SWG142" s="22"/>
      <c r="SWH142" s="22"/>
      <c r="SWI142" s="22"/>
      <c r="SWJ142" s="22"/>
      <c r="SWK142" s="22"/>
      <c r="SWL142" s="22"/>
      <c r="SWM142" s="22"/>
      <c r="SWN142" s="22"/>
      <c r="SWO142" s="22"/>
      <c r="SWP142" s="22"/>
      <c r="SWQ142" s="22"/>
      <c r="SWR142" s="22"/>
      <c r="SWS142" s="22"/>
      <c r="SWT142" s="22"/>
      <c r="SWU142" s="22"/>
      <c r="SWV142" s="22"/>
      <c r="SWW142" s="22"/>
      <c r="SWX142" s="22"/>
      <c r="SWY142" s="22"/>
      <c r="SWZ142" s="22"/>
      <c r="SXA142" s="22"/>
      <c r="SXB142" s="22"/>
      <c r="SXC142" s="22"/>
      <c r="SXD142" s="22"/>
      <c r="SXE142" s="22"/>
      <c r="SXF142" s="22"/>
      <c r="SXG142" s="22"/>
      <c r="SXH142" s="22"/>
      <c r="SXI142" s="22"/>
      <c r="SXJ142" s="22"/>
      <c r="SXK142" s="22"/>
      <c r="SXL142" s="22"/>
      <c r="SXM142" s="22"/>
      <c r="SXN142" s="22"/>
      <c r="SXO142" s="22"/>
      <c r="SXP142" s="22"/>
      <c r="SXQ142" s="22"/>
      <c r="SXR142" s="22"/>
      <c r="SXS142" s="22"/>
      <c r="SXT142" s="22"/>
      <c r="SXU142" s="22"/>
      <c r="SXV142" s="22"/>
      <c r="SXW142" s="22"/>
      <c r="SXX142" s="22"/>
      <c r="SXY142" s="22"/>
      <c r="SXZ142" s="22"/>
      <c r="SYA142" s="22"/>
      <c r="SYB142" s="22"/>
      <c r="SYC142" s="22"/>
      <c r="SYD142" s="22"/>
      <c r="SYE142" s="22"/>
      <c r="SYF142" s="22"/>
      <c r="SYG142" s="22"/>
      <c r="SYH142" s="22"/>
      <c r="SYI142" s="22"/>
      <c r="SYJ142" s="22"/>
      <c r="SYK142" s="22"/>
      <c r="SYL142" s="22"/>
      <c r="SYM142" s="22"/>
      <c r="SYN142" s="22"/>
      <c r="SYO142" s="22"/>
      <c r="SYP142" s="22"/>
      <c r="SYQ142" s="22"/>
      <c r="SYR142" s="22"/>
      <c r="SYS142" s="22"/>
      <c r="SYT142" s="22"/>
      <c r="SYU142" s="22"/>
      <c r="SYV142" s="22"/>
      <c r="SYW142" s="22"/>
      <c r="SYX142" s="22"/>
      <c r="SYY142" s="22"/>
      <c r="SYZ142" s="22"/>
      <c r="SZA142" s="22"/>
      <c r="SZB142" s="22"/>
      <c r="SZC142" s="22"/>
      <c r="SZD142" s="22"/>
      <c r="SZE142" s="22"/>
      <c r="SZF142" s="22"/>
      <c r="SZG142" s="22"/>
      <c r="SZH142" s="22"/>
      <c r="SZI142" s="22"/>
      <c r="SZJ142" s="22"/>
      <c r="SZK142" s="22"/>
      <c r="SZL142" s="22"/>
      <c r="SZM142" s="22"/>
      <c r="SZN142" s="22"/>
      <c r="SZO142" s="22"/>
      <c r="SZP142" s="22"/>
      <c r="SZQ142" s="22"/>
      <c r="SZR142" s="22"/>
      <c r="SZS142" s="22"/>
      <c r="SZT142" s="22"/>
      <c r="SZU142" s="22"/>
      <c r="SZV142" s="22"/>
      <c r="SZW142" s="22"/>
      <c r="SZX142" s="22"/>
      <c r="SZY142" s="22"/>
      <c r="SZZ142" s="22"/>
      <c r="TAA142" s="22"/>
      <c r="TAB142" s="22"/>
      <c r="TAC142" s="22"/>
      <c r="TAD142" s="22"/>
      <c r="TAE142" s="22"/>
      <c r="TAF142" s="22"/>
      <c r="TAG142" s="22"/>
      <c r="TAH142" s="22"/>
      <c r="TAI142" s="22"/>
      <c r="TAJ142" s="22"/>
      <c r="TAK142" s="22"/>
      <c r="TAL142" s="22"/>
      <c r="TAM142" s="22"/>
      <c r="TAN142" s="22"/>
      <c r="TAO142" s="22"/>
      <c r="TAP142" s="22"/>
      <c r="TAQ142" s="22"/>
      <c r="TAR142" s="22"/>
      <c r="TAS142" s="22"/>
      <c r="TAT142" s="22"/>
      <c r="TAU142" s="22"/>
      <c r="TAV142" s="22"/>
      <c r="TAW142" s="22"/>
      <c r="TAX142" s="22"/>
      <c r="TAY142" s="22"/>
      <c r="TAZ142" s="22"/>
      <c r="TBA142" s="22"/>
      <c r="TBB142" s="22"/>
      <c r="TBC142" s="22"/>
      <c r="TBD142" s="22"/>
      <c r="TBE142" s="22"/>
      <c r="TBF142" s="22"/>
      <c r="TBG142" s="22"/>
      <c r="TBH142" s="22"/>
      <c r="TBI142" s="22"/>
      <c r="TBJ142" s="22"/>
      <c r="TBK142" s="22"/>
      <c r="TBL142" s="22"/>
      <c r="TBM142" s="22"/>
      <c r="TBN142" s="22"/>
      <c r="TBO142" s="22"/>
      <c r="TBP142" s="22"/>
      <c r="TBQ142" s="22"/>
      <c r="TBR142" s="22"/>
      <c r="TBS142" s="22"/>
      <c r="TBT142" s="22"/>
      <c r="TBU142" s="22"/>
      <c r="TBV142" s="22"/>
      <c r="TBW142" s="22"/>
      <c r="TBX142" s="22"/>
      <c r="TBY142" s="22"/>
      <c r="TBZ142" s="22"/>
      <c r="TCA142" s="22"/>
      <c r="TCB142" s="22"/>
      <c r="TCC142" s="22"/>
      <c r="TCD142" s="22"/>
      <c r="TCE142" s="22"/>
      <c r="TCF142" s="22"/>
      <c r="TCG142" s="22"/>
      <c r="TCH142" s="22"/>
      <c r="TCI142" s="22"/>
      <c r="TCJ142" s="22"/>
      <c r="TCK142" s="22"/>
      <c r="TCL142" s="22"/>
      <c r="TCM142" s="22"/>
      <c r="TCN142" s="22"/>
      <c r="TCO142" s="22"/>
      <c r="TCP142" s="22"/>
      <c r="TCQ142" s="22"/>
      <c r="TCR142" s="22"/>
      <c r="TCS142" s="22"/>
      <c r="TCT142" s="22"/>
      <c r="TCU142" s="22"/>
      <c r="TCV142" s="22"/>
      <c r="TCW142" s="22"/>
      <c r="TCX142" s="22"/>
      <c r="TCY142" s="22"/>
      <c r="TCZ142" s="22"/>
      <c r="TDA142" s="22"/>
      <c r="TDB142" s="22"/>
      <c r="TDC142" s="22"/>
      <c r="TDD142" s="22"/>
      <c r="TDE142" s="22"/>
      <c r="TDF142" s="22"/>
      <c r="TDG142" s="22"/>
      <c r="TDH142" s="22"/>
      <c r="TDI142" s="22"/>
      <c r="TDJ142" s="22"/>
      <c r="TDK142" s="22"/>
      <c r="TDL142" s="22"/>
      <c r="TDM142" s="22"/>
      <c r="TDN142" s="22"/>
      <c r="TDO142" s="22"/>
      <c r="TDP142" s="22"/>
      <c r="TDQ142" s="22"/>
      <c r="TDR142" s="22"/>
      <c r="TDS142" s="22"/>
      <c r="TDT142" s="22"/>
      <c r="TDU142" s="22"/>
      <c r="TDV142" s="22"/>
      <c r="TDW142" s="22"/>
      <c r="TDX142" s="22"/>
      <c r="TDY142" s="22"/>
      <c r="TDZ142" s="22"/>
      <c r="TEA142" s="22"/>
      <c r="TEB142" s="22"/>
      <c r="TEC142" s="22"/>
      <c r="TED142" s="22"/>
      <c r="TEE142" s="22"/>
      <c r="TEF142" s="22"/>
      <c r="TEG142" s="22"/>
      <c r="TEH142" s="22"/>
      <c r="TEI142" s="22"/>
      <c r="TEJ142" s="22"/>
      <c r="TEK142" s="22"/>
      <c r="TEL142" s="22"/>
      <c r="TEM142" s="22"/>
      <c r="TEN142" s="22"/>
      <c r="TEO142" s="22"/>
      <c r="TEP142" s="22"/>
      <c r="TEQ142" s="22"/>
      <c r="TER142" s="22"/>
      <c r="TES142" s="22"/>
      <c r="TET142" s="22"/>
      <c r="TEU142" s="22"/>
      <c r="TEV142" s="22"/>
      <c r="TEW142" s="22"/>
      <c r="TEX142" s="22"/>
      <c r="TEY142" s="22"/>
      <c r="TEZ142" s="22"/>
      <c r="TFA142" s="22"/>
      <c r="TFB142" s="22"/>
      <c r="TFC142" s="22"/>
      <c r="TFD142" s="22"/>
      <c r="TFE142" s="22"/>
      <c r="TFF142" s="22"/>
      <c r="TFG142" s="22"/>
      <c r="TFH142" s="22"/>
      <c r="TFI142" s="22"/>
      <c r="TFJ142" s="22"/>
      <c r="TFK142" s="22"/>
      <c r="TFL142" s="22"/>
      <c r="TFM142" s="22"/>
      <c r="TFN142" s="22"/>
      <c r="TFO142" s="22"/>
      <c r="TFP142" s="22"/>
      <c r="TFQ142" s="22"/>
      <c r="TFR142" s="22"/>
      <c r="TFS142" s="22"/>
      <c r="TFT142" s="22"/>
      <c r="TFU142" s="22"/>
      <c r="TFV142" s="22"/>
      <c r="TFW142" s="22"/>
      <c r="TFX142" s="22"/>
      <c r="TFY142" s="22"/>
      <c r="TFZ142" s="22"/>
      <c r="TGA142" s="22"/>
      <c r="TGB142" s="22"/>
      <c r="TGC142" s="22"/>
      <c r="TGD142" s="22"/>
      <c r="TGE142" s="22"/>
      <c r="TGF142" s="22"/>
      <c r="TGG142" s="22"/>
      <c r="TGH142" s="22"/>
      <c r="TGI142" s="22"/>
      <c r="TGJ142" s="22"/>
      <c r="TGK142" s="22"/>
      <c r="TGL142" s="22"/>
      <c r="TGM142" s="22"/>
      <c r="TGN142" s="22"/>
      <c r="TGO142" s="22"/>
      <c r="TGP142" s="22"/>
      <c r="TGQ142" s="22"/>
      <c r="TGR142" s="22"/>
      <c r="TGS142" s="22"/>
      <c r="TGT142" s="22"/>
      <c r="TGU142" s="22"/>
      <c r="TGV142" s="22"/>
      <c r="TGW142" s="22"/>
      <c r="TGX142" s="22"/>
      <c r="TGY142" s="22"/>
      <c r="TGZ142" s="22"/>
      <c r="THA142" s="22"/>
      <c r="THB142" s="22"/>
      <c r="THC142" s="22"/>
      <c r="THD142" s="22"/>
      <c r="THE142" s="22"/>
      <c r="THF142" s="22"/>
      <c r="THG142" s="22"/>
      <c r="THH142" s="22"/>
      <c r="THI142" s="22"/>
      <c r="THJ142" s="22"/>
      <c r="THK142" s="22"/>
      <c r="THL142" s="22"/>
      <c r="THM142" s="22"/>
      <c r="THN142" s="22"/>
      <c r="THO142" s="22"/>
      <c r="THP142" s="22"/>
      <c r="THQ142" s="22"/>
      <c r="THR142" s="22"/>
      <c r="THS142" s="22"/>
      <c r="THT142" s="22"/>
      <c r="THU142" s="22"/>
      <c r="THV142" s="22"/>
      <c r="THW142" s="22"/>
      <c r="THX142" s="22"/>
      <c r="THY142" s="22"/>
      <c r="THZ142" s="22"/>
      <c r="TIA142" s="22"/>
      <c r="TIB142" s="22"/>
      <c r="TIC142" s="22"/>
      <c r="TID142" s="22"/>
      <c r="TIE142" s="22"/>
      <c r="TIF142" s="22"/>
      <c r="TIG142" s="22"/>
      <c r="TIH142" s="22"/>
      <c r="TII142" s="22"/>
      <c r="TIJ142" s="22"/>
      <c r="TIK142" s="22"/>
      <c r="TIL142" s="22"/>
      <c r="TIM142" s="22"/>
      <c r="TIN142" s="22"/>
      <c r="TIO142" s="22"/>
      <c r="TIP142" s="22"/>
      <c r="TIQ142" s="22"/>
      <c r="TIR142" s="22"/>
      <c r="TIS142" s="22"/>
      <c r="TIT142" s="22"/>
      <c r="TIU142" s="22"/>
      <c r="TIV142" s="22"/>
      <c r="TIW142" s="22"/>
      <c r="TIX142" s="22"/>
      <c r="TIY142" s="22"/>
      <c r="TIZ142" s="22"/>
      <c r="TJA142" s="22"/>
      <c r="TJB142" s="22"/>
      <c r="TJC142" s="22"/>
      <c r="TJD142" s="22"/>
      <c r="TJE142" s="22"/>
      <c r="TJF142" s="22"/>
      <c r="TJG142" s="22"/>
      <c r="TJH142" s="22"/>
      <c r="TJI142" s="22"/>
      <c r="TJJ142" s="22"/>
      <c r="TJK142" s="22"/>
      <c r="TJL142" s="22"/>
      <c r="TJM142" s="22"/>
      <c r="TJN142" s="22"/>
      <c r="TJO142" s="22"/>
      <c r="TJP142" s="22"/>
      <c r="TJQ142" s="22"/>
      <c r="TJR142" s="22"/>
      <c r="TJS142" s="22"/>
      <c r="TJT142" s="22"/>
      <c r="TJU142" s="22"/>
      <c r="TJV142" s="22"/>
      <c r="TJW142" s="22"/>
      <c r="TJX142" s="22"/>
      <c r="TJY142" s="22"/>
      <c r="TJZ142" s="22"/>
      <c r="TKA142" s="22"/>
      <c r="TKB142" s="22"/>
      <c r="TKC142" s="22"/>
      <c r="TKD142" s="22"/>
      <c r="TKE142" s="22"/>
      <c r="TKF142" s="22"/>
      <c r="TKG142" s="22"/>
      <c r="TKH142" s="22"/>
      <c r="TKI142" s="22"/>
      <c r="TKJ142" s="22"/>
      <c r="TKK142" s="22"/>
      <c r="TKL142" s="22"/>
      <c r="TKM142" s="22"/>
      <c r="TKN142" s="22"/>
      <c r="TKO142" s="22"/>
      <c r="TKP142" s="22"/>
      <c r="TKQ142" s="22"/>
      <c r="TKR142" s="22"/>
      <c r="TKS142" s="22"/>
      <c r="TKT142" s="22"/>
      <c r="TKU142" s="22"/>
      <c r="TKV142" s="22"/>
      <c r="TKW142" s="22"/>
      <c r="TKX142" s="22"/>
      <c r="TKY142" s="22"/>
      <c r="TKZ142" s="22"/>
      <c r="TLA142" s="22"/>
      <c r="TLB142" s="22"/>
      <c r="TLC142" s="22"/>
      <c r="TLD142" s="22"/>
      <c r="TLE142" s="22"/>
      <c r="TLF142" s="22"/>
      <c r="TLG142" s="22"/>
      <c r="TLH142" s="22"/>
      <c r="TLI142" s="22"/>
      <c r="TLJ142" s="22"/>
      <c r="TLK142" s="22"/>
      <c r="TLL142" s="22"/>
      <c r="TLM142" s="22"/>
      <c r="TLN142" s="22"/>
      <c r="TLO142" s="22"/>
      <c r="TLP142" s="22"/>
      <c r="TLQ142" s="22"/>
      <c r="TLR142" s="22"/>
      <c r="TLS142" s="22"/>
      <c r="TLT142" s="22"/>
      <c r="TLU142" s="22"/>
      <c r="TLV142" s="22"/>
      <c r="TLW142" s="22"/>
      <c r="TLX142" s="22"/>
      <c r="TLY142" s="22"/>
      <c r="TLZ142" s="22"/>
      <c r="TMA142" s="22"/>
      <c r="TMB142" s="22"/>
      <c r="TMC142" s="22"/>
      <c r="TMD142" s="22"/>
      <c r="TME142" s="22"/>
      <c r="TMF142" s="22"/>
      <c r="TMG142" s="22"/>
      <c r="TMH142" s="22"/>
      <c r="TMI142" s="22"/>
      <c r="TMJ142" s="22"/>
      <c r="TMK142" s="22"/>
      <c r="TML142" s="22"/>
      <c r="TMM142" s="22"/>
      <c r="TMN142" s="22"/>
      <c r="TMO142" s="22"/>
      <c r="TMP142" s="22"/>
      <c r="TMQ142" s="22"/>
      <c r="TMR142" s="22"/>
      <c r="TMS142" s="22"/>
      <c r="TMT142" s="22"/>
      <c r="TMU142" s="22"/>
      <c r="TMV142" s="22"/>
      <c r="TMW142" s="22"/>
      <c r="TMX142" s="22"/>
      <c r="TMY142" s="22"/>
      <c r="TMZ142" s="22"/>
      <c r="TNA142" s="22"/>
      <c r="TNB142" s="22"/>
      <c r="TNC142" s="22"/>
      <c r="TND142" s="22"/>
      <c r="TNE142" s="22"/>
      <c r="TNF142" s="22"/>
      <c r="TNG142" s="22"/>
      <c r="TNH142" s="22"/>
      <c r="TNI142" s="22"/>
      <c r="TNJ142" s="22"/>
      <c r="TNK142" s="22"/>
      <c r="TNL142" s="22"/>
      <c r="TNM142" s="22"/>
      <c r="TNN142" s="22"/>
      <c r="TNO142" s="22"/>
      <c r="TNP142" s="22"/>
      <c r="TNQ142" s="22"/>
      <c r="TNR142" s="22"/>
      <c r="TNS142" s="22"/>
      <c r="TNT142" s="22"/>
      <c r="TNU142" s="22"/>
      <c r="TNV142" s="22"/>
      <c r="TNW142" s="22"/>
      <c r="TNX142" s="22"/>
      <c r="TNY142" s="22"/>
      <c r="TNZ142" s="22"/>
      <c r="TOA142" s="22"/>
      <c r="TOB142" s="22"/>
      <c r="TOC142" s="22"/>
      <c r="TOD142" s="22"/>
      <c r="TOE142" s="22"/>
      <c r="TOF142" s="22"/>
      <c r="TOG142" s="22"/>
      <c r="TOH142" s="22"/>
      <c r="TOI142" s="22"/>
      <c r="TOJ142" s="22"/>
      <c r="TOK142" s="22"/>
      <c r="TOL142" s="22"/>
      <c r="TOM142" s="22"/>
      <c r="TON142" s="22"/>
      <c r="TOO142" s="22"/>
      <c r="TOP142" s="22"/>
      <c r="TOQ142" s="22"/>
      <c r="TOR142" s="22"/>
      <c r="TOS142" s="22"/>
      <c r="TOT142" s="22"/>
      <c r="TOU142" s="22"/>
      <c r="TOV142" s="22"/>
      <c r="TOW142" s="22"/>
      <c r="TOX142" s="22"/>
      <c r="TOY142" s="22"/>
      <c r="TOZ142" s="22"/>
      <c r="TPA142" s="22"/>
      <c r="TPB142" s="22"/>
      <c r="TPC142" s="22"/>
      <c r="TPD142" s="22"/>
      <c r="TPE142" s="22"/>
      <c r="TPF142" s="22"/>
      <c r="TPG142" s="22"/>
      <c r="TPH142" s="22"/>
      <c r="TPI142" s="22"/>
      <c r="TPJ142" s="22"/>
      <c r="TPK142" s="22"/>
      <c r="TPL142" s="22"/>
      <c r="TPM142" s="22"/>
      <c r="TPN142" s="22"/>
      <c r="TPO142" s="22"/>
      <c r="TPP142" s="22"/>
      <c r="TPQ142" s="22"/>
      <c r="TPR142" s="22"/>
      <c r="TPS142" s="22"/>
      <c r="TPT142" s="22"/>
      <c r="TPU142" s="22"/>
      <c r="TPV142" s="22"/>
      <c r="TPW142" s="22"/>
      <c r="TPX142" s="22"/>
      <c r="TPY142" s="22"/>
      <c r="TPZ142" s="22"/>
      <c r="TQA142" s="22"/>
      <c r="TQB142" s="22"/>
      <c r="TQC142" s="22"/>
      <c r="TQD142" s="22"/>
      <c r="TQE142" s="22"/>
      <c r="TQF142" s="22"/>
      <c r="TQG142" s="22"/>
      <c r="TQH142" s="22"/>
      <c r="TQI142" s="22"/>
      <c r="TQJ142" s="22"/>
      <c r="TQK142" s="22"/>
      <c r="TQL142" s="22"/>
      <c r="TQM142" s="22"/>
      <c r="TQN142" s="22"/>
      <c r="TQO142" s="22"/>
      <c r="TQP142" s="22"/>
      <c r="TQQ142" s="22"/>
      <c r="TQR142" s="22"/>
      <c r="TQS142" s="22"/>
      <c r="TQT142" s="22"/>
      <c r="TQU142" s="22"/>
      <c r="TQV142" s="22"/>
      <c r="TQW142" s="22"/>
      <c r="TQX142" s="22"/>
      <c r="TQY142" s="22"/>
      <c r="TQZ142" s="22"/>
      <c r="TRA142" s="22"/>
      <c r="TRB142" s="22"/>
      <c r="TRC142" s="22"/>
      <c r="TRD142" s="22"/>
      <c r="TRE142" s="22"/>
      <c r="TRF142" s="22"/>
      <c r="TRG142" s="22"/>
      <c r="TRH142" s="22"/>
      <c r="TRI142" s="22"/>
      <c r="TRJ142" s="22"/>
      <c r="TRK142" s="22"/>
      <c r="TRL142" s="22"/>
      <c r="TRM142" s="22"/>
      <c r="TRN142" s="22"/>
      <c r="TRO142" s="22"/>
      <c r="TRP142" s="22"/>
      <c r="TRQ142" s="22"/>
      <c r="TRR142" s="22"/>
      <c r="TRS142" s="22"/>
      <c r="TRT142" s="22"/>
      <c r="TRU142" s="22"/>
      <c r="TRV142" s="22"/>
      <c r="TRW142" s="22"/>
      <c r="TRX142" s="22"/>
      <c r="TRY142" s="22"/>
      <c r="TRZ142" s="22"/>
      <c r="TSA142" s="22"/>
      <c r="TSB142" s="22"/>
      <c r="TSC142" s="22"/>
      <c r="TSD142" s="22"/>
      <c r="TSE142" s="22"/>
      <c r="TSF142" s="22"/>
      <c r="TSG142" s="22"/>
      <c r="TSH142" s="22"/>
      <c r="TSI142" s="22"/>
      <c r="TSJ142" s="22"/>
      <c r="TSK142" s="22"/>
      <c r="TSL142" s="22"/>
      <c r="TSM142" s="22"/>
      <c r="TSN142" s="22"/>
      <c r="TSO142" s="22"/>
      <c r="TSP142" s="22"/>
      <c r="TSQ142" s="22"/>
      <c r="TSR142" s="22"/>
      <c r="TSS142" s="22"/>
      <c r="TST142" s="22"/>
      <c r="TSU142" s="22"/>
      <c r="TSV142" s="22"/>
      <c r="TSW142" s="22"/>
      <c r="TSX142" s="22"/>
      <c r="TSY142" s="22"/>
      <c r="TSZ142" s="22"/>
      <c r="TTA142" s="22"/>
      <c r="TTB142" s="22"/>
      <c r="TTC142" s="22"/>
      <c r="TTD142" s="22"/>
      <c r="TTE142" s="22"/>
      <c r="TTF142" s="22"/>
      <c r="TTG142" s="22"/>
      <c r="TTH142" s="22"/>
      <c r="TTI142" s="22"/>
      <c r="TTJ142" s="22"/>
      <c r="TTK142" s="22"/>
      <c r="TTL142" s="22"/>
      <c r="TTM142" s="22"/>
      <c r="TTN142" s="22"/>
      <c r="TTO142" s="22"/>
      <c r="TTP142" s="22"/>
      <c r="TTQ142" s="22"/>
      <c r="TTR142" s="22"/>
      <c r="TTS142" s="22"/>
      <c r="TTT142" s="22"/>
      <c r="TTU142" s="22"/>
      <c r="TTV142" s="22"/>
      <c r="TTW142" s="22"/>
      <c r="TTX142" s="22"/>
      <c r="TTY142" s="22"/>
      <c r="TTZ142" s="22"/>
      <c r="TUA142" s="22"/>
      <c r="TUB142" s="22"/>
      <c r="TUC142" s="22"/>
      <c r="TUD142" s="22"/>
      <c r="TUE142" s="22"/>
      <c r="TUF142" s="22"/>
      <c r="TUG142" s="22"/>
      <c r="TUH142" s="22"/>
      <c r="TUI142" s="22"/>
      <c r="TUJ142" s="22"/>
      <c r="TUK142" s="22"/>
      <c r="TUL142" s="22"/>
      <c r="TUM142" s="22"/>
      <c r="TUN142" s="22"/>
      <c r="TUO142" s="22"/>
      <c r="TUP142" s="22"/>
      <c r="TUQ142" s="22"/>
      <c r="TUR142" s="22"/>
      <c r="TUS142" s="22"/>
      <c r="TUT142" s="22"/>
      <c r="TUU142" s="22"/>
      <c r="TUV142" s="22"/>
      <c r="TUW142" s="22"/>
      <c r="TUX142" s="22"/>
      <c r="TUY142" s="22"/>
      <c r="TUZ142" s="22"/>
      <c r="TVA142" s="22"/>
      <c r="TVB142" s="22"/>
      <c r="TVC142" s="22"/>
      <c r="TVD142" s="22"/>
      <c r="TVE142" s="22"/>
      <c r="TVF142" s="22"/>
      <c r="TVG142" s="22"/>
      <c r="TVH142" s="22"/>
      <c r="TVI142" s="22"/>
      <c r="TVJ142" s="22"/>
      <c r="TVK142" s="22"/>
      <c r="TVL142" s="22"/>
      <c r="TVM142" s="22"/>
      <c r="TVN142" s="22"/>
      <c r="TVO142" s="22"/>
      <c r="TVP142" s="22"/>
      <c r="TVQ142" s="22"/>
      <c r="TVR142" s="22"/>
      <c r="TVS142" s="22"/>
      <c r="TVT142" s="22"/>
      <c r="TVU142" s="22"/>
      <c r="TVV142" s="22"/>
      <c r="TVW142" s="22"/>
      <c r="TVX142" s="22"/>
      <c r="TVY142" s="22"/>
      <c r="TVZ142" s="22"/>
      <c r="TWA142" s="22"/>
      <c r="TWB142" s="22"/>
      <c r="TWC142" s="22"/>
      <c r="TWD142" s="22"/>
      <c r="TWE142" s="22"/>
      <c r="TWF142" s="22"/>
      <c r="TWG142" s="22"/>
      <c r="TWH142" s="22"/>
      <c r="TWI142" s="22"/>
      <c r="TWJ142" s="22"/>
      <c r="TWK142" s="22"/>
      <c r="TWL142" s="22"/>
      <c r="TWM142" s="22"/>
      <c r="TWN142" s="22"/>
      <c r="TWO142" s="22"/>
      <c r="TWP142" s="22"/>
      <c r="TWQ142" s="22"/>
      <c r="TWR142" s="22"/>
      <c r="TWS142" s="22"/>
      <c r="TWT142" s="22"/>
      <c r="TWU142" s="22"/>
      <c r="TWV142" s="22"/>
      <c r="TWW142" s="22"/>
      <c r="TWX142" s="22"/>
      <c r="TWY142" s="22"/>
      <c r="TWZ142" s="22"/>
      <c r="TXA142" s="22"/>
      <c r="TXB142" s="22"/>
      <c r="TXC142" s="22"/>
      <c r="TXD142" s="22"/>
      <c r="TXE142" s="22"/>
      <c r="TXF142" s="22"/>
      <c r="TXG142" s="22"/>
      <c r="TXH142" s="22"/>
      <c r="TXI142" s="22"/>
      <c r="TXJ142" s="22"/>
      <c r="TXK142" s="22"/>
      <c r="TXL142" s="22"/>
      <c r="TXM142" s="22"/>
      <c r="TXN142" s="22"/>
      <c r="TXO142" s="22"/>
      <c r="TXP142" s="22"/>
      <c r="TXQ142" s="22"/>
      <c r="TXR142" s="22"/>
      <c r="TXS142" s="22"/>
      <c r="TXT142" s="22"/>
      <c r="TXU142" s="22"/>
      <c r="TXV142" s="22"/>
      <c r="TXW142" s="22"/>
      <c r="TXX142" s="22"/>
      <c r="TXY142" s="22"/>
      <c r="TXZ142" s="22"/>
      <c r="TYA142" s="22"/>
      <c r="TYB142" s="22"/>
      <c r="TYC142" s="22"/>
      <c r="TYD142" s="22"/>
      <c r="TYE142" s="22"/>
      <c r="TYF142" s="22"/>
      <c r="TYG142" s="22"/>
      <c r="TYH142" s="22"/>
      <c r="TYI142" s="22"/>
      <c r="TYJ142" s="22"/>
      <c r="TYK142" s="22"/>
      <c r="TYL142" s="22"/>
      <c r="TYM142" s="22"/>
      <c r="TYN142" s="22"/>
      <c r="TYO142" s="22"/>
      <c r="TYP142" s="22"/>
      <c r="TYQ142" s="22"/>
      <c r="TYR142" s="22"/>
      <c r="TYS142" s="22"/>
      <c r="TYT142" s="22"/>
      <c r="TYU142" s="22"/>
      <c r="TYV142" s="22"/>
      <c r="TYW142" s="22"/>
      <c r="TYX142" s="22"/>
      <c r="TYY142" s="22"/>
      <c r="TYZ142" s="22"/>
      <c r="TZA142" s="22"/>
      <c r="TZB142" s="22"/>
      <c r="TZC142" s="22"/>
      <c r="TZD142" s="22"/>
      <c r="TZE142" s="22"/>
      <c r="TZF142" s="22"/>
      <c r="TZG142" s="22"/>
      <c r="TZH142" s="22"/>
      <c r="TZI142" s="22"/>
      <c r="TZJ142" s="22"/>
      <c r="TZK142" s="22"/>
      <c r="TZL142" s="22"/>
      <c r="TZM142" s="22"/>
      <c r="TZN142" s="22"/>
      <c r="TZO142" s="22"/>
      <c r="TZP142" s="22"/>
      <c r="TZQ142" s="22"/>
      <c r="TZR142" s="22"/>
      <c r="TZS142" s="22"/>
      <c r="TZT142" s="22"/>
      <c r="TZU142" s="22"/>
      <c r="TZV142" s="22"/>
      <c r="TZW142" s="22"/>
      <c r="TZX142" s="22"/>
      <c r="TZY142" s="22"/>
      <c r="TZZ142" s="22"/>
      <c r="UAA142" s="22"/>
      <c r="UAB142" s="22"/>
      <c r="UAC142" s="22"/>
      <c r="UAD142" s="22"/>
      <c r="UAE142" s="22"/>
      <c r="UAF142" s="22"/>
      <c r="UAG142" s="22"/>
      <c r="UAH142" s="22"/>
      <c r="UAI142" s="22"/>
      <c r="UAJ142" s="22"/>
      <c r="UAK142" s="22"/>
      <c r="UAL142" s="22"/>
      <c r="UAM142" s="22"/>
      <c r="UAN142" s="22"/>
      <c r="UAO142" s="22"/>
      <c r="UAP142" s="22"/>
      <c r="UAQ142" s="22"/>
      <c r="UAR142" s="22"/>
      <c r="UAS142" s="22"/>
      <c r="UAT142" s="22"/>
      <c r="UAU142" s="22"/>
      <c r="UAV142" s="22"/>
      <c r="UAW142" s="22"/>
      <c r="UAX142" s="22"/>
      <c r="UAY142" s="22"/>
      <c r="UAZ142" s="22"/>
      <c r="UBA142" s="22"/>
      <c r="UBB142" s="22"/>
      <c r="UBC142" s="22"/>
      <c r="UBD142" s="22"/>
      <c r="UBE142" s="22"/>
      <c r="UBF142" s="22"/>
      <c r="UBG142" s="22"/>
      <c r="UBH142" s="22"/>
      <c r="UBI142" s="22"/>
      <c r="UBJ142" s="22"/>
      <c r="UBK142" s="22"/>
      <c r="UBL142" s="22"/>
      <c r="UBM142" s="22"/>
      <c r="UBN142" s="22"/>
      <c r="UBO142" s="22"/>
      <c r="UBP142" s="22"/>
      <c r="UBQ142" s="22"/>
      <c r="UBR142" s="22"/>
      <c r="UBS142" s="22"/>
      <c r="UBT142" s="22"/>
      <c r="UBU142" s="22"/>
      <c r="UBV142" s="22"/>
      <c r="UBW142" s="22"/>
      <c r="UBX142" s="22"/>
      <c r="UBY142" s="22"/>
      <c r="UBZ142" s="22"/>
      <c r="UCA142" s="22"/>
      <c r="UCB142" s="22"/>
      <c r="UCC142" s="22"/>
      <c r="UCD142" s="22"/>
      <c r="UCE142" s="22"/>
      <c r="UCF142" s="22"/>
      <c r="UCG142" s="22"/>
      <c r="UCH142" s="22"/>
      <c r="UCI142" s="22"/>
      <c r="UCJ142" s="22"/>
      <c r="UCK142" s="22"/>
      <c r="UCL142" s="22"/>
      <c r="UCM142" s="22"/>
      <c r="UCN142" s="22"/>
      <c r="UCO142" s="22"/>
      <c r="UCP142" s="22"/>
      <c r="UCQ142" s="22"/>
      <c r="UCR142" s="22"/>
      <c r="UCS142" s="22"/>
      <c r="UCT142" s="22"/>
      <c r="UCU142" s="22"/>
      <c r="UCV142" s="22"/>
      <c r="UCW142" s="22"/>
      <c r="UCX142" s="22"/>
      <c r="UCY142" s="22"/>
      <c r="UCZ142" s="22"/>
      <c r="UDA142" s="22"/>
      <c r="UDB142" s="22"/>
      <c r="UDC142" s="22"/>
      <c r="UDD142" s="22"/>
      <c r="UDE142" s="22"/>
      <c r="UDF142" s="22"/>
      <c r="UDG142" s="22"/>
      <c r="UDH142" s="22"/>
      <c r="UDI142" s="22"/>
      <c r="UDJ142" s="22"/>
      <c r="UDK142" s="22"/>
      <c r="UDL142" s="22"/>
      <c r="UDM142" s="22"/>
      <c r="UDN142" s="22"/>
      <c r="UDO142" s="22"/>
      <c r="UDP142" s="22"/>
      <c r="UDQ142" s="22"/>
      <c r="UDR142" s="22"/>
      <c r="UDS142" s="22"/>
      <c r="UDT142" s="22"/>
      <c r="UDU142" s="22"/>
      <c r="UDV142" s="22"/>
      <c r="UDW142" s="22"/>
      <c r="UDX142" s="22"/>
      <c r="UDY142" s="22"/>
      <c r="UDZ142" s="22"/>
      <c r="UEA142" s="22"/>
      <c r="UEB142" s="22"/>
      <c r="UEC142" s="22"/>
      <c r="UED142" s="22"/>
      <c r="UEE142" s="22"/>
      <c r="UEF142" s="22"/>
      <c r="UEG142" s="22"/>
      <c r="UEH142" s="22"/>
      <c r="UEI142" s="22"/>
      <c r="UEJ142" s="22"/>
      <c r="UEK142" s="22"/>
      <c r="UEL142" s="22"/>
      <c r="UEM142" s="22"/>
      <c r="UEN142" s="22"/>
      <c r="UEO142" s="22"/>
      <c r="UEP142" s="22"/>
      <c r="UEQ142" s="22"/>
      <c r="UER142" s="22"/>
      <c r="UES142" s="22"/>
      <c r="UET142" s="22"/>
      <c r="UEU142" s="22"/>
      <c r="UEV142" s="22"/>
      <c r="UEW142" s="22"/>
      <c r="UEX142" s="22"/>
      <c r="UEY142" s="22"/>
      <c r="UEZ142" s="22"/>
      <c r="UFA142" s="22"/>
      <c r="UFB142" s="22"/>
      <c r="UFC142" s="22"/>
      <c r="UFD142" s="22"/>
      <c r="UFE142" s="22"/>
      <c r="UFF142" s="22"/>
      <c r="UFG142" s="22"/>
      <c r="UFH142" s="22"/>
      <c r="UFI142" s="22"/>
      <c r="UFJ142" s="22"/>
      <c r="UFK142" s="22"/>
      <c r="UFL142" s="22"/>
      <c r="UFM142" s="22"/>
      <c r="UFN142" s="22"/>
      <c r="UFO142" s="22"/>
      <c r="UFP142" s="22"/>
      <c r="UFQ142" s="22"/>
      <c r="UFR142" s="22"/>
      <c r="UFS142" s="22"/>
      <c r="UFT142" s="22"/>
      <c r="UFU142" s="22"/>
      <c r="UFV142" s="22"/>
      <c r="UFW142" s="22"/>
      <c r="UFX142" s="22"/>
      <c r="UFY142" s="22"/>
      <c r="UFZ142" s="22"/>
      <c r="UGA142" s="22"/>
      <c r="UGB142" s="22"/>
      <c r="UGC142" s="22"/>
      <c r="UGD142" s="22"/>
      <c r="UGE142" s="22"/>
      <c r="UGF142" s="22"/>
      <c r="UGG142" s="22"/>
      <c r="UGH142" s="22"/>
      <c r="UGI142" s="22"/>
      <c r="UGJ142" s="22"/>
      <c r="UGK142" s="22"/>
      <c r="UGL142" s="22"/>
      <c r="UGM142" s="22"/>
      <c r="UGN142" s="22"/>
      <c r="UGO142" s="22"/>
      <c r="UGP142" s="22"/>
      <c r="UGQ142" s="22"/>
      <c r="UGR142" s="22"/>
      <c r="UGS142" s="22"/>
      <c r="UGT142" s="22"/>
      <c r="UGU142" s="22"/>
      <c r="UGV142" s="22"/>
      <c r="UGW142" s="22"/>
      <c r="UGX142" s="22"/>
      <c r="UGY142" s="22"/>
      <c r="UGZ142" s="22"/>
      <c r="UHA142" s="22"/>
      <c r="UHB142" s="22"/>
      <c r="UHC142" s="22"/>
      <c r="UHD142" s="22"/>
      <c r="UHE142" s="22"/>
      <c r="UHF142" s="22"/>
      <c r="UHG142" s="22"/>
      <c r="UHH142" s="22"/>
      <c r="UHI142" s="22"/>
      <c r="UHJ142" s="22"/>
      <c r="UHK142" s="22"/>
      <c r="UHL142" s="22"/>
      <c r="UHM142" s="22"/>
      <c r="UHN142" s="22"/>
      <c r="UHO142" s="22"/>
      <c r="UHP142" s="22"/>
      <c r="UHQ142" s="22"/>
      <c r="UHR142" s="22"/>
      <c r="UHS142" s="22"/>
      <c r="UHT142" s="22"/>
      <c r="UHU142" s="22"/>
      <c r="UHV142" s="22"/>
      <c r="UHW142" s="22"/>
      <c r="UHX142" s="22"/>
      <c r="UHY142" s="22"/>
      <c r="UHZ142" s="22"/>
      <c r="UIA142" s="22"/>
      <c r="UIB142" s="22"/>
      <c r="UIC142" s="22"/>
      <c r="UID142" s="22"/>
      <c r="UIE142" s="22"/>
      <c r="UIF142" s="22"/>
      <c r="UIG142" s="22"/>
      <c r="UIH142" s="22"/>
      <c r="UII142" s="22"/>
      <c r="UIJ142" s="22"/>
      <c r="UIK142" s="22"/>
      <c r="UIL142" s="22"/>
      <c r="UIM142" s="22"/>
      <c r="UIN142" s="22"/>
      <c r="UIO142" s="22"/>
      <c r="UIP142" s="22"/>
      <c r="UIQ142" s="22"/>
      <c r="UIR142" s="22"/>
      <c r="UIS142" s="22"/>
      <c r="UIT142" s="22"/>
      <c r="UIU142" s="22"/>
      <c r="UIV142" s="22"/>
      <c r="UIW142" s="22"/>
      <c r="UIX142" s="22"/>
      <c r="UIY142" s="22"/>
      <c r="UIZ142" s="22"/>
      <c r="UJA142" s="22"/>
      <c r="UJB142" s="22"/>
      <c r="UJC142" s="22"/>
      <c r="UJD142" s="22"/>
      <c r="UJE142" s="22"/>
      <c r="UJF142" s="22"/>
      <c r="UJG142" s="22"/>
      <c r="UJH142" s="22"/>
      <c r="UJI142" s="22"/>
      <c r="UJJ142" s="22"/>
      <c r="UJK142" s="22"/>
      <c r="UJL142" s="22"/>
      <c r="UJM142" s="22"/>
      <c r="UJN142" s="22"/>
      <c r="UJO142" s="22"/>
      <c r="UJP142" s="22"/>
      <c r="UJQ142" s="22"/>
      <c r="UJR142" s="22"/>
      <c r="UJS142" s="22"/>
      <c r="UJT142" s="22"/>
      <c r="UJU142" s="22"/>
      <c r="UJV142" s="22"/>
      <c r="UJW142" s="22"/>
      <c r="UJX142" s="22"/>
      <c r="UJY142" s="22"/>
      <c r="UJZ142" s="22"/>
      <c r="UKA142" s="22"/>
      <c r="UKB142" s="22"/>
      <c r="UKC142" s="22"/>
      <c r="UKD142" s="22"/>
      <c r="UKE142" s="22"/>
      <c r="UKF142" s="22"/>
      <c r="UKG142" s="22"/>
      <c r="UKH142" s="22"/>
      <c r="UKI142" s="22"/>
      <c r="UKJ142" s="22"/>
      <c r="UKK142" s="22"/>
      <c r="UKL142" s="22"/>
      <c r="UKM142" s="22"/>
      <c r="UKN142" s="22"/>
      <c r="UKO142" s="22"/>
      <c r="UKP142" s="22"/>
      <c r="UKQ142" s="22"/>
      <c r="UKR142" s="22"/>
      <c r="UKS142" s="22"/>
      <c r="UKT142" s="22"/>
      <c r="UKU142" s="22"/>
      <c r="UKV142" s="22"/>
      <c r="UKW142" s="22"/>
      <c r="UKX142" s="22"/>
      <c r="UKY142" s="22"/>
      <c r="UKZ142" s="22"/>
      <c r="ULA142" s="22"/>
      <c r="ULB142" s="22"/>
      <c r="ULC142" s="22"/>
      <c r="ULD142" s="22"/>
      <c r="ULE142" s="22"/>
      <c r="ULF142" s="22"/>
      <c r="ULG142" s="22"/>
      <c r="ULH142" s="22"/>
      <c r="ULI142" s="22"/>
      <c r="ULJ142" s="22"/>
      <c r="ULK142" s="22"/>
      <c r="ULL142" s="22"/>
      <c r="ULM142" s="22"/>
      <c r="ULN142" s="22"/>
      <c r="ULO142" s="22"/>
      <c r="ULP142" s="22"/>
      <c r="ULQ142" s="22"/>
      <c r="ULR142" s="22"/>
      <c r="ULS142" s="22"/>
      <c r="ULT142" s="22"/>
      <c r="ULU142" s="22"/>
      <c r="ULV142" s="22"/>
      <c r="ULW142" s="22"/>
      <c r="ULX142" s="22"/>
      <c r="ULY142" s="22"/>
      <c r="ULZ142" s="22"/>
      <c r="UMA142" s="22"/>
      <c r="UMB142" s="22"/>
      <c r="UMC142" s="22"/>
      <c r="UMD142" s="22"/>
      <c r="UME142" s="22"/>
      <c r="UMF142" s="22"/>
      <c r="UMG142" s="22"/>
      <c r="UMH142" s="22"/>
      <c r="UMI142" s="22"/>
      <c r="UMJ142" s="22"/>
      <c r="UMK142" s="22"/>
      <c r="UML142" s="22"/>
      <c r="UMM142" s="22"/>
      <c r="UMN142" s="22"/>
      <c r="UMO142" s="22"/>
      <c r="UMP142" s="22"/>
      <c r="UMQ142" s="22"/>
      <c r="UMR142" s="22"/>
      <c r="UMS142" s="22"/>
      <c r="UMT142" s="22"/>
      <c r="UMU142" s="22"/>
      <c r="UMV142" s="22"/>
      <c r="UMW142" s="22"/>
      <c r="UMX142" s="22"/>
      <c r="UMY142" s="22"/>
      <c r="UMZ142" s="22"/>
      <c r="UNA142" s="22"/>
      <c r="UNB142" s="22"/>
      <c r="UNC142" s="22"/>
      <c r="UND142" s="22"/>
      <c r="UNE142" s="22"/>
      <c r="UNF142" s="22"/>
      <c r="UNG142" s="22"/>
      <c r="UNH142" s="22"/>
      <c r="UNI142" s="22"/>
      <c r="UNJ142" s="22"/>
      <c r="UNK142" s="22"/>
      <c r="UNL142" s="22"/>
      <c r="UNM142" s="22"/>
      <c r="UNN142" s="22"/>
      <c r="UNO142" s="22"/>
      <c r="UNP142" s="22"/>
      <c r="UNQ142" s="22"/>
      <c r="UNR142" s="22"/>
      <c r="UNS142" s="22"/>
      <c r="UNT142" s="22"/>
      <c r="UNU142" s="22"/>
      <c r="UNV142" s="22"/>
      <c r="UNW142" s="22"/>
      <c r="UNX142" s="22"/>
      <c r="UNY142" s="22"/>
      <c r="UNZ142" s="22"/>
      <c r="UOA142" s="22"/>
      <c r="UOB142" s="22"/>
      <c r="UOC142" s="22"/>
      <c r="UOD142" s="22"/>
      <c r="UOE142" s="22"/>
      <c r="UOF142" s="22"/>
      <c r="UOG142" s="22"/>
      <c r="UOH142" s="22"/>
      <c r="UOI142" s="22"/>
      <c r="UOJ142" s="22"/>
      <c r="UOK142" s="22"/>
      <c r="UOL142" s="22"/>
      <c r="UOM142" s="22"/>
      <c r="UON142" s="22"/>
      <c r="UOO142" s="22"/>
      <c r="UOP142" s="22"/>
      <c r="UOQ142" s="22"/>
      <c r="UOR142" s="22"/>
      <c r="UOS142" s="22"/>
      <c r="UOT142" s="22"/>
      <c r="UOU142" s="22"/>
      <c r="UOV142" s="22"/>
      <c r="UOW142" s="22"/>
      <c r="UOX142" s="22"/>
      <c r="UOY142" s="22"/>
      <c r="UOZ142" s="22"/>
      <c r="UPA142" s="22"/>
      <c r="UPB142" s="22"/>
      <c r="UPC142" s="22"/>
      <c r="UPD142" s="22"/>
      <c r="UPE142" s="22"/>
      <c r="UPF142" s="22"/>
      <c r="UPG142" s="22"/>
      <c r="UPH142" s="22"/>
      <c r="UPI142" s="22"/>
      <c r="UPJ142" s="22"/>
      <c r="UPK142" s="22"/>
      <c r="UPL142" s="22"/>
      <c r="UPM142" s="22"/>
      <c r="UPN142" s="22"/>
      <c r="UPO142" s="22"/>
      <c r="UPP142" s="22"/>
      <c r="UPQ142" s="22"/>
      <c r="UPR142" s="22"/>
      <c r="UPS142" s="22"/>
      <c r="UPT142" s="22"/>
      <c r="UPU142" s="22"/>
      <c r="UPV142" s="22"/>
      <c r="UPW142" s="22"/>
      <c r="UPX142" s="22"/>
      <c r="UPY142" s="22"/>
      <c r="UPZ142" s="22"/>
      <c r="UQA142" s="22"/>
      <c r="UQB142" s="22"/>
      <c r="UQC142" s="22"/>
      <c r="UQD142" s="22"/>
      <c r="UQE142" s="22"/>
      <c r="UQF142" s="22"/>
      <c r="UQG142" s="22"/>
      <c r="UQH142" s="22"/>
      <c r="UQI142" s="22"/>
      <c r="UQJ142" s="22"/>
      <c r="UQK142" s="22"/>
      <c r="UQL142" s="22"/>
      <c r="UQM142" s="22"/>
      <c r="UQN142" s="22"/>
      <c r="UQO142" s="22"/>
      <c r="UQP142" s="22"/>
      <c r="UQQ142" s="22"/>
      <c r="UQR142" s="22"/>
      <c r="UQS142" s="22"/>
      <c r="UQT142" s="22"/>
      <c r="UQU142" s="22"/>
      <c r="UQV142" s="22"/>
      <c r="UQW142" s="22"/>
      <c r="UQX142" s="22"/>
      <c r="UQY142" s="22"/>
      <c r="UQZ142" s="22"/>
      <c r="URA142" s="22"/>
      <c r="URB142" s="22"/>
      <c r="URC142" s="22"/>
      <c r="URD142" s="22"/>
      <c r="URE142" s="22"/>
      <c r="URF142" s="22"/>
      <c r="URG142" s="22"/>
      <c r="URH142" s="22"/>
      <c r="URI142" s="22"/>
      <c r="URJ142" s="22"/>
      <c r="URK142" s="22"/>
      <c r="URL142" s="22"/>
      <c r="URM142" s="22"/>
      <c r="URN142" s="22"/>
      <c r="URO142" s="22"/>
      <c r="URP142" s="22"/>
      <c r="URQ142" s="22"/>
      <c r="URR142" s="22"/>
      <c r="URS142" s="22"/>
      <c r="URT142" s="22"/>
      <c r="URU142" s="22"/>
      <c r="URV142" s="22"/>
      <c r="URW142" s="22"/>
      <c r="URX142" s="22"/>
      <c r="URY142" s="22"/>
      <c r="URZ142" s="22"/>
      <c r="USA142" s="22"/>
      <c r="USB142" s="22"/>
      <c r="USC142" s="22"/>
      <c r="USD142" s="22"/>
      <c r="USE142" s="22"/>
      <c r="USF142" s="22"/>
      <c r="USG142" s="22"/>
      <c r="USH142" s="22"/>
      <c r="USI142" s="22"/>
      <c r="USJ142" s="22"/>
      <c r="USK142" s="22"/>
      <c r="USL142" s="22"/>
      <c r="USM142" s="22"/>
      <c r="USN142" s="22"/>
      <c r="USO142" s="22"/>
      <c r="USP142" s="22"/>
      <c r="USQ142" s="22"/>
      <c r="USR142" s="22"/>
      <c r="USS142" s="22"/>
      <c r="UST142" s="22"/>
      <c r="USU142" s="22"/>
      <c r="USV142" s="22"/>
      <c r="USW142" s="22"/>
      <c r="USX142" s="22"/>
      <c r="USY142" s="22"/>
      <c r="USZ142" s="22"/>
      <c r="UTA142" s="22"/>
      <c r="UTB142" s="22"/>
      <c r="UTC142" s="22"/>
      <c r="UTD142" s="22"/>
      <c r="UTE142" s="22"/>
      <c r="UTF142" s="22"/>
      <c r="UTG142" s="22"/>
      <c r="UTH142" s="22"/>
      <c r="UTI142" s="22"/>
      <c r="UTJ142" s="22"/>
      <c r="UTK142" s="22"/>
      <c r="UTL142" s="22"/>
      <c r="UTM142" s="22"/>
      <c r="UTN142" s="22"/>
      <c r="UTO142" s="22"/>
      <c r="UTP142" s="22"/>
      <c r="UTQ142" s="22"/>
      <c r="UTR142" s="22"/>
      <c r="UTS142" s="22"/>
      <c r="UTT142" s="22"/>
      <c r="UTU142" s="22"/>
      <c r="UTV142" s="22"/>
      <c r="UTW142" s="22"/>
      <c r="UTX142" s="22"/>
      <c r="UTY142" s="22"/>
      <c r="UTZ142" s="22"/>
      <c r="UUA142" s="22"/>
      <c r="UUB142" s="22"/>
      <c r="UUC142" s="22"/>
      <c r="UUD142" s="22"/>
      <c r="UUE142" s="22"/>
      <c r="UUF142" s="22"/>
      <c r="UUG142" s="22"/>
      <c r="UUH142" s="22"/>
      <c r="UUI142" s="22"/>
      <c r="UUJ142" s="22"/>
      <c r="UUK142" s="22"/>
      <c r="UUL142" s="22"/>
      <c r="UUM142" s="22"/>
      <c r="UUN142" s="22"/>
      <c r="UUO142" s="22"/>
      <c r="UUP142" s="22"/>
      <c r="UUQ142" s="22"/>
      <c r="UUR142" s="22"/>
      <c r="UUS142" s="22"/>
      <c r="UUT142" s="22"/>
      <c r="UUU142" s="22"/>
      <c r="UUV142" s="22"/>
      <c r="UUW142" s="22"/>
      <c r="UUX142" s="22"/>
      <c r="UUY142" s="22"/>
      <c r="UUZ142" s="22"/>
      <c r="UVA142" s="22"/>
      <c r="UVB142" s="22"/>
      <c r="UVC142" s="22"/>
      <c r="UVD142" s="22"/>
      <c r="UVE142" s="22"/>
      <c r="UVF142" s="22"/>
      <c r="UVG142" s="22"/>
      <c r="UVH142" s="22"/>
      <c r="UVI142" s="22"/>
      <c r="UVJ142" s="22"/>
      <c r="UVK142" s="22"/>
      <c r="UVL142" s="22"/>
      <c r="UVM142" s="22"/>
      <c r="UVN142" s="22"/>
      <c r="UVO142" s="22"/>
      <c r="UVP142" s="22"/>
      <c r="UVQ142" s="22"/>
      <c r="UVR142" s="22"/>
      <c r="UVS142" s="22"/>
      <c r="UVT142" s="22"/>
      <c r="UVU142" s="22"/>
      <c r="UVV142" s="22"/>
      <c r="UVW142" s="22"/>
      <c r="UVX142" s="22"/>
      <c r="UVY142" s="22"/>
      <c r="UVZ142" s="22"/>
      <c r="UWA142" s="22"/>
      <c r="UWB142" s="22"/>
      <c r="UWC142" s="22"/>
      <c r="UWD142" s="22"/>
      <c r="UWE142" s="22"/>
      <c r="UWF142" s="22"/>
      <c r="UWG142" s="22"/>
      <c r="UWH142" s="22"/>
      <c r="UWI142" s="22"/>
      <c r="UWJ142" s="22"/>
      <c r="UWK142" s="22"/>
      <c r="UWL142" s="22"/>
      <c r="UWM142" s="22"/>
      <c r="UWN142" s="22"/>
      <c r="UWO142" s="22"/>
      <c r="UWP142" s="22"/>
      <c r="UWQ142" s="22"/>
      <c r="UWR142" s="22"/>
      <c r="UWS142" s="22"/>
      <c r="UWT142" s="22"/>
      <c r="UWU142" s="22"/>
      <c r="UWV142" s="22"/>
      <c r="UWW142" s="22"/>
      <c r="UWX142" s="22"/>
      <c r="UWY142" s="22"/>
      <c r="UWZ142" s="22"/>
      <c r="UXA142" s="22"/>
      <c r="UXB142" s="22"/>
      <c r="UXC142" s="22"/>
      <c r="UXD142" s="22"/>
      <c r="UXE142" s="22"/>
      <c r="UXF142" s="22"/>
      <c r="UXG142" s="22"/>
      <c r="UXH142" s="22"/>
      <c r="UXI142" s="22"/>
      <c r="UXJ142" s="22"/>
      <c r="UXK142" s="22"/>
      <c r="UXL142" s="22"/>
      <c r="UXM142" s="22"/>
      <c r="UXN142" s="22"/>
      <c r="UXO142" s="22"/>
      <c r="UXP142" s="22"/>
      <c r="UXQ142" s="22"/>
      <c r="UXR142" s="22"/>
      <c r="UXS142" s="22"/>
      <c r="UXT142" s="22"/>
      <c r="UXU142" s="22"/>
      <c r="UXV142" s="22"/>
      <c r="UXW142" s="22"/>
      <c r="UXX142" s="22"/>
      <c r="UXY142" s="22"/>
      <c r="UXZ142" s="22"/>
      <c r="UYA142" s="22"/>
      <c r="UYB142" s="22"/>
      <c r="UYC142" s="22"/>
      <c r="UYD142" s="22"/>
      <c r="UYE142" s="22"/>
      <c r="UYF142" s="22"/>
      <c r="UYG142" s="22"/>
      <c r="UYH142" s="22"/>
      <c r="UYI142" s="22"/>
      <c r="UYJ142" s="22"/>
      <c r="UYK142" s="22"/>
      <c r="UYL142" s="22"/>
      <c r="UYM142" s="22"/>
      <c r="UYN142" s="22"/>
      <c r="UYO142" s="22"/>
      <c r="UYP142" s="22"/>
      <c r="UYQ142" s="22"/>
      <c r="UYR142" s="22"/>
      <c r="UYS142" s="22"/>
      <c r="UYT142" s="22"/>
      <c r="UYU142" s="22"/>
      <c r="UYV142" s="22"/>
      <c r="UYW142" s="22"/>
      <c r="UYX142" s="22"/>
      <c r="UYY142" s="22"/>
      <c r="UYZ142" s="22"/>
      <c r="UZA142" s="22"/>
      <c r="UZB142" s="22"/>
      <c r="UZC142" s="22"/>
      <c r="UZD142" s="22"/>
      <c r="UZE142" s="22"/>
      <c r="UZF142" s="22"/>
      <c r="UZG142" s="22"/>
      <c r="UZH142" s="22"/>
      <c r="UZI142" s="22"/>
      <c r="UZJ142" s="22"/>
      <c r="UZK142" s="22"/>
      <c r="UZL142" s="22"/>
      <c r="UZM142" s="22"/>
      <c r="UZN142" s="22"/>
      <c r="UZO142" s="22"/>
      <c r="UZP142" s="22"/>
      <c r="UZQ142" s="22"/>
      <c r="UZR142" s="22"/>
      <c r="UZS142" s="22"/>
      <c r="UZT142" s="22"/>
      <c r="UZU142" s="22"/>
      <c r="UZV142" s="22"/>
      <c r="UZW142" s="22"/>
      <c r="UZX142" s="22"/>
      <c r="UZY142" s="22"/>
      <c r="UZZ142" s="22"/>
      <c r="VAA142" s="22"/>
      <c r="VAB142" s="22"/>
      <c r="VAC142" s="22"/>
      <c r="VAD142" s="22"/>
      <c r="VAE142" s="22"/>
      <c r="VAF142" s="22"/>
      <c r="VAG142" s="22"/>
      <c r="VAH142" s="22"/>
      <c r="VAI142" s="22"/>
      <c r="VAJ142" s="22"/>
      <c r="VAK142" s="22"/>
      <c r="VAL142" s="22"/>
      <c r="VAM142" s="22"/>
      <c r="VAN142" s="22"/>
      <c r="VAO142" s="22"/>
      <c r="VAP142" s="22"/>
      <c r="VAQ142" s="22"/>
      <c r="VAR142" s="22"/>
      <c r="VAS142" s="22"/>
      <c r="VAT142" s="22"/>
      <c r="VAU142" s="22"/>
      <c r="VAV142" s="22"/>
      <c r="VAW142" s="22"/>
      <c r="VAX142" s="22"/>
      <c r="VAY142" s="22"/>
      <c r="VAZ142" s="22"/>
      <c r="VBA142" s="22"/>
      <c r="VBB142" s="22"/>
      <c r="VBC142" s="22"/>
      <c r="VBD142" s="22"/>
      <c r="VBE142" s="22"/>
      <c r="VBF142" s="22"/>
      <c r="VBG142" s="22"/>
      <c r="VBH142" s="22"/>
      <c r="VBI142" s="22"/>
      <c r="VBJ142" s="22"/>
      <c r="VBK142" s="22"/>
      <c r="VBL142" s="22"/>
      <c r="VBM142" s="22"/>
      <c r="VBN142" s="22"/>
      <c r="VBO142" s="22"/>
      <c r="VBP142" s="22"/>
      <c r="VBQ142" s="22"/>
      <c r="VBR142" s="22"/>
      <c r="VBS142" s="22"/>
      <c r="VBT142" s="22"/>
      <c r="VBU142" s="22"/>
      <c r="VBV142" s="22"/>
      <c r="VBW142" s="22"/>
      <c r="VBX142" s="22"/>
      <c r="VBY142" s="22"/>
      <c r="VBZ142" s="22"/>
      <c r="VCA142" s="22"/>
      <c r="VCB142" s="22"/>
      <c r="VCC142" s="22"/>
      <c r="VCD142" s="22"/>
      <c r="VCE142" s="22"/>
      <c r="VCF142" s="22"/>
      <c r="VCG142" s="22"/>
      <c r="VCH142" s="22"/>
      <c r="VCI142" s="22"/>
      <c r="VCJ142" s="22"/>
      <c r="VCK142" s="22"/>
      <c r="VCL142" s="22"/>
      <c r="VCM142" s="22"/>
      <c r="VCN142" s="22"/>
      <c r="VCO142" s="22"/>
      <c r="VCP142" s="22"/>
      <c r="VCQ142" s="22"/>
      <c r="VCR142" s="22"/>
      <c r="VCS142" s="22"/>
      <c r="VCT142" s="22"/>
      <c r="VCU142" s="22"/>
      <c r="VCV142" s="22"/>
      <c r="VCW142" s="22"/>
      <c r="VCX142" s="22"/>
      <c r="VCY142" s="22"/>
      <c r="VCZ142" s="22"/>
      <c r="VDA142" s="22"/>
      <c r="VDB142" s="22"/>
      <c r="VDC142" s="22"/>
      <c r="VDD142" s="22"/>
      <c r="VDE142" s="22"/>
      <c r="VDF142" s="22"/>
      <c r="VDG142" s="22"/>
      <c r="VDH142" s="22"/>
      <c r="VDI142" s="22"/>
      <c r="VDJ142" s="22"/>
      <c r="VDK142" s="22"/>
      <c r="VDL142" s="22"/>
      <c r="VDM142" s="22"/>
      <c r="VDN142" s="22"/>
      <c r="VDO142" s="22"/>
      <c r="VDP142" s="22"/>
      <c r="VDQ142" s="22"/>
      <c r="VDR142" s="22"/>
      <c r="VDS142" s="22"/>
      <c r="VDT142" s="22"/>
      <c r="VDU142" s="22"/>
      <c r="VDV142" s="22"/>
      <c r="VDW142" s="22"/>
      <c r="VDX142" s="22"/>
      <c r="VDY142" s="22"/>
      <c r="VDZ142" s="22"/>
      <c r="VEA142" s="22"/>
      <c r="VEB142" s="22"/>
      <c r="VEC142" s="22"/>
      <c r="VED142" s="22"/>
      <c r="VEE142" s="22"/>
      <c r="VEF142" s="22"/>
      <c r="VEG142" s="22"/>
      <c r="VEH142" s="22"/>
      <c r="VEI142" s="22"/>
      <c r="VEJ142" s="22"/>
      <c r="VEK142" s="22"/>
      <c r="VEL142" s="22"/>
      <c r="VEM142" s="22"/>
      <c r="VEN142" s="22"/>
      <c r="VEO142" s="22"/>
      <c r="VEP142" s="22"/>
      <c r="VEQ142" s="22"/>
      <c r="VER142" s="22"/>
      <c r="VES142" s="22"/>
      <c r="VET142" s="22"/>
      <c r="VEU142" s="22"/>
      <c r="VEV142" s="22"/>
      <c r="VEW142" s="22"/>
      <c r="VEX142" s="22"/>
      <c r="VEY142" s="22"/>
      <c r="VEZ142" s="22"/>
      <c r="VFA142" s="22"/>
      <c r="VFB142" s="22"/>
      <c r="VFC142" s="22"/>
      <c r="VFD142" s="22"/>
      <c r="VFE142" s="22"/>
      <c r="VFF142" s="22"/>
      <c r="VFG142" s="22"/>
      <c r="VFH142" s="22"/>
      <c r="VFI142" s="22"/>
      <c r="VFJ142" s="22"/>
      <c r="VFK142" s="22"/>
      <c r="VFL142" s="22"/>
      <c r="VFM142" s="22"/>
      <c r="VFN142" s="22"/>
      <c r="VFO142" s="22"/>
      <c r="VFP142" s="22"/>
      <c r="VFQ142" s="22"/>
      <c r="VFR142" s="22"/>
      <c r="VFS142" s="22"/>
      <c r="VFT142" s="22"/>
      <c r="VFU142" s="22"/>
      <c r="VFV142" s="22"/>
      <c r="VFW142" s="22"/>
      <c r="VFX142" s="22"/>
      <c r="VFY142" s="22"/>
      <c r="VFZ142" s="22"/>
      <c r="VGA142" s="22"/>
      <c r="VGB142" s="22"/>
      <c r="VGC142" s="22"/>
      <c r="VGD142" s="22"/>
      <c r="VGE142" s="22"/>
      <c r="VGF142" s="22"/>
      <c r="VGG142" s="22"/>
      <c r="VGH142" s="22"/>
      <c r="VGI142" s="22"/>
      <c r="VGJ142" s="22"/>
      <c r="VGK142" s="22"/>
      <c r="VGL142" s="22"/>
      <c r="VGM142" s="22"/>
      <c r="VGN142" s="22"/>
      <c r="VGO142" s="22"/>
      <c r="VGP142" s="22"/>
      <c r="VGQ142" s="22"/>
      <c r="VGR142" s="22"/>
      <c r="VGS142" s="22"/>
      <c r="VGT142" s="22"/>
      <c r="VGU142" s="22"/>
      <c r="VGV142" s="22"/>
      <c r="VGW142" s="22"/>
      <c r="VGX142" s="22"/>
      <c r="VGY142" s="22"/>
      <c r="VGZ142" s="22"/>
      <c r="VHA142" s="22"/>
      <c r="VHB142" s="22"/>
      <c r="VHC142" s="22"/>
      <c r="VHD142" s="22"/>
      <c r="VHE142" s="22"/>
      <c r="VHF142" s="22"/>
      <c r="VHG142" s="22"/>
      <c r="VHH142" s="22"/>
      <c r="VHI142" s="22"/>
      <c r="VHJ142" s="22"/>
      <c r="VHK142" s="22"/>
      <c r="VHL142" s="22"/>
      <c r="VHM142" s="22"/>
      <c r="VHN142" s="22"/>
      <c r="VHO142" s="22"/>
      <c r="VHP142" s="22"/>
      <c r="VHQ142" s="22"/>
      <c r="VHR142" s="22"/>
      <c r="VHS142" s="22"/>
      <c r="VHT142" s="22"/>
      <c r="VHU142" s="22"/>
      <c r="VHV142" s="22"/>
      <c r="VHW142" s="22"/>
      <c r="VHX142" s="22"/>
      <c r="VHY142" s="22"/>
      <c r="VHZ142" s="22"/>
      <c r="VIA142" s="22"/>
      <c r="VIB142" s="22"/>
      <c r="VIC142" s="22"/>
      <c r="VID142" s="22"/>
      <c r="VIE142" s="22"/>
      <c r="VIF142" s="22"/>
      <c r="VIG142" s="22"/>
      <c r="VIH142" s="22"/>
      <c r="VII142" s="22"/>
      <c r="VIJ142" s="22"/>
      <c r="VIK142" s="22"/>
      <c r="VIL142" s="22"/>
      <c r="VIM142" s="22"/>
      <c r="VIN142" s="22"/>
      <c r="VIO142" s="22"/>
      <c r="VIP142" s="22"/>
      <c r="VIQ142" s="22"/>
      <c r="VIR142" s="22"/>
      <c r="VIS142" s="22"/>
      <c r="VIT142" s="22"/>
      <c r="VIU142" s="22"/>
      <c r="VIV142" s="22"/>
      <c r="VIW142" s="22"/>
      <c r="VIX142" s="22"/>
      <c r="VIY142" s="22"/>
      <c r="VIZ142" s="22"/>
      <c r="VJA142" s="22"/>
      <c r="VJB142" s="22"/>
      <c r="VJC142" s="22"/>
      <c r="VJD142" s="22"/>
      <c r="VJE142" s="22"/>
      <c r="VJF142" s="22"/>
      <c r="VJG142" s="22"/>
      <c r="VJH142" s="22"/>
      <c r="VJI142" s="22"/>
      <c r="VJJ142" s="22"/>
      <c r="VJK142" s="22"/>
      <c r="VJL142" s="22"/>
      <c r="VJM142" s="22"/>
      <c r="VJN142" s="22"/>
      <c r="VJO142" s="22"/>
      <c r="VJP142" s="22"/>
      <c r="VJQ142" s="22"/>
      <c r="VJR142" s="22"/>
      <c r="VJS142" s="22"/>
      <c r="VJT142" s="22"/>
      <c r="VJU142" s="22"/>
      <c r="VJV142" s="22"/>
      <c r="VJW142" s="22"/>
      <c r="VJX142" s="22"/>
      <c r="VJY142" s="22"/>
      <c r="VJZ142" s="22"/>
      <c r="VKA142" s="22"/>
      <c r="VKB142" s="22"/>
      <c r="VKC142" s="22"/>
      <c r="VKD142" s="22"/>
      <c r="VKE142" s="22"/>
      <c r="VKF142" s="22"/>
      <c r="VKG142" s="22"/>
      <c r="VKH142" s="22"/>
      <c r="VKI142" s="22"/>
      <c r="VKJ142" s="22"/>
      <c r="VKK142" s="22"/>
      <c r="VKL142" s="22"/>
      <c r="VKM142" s="22"/>
      <c r="VKN142" s="22"/>
      <c r="VKO142" s="22"/>
      <c r="VKP142" s="22"/>
      <c r="VKQ142" s="22"/>
      <c r="VKR142" s="22"/>
      <c r="VKS142" s="22"/>
      <c r="VKT142" s="22"/>
      <c r="VKU142" s="22"/>
      <c r="VKV142" s="22"/>
      <c r="VKW142" s="22"/>
      <c r="VKX142" s="22"/>
      <c r="VKY142" s="22"/>
      <c r="VKZ142" s="22"/>
      <c r="VLA142" s="22"/>
      <c r="VLB142" s="22"/>
      <c r="VLC142" s="22"/>
      <c r="VLD142" s="22"/>
      <c r="VLE142" s="22"/>
      <c r="VLF142" s="22"/>
      <c r="VLG142" s="22"/>
      <c r="VLH142" s="22"/>
      <c r="VLI142" s="22"/>
      <c r="VLJ142" s="22"/>
      <c r="VLK142" s="22"/>
      <c r="VLL142" s="22"/>
      <c r="VLM142" s="22"/>
      <c r="VLN142" s="22"/>
      <c r="VLO142" s="22"/>
      <c r="VLP142" s="22"/>
      <c r="VLQ142" s="22"/>
      <c r="VLR142" s="22"/>
      <c r="VLS142" s="22"/>
      <c r="VLT142" s="22"/>
      <c r="VLU142" s="22"/>
      <c r="VLV142" s="22"/>
      <c r="VLW142" s="22"/>
      <c r="VLX142" s="22"/>
      <c r="VLY142" s="22"/>
      <c r="VLZ142" s="22"/>
      <c r="VMA142" s="22"/>
      <c r="VMB142" s="22"/>
      <c r="VMC142" s="22"/>
      <c r="VMD142" s="22"/>
      <c r="VME142" s="22"/>
      <c r="VMF142" s="22"/>
      <c r="VMG142" s="22"/>
      <c r="VMH142" s="22"/>
      <c r="VMI142" s="22"/>
      <c r="VMJ142" s="22"/>
      <c r="VMK142" s="22"/>
      <c r="VML142" s="22"/>
      <c r="VMM142" s="22"/>
      <c r="VMN142" s="22"/>
      <c r="VMO142" s="22"/>
      <c r="VMP142" s="22"/>
      <c r="VMQ142" s="22"/>
      <c r="VMR142" s="22"/>
      <c r="VMS142" s="22"/>
      <c r="VMT142" s="22"/>
      <c r="VMU142" s="22"/>
      <c r="VMV142" s="22"/>
      <c r="VMW142" s="22"/>
      <c r="VMX142" s="22"/>
      <c r="VMY142" s="22"/>
      <c r="VMZ142" s="22"/>
      <c r="VNA142" s="22"/>
      <c r="VNB142" s="22"/>
      <c r="VNC142" s="22"/>
      <c r="VND142" s="22"/>
      <c r="VNE142" s="22"/>
      <c r="VNF142" s="22"/>
      <c r="VNG142" s="22"/>
      <c r="VNH142" s="22"/>
      <c r="VNI142" s="22"/>
      <c r="VNJ142" s="22"/>
      <c r="VNK142" s="22"/>
      <c r="VNL142" s="22"/>
      <c r="VNM142" s="22"/>
      <c r="VNN142" s="22"/>
      <c r="VNO142" s="22"/>
      <c r="VNP142" s="22"/>
      <c r="VNQ142" s="22"/>
      <c r="VNR142" s="22"/>
      <c r="VNS142" s="22"/>
      <c r="VNT142" s="22"/>
      <c r="VNU142" s="22"/>
      <c r="VNV142" s="22"/>
      <c r="VNW142" s="22"/>
      <c r="VNX142" s="22"/>
      <c r="VNY142" s="22"/>
      <c r="VNZ142" s="22"/>
      <c r="VOA142" s="22"/>
      <c r="VOB142" s="22"/>
      <c r="VOC142" s="22"/>
      <c r="VOD142" s="22"/>
      <c r="VOE142" s="22"/>
      <c r="VOF142" s="22"/>
      <c r="VOG142" s="22"/>
      <c r="VOH142" s="22"/>
      <c r="VOI142" s="22"/>
      <c r="VOJ142" s="22"/>
      <c r="VOK142" s="22"/>
      <c r="VOL142" s="22"/>
      <c r="VOM142" s="22"/>
      <c r="VON142" s="22"/>
      <c r="VOO142" s="22"/>
      <c r="VOP142" s="22"/>
      <c r="VOQ142" s="22"/>
      <c r="VOR142" s="22"/>
      <c r="VOS142" s="22"/>
      <c r="VOT142" s="22"/>
      <c r="VOU142" s="22"/>
      <c r="VOV142" s="22"/>
      <c r="VOW142" s="22"/>
      <c r="VOX142" s="22"/>
      <c r="VOY142" s="22"/>
      <c r="VOZ142" s="22"/>
      <c r="VPA142" s="22"/>
      <c r="VPB142" s="22"/>
      <c r="VPC142" s="22"/>
      <c r="VPD142" s="22"/>
      <c r="VPE142" s="22"/>
      <c r="VPF142" s="22"/>
      <c r="VPG142" s="22"/>
      <c r="VPH142" s="22"/>
      <c r="VPI142" s="22"/>
      <c r="VPJ142" s="22"/>
      <c r="VPK142" s="22"/>
      <c r="VPL142" s="22"/>
      <c r="VPM142" s="22"/>
      <c r="VPN142" s="22"/>
      <c r="VPO142" s="22"/>
      <c r="VPP142" s="22"/>
      <c r="VPQ142" s="22"/>
      <c r="VPR142" s="22"/>
      <c r="VPS142" s="22"/>
      <c r="VPT142" s="22"/>
      <c r="VPU142" s="22"/>
      <c r="VPV142" s="22"/>
      <c r="VPW142" s="22"/>
      <c r="VPX142" s="22"/>
      <c r="VPY142" s="22"/>
      <c r="VPZ142" s="22"/>
      <c r="VQA142" s="22"/>
      <c r="VQB142" s="22"/>
      <c r="VQC142" s="22"/>
      <c r="VQD142" s="22"/>
      <c r="VQE142" s="22"/>
      <c r="VQF142" s="22"/>
      <c r="VQG142" s="22"/>
      <c r="VQH142" s="22"/>
      <c r="VQI142" s="22"/>
      <c r="VQJ142" s="22"/>
      <c r="VQK142" s="22"/>
      <c r="VQL142" s="22"/>
      <c r="VQM142" s="22"/>
      <c r="VQN142" s="22"/>
      <c r="VQO142" s="22"/>
      <c r="VQP142" s="22"/>
      <c r="VQQ142" s="22"/>
      <c r="VQR142" s="22"/>
      <c r="VQS142" s="22"/>
      <c r="VQT142" s="22"/>
      <c r="VQU142" s="22"/>
      <c r="VQV142" s="22"/>
      <c r="VQW142" s="22"/>
      <c r="VQX142" s="22"/>
      <c r="VQY142" s="22"/>
      <c r="VQZ142" s="22"/>
      <c r="VRA142" s="22"/>
      <c r="VRB142" s="22"/>
      <c r="VRC142" s="22"/>
      <c r="VRD142" s="22"/>
      <c r="VRE142" s="22"/>
      <c r="VRF142" s="22"/>
      <c r="VRG142" s="22"/>
      <c r="VRH142" s="22"/>
      <c r="VRI142" s="22"/>
      <c r="VRJ142" s="22"/>
      <c r="VRK142" s="22"/>
      <c r="VRL142" s="22"/>
      <c r="VRM142" s="22"/>
      <c r="VRN142" s="22"/>
      <c r="VRO142" s="22"/>
      <c r="VRP142" s="22"/>
      <c r="VRQ142" s="22"/>
      <c r="VRR142" s="22"/>
      <c r="VRS142" s="22"/>
      <c r="VRT142" s="22"/>
      <c r="VRU142" s="22"/>
      <c r="VRV142" s="22"/>
      <c r="VRW142" s="22"/>
      <c r="VRX142" s="22"/>
      <c r="VRY142" s="22"/>
      <c r="VRZ142" s="22"/>
      <c r="VSA142" s="22"/>
      <c r="VSB142" s="22"/>
      <c r="VSC142" s="22"/>
      <c r="VSD142" s="22"/>
      <c r="VSE142" s="22"/>
      <c r="VSF142" s="22"/>
      <c r="VSG142" s="22"/>
      <c r="VSH142" s="22"/>
      <c r="VSI142" s="22"/>
      <c r="VSJ142" s="22"/>
      <c r="VSK142" s="22"/>
      <c r="VSL142" s="22"/>
      <c r="VSM142" s="22"/>
      <c r="VSN142" s="22"/>
      <c r="VSO142" s="22"/>
      <c r="VSP142" s="22"/>
      <c r="VSQ142" s="22"/>
      <c r="VSR142" s="22"/>
      <c r="VSS142" s="22"/>
      <c r="VST142" s="22"/>
      <c r="VSU142" s="22"/>
      <c r="VSV142" s="22"/>
      <c r="VSW142" s="22"/>
      <c r="VSX142" s="22"/>
      <c r="VSY142" s="22"/>
      <c r="VSZ142" s="22"/>
      <c r="VTA142" s="22"/>
      <c r="VTB142" s="22"/>
      <c r="VTC142" s="22"/>
      <c r="VTD142" s="22"/>
      <c r="VTE142" s="22"/>
      <c r="VTF142" s="22"/>
      <c r="VTG142" s="22"/>
      <c r="VTH142" s="22"/>
      <c r="VTI142" s="22"/>
      <c r="VTJ142" s="22"/>
      <c r="VTK142" s="22"/>
      <c r="VTL142" s="22"/>
      <c r="VTM142" s="22"/>
      <c r="VTN142" s="22"/>
      <c r="VTO142" s="22"/>
      <c r="VTP142" s="22"/>
      <c r="VTQ142" s="22"/>
      <c r="VTR142" s="22"/>
      <c r="VTS142" s="22"/>
      <c r="VTT142" s="22"/>
      <c r="VTU142" s="22"/>
      <c r="VTV142" s="22"/>
      <c r="VTW142" s="22"/>
      <c r="VTX142" s="22"/>
      <c r="VTY142" s="22"/>
      <c r="VTZ142" s="22"/>
      <c r="VUA142" s="22"/>
      <c r="VUB142" s="22"/>
      <c r="VUC142" s="22"/>
      <c r="VUD142" s="22"/>
      <c r="VUE142" s="22"/>
      <c r="VUF142" s="22"/>
      <c r="VUG142" s="22"/>
      <c r="VUH142" s="22"/>
      <c r="VUI142" s="22"/>
      <c r="VUJ142" s="22"/>
      <c r="VUK142" s="22"/>
      <c r="VUL142" s="22"/>
      <c r="VUM142" s="22"/>
      <c r="VUN142" s="22"/>
      <c r="VUO142" s="22"/>
      <c r="VUP142" s="22"/>
      <c r="VUQ142" s="22"/>
      <c r="VUR142" s="22"/>
      <c r="VUS142" s="22"/>
      <c r="VUT142" s="22"/>
      <c r="VUU142" s="22"/>
      <c r="VUV142" s="22"/>
      <c r="VUW142" s="22"/>
      <c r="VUX142" s="22"/>
      <c r="VUY142" s="22"/>
      <c r="VUZ142" s="22"/>
      <c r="VVA142" s="22"/>
      <c r="VVB142" s="22"/>
      <c r="VVC142" s="22"/>
      <c r="VVD142" s="22"/>
      <c r="VVE142" s="22"/>
      <c r="VVF142" s="22"/>
      <c r="VVG142" s="22"/>
      <c r="VVH142" s="22"/>
      <c r="VVI142" s="22"/>
      <c r="VVJ142" s="22"/>
      <c r="VVK142" s="22"/>
      <c r="VVL142" s="22"/>
      <c r="VVM142" s="22"/>
      <c r="VVN142" s="22"/>
      <c r="VVO142" s="22"/>
      <c r="VVP142" s="22"/>
      <c r="VVQ142" s="22"/>
      <c r="VVR142" s="22"/>
      <c r="VVS142" s="22"/>
      <c r="VVT142" s="22"/>
      <c r="VVU142" s="22"/>
      <c r="VVV142" s="22"/>
      <c r="VVW142" s="22"/>
      <c r="VVX142" s="22"/>
      <c r="VVY142" s="22"/>
      <c r="VVZ142" s="22"/>
      <c r="VWA142" s="22"/>
      <c r="VWB142" s="22"/>
      <c r="VWC142" s="22"/>
      <c r="VWD142" s="22"/>
      <c r="VWE142" s="22"/>
      <c r="VWF142" s="22"/>
      <c r="VWG142" s="22"/>
      <c r="VWH142" s="22"/>
      <c r="VWI142" s="22"/>
      <c r="VWJ142" s="22"/>
      <c r="VWK142" s="22"/>
      <c r="VWL142" s="22"/>
      <c r="VWM142" s="22"/>
      <c r="VWN142" s="22"/>
      <c r="VWO142" s="22"/>
      <c r="VWP142" s="22"/>
      <c r="VWQ142" s="22"/>
      <c r="VWR142" s="22"/>
      <c r="VWS142" s="22"/>
      <c r="VWT142" s="22"/>
      <c r="VWU142" s="22"/>
      <c r="VWV142" s="22"/>
      <c r="VWW142" s="22"/>
      <c r="VWX142" s="22"/>
      <c r="VWY142" s="22"/>
      <c r="VWZ142" s="22"/>
      <c r="VXA142" s="22"/>
      <c r="VXB142" s="22"/>
      <c r="VXC142" s="22"/>
      <c r="VXD142" s="22"/>
      <c r="VXE142" s="22"/>
      <c r="VXF142" s="22"/>
      <c r="VXG142" s="22"/>
      <c r="VXH142" s="22"/>
      <c r="VXI142" s="22"/>
      <c r="VXJ142" s="22"/>
      <c r="VXK142" s="22"/>
      <c r="VXL142" s="22"/>
      <c r="VXM142" s="22"/>
      <c r="VXN142" s="22"/>
      <c r="VXO142" s="22"/>
      <c r="VXP142" s="22"/>
      <c r="VXQ142" s="22"/>
      <c r="VXR142" s="22"/>
      <c r="VXS142" s="22"/>
      <c r="VXT142" s="22"/>
      <c r="VXU142" s="22"/>
      <c r="VXV142" s="22"/>
      <c r="VXW142" s="22"/>
      <c r="VXX142" s="22"/>
      <c r="VXY142" s="22"/>
      <c r="VXZ142" s="22"/>
      <c r="VYA142" s="22"/>
      <c r="VYB142" s="22"/>
      <c r="VYC142" s="22"/>
      <c r="VYD142" s="22"/>
      <c r="VYE142" s="22"/>
      <c r="VYF142" s="22"/>
      <c r="VYG142" s="22"/>
      <c r="VYH142" s="22"/>
      <c r="VYI142" s="22"/>
      <c r="VYJ142" s="22"/>
      <c r="VYK142" s="22"/>
      <c r="VYL142" s="22"/>
      <c r="VYM142" s="22"/>
      <c r="VYN142" s="22"/>
      <c r="VYO142" s="22"/>
      <c r="VYP142" s="22"/>
      <c r="VYQ142" s="22"/>
      <c r="VYR142" s="22"/>
      <c r="VYS142" s="22"/>
      <c r="VYT142" s="22"/>
      <c r="VYU142" s="22"/>
      <c r="VYV142" s="22"/>
      <c r="VYW142" s="22"/>
      <c r="VYX142" s="22"/>
      <c r="VYY142" s="22"/>
      <c r="VYZ142" s="22"/>
      <c r="VZA142" s="22"/>
      <c r="VZB142" s="22"/>
      <c r="VZC142" s="22"/>
      <c r="VZD142" s="22"/>
      <c r="VZE142" s="22"/>
      <c r="VZF142" s="22"/>
      <c r="VZG142" s="22"/>
      <c r="VZH142" s="22"/>
      <c r="VZI142" s="22"/>
      <c r="VZJ142" s="22"/>
      <c r="VZK142" s="22"/>
      <c r="VZL142" s="22"/>
      <c r="VZM142" s="22"/>
      <c r="VZN142" s="22"/>
      <c r="VZO142" s="22"/>
      <c r="VZP142" s="22"/>
      <c r="VZQ142" s="22"/>
      <c r="VZR142" s="22"/>
      <c r="VZS142" s="22"/>
      <c r="VZT142" s="22"/>
      <c r="VZU142" s="22"/>
      <c r="VZV142" s="22"/>
      <c r="VZW142" s="22"/>
      <c r="VZX142" s="22"/>
      <c r="VZY142" s="22"/>
      <c r="VZZ142" s="22"/>
      <c r="WAA142" s="22"/>
      <c r="WAB142" s="22"/>
      <c r="WAC142" s="22"/>
      <c r="WAD142" s="22"/>
      <c r="WAE142" s="22"/>
      <c r="WAF142" s="22"/>
      <c r="WAG142" s="22"/>
      <c r="WAH142" s="22"/>
      <c r="WAI142" s="22"/>
      <c r="WAJ142" s="22"/>
      <c r="WAK142" s="22"/>
      <c r="WAL142" s="22"/>
      <c r="WAM142" s="22"/>
      <c r="WAN142" s="22"/>
      <c r="WAO142" s="22"/>
      <c r="WAP142" s="22"/>
      <c r="WAQ142" s="22"/>
      <c r="WAR142" s="22"/>
      <c r="WAS142" s="22"/>
      <c r="WAT142" s="22"/>
      <c r="WAU142" s="22"/>
      <c r="WAV142" s="22"/>
      <c r="WAW142" s="22"/>
      <c r="WAX142" s="22"/>
      <c r="WAY142" s="22"/>
      <c r="WAZ142" s="22"/>
      <c r="WBA142" s="22"/>
      <c r="WBB142" s="22"/>
      <c r="WBC142" s="22"/>
      <c r="WBD142" s="22"/>
      <c r="WBE142" s="22"/>
      <c r="WBF142" s="22"/>
      <c r="WBG142" s="22"/>
      <c r="WBH142" s="22"/>
      <c r="WBI142" s="22"/>
      <c r="WBJ142" s="22"/>
      <c r="WBK142" s="22"/>
      <c r="WBL142" s="22"/>
      <c r="WBM142" s="22"/>
      <c r="WBN142" s="22"/>
      <c r="WBO142" s="22"/>
      <c r="WBP142" s="22"/>
      <c r="WBQ142" s="22"/>
      <c r="WBR142" s="22"/>
      <c r="WBS142" s="22"/>
      <c r="WBT142" s="22"/>
      <c r="WBU142" s="22"/>
      <c r="WBV142" s="22"/>
      <c r="WBW142" s="22"/>
      <c r="WBX142" s="22"/>
      <c r="WBY142" s="22"/>
      <c r="WBZ142" s="22"/>
      <c r="WCA142" s="22"/>
      <c r="WCB142" s="22"/>
      <c r="WCC142" s="22"/>
      <c r="WCD142" s="22"/>
      <c r="WCE142" s="22"/>
      <c r="WCF142" s="22"/>
      <c r="WCG142" s="22"/>
      <c r="WCH142" s="22"/>
      <c r="WCI142" s="22"/>
      <c r="WCJ142" s="22"/>
      <c r="WCK142" s="22"/>
      <c r="WCL142" s="22"/>
      <c r="WCM142" s="22"/>
      <c r="WCN142" s="22"/>
      <c r="WCO142" s="22"/>
      <c r="WCP142" s="22"/>
      <c r="WCQ142" s="22"/>
      <c r="WCR142" s="22"/>
      <c r="WCS142" s="22"/>
      <c r="WCT142" s="22"/>
      <c r="WCU142" s="22"/>
      <c r="WCV142" s="22"/>
      <c r="WCW142" s="22"/>
      <c r="WCX142" s="22"/>
      <c r="WCY142" s="22"/>
      <c r="WCZ142" s="22"/>
      <c r="WDA142" s="22"/>
      <c r="WDB142" s="22"/>
      <c r="WDC142" s="22"/>
      <c r="WDD142" s="22"/>
      <c r="WDE142" s="22"/>
      <c r="WDF142" s="22"/>
      <c r="WDG142" s="22"/>
      <c r="WDH142" s="22"/>
      <c r="WDI142" s="22"/>
      <c r="WDJ142" s="22"/>
      <c r="WDK142" s="22"/>
      <c r="WDL142" s="22"/>
      <c r="WDM142" s="22"/>
      <c r="WDN142" s="22"/>
      <c r="WDO142" s="22"/>
      <c r="WDP142" s="22"/>
      <c r="WDQ142" s="22"/>
      <c r="WDR142" s="22"/>
      <c r="WDS142" s="22"/>
      <c r="WDT142" s="22"/>
      <c r="WDU142" s="22"/>
      <c r="WDV142" s="22"/>
      <c r="WDW142" s="22"/>
      <c r="WDX142" s="22"/>
      <c r="WDY142" s="22"/>
      <c r="WDZ142" s="22"/>
      <c r="WEA142" s="22"/>
      <c r="WEB142" s="22"/>
      <c r="WEC142" s="22"/>
      <c r="WED142" s="22"/>
      <c r="WEE142" s="22"/>
      <c r="WEF142" s="22"/>
      <c r="WEG142" s="22"/>
      <c r="WEH142" s="22"/>
      <c r="WEI142" s="22"/>
      <c r="WEJ142" s="22"/>
      <c r="WEK142" s="22"/>
      <c r="WEL142" s="22"/>
      <c r="WEM142" s="22"/>
      <c r="WEN142" s="22"/>
      <c r="WEO142" s="22"/>
      <c r="WEP142" s="22"/>
      <c r="WEQ142" s="22"/>
      <c r="WER142" s="22"/>
      <c r="WES142" s="22"/>
      <c r="WET142" s="22"/>
      <c r="WEU142" s="22"/>
      <c r="WEV142" s="22"/>
      <c r="WEW142" s="22"/>
      <c r="WEX142" s="22"/>
      <c r="WEY142" s="22"/>
      <c r="WEZ142" s="22"/>
      <c r="WFA142" s="22"/>
      <c r="WFB142" s="22"/>
      <c r="WFC142" s="22"/>
      <c r="WFD142" s="22"/>
      <c r="WFE142" s="22"/>
      <c r="WFF142" s="22"/>
      <c r="WFG142" s="22"/>
      <c r="WFH142" s="22"/>
      <c r="WFI142" s="22"/>
      <c r="WFJ142" s="22"/>
      <c r="WFK142" s="22"/>
      <c r="WFL142" s="22"/>
      <c r="WFM142" s="22"/>
      <c r="WFN142" s="22"/>
      <c r="WFO142" s="22"/>
      <c r="WFP142" s="22"/>
      <c r="WFQ142" s="22"/>
      <c r="WFR142" s="22"/>
      <c r="WFS142" s="22"/>
      <c r="WFT142" s="22"/>
      <c r="WFU142" s="22"/>
      <c r="WFV142" s="22"/>
      <c r="WFW142" s="22"/>
      <c r="WFX142" s="22"/>
      <c r="WFY142" s="22"/>
      <c r="WFZ142" s="22"/>
      <c r="WGA142" s="22"/>
      <c r="WGB142" s="22"/>
      <c r="WGC142" s="22"/>
      <c r="WGD142" s="22"/>
      <c r="WGE142" s="22"/>
      <c r="WGF142" s="22"/>
      <c r="WGG142" s="22"/>
      <c r="WGH142" s="22"/>
      <c r="WGI142" s="22"/>
      <c r="WGJ142" s="22"/>
      <c r="WGK142" s="22"/>
      <c r="WGL142" s="22"/>
      <c r="WGM142" s="22"/>
      <c r="WGN142" s="22"/>
      <c r="WGO142" s="22"/>
      <c r="WGP142" s="22"/>
      <c r="WGQ142" s="22"/>
      <c r="WGR142" s="22"/>
      <c r="WGS142" s="22"/>
      <c r="WGT142" s="22"/>
      <c r="WGU142" s="22"/>
      <c r="WGV142" s="22"/>
      <c r="WGW142" s="22"/>
      <c r="WGX142" s="22"/>
      <c r="WGY142" s="22"/>
      <c r="WGZ142" s="22"/>
      <c r="WHA142" s="22"/>
      <c r="WHB142" s="22"/>
      <c r="WHC142" s="22"/>
      <c r="WHD142" s="22"/>
      <c r="WHE142" s="22"/>
      <c r="WHF142" s="22"/>
      <c r="WHG142" s="22"/>
      <c r="WHH142" s="22"/>
      <c r="WHI142" s="22"/>
      <c r="WHJ142" s="22"/>
      <c r="WHK142" s="22"/>
      <c r="WHL142" s="22"/>
      <c r="WHM142" s="22"/>
      <c r="WHN142" s="22"/>
      <c r="WHO142" s="22"/>
      <c r="WHP142" s="22"/>
      <c r="WHQ142" s="22"/>
      <c r="WHR142" s="22"/>
      <c r="WHS142" s="22"/>
      <c r="WHT142" s="22"/>
      <c r="WHU142" s="22"/>
      <c r="WHV142" s="22"/>
      <c r="WHW142" s="22"/>
      <c r="WHX142" s="22"/>
      <c r="WHY142" s="22"/>
      <c r="WHZ142" s="22"/>
      <c r="WIA142" s="22"/>
      <c r="WIB142" s="22"/>
      <c r="WIC142" s="22"/>
      <c r="WID142" s="22"/>
      <c r="WIE142" s="22"/>
      <c r="WIF142" s="22"/>
      <c r="WIG142" s="22"/>
      <c r="WIH142" s="22"/>
      <c r="WII142" s="22"/>
      <c r="WIJ142" s="22"/>
      <c r="WIK142" s="22"/>
      <c r="WIL142" s="22"/>
      <c r="WIM142" s="22"/>
      <c r="WIN142" s="22"/>
      <c r="WIO142" s="22"/>
      <c r="WIP142" s="22"/>
      <c r="WIQ142" s="22"/>
      <c r="WIR142" s="22"/>
      <c r="WIS142" s="22"/>
      <c r="WIT142" s="22"/>
      <c r="WIU142" s="22"/>
      <c r="WIV142" s="22"/>
      <c r="WIW142" s="22"/>
      <c r="WIX142" s="22"/>
      <c r="WIY142" s="22"/>
      <c r="WIZ142" s="22"/>
      <c r="WJA142" s="22"/>
      <c r="WJB142" s="22"/>
      <c r="WJC142" s="22"/>
      <c r="WJD142" s="22"/>
      <c r="WJE142" s="22"/>
      <c r="WJF142" s="22"/>
      <c r="WJG142" s="22"/>
      <c r="WJH142" s="22"/>
      <c r="WJI142" s="22"/>
      <c r="WJJ142" s="22"/>
      <c r="WJK142" s="22"/>
      <c r="WJL142" s="22"/>
      <c r="WJM142" s="22"/>
      <c r="WJN142" s="22"/>
      <c r="WJO142" s="22"/>
      <c r="WJP142" s="22"/>
      <c r="WJQ142" s="22"/>
      <c r="WJR142" s="22"/>
      <c r="WJS142" s="22"/>
      <c r="WJT142" s="22"/>
      <c r="WJU142" s="22"/>
      <c r="WJV142" s="22"/>
      <c r="WJW142" s="22"/>
      <c r="WJX142" s="22"/>
      <c r="WJY142" s="22"/>
      <c r="WJZ142" s="22"/>
      <c r="WKA142" s="22"/>
      <c r="WKB142" s="22"/>
      <c r="WKC142" s="22"/>
      <c r="WKD142" s="22"/>
      <c r="WKE142" s="22"/>
      <c r="WKF142" s="22"/>
      <c r="WKG142" s="22"/>
      <c r="WKH142" s="22"/>
      <c r="WKI142" s="22"/>
      <c r="WKJ142" s="22"/>
      <c r="WKK142" s="22"/>
      <c r="WKL142" s="22"/>
      <c r="WKM142" s="22"/>
      <c r="WKN142" s="22"/>
      <c r="WKO142" s="22"/>
      <c r="WKP142" s="22"/>
      <c r="WKQ142" s="22"/>
      <c r="WKR142" s="22"/>
      <c r="WKS142" s="22"/>
      <c r="WKT142" s="22"/>
      <c r="WKU142" s="22"/>
      <c r="WKV142" s="22"/>
      <c r="WKW142" s="22"/>
      <c r="WKX142" s="22"/>
      <c r="WKY142" s="22"/>
      <c r="WKZ142" s="22"/>
      <c r="WLA142" s="22"/>
      <c r="WLB142" s="22"/>
      <c r="WLC142" s="22"/>
      <c r="WLD142" s="22"/>
      <c r="WLE142" s="22"/>
      <c r="WLF142" s="22"/>
      <c r="WLG142" s="22"/>
      <c r="WLH142" s="22"/>
      <c r="WLI142" s="22"/>
      <c r="WLJ142" s="22"/>
      <c r="WLK142" s="22"/>
      <c r="WLL142" s="22"/>
      <c r="WLM142" s="22"/>
      <c r="WLN142" s="22"/>
      <c r="WLO142" s="22"/>
      <c r="WLP142" s="22"/>
      <c r="WLQ142" s="22"/>
      <c r="WLR142" s="22"/>
      <c r="WLS142" s="22"/>
      <c r="WLT142" s="22"/>
      <c r="WLU142" s="22"/>
      <c r="WLV142" s="22"/>
      <c r="WLW142" s="22"/>
      <c r="WLX142" s="22"/>
      <c r="WLY142" s="22"/>
      <c r="WLZ142" s="22"/>
      <c r="WMA142" s="22"/>
      <c r="WMB142" s="22"/>
      <c r="WMC142" s="22"/>
      <c r="WMD142" s="22"/>
      <c r="WME142" s="22"/>
      <c r="WMF142" s="22"/>
      <c r="WMG142" s="22"/>
      <c r="WMH142" s="22"/>
      <c r="WMI142" s="22"/>
      <c r="WMJ142" s="22"/>
      <c r="WMK142" s="22"/>
      <c r="WML142" s="22"/>
      <c r="WMM142" s="22"/>
      <c r="WMN142" s="22"/>
      <c r="WMO142" s="22"/>
      <c r="WMP142" s="22"/>
      <c r="WMQ142" s="22"/>
      <c r="WMR142" s="22"/>
      <c r="WMS142" s="22"/>
      <c r="WMT142" s="22"/>
      <c r="WMU142" s="22"/>
      <c r="WMV142" s="22"/>
      <c r="WMW142" s="22"/>
      <c r="WMX142" s="22"/>
      <c r="WMY142" s="22"/>
      <c r="WMZ142" s="22"/>
      <c r="WNA142" s="22"/>
      <c r="WNB142" s="22"/>
      <c r="WNC142" s="22"/>
      <c r="WND142" s="22"/>
      <c r="WNE142" s="22"/>
      <c r="WNF142" s="22"/>
      <c r="WNG142" s="22"/>
      <c r="WNH142" s="22"/>
      <c r="WNI142" s="22"/>
      <c r="WNJ142" s="22"/>
      <c r="WNK142" s="22"/>
      <c r="WNL142" s="22"/>
      <c r="WNM142" s="22"/>
      <c r="WNN142" s="22"/>
      <c r="WNO142" s="22"/>
      <c r="WNP142" s="22"/>
      <c r="WNQ142" s="22"/>
      <c r="WNR142" s="22"/>
      <c r="WNS142" s="22"/>
      <c r="WNT142" s="22"/>
      <c r="WNU142" s="22"/>
      <c r="WNV142" s="22"/>
      <c r="WNW142" s="22"/>
      <c r="WNX142" s="22"/>
      <c r="WNY142" s="22"/>
      <c r="WNZ142" s="22"/>
      <c r="WOA142" s="22"/>
      <c r="WOB142" s="22"/>
      <c r="WOC142" s="22"/>
      <c r="WOD142" s="22"/>
      <c r="WOE142" s="22"/>
      <c r="WOF142" s="22"/>
      <c r="WOG142" s="22"/>
      <c r="WOH142" s="22"/>
      <c r="WOI142" s="22"/>
      <c r="WOJ142" s="22"/>
      <c r="WOK142" s="22"/>
      <c r="WOL142" s="22"/>
      <c r="WOM142" s="22"/>
      <c r="WON142" s="22"/>
      <c r="WOO142" s="22"/>
      <c r="WOP142" s="22"/>
      <c r="WOQ142" s="22"/>
      <c r="WOR142" s="22"/>
      <c r="WOS142" s="22"/>
      <c r="WOT142" s="22"/>
      <c r="WOU142" s="22"/>
      <c r="WOV142" s="22"/>
      <c r="WOW142" s="22"/>
      <c r="WOX142" s="22"/>
      <c r="WOY142" s="22"/>
      <c r="WOZ142" s="22"/>
      <c r="WPA142" s="22"/>
      <c r="WPB142" s="22"/>
      <c r="WPC142" s="22"/>
      <c r="WPD142" s="22"/>
      <c r="WPE142" s="22"/>
      <c r="WPF142" s="22"/>
      <c r="WPG142" s="22"/>
      <c r="WPH142" s="22"/>
      <c r="WPI142" s="22"/>
      <c r="WPJ142" s="22"/>
      <c r="WPK142" s="22"/>
      <c r="WPL142" s="22"/>
      <c r="WPM142" s="22"/>
      <c r="WPN142" s="22"/>
      <c r="WPO142" s="22"/>
      <c r="WPP142" s="22"/>
      <c r="WPQ142" s="22"/>
      <c r="WPR142" s="22"/>
      <c r="WPS142" s="22"/>
      <c r="WPT142" s="22"/>
      <c r="WPU142" s="22"/>
      <c r="WPV142" s="22"/>
      <c r="WPW142" s="22"/>
      <c r="WPX142" s="22"/>
      <c r="WPY142" s="22"/>
      <c r="WPZ142" s="22"/>
      <c r="WQA142" s="22"/>
      <c r="WQB142" s="22"/>
      <c r="WQC142" s="22"/>
      <c r="WQD142" s="22"/>
      <c r="WQE142" s="22"/>
      <c r="WQF142" s="22"/>
      <c r="WQG142" s="22"/>
      <c r="WQH142" s="22"/>
      <c r="WQI142" s="22"/>
      <c r="WQJ142" s="22"/>
      <c r="WQK142" s="22"/>
      <c r="WQL142" s="22"/>
      <c r="WQM142" s="22"/>
      <c r="WQN142" s="22"/>
      <c r="WQO142" s="22"/>
      <c r="WQP142" s="22"/>
      <c r="WQQ142" s="22"/>
      <c r="WQR142" s="22"/>
      <c r="WQS142" s="22"/>
      <c r="WQT142" s="22"/>
      <c r="WQU142" s="22"/>
      <c r="WQV142" s="22"/>
      <c r="WQW142" s="22"/>
      <c r="WQX142" s="22"/>
      <c r="WQY142" s="22"/>
      <c r="WQZ142" s="22"/>
      <c r="WRA142" s="22"/>
      <c r="WRB142" s="22"/>
      <c r="WRC142" s="22"/>
      <c r="WRD142" s="22"/>
      <c r="WRE142" s="22"/>
      <c r="WRF142" s="22"/>
      <c r="WRG142" s="22"/>
      <c r="WRH142" s="22"/>
      <c r="WRI142" s="22"/>
      <c r="WRJ142" s="22"/>
      <c r="WRK142" s="22"/>
      <c r="WRL142" s="22"/>
      <c r="WRM142" s="22"/>
      <c r="WRN142" s="22"/>
      <c r="WRO142" s="22"/>
      <c r="WRP142" s="22"/>
      <c r="WRQ142" s="22"/>
      <c r="WRR142" s="22"/>
      <c r="WRS142" s="22"/>
      <c r="WRT142" s="22"/>
      <c r="WRU142" s="22"/>
      <c r="WRV142" s="22"/>
      <c r="WRW142" s="22"/>
      <c r="WRX142" s="22"/>
      <c r="WRY142" s="22"/>
      <c r="WRZ142" s="22"/>
      <c r="WSA142" s="22"/>
      <c r="WSB142" s="22"/>
      <c r="WSC142" s="22"/>
      <c r="WSD142" s="22"/>
      <c r="WSE142" s="22"/>
      <c r="WSF142" s="22"/>
      <c r="WSG142" s="22"/>
      <c r="WSH142" s="22"/>
      <c r="WSI142" s="22"/>
      <c r="WSJ142" s="22"/>
      <c r="WSK142" s="22"/>
      <c r="WSL142" s="22"/>
      <c r="WSM142" s="22"/>
      <c r="WSN142" s="22"/>
      <c r="WSO142" s="22"/>
      <c r="WSP142" s="22"/>
      <c r="WSQ142" s="22"/>
      <c r="WSR142" s="22"/>
      <c r="WSS142" s="22"/>
      <c r="WST142" s="22"/>
      <c r="WSU142" s="22"/>
      <c r="WSV142" s="22"/>
      <c r="WSW142" s="22"/>
      <c r="WSX142" s="22"/>
      <c r="WSY142" s="22"/>
      <c r="WSZ142" s="22"/>
      <c r="WTA142" s="22"/>
      <c r="WTB142" s="22"/>
      <c r="WTC142" s="22"/>
      <c r="WTD142" s="22"/>
      <c r="WTE142" s="22"/>
      <c r="WTF142" s="22"/>
      <c r="WTG142" s="22"/>
      <c r="WTH142" s="22"/>
      <c r="WTI142" s="22"/>
      <c r="WTJ142" s="22"/>
      <c r="WTK142" s="22"/>
      <c r="WTL142" s="22"/>
      <c r="WTM142" s="22"/>
      <c r="WTN142" s="22"/>
      <c r="WTO142" s="22"/>
      <c r="WTP142" s="22"/>
      <c r="WTQ142" s="22"/>
      <c r="WTR142" s="22"/>
      <c r="WTS142" s="22"/>
      <c r="WTT142" s="22"/>
      <c r="WTU142" s="22"/>
      <c r="WTV142" s="22"/>
      <c r="WTW142" s="22"/>
      <c r="WTX142" s="22"/>
      <c r="WTY142" s="22"/>
      <c r="WTZ142" s="22"/>
      <c r="WUA142" s="22"/>
      <c r="WUB142" s="22"/>
      <c r="WUC142" s="22"/>
      <c r="WUD142" s="22"/>
      <c r="WUE142" s="22"/>
      <c r="WUF142" s="22"/>
      <c r="WUG142" s="22"/>
      <c r="WUH142" s="22"/>
      <c r="WUI142" s="22"/>
      <c r="WUJ142" s="22"/>
      <c r="WUK142" s="22"/>
      <c r="WUL142" s="22"/>
      <c r="WUM142" s="22"/>
      <c r="WUN142" s="22"/>
      <c r="WUO142" s="22"/>
      <c r="WUP142" s="22"/>
      <c r="WUQ142" s="22"/>
      <c r="WUR142" s="22"/>
      <c r="WUS142" s="22"/>
      <c r="WUT142" s="22"/>
      <c r="WUU142" s="22"/>
      <c r="WUV142" s="22"/>
      <c r="WUW142" s="22"/>
      <c r="WUX142" s="22"/>
      <c r="WUY142" s="22"/>
      <c r="WUZ142" s="22"/>
      <c r="WVA142" s="22"/>
      <c r="WVB142" s="22"/>
      <c r="WVC142" s="22"/>
      <c r="WVD142" s="22"/>
      <c r="WVE142" s="22"/>
      <c r="WVF142" s="22"/>
      <c r="WVG142" s="22"/>
      <c r="WVH142" s="22"/>
      <c r="WVI142" s="22"/>
      <c r="WVJ142" s="22"/>
      <c r="WVK142" s="22"/>
      <c r="WVL142" s="22"/>
      <c r="WVM142" s="22"/>
      <c r="WVN142" s="22"/>
      <c r="WVO142" s="22"/>
      <c r="WVP142" s="22"/>
      <c r="WVQ142" s="22"/>
      <c r="WVR142" s="22"/>
      <c r="WVS142" s="22"/>
      <c r="WVT142" s="22"/>
      <c r="WVU142" s="22"/>
      <c r="WVV142" s="22"/>
      <c r="WVW142" s="22"/>
      <c r="WVX142" s="22"/>
      <c r="WVY142" s="22"/>
      <c r="WVZ142" s="22"/>
      <c r="WWA142" s="22"/>
      <c r="WWB142" s="22"/>
      <c r="WWC142" s="22"/>
      <c r="WWD142" s="22"/>
      <c r="WWE142" s="22"/>
      <c r="WWF142" s="22"/>
      <c r="WWG142" s="22"/>
      <c r="WWH142" s="22"/>
      <c r="WWI142" s="22"/>
      <c r="WWJ142" s="22"/>
      <c r="WWK142" s="22"/>
      <c r="WWL142" s="22"/>
      <c r="WWM142" s="22"/>
      <c r="WWN142" s="22"/>
      <c r="WWO142" s="22"/>
      <c r="WWP142" s="22"/>
      <c r="WWQ142" s="22"/>
      <c r="WWR142" s="22"/>
      <c r="WWS142" s="22"/>
      <c r="WWT142" s="22"/>
      <c r="WWU142" s="22"/>
      <c r="WWV142" s="22"/>
      <c r="WWW142" s="22"/>
      <c r="WWX142" s="22"/>
      <c r="WWY142" s="22"/>
      <c r="WWZ142" s="22"/>
      <c r="WXA142" s="22"/>
      <c r="WXB142" s="22"/>
      <c r="WXC142" s="22"/>
      <c r="WXD142" s="22"/>
      <c r="WXE142" s="22"/>
      <c r="WXF142" s="22"/>
      <c r="WXG142" s="22"/>
      <c r="WXH142" s="22"/>
      <c r="WXI142" s="22"/>
      <c r="WXJ142" s="22"/>
      <c r="WXK142" s="22"/>
      <c r="WXL142" s="22"/>
      <c r="WXM142" s="22"/>
      <c r="WXN142" s="22"/>
      <c r="WXO142" s="22"/>
      <c r="WXP142" s="22"/>
      <c r="WXQ142" s="22"/>
      <c r="WXR142" s="22"/>
      <c r="WXS142" s="22"/>
      <c r="WXT142" s="22"/>
      <c r="WXU142" s="22"/>
      <c r="WXV142" s="22"/>
      <c r="WXW142" s="22"/>
      <c r="WXX142" s="22"/>
      <c r="WXY142" s="22"/>
      <c r="WXZ142" s="22"/>
      <c r="WYA142" s="22"/>
      <c r="WYB142" s="22"/>
      <c r="WYC142" s="22"/>
      <c r="WYD142" s="22"/>
      <c r="WYE142" s="22"/>
      <c r="WYF142" s="22"/>
      <c r="WYG142" s="22"/>
      <c r="WYH142" s="22"/>
      <c r="WYI142" s="22"/>
      <c r="WYJ142" s="22"/>
      <c r="WYK142" s="22"/>
      <c r="WYL142" s="22"/>
      <c r="WYM142" s="22"/>
      <c r="WYN142" s="22"/>
      <c r="WYO142" s="22"/>
      <c r="WYP142" s="22"/>
      <c r="WYQ142" s="22"/>
      <c r="WYR142" s="22"/>
      <c r="WYS142" s="22"/>
      <c r="WYT142" s="22"/>
      <c r="WYU142" s="22"/>
      <c r="WYV142" s="22"/>
      <c r="WYW142" s="22"/>
      <c r="WYX142" s="22"/>
      <c r="WYY142" s="22"/>
      <c r="WYZ142" s="22"/>
      <c r="WZA142" s="22"/>
      <c r="WZB142" s="22"/>
      <c r="WZC142" s="22"/>
      <c r="WZD142" s="22"/>
      <c r="WZE142" s="22"/>
      <c r="WZF142" s="22"/>
      <c r="WZG142" s="22"/>
      <c r="WZH142" s="22"/>
      <c r="WZI142" s="22"/>
      <c r="WZJ142" s="22"/>
      <c r="WZK142" s="22"/>
      <c r="WZL142" s="22"/>
      <c r="WZM142" s="22"/>
      <c r="WZN142" s="22"/>
      <c r="WZO142" s="22"/>
      <c r="WZP142" s="22"/>
      <c r="WZQ142" s="22"/>
      <c r="WZR142" s="22"/>
      <c r="WZS142" s="22"/>
      <c r="WZT142" s="22"/>
      <c r="WZU142" s="22"/>
      <c r="WZV142" s="22"/>
      <c r="WZW142" s="22"/>
      <c r="WZX142" s="22"/>
      <c r="WZY142" s="22"/>
      <c r="WZZ142" s="22"/>
      <c r="XAA142" s="22"/>
      <c r="XAB142" s="22"/>
      <c r="XAC142" s="22"/>
      <c r="XAD142" s="22"/>
      <c r="XAE142" s="22"/>
      <c r="XAF142" s="22"/>
      <c r="XAG142" s="22"/>
      <c r="XAH142" s="22"/>
      <c r="XAI142" s="22"/>
      <c r="XAJ142" s="22"/>
      <c r="XAK142" s="22"/>
      <c r="XAL142" s="22"/>
      <c r="XAM142" s="22"/>
      <c r="XAN142" s="22"/>
      <c r="XAO142" s="22"/>
      <c r="XAP142" s="22"/>
      <c r="XAQ142" s="22"/>
      <c r="XAR142" s="22"/>
      <c r="XAS142" s="22"/>
      <c r="XAT142" s="22"/>
      <c r="XAU142" s="22"/>
      <c r="XAV142" s="22"/>
      <c r="XAW142" s="22"/>
      <c r="XAX142" s="22"/>
      <c r="XAY142" s="22"/>
      <c r="XAZ142" s="22"/>
      <c r="XBA142" s="22"/>
      <c r="XBB142" s="22"/>
      <c r="XBC142" s="22"/>
      <c r="XBD142" s="22"/>
      <c r="XBE142" s="22"/>
      <c r="XBF142" s="22"/>
      <c r="XBG142" s="22"/>
      <c r="XBH142" s="22"/>
      <c r="XBI142" s="22"/>
      <c r="XBJ142" s="22"/>
      <c r="XBK142" s="22"/>
      <c r="XBL142" s="22"/>
      <c r="XBM142" s="22"/>
      <c r="XBN142" s="22"/>
      <c r="XBO142" s="22"/>
      <c r="XBP142" s="22"/>
      <c r="XBQ142" s="22"/>
      <c r="XBR142" s="22"/>
      <c r="XBS142" s="22"/>
      <c r="XBT142" s="22"/>
      <c r="XBU142" s="22"/>
      <c r="XBV142" s="22"/>
      <c r="XBW142" s="22"/>
      <c r="XBX142" s="22"/>
      <c r="XBY142" s="22"/>
      <c r="XBZ142" s="22"/>
      <c r="XCA142" s="22"/>
      <c r="XCB142" s="22"/>
      <c r="XCC142" s="22"/>
      <c r="XCD142" s="22"/>
      <c r="XCE142" s="22"/>
      <c r="XCF142" s="22"/>
      <c r="XCG142" s="22"/>
      <c r="XCH142" s="22"/>
      <c r="XCI142" s="22"/>
      <c r="XCJ142" s="22"/>
      <c r="XCK142" s="22"/>
      <c r="XCL142" s="22"/>
      <c r="XCM142" s="22"/>
      <c r="XCN142" s="22"/>
      <c r="XCO142" s="22"/>
      <c r="XCP142" s="22"/>
      <c r="XCQ142" s="22"/>
      <c r="XCR142" s="22"/>
      <c r="XCS142" s="22"/>
      <c r="XCT142" s="22"/>
      <c r="XCU142" s="22"/>
      <c r="XCV142" s="22"/>
      <c r="XCW142" s="22"/>
      <c r="XCX142" s="22"/>
      <c r="XCY142" s="22"/>
      <c r="XCZ142" s="22"/>
      <c r="XDA142" s="22"/>
      <c r="XDB142" s="22"/>
      <c r="XDC142" s="22"/>
      <c r="XDD142" s="22"/>
      <c r="XDE142" s="22"/>
      <c r="XDF142" s="22"/>
      <c r="XDG142" s="22"/>
      <c r="XDH142" s="22"/>
      <c r="XDI142" s="22"/>
      <c r="XDJ142" s="22"/>
      <c r="XDK142" s="22"/>
      <c r="XDL142" s="22"/>
      <c r="XDM142" s="22"/>
      <c r="XDN142" s="22"/>
      <c r="XDO142" s="22"/>
      <c r="XDP142" s="22"/>
      <c r="XDQ142" s="22"/>
      <c r="XDR142" s="22"/>
      <c r="XDS142" s="22"/>
      <c r="XDT142" s="22"/>
      <c r="XDU142" s="22"/>
      <c r="XDV142" s="22"/>
      <c r="XDW142" s="22"/>
      <c r="XDX142" s="22"/>
      <c r="XDY142" s="22"/>
      <c r="XDZ142" s="22"/>
      <c r="XEA142" s="22"/>
      <c r="XEB142" s="22"/>
      <c r="XEC142" s="22"/>
      <c r="XED142" s="22"/>
      <c r="XEE142" s="22"/>
      <c r="XEF142" s="22"/>
      <c r="XEG142" s="22"/>
      <c r="XEH142" s="22"/>
      <c r="XEI142" s="22"/>
      <c r="XEJ142" s="22"/>
      <c r="XEK142" s="22"/>
      <c r="XEL142" s="22"/>
      <c r="XEM142" s="22"/>
      <c r="XEN142" s="22"/>
      <c r="XEO142" s="22"/>
      <c r="XEP142" s="22"/>
      <c r="XEQ142" s="22"/>
      <c r="XER142" s="22"/>
      <c r="XES142" s="22"/>
      <c r="XET142" s="22"/>
      <c r="XEU142" s="22"/>
      <c r="XEV142" s="22"/>
      <c r="XEW142" s="22"/>
      <c r="XEX142" s="22"/>
      <c r="XEY142" s="22"/>
      <c r="XEZ142" s="22"/>
      <c r="XFA142" s="22"/>
      <c r="XFB142" s="22"/>
      <c r="XFC142" s="22"/>
      <c r="XFD142" s="22"/>
    </row>
    <row r="143" spans="1:16384" s="145" customFormat="1" x14ac:dyDescent="0.25">
      <c r="A143" s="60" t="s">
        <v>1130</v>
      </c>
      <c r="B143" s="60" t="s">
        <v>22</v>
      </c>
      <c r="C143" s="60" t="s">
        <v>101</v>
      </c>
      <c r="D143" s="60" t="s">
        <v>17521</v>
      </c>
      <c r="E143" s="60" t="s">
        <v>25</v>
      </c>
      <c r="F143" s="60" t="s">
        <v>869</v>
      </c>
      <c r="G143" s="60" t="s">
        <v>1082</v>
      </c>
      <c r="H143" s="60" t="s">
        <v>87</v>
      </c>
      <c r="I143" s="60" t="s">
        <v>37</v>
      </c>
      <c r="J143" s="61">
        <v>46301</v>
      </c>
      <c r="K143" s="61">
        <v>46301</v>
      </c>
      <c r="L143" s="61">
        <v>46301</v>
      </c>
      <c r="M143" s="61">
        <v>46311</v>
      </c>
      <c r="N143" s="61">
        <v>46311</v>
      </c>
      <c r="O143" s="60"/>
      <c r="P143" s="60"/>
      <c r="Q143" s="60"/>
      <c r="R143" s="143" t="s">
        <v>30</v>
      </c>
      <c r="S143" s="143" t="s">
        <v>30</v>
      </c>
      <c r="T143" s="143" t="s">
        <v>30</v>
      </c>
      <c r="U143" s="143" t="s">
        <v>30</v>
      </c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  <c r="IZ143" s="22"/>
      <c r="JA143" s="22"/>
      <c r="JB143" s="22"/>
      <c r="JC143" s="22"/>
      <c r="JD143" s="22"/>
      <c r="JE143" s="22"/>
      <c r="JF143" s="22"/>
      <c r="JG143" s="22"/>
      <c r="JH143" s="22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2"/>
      <c r="LK143" s="22"/>
      <c r="LL143" s="22"/>
      <c r="LM143" s="22"/>
      <c r="LN143" s="22"/>
      <c r="LO143" s="22"/>
      <c r="LP143" s="22"/>
      <c r="LQ143" s="22"/>
      <c r="LR143" s="22"/>
      <c r="LS143" s="22"/>
      <c r="LT143" s="22"/>
      <c r="LU143" s="22"/>
      <c r="LV143" s="22"/>
      <c r="LW143" s="22"/>
      <c r="LX143" s="22"/>
      <c r="LY143" s="22"/>
      <c r="LZ143" s="22"/>
      <c r="MA143" s="22"/>
      <c r="MB143" s="22"/>
      <c r="MC143" s="22"/>
      <c r="MD143" s="22"/>
      <c r="ME143" s="22"/>
      <c r="MF143" s="22"/>
      <c r="MG143" s="22"/>
      <c r="MH143" s="22"/>
      <c r="MI143" s="22"/>
      <c r="MJ143" s="22"/>
      <c r="MK143" s="22"/>
      <c r="ML143" s="22"/>
      <c r="MM143" s="22"/>
      <c r="MN143" s="22"/>
      <c r="MO143" s="22"/>
      <c r="MP143" s="22"/>
      <c r="MQ143" s="22"/>
      <c r="MR143" s="22"/>
      <c r="MS143" s="22"/>
      <c r="MT143" s="22"/>
      <c r="MU143" s="22"/>
      <c r="MV143" s="22"/>
      <c r="MW143" s="22"/>
      <c r="MX143" s="22"/>
      <c r="MY143" s="22"/>
      <c r="MZ143" s="22"/>
      <c r="NA143" s="22"/>
      <c r="NB143" s="22"/>
      <c r="NC143" s="22"/>
      <c r="ND143" s="22"/>
      <c r="NE143" s="22"/>
      <c r="NF143" s="22"/>
      <c r="NG143" s="22"/>
      <c r="NH143" s="22"/>
      <c r="NI143" s="22"/>
      <c r="NJ143" s="22"/>
      <c r="NK143" s="22"/>
      <c r="NL143" s="22"/>
      <c r="NM143" s="22"/>
      <c r="NN143" s="22"/>
      <c r="NO143" s="22"/>
      <c r="NP143" s="22"/>
      <c r="NQ143" s="22"/>
      <c r="NR143" s="22"/>
      <c r="NS143" s="22"/>
      <c r="NT143" s="22"/>
      <c r="NU143" s="22"/>
      <c r="NV143" s="22"/>
      <c r="NW143" s="22"/>
      <c r="NX143" s="22"/>
      <c r="NY143" s="22"/>
      <c r="NZ143" s="22"/>
      <c r="OA143" s="22"/>
      <c r="OB143" s="22"/>
      <c r="OC143" s="22"/>
      <c r="OD143" s="22"/>
      <c r="OE143" s="22"/>
      <c r="OF143" s="22"/>
      <c r="OG143" s="22"/>
      <c r="OH143" s="22"/>
      <c r="OI143" s="22"/>
      <c r="OJ143" s="22"/>
      <c r="OK143" s="22"/>
      <c r="OL143" s="22"/>
      <c r="OM143" s="22"/>
      <c r="ON143" s="22"/>
      <c r="OO143" s="22"/>
      <c r="OP143" s="22"/>
      <c r="OQ143" s="22"/>
      <c r="OR143" s="22"/>
      <c r="OS143" s="22"/>
      <c r="OT143" s="22"/>
      <c r="OU143" s="22"/>
      <c r="OV143" s="22"/>
      <c r="OW143" s="22"/>
      <c r="OX143" s="22"/>
      <c r="OY143" s="22"/>
      <c r="OZ143" s="22"/>
      <c r="PA143" s="22"/>
      <c r="PB143" s="22"/>
      <c r="PC143" s="22"/>
      <c r="PD143" s="22"/>
      <c r="PE143" s="22"/>
      <c r="PF143" s="22"/>
      <c r="PG143" s="22"/>
      <c r="PH143" s="22"/>
      <c r="PI143" s="22"/>
      <c r="PJ143" s="22"/>
      <c r="PK143" s="22"/>
      <c r="PL143" s="22"/>
      <c r="PM143" s="22"/>
      <c r="PN143" s="22"/>
      <c r="PO143" s="22"/>
      <c r="PP143" s="22"/>
      <c r="PQ143" s="22"/>
      <c r="PR143" s="22"/>
      <c r="PS143" s="22"/>
      <c r="PT143" s="22"/>
      <c r="PU143" s="22"/>
      <c r="PV143" s="22"/>
      <c r="PW143" s="22"/>
      <c r="PX143" s="22"/>
      <c r="PY143" s="22"/>
      <c r="PZ143" s="22"/>
      <c r="QA143" s="22"/>
      <c r="QB143" s="22"/>
      <c r="QC143" s="22"/>
      <c r="QD143" s="22"/>
      <c r="QE143" s="22"/>
      <c r="QF143" s="22"/>
      <c r="QG143" s="22"/>
      <c r="QH143" s="22"/>
      <c r="QI143" s="22"/>
      <c r="QJ143" s="22"/>
      <c r="QK143" s="22"/>
      <c r="QL143" s="22"/>
      <c r="QM143" s="22"/>
      <c r="QN143" s="22"/>
      <c r="QO143" s="22"/>
      <c r="QP143" s="22"/>
      <c r="QQ143" s="22"/>
      <c r="QR143" s="22"/>
      <c r="QS143" s="22"/>
      <c r="QT143" s="22"/>
      <c r="QU143" s="22"/>
      <c r="QV143" s="22"/>
      <c r="QW143" s="22"/>
      <c r="QX143" s="22"/>
      <c r="QY143" s="22"/>
      <c r="QZ143" s="22"/>
      <c r="RA143" s="22"/>
      <c r="RB143" s="22"/>
      <c r="RC143" s="22"/>
      <c r="RD143" s="22"/>
      <c r="RE143" s="22"/>
      <c r="RF143" s="22"/>
      <c r="RG143" s="22"/>
      <c r="RH143" s="22"/>
      <c r="RI143" s="22"/>
      <c r="RJ143" s="22"/>
      <c r="RK143" s="22"/>
      <c r="RL143" s="22"/>
      <c r="RM143" s="22"/>
      <c r="RN143" s="22"/>
      <c r="RO143" s="22"/>
      <c r="RP143" s="22"/>
      <c r="RQ143" s="22"/>
      <c r="RR143" s="22"/>
      <c r="RS143" s="22"/>
      <c r="RT143" s="22"/>
      <c r="RU143" s="22"/>
      <c r="RV143" s="22"/>
      <c r="RW143" s="22"/>
      <c r="RX143" s="22"/>
      <c r="RY143" s="22"/>
      <c r="RZ143" s="22"/>
      <c r="SA143" s="22"/>
      <c r="SB143" s="22"/>
      <c r="SC143" s="22"/>
      <c r="SD143" s="22"/>
      <c r="SE143" s="22"/>
      <c r="SF143" s="22"/>
      <c r="SG143" s="22"/>
      <c r="SH143" s="22"/>
      <c r="SI143" s="22"/>
      <c r="SJ143" s="22"/>
      <c r="SK143" s="22"/>
      <c r="SL143" s="22"/>
      <c r="SM143" s="22"/>
      <c r="SN143" s="22"/>
      <c r="SO143" s="22"/>
      <c r="SP143" s="22"/>
      <c r="SQ143" s="22"/>
      <c r="SR143" s="22"/>
      <c r="SS143" s="22"/>
      <c r="ST143" s="22"/>
      <c r="SU143" s="22"/>
      <c r="SV143" s="22"/>
      <c r="SW143" s="22"/>
      <c r="SX143" s="22"/>
      <c r="SY143" s="22"/>
      <c r="SZ143" s="22"/>
      <c r="TA143" s="22"/>
      <c r="TB143" s="22"/>
      <c r="TC143" s="22"/>
      <c r="TD143" s="22"/>
      <c r="TE143" s="22"/>
      <c r="TF143" s="22"/>
      <c r="TG143" s="22"/>
      <c r="TH143" s="22"/>
      <c r="TI143" s="22"/>
      <c r="TJ143" s="22"/>
      <c r="TK143" s="22"/>
      <c r="TL143" s="22"/>
      <c r="TM143" s="22"/>
      <c r="TN143" s="22"/>
      <c r="TO143" s="22"/>
      <c r="TP143" s="22"/>
      <c r="TQ143" s="22"/>
      <c r="TR143" s="22"/>
      <c r="TS143" s="22"/>
      <c r="TT143" s="22"/>
      <c r="TU143" s="22"/>
      <c r="TV143" s="22"/>
      <c r="TW143" s="22"/>
      <c r="TX143" s="22"/>
      <c r="TY143" s="22"/>
      <c r="TZ143" s="22"/>
      <c r="UA143" s="22"/>
      <c r="UB143" s="22"/>
      <c r="UC143" s="22"/>
      <c r="UD143" s="22"/>
      <c r="UE143" s="22"/>
      <c r="UF143" s="22"/>
      <c r="UG143" s="22"/>
      <c r="UH143" s="22"/>
      <c r="UI143" s="22"/>
      <c r="UJ143" s="22"/>
      <c r="UK143" s="22"/>
      <c r="UL143" s="22"/>
      <c r="UM143" s="22"/>
      <c r="UN143" s="22"/>
      <c r="UO143" s="22"/>
      <c r="UP143" s="22"/>
      <c r="UQ143" s="22"/>
      <c r="UR143" s="22"/>
      <c r="US143" s="22"/>
      <c r="UT143" s="22"/>
      <c r="UU143" s="22"/>
      <c r="UV143" s="22"/>
      <c r="UW143" s="22"/>
      <c r="UX143" s="22"/>
      <c r="UY143" s="22"/>
      <c r="UZ143" s="22"/>
      <c r="VA143" s="22"/>
      <c r="VB143" s="22"/>
      <c r="VC143" s="22"/>
      <c r="VD143" s="22"/>
      <c r="VE143" s="22"/>
      <c r="VF143" s="22"/>
      <c r="VG143" s="22"/>
      <c r="VH143" s="22"/>
      <c r="VI143" s="22"/>
      <c r="VJ143" s="22"/>
      <c r="VK143" s="22"/>
      <c r="VL143" s="22"/>
      <c r="VM143" s="22"/>
      <c r="VN143" s="22"/>
      <c r="VO143" s="22"/>
      <c r="VP143" s="22"/>
      <c r="VQ143" s="22"/>
      <c r="VR143" s="22"/>
      <c r="VS143" s="22"/>
      <c r="VT143" s="22"/>
      <c r="VU143" s="22"/>
      <c r="VV143" s="22"/>
      <c r="VW143" s="22"/>
      <c r="VX143" s="22"/>
      <c r="VY143" s="22"/>
      <c r="VZ143" s="22"/>
      <c r="WA143" s="22"/>
      <c r="WB143" s="22"/>
      <c r="WC143" s="22"/>
      <c r="WD143" s="22"/>
      <c r="WE143" s="22"/>
      <c r="WF143" s="22"/>
      <c r="WG143" s="22"/>
      <c r="WH143" s="22"/>
      <c r="WI143" s="22"/>
      <c r="WJ143" s="22"/>
      <c r="WK143" s="22"/>
      <c r="WL143" s="22"/>
      <c r="WM143" s="22"/>
      <c r="WN143" s="22"/>
      <c r="WO143" s="22"/>
      <c r="WP143" s="22"/>
      <c r="WQ143" s="22"/>
      <c r="WR143" s="22"/>
      <c r="WS143" s="22"/>
      <c r="WT143" s="22"/>
      <c r="WU143" s="22"/>
      <c r="WV143" s="22"/>
      <c r="WW143" s="22"/>
      <c r="WX143" s="22"/>
      <c r="WY143" s="22"/>
      <c r="WZ143" s="22"/>
      <c r="XA143" s="22"/>
      <c r="XB143" s="22"/>
      <c r="XC143" s="22"/>
      <c r="XD143" s="22"/>
      <c r="XE143" s="22"/>
      <c r="XF143" s="22"/>
      <c r="XG143" s="22"/>
      <c r="XH143" s="22"/>
      <c r="XI143" s="22"/>
      <c r="XJ143" s="22"/>
      <c r="XK143" s="22"/>
      <c r="XL143" s="22"/>
      <c r="XM143" s="22"/>
      <c r="XN143" s="22"/>
      <c r="XO143" s="22"/>
      <c r="XP143" s="22"/>
      <c r="XQ143" s="22"/>
      <c r="XR143" s="22"/>
      <c r="XS143" s="22"/>
      <c r="XT143" s="22"/>
      <c r="XU143" s="22"/>
      <c r="XV143" s="22"/>
      <c r="XW143" s="22"/>
      <c r="XX143" s="22"/>
      <c r="XY143" s="22"/>
      <c r="XZ143" s="22"/>
      <c r="YA143" s="22"/>
      <c r="YB143" s="22"/>
      <c r="YC143" s="22"/>
      <c r="YD143" s="22"/>
      <c r="YE143" s="22"/>
      <c r="YF143" s="22"/>
      <c r="YG143" s="22"/>
      <c r="YH143" s="22"/>
      <c r="YI143" s="22"/>
      <c r="YJ143" s="22"/>
      <c r="YK143" s="22"/>
      <c r="YL143" s="22"/>
      <c r="YM143" s="22"/>
      <c r="YN143" s="22"/>
      <c r="YO143" s="22"/>
      <c r="YP143" s="22"/>
      <c r="YQ143" s="22"/>
      <c r="YR143" s="22"/>
      <c r="YS143" s="22"/>
      <c r="YT143" s="22"/>
      <c r="YU143" s="22"/>
      <c r="YV143" s="22"/>
      <c r="YW143" s="22"/>
      <c r="YX143" s="22"/>
      <c r="YY143" s="22"/>
      <c r="YZ143" s="22"/>
      <c r="ZA143" s="22"/>
      <c r="ZB143" s="22"/>
      <c r="ZC143" s="22"/>
      <c r="ZD143" s="22"/>
      <c r="ZE143" s="22"/>
      <c r="ZF143" s="22"/>
      <c r="ZG143" s="22"/>
      <c r="ZH143" s="22"/>
      <c r="ZI143" s="22"/>
      <c r="ZJ143" s="22"/>
      <c r="ZK143" s="22"/>
      <c r="ZL143" s="22"/>
      <c r="ZM143" s="22"/>
      <c r="ZN143" s="22"/>
      <c r="ZO143" s="22"/>
      <c r="ZP143" s="22"/>
      <c r="ZQ143" s="22"/>
      <c r="ZR143" s="22"/>
      <c r="ZS143" s="22"/>
      <c r="ZT143" s="22"/>
      <c r="ZU143" s="22"/>
      <c r="ZV143" s="22"/>
      <c r="ZW143" s="22"/>
      <c r="ZX143" s="22"/>
      <c r="ZY143" s="22"/>
      <c r="ZZ143" s="22"/>
      <c r="AAA143" s="22"/>
      <c r="AAB143" s="22"/>
      <c r="AAC143" s="22"/>
      <c r="AAD143" s="22"/>
      <c r="AAE143" s="22"/>
      <c r="AAF143" s="22"/>
      <c r="AAG143" s="22"/>
      <c r="AAH143" s="22"/>
      <c r="AAI143" s="22"/>
      <c r="AAJ143" s="22"/>
      <c r="AAK143" s="22"/>
      <c r="AAL143" s="22"/>
      <c r="AAM143" s="22"/>
      <c r="AAN143" s="22"/>
      <c r="AAO143" s="22"/>
      <c r="AAP143" s="22"/>
      <c r="AAQ143" s="22"/>
      <c r="AAR143" s="22"/>
      <c r="AAS143" s="22"/>
      <c r="AAT143" s="22"/>
      <c r="AAU143" s="22"/>
      <c r="AAV143" s="22"/>
      <c r="AAW143" s="22"/>
      <c r="AAX143" s="22"/>
      <c r="AAY143" s="22"/>
      <c r="AAZ143" s="22"/>
      <c r="ABA143" s="22"/>
      <c r="ABB143" s="22"/>
      <c r="ABC143" s="22"/>
      <c r="ABD143" s="22"/>
      <c r="ABE143" s="22"/>
      <c r="ABF143" s="22"/>
      <c r="ABG143" s="22"/>
      <c r="ABH143" s="22"/>
      <c r="ABI143" s="22"/>
      <c r="ABJ143" s="22"/>
      <c r="ABK143" s="22"/>
      <c r="ABL143" s="22"/>
      <c r="ABM143" s="22"/>
      <c r="ABN143" s="22"/>
      <c r="ABO143" s="22"/>
      <c r="ABP143" s="22"/>
      <c r="ABQ143" s="22"/>
      <c r="ABR143" s="22"/>
      <c r="ABS143" s="22"/>
      <c r="ABT143" s="22"/>
      <c r="ABU143" s="22"/>
      <c r="ABV143" s="22"/>
      <c r="ABW143" s="22"/>
      <c r="ABX143" s="22"/>
      <c r="ABY143" s="22"/>
      <c r="ABZ143" s="22"/>
      <c r="ACA143" s="22"/>
      <c r="ACB143" s="22"/>
      <c r="ACC143" s="22"/>
      <c r="ACD143" s="22"/>
      <c r="ACE143" s="22"/>
      <c r="ACF143" s="22"/>
      <c r="ACG143" s="22"/>
      <c r="ACH143" s="22"/>
      <c r="ACI143" s="22"/>
      <c r="ACJ143" s="22"/>
      <c r="ACK143" s="22"/>
      <c r="ACL143" s="22"/>
      <c r="ACM143" s="22"/>
      <c r="ACN143" s="22"/>
      <c r="ACO143" s="22"/>
      <c r="ACP143" s="22"/>
      <c r="ACQ143" s="22"/>
      <c r="ACR143" s="22"/>
      <c r="ACS143" s="22"/>
      <c r="ACT143" s="22"/>
      <c r="ACU143" s="22"/>
      <c r="ACV143" s="22"/>
      <c r="ACW143" s="22"/>
      <c r="ACX143" s="22"/>
      <c r="ACY143" s="22"/>
      <c r="ACZ143" s="22"/>
      <c r="ADA143" s="22"/>
      <c r="ADB143" s="22"/>
      <c r="ADC143" s="22"/>
      <c r="ADD143" s="22"/>
      <c r="ADE143" s="22"/>
      <c r="ADF143" s="22"/>
      <c r="ADG143" s="22"/>
      <c r="ADH143" s="22"/>
      <c r="ADI143" s="22"/>
      <c r="ADJ143" s="22"/>
      <c r="ADK143" s="22"/>
      <c r="ADL143" s="22"/>
      <c r="ADM143" s="22"/>
      <c r="ADN143" s="22"/>
      <c r="ADO143" s="22"/>
      <c r="ADP143" s="22"/>
      <c r="ADQ143" s="22"/>
      <c r="ADR143" s="22"/>
      <c r="ADS143" s="22"/>
      <c r="ADT143" s="22"/>
      <c r="ADU143" s="22"/>
      <c r="ADV143" s="22"/>
      <c r="ADW143" s="22"/>
      <c r="ADX143" s="22"/>
      <c r="ADY143" s="22"/>
      <c r="ADZ143" s="22"/>
      <c r="AEA143" s="22"/>
      <c r="AEB143" s="22"/>
      <c r="AEC143" s="22"/>
      <c r="AED143" s="22"/>
      <c r="AEE143" s="22"/>
      <c r="AEF143" s="22"/>
      <c r="AEG143" s="22"/>
      <c r="AEH143" s="22"/>
      <c r="AEI143" s="22"/>
      <c r="AEJ143" s="22"/>
      <c r="AEK143" s="22"/>
      <c r="AEL143" s="22"/>
      <c r="AEM143" s="22"/>
      <c r="AEN143" s="22"/>
      <c r="AEO143" s="22"/>
      <c r="AEP143" s="22"/>
      <c r="AEQ143" s="22"/>
      <c r="AER143" s="22"/>
      <c r="AES143" s="22"/>
      <c r="AET143" s="22"/>
      <c r="AEU143" s="22"/>
      <c r="AEV143" s="22"/>
      <c r="AEW143" s="22"/>
      <c r="AEX143" s="22"/>
      <c r="AEY143" s="22"/>
      <c r="AEZ143" s="22"/>
      <c r="AFA143" s="22"/>
      <c r="AFB143" s="22"/>
      <c r="AFC143" s="22"/>
      <c r="AFD143" s="22"/>
      <c r="AFE143" s="22"/>
      <c r="AFF143" s="22"/>
      <c r="AFG143" s="22"/>
      <c r="AFH143" s="22"/>
      <c r="AFI143" s="22"/>
      <c r="AFJ143" s="22"/>
      <c r="AFK143" s="22"/>
      <c r="AFL143" s="22"/>
      <c r="AFM143" s="22"/>
      <c r="AFN143" s="22"/>
      <c r="AFO143" s="22"/>
      <c r="AFP143" s="22"/>
      <c r="AFQ143" s="22"/>
      <c r="AFR143" s="22"/>
      <c r="AFS143" s="22"/>
      <c r="AFT143" s="22"/>
      <c r="AFU143" s="22"/>
      <c r="AFV143" s="22"/>
      <c r="AFW143" s="22"/>
      <c r="AFX143" s="22"/>
      <c r="AFY143" s="22"/>
      <c r="AFZ143" s="22"/>
      <c r="AGA143" s="22"/>
      <c r="AGB143" s="22"/>
      <c r="AGC143" s="22"/>
      <c r="AGD143" s="22"/>
      <c r="AGE143" s="22"/>
      <c r="AGF143" s="22"/>
      <c r="AGG143" s="22"/>
      <c r="AGH143" s="22"/>
      <c r="AGI143" s="22"/>
      <c r="AGJ143" s="22"/>
      <c r="AGK143" s="22"/>
      <c r="AGL143" s="22"/>
      <c r="AGM143" s="22"/>
      <c r="AGN143" s="22"/>
      <c r="AGO143" s="22"/>
      <c r="AGP143" s="22"/>
      <c r="AGQ143" s="22"/>
      <c r="AGR143" s="22"/>
      <c r="AGS143" s="22"/>
      <c r="AGT143" s="22"/>
      <c r="AGU143" s="22"/>
      <c r="AGV143" s="22"/>
      <c r="AGW143" s="22"/>
      <c r="AGX143" s="22"/>
      <c r="AGY143" s="22"/>
      <c r="AGZ143" s="22"/>
      <c r="AHA143" s="22"/>
      <c r="AHB143" s="22"/>
      <c r="AHC143" s="22"/>
      <c r="AHD143" s="22"/>
      <c r="AHE143" s="22"/>
      <c r="AHF143" s="22"/>
      <c r="AHG143" s="22"/>
      <c r="AHH143" s="22"/>
      <c r="AHI143" s="22"/>
      <c r="AHJ143" s="22"/>
      <c r="AHK143" s="22"/>
      <c r="AHL143" s="22"/>
      <c r="AHM143" s="22"/>
      <c r="AHN143" s="22"/>
      <c r="AHO143" s="22"/>
      <c r="AHP143" s="22"/>
      <c r="AHQ143" s="22"/>
      <c r="AHR143" s="22"/>
      <c r="AHS143" s="22"/>
      <c r="AHT143" s="22"/>
      <c r="AHU143" s="22"/>
      <c r="AHV143" s="22"/>
      <c r="AHW143" s="22"/>
      <c r="AHX143" s="22"/>
      <c r="AHY143" s="22"/>
      <c r="AHZ143" s="22"/>
      <c r="AIA143" s="22"/>
      <c r="AIB143" s="22"/>
      <c r="AIC143" s="22"/>
      <c r="AID143" s="22"/>
      <c r="AIE143" s="22"/>
      <c r="AIF143" s="22"/>
      <c r="AIG143" s="22"/>
      <c r="AIH143" s="22"/>
      <c r="AII143" s="22"/>
      <c r="AIJ143" s="22"/>
      <c r="AIK143" s="22"/>
      <c r="AIL143" s="22"/>
      <c r="AIM143" s="22"/>
      <c r="AIN143" s="22"/>
      <c r="AIO143" s="22"/>
      <c r="AIP143" s="22"/>
      <c r="AIQ143" s="22"/>
      <c r="AIR143" s="22"/>
      <c r="AIS143" s="22"/>
      <c r="AIT143" s="22"/>
      <c r="AIU143" s="22"/>
      <c r="AIV143" s="22"/>
      <c r="AIW143" s="22"/>
      <c r="AIX143" s="22"/>
      <c r="AIY143" s="22"/>
      <c r="AIZ143" s="22"/>
      <c r="AJA143" s="22"/>
      <c r="AJB143" s="22"/>
      <c r="AJC143" s="22"/>
      <c r="AJD143" s="22"/>
      <c r="AJE143" s="22"/>
      <c r="AJF143" s="22"/>
      <c r="AJG143" s="22"/>
      <c r="AJH143" s="22"/>
      <c r="AJI143" s="22"/>
      <c r="AJJ143" s="22"/>
      <c r="AJK143" s="22"/>
      <c r="AJL143" s="22"/>
      <c r="AJM143" s="22"/>
      <c r="AJN143" s="22"/>
      <c r="AJO143" s="22"/>
      <c r="AJP143" s="22"/>
      <c r="AJQ143" s="22"/>
      <c r="AJR143" s="22"/>
      <c r="AJS143" s="22"/>
      <c r="AJT143" s="22"/>
      <c r="AJU143" s="22"/>
      <c r="AJV143" s="22"/>
      <c r="AJW143" s="22"/>
      <c r="AJX143" s="22"/>
      <c r="AJY143" s="22"/>
      <c r="AJZ143" s="22"/>
      <c r="AKA143" s="22"/>
      <c r="AKB143" s="22"/>
      <c r="AKC143" s="22"/>
      <c r="AKD143" s="22"/>
      <c r="AKE143" s="22"/>
      <c r="AKF143" s="22"/>
      <c r="AKG143" s="22"/>
      <c r="AKH143" s="22"/>
      <c r="AKI143" s="22"/>
      <c r="AKJ143" s="22"/>
      <c r="AKK143" s="22"/>
      <c r="AKL143" s="22"/>
      <c r="AKM143" s="22"/>
      <c r="AKN143" s="22"/>
      <c r="AKO143" s="22"/>
      <c r="AKP143" s="22"/>
      <c r="AKQ143" s="22"/>
      <c r="AKR143" s="22"/>
      <c r="AKS143" s="22"/>
      <c r="AKT143" s="22"/>
      <c r="AKU143" s="22"/>
      <c r="AKV143" s="22"/>
      <c r="AKW143" s="22"/>
      <c r="AKX143" s="22"/>
      <c r="AKY143" s="22"/>
      <c r="AKZ143" s="22"/>
      <c r="ALA143" s="22"/>
      <c r="ALB143" s="22"/>
      <c r="ALC143" s="22"/>
      <c r="ALD143" s="22"/>
      <c r="ALE143" s="22"/>
      <c r="ALF143" s="22"/>
      <c r="ALG143" s="22"/>
      <c r="ALH143" s="22"/>
      <c r="ALI143" s="22"/>
      <c r="ALJ143" s="22"/>
      <c r="ALK143" s="22"/>
      <c r="ALL143" s="22"/>
      <c r="ALM143" s="22"/>
      <c r="ALN143" s="22"/>
      <c r="ALO143" s="22"/>
      <c r="ALP143" s="22"/>
      <c r="ALQ143" s="22"/>
      <c r="ALR143" s="22"/>
      <c r="ALS143" s="22"/>
      <c r="ALT143" s="22"/>
      <c r="ALU143" s="22"/>
      <c r="ALV143" s="22"/>
      <c r="ALW143" s="22"/>
      <c r="ALX143" s="22"/>
      <c r="ALY143" s="22"/>
      <c r="ALZ143" s="22"/>
      <c r="AMA143" s="22"/>
      <c r="AMB143" s="22"/>
      <c r="AMC143" s="22"/>
      <c r="AMD143" s="22"/>
      <c r="AME143" s="22"/>
      <c r="AMF143" s="22"/>
      <c r="AMG143" s="22"/>
      <c r="AMH143" s="22"/>
      <c r="AMI143" s="22"/>
      <c r="AMJ143" s="22"/>
      <c r="AMK143" s="22"/>
      <c r="AML143" s="22"/>
      <c r="AMM143" s="22"/>
      <c r="AMN143" s="22"/>
      <c r="AMO143" s="22"/>
      <c r="AMP143" s="22"/>
      <c r="AMQ143" s="22"/>
      <c r="AMR143" s="22"/>
      <c r="AMS143" s="22"/>
      <c r="AMT143" s="22"/>
      <c r="AMU143" s="22"/>
      <c r="AMV143" s="22"/>
      <c r="AMW143" s="22"/>
      <c r="AMX143" s="22"/>
      <c r="AMY143" s="22"/>
      <c r="AMZ143" s="22"/>
      <c r="ANA143" s="22"/>
      <c r="ANB143" s="22"/>
      <c r="ANC143" s="22"/>
      <c r="AND143" s="22"/>
      <c r="ANE143" s="22"/>
      <c r="ANF143" s="22"/>
      <c r="ANG143" s="22"/>
      <c r="ANH143" s="22"/>
      <c r="ANI143" s="22"/>
      <c r="ANJ143" s="22"/>
      <c r="ANK143" s="22"/>
      <c r="ANL143" s="22"/>
      <c r="ANM143" s="22"/>
      <c r="ANN143" s="22"/>
      <c r="ANO143" s="22"/>
      <c r="ANP143" s="22"/>
      <c r="ANQ143" s="22"/>
      <c r="ANR143" s="22"/>
      <c r="ANS143" s="22"/>
      <c r="ANT143" s="22"/>
      <c r="ANU143" s="22"/>
      <c r="ANV143" s="22"/>
      <c r="ANW143" s="22"/>
      <c r="ANX143" s="22"/>
      <c r="ANY143" s="22"/>
      <c r="ANZ143" s="22"/>
      <c r="AOA143" s="22"/>
      <c r="AOB143" s="22"/>
      <c r="AOC143" s="22"/>
      <c r="AOD143" s="22"/>
      <c r="AOE143" s="22"/>
      <c r="AOF143" s="22"/>
      <c r="AOG143" s="22"/>
      <c r="AOH143" s="22"/>
      <c r="AOI143" s="22"/>
      <c r="AOJ143" s="22"/>
      <c r="AOK143" s="22"/>
      <c r="AOL143" s="22"/>
      <c r="AOM143" s="22"/>
      <c r="AON143" s="22"/>
      <c r="AOO143" s="22"/>
      <c r="AOP143" s="22"/>
      <c r="AOQ143" s="22"/>
      <c r="AOR143" s="22"/>
      <c r="AOS143" s="22"/>
      <c r="AOT143" s="22"/>
      <c r="AOU143" s="22"/>
      <c r="AOV143" s="22"/>
      <c r="AOW143" s="22"/>
      <c r="AOX143" s="22"/>
      <c r="AOY143" s="22"/>
      <c r="AOZ143" s="22"/>
      <c r="APA143" s="22"/>
      <c r="APB143" s="22"/>
      <c r="APC143" s="22"/>
      <c r="APD143" s="22"/>
      <c r="APE143" s="22"/>
      <c r="APF143" s="22"/>
      <c r="APG143" s="22"/>
      <c r="APH143" s="22"/>
      <c r="API143" s="22"/>
      <c r="APJ143" s="22"/>
      <c r="APK143" s="22"/>
      <c r="APL143" s="22"/>
      <c r="APM143" s="22"/>
      <c r="APN143" s="22"/>
      <c r="APO143" s="22"/>
      <c r="APP143" s="22"/>
      <c r="APQ143" s="22"/>
      <c r="APR143" s="22"/>
      <c r="APS143" s="22"/>
      <c r="APT143" s="22"/>
      <c r="APU143" s="22"/>
      <c r="APV143" s="22"/>
      <c r="APW143" s="22"/>
      <c r="APX143" s="22"/>
      <c r="APY143" s="22"/>
      <c r="APZ143" s="22"/>
      <c r="AQA143" s="22"/>
      <c r="AQB143" s="22"/>
      <c r="AQC143" s="22"/>
      <c r="AQD143" s="22"/>
      <c r="AQE143" s="22"/>
      <c r="AQF143" s="22"/>
      <c r="AQG143" s="22"/>
      <c r="AQH143" s="22"/>
      <c r="AQI143" s="22"/>
      <c r="AQJ143" s="22"/>
      <c r="AQK143" s="22"/>
      <c r="AQL143" s="22"/>
      <c r="AQM143" s="22"/>
      <c r="AQN143" s="22"/>
      <c r="AQO143" s="22"/>
      <c r="AQP143" s="22"/>
      <c r="AQQ143" s="22"/>
      <c r="AQR143" s="22"/>
      <c r="AQS143" s="22"/>
      <c r="AQT143" s="22"/>
      <c r="AQU143" s="22"/>
      <c r="AQV143" s="22"/>
      <c r="AQW143" s="22"/>
      <c r="AQX143" s="22"/>
      <c r="AQY143" s="22"/>
      <c r="AQZ143" s="22"/>
      <c r="ARA143" s="22"/>
      <c r="ARB143" s="22"/>
      <c r="ARC143" s="22"/>
      <c r="ARD143" s="22"/>
      <c r="ARE143" s="22"/>
      <c r="ARF143" s="22"/>
      <c r="ARG143" s="22"/>
      <c r="ARH143" s="22"/>
      <c r="ARI143" s="22"/>
      <c r="ARJ143" s="22"/>
      <c r="ARK143" s="22"/>
      <c r="ARL143" s="22"/>
      <c r="ARM143" s="22"/>
      <c r="ARN143" s="22"/>
      <c r="ARO143" s="22"/>
      <c r="ARP143" s="22"/>
      <c r="ARQ143" s="22"/>
      <c r="ARR143" s="22"/>
      <c r="ARS143" s="22"/>
      <c r="ART143" s="22"/>
      <c r="ARU143" s="22"/>
      <c r="ARV143" s="22"/>
      <c r="ARW143" s="22"/>
      <c r="ARX143" s="22"/>
      <c r="ARY143" s="22"/>
      <c r="ARZ143" s="22"/>
      <c r="ASA143" s="22"/>
      <c r="ASB143" s="22"/>
      <c r="ASC143" s="22"/>
      <c r="ASD143" s="22"/>
      <c r="ASE143" s="22"/>
      <c r="ASF143" s="22"/>
      <c r="ASG143" s="22"/>
      <c r="ASH143" s="22"/>
      <c r="ASI143" s="22"/>
      <c r="ASJ143" s="22"/>
      <c r="ASK143" s="22"/>
      <c r="ASL143" s="22"/>
      <c r="ASM143" s="22"/>
      <c r="ASN143" s="22"/>
      <c r="ASO143" s="22"/>
      <c r="ASP143" s="22"/>
      <c r="ASQ143" s="22"/>
      <c r="ASR143" s="22"/>
      <c r="ASS143" s="22"/>
      <c r="AST143" s="22"/>
      <c r="ASU143" s="22"/>
      <c r="ASV143" s="22"/>
      <c r="ASW143" s="22"/>
      <c r="ASX143" s="22"/>
      <c r="ASY143" s="22"/>
      <c r="ASZ143" s="22"/>
      <c r="ATA143" s="22"/>
      <c r="ATB143" s="22"/>
      <c r="ATC143" s="22"/>
      <c r="ATD143" s="22"/>
      <c r="ATE143" s="22"/>
      <c r="ATF143" s="22"/>
      <c r="ATG143" s="22"/>
      <c r="ATH143" s="22"/>
      <c r="ATI143" s="22"/>
      <c r="ATJ143" s="22"/>
      <c r="ATK143" s="22"/>
      <c r="ATL143" s="22"/>
      <c r="ATM143" s="22"/>
      <c r="ATN143" s="22"/>
      <c r="ATO143" s="22"/>
      <c r="ATP143" s="22"/>
      <c r="ATQ143" s="22"/>
      <c r="ATR143" s="22"/>
      <c r="ATS143" s="22"/>
      <c r="ATT143" s="22"/>
      <c r="ATU143" s="22"/>
      <c r="ATV143" s="22"/>
      <c r="ATW143" s="22"/>
      <c r="ATX143" s="22"/>
      <c r="ATY143" s="22"/>
      <c r="ATZ143" s="22"/>
      <c r="AUA143" s="22"/>
      <c r="AUB143" s="22"/>
      <c r="AUC143" s="22"/>
      <c r="AUD143" s="22"/>
      <c r="AUE143" s="22"/>
      <c r="AUF143" s="22"/>
      <c r="AUG143" s="22"/>
      <c r="AUH143" s="22"/>
      <c r="AUI143" s="22"/>
      <c r="AUJ143" s="22"/>
      <c r="AUK143" s="22"/>
      <c r="AUL143" s="22"/>
      <c r="AUM143" s="22"/>
      <c r="AUN143" s="22"/>
      <c r="AUO143" s="22"/>
      <c r="AUP143" s="22"/>
      <c r="AUQ143" s="22"/>
      <c r="AUR143" s="22"/>
      <c r="AUS143" s="22"/>
      <c r="AUT143" s="22"/>
      <c r="AUU143" s="22"/>
      <c r="AUV143" s="22"/>
      <c r="AUW143" s="22"/>
      <c r="AUX143" s="22"/>
      <c r="AUY143" s="22"/>
      <c r="AUZ143" s="22"/>
      <c r="AVA143" s="22"/>
      <c r="AVB143" s="22"/>
      <c r="AVC143" s="22"/>
      <c r="AVD143" s="22"/>
      <c r="AVE143" s="22"/>
      <c r="AVF143" s="22"/>
      <c r="AVG143" s="22"/>
      <c r="AVH143" s="22"/>
      <c r="AVI143" s="22"/>
      <c r="AVJ143" s="22"/>
      <c r="AVK143" s="22"/>
      <c r="AVL143" s="22"/>
      <c r="AVM143" s="22"/>
      <c r="AVN143" s="22"/>
      <c r="AVO143" s="22"/>
      <c r="AVP143" s="22"/>
      <c r="AVQ143" s="22"/>
      <c r="AVR143" s="22"/>
      <c r="AVS143" s="22"/>
      <c r="AVT143" s="22"/>
      <c r="AVU143" s="22"/>
      <c r="AVV143" s="22"/>
      <c r="AVW143" s="22"/>
      <c r="AVX143" s="22"/>
      <c r="AVY143" s="22"/>
      <c r="AVZ143" s="22"/>
      <c r="AWA143" s="22"/>
      <c r="AWB143" s="22"/>
      <c r="AWC143" s="22"/>
      <c r="AWD143" s="22"/>
      <c r="AWE143" s="22"/>
      <c r="AWF143" s="22"/>
      <c r="AWG143" s="22"/>
      <c r="AWH143" s="22"/>
      <c r="AWI143" s="22"/>
      <c r="AWJ143" s="22"/>
      <c r="AWK143" s="22"/>
      <c r="AWL143" s="22"/>
      <c r="AWM143" s="22"/>
      <c r="AWN143" s="22"/>
      <c r="AWO143" s="22"/>
      <c r="AWP143" s="22"/>
      <c r="AWQ143" s="22"/>
      <c r="AWR143" s="22"/>
      <c r="AWS143" s="22"/>
      <c r="AWT143" s="22"/>
      <c r="AWU143" s="22"/>
      <c r="AWV143" s="22"/>
      <c r="AWW143" s="22"/>
      <c r="AWX143" s="22"/>
      <c r="AWY143" s="22"/>
      <c r="AWZ143" s="22"/>
      <c r="AXA143" s="22"/>
      <c r="AXB143" s="22"/>
      <c r="AXC143" s="22"/>
      <c r="AXD143" s="22"/>
      <c r="AXE143" s="22"/>
      <c r="AXF143" s="22"/>
      <c r="AXG143" s="22"/>
      <c r="AXH143" s="22"/>
      <c r="AXI143" s="22"/>
      <c r="AXJ143" s="22"/>
      <c r="AXK143" s="22"/>
      <c r="AXL143" s="22"/>
      <c r="AXM143" s="22"/>
      <c r="AXN143" s="22"/>
      <c r="AXO143" s="22"/>
      <c r="AXP143" s="22"/>
      <c r="AXQ143" s="22"/>
      <c r="AXR143" s="22"/>
      <c r="AXS143" s="22"/>
      <c r="AXT143" s="22"/>
      <c r="AXU143" s="22"/>
      <c r="AXV143" s="22"/>
      <c r="AXW143" s="22"/>
      <c r="AXX143" s="22"/>
      <c r="AXY143" s="22"/>
      <c r="AXZ143" s="22"/>
      <c r="AYA143" s="22"/>
      <c r="AYB143" s="22"/>
      <c r="AYC143" s="22"/>
      <c r="AYD143" s="22"/>
      <c r="AYE143" s="22"/>
      <c r="AYF143" s="22"/>
      <c r="AYG143" s="22"/>
      <c r="AYH143" s="22"/>
      <c r="AYI143" s="22"/>
      <c r="AYJ143" s="22"/>
      <c r="AYK143" s="22"/>
      <c r="AYL143" s="22"/>
      <c r="AYM143" s="22"/>
      <c r="AYN143" s="22"/>
      <c r="AYO143" s="22"/>
      <c r="AYP143" s="22"/>
      <c r="AYQ143" s="22"/>
      <c r="AYR143" s="22"/>
      <c r="AYS143" s="22"/>
      <c r="AYT143" s="22"/>
      <c r="AYU143" s="22"/>
      <c r="AYV143" s="22"/>
      <c r="AYW143" s="22"/>
      <c r="AYX143" s="22"/>
      <c r="AYY143" s="22"/>
      <c r="AYZ143" s="22"/>
      <c r="AZA143" s="22"/>
      <c r="AZB143" s="22"/>
      <c r="AZC143" s="22"/>
      <c r="AZD143" s="22"/>
      <c r="AZE143" s="22"/>
      <c r="AZF143" s="22"/>
      <c r="AZG143" s="22"/>
      <c r="AZH143" s="22"/>
      <c r="AZI143" s="22"/>
      <c r="AZJ143" s="22"/>
      <c r="AZK143" s="22"/>
      <c r="AZL143" s="22"/>
      <c r="AZM143" s="22"/>
      <c r="AZN143" s="22"/>
      <c r="AZO143" s="22"/>
      <c r="AZP143" s="22"/>
      <c r="AZQ143" s="22"/>
      <c r="AZR143" s="22"/>
      <c r="AZS143" s="22"/>
      <c r="AZT143" s="22"/>
      <c r="AZU143" s="22"/>
      <c r="AZV143" s="22"/>
      <c r="AZW143" s="22"/>
      <c r="AZX143" s="22"/>
      <c r="AZY143" s="22"/>
      <c r="AZZ143" s="22"/>
      <c r="BAA143" s="22"/>
      <c r="BAB143" s="22"/>
      <c r="BAC143" s="22"/>
      <c r="BAD143" s="22"/>
      <c r="BAE143" s="22"/>
      <c r="BAF143" s="22"/>
      <c r="BAG143" s="22"/>
      <c r="BAH143" s="22"/>
      <c r="BAI143" s="22"/>
      <c r="BAJ143" s="22"/>
      <c r="BAK143" s="22"/>
      <c r="BAL143" s="22"/>
      <c r="BAM143" s="22"/>
      <c r="BAN143" s="22"/>
      <c r="BAO143" s="22"/>
      <c r="BAP143" s="22"/>
      <c r="BAQ143" s="22"/>
      <c r="BAR143" s="22"/>
      <c r="BAS143" s="22"/>
      <c r="BAT143" s="22"/>
      <c r="BAU143" s="22"/>
      <c r="BAV143" s="22"/>
      <c r="BAW143" s="22"/>
      <c r="BAX143" s="22"/>
      <c r="BAY143" s="22"/>
      <c r="BAZ143" s="22"/>
      <c r="BBA143" s="22"/>
      <c r="BBB143" s="22"/>
      <c r="BBC143" s="22"/>
      <c r="BBD143" s="22"/>
      <c r="BBE143" s="22"/>
      <c r="BBF143" s="22"/>
      <c r="BBG143" s="22"/>
      <c r="BBH143" s="22"/>
      <c r="BBI143" s="22"/>
      <c r="BBJ143" s="22"/>
      <c r="BBK143" s="22"/>
      <c r="BBL143" s="22"/>
      <c r="BBM143" s="22"/>
      <c r="BBN143" s="22"/>
      <c r="BBO143" s="22"/>
      <c r="BBP143" s="22"/>
      <c r="BBQ143" s="22"/>
      <c r="BBR143" s="22"/>
      <c r="BBS143" s="22"/>
      <c r="BBT143" s="22"/>
      <c r="BBU143" s="22"/>
      <c r="BBV143" s="22"/>
      <c r="BBW143" s="22"/>
      <c r="BBX143" s="22"/>
      <c r="BBY143" s="22"/>
      <c r="BBZ143" s="22"/>
      <c r="BCA143" s="22"/>
      <c r="BCB143" s="22"/>
      <c r="BCC143" s="22"/>
      <c r="BCD143" s="22"/>
      <c r="BCE143" s="22"/>
      <c r="BCF143" s="22"/>
      <c r="BCG143" s="22"/>
      <c r="BCH143" s="22"/>
      <c r="BCI143" s="22"/>
      <c r="BCJ143" s="22"/>
      <c r="BCK143" s="22"/>
      <c r="BCL143" s="22"/>
      <c r="BCM143" s="22"/>
      <c r="BCN143" s="22"/>
      <c r="BCO143" s="22"/>
      <c r="BCP143" s="22"/>
      <c r="BCQ143" s="22"/>
      <c r="BCR143" s="22"/>
      <c r="BCS143" s="22"/>
      <c r="BCT143" s="22"/>
      <c r="BCU143" s="22"/>
      <c r="BCV143" s="22"/>
      <c r="BCW143" s="22"/>
      <c r="BCX143" s="22"/>
      <c r="BCY143" s="22"/>
      <c r="BCZ143" s="22"/>
      <c r="BDA143" s="22"/>
      <c r="BDB143" s="22"/>
      <c r="BDC143" s="22"/>
      <c r="BDD143" s="22"/>
      <c r="BDE143" s="22"/>
      <c r="BDF143" s="22"/>
      <c r="BDG143" s="22"/>
      <c r="BDH143" s="22"/>
      <c r="BDI143" s="22"/>
      <c r="BDJ143" s="22"/>
      <c r="BDK143" s="22"/>
      <c r="BDL143" s="22"/>
      <c r="BDM143" s="22"/>
      <c r="BDN143" s="22"/>
      <c r="BDO143" s="22"/>
      <c r="BDP143" s="22"/>
      <c r="BDQ143" s="22"/>
      <c r="BDR143" s="22"/>
      <c r="BDS143" s="22"/>
      <c r="BDT143" s="22"/>
      <c r="BDU143" s="22"/>
      <c r="BDV143" s="22"/>
      <c r="BDW143" s="22"/>
      <c r="BDX143" s="22"/>
      <c r="BDY143" s="22"/>
      <c r="BDZ143" s="22"/>
      <c r="BEA143" s="22"/>
      <c r="BEB143" s="22"/>
      <c r="BEC143" s="22"/>
      <c r="BED143" s="22"/>
      <c r="BEE143" s="22"/>
      <c r="BEF143" s="22"/>
      <c r="BEG143" s="22"/>
      <c r="BEH143" s="22"/>
      <c r="BEI143" s="22"/>
      <c r="BEJ143" s="22"/>
      <c r="BEK143" s="22"/>
      <c r="BEL143" s="22"/>
      <c r="BEM143" s="22"/>
      <c r="BEN143" s="22"/>
      <c r="BEO143" s="22"/>
      <c r="BEP143" s="22"/>
      <c r="BEQ143" s="22"/>
      <c r="BER143" s="22"/>
      <c r="BES143" s="22"/>
      <c r="BET143" s="22"/>
      <c r="BEU143" s="22"/>
      <c r="BEV143" s="22"/>
      <c r="BEW143" s="22"/>
      <c r="BEX143" s="22"/>
      <c r="BEY143" s="22"/>
      <c r="BEZ143" s="22"/>
      <c r="BFA143" s="22"/>
      <c r="BFB143" s="22"/>
      <c r="BFC143" s="22"/>
      <c r="BFD143" s="22"/>
      <c r="BFE143" s="22"/>
      <c r="BFF143" s="22"/>
      <c r="BFG143" s="22"/>
      <c r="BFH143" s="22"/>
      <c r="BFI143" s="22"/>
      <c r="BFJ143" s="22"/>
      <c r="BFK143" s="22"/>
      <c r="BFL143" s="22"/>
      <c r="BFM143" s="22"/>
      <c r="BFN143" s="22"/>
      <c r="BFO143" s="22"/>
      <c r="BFP143" s="22"/>
      <c r="BFQ143" s="22"/>
      <c r="BFR143" s="22"/>
      <c r="BFS143" s="22"/>
      <c r="BFT143" s="22"/>
      <c r="BFU143" s="22"/>
      <c r="BFV143" s="22"/>
      <c r="BFW143" s="22"/>
      <c r="BFX143" s="22"/>
      <c r="BFY143" s="22"/>
      <c r="BFZ143" s="22"/>
      <c r="BGA143" s="22"/>
      <c r="BGB143" s="22"/>
      <c r="BGC143" s="22"/>
      <c r="BGD143" s="22"/>
      <c r="BGE143" s="22"/>
      <c r="BGF143" s="22"/>
      <c r="BGG143" s="22"/>
      <c r="BGH143" s="22"/>
      <c r="BGI143" s="22"/>
      <c r="BGJ143" s="22"/>
      <c r="BGK143" s="22"/>
      <c r="BGL143" s="22"/>
      <c r="BGM143" s="22"/>
      <c r="BGN143" s="22"/>
      <c r="BGO143" s="22"/>
      <c r="BGP143" s="22"/>
      <c r="BGQ143" s="22"/>
      <c r="BGR143" s="22"/>
      <c r="BGS143" s="22"/>
      <c r="BGT143" s="22"/>
      <c r="BGU143" s="22"/>
      <c r="BGV143" s="22"/>
      <c r="BGW143" s="22"/>
      <c r="BGX143" s="22"/>
      <c r="BGY143" s="22"/>
      <c r="BGZ143" s="22"/>
      <c r="BHA143" s="22"/>
      <c r="BHB143" s="22"/>
      <c r="BHC143" s="22"/>
      <c r="BHD143" s="22"/>
      <c r="BHE143" s="22"/>
      <c r="BHF143" s="22"/>
      <c r="BHG143" s="22"/>
      <c r="BHH143" s="22"/>
      <c r="BHI143" s="22"/>
      <c r="BHJ143" s="22"/>
      <c r="BHK143" s="22"/>
      <c r="BHL143" s="22"/>
      <c r="BHM143" s="22"/>
      <c r="BHN143" s="22"/>
      <c r="BHO143" s="22"/>
      <c r="BHP143" s="22"/>
      <c r="BHQ143" s="22"/>
      <c r="BHR143" s="22"/>
      <c r="BHS143" s="22"/>
      <c r="BHT143" s="22"/>
      <c r="BHU143" s="22"/>
      <c r="BHV143" s="22"/>
      <c r="BHW143" s="22"/>
      <c r="BHX143" s="22"/>
      <c r="BHY143" s="22"/>
      <c r="BHZ143" s="22"/>
      <c r="BIA143" s="22"/>
      <c r="BIB143" s="22"/>
      <c r="BIC143" s="22"/>
      <c r="BID143" s="22"/>
      <c r="BIE143" s="22"/>
      <c r="BIF143" s="22"/>
      <c r="BIG143" s="22"/>
      <c r="BIH143" s="22"/>
      <c r="BII143" s="22"/>
      <c r="BIJ143" s="22"/>
      <c r="BIK143" s="22"/>
      <c r="BIL143" s="22"/>
      <c r="BIM143" s="22"/>
      <c r="BIN143" s="22"/>
      <c r="BIO143" s="22"/>
      <c r="BIP143" s="22"/>
      <c r="BIQ143" s="22"/>
      <c r="BIR143" s="22"/>
      <c r="BIS143" s="22"/>
      <c r="BIT143" s="22"/>
      <c r="BIU143" s="22"/>
      <c r="BIV143" s="22"/>
      <c r="BIW143" s="22"/>
      <c r="BIX143" s="22"/>
      <c r="BIY143" s="22"/>
      <c r="BIZ143" s="22"/>
      <c r="BJA143" s="22"/>
      <c r="BJB143" s="22"/>
      <c r="BJC143" s="22"/>
      <c r="BJD143" s="22"/>
      <c r="BJE143" s="22"/>
      <c r="BJF143" s="22"/>
      <c r="BJG143" s="22"/>
      <c r="BJH143" s="22"/>
      <c r="BJI143" s="22"/>
      <c r="BJJ143" s="22"/>
      <c r="BJK143" s="22"/>
      <c r="BJL143" s="22"/>
      <c r="BJM143" s="22"/>
      <c r="BJN143" s="22"/>
      <c r="BJO143" s="22"/>
      <c r="BJP143" s="22"/>
      <c r="BJQ143" s="22"/>
      <c r="BJR143" s="22"/>
      <c r="BJS143" s="22"/>
      <c r="BJT143" s="22"/>
      <c r="BJU143" s="22"/>
      <c r="BJV143" s="22"/>
      <c r="BJW143" s="22"/>
      <c r="BJX143" s="22"/>
      <c r="BJY143" s="22"/>
      <c r="BJZ143" s="22"/>
      <c r="BKA143" s="22"/>
      <c r="BKB143" s="22"/>
      <c r="BKC143" s="22"/>
      <c r="BKD143" s="22"/>
      <c r="BKE143" s="22"/>
      <c r="BKF143" s="22"/>
      <c r="BKG143" s="22"/>
      <c r="BKH143" s="22"/>
      <c r="BKI143" s="22"/>
      <c r="BKJ143" s="22"/>
      <c r="BKK143" s="22"/>
      <c r="BKL143" s="22"/>
      <c r="BKM143" s="22"/>
      <c r="BKN143" s="22"/>
      <c r="BKO143" s="22"/>
      <c r="BKP143" s="22"/>
      <c r="BKQ143" s="22"/>
      <c r="BKR143" s="22"/>
      <c r="BKS143" s="22"/>
      <c r="BKT143" s="22"/>
      <c r="BKU143" s="22"/>
      <c r="BKV143" s="22"/>
      <c r="BKW143" s="22"/>
      <c r="BKX143" s="22"/>
      <c r="BKY143" s="22"/>
      <c r="BKZ143" s="22"/>
      <c r="BLA143" s="22"/>
      <c r="BLB143" s="22"/>
      <c r="BLC143" s="22"/>
      <c r="BLD143" s="22"/>
      <c r="BLE143" s="22"/>
      <c r="BLF143" s="22"/>
      <c r="BLG143" s="22"/>
      <c r="BLH143" s="22"/>
      <c r="BLI143" s="22"/>
      <c r="BLJ143" s="22"/>
      <c r="BLK143" s="22"/>
      <c r="BLL143" s="22"/>
      <c r="BLM143" s="22"/>
      <c r="BLN143" s="22"/>
      <c r="BLO143" s="22"/>
      <c r="BLP143" s="22"/>
      <c r="BLQ143" s="22"/>
      <c r="BLR143" s="22"/>
      <c r="BLS143" s="22"/>
      <c r="BLT143" s="22"/>
      <c r="BLU143" s="22"/>
      <c r="BLV143" s="22"/>
      <c r="BLW143" s="22"/>
      <c r="BLX143" s="22"/>
      <c r="BLY143" s="22"/>
      <c r="BLZ143" s="22"/>
      <c r="BMA143" s="22"/>
      <c r="BMB143" s="22"/>
      <c r="BMC143" s="22"/>
      <c r="BMD143" s="22"/>
      <c r="BME143" s="22"/>
      <c r="BMF143" s="22"/>
      <c r="BMG143" s="22"/>
      <c r="BMH143" s="22"/>
      <c r="BMI143" s="22"/>
      <c r="BMJ143" s="22"/>
      <c r="BMK143" s="22"/>
      <c r="BML143" s="22"/>
      <c r="BMM143" s="22"/>
      <c r="BMN143" s="22"/>
      <c r="BMO143" s="22"/>
      <c r="BMP143" s="22"/>
      <c r="BMQ143" s="22"/>
      <c r="BMR143" s="22"/>
      <c r="BMS143" s="22"/>
      <c r="BMT143" s="22"/>
      <c r="BMU143" s="22"/>
      <c r="BMV143" s="22"/>
      <c r="BMW143" s="22"/>
      <c r="BMX143" s="22"/>
      <c r="BMY143" s="22"/>
      <c r="BMZ143" s="22"/>
      <c r="BNA143" s="22"/>
      <c r="BNB143" s="22"/>
      <c r="BNC143" s="22"/>
      <c r="BND143" s="22"/>
      <c r="BNE143" s="22"/>
      <c r="BNF143" s="22"/>
      <c r="BNG143" s="22"/>
      <c r="BNH143" s="22"/>
      <c r="BNI143" s="22"/>
      <c r="BNJ143" s="22"/>
      <c r="BNK143" s="22"/>
      <c r="BNL143" s="22"/>
      <c r="BNM143" s="22"/>
      <c r="BNN143" s="22"/>
      <c r="BNO143" s="22"/>
      <c r="BNP143" s="22"/>
      <c r="BNQ143" s="22"/>
      <c r="BNR143" s="22"/>
      <c r="BNS143" s="22"/>
      <c r="BNT143" s="22"/>
      <c r="BNU143" s="22"/>
      <c r="BNV143" s="22"/>
      <c r="BNW143" s="22"/>
      <c r="BNX143" s="22"/>
      <c r="BNY143" s="22"/>
      <c r="BNZ143" s="22"/>
      <c r="BOA143" s="22"/>
      <c r="BOB143" s="22"/>
      <c r="BOC143" s="22"/>
      <c r="BOD143" s="22"/>
      <c r="BOE143" s="22"/>
      <c r="BOF143" s="22"/>
      <c r="BOG143" s="22"/>
      <c r="BOH143" s="22"/>
      <c r="BOI143" s="22"/>
      <c r="BOJ143" s="22"/>
      <c r="BOK143" s="22"/>
      <c r="BOL143" s="22"/>
      <c r="BOM143" s="22"/>
      <c r="BON143" s="22"/>
      <c r="BOO143" s="22"/>
      <c r="BOP143" s="22"/>
      <c r="BOQ143" s="22"/>
      <c r="BOR143" s="22"/>
      <c r="BOS143" s="22"/>
      <c r="BOT143" s="22"/>
      <c r="BOU143" s="22"/>
      <c r="BOV143" s="22"/>
      <c r="BOW143" s="22"/>
      <c r="BOX143" s="22"/>
      <c r="BOY143" s="22"/>
      <c r="BOZ143" s="22"/>
      <c r="BPA143" s="22"/>
      <c r="BPB143" s="22"/>
      <c r="BPC143" s="22"/>
      <c r="BPD143" s="22"/>
      <c r="BPE143" s="22"/>
      <c r="BPF143" s="22"/>
      <c r="BPG143" s="22"/>
      <c r="BPH143" s="22"/>
      <c r="BPI143" s="22"/>
      <c r="BPJ143" s="22"/>
      <c r="BPK143" s="22"/>
      <c r="BPL143" s="22"/>
      <c r="BPM143" s="22"/>
      <c r="BPN143" s="22"/>
      <c r="BPO143" s="22"/>
      <c r="BPP143" s="22"/>
      <c r="BPQ143" s="22"/>
      <c r="BPR143" s="22"/>
      <c r="BPS143" s="22"/>
      <c r="BPT143" s="22"/>
      <c r="BPU143" s="22"/>
      <c r="BPV143" s="22"/>
      <c r="BPW143" s="22"/>
      <c r="BPX143" s="22"/>
      <c r="BPY143" s="22"/>
      <c r="BPZ143" s="22"/>
      <c r="BQA143" s="22"/>
      <c r="BQB143" s="22"/>
      <c r="BQC143" s="22"/>
      <c r="BQD143" s="22"/>
      <c r="BQE143" s="22"/>
      <c r="BQF143" s="22"/>
      <c r="BQG143" s="22"/>
      <c r="BQH143" s="22"/>
      <c r="BQI143" s="22"/>
      <c r="BQJ143" s="22"/>
      <c r="BQK143" s="22"/>
      <c r="BQL143" s="22"/>
      <c r="BQM143" s="22"/>
      <c r="BQN143" s="22"/>
      <c r="BQO143" s="22"/>
      <c r="BQP143" s="22"/>
      <c r="BQQ143" s="22"/>
      <c r="BQR143" s="22"/>
      <c r="BQS143" s="22"/>
      <c r="BQT143" s="22"/>
      <c r="BQU143" s="22"/>
      <c r="BQV143" s="22"/>
      <c r="BQW143" s="22"/>
      <c r="BQX143" s="22"/>
      <c r="BQY143" s="22"/>
      <c r="BQZ143" s="22"/>
      <c r="BRA143" s="22"/>
      <c r="BRB143" s="22"/>
      <c r="BRC143" s="22"/>
      <c r="BRD143" s="22"/>
      <c r="BRE143" s="22"/>
      <c r="BRF143" s="22"/>
      <c r="BRG143" s="22"/>
      <c r="BRH143" s="22"/>
      <c r="BRI143" s="22"/>
      <c r="BRJ143" s="22"/>
      <c r="BRK143" s="22"/>
      <c r="BRL143" s="22"/>
      <c r="BRM143" s="22"/>
      <c r="BRN143" s="22"/>
      <c r="BRO143" s="22"/>
      <c r="BRP143" s="22"/>
      <c r="BRQ143" s="22"/>
      <c r="BRR143" s="22"/>
      <c r="BRS143" s="22"/>
      <c r="BRT143" s="22"/>
      <c r="BRU143" s="22"/>
      <c r="BRV143" s="22"/>
      <c r="BRW143" s="22"/>
      <c r="BRX143" s="22"/>
      <c r="BRY143" s="22"/>
      <c r="BRZ143" s="22"/>
      <c r="BSA143" s="22"/>
      <c r="BSB143" s="22"/>
      <c r="BSC143" s="22"/>
      <c r="BSD143" s="22"/>
      <c r="BSE143" s="22"/>
      <c r="BSF143" s="22"/>
      <c r="BSG143" s="22"/>
      <c r="BSH143" s="22"/>
      <c r="BSI143" s="22"/>
      <c r="BSJ143" s="22"/>
      <c r="BSK143" s="22"/>
      <c r="BSL143" s="22"/>
      <c r="BSM143" s="22"/>
      <c r="BSN143" s="22"/>
      <c r="BSO143" s="22"/>
      <c r="BSP143" s="22"/>
      <c r="BSQ143" s="22"/>
      <c r="BSR143" s="22"/>
      <c r="BSS143" s="22"/>
      <c r="BST143" s="22"/>
      <c r="BSU143" s="22"/>
      <c r="BSV143" s="22"/>
      <c r="BSW143" s="22"/>
      <c r="BSX143" s="22"/>
      <c r="BSY143" s="22"/>
      <c r="BSZ143" s="22"/>
      <c r="BTA143" s="22"/>
      <c r="BTB143" s="22"/>
      <c r="BTC143" s="22"/>
      <c r="BTD143" s="22"/>
      <c r="BTE143" s="22"/>
      <c r="BTF143" s="22"/>
      <c r="BTG143" s="22"/>
      <c r="BTH143" s="22"/>
      <c r="BTI143" s="22"/>
      <c r="BTJ143" s="22"/>
      <c r="BTK143" s="22"/>
      <c r="BTL143" s="22"/>
      <c r="BTM143" s="22"/>
      <c r="BTN143" s="22"/>
      <c r="BTO143" s="22"/>
      <c r="BTP143" s="22"/>
      <c r="BTQ143" s="22"/>
      <c r="BTR143" s="22"/>
      <c r="BTS143" s="22"/>
      <c r="BTT143" s="22"/>
      <c r="BTU143" s="22"/>
      <c r="BTV143" s="22"/>
      <c r="BTW143" s="22"/>
      <c r="BTX143" s="22"/>
      <c r="BTY143" s="22"/>
      <c r="BTZ143" s="22"/>
      <c r="BUA143" s="22"/>
      <c r="BUB143" s="22"/>
      <c r="BUC143" s="22"/>
      <c r="BUD143" s="22"/>
      <c r="BUE143" s="22"/>
      <c r="BUF143" s="22"/>
      <c r="BUG143" s="22"/>
      <c r="BUH143" s="22"/>
      <c r="BUI143" s="22"/>
      <c r="BUJ143" s="22"/>
      <c r="BUK143" s="22"/>
      <c r="BUL143" s="22"/>
      <c r="BUM143" s="22"/>
      <c r="BUN143" s="22"/>
      <c r="BUO143" s="22"/>
      <c r="BUP143" s="22"/>
      <c r="BUQ143" s="22"/>
      <c r="BUR143" s="22"/>
      <c r="BUS143" s="22"/>
      <c r="BUT143" s="22"/>
      <c r="BUU143" s="22"/>
      <c r="BUV143" s="22"/>
      <c r="BUW143" s="22"/>
      <c r="BUX143" s="22"/>
      <c r="BUY143" s="22"/>
      <c r="BUZ143" s="22"/>
      <c r="BVA143" s="22"/>
      <c r="BVB143" s="22"/>
      <c r="BVC143" s="22"/>
      <c r="BVD143" s="22"/>
      <c r="BVE143" s="22"/>
      <c r="BVF143" s="22"/>
      <c r="BVG143" s="22"/>
      <c r="BVH143" s="22"/>
      <c r="BVI143" s="22"/>
      <c r="BVJ143" s="22"/>
      <c r="BVK143" s="22"/>
      <c r="BVL143" s="22"/>
      <c r="BVM143" s="22"/>
      <c r="BVN143" s="22"/>
      <c r="BVO143" s="22"/>
      <c r="BVP143" s="22"/>
      <c r="BVQ143" s="22"/>
      <c r="BVR143" s="22"/>
      <c r="BVS143" s="22"/>
      <c r="BVT143" s="22"/>
      <c r="BVU143" s="22"/>
      <c r="BVV143" s="22"/>
      <c r="BVW143" s="22"/>
      <c r="BVX143" s="22"/>
      <c r="BVY143" s="22"/>
      <c r="BVZ143" s="22"/>
      <c r="BWA143" s="22"/>
      <c r="BWB143" s="22"/>
      <c r="BWC143" s="22"/>
      <c r="BWD143" s="22"/>
      <c r="BWE143" s="22"/>
      <c r="BWF143" s="22"/>
      <c r="BWG143" s="22"/>
      <c r="BWH143" s="22"/>
      <c r="BWI143" s="22"/>
      <c r="BWJ143" s="22"/>
      <c r="BWK143" s="22"/>
      <c r="BWL143" s="22"/>
      <c r="BWM143" s="22"/>
      <c r="BWN143" s="22"/>
      <c r="BWO143" s="22"/>
      <c r="BWP143" s="22"/>
      <c r="BWQ143" s="22"/>
      <c r="BWR143" s="22"/>
      <c r="BWS143" s="22"/>
      <c r="BWT143" s="22"/>
      <c r="BWU143" s="22"/>
      <c r="BWV143" s="22"/>
      <c r="BWW143" s="22"/>
      <c r="BWX143" s="22"/>
      <c r="BWY143" s="22"/>
      <c r="BWZ143" s="22"/>
      <c r="BXA143" s="22"/>
      <c r="BXB143" s="22"/>
      <c r="BXC143" s="22"/>
      <c r="BXD143" s="22"/>
      <c r="BXE143" s="22"/>
      <c r="BXF143" s="22"/>
      <c r="BXG143" s="22"/>
      <c r="BXH143" s="22"/>
      <c r="BXI143" s="22"/>
      <c r="BXJ143" s="22"/>
      <c r="BXK143" s="22"/>
      <c r="BXL143" s="22"/>
      <c r="BXM143" s="22"/>
      <c r="BXN143" s="22"/>
      <c r="BXO143" s="22"/>
      <c r="BXP143" s="22"/>
      <c r="BXQ143" s="22"/>
      <c r="BXR143" s="22"/>
      <c r="BXS143" s="22"/>
      <c r="BXT143" s="22"/>
      <c r="BXU143" s="22"/>
      <c r="BXV143" s="22"/>
      <c r="BXW143" s="22"/>
      <c r="BXX143" s="22"/>
      <c r="BXY143" s="22"/>
      <c r="BXZ143" s="22"/>
      <c r="BYA143" s="22"/>
      <c r="BYB143" s="22"/>
      <c r="BYC143" s="22"/>
      <c r="BYD143" s="22"/>
      <c r="BYE143" s="22"/>
      <c r="BYF143" s="22"/>
      <c r="BYG143" s="22"/>
      <c r="BYH143" s="22"/>
      <c r="BYI143" s="22"/>
      <c r="BYJ143" s="22"/>
      <c r="BYK143" s="22"/>
      <c r="BYL143" s="22"/>
      <c r="BYM143" s="22"/>
      <c r="BYN143" s="22"/>
      <c r="BYO143" s="22"/>
      <c r="BYP143" s="22"/>
      <c r="BYQ143" s="22"/>
      <c r="BYR143" s="22"/>
      <c r="BYS143" s="22"/>
      <c r="BYT143" s="22"/>
      <c r="BYU143" s="22"/>
      <c r="BYV143" s="22"/>
      <c r="BYW143" s="22"/>
      <c r="BYX143" s="22"/>
      <c r="BYY143" s="22"/>
      <c r="BYZ143" s="22"/>
      <c r="BZA143" s="22"/>
      <c r="BZB143" s="22"/>
      <c r="BZC143" s="22"/>
      <c r="BZD143" s="22"/>
      <c r="BZE143" s="22"/>
      <c r="BZF143" s="22"/>
      <c r="BZG143" s="22"/>
      <c r="BZH143" s="22"/>
      <c r="BZI143" s="22"/>
      <c r="BZJ143" s="22"/>
      <c r="BZK143" s="22"/>
      <c r="BZL143" s="22"/>
      <c r="BZM143" s="22"/>
      <c r="BZN143" s="22"/>
      <c r="BZO143" s="22"/>
      <c r="BZP143" s="22"/>
      <c r="BZQ143" s="22"/>
      <c r="BZR143" s="22"/>
      <c r="BZS143" s="22"/>
      <c r="BZT143" s="22"/>
      <c r="BZU143" s="22"/>
      <c r="BZV143" s="22"/>
      <c r="BZW143" s="22"/>
      <c r="BZX143" s="22"/>
      <c r="BZY143" s="22"/>
      <c r="BZZ143" s="22"/>
      <c r="CAA143" s="22"/>
      <c r="CAB143" s="22"/>
      <c r="CAC143" s="22"/>
      <c r="CAD143" s="22"/>
      <c r="CAE143" s="22"/>
      <c r="CAF143" s="22"/>
      <c r="CAG143" s="22"/>
      <c r="CAH143" s="22"/>
      <c r="CAI143" s="22"/>
      <c r="CAJ143" s="22"/>
      <c r="CAK143" s="22"/>
      <c r="CAL143" s="22"/>
      <c r="CAM143" s="22"/>
      <c r="CAN143" s="22"/>
      <c r="CAO143" s="22"/>
      <c r="CAP143" s="22"/>
      <c r="CAQ143" s="22"/>
      <c r="CAR143" s="22"/>
      <c r="CAS143" s="22"/>
      <c r="CAT143" s="22"/>
      <c r="CAU143" s="22"/>
      <c r="CAV143" s="22"/>
      <c r="CAW143" s="22"/>
      <c r="CAX143" s="22"/>
      <c r="CAY143" s="22"/>
      <c r="CAZ143" s="22"/>
      <c r="CBA143" s="22"/>
      <c r="CBB143" s="22"/>
      <c r="CBC143" s="22"/>
      <c r="CBD143" s="22"/>
      <c r="CBE143" s="22"/>
      <c r="CBF143" s="22"/>
      <c r="CBG143" s="22"/>
      <c r="CBH143" s="22"/>
      <c r="CBI143" s="22"/>
      <c r="CBJ143" s="22"/>
      <c r="CBK143" s="22"/>
      <c r="CBL143" s="22"/>
      <c r="CBM143" s="22"/>
      <c r="CBN143" s="22"/>
      <c r="CBO143" s="22"/>
      <c r="CBP143" s="22"/>
      <c r="CBQ143" s="22"/>
      <c r="CBR143" s="22"/>
      <c r="CBS143" s="22"/>
      <c r="CBT143" s="22"/>
      <c r="CBU143" s="22"/>
      <c r="CBV143" s="22"/>
      <c r="CBW143" s="22"/>
      <c r="CBX143" s="22"/>
      <c r="CBY143" s="22"/>
      <c r="CBZ143" s="22"/>
      <c r="CCA143" s="22"/>
      <c r="CCB143" s="22"/>
      <c r="CCC143" s="22"/>
      <c r="CCD143" s="22"/>
      <c r="CCE143" s="22"/>
      <c r="CCF143" s="22"/>
      <c r="CCG143" s="22"/>
      <c r="CCH143" s="22"/>
      <c r="CCI143" s="22"/>
      <c r="CCJ143" s="22"/>
      <c r="CCK143" s="22"/>
      <c r="CCL143" s="22"/>
      <c r="CCM143" s="22"/>
      <c r="CCN143" s="22"/>
      <c r="CCO143" s="22"/>
      <c r="CCP143" s="22"/>
      <c r="CCQ143" s="22"/>
      <c r="CCR143" s="22"/>
      <c r="CCS143" s="22"/>
      <c r="CCT143" s="22"/>
      <c r="CCU143" s="22"/>
      <c r="CCV143" s="22"/>
      <c r="CCW143" s="22"/>
      <c r="CCX143" s="22"/>
      <c r="CCY143" s="22"/>
      <c r="CCZ143" s="22"/>
      <c r="CDA143" s="22"/>
      <c r="CDB143" s="22"/>
      <c r="CDC143" s="22"/>
      <c r="CDD143" s="22"/>
      <c r="CDE143" s="22"/>
      <c r="CDF143" s="22"/>
      <c r="CDG143" s="22"/>
      <c r="CDH143" s="22"/>
      <c r="CDI143" s="22"/>
      <c r="CDJ143" s="22"/>
      <c r="CDK143" s="22"/>
      <c r="CDL143" s="22"/>
      <c r="CDM143" s="22"/>
      <c r="CDN143" s="22"/>
      <c r="CDO143" s="22"/>
      <c r="CDP143" s="22"/>
      <c r="CDQ143" s="22"/>
      <c r="CDR143" s="22"/>
      <c r="CDS143" s="22"/>
      <c r="CDT143" s="22"/>
      <c r="CDU143" s="22"/>
      <c r="CDV143" s="22"/>
      <c r="CDW143" s="22"/>
      <c r="CDX143" s="22"/>
      <c r="CDY143" s="22"/>
      <c r="CDZ143" s="22"/>
      <c r="CEA143" s="22"/>
      <c r="CEB143" s="22"/>
      <c r="CEC143" s="22"/>
      <c r="CED143" s="22"/>
      <c r="CEE143" s="22"/>
      <c r="CEF143" s="22"/>
      <c r="CEG143" s="22"/>
      <c r="CEH143" s="22"/>
      <c r="CEI143" s="22"/>
      <c r="CEJ143" s="22"/>
      <c r="CEK143" s="22"/>
      <c r="CEL143" s="22"/>
      <c r="CEM143" s="22"/>
      <c r="CEN143" s="22"/>
      <c r="CEO143" s="22"/>
      <c r="CEP143" s="22"/>
      <c r="CEQ143" s="22"/>
      <c r="CER143" s="22"/>
      <c r="CES143" s="22"/>
      <c r="CET143" s="22"/>
      <c r="CEU143" s="22"/>
      <c r="CEV143" s="22"/>
      <c r="CEW143" s="22"/>
      <c r="CEX143" s="22"/>
      <c r="CEY143" s="22"/>
      <c r="CEZ143" s="22"/>
      <c r="CFA143" s="22"/>
      <c r="CFB143" s="22"/>
      <c r="CFC143" s="22"/>
      <c r="CFD143" s="22"/>
      <c r="CFE143" s="22"/>
      <c r="CFF143" s="22"/>
      <c r="CFG143" s="22"/>
      <c r="CFH143" s="22"/>
      <c r="CFI143" s="22"/>
      <c r="CFJ143" s="22"/>
      <c r="CFK143" s="22"/>
      <c r="CFL143" s="22"/>
      <c r="CFM143" s="22"/>
      <c r="CFN143" s="22"/>
      <c r="CFO143" s="22"/>
      <c r="CFP143" s="22"/>
      <c r="CFQ143" s="22"/>
      <c r="CFR143" s="22"/>
      <c r="CFS143" s="22"/>
      <c r="CFT143" s="22"/>
      <c r="CFU143" s="22"/>
      <c r="CFV143" s="22"/>
      <c r="CFW143" s="22"/>
      <c r="CFX143" s="22"/>
      <c r="CFY143" s="22"/>
      <c r="CFZ143" s="22"/>
      <c r="CGA143" s="22"/>
      <c r="CGB143" s="22"/>
      <c r="CGC143" s="22"/>
      <c r="CGD143" s="22"/>
      <c r="CGE143" s="22"/>
      <c r="CGF143" s="22"/>
      <c r="CGG143" s="22"/>
      <c r="CGH143" s="22"/>
      <c r="CGI143" s="22"/>
      <c r="CGJ143" s="22"/>
      <c r="CGK143" s="22"/>
      <c r="CGL143" s="22"/>
      <c r="CGM143" s="22"/>
      <c r="CGN143" s="22"/>
      <c r="CGO143" s="22"/>
      <c r="CGP143" s="22"/>
      <c r="CGQ143" s="22"/>
      <c r="CGR143" s="22"/>
      <c r="CGS143" s="22"/>
      <c r="CGT143" s="22"/>
      <c r="CGU143" s="22"/>
      <c r="CGV143" s="22"/>
      <c r="CGW143" s="22"/>
      <c r="CGX143" s="22"/>
      <c r="CGY143" s="22"/>
      <c r="CGZ143" s="22"/>
      <c r="CHA143" s="22"/>
      <c r="CHB143" s="22"/>
      <c r="CHC143" s="22"/>
      <c r="CHD143" s="22"/>
      <c r="CHE143" s="22"/>
      <c r="CHF143" s="22"/>
      <c r="CHG143" s="22"/>
      <c r="CHH143" s="22"/>
      <c r="CHI143" s="22"/>
      <c r="CHJ143" s="22"/>
      <c r="CHK143" s="22"/>
      <c r="CHL143" s="22"/>
      <c r="CHM143" s="22"/>
      <c r="CHN143" s="22"/>
      <c r="CHO143" s="22"/>
      <c r="CHP143" s="22"/>
      <c r="CHQ143" s="22"/>
      <c r="CHR143" s="22"/>
      <c r="CHS143" s="22"/>
      <c r="CHT143" s="22"/>
      <c r="CHU143" s="22"/>
      <c r="CHV143" s="22"/>
      <c r="CHW143" s="22"/>
      <c r="CHX143" s="22"/>
      <c r="CHY143" s="22"/>
      <c r="CHZ143" s="22"/>
      <c r="CIA143" s="22"/>
      <c r="CIB143" s="22"/>
      <c r="CIC143" s="22"/>
      <c r="CID143" s="22"/>
      <c r="CIE143" s="22"/>
      <c r="CIF143" s="22"/>
      <c r="CIG143" s="22"/>
      <c r="CIH143" s="22"/>
      <c r="CII143" s="22"/>
      <c r="CIJ143" s="22"/>
      <c r="CIK143" s="22"/>
      <c r="CIL143" s="22"/>
      <c r="CIM143" s="22"/>
      <c r="CIN143" s="22"/>
      <c r="CIO143" s="22"/>
      <c r="CIP143" s="22"/>
      <c r="CIQ143" s="22"/>
      <c r="CIR143" s="22"/>
      <c r="CIS143" s="22"/>
      <c r="CIT143" s="22"/>
      <c r="CIU143" s="22"/>
      <c r="CIV143" s="22"/>
      <c r="CIW143" s="22"/>
      <c r="CIX143" s="22"/>
      <c r="CIY143" s="22"/>
      <c r="CIZ143" s="22"/>
      <c r="CJA143" s="22"/>
      <c r="CJB143" s="22"/>
      <c r="CJC143" s="22"/>
      <c r="CJD143" s="22"/>
      <c r="CJE143" s="22"/>
      <c r="CJF143" s="22"/>
      <c r="CJG143" s="22"/>
      <c r="CJH143" s="22"/>
      <c r="CJI143" s="22"/>
      <c r="CJJ143" s="22"/>
      <c r="CJK143" s="22"/>
      <c r="CJL143" s="22"/>
      <c r="CJM143" s="22"/>
      <c r="CJN143" s="22"/>
      <c r="CJO143" s="22"/>
      <c r="CJP143" s="22"/>
      <c r="CJQ143" s="22"/>
      <c r="CJR143" s="22"/>
      <c r="CJS143" s="22"/>
      <c r="CJT143" s="22"/>
      <c r="CJU143" s="22"/>
      <c r="CJV143" s="22"/>
      <c r="CJW143" s="22"/>
      <c r="CJX143" s="22"/>
      <c r="CJY143" s="22"/>
      <c r="CJZ143" s="22"/>
      <c r="CKA143" s="22"/>
      <c r="CKB143" s="22"/>
      <c r="CKC143" s="22"/>
      <c r="CKD143" s="22"/>
      <c r="CKE143" s="22"/>
      <c r="CKF143" s="22"/>
      <c r="CKG143" s="22"/>
      <c r="CKH143" s="22"/>
      <c r="CKI143" s="22"/>
      <c r="CKJ143" s="22"/>
      <c r="CKK143" s="22"/>
      <c r="CKL143" s="22"/>
      <c r="CKM143" s="22"/>
      <c r="CKN143" s="22"/>
      <c r="CKO143" s="22"/>
      <c r="CKP143" s="22"/>
      <c r="CKQ143" s="22"/>
      <c r="CKR143" s="22"/>
      <c r="CKS143" s="22"/>
      <c r="CKT143" s="22"/>
      <c r="CKU143" s="22"/>
      <c r="CKV143" s="22"/>
      <c r="CKW143" s="22"/>
      <c r="CKX143" s="22"/>
      <c r="CKY143" s="22"/>
      <c r="CKZ143" s="22"/>
      <c r="CLA143" s="22"/>
      <c r="CLB143" s="22"/>
      <c r="CLC143" s="22"/>
      <c r="CLD143" s="22"/>
      <c r="CLE143" s="22"/>
      <c r="CLF143" s="22"/>
      <c r="CLG143" s="22"/>
      <c r="CLH143" s="22"/>
      <c r="CLI143" s="22"/>
      <c r="CLJ143" s="22"/>
      <c r="CLK143" s="22"/>
      <c r="CLL143" s="22"/>
      <c r="CLM143" s="22"/>
      <c r="CLN143" s="22"/>
      <c r="CLO143" s="22"/>
      <c r="CLP143" s="22"/>
      <c r="CLQ143" s="22"/>
      <c r="CLR143" s="22"/>
      <c r="CLS143" s="22"/>
      <c r="CLT143" s="22"/>
      <c r="CLU143" s="22"/>
      <c r="CLV143" s="22"/>
      <c r="CLW143" s="22"/>
      <c r="CLX143" s="22"/>
      <c r="CLY143" s="22"/>
      <c r="CLZ143" s="22"/>
      <c r="CMA143" s="22"/>
      <c r="CMB143" s="22"/>
      <c r="CMC143" s="22"/>
      <c r="CMD143" s="22"/>
      <c r="CME143" s="22"/>
      <c r="CMF143" s="22"/>
      <c r="CMG143" s="22"/>
      <c r="CMH143" s="22"/>
      <c r="CMI143" s="22"/>
      <c r="CMJ143" s="22"/>
      <c r="CMK143" s="22"/>
      <c r="CML143" s="22"/>
      <c r="CMM143" s="22"/>
      <c r="CMN143" s="22"/>
      <c r="CMO143" s="22"/>
      <c r="CMP143" s="22"/>
      <c r="CMQ143" s="22"/>
      <c r="CMR143" s="22"/>
      <c r="CMS143" s="22"/>
      <c r="CMT143" s="22"/>
      <c r="CMU143" s="22"/>
      <c r="CMV143" s="22"/>
      <c r="CMW143" s="22"/>
      <c r="CMX143" s="22"/>
      <c r="CMY143" s="22"/>
      <c r="CMZ143" s="22"/>
      <c r="CNA143" s="22"/>
      <c r="CNB143" s="22"/>
      <c r="CNC143" s="22"/>
      <c r="CND143" s="22"/>
      <c r="CNE143" s="22"/>
      <c r="CNF143" s="22"/>
      <c r="CNG143" s="22"/>
      <c r="CNH143" s="22"/>
      <c r="CNI143" s="22"/>
      <c r="CNJ143" s="22"/>
      <c r="CNK143" s="22"/>
      <c r="CNL143" s="22"/>
      <c r="CNM143" s="22"/>
      <c r="CNN143" s="22"/>
      <c r="CNO143" s="22"/>
      <c r="CNP143" s="22"/>
      <c r="CNQ143" s="22"/>
      <c r="CNR143" s="22"/>
      <c r="CNS143" s="22"/>
      <c r="CNT143" s="22"/>
      <c r="CNU143" s="22"/>
      <c r="CNV143" s="22"/>
      <c r="CNW143" s="22"/>
      <c r="CNX143" s="22"/>
      <c r="CNY143" s="22"/>
      <c r="CNZ143" s="22"/>
      <c r="COA143" s="22"/>
      <c r="COB143" s="22"/>
      <c r="COC143" s="22"/>
      <c r="COD143" s="22"/>
      <c r="COE143" s="22"/>
      <c r="COF143" s="22"/>
      <c r="COG143" s="22"/>
      <c r="COH143" s="22"/>
      <c r="COI143" s="22"/>
      <c r="COJ143" s="22"/>
      <c r="COK143" s="22"/>
      <c r="COL143" s="22"/>
      <c r="COM143" s="22"/>
      <c r="CON143" s="22"/>
      <c r="COO143" s="22"/>
      <c r="COP143" s="22"/>
      <c r="COQ143" s="22"/>
      <c r="COR143" s="22"/>
      <c r="COS143" s="22"/>
      <c r="COT143" s="22"/>
      <c r="COU143" s="22"/>
      <c r="COV143" s="22"/>
      <c r="COW143" s="22"/>
      <c r="COX143" s="22"/>
      <c r="COY143" s="22"/>
      <c r="COZ143" s="22"/>
      <c r="CPA143" s="22"/>
      <c r="CPB143" s="22"/>
      <c r="CPC143" s="22"/>
      <c r="CPD143" s="22"/>
      <c r="CPE143" s="22"/>
      <c r="CPF143" s="22"/>
      <c r="CPG143" s="22"/>
      <c r="CPH143" s="22"/>
      <c r="CPI143" s="22"/>
      <c r="CPJ143" s="22"/>
      <c r="CPK143" s="22"/>
      <c r="CPL143" s="22"/>
      <c r="CPM143" s="22"/>
      <c r="CPN143" s="22"/>
      <c r="CPO143" s="22"/>
      <c r="CPP143" s="22"/>
      <c r="CPQ143" s="22"/>
      <c r="CPR143" s="22"/>
      <c r="CPS143" s="22"/>
      <c r="CPT143" s="22"/>
      <c r="CPU143" s="22"/>
      <c r="CPV143" s="22"/>
      <c r="CPW143" s="22"/>
      <c r="CPX143" s="22"/>
      <c r="CPY143" s="22"/>
      <c r="CPZ143" s="22"/>
      <c r="CQA143" s="22"/>
      <c r="CQB143" s="22"/>
      <c r="CQC143" s="22"/>
      <c r="CQD143" s="22"/>
      <c r="CQE143" s="22"/>
      <c r="CQF143" s="22"/>
      <c r="CQG143" s="22"/>
      <c r="CQH143" s="22"/>
      <c r="CQI143" s="22"/>
      <c r="CQJ143" s="22"/>
      <c r="CQK143" s="22"/>
      <c r="CQL143" s="22"/>
      <c r="CQM143" s="22"/>
      <c r="CQN143" s="22"/>
      <c r="CQO143" s="22"/>
      <c r="CQP143" s="22"/>
      <c r="CQQ143" s="22"/>
      <c r="CQR143" s="22"/>
      <c r="CQS143" s="22"/>
      <c r="CQT143" s="22"/>
      <c r="CQU143" s="22"/>
      <c r="CQV143" s="22"/>
      <c r="CQW143" s="22"/>
      <c r="CQX143" s="22"/>
      <c r="CQY143" s="22"/>
      <c r="CQZ143" s="22"/>
      <c r="CRA143" s="22"/>
      <c r="CRB143" s="22"/>
      <c r="CRC143" s="22"/>
      <c r="CRD143" s="22"/>
      <c r="CRE143" s="22"/>
      <c r="CRF143" s="22"/>
      <c r="CRG143" s="22"/>
      <c r="CRH143" s="22"/>
      <c r="CRI143" s="22"/>
      <c r="CRJ143" s="22"/>
      <c r="CRK143" s="22"/>
      <c r="CRL143" s="22"/>
      <c r="CRM143" s="22"/>
      <c r="CRN143" s="22"/>
      <c r="CRO143" s="22"/>
      <c r="CRP143" s="22"/>
      <c r="CRQ143" s="22"/>
      <c r="CRR143" s="22"/>
      <c r="CRS143" s="22"/>
      <c r="CRT143" s="22"/>
      <c r="CRU143" s="22"/>
      <c r="CRV143" s="22"/>
      <c r="CRW143" s="22"/>
      <c r="CRX143" s="22"/>
      <c r="CRY143" s="22"/>
      <c r="CRZ143" s="22"/>
      <c r="CSA143" s="22"/>
      <c r="CSB143" s="22"/>
      <c r="CSC143" s="22"/>
      <c r="CSD143" s="22"/>
      <c r="CSE143" s="22"/>
      <c r="CSF143" s="22"/>
      <c r="CSG143" s="22"/>
      <c r="CSH143" s="22"/>
      <c r="CSI143" s="22"/>
      <c r="CSJ143" s="22"/>
      <c r="CSK143" s="22"/>
      <c r="CSL143" s="22"/>
      <c r="CSM143" s="22"/>
      <c r="CSN143" s="22"/>
      <c r="CSO143" s="22"/>
      <c r="CSP143" s="22"/>
      <c r="CSQ143" s="22"/>
      <c r="CSR143" s="22"/>
      <c r="CSS143" s="22"/>
      <c r="CST143" s="22"/>
      <c r="CSU143" s="22"/>
      <c r="CSV143" s="22"/>
      <c r="CSW143" s="22"/>
      <c r="CSX143" s="22"/>
      <c r="CSY143" s="22"/>
      <c r="CSZ143" s="22"/>
      <c r="CTA143" s="22"/>
      <c r="CTB143" s="22"/>
      <c r="CTC143" s="22"/>
      <c r="CTD143" s="22"/>
      <c r="CTE143" s="22"/>
      <c r="CTF143" s="22"/>
      <c r="CTG143" s="22"/>
      <c r="CTH143" s="22"/>
      <c r="CTI143" s="22"/>
      <c r="CTJ143" s="22"/>
      <c r="CTK143" s="22"/>
      <c r="CTL143" s="22"/>
      <c r="CTM143" s="22"/>
      <c r="CTN143" s="22"/>
      <c r="CTO143" s="22"/>
      <c r="CTP143" s="22"/>
      <c r="CTQ143" s="22"/>
      <c r="CTR143" s="22"/>
      <c r="CTS143" s="22"/>
      <c r="CTT143" s="22"/>
      <c r="CTU143" s="22"/>
      <c r="CTV143" s="22"/>
      <c r="CTW143" s="22"/>
      <c r="CTX143" s="22"/>
      <c r="CTY143" s="22"/>
      <c r="CTZ143" s="22"/>
      <c r="CUA143" s="22"/>
      <c r="CUB143" s="22"/>
      <c r="CUC143" s="22"/>
      <c r="CUD143" s="22"/>
      <c r="CUE143" s="22"/>
      <c r="CUF143" s="22"/>
      <c r="CUG143" s="22"/>
      <c r="CUH143" s="22"/>
      <c r="CUI143" s="22"/>
      <c r="CUJ143" s="22"/>
      <c r="CUK143" s="22"/>
      <c r="CUL143" s="22"/>
      <c r="CUM143" s="22"/>
      <c r="CUN143" s="22"/>
      <c r="CUO143" s="22"/>
      <c r="CUP143" s="22"/>
      <c r="CUQ143" s="22"/>
      <c r="CUR143" s="22"/>
      <c r="CUS143" s="22"/>
      <c r="CUT143" s="22"/>
      <c r="CUU143" s="22"/>
      <c r="CUV143" s="22"/>
      <c r="CUW143" s="22"/>
      <c r="CUX143" s="22"/>
      <c r="CUY143" s="22"/>
      <c r="CUZ143" s="22"/>
      <c r="CVA143" s="22"/>
      <c r="CVB143" s="22"/>
      <c r="CVC143" s="22"/>
      <c r="CVD143" s="22"/>
      <c r="CVE143" s="22"/>
      <c r="CVF143" s="22"/>
      <c r="CVG143" s="22"/>
      <c r="CVH143" s="22"/>
      <c r="CVI143" s="22"/>
      <c r="CVJ143" s="22"/>
      <c r="CVK143" s="22"/>
      <c r="CVL143" s="22"/>
      <c r="CVM143" s="22"/>
      <c r="CVN143" s="22"/>
      <c r="CVO143" s="22"/>
      <c r="CVP143" s="22"/>
      <c r="CVQ143" s="22"/>
      <c r="CVR143" s="22"/>
      <c r="CVS143" s="22"/>
      <c r="CVT143" s="22"/>
      <c r="CVU143" s="22"/>
      <c r="CVV143" s="22"/>
      <c r="CVW143" s="22"/>
      <c r="CVX143" s="22"/>
      <c r="CVY143" s="22"/>
      <c r="CVZ143" s="22"/>
      <c r="CWA143" s="22"/>
      <c r="CWB143" s="22"/>
      <c r="CWC143" s="22"/>
      <c r="CWD143" s="22"/>
      <c r="CWE143" s="22"/>
      <c r="CWF143" s="22"/>
      <c r="CWG143" s="22"/>
      <c r="CWH143" s="22"/>
      <c r="CWI143" s="22"/>
      <c r="CWJ143" s="22"/>
      <c r="CWK143" s="22"/>
      <c r="CWL143" s="22"/>
      <c r="CWM143" s="22"/>
      <c r="CWN143" s="22"/>
      <c r="CWO143" s="22"/>
      <c r="CWP143" s="22"/>
      <c r="CWQ143" s="22"/>
      <c r="CWR143" s="22"/>
      <c r="CWS143" s="22"/>
      <c r="CWT143" s="22"/>
      <c r="CWU143" s="22"/>
      <c r="CWV143" s="22"/>
      <c r="CWW143" s="22"/>
      <c r="CWX143" s="22"/>
      <c r="CWY143" s="22"/>
      <c r="CWZ143" s="22"/>
      <c r="CXA143" s="22"/>
      <c r="CXB143" s="22"/>
      <c r="CXC143" s="22"/>
      <c r="CXD143" s="22"/>
      <c r="CXE143" s="22"/>
      <c r="CXF143" s="22"/>
      <c r="CXG143" s="22"/>
      <c r="CXH143" s="22"/>
      <c r="CXI143" s="22"/>
      <c r="CXJ143" s="22"/>
      <c r="CXK143" s="22"/>
      <c r="CXL143" s="22"/>
      <c r="CXM143" s="22"/>
      <c r="CXN143" s="22"/>
      <c r="CXO143" s="22"/>
      <c r="CXP143" s="22"/>
      <c r="CXQ143" s="22"/>
      <c r="CXR143" s="22"/>
      <c r="CXS143" s="22"/>
      <c r="CXT143" s="22"/>
      <c r="CXU143" s="22"/>
      <c r="CXV143" s="22"/>
      <c r="CXW143" s="22"/>
      <c r="CXX143" s="22"/>
      <c r="CXY143" s="22"/>
      <c r="CXZ143" s="22"/>
      <c r="CYA143" s="22"/>
      <c r="CYB143" s="22"/>
      <c r="CYC143" s="22"/>
      <c r="CYD143" s="22"/>
      <c r="CYE143" s="22"/>
      <c r="CYF143" s="22"/>
      <c r="CYG143" s="22"/>
      <c r="CYH143" s="22"/>
      <c r="CYI143" s="22"/>
      <c r="CYJ143" s="22"/>
      <c r="CYK143" s="22"/>
      <c r="CYL143" s="22"/>
      <c r="CYM143" s="22"/>
      <c r="CYN143" s="22"/>
      <c r="CYO143" s="22"/>
      <c r="CYP143" s="22"/>
      <c r="CYQ143" s="22"/>
      <c r="CYR143" s="22"/>
      <c r="CYS143" s="22"/>
      <c r="CYT143" s="22"/>
      <c r="CYU143" s="22"/>
      <c r="CYV143" s="22"/>
      <c r="CYW143" s="22"/>
      <c r="CYX143" s="22"/>
      <c r="CYY143" s="22"/>
      <c r="CYZ143" s="22"/>
      <c r="CZA143" s="22"/>
      <c r="CZB143" s="22"/>
      <c r="CZC143" s="22"/>
      <c r="CZD143" s="22"/>
      <c r="CZE143" s="22"/>
      <c r="CZF143" s="22"/>
      <c r="CZG143" s="22"/>
      <c r="CZH143" s="22"/>
      <c r="CZI143" s="22"/>
      <c r="CZJ143" s="22"/>
      <c r="CZK143" s="22"/>
      <c r="CZL143" s="22"/>
      <c r="CZM143" s="22"/>
      <c r="CZN143" s="22"/>
      <c r="CZO143" s="22"/>
      <c r="CZP143" s="22"/>
      <c r="CZQ143" s="22"/>
      <c r="CZR143" s="22"/>
      <c r="CZS143" s="22"/>
      <c r="CZT143" s="22"/>
      <c r="CZU143" s="22"/>
      <c r="CZV143" s="22"/>
      <c r="CZW143" s="22"/>
      <c r="CZX143" s="22"/>
      <c r="CZY143" s="22"/>
      <c r="CZZ143" s="22"/>
      <c r="DAA143" s="22"/>
      <c r="DAB143" s="22"/>
      <c r="DAC143" s="22"/>
      <c r="DAD143" s="22"/>
      <c r="DAE143" s="22"/>
      <c r="DAF143" s="22"/>
      <c r="DAG143" s="22"/>
      <c r="DAH143" s="22"/>
      <c r="DAI143" s="22"/>
      <c r="DAJ143" s="22"/>
      <c r="DAK143" s="22"/>
      <c r="DAL143" s="22"/>
      <c r="DAM143" s="22"/>
      <c r="DAN143" s="22"/>
      <c r="DAO143" s="22"/>
      <c r="DAP143" s="22"/>
      <c r="DAQ143" s="22"/>
      <c r="DAR143" s="22"/>
      <c r="DAS143" s="22"/>
      <c r="DAT143" s="22"/>
      <c r="DAU143" s="22"/>
      <c r="DAV143" s="22"/>
      <c r="DAW143" s="22"/>
      <c r="DAX143" s="22"/>
      <c r="DAY143" s="22"/>
      <c r="DAZ143" s="22"/>
      <c r="DBA143" s="22"/>
      <c r="DBB143" s="22"/>
      <c r="DBC143" s="22"/>
      <c r="DBD143" s="22"/>
      <c r="DBE143" s="22"/>
      <c r="DBF143" s="22"/>
      <c r="DBG143" s="22"/>
      <c r="DBH143" s="22"/>
      <c r="DBI143" s="22"/>
      <c r="DBJ143" s="22"/>
      <c r="DBK143" s="22"/>
      <c r="DBL143" s="22"/>
      <c r="DBM143" s="22"/>
      <c r="DBN143" s="22"/>
      <c r="DBO143" s="22"/>
      <c r="DBP143" s="22"/>
      <c r="DBQ143" s="22"/>
      <c r="DBR143" s="22"/>
      <c r="DBS143" s="22"/>
      <c r="DBT143" s="22"/>
      <c r="DBU143" s="22"/>
      <c r="DBV143" s="22"/>
      <c r="DBW143" s="22"/>
      <c r="DBX143" s="22"/>
      <c r="DBY143" s="22"/>
      <c r="DBZ143" s="22"/>
      <c r="DCA143" s="22"/>
      <c r="DCB143" s="22"/>
      <c r="DCC143" s="22"/>
      <c r="DCD143" s="22"/>
      <c r="DCE143" s="22"/>
      <c r="DCF143" s="22"/>
      <c r="DCG143" s="22"/>
      <c r="DCH143" s="22"/>
      <c r="DCI143" s="22"/>
      <c r="DCJ143" s="22"/>
      <c r="DCK143" s="22"/>
      <c r="DCL143" s="22"/>
      <c r="DCM143" s="22"/>
      <c r="DCN143" s="22"/>
      <c r="DCO143" s="22"/>
      <c r="DCP143" s="22"/>
      <c r="DCQ143" s="22"/>
      <c r="DCR143" s="22"/>
      <c r="DCS143" s="22"/>
      <c r="DCT143" s="22"/>
      <c r="DCU143" s="22"/>
      <c r="DCV143" s="22"/>
      <c r="DCW143" s="22"/>
      <c r="DCX143" s="22"/>
      <c r="DCY143" s="22"/>
      <c r="DCZ143" s="22"/>
      <c r="DDA143" s="22"/>
      <c r="DDB143" s="22"/>
      <c r="DDC143" s="22"/>
      <c r="DDD143" s="22"/>
      <c r="DDE143" s="22"/>
      <c r="DDF143" s="22"/>
      <c r="DDG143" s="22"/>
      <c r="DDH143" s="22"/>
      <c r="DDI143" s="22"/>
      <c r="DDJ143" s="22"/>
      <c r="DDK143" s="22"/>
      <c r="DDL143" s="22"/>
      <c r="DDM143" s="22"/>
      <c r="DDN143" s="22"/>
      <c r="DDO143" s="22"/>
      <c r="DDP143" s="22"/>
      <c r="DDQ143" s="22"/>
      <c r="DDR143" s="22"/>
      <c r="DDS143" s="22"/>
      <c r="DDT143" s="22"/>
      <c r="DDU143" s="22"/>
      <c r="DDV143" s="22"/>
      <c r="DDW143" s="22"/>
      <c r="DDX143" s="22"/>
      <c r="DDY143" s="22"/>
      <c r="DDZ143" s="22"/>
      <c r="DEA143" s="22"/>
      <c r="DEB143" s="22"/>
      <c r="DEC143" s="22"/>
      <c r="DED143" s="22"/>
      <c r="DEE143" s="22"/>
      <c r="DEF143" s="22"/>
      <c r="DEG143" s="22"/>
      <c r="DEH143" s="22"/>
      <c r="DEI143" s="22"/>
      <c r="DEJ143" s="22"/>
      <c r="DEK143" s="22"/>
      <c r="DEL143" s="22"/>
      <c r="DEM143" s="22"/>
      <c r="DEN143" s="22"/>
      <c r="DEO143" s="22"/>
      <c r="DEP143" s="22"/>
      <c r="DEQ143" s="22"/>
      <c r="DER143" s="22"/>
      <c r="DES143" s="22"/>
      <c r="DET143" s="22"/>
      <c r="DEU143" s="22"/>
      <c r="DEV143" s="22"/>
      <c r="DEW143" s="22"/>
      <c r="DEX143" s="22"/>
      <c r="DEY143" s="22"/>
      <c r="DEZ143" s="22"/>
      <c r="DFA143" s="22"/>
      <c r="DFB143" s="22"/>
      <c r="DFC143" s="22"/>
      <c r="DFD143" s="22"/>
      <c r="DFE143" s="22"/>
      <c r="DFF143" s="22"/>
      <c r="DFG143" s="22"/>
      <c r="DFH143" s="22"/>
      <c r="DFI143" s="22"/>
      <c r="DFJ143" s="22"/>
      <c r="DFK143" s="22"/>
      <c r="DFL143" s="22"/>
      <c r="DFM143" s="22"/>
      <c r="DFN143" s="22"/>
      <c r="DFO143" s="22"/>
      <c r="DFP143" s="22"/>
      <c r="DFQ143" s="22"/>
      <c r="DFR143" s="22"/>
      <c r="DFS143" s="22"/>
      <c r="DFT143" s="22"/>
      <c r="DFU143" s="22"/>
      <c r="DFV143" s="22"/>
      <c r="DFW143" s="22"/>
      <c r="DFX143" s="22"/>
      <c r="DFY143" s="22"/>
      <c r="DFZ143" s="22"/>
      <c r="DGA143" s="22"/>
      <c r="DGB143" s="22"/>
      <c r="DGC143" s="22"/>
      <c r="DGD143" s="22"/>
      <c r="DGE143" s="22"/>
      <c r="DGF143" s="22"/>
      <c r="DGG143" s="22"/>
      <c r="DGH143" s="22"/>
      <c r="DGI143" s="22"/>
      <c r="DGJ143" s="22"/>
      <c r="DGK143" s="22"/>
      <c r="DGL143" s="22"/>
      <c r="DGM143" s="22"/>
      <c r="DGN143" s="22"/>
      <c r="DGO143" s="22"/>
      <c r="DGP143" s="22"/>
      <c r="DGQ143" s="22"/>
      <c r="DGR143" s="22"/>
      <c r="DGS143" s="22"/>
      <c r="DGT143" s="22"/>
      <c r="DGU143" s="22"/>
      <c r="DGV143" s="22"/>
      <c r="DGW143" s="22"/>
      <c r="DGX143" s="22"/>
      <c r="DGY143" s="22"/>
      <c r="DGZ143" s="22"/>
      <c r="DHA143" s="22"/>
      <c r="DHB143" s="22"/>
      <c r="DHC143" s="22"/>
      <c r="DHD143" s="22"/>
      <c r="DHE143" s="22"/>
      <c r="DHF143" s="22"/>
      <c r="DHG143" s="22"/>
      <c r="DHH143" s="22"/>
      <c r="DHI143" s="22"/>
      <c r="DHJ143" s="22"/>
      <c r="DHK143" s="22"/>
      <c r="DHL143" s="22"/>
      <c r="DHM143" s="22"/>
      <c r="DHN143" s="22"/>
      <c r="DHO143" s="22"/>
      <c r="DHP143" s="22"/>
      <c r="DHQ143" s="22"/>
      <c r="DHR143" s="22"/>
      <c r="DHS143" s="22"/>
      <c r="DHT143" s="22"/>
      <c r="DHU143" s="22"/>
      <c r="DHV143" s="22"/>
      <c r="DHW143" s="22"/>
      <c r="DHX143" s="22"/>
      <c r="DHY143" s="22"/>
      <c r="DHZ143" s="22"/>
      <c r="DIA143" s="22"/>
      <c r="DIB143" s="22"/>
      <c r="DIC143" s="22"/>
      <c r="DID143" s="22"/>
      <c r="DIE143" s="22"/>
      <c r="DIF143" s="22"/>
      <c r="DIG143" s="22"/>
      <c r="DIH143" s="22"/>
      <c r="DII143" s="22"/>
      <c r="DIJ143" s="22"/>
      <c r="DIK143" s="22"/>
      <c r="DIL143" s="22"/>
      <c r="DIM143" s="22"/>
      <c r="DIN143" s="22"/>
      <c r="DIO143" s="22"/>
      <c r="DIP143" s="22"/>
      <c r="DIQ143" s="22"/>
      <c r="DIR143" s="22"/>
      <c r="DIS143" s="22"/>
      <c r="DIT143" s="22"/>
      <c r="DIU143" s="22"/>
      <c r="DIV143" s="22"/>
      <c r="DIW143" s="22"/>
      <c r="DIX143" s="22"/>
      <c r="DIY143" s="22"/>
      <c r="DIZ143" s="22"/>
      <c r="DJA143" s="22"/>
      <c r="DJB143" s="22"/>
      <c r="DJC143" s="22"/>
      <c r="DJD143" s="22"/>
      <c r="DJE143" s="22"/>
      <c r="DJF143" s="22"/>
      <c r="DJG143" s="22"/>
      <c r="DJH143" s="22"/>
      <c r="DJI143" s="22"/>
      <c r="DJJ143" s="22"/>
      <c r="DJK143" s="22"/>
      <c r="DJL143" s="22"/>
      <c r="DJM143" s="22"/>
      <c r="DJN143" s="22"/>
      <c r="DJO143" s="22"/>
      <c r="DJP143" s="22"/>
      <c r="DJQ143" s="22"/>
      <c r="DJR143" s="22"/>
      <c r="DJS143" s="22"/>
      <c r="DJT143" s="22"/>
      <c r="DJU143" s="22"/>
      <c r="DJV143" s="22"/>
      <c r="DJW143" s="22"/>
      <c r="DJX143" s="22"/>
      <c r="DJY143" s="22"/>
      <c r="DJZ143" s="22"/>
      <c r="DKA143" s="22"/>
      <c r="DKB143" s="22"/>
      <c r="DKC143" s="22"/>
      <c r="DKD143" s="22"/>
      <c r="DKE143" s="22"/>
      <c r="DKF143" s="22"/>
      <c r="DKG143" s="22"/>
      <c r="DKH143" s="22"/>
      <c r="DKI143" s="22"/>
      <c r="DKJ143" s="22"/>
      <c r="DKK143" s="22"/>
      <c r="DKL143" s="22"/>
      <c r="DKM143" s="22"/>
      <c r="DKN143" s="22"/>
      <c r="DKO143" s="22"/>
      <c r="DKP143" s="22"/>
      <c r="DKQ143" s="22"/>
      <c r="DKR143" s="22"/>
      <c r="DKS143" s="22"/>
      <c r="DKT143" s="22"/>
      <c r="DKU143" s="22"/>
      <c r="DKV143" s="22"/>
      <c r="DKW143" s="22"/>
      <c r="DKX143" s="22"/>
      <c r="DKY143" s="22"/>
      <c r="DKZ143" s="22"/>
      <c r="DLA143" s="22"/>
      <c r="DLB143" s="22"/>
      <c r="DLC143" s="22"/>
      <c r="DLD143" s="22"/>
      <c r="DLE143" s="22"/>
      <c r="DLF143" s="22"/>
      <c r="DLG143" s="22"/>
      <c r="DLH143" s="22"/>
      <c r="DLI143" s="22"/>
      <c r="DLJ143" s="22"/>
      <c r="DLK143" s="22"/>
      <c r="DLL143" s="22"/>
      <c r="DLM143" s="22"/>
      <c r="DLN143" s="22"/>
      <c r="DLO143" s="22"/>
      <c r="DLP143" s="22"/>
      <c r="DLQ143" s="22"/>
      <c r="DLR143" s="22"/>
      <c r="DLS143" s="22"/>
      <c r="DLT143" s="22"/>
      <c r="DLU143" s="22"/>
      <c r="DLV143" s="22"/>
      <c r="DLW143" s="22"/>
      <c r="DLX143" s="22"/>
      <c r="DLY143" s="22"/>
      <c r="DLZ143" s="22"/>
      <c r="DMA143" s="22"/>
      <c r="DMB143" s="22"/>
      <c r="DMC143" s="22"/>
      <c r="DMD143" s="22"/>
      <c r="DME143" s="22"/>
      <c r="DMF143" s="22"/>
      <c r="DMG143" s="22"/>
      <c r="DMH143" s="22"/>
      <c r="DMI143" s="22"/>
      <c r="DMJ143" s="22"/>
      <c r="DMK143" s="22"/>
      <c r="DML143" s="22"/>
      <c r="DMM143" s="22"/>
      <c r="DMN143" s="22"/>
      <c r="DMO143" s="22"/>
      <c r="DMP143" s="22"/>
      <c r="DMQ143" s="22"/>
      <c r="DMR143" s="22"/>
      <c r="DMS143" s="22"/>
      <c r="DMT143" s="22"/>
      <c r="DMU143" s="22"/>
      <c r="DMV143" s="22"/>
      <c r="DMW143" s="22"/>
      <c r="DMX143" s="22"/>
      <c r="DMY143" s="22"/>
      <c r="DMZ143" s="22"/>
      <c r="DNA143" s="22"/>
      <c r="DNB143" s="22"/>
      <c r="DNC143" s="22"/>
      <c r="DND143" s="22"/>
      <c r="DNE143" s="22"/>
      <c r="DNF143" s="22"/>
      <c r="DNG143" s="22"/>
      <c r="DNH143" s="22"/>
      <c r="DNI143" s="22"/>
      <c r="DNJ143" s="22"/>
      <c r="DNK143" s="22"/>
      <c r="DNL143" s="22"/>
      <c r="DNM143" s="22"/>
      <c r="DNN143" s="22"/>
      <c r="DNO143" s="22"/>
      <c r="DNP143" s="22"/>
      <c r="DNQ143" s="22"/>
      <c r="DNR143" s="22"/>
      <c r="DNS143" s="22"/>
      <c r="DNT143" s="22"/>
      <c r="DNU143" s="22"/>
      <c r="DNV143" s="22"/>
      <c r="DNW143" s="22"/>
      <c r="DNX143" s="22"/>
      <c r="DNY143" s="22"/>
      <c r="DNZ143" s="22"/>
      <c r="DOA143" s="22"/>
      <c r="DOB143" s="22"/>
      <c r="DOC143" s="22"/>
      <c r="DOD143" s="22"/>
      <c r="DOE143" s="22"/>
      <c r="DOF143" s="22"/>
      <c r="DOG143" s="22"/>
      <c r="DOH143" s="22"/>
      <c r="DOI143" s="22"/>
      <c r="DOJ143" s="22"/>
      <c r="DOK143" s="22"/>
      <c r="DOL143" s="22"/>
      <c r="DOM143" s="22"/>
      <c r="DON143" s="22"/>
      <c r="DOO143" s="22"/>
      <c r="DOP143" s="22"/>
      <c r="DOQ143" s="22"/>
      <c r="DOR143" s="22"/>
      <c r="DOS143" s="22"/>
      <c r="DOT143" s="22"/>
      <c r="DOU143" s="22"/>
      <c r="DOV143" s="22"/>
      <c r="DOW143" s="22"/>
      <c r="DOX143" s="22"/>
      <c r="DOY143" s="22"/>
      <c r="DOZ143" s="22"/>
      <c r="DPA143" s="22"/>
      <c r="DPB143" s="22"/>
      <c r="DPC143" s="22"/>
      <c r="DPD143" s="22"/>
      <c r="DPE143" s="22"/>
      <c r="DPF143" s="22"/>
      <c r="DPG143" s="22"/>
      <c r="DPH143" s="22"/>
      <c r="DPI143" s="22"/>
      <c r="DPJ143" s="22"/>
      <c r="DPK143" s="22"/>
      <c r="DPL143" s="22"/>
      <c r="DPM143" s="22"/>
      <c r="DPN143" s="22"/>
      <c r="DPO143" s="22"/>
      <c r="DPP143" s="22"/>
      <c r="DPQ143" s="22"/>
      <c r="DPR143" s="22"/>
      <c r="DPS143" s="22"/>
      <c r="DPT143" s="22"/>
      <c r="DPU143" s="22"/>
      <c r="DPV143" s="22"/>
      <c r="DPW143" s="22"/>
      <c r="DPX143" s="22"/>
      <c r="DPY143" s="22"/>
      <c r="DPZ143" s="22"/>
      <c r="DQA143" s="22"/>
      <c r="DQB143" s="22"/>
      <c r="DQC143" s="22"/>
      <c r="DQD143" s="22"/>
      <c r="DQE143" s="22"/>
      <c r="DQF143" s="22"/>
      <c r="DQG143" s="22"/>
      <c r="DQH143" s="22"/>
      <c r="DQI143" s="22"/>
      <c r="DQJ143" s="22"/>
      <c r="DQK143" s="22"/>
      <c r="DQL143" s="22"/>
      <c r="DQM143" s="22"/>
      <c r="DQN143" s="22"/>
      <c r="DQO143" s="22"/>
      <c r="DQP143" s="22"/>
      <c r="DQQ143" s="22"/>
      <c r="DQR143" s="22"/>
      <c r="DQS143" s="22"/>
      <c r="DQT143" s="22"/>
      <c r="DQU143" s="22"/>
      <c r="DQV143" s="22"/>
      <c r="DQW143" s="22"/>
      <c r="DQX143" s="22"/>
      <c r="DQY143" s="22"/>
      <c r="DQZ143" s="22"/>
      <c r="DRA143" s="22"/>
      <c r="DRB143" s="22"/>
      <c r="DRC143" s="22"/>
      <c r="DRD143" s="22"/>
      <c r="DRE143" s="22"/>
      <c r="DRF143" s="22"/>
      <c r="DRG143" s="22"/>
      <c r="DRH143" s="22"/>
      <c r="DRI143" s="22"/>
      <c r="DRJ143" s="22"/>
      <c r="DRK143" s="22"/>
      <c r="DRL143" s="22"/>
      <c r="DRM143" s="22"/>
      <c r="DRN143" s="22"/>
      <c r="DRO143" s="22"/>
      <c r="DRP143" s="22"/>
      <c r="DRQ143" s="22"/>
      <c r="DRR143" s="22"/>
      <c r="DRS143" s="22"/>
      <c r="DRT143" s="22"/>
      <c r="DRU143" s="22"/>
      <c r="DRV143" s="22"/>
      <c r="DRW143" s="22"/>
      <c r="DRX143" s="22"/>
      <c r="DRY143" s="22"/>
      <c r="DRZ143" s="22"/>
      <c r="DSA143" s="22"/>
      <c r="DSB143" s="22"/>
      <c r="DSC143" s="22"/>
      <c r="DSD143" s="22"/>
      <c r="DSE143" s="22"/>
      <c r="DSF143" s="22"/>
      <c r="DSG143" s="22"/>
      <c r="DSH143" s="22"/>
      <c r="DSI143" s="22"/>
      <c r="DSJ143" s="22"/>
      <c r="DSK143" s="22"/>
      <c r="DSL143" s="22"/>
      <c r="DSM143" s="22"/>
      <c r="DSN143" s="22"/>
      <c r="DSO143" s="22"/>
      <c r="DSP143" s="22"/>
      <c r="DSQ143" s="22"/>
      <c r="DSR143" s="22"/>
      <c r="DSS143" s="22"/>
      <c r="DST143" s="22"/>
      <c r="DSU143" s="22"/>
      <c r="DSV143" s="22"/>
      <c r="DSW143" s="22"/>
      <c r="DSX143" s="22"/>
      <c r="DSY143" s="22"/>
      <c r="DSZ143" s="22"/>
      <c r="DTA143" s="22"/>
      <c r="DTB143" s="22"/>
      <c r="DTC143" s="22"/>
      <c r="DTD143" s="22"/>
      <c r="DTE143" s="22"/>
      <c r="DTF143" s="22"/>
      <c r="DTG143" s="22"/>
      <c r="DTH143" s="22"/>
      <c r="DTI143" s="22"/>
      <c r="DTJ143" s="22"/>
      <c r="DTK143" s="22"/>
      <c r="DTL143" s="22"/>
      <c r="DTM143" s="22"/>
      <c r="DTN143" s="22"/>
      <c r="DTO143" s="22"/>
      <c r="DTP143" s="22"/>
      <c r="DTQ143" s="22"/>
      <c r="DTR143" s="22"/>
      <c r="DTS143" s="22"/>
      <c r="DTT143" s="22"/>
      <c r="DTU143" s="22"/>
      <c r="DTV143" s="22"/>
      <c r="DTW143" s="22"/>
      <c r="DTX143" s="22"/>
      <c r="DTY143" s="22"/>
      <c r="DTZ143" s="22"/>
      <c r="DUA143" s="22"/>
      <c r="DUB143" s="22"/>
      <c r="DUC143" s="22"/>
      <c r="DUD143" s="22"/>
      <c r="DUE143" s="22"/>
      <c r="DUF143" s="22"/>
      <c r="DUG143" s="22"/>
      <c r="DUH143" s="22"/>
      <c r="DUI143" s="22"/>
      <c r="DUJ143" s="22"/>
      <c r="DUK143" s="22"/>
      <c r="DUL143" s="22"/>
      <c r="DUM143" s="22"/>
      <c r="DUN143" s="22"/>
      <c r="DUO143" s="22"/>
      <c r="DUP143" s="22"/>
      <c r="DUQ143" s="22"/>
      <c r="DUR143" s="22"/>
      <c r="DUS143" s="22"/>
      <c r="DUT143" s="22"/>
      <c r="DUU143" s="22"/>
      <c r="DUV143" s="22"/>
      <c r="DUW143" s="22"/>
      <c r="DUX143" s="22"/>
      <c r="DUY143" s="22"/>
      <c r="DUZ143" s="22"/>
      <c r="DVA143" s="22"/>
      <c r="DVB143" s="22"/>
      <c r="DVC143" s="22"/>
      <c r="DVD143" s="22"/>
      <c r="DVE143" s="22"/>
      <c r="DVF143" s="22"/>
      <c r="DVG143" s="22"/>
      <c r="DVH143" s="22"/>
      <c r="DVI143" s="22"/>
      <c r="DVJ143" s="22"/>
      <c r="DVK143" s="22"/>
      <c r="DVL143" s="22"/>
      <c r="DVM143" s="22"/>
      <c r="DVN143" s="22"/>
      <c r="DVO143" s="22"/>
      <c r="DVP143" s="22"/>
      <c r="DVQ143" s="22"/>
      <c r="DVR143" s="22"/>
      <c r="DVS143" s="22"/>
      <c r="DVT143" s="22"/>
      <c r="DVU143" s="22"/>
      <c r="DVV143" s="22"/>
      <c r="DVW143" s="22"/>
      <c r="DVX143" s="22"/>
      <c r="DVY143" s="22"/>
      <c r="DVZ143" s="22"/>
      <c r="DWA143" s="22"/>
      <c r="DWB143" s="22"/>
      <c r="DWC143" s="22"/>
      <c r="DWD143" s="22"/>
      <c r="DWE143" s="22"/>
      <c r="DWF143" s="22"/>
      <c r="DWG143" s="22"/>
      <c r="DWH143" s="22"/>
      <c r="DWI143" s="22"/>
      <c r="DWJ143" s="22"/>
      <c r="DWK143" s="22"/>
      <c r="DWL143" s="22"/>
      <c r="DWM143" s="22"/>
      <c r="DWN143" s="22"/>
      <c r="DWO143" s="22"/>
      <c r="DWP143" s="22"/>
      <c r="DWQ143" s="22"/>
      <c r="DWR143" s="22"/>
      <c r="DWS143" s="22"/>
      <c r="DWT143" s="22"/>
      <c r="DWU143" s="22"/>
      <c r="DWV143" s="22"/>
      <c r="DWW143" s="22"/>
      <c r="DWX143" s="22"/>
      <c r="DWY143" s="22"/>
      <c r="DWZ143" s="22"/>
      <c r="DXA143" s="22"/>
      <c r="DXB143" s="22"/>
      <c r="DXC143" s="22"/>
      <c r="DXD143" s="22"/>
      <c r="DXE143" s="22"/>
      <c r="DXF143" s="22"/>
      <c r="DXG143" s="22"/>
      <c r="DXH143" s="22"/>
      <c r="DXI143" s="22"/>
      <c r="DXJ143" s="22"/>
      <c r="DXK143" s="22"/>
      <c r="DXL143" s="22"/>
      <c r="DXM143" s="22"/>
      <c r="DXN143" s="22"/>
      <c r="DXO143" s="22"/>
      <c r="DXP143" s="22"/>
      <c r="DXQ143" s="22"/>
      <c r="DXR143" s="22"/>
      <c r="DXS143" s="22"/>
      <c r="DXT143" s="22"/>
      <c r="DXU143" s="22"/>
      <c r="DXV143" s="22"/>
      <c r="DXW143" s="22"/>
      <c r="DXX143" s="22"/>
      <c r="DXY143" s="22"/>
      <c r="DXZ143" s="22"/>
      <c r="DYA143" s="22"/>
      <c r="DYB143" s="22"/>
      <c r="DYC143" s="22"/>
      <c r="DYD143" s="22"/>
      <c r="DYE143" s="22"/>
      <c r="DYF143" s="22"/>
      <c r="DYG143" s="22"/>
      <c r="DYH143" s="22"/>
      <c r="DYI143" s="22"/>
      <c r="DYJ143" s="22"/>
      <c r="DYK143" s="22"/>
      <c r="DYL143" s="22"/>
      <c r="DYM143" s="22"/>
      <c r="DYN143" s="22"/>
      <c r="DYO143" s="22"/>
      <c r="DYP143" s="22"/>
      <c r="DYQ143" s="22"/>
      <c r="DYR143" s="22"/>
      <c r="DYS143" s="22"/>
      <c r="DYT143" s="22"/>
      <c r="DYU143" s="22"/>
      <c r="DYV143" s="22"/>
      <c r="DYW143" s="22"/>
      <c r="DYX143" s="22"/>
      <c r="DYY143" s="22"/>
      <c r="DYZ143" s="22"/>
      <c r="DZA143" s="22"/>
      <c r="DZB143" s="22"/>
      <c r="DZC143" s="22"/>
      <c r="DZD143" s="22"/>
      <c r="DZE143" s="22"/>
      <c r="DZF143" s="22"/>
      <c r="DZG143" s="22"/>
      <c r="DZH143" s="22"/>
      <c r="DZI143" s="22"/>
      <c r="DZJ143" s="22"/>
      <c r="DZK143" s="22"/>
      <c r="DZL143" s="22"/>
      <c r="DZM143" s="22"/>
      <c r="DZN143" s="22"/>
      <c r="DZO143" s="22"/>
      <c r="DZP143" s="22"/>
      <c r="DZQ143" s="22"/>
      <c r="DZR143" s="22"/>
      <c r="DZS143" s="22"/>
      <c r="DZT143" s="22"/>
      <c r="DZU143" s="22"/>
      <c r="DZV143" s="22"/>
      <c r="DZW143" s="22"/>
      <c r="DZX143" s="22"/>
      <c r="DZY143" s="22"/>
      <c r="DZZ143" s="22"/>
      <c r="EAA143" s="22"/>
      <c r="EAB143" s="22"/>
      <c r="EAC143" s="22"/>
      <c r="EAD143" s="22"/>
      <c r="EAE143" s="22"/>
      <c r="EAF143" s="22"/>
      <c r="EAG143" s="22"/>
      <c r="EAH143" s="22"/>
      <c r="EAI143" s="22"/>
      <c r="EAJ143" s="22"/>
      <c r="EAK143" s="22"/>
      <c r="EAL143" s="22"/>
      <c r="EAM143" s="22"/>
      <c r="EAN143" s="22"/>
      <c r="EAO143" s="22"/>
      <c r="EAP143" s="22"/>
      <c r="EAQ143" s="22"/>
      <c r="EAR143" s="22"/>
      <c r="EAS143" s="22"/>
      <c r="EAT143" s="22"/>
      <c r="EAU143" s="22"/>
      <c r="EAV143" s="22"/>
      <c r="EAW143" s="22"/>
      <c r="EAX143" s="22"/>
      <c r="EAY143" s="22"/>
      <c r="EAZ143" s="22"/>
      <c r="EBA143" s="22"/>
      <c r="EBB143" s="22"/>
      <c r="EBC143" s="22"/>
      <c r="EBD143" s="22"/>
      <c r="EBE143" s="22"/>
      <c r="EBF143" s="22"/>
      <c r="EBG143" s="22"/>
      <c r="EBH143" s="22"/>
      <c r="EBI143" s="22"/>
      <c r="EBJ143" s="22"/>
      <c r="EBK143" s="22"/>
      <c r="EBL143" s="22"/>
      <c r="EBM143" s="22"/>
      <c r="EBN143" s="22"/>
      <c r="EBO143" s="22"/>
      <c r="EBP143" s="22"/>
      <c r="EBQ143" s="22"/>
      <c r="EBR143" s="22"/>
      <c r="EBS143" s="22"/>
      <c r="EBT143" s="22"/>
      <c r="EBU143" s="22"/>
      <c r="EBV143" s="22"/>
      <c r="EBW143" s="22"/>
      <c r="EBX143" s="22"/>
      <c r="EBY143" s="22"/>
      <c r="EBZ143" s="22"/>
      <c r="ECA143" s="22"/>
      <c r="ECB143" s="22"/>
      <c r="ECC143" s="22"/>
      <c r="ECD143" s="22"/>
      <c r="ECE143" s="22"/>
      <c r="ECF143" s="22"/>
      <c r="ECG143" s="22"/>
      <c r="ECH143" s="22"/>
      <c r="ECI143" s="22"/>
      <c r="ECJ143" s="22"/>
      <c r="ECK143" s="22"/>
      <c r="ECL143" s="22"/>
      <c r="ECM143" s="22"/>
      <c r="ECN143" s="22"/>
      <c r="ECO143" s="22"/>
      <c r="ECP143" s="22"/>
      <c r="ECQ143" s="22"/>
      <c r="ECR143" s="22"/>
      <c r="ECS143" s="22"/>
      <c r="ECT143" s="22"/>
      <c r="ECU143" s="22"/>
      <c r="ECV143" s="22"/>
      <c r="ECW143" s="22"/>
      <c r="ECX143" s="22"/>
      <c r="ECY143" s="22"/>
      <c r="ECZ143" s="22"/>
      <c r="EDA143" s="22"/>
      <c r="EDB143" s="22"/>
      <c r="EDC143" s="22"/>
      <c r="EDD143" s="22"/>
      <c r="EDE143" s="22"/>
      <c r="EDF143" s="22"/>
      <c r="EDG143" s="22"/>
      <c r="EDH143" s="22"/>
      <c r="EDI143" s="22"/>
      <c r="EDJ143" s="22"/>
      <c r="EDK143" s="22"/>
      <c r="EDL143" s="22"/>
      <c r="EDM143" s="22"/>
      <c r="EDN143" s="22"/>
      <c r="EDO143" s="22"/>
      <c r="EDP143" s="22"/>
      <c r="EDQ143" s="22"/>
      <c r="EDR143" s="22"/>
      <c r="EDS143" s="22"/>
      <c r="EDT143" s="22"/>
      <c r="EDU143" s="22"/>
      <c r="EDV143" s="22"/>
      <c r="EDW143" s="22"/>
      <c r="EDX143" s="22"/>
      <c r="EDY143" s="22"/>
      <c r="EDZ143" s="22"/>
      <c r="EEA143" s="22"/>
      <c r="EEB143" s="22"/>
      <c r="EEC143" s="22"/>
      <c r="EED143" s="22"/>
      <c r="EEE143" s="22"/>
      <c r="EEF143" s="22"/>
      <c r="EEG143" s="22"/>
      <c r="EEH143" s="22"/>
      <c r="EEI143" s="22"/>
      <c r="EEJ143" s="22"/>
      <c r="EEK143" s="22"/>
      <c r="EEL143" s="22"/>
      <c r="EEM143" s="22"/>
      <c r="EEN143" s="22"/>
      <c r="EEO143" s="22"/>
      <c r="EEP143" s="22"/>
      <c r="EEQ143" s="22"/>
      <c r="EER143" s="22"/>
      <c r="EES143" s="22"/>
      <c r="EET143" s="22"/>
      <c r="EEU143" s="22"/>
      <c r="EEV143" s="22"/>
      <c r="EEW143" s="22"/>
      <c r="EEX143" s="22"/>
      <c r="EEY143" s="22"/>
      <c r="EEZ143" s="22"/>
      <c r="EFA143" s="22"/>
      <c r="EFB143" s="22"/>
      <c r="EFC143" s="22"/>
      <c r="EFD143" s="22"/>
      <c r="EFE143" s="22"/>
      <c r="EFF143" s="22"/>
      <c r="EFG143" s="22"/>
      <c r="EFH143" s="22"/>
      <c r="EFI143" s="22"/>
      <c r="EFJ143" s="22"/>
      <c r="EFK143" s="22"/>
      <c r="EFL143" s="22"/>
      <c r="EFM143" s="22"/>
      <c r="EFN143" s="22"/>
      <c r="EFO143" s="22"/>
      <c r="EFP143" s="22"/>
      <c r="EFQ143" s="22"/>
      <c r="EFR143" s="22"/>
      <c r="EFS143" s="22"/>
      <c r="EFT143" s="22"/>
      <c r="EFU143" s="22"/>
      <c r="EFV143" s="22"/>
      <c r="EFW143" s="22"/>
      <c r="EFX143" s="22"/>
      <c r="EFY143" s="22"/>
      <c r="EFZ143" s="22"/>
      <c r="EGA143" s="22"/>
      <c r="EGB143" s="22"/>
      <c r="EGC143" s="22"/>
      <c r="EGD143" s="22"/>
      <c r="EGE143" s="22"/>
      <c r="EGF143" s="22"/>
      <c r="EGG143" s="22"/>
      <c r="EGH143" s="22"/>
      <c r="EGI143" s="22"/>
      <c r="EGJ143" s="22"/>
      <c r="EGK143" s="22"/>
      <c r="EGL143" s="22"/>
      <c r="EGM143" s="22"/>
      <c r="EGN143" s="22"/>
      <c r="EGO143" s="22"/>
      <c r="EGP143" s="22"/>
      <c r="EGQ143" s="22"/>
      <c r="EGR143" s="22"/>
      <c r="EGS143" s="22"/>
      <c r="EGT143" s="22"/>
      <c r="EGU143" s="22"/>
      <c r="EGV143" s="22"/>
      <c r="EGW143" s="22"/>
      <c r="EGX143" s="22"/>
      <c r="EGY143" s="22"/>
      <c r="EGZ143" s="22"/>
      <c r="EHA143" s="22"/>
      <c r="EHB143" s="22"/>
      <c r="EHC143" s="22"/>
      <c r="EHD143" s="22"/>
      <c r="EHE143" s="22"/>
      <c r="EHF143" s="22"/>
      <c r="EHG143" s="22"/>
      <c r="EHH143" s="22"/>
      <c r="EHI143" s="22"/>
      <c r="EHJ143" s="22"/>
      <c r="EHK143" s="22"/>
      <c r="EHL143" s="22"/>
      <c r="EHM143" s="22"/>
      <c r="EHN143" s="22"/>
      <c r="EHO143" s="22"/>
      <c r="EHP143" s="22"/>
      <c r="EHQ143" s="22"/>
      <c r="EHR143" s="22"/>
      <c r="EHS143" s="22"/>
      <c r="EHT143" s="22"/>
      <c r="EHU143" s="22"/>
      <c r="EHV143" s="22"/>
      <c r="EHW143" s="22"/>
      <c r="EHX143" s="22"/>
      <c r="EHY143" s="22"/>
      <c r="EHZ143" s="22"/>
      <c r="EIA143" s="22"/>
      <c r="EIB143" s="22"/>
      <c r="EIC143" s="22"/>
      <c r="EID143" s="22"/>
      <c r="EIE143" s="22"/>
      <c r="EIF143" s="22"/>
      <c r="EIG143" s="22"/>
      <c r="EIH143" s="22"/>
      <c r="EII143" s="22"/>
      <c r="EIJ143" s="22"/>
      <c r="EIK143" s="22"/>
      <c r="EIL143" s="22"/>
      <c r="EIM143" s="22"/>
      <c r="EIN143" s="22"/>
      <c r="EIO143" s="22"/>
      <c r="EIP143" s="22"/>
      <c r="EIQ143" s="22"/>
      <c r="EIR143" s="22"/>
      <c r="EIS143" s="22"/>
      <c r="EIT143" s="22"/>
      <c r="EIU143" s="22"/>
      <c r="EIV143" s="22"/>
      <c r="EIW143" s="22"/>
      <c r="EIX143" s="22"/>
      <c r="EIY143" s="22"/>
      <c r="EIZ143" s="22"/>
      <c r="EJA143" s="22"/>
      <c r="EJB143" s="22"/>
      <c r="EJC143" s="22"/>
      <c r="EJD143" s="22"/>
      <c r="EJE143" s="22"/>
      <c r="EJF143" s="22"/>
      <c r="EJG143" s="22"/>
      <c r="EJH143" s="22"/>
      <c r="EJI143" s="22"/>
      <c r="EJJ143" s="22"/>
      <c r="EJK143" s="22"/>
      <c r="EJL143" s="22"/>
      <c r="EJM143" s="22"/>
      <c r="EJN143" s="22"/>
      <c r="EJO143" s="22"/>
      <c r="EJP143" s="22"/>
      <c r="EJQ143" s="22"/>
      <c r="EJR143" s="22"/>
      <c r="EJS143" s="22"/>
      <c r="EJT143" s="22"/>
      <c r="EJU143" s="22"/>
      <c r="EJV143" s="22"/>
      <c r="EJW143" s="22"/>
      <c r="EJX143" s="22"/>
      <c r="EJY143" s="22"/>
      <c r="EJZ143" s="22"/>
      <c r="EKA143" s="22"/>
      <c r="EKB143" s="22"/>
      <c r="EKC143" s="22"/>
      <c r="EKD143" s="22"/>
      <c r="EKE143" s="22"/>
      <c r="EKF143" s="22"/>
      <c r="EKG143" s="22"/>
      <c r="EKH143" s="22"/>
      <c r="EKI143" s="22"/>
      <c r="EKJ143" s="22"/>
      <c r="EKK143" s="22"/>
      <c r="EKL143" s="22"/>
      <c r="EKM143" s="22"/>
      <c r="EKN143" s="22"/>
      <c r="EKO143" s="22"/>
      <c r="EKP143" s="22"/>
      <c r="EKQ143" s="22"/>
      <c r="EKR143" s="22"/>
      <c r="EKS143" s="22"/>
      <c r="EKT143" s="22"/>
      <c r="EKU143" s="22"/>
      <c r="EKV143" s="22"/>
      <c r="EKW143" s="22"/>
      <c r="EKX143" s="22"/>
      <c r="EKY143" s="22"/>
      <c r="EKZ143" s="22"/>
      <c r="ELA143" s="22"/>
      <c r="ELB143" s="22"/>
      <c r="ELC143" s="22"/>
      <c r="ELD143" s="22"/>
      <c r="ELE143" s="22"/>
      <c r="ELF143" s="22"/>
      <c r="ELG143" s="22"/>
      <c r="ELH143" s="22"/>
      <c r="ELI143" s="22"/>
      <c r="ELJ143" s="22"/>
      <c r="ELK143" s="22"/>
      <c r="ELL143" s="22"/>
      <c r="ELM143" s="22"/>
      <c r="ELN143" s="22"/>
      <c r="ELO143" s="22"/>
      <c r="ELP143" s="22"/>
      <c r="ELQ143" s="22"/>
      <c r="ELR143" s="22"/>
      <c r="ELS143" s="22"/>
      <c r="ELT143" s="22"/>
      <c r="ELU143" s="22"/>
      <c r="ELV143" s="22"/>
      <c r="ELW143" s="22"/>
      <c r="ELX143" s="22"/>
      <c r="ELY143" s="22"/>
      <c r="ELZ143" s="22"/>
      <c r="EMA143" s="22"/>
      <c r="EMB143" s="22"/>
      <c r="EMC143" s="22"/>
      <c r="EMD143" s="22"/>
      <c r="EME143" s="22"/>
      <c r="EMF143" s="22"/>
      <c r="EMG143" s="22"/>
      <c r="EMH143" s="22"/>
      <c r="EMI143" s="22"/>
      <c r="EMJ143" s="22"/>
      <c r="EMK143" s="22"/>
      <c r="EML143" s="22"/>
      <c r="EMM143" s="22"/>
      <c r="EMN143" s="22"/>
      <c r="EMO143" s="22"/>
      <c r="EMP143" s="22"/>
      <c r="EMQ143" s="22"/>
      <c r="EMR143" s="22"/>
      <c r="EMS143" s="22"/>
      <c r="EMT143" s="22"/>
      <c r="EMU143" s="22"/>
      <c r="EMV143" s="22"/>
      <c r="EMW143" s="22"/>
      <c r="EMX143" s="22"/>
      <c r="EMY143" s="22"/>
      <c r="EMZ143" s="22"/>
      <c r="ENA143" s="22"/>
      <c r="ENB143" s="22"/>
      <c r="ENC143" s="22"/>
      <c r="END143" s="22"/>
      <c r="ENE143" s="22"/>
      <c r="ENF143" s="22"/>
      <c r="ENG143" s="22"/>
      <c r="ENH143" s="22"/>
      <c r="ENI143" s="22"/>
      <c r="ENJ143" s="22"/>
      <c r="ENK143" s="22"/>
      <c r="ENL143" s="22"/>
      <c r="ENM143" s="22"/>
      <c r="ENN143" s="22"/>
      <c r="ENO143" s="22"/>
      <c r="ENP143" s="22"/>
      <c r="ENQ143" s="22"/>
      <c r="ENR143" s="22"/>
      <c r="ENS143" s="22"/>
      <c r="ENT143" s="22"/>
      <c r="ENU143" s="22"/>
      <c r="ENV143" s="22"/>
      <c r="ENW143" s="22"/>
      <c r="ENX143" s="22"/>
      <c r="ENY143" s="22"/>
      <c r="ENZ143" s="22"/>
      <c r="EOA143" s="22"/>
      <c r="EOB143" s="22"/>
      <c r="EOC143" s="22"/>
      <c r="EOD143" s="22"/>
      <c r="EOE143" s="22"/>
      <c r="EOF143" s="22"/>
      <c r="EOG143" s="22"/>
      <c r="EOH143" s="22"/>
      <c r="EOI143" s="22"/>
      <c r="EOJ143" s="22"/>
      <c r="EOK143" s="22"/>
      <c r="EOL143" s="22"/>
      <c r="EOM143" s="22"/>
      <c r="EON143" s="22"/>
      <c r="EOO143" s="22"/>
      <c r="EOP143" s="22"/>
      <c r="EOQ143" s="22"/>
      <c r="EOR143" s="22"/>
      <c r="EOS143" s="22"/>
      <c r="EOT143" s="22"/>
      <c r="EOU143" s="22"/>
      <c r="EOV143" s="22"/>
      <c r="EOW143" s="22"/>
      <c r="EOX143" s="22"/>
      <c r="EOY143" s="22"/>
      <c r="EOZ143" s="22"/>
      <c r="EPA143" s="22"/>
      <c r="EPB143" s="22"/>
      <c r="EPC143" s="22"/>
      <c r="EPD143" s="22"/>
      <c r="EPE143" s="22"/>
      <c r="EPF143" s="22"/>
      <c r="EPG143" s="22"/>
      <c r="EPH143" s="22"/>
      <c r="EPI143" s="22"/>
      <c r="EPJ143" s="22"/>
      <c r="EPK143" s="22"/>
      <c r="EPL143" s="22"/>
      <c r="EPM143" s="22"/>
      <c r="EPN143" s="22"/>
      <c r="EPO143" s="22"/>
      <c r="EPP143" s="22"/>
      <c r="EPQ143" s="22"/>
      <c r="EPR143" s="22"/>
      <c r="EPS143" s="22"/>
      <c r="EPT143" s="22"/>
      <c r="EPU143" s="22"/>
      <c r="EPV143" s="22"/>
      <c r="EPW143" s="22"/>
      <c r="EPX143" s="22"/>
      <c r="EPY143" s="22"/>
      <c r="EPZ143" s="22"/>
      <c r="EQA143" s="22"/>
      <c r="EQB143" s="22"/>
      <c r="EQC143" s="22"/>
      <c r="EQD143" s="22"/>
      <c r="EQE143" s="22"/>
      <c r="EQF143" s="22"/>
      <c r="EQG143" s="22"/>
      <c r="EQH143" s="22"/>
      <c r="EQI143" s="22"/>
      <c r="EQJ143" s="22"/>
      <c r="EQK143" s="22"/>
      <c r="EQL143" s="22"/>
      <c r="EQM143" s="22"/>
      <c r="EQN143" s="22"/>
      <c r="EQO143" s="22"/>
      <c r="EQP143" s="22"/>
      <c r="EQQ143" s="22"/>
      <c r="EQR143" s="22"/>
      <c r="EQS143" s="22"/>
      <c r="EQT143" s="22"/>
      <c r="EQU143" s="22"/>
      <c r="EQV143" s="22"/>
      <c r="EQW143" s="22"/>
      <c r="EQX143" s="22"/>
      <c r="EQY143" s="22"/>
      <c r="EQZ143" s="22"/>
      <c r="ERA143" s="22"/>
      <c r="ERB143" s="22"/>
      <c r="ERC143" s="22"/>
      <c r="ERD143" s="22"/>
      <c r="ERE143" s="22"/>
      <c r="ERF143" s="22"/>
      <c r="ERG143" s="22"/>
      <c r="ERH143" s="22"/>
      <c r="ERI143" s="22"/>
      <c r="ERJ143" s="22"/>
      <c r="ERK143" s="22"/>
      <c r="ERL143" s="22"/>
      <c r="ERM143" s="22"/>
      <c r="ERN143" s="22"/>
      <c r="ERO143" s="22"/>
      <c r="ERP143" s="22"/>
      <c r="ERQ143" s="22"/>
      <c r="ERR143" s="22"/>
      <c r="ERS143" s="22"/>
      <c r="ERT143" s="22"/>
      <c r="ERU143" s="22"/>
      <c r="ERV143" s="22"/>
      <c r="ERW143" s="22"/>
      <c r="ERX143" s="22"/>
      <c r="ERY143" s="22"/>
      <c r="ERZ143" s="22"/>
      <c r="ESA143" s="22"/>
      <c r="ESB143" s="22"/>
      <c r="ESC143" s="22"/>
      <c r="ESD143" s="22"/>
      <c r="ESE143" s="22"/>
      <c r="ESF143" s="22"/>
      <c r="ESG143" s="22"/>
      <c r="ESH143" s="22"/>
      <c r="ESI143" s="22"/>
      <c r="ESJ143" s="22"/>
      <c r="ESK143" s="22"/>
      <c r="ESL143" s="22"/>
      <c r="ESM143" s="22"/>
      <c r="ESN143" s="22"/>
      <c r="ESO143" s="22"/>
      <c r="ESP143" s="22"/>
      <c r="ESQ143" s="22"/>
      <c r="ESR143" s="22"/>
      <c r="ESS143" s="22"/>
      <c r="EST143" s="22"/>
      <c r="ESU143" s="22"/>
      <c r="ESV143" s="22"/>
      <c r="ESW143" s="22"/>
      <c r="ESX143" s="22"/>
      <c r="ESY143" s="22"/>
      <c r="ESZ143" s="22"/>
      <c r="ETA143" s="22"/>
      <c r="ETB143" s="22"/>
      <c r="ETC143" s="22"/>
      <c r="ETD143" s="22"/>
      <c r="ETE143" s="22"/>
      <c r="ETF143" s="22"/>
      <c r="ETG143" s="22"/>
      <c r="ETH143" s="22"/>
      <c r="ETI143" s="22"/>
      <c r="ETJ143" s="22"/>
      <c r="ETK143" s="22"/>
      <c r="ETL143" s="22"/>
      <c r="ETM143" s="22"/>
      <c r="ETN143" s="22"/>
      <c r="ETO143" s="22"/>
      <c r="ETP143" s="22"/>
      <c r="ETQ143" s="22"/>
      <c r="ETR143" s="22"/>
      <c r="ETS143" s="22"/>
      <c r="ETT143" s="22"/>
      <c r="ETU143" s="22"/>
      <c r="ETV143" s="22"/>
      <c r="ETW143" s="22"/>
      <c r="ETX143" s="22"/>
      <c r="ETY143" s="22"/>
      <c r="ETZ143" s="22"/>
      <c r="EUA143" s="22"/>
      <c r="EUB143" s="22"/>
      <c r="EUC143" s="22"/>
      <c r="EUD143" s="22"/>
      <c r="EUE143" s="22"/>
      <c r="EUF143" s="22"/>
      <c r="EUG143" s="22"/>
      <c r="EUH143" s="22"/>
      <c r="EUI143" s="22"/>
      <c r="EUJ143" s="22"/>
      <c r="EUK143" s="22"/>
      <c r="EUL143" s="22"/>
      <c r="EUM143" s="22"/>
      <c r="EUN143" s="22"/>
      <c r="EUO143" s="22"/>
      <c r="EUP143" s="22"/>
      <c r="EUQ143" s="22"/>
      <c r="EUR143" s="22"/>
      <c r="EUS143" s="22"/>
      <c r="EUT143" s="22"/>
      <c r="EUU143" s="22"/>
      <c r="EUV143" s="22"/>
      <c r="EUW143" s="22"/>
      <c r="EUX143" s="22"/>
      <c r="EUY143" s="22"/>
      <c r="EUZ143" s="22"/>
      <c r="EVA143" s="22"/>
      <c r="EVB143" s="22"/>
      <c r="EVC143" s="22"/>
      <c r="EVD143" s="22"/>
      <c r="EVE143" s="22"/>
      <c r="EVF143" s="22"/>
      <c r="EVG143" s="22"/>
      <c r="EVH143" s="22"/>
      <c r="EVI143" s="22"/>
      <c r="EVJ143" s="22"/>
      <c r="EVK143" s="22"/>
      <c r="EVL143" s="22"/>
      <c r="EVM143" s="22"/>
      <c r="EVN143" s="22"/>
      <c r="EVO143" s="22"/>
      <c r="EVP143" s="22"/>
      <c r="EVQ143" s="22"/>
      <c r="EVR143" s="22"/>
      <c r="EVS143" s="22"/>
      <c r="EVT143" s="22"/>
      <c r="EVU143" s="22"/>
      <c r="EVV143" s="22"/>
      <c r="EVW143" s="22"/>
      <c r="EVX143" s="22"/>
      <c r="EVY143" s="22"/>
      <c r="EVZ143" s="22"/>
      <c r="EWA143" s="22"/>
      <c r="EWB143" s="22"/>
      <c r="EWC143" s="22"/>
      <c r="EWD143" s="22"/>
      <c r="EWE143" s="22"/>
      <c r="EWF143" s="22"/>
      <c r="EWG143" s="22"/>
      <c r="EWH143" s="22"/>
      <c r="EWI143" s="22"/>
      <c r="EWJ143" s="22"/>
      <c r="EWK143" s="22"/>
      <c r="EWL143" s="22"/>
      <c r="EWM143" s="22"/>
      <c r="EWN143" s="22"/>
      <c r="EWO143" s="22"/>
      <c r="EWP143" s="22"/>
      <c r="EWQ143" s="22"/>
      <c r="EWR143" s="22"/>
      <c r="EWS143" s="22"/>
      <c r="EWT143" s="22"/>
      <c r="EWU143" s="22"/>
      <c r="EWV143" s="22"/>
      <c r="EWW143" s="22"/>
      <c r="EWX143" s="22"/>
      <c r="EWY143" s="22"/>
      <c r="EWZ143" s="22"/>
      <c r="EXA143" s="22"/>
      <c r="EXB143" s="22"/>
      <c r="EXC143" s="22"/>
      <c r="EXD143" s="22"/>
      <c r="EXE143" s="22"/>
      <c r="EXF143" s="22"/>
      <c r="EXG143" s="22"/>
      <c r="EXH143" s="22"/>
      <c r="EXI143" s="22"/>
      <c r="EXJ143" s="22"/>
      <c r="EXK143" s="22"/>
      <c r="EXL143" s="22"/>
      <c r="EXM143" s="22"/>
      <c r="EXN143" s="22"/>
      <c r="EXO143" s="22"/>
      <c r="EXP143" s="22"/>
      <c r="EXQ143" s="22"/>
      <c r="EXR143" s="22"/>
      <c r="EXS143" s="22"/>
      <c r="EXT143" s="22"/>
      <c r="EXU143" s="22"/>
      <c r="EXV143" s="22"/>
      <c r="EXW143" s="22"/>
      <c r="EXX143" s="22"/>
      <c r="EXY143" s="22"/>
      <c r="EXZ143" s="22"/>
      <c r="EYA143" s="22"/>
      <c r="EYB143" s="22"/>
      <c r="EYC143" s="22"/>
      <c r="EYD143" s="22"/>
      <c r="EYE143" s="22"/>
      <c r="EYF143" s="22"/>
      <c r="EYG143" s="22"/>
      <c r="EYH143" s="22"/>
      <c r="EYI143" s="22"/>
      <c r="EYJ143" s="22"/>
      <c r="EYK143" s="22"/>
      <c r="EYL143" s="22"/>
      <c r="EYM143" s="22"/>
      <c r="EYN143" s="22"/>
      <c r="EYO143" s="22"/>
      <c r="EYP143" s="22"/>
      <c r="EYQ143" s="22"/>
      <c r="EYR143" s="22"/>
      <c r="EYS143" s="22"/>
      <c r="EYT143" s="22"/>
      <c r="EYU143" s="22"/>
      <c r="EYV143" s="22"/>
      <c r="EYW143" s="22"/>
      <c r="EYX143" s="22"/>
      <c r="EYY143" s="22"/>
      <c r="EYZ143" s="22"/>
      <c r="EZA143" s="22"/>
      <c r="EZB143" s="22"/>
      <c r="EZC143" s="22"/>
      <c r="EZD143" s="22"/>
      <c r="EZE143" s="22"/>
      <c r="EZF143" s="22"/>
      <c r="EZG143" s="22"/>
      <c r="EZH143" s="22"/>
      <c r="EZI143" s="22"/>
      <c r="EZJ143" s="22"/>
      <c r="EZK143" s="22"/>
      <c r="EZL143" s="22"/>
      <c r="EZM143" s="22"/>
      <c r="EZN143" s="22"/>
      <c r="EZO143" s="22"/>
      <c r="EZP143" s="22"/>
      <c r="EZQ143" s="22"/>
      <c r="EZR143" s="22"/>
      <c r="EZS143" s="22"/>
      <c r="EZT143" s="22"/>
      <c r="EZU143" s="22"/>
      <c r="EZV143" s="22"/>
      <c r="EZW143" s="22"/>
      <c r="EZX143" s="22"/>
      <c r="EZY143" s="22"/>
      <c r="EZZ143" s="22"/>
      <c r="FAA143" s="22"/>
      <c r="FAB143" s="22"/>
      <c r="FAC143" s="22"/>
      <c r="FAD143" s="22"/>
      <c r="FAE143" s="22"/>
      <c r="FAF143" s="22"/>
      <c r="FAG143" s="22"/>
      <c r="FAH143" s="22"/>
      <c r="FAI143" s="22"/>
      <c r="FAJ143" s="22"/>
      <c r="FAK143" s="22"/>
      <c r="FAL143" s="22"/>
      <c r="FAM143" s="22"/>
      <c r="FAN143" s="22"/>
      <c r="FAO143" s="22"/>
      <c r="FAP143" s="22"/>
      <c r="FAQ143" s="22"/>
      <c r="FAR143" s="22"/>
      <c r="FAS143" s="22"/>
      <c r="FAT143" s="22"/>
      <c r="FAU143" s="22"/>
      <c r="FAV143" s="22"/>
      <c r="FAW143" s="22"/>
      <c r="FAX143" s="22"/>
      <c r="FAY143" s="22"/>
      <c r="FAZ143" s="22"/>
      <c r="FBA143" s="22"/>
      <c r="FBB143" s="22"/>
      <c r="FBC143" s="22"/>
      <c r="FBD143" s="22"/>
      <c r="FBE143" s="22"/>
      <c r="FBF143" s="22"/>
      <c r="FBG143" s="22"/>
      <c r="FBH143" s="22"/>
      <c r="FBI143" s="22"/>
      <c r="FBJ143" s="22"/>
      <c r="FBK143" s="22"/>
      <c r="FBL143" s="22"/>
      <c r="FBM143" s="22"/>
      <c r="FBN143" s="22"/>
      <c r="FBO143" s="22"/>
      <c r="FBP143" s="22"/>
      <c r="FBQ143" s="22"/>
      <c r="FBR143" s="22"/>
      <c r="FBS143" s="22"/>
      <c r="FBT143" s="22"/>
      <c r="FBU143" s="22"/>
      <c r="FBV143" s="22"/>
      <c r="FBW143" s="22"/>
      <c r="FBX143" s="22"/>
      <c r="FBY143" s="22"/>
      <c r="FBZ143" s="22"/>
      <c r="FCA143" s="22"/>
      <c r="FCB143" s="22"/>
      <c r="FCC143" s="22"/>
      <c r="FCD143" s="22"/>
      <c r="FCE143" s="22"/>
      <c r="FCF143" s="22"/>
      <c r="FCG143" s="22"/>
      <c r="FCH143" s="22"/>
      <c r="FCI143" s="22"/>
      <c r="FCJ143" s="22"/>
      <c r="FCK143" s="22"/>
      <c r="FCL143" s="22"/>
      <c r="FCM143" s="22"/>
      <c r="FCN143" s="22"/>
      <c r="FCO143" s="22"/>
      <c r="FCP143" s="22"/>
      <c r="FCQ143" s="22"/>
      <c r="FCR143" s="22"/>
      <c r="FCS143" s="22"/>
      <c r="FCT143" s="22"/>
      <c r="FCU143" s="22"/>
      <c r="FCV143" s="22"/>
      <c r="FCW143" s="22"/>
      <c r="FCX143" s="22"/>
      <c r="FCY143" s="22"/>
      <c r="FCZ143" s="22"/>
      <c r="FDA143" s="22"/>
      <c r="FDB143" s="22"/>
      <c r="FDC143" s="22"/>
      <c r="FDD143" s="22"/>
      <c r="FDE143" s="22"/>
      <c r="FDF143" s="22"/>
      <c r="FDG143" s="22"/>
      <c r="FDH143" s="22"/>
      <c r="FDI143" s="22"/>
      <c r="FDJ143" s="22"/>
      <c r="FDK143" s="22"/>
      <c r="FDL143" s="22"/>
      <c r="FDM143" s="22"/>
      <c r="FDN143" s="22"/>
      <c r="FDO143" s="22"/>
      <c r="FDP143" s="22"/>
      <c r="FDQ143" s="22"/>
      <c r="FDR143" s="22"/>
      <c r="FDS143" s="22"/>
      <c r="FDT143" s="22"/>
      <c r="FDU143" s="22"/>
      <c r="FDV143" s="22"/>
      <c r="FDW143" s="22"/>
      <c r="FDX143" s="22"/>
      <c r="FDY143" s="22"/>
      <c r="FDZ143" s="22"/>
      <c r="FEA143" s="22"/>
      <c r="FEB143" s="22"/>
      <c r="FEC143" s="22"/>
      <c r="FED143" s="22"/>
      <c r="FEE143" s="22"/>
      <c r="FEF143" s="22"/>
      <c r="FEG143" s="22"/>
      <c r="FEH143" s="22"/>
      <c r="FEI143" s="22"/>
      <c r="FEJ143" s="22"/>
      <c r="FEK143" s="22"/>
      <c r="FEL143" s="22"/>
      <c r="FEM143" s="22"/>
      <c r="FEN143" s="22"/>
      <c r="FEO143" s="22"/>
      <c r="FEP143" s="22"/>
      <c r="FEQ143" s="22"/>
      <c r="FER143" s="22"/>
      <c r="FES143" s="22"/>
      <c r="FET143" s="22"/>
      <c r="FEU143" s="22"/>
      <c r="FEV143" s="22"/>
      <c r="FEW143" s="22"/>
      <c r="FEX143" s="22"/>
      <c r="FEY143" s="22"/>
      <c r="FEZ143" s="22"/>
      <c r="FFA143" s="22"/>
      <c r="FFB143" s="22"/>
      <c r="FFC143" s="22"/>
      <c r="FFD143" s="22"/>
      <c r="FFE143" s="22"/>
      <c r="FFF143" s="22"/>
      <c r="FFG143" s="22"/>
      <c r="FFH143" s="22"/>
      <c r="FFI143" s="22"/>
      <c r="FFJ143" s="22"/>
      <c r="FFK143" s="22"/>
      <c r="FFL143" s="22"/>
      <c r="FFM143" s="22"/>
      <c r="FFN143" s="22"/>
      <c r="FFO143" s="22"/>
      <c r="FFP143" s="22"/>
      <c r="FFQ143" s="22"/>
      <c r="FFR143" s="22"/>
      <c r="FFS143" s="22"/>
      <c r="FFT143" s="22"/>
      <c r="FFU143" s="22"/>
      <c r="FFV143" s="22"/>
      <c r="FFW143" s="22"/>
      <c r="FFX143" s="22"/>
      <c r="FFY143" s="22"/>
      <c r="FFZ143" s="22"/>
      <c r="FGA143" s="22"/>
      <c r="FGB143" s="22"/>
      <c r="FGC143" s="22"/>
      <c r="FGD143" s="22"/>
      <c r="FGE143" s="22"/>
      <c r="FGF143" s="22"/>
      <c r="FGG143" s="22"/>
      <c r="FGH143" s="22"/>
      <c r="FGI143" s="22"/>
      <c r="FGJ143" s="22"/>
      <c r="FGK143" s="22"/>
      <c r="FGL143" s="22"/>
      <c r="FGM143" s="22"/>
      <c r="FGN143" s="22"/>
      <c r="FGO143" s="22"/>
      <c r="FGP143" s="22"/>
      <c r="FGQ143" s="22"/>
      <c r="FGR143" s="22"/>
      <c r="FGS143" s="22"/>
      <c r="FGT143" s="22"/>
      <c r="FGU143" s="22"/>
      <c r="FGV143" s="22"/>
      <c r="FGW143" s="22"/>
      <c r="FGX143" s="22"/>
      <c r="FGY143" s="22"/>
      <c r="FGZ143" s="22"/>
      <c r="FHA143" s="22"/>
      <c r="FHB143" s="22"/>
      <c r="FHC143" s="22"/>
      <c r="FHD143" s="22"/>
      <c r="FHE143" s="22"/>
      <c r="FHF143" s="22"/>
      <c r="FHG143" s="22"/>
      <c r="FHH143" s="22"/>
      <c r="FHI143" s="22"/>
      <c r="FHJ143" s="22"/>
      <c r="FHK143" s="22"/>
      <c r="FHL143" s="22"/>
      <c r="FHM143" s="22"/>
      <c r="FHN143" s="22"/>
      <c r="FHO143" s="22"/>
      <c r="FHP143" s="22"/>
      <c r="FHQ143" s="22"/>
      <c r="FHR143" s="22"/>
      <c r="FHS143" s="22"/>
      <c r="FHT143" s="22"/>
      <c r="FHU143" s="22"/>
      <c r="FHV143" s="22"/>
      <c r="FHW143" s="22"/>
      <c r="FHX143" s="22"/>
      <c r="FHY143" s="22"/>
      <c r="FHZ143" s="22"/>
      <c r="FIA143" s="22"/>
      <c r="FIB143" s="22"/>
      <c r="FIC143" s="22"/>
      <c r="FID143" s="22"/>
      <c r="FIE143" s="22"/>
      <c r="FIF143" s="22"/>
      <c r="FIG143" s="22"/>
      <c r="FIH143" s="22"/>
      <c r="FII143" s="22"/>
      <c r="FIJ143" s="22"/>
      <c r="FIK143" s="22"/>
      <c r="FIL143" s="22"/>
      <c r="FIM143" s="22"/>
      <c r="FIN143" s="22"/>
      <c r="FIO143" s="22"/>
      <c r="FIP143" s="22"/>
      <c r="FIQ143" s="22"/>
      <c r="FIR143" s="22"/>
      <c r="FIS143" s="22"/>
      <c r="FIT143" s="22"/>
      <c r="FIU143" s="22"/>
      <c r="FIV143" s="22"/>
      <c r="FIW143" s="22"/>
      <c r="FIX143" s="22"/>
      <c r="FIY143" s="22"/>
      <c r="FIZ143" s="22"/>
      <c r="FJA143" s="22"/>
      <c r="FJB143" s="22"/>
      <c r="FJC143" s="22"/>
      <c r="FJD143" s="22"/>
      <c r="FJE143" s="22"/>
      <c r="FJF143" s="22"/>
      <c r="FJG143" s="22"/>
      <c r="FJH143" s="22"/>
      <c r="FJI143" s="22"/>
      <c r="FJJ143" s="22"/>
      <c r="FJK143" s="22"/>
      <c r="FJL143" s="22"/>
      <c r="FJM143" s="22"/>
      <c r="FJN143" s="22"/>
      <c r="FJO143" s="22"/>
      <c r="FJP143" s="22"/>
      <c r="FJQ143" s="22"/>
      <c r="FJR143" s="22"/>
      <c r="FJS143" s="22"/>
      <c r="FJT143" s="22"/>
      <c r="FJU143" s="22"/>
      <c r="FJV143" s="22"/>
      <c r="FJW143" s="22"/>
      <c r="FJX143" s="22"/>
      <c r="FJY143" s="22"/>
      <c r="FJZ143" s="22"/>
      <c r="FKA143" s="22"/>
      <c r="FKB143" s="22"/>
      <c r="FKC143" s="22"/>
      <c r="FKD143" s="22"/>
      <c r="FKE143" s="22"/>
      <c r="FKF143" s="22"/>
      <c r="FKG143" s="22"/>
      <c r="FKH143" s="22"/>
      <c r="FKI143" s="22"/>
      <c r="FKJ143" s="22"/>
      <c r="FKK143" s="22"/>
      <c r="FKL143" s="22"/>
      <c r="FKM143" s="22"/>
      <c r="FKN143" s="22"/>
      <c r="FKO143" s="22"/>
      <c r="FKP143" s="22"/>
      <c r="FKQ143" s="22"/>
      <c r="FKR143" s="22"/>
      <c r="FKS143" s="22"/>
      <c r="FKT143" s="22"/>
      <c r="FKU143" s="22"/>
      <c r="FKV143" s="22"/>
      <c r="FKW143" s="22"/>
      <c r="FKX143" s="22"/>
      <c r="FKY143" s="22"/>
      <c r="FKZ143" s="22"/>
      <c r="FLA143" s="22"/>
      <c r="FLB143" s="22"/>
      <c r="FLC143" s="22"/>
      <c r="FLD143" s="22"/>
      <c r="FLE143" s="22"/>
      <c r="FLF143" s="22"/>
      <c r="FLG143" s="22"/>
      <c r="FLH143" s="22"/>
      <c r="FLI143" s="22"/>
      <c r="FLJ143" s="22"/>
      <c r="FLK143" s="22"/>
      <c r="FLL143" s="22"/>
      <c r="FLM143" s="22"/>
      <c r="FLN143" s="22"/>
      <c r="FLO143" s="22"/>
      <c r="FLP143" s="22"/>
      <c r="FLQ143" s="22"/>
      <c r="FLR143" s="22"/>
      <c r="FLS143" s="22"/>
      <c r="FLT143" s="22"/>
      <c r="FLU143" s="22"/>
      <c r="FLV143" s="22"/>
      <c r="FLW143" s="22"/>
      <c r="FLX143" s="22"/>
      <c r="FLY143" s="22"/>
      <c r="FLZ143" s="22"/>
      <c r="FMA143" s="22"/>
      <c r="FMB143" s="22"/>
      <c r="FMC143" s="22"/>
      <c r="FMD143" s="22"/>
      <c r="FME143" s="22"/>
      <c r="FMF143" s="22"/>
      <c r="FMG143" s="22"/>
      <c r="FMH143" s="22"/>
      <c r="FMI143" s="22"/>
      <c r="FMJ143" s="22"/>
      <c r="FMK143" s="22"/>
      <c r="FML143" s="22"/>
      <c r="FMM143" s="22"/>
      <c r="FMN143" s="22"/>
      <c r="FMO143" s="22"/>
      <c r="FMP143" s="22"/>
      <c r="FMQ143" s="22"/>
      <c r="FMR143" s="22"/>
      <c r="FMS143" s="22"/>
      <c r="FMT143" s="22"/>
      <c r="FMU143" s="22"/>
      <c r="FMV143" s="22"/>
      <c r="FMW143" s="22"/>
      <c r="FMX143" s="22"/>
      <c r="FMY143" s="22"/>
      <c r="FMZ143" s="22"/>
      <c r="FNA143" s="22"/>
      <c r="FNB143" s="22"/>
      <c r="FNC143" s="22"/>
      <c r="FND143" s="22"/>
      <c r="FNE143" s="22"/>
      <c r="FNF143" s="22"/>
      <c r="FNG143" s="22"/>
      <c r="FNH143" s="22"/>
      <c r="FNI143" s="22"/>
      <c r="FNJ143" s="22"/>
      <c r="FNK143" s="22"/>
      <c r="FNL143" s="22"/>
      <c r="FNM143" s="22"/>
      <c r="FNN143" s="22"/>
      <c r="FNO143" s="22"/>
      <c r="FNP143" s="22"/>
      <c r="FNQ143" s="22"/>
      <c r="FNR143" s="22"/>
      <c r="FNS143" s="22"/>
      <c r="FNT143" s="22"/>
      <c r="FNU143" s="22"/>
      <c r="FNV143" s="22"/>
      <c r="FNW143" s="22"/>
      <c r="FNX143" s="22"/>
      <c r="FNY143" s="22"/>
      <c r="FNZ143" s="22"/>
      <c r="FOA143" s="22"/>
      <c r="FOB143" s="22"/>
      <c r="FOC143" s="22"/>
      <c r="FOD143" s="22"/>
      <c r="FOE143" s="22"/>
      <c r="FOF143" s="22"/>
      <c r="FOG143" s="22"/>
      <c r="FOH143" s="22"/>
      <c r="FOI143" s="22"/>
      <c r="FOJ143" s="22"/>
      <c r="FOK143" s="22"/>
      <c r="FOL143" s="22"/>
      <c r="FOM143" s="22"/>
      <c r="FON143" s="22"/>
      <c r="FOO143" s="22"/>
      <c r="FOP143" s="22"/>
      <c r="FOQ143" s="22"/>
      <c r="FOR143" s="22"/>
      <c r="FOS143" s="22"/>
      <c r="FOT143" s="22"/>
      <c r="FOU143" s="22"/>
      <c r="FOV143" s="22"/>
      <c r="FOW143" s="22"/>
      <c r="FOX143" s="22"/>
      <c r="FOY143" s="22"/>
      <c r="FOZ143" s="22"/>
      <c r="FPA143" s="22"/>
      <c r="FPB143" s="22"/>
      <c r="FPC143" s="22"/>
      <c r="FPD143" s="22"/>
      <c r="FPE143" s="22"/>
      <c r="FPF143" s="22"/>
      <c r="FPG143" s="22"/>
      <c r="FPH143" s="22"/>
      <c r="FPI143" s="22"/>
      <c r="FPJ143" s="22"/>
      <c r="FPK143" s="22"/>
      <c r="FPL143" s="22"/>
      <c r="FPM143" s="22"/>
      <c r="FPN143" s="22"/>
      <c r="FPO143" s="22"/>
      <c r="FPP143" s="22"/>
      <c r="FPQ143" s="22"/>
      <c r="FPR143" s="22"/>
      <c r="FPS143" s="22"/>
      <c r="FPT143" s="22"/>
      <c r="FPU143" s="22"/>
      <c r="FPV143" s="22"/>
      <c r="FPW143" s="22"/>
      <c r="FPX143" s="22"/>
      <c r="FPY143" s="22"/>
      <c r="FPZ143" s="22"/>
      <c r="FQA143" s="22"/>
      <c r="FQB143" s="22"/>
      <c r="FQC143" s="22"/>
      <c r="FQD143" s="22"/>
      <c r="FQE143" s="22"/>
      <c r="FQF143" s="22"/>
      <c r="FQG143" s="22"/>
      <c r="FQH143" s="22"/>
      <c r="FQI143" s="22"/>
      <c r="FQJ143" s="22"/>
      <c r="FQK143" s="22"/>
      <c r="FQL143" s="22"/>
      <c r="FQM143" s="22"/>
      <c r="FQN143" s="22"/>
      <c r="FQO143" s="22"/>
      <c r="FQP143" s="22"/>
      <c r="FQQ143" s="22"/>
      <c r="FQR143" s="22"/>
      <c r="FQS143" s="22"/>
      <c r="FQT143" s="22"/>
      <c r="FQU143" s="22"/>
      <c r="FQV143" s="22"/>
      <c r="FQW143" s="22"/>
      <c r="FQX143" s="22"/>
      <c r="FQY143" s="22"/>
      <c r="FQZ143" s="22"/>
      <c r="FRA143" s="22"/>
      <c r="FRB143" s="22"/>
      <c r="FRC143" s="22"/>
      <c r="FRD143" s="22"/>
      <c r="FRE143" s="22"/>
      <c r="FRF143" s="22"/>
      <c r="FRG143" s="22"/>
      <c r="FRH143" s="22"/>
      <c r="FRI143" s="22"/>
      <c r="FRJ143" s="22"/>
      <c r="FRK143" s="22"/>
      <c r="FRL143" s="22"/>
      <c r="FRM143" s="22"/>
      <c r="FRN143" s="22"/>
      <c r="FRO143" s="22"/>
      <c r="FRP143" s="22"/>
      <c r="FRQ143" s="22"/>
      <c r="FRR143" s="22"/>
      <c r="FRS143" s="22"/>
      <c r="FRT143" s="22"/>
      <c r="FRU143" s="22"/>
      <c r="FRV143" s="22"/>
      <c r="FRW143" s="22"/>
      <c r="FRX143" s="22"/>
      <c r="FRY143" s="22"/>
      <c r="FRZ143" s="22"/>
      <c r="FSA143" s="22"/>
      <c r="FSB143" s="22"/>
      <c r="FSC143" s="22"/>
      <c r="FSD143" s="22"/>
      <c r="FSE143" s="22"/>
      <c r="FSF143" s="22"/>
      <c r="FSG143" s="22"/>
      <c r="FSH143" s="22"/>
      <c r="FSI143" s="22"/>
      <c r="FSJ143" s="22"/>
      <c r="FSK143" s="22"/>
      <c r="FSL143" s="22"/>
      <c r="FSM143" s="22"/>
      <c r="FSN143" s="22"/>
      <c r="FSO143" s="22"/>
      <c r="FSP143" s="22"/>
      <c r="FSQ143" s="22"/>
      <c r="FSR143" s="22"/>
      <c r="FSS143" s="22"/>
      <c r="FST143" s="22"/>
      <c r="FSU143" s="22"/>
      <c r="FSV143" s="22"/>
      <c r="FSW143" s="22"/>
      <c r="FSX143" s="22"/>
      <c r="FSY143" s="22"/>
      <c r="FSZ143" s="22"/>
      <c r="FTA143" s="22"/>
      <c r="FTB143" s="22"/>
      <c r="FTC143" s="22"/>
      <c r="FTD143" s="22"/>
      <c r="FTE143" s="22"/>
      <c r="FTF143" s="22"/>
      <c r="FTG143" s="22"/>
      <c r="FTH143" s="22"/>
      <c r="FTI143" s="22"/>
      <c r="FTJ143" s="22"/>
      <c r="FTK143" s="22"/>
      <c r="FTL143" s="22"/>
      <c r="FTM143" s="22"/>
      <c r="FTN143" s="22"/>
      <c r="FTO143" s="22"/>
      <c r="FTP143" s="22"/>
      <c r="FTQ143" s="22"/>
      <c r="FTR143" s="22"/>
      <c r="FTS143" s="22"/>
      <c r="FTT143" s="22"/>
      <c r="FTU143" s="22"/>
      <c r="FTV143" s="22"/>
      <c r="FTW143" s="22"/>
      <c r="FTX143" s="22"/>
      <c r="FTY143" s="22"/>
      <c r="FTZ143" s="22"/>
      <c r="FUA143" s="22"/>
      <c r="FUB143" s="22"/>
      <c r="FUC143" s="22"/>
      <c r="FUD143" s="22"/>
      <c r="FUE143" s="22"/>
      <c r="FUF143" s="22"/>
      <c r="FUG143" s="22"/>
      <c r="FUH143" s="22"/>
      <c r="FUI143" s="22"/>
      <c r="FUJ143" s="22"/>
      <c r="FUK143" s="22"/>
      <c r="FUL143" s="22"/>
      <c r="FUM143" s="22"/>
      <c r="FUN143" s="22"/>
      <c r="FUO143" s="22"/>
      <c r="FUP143" s="22"/>
      <c r="FUQ143" s="22"/>
      <c r="FUR143" s="22"/>
      <c r="FUS143" s="22"/>
      <c r="FUT143" s="22"/>
      <c r="FUU143" s="22"/>
      <c r="FUV143" s="22"/>
      <c r="FUW143" s="22"/>
      <c r="FUX143" s="22"/>
      <c r="FUY143" s="22"/>
      <c r="FUZ143" s="22"/>
      <c r="FVA143" s="22"/>
      <c r="FVB143" s="22"/>
      <c r="FVC143" s="22"/>
      <c r="FVD143" s="22"/>
      <c r="FVE143" s="22"/>
      <c r="FVF143" s="22"/>
      <c r="FVG143" s="22"/>
      <c r="FVH143" s="22"/>
      <c r="FVI143" s="22"/>
      <c r="FVJ143" s="22"/>
      <c r="FVK143" s="22"/>
      <c r="FVL143" s="22"/>
      <c r="FVM143" s="22"/>
      <c r="FVN143" s="22"/>
      <c r="FVO143" s="22"/>
      <c r="FVP143" s="22"/>
      <c r="FVQ143" s="22"/>
      <c r="FVR143" s="22"/>
      <c r="FVS143" s="22"/>
      <c r="FVT143" s="22"/>
      <c r="FVU143" s="22"/>
      <c r="FVV143" s="22"/>
      <c r="FVW143" s="22"/>
      <c r="FVX143" s="22"/>
      <c r="FVY143" s="22"/>
      <c r="FVZ143" s="22"/>
      <c r="FWA143" s="22"/>
      <c r="FWB143" s="22"/>
      <c r="FWC143" s="22"/>
      <c r="FWD143" s="22"/>
      <c r="FWE143" s="22"/>
      <c r="FWF143" s="22"/>
      <c r="FWG143" s="22"/>
      <c r="FWH143" s="22"/>
      <c r="FWI143" s="22"/>
      <c r="FWJ143" s="22"/>
      <c r="FWK143" s="22"/>
      <c r="FWL143" s="22"/>
      <c r="FWM143" s="22"/>
      <c r="FWN143" s="22"/>
      <c r="FWO143" s="22"/>
      <c r="FWP143" s="22"/>
      <c r="FWQ143" s="22"/>
      <c r="FWR143" s="22"/>
      <c r="FWS143" s="22"/>
      <c r="FWT143" s="22"/>
      <c r="FWU143" s="22"/>
      <c r="FWV143" s="22"/>
      <c r="FWW143" s="22"/>
      <c r="FWX143" s="22"/>
      <c r="FWY143" s="22"/>
      <c r="FWZ143" s="22"/>
      <c r="FXA143" s="22"/>
      <c r="FXB143" s="22"/>
      <c r="FXC143" s="22"/>
      <c r="FXD143" s="22"/>
      <c r="FXE143" s="22"/>
      <c r="FXF143" s="22"/>
      <c r="FXG143" s="22"/>
      <c r="FXH143" s="22"/>
      <c r="FXI143" s="22"/>
      <c r="FXJ143" s="22"/>
      <c r="FXK143" s="22"/>
      <c r="FXL143" s="22"/>
      <c r="FXM143" s="22"/>
      <c r="FXN143" s="22"/>
      <c r="FXO143" s="22"/>
      <c r="FXP143" s="22"/>
      <c r="FXQ143" s="22"/>
      <c r="FXR143" s="22"/>
      <c r="FXS143" s="22"/>
      <c r="FXT143" s="22"/>
      <c r="FXU143" s="22"/>
      <c r="FXV143" s="22"/>
      <c r="FXW143" s="22"/>
      <c r="FXX143" s="22"/>
      <c r="FXY143" s="22"/>
      <c r="FXZ143" s="22"/>
      <c r="FYA143" s="22"/>
      <c r="FYB143" s="22"/>
      <c r="FYC143" s="22"/>
      <c r="FYD143" s="22"/>
      <c r="FYE143" s="22"/>
      <c r="FYF143" s="22"/>
      <c r="FYG143" s="22"/>
      <c r="FYH143" s="22"/>
      <c r="FYI143" s="22"/>
      <c r="FYJ143" s="22"/>
      <c r="FYK143" s="22"/>
      <c r="FYL143" s="22"/>
      <c r="FYM143" s="22"/>
      <c r="FYN143" s="22"/>
      <c r="FYO143" s="22"/>
      <c r="FYP143" s="22"/>
      <c r="FYQ143" s="22"/>
      <c r="FYR143" s="22"/>
      <c r="FYS143" s="22"/>
      <c r="FYT143" s="22"/>
      <c r="FYU143" s="22"/>
      <c r="FYV143" s="22"/>
      <c r="FYW143" s="22"/>
      <c r="FYX143" s="22"/>
      <c r="FYY143" s="22"/>
      <c r="FYZ143" s="22"/>
      <c r="FZA143" s="22"/>
      <c r="FZB143" s="22"/>
      <c r="FZC143" s="22"/>
      <c r="FZD143" s="22"/>
      <c r="FZE143" s="22"/>
      <c r="FZF143" s="22"/>
      <c r="FZG143" s="22"/>
      <c r="FZH143" s="22"/>
      <c r="FZI143" s="22"/>
      <c r="FZJ143" s="22"/>
      <c r="FZK143" s="22"/>
      <c r="FZL143" s="22"/>
      <c r="FZM143" s="22"/>
      <c r="FZN143" s="22"/>
      <c r="FZO143" s="22"/>
      <c r="FZP143" s="22"/>
      <c r="FZQ143" s="22"/>
      <c r="FZR143" s="22"/>
      <c r="FZS143" s="22"/>
      <c r="FZT143" s="22"/>
      <c r="FZU143" s="22"/>
      <c r="FZV143" s="22"/>
      <c r="FZW143" s="22"/>
      <c r="FZX143" s="22"/>
      <c r="FZY143" s="22"/>
      <c r="FZZ143" s="22"/>
      <c r="GAA143" s="22"/>
      <c r="GAB143" s="22"/>
      <c r="GAC143" s="22"/>
      <c r="GAD143" s="22"/>
      <c r="GAE143" s="22"/>
      <c r="GAF143" s="22"/>
      <c r="GAG143" s="22"/>
      <c r="GAH143" s="22"/>
      <c r="GAI143" s="22"/>
      <c r="GAJ143" s="22"/>
      <c r="GAK143" s="22"/>
      <c r="GAL143" s="22"/>
      <c r="GAM143" s="22"/>
      <c r="GAN143" s="22"/>
      <c r="GAO143" s="22"/>
      <c r="GAP143" s="22"/>
      <c r="GAQ143" s="22"/>
      <c r="GAR143" s="22"/>
      <c r="GAS143" s="22"/>
      <c r="GAT143" s="22"/>
      <c r="GAU143" s="22"/>
      <c r="GAV143" s="22"/>
      <c r="GAW143" s="22"/>
      <c r="GAX143" s="22"/>
      <c r="GAY143" s="22"/>
      <c r="GAZ143" s="22"/>
      <c r="GBA143" s="22"/>
      <c r="GBB143" s="22"/>
      <c r="GBC143" s="22"/>
      <c r="GBD143" s="22"/>
      <c r="GBE143" s="22"/>
      <c r="GBF143" s="22"/>
      <c r="GBG143" s="22"/>
      <c r="GBH143" s="22"/>
      <c r="GBI143" s="22"/>
      <c r="GBJ143" s="22"/>
      <c r="GBK143" s="22"/>
      <c r="GBL143" s="22"/>
      <c r="GBM143" s="22"/>
      <c r="GBN143" s="22"/>
      <c r="GBO143" s="22"/>
      <c r="GBP143" s="22"/>
      <c r="GBQ143" s="22"/>
      <c r="GBR143" s="22"/>
      <c r="GBS143" s="22"/>
      <c r="GBT143" s="22"/>
      <c r="GBU143" s="22"/>
      <c r="GBV143" s="22"/>
      <c r="GBW143" s="22"/>
      <c r="GBX143" s="22"/>
      <c r="GBY143" s="22"/>
      <c r="GBZ143" s="22"/>
      <c r="GCA143" s="22"/>
      <c r="GCB143" s="22"/>
      <c r="GCC143" s="22"/>
      <c r="GCD143" s="22"/>
      <c r="GCE143" s="22"/>
      <c r="GCF143" s="22"/>
      <c r="GCG143" s="22"/>
      <c r="GCH143" s="22"/>
      <c r="GCI143" s="22"/>
      <c r="GCJ143" s="22"/>
      <c r="GCK143" s="22"/>
      <c r="GCL143" s="22"/>
      <c r="GCM143" s="22"/>
      <c r="GCN143" s="22"/>
      <c r="GCO143" s="22"/>
      <c r="GCP143" s="22"/>
      <c r="GCQ143" s="22"/>
      <c r="GCR143" s="22"/>
      <c r="GCS143" s="22"/>
      <c r="GCT143" s="22"/>
      <c r="GCU143" s="22"/>
      <c r="GCV143" s="22"/>
      <c r="GCW143" s="22"/>
      <c r="GCX143" s="22"/>
      <c r="GCY143" s="22"/>
      <c r="GCZ143" s="22"/>
      <c r="GDA143" s="22"/>
      <c r="GDB143" s="22"/>
      <c r="GDC143" s="22"/>
      <c r="GDD143" s="22"/>
      <c r="GDE143" s="22"/>
      <c r="GDF143" s="22"/>
      <c r="GDG143" s="22"/>
      <c r="GDH143" s="22"/>
      <c r="GDI143" s="22"/>
      <c r="GDJ143" s="22"/>
      <c r="GDK143" s="22"/>
      <c r="GDL143" s="22"/>
      <c r="GDM143" s="22"/>
      <c r="GDN143" s="22"/>
      <c r="GDO143" s="22"/>
      <c r="GDP143" s="22"/>
      <c r="GDQ143" s="22"/>
      <c r="GDR143" s="22"/>
      <c r="GDS143" s="22"/>
      <c r="GDT143" s="22"/>
      <c r="GDU143" s="22"/>
      <c r="GDV143" s="22"/>
      <c r="GDW143" s="22"/>
      <c r="GDX143" s="22"/>
      <c r="GDY143" s="22"/>
      <c r="GDZ143" s="22"/>
      <c r="GEA143" s="22"/>
      <c r="GEB143" s="22"/>
      <c r="GEC143" s="22"/>
      <c r="GED143" s="22"/>
      <c r="GEE143" s="22"/>
      <c r="GEF143" s="22"/>
      <c r="GEG143" s="22"/>
      <c r="GEH143" s="22"/>
      <c r="GEI143" s="22"/>
      <c r="GEJ143" s="22"/>
      <c r="GEK143" s="22"/>
      <c r="GEL143" s="22"/>
      <c r="GEM143" s="22"/>
      <c r="GEN143" s="22"/>
      <c r="GEO143" s="22"/>
      <c r="GEP143" s="22"/>
      <c r="GEQ143" s="22"/>
      <c r="GER143" s="22"/>
      <c r="GES143" s="22"/>
      <c r="GET143" s="22"/>
      <c r="GEU143" s="22"/>
      <c r="GEV143" s="22"/>
      <c r="GEW143" s="22"/>
      <c r="GEX143" s="22"/>
      <c r="GEY143" s="22"/>
      <c r="GEZ143" s="22"/>
      <c r="GFA143" s="22"/>
      <c r="GFB143" s="22"/>
      <c r="GFC143" s="22"/>
      <c r="GFD143" s="22"/>
      <c r="GFE143" s="22"/>
      <c r="GFF143" s="22"/>
      <c r="GFG143" s="22"/>
      <c r="GFH143" s="22"/>
      <c r="GFI143" s="22"/>
      <c r="GFJ143" s="22"/>
      <c r="GFK143" s="22"/>
      <c r="GFL143" s="22"/>
      <c r="GFM143" s="22"/>
      <c r="GFN143" s="22"/>
      <c r="GFO143" s="22"/>
      <c r="GFP143" s="22"/>
      <c r="GFQ143" s="22"/>
      <c r="GFR143" s="22"/>
      <c r="GFS143" s="22"/>
      <c r="GFT143" s="22"/>
      <c r="GFU143" s="22"/>
      <c r="GFV143" s="22"/>
      <c r="GFW143" s="22"/>
      <c r="GFX143" s="22"/>
      <c r="GFY143" s="22"/>
      <c r="GFZ143" s="22"/>
      <c r="GGA143" s="22"/>
      <c r="GGB143" s="22"/>
      <c r="GGC143" s="22"/>
      <c r="GGD143" s="22"/>
      <c r="GGE143" s="22"/>
      <c r="GGF143" s="22"/>
      <c r="GGG143" s="22"/>
      <c r="GGH143" s="22"/>
      <c r="GGI143" s="22"/>
      <c r="GGJ143" s="22"/>
      <c r="GGK143" s="22"/>
      <c r="GGL143" s="22"/>
      <c r="GGM143" s="22"/>
      <c r="GGN143" s="22"/>
      <c r="GGO143" s="22"/>
      <c r="GGP143" s="22"/>
      <c r="GGQ143" s="22"/>
      <c r="GGR143" s="22"/>
      <c r="GGS143" s="22"/>
      <c r="GGT143" s="22"/>
      <c r="GGU143" s="22"/>
      <c r="GGV143" s="22"/>
      <c r="GGW143" s="22"/>
      <c r="GGX143" s="22"/>
      <c r="GGY143" s="22"/>
      <c r="GGZ143" s="22"/>
      <c r="GHA143" s="22"/>
      <c r="GHB143" s="22"/>
      <c r="GHC143" s="22"/>
      <c r="GHD143" s="22"/>
      <c r="GHE143" s="22"/>
      <c r="GHF143" s="22"/>
      <c r="GHG143" s="22"/>
      <c r="GHH143" s="22"/>
      <c r="GHI143" s="22"/>
      <c r="GHJ143" s="22"/>
      <c r="GHK143" s="22"/>
      <c r="GHL143" s="22"/>
      <c r="GHM143" s="22"/>
      <c r="GHN143" s="22"/>
      <c r="GHO143" s="22"/>
      <c r="GHP143" s="22"/>
      <c r="GHQ143" s="22"/>
      <c r="GHR143" s="22"/>
      <c r="GHS143" s="22"/>
      <c r="GHT143" s="22"/>
      <c r="GHU143" s="22"/>
      <c r="GHV143" s="22"/>
      <c r="GHW143" s="22"/>
      <c r="GHX143" s="22"/>
      <c r="GHY143" s="22"/>
      <c r="GHZ143" s="22"/>
      <c r="GIA143" s="22"/>
      <c r="GIB143" s="22"/>
      <c r="GIC143" s="22"/>
      <c r="GID143" s="22"/>
      <c r="GIE143" s="22"/>
      <c r="GIF143" s="22"/>
      <c r="GIG143" s="22"/>
      <c r="GIH143" s="22"/>
      <c r="GII143" s="22"/>
      <c r="GIJ143" s="22"/>
      <c r="GIK143" s="22"/>
      <c r="GIL143" s="22"/>
      <c r="GIM143" s="22"/>
      <c r="GIN143" s="22"/>
      <c r="GIO143" s="22"/>
      <c r="GIP143" s="22"/>
      <c r="GIQ143" s="22"/>
      <c r="GIR143" s="22"/>
      <c r="GIS143" s="22"/>
      <c r="GIT143" s="22"/>
      <c r="GIU143" s="22"/>
      <c r="GIV143" s="22"/>
      <c r="GIW143" s="22"/>
      <c r="GIX143" s="22"/>
      <c r="GIY143" s="22"/>
      <c r="GIZ143" s="22"/>
      <c r="GJA143" s="22"/>
      <c r="GJB143" s="22"/>
      <c r="GJC143" s="22"/>
      <c r="GJD143" s="22"/>
      <c r="GJE143" s="22"/>
      <c r="GJF143" s="22"/>
      <c r="GJG143" s="22"/>
      <c r="GJH143" s="22"/>
      <c r="GJI143" s="22"/>
      <c r="GJJ143" s="22"/>
      <c r="GJK143" s="22"/>
      <c r="GJL143" s="22"/>
      <c r="GJM143" s="22"/>
      <c r="GJN143" s="22"/>
      <c r="GJO143" s="22"/>
      <c r="GJP143" s="22"/>
      <c r="GJQ143" s="22"/>
      <c r="GJR143" s="22"/>
      <c r="GJS143" s="22"/>
      <c r="GJT143" s="22"/>
      <c r="GJU143" s="22"/>
      <c r="GJV143" s="22"/>
      <c r="GJW143" s="22"/>
      <c r="GJX143" s="22"/>
      <c r="GJY143" s="22"/>
      <c r="GJZ143" s="22"/>
      <c r="GKA143" s="22"/>
      <c r="GKB143" s="22"/>
      <c r="GKC143" s="22"/>
      <c r="GKD143" s="22"/>
      <c r="GKE143" s="22"/>
      <c r="GKF143" s="22"/>
      <c r="GKG143" s="22"/>
      <c r="GKH143" s="22"/>
      <c r="GKI143" s="22"/>
      <c r="GKJ143" s="22"/>
      <c r="GKK143" s="22"/>
      <c r="GKL143" s="22"/>
      <c r="GKM143" s="22"/>
      <c r="GKN143" s="22"/>
      <c r="GKO143" s="22"/>
      <c r="GKP143" s="22"/>
      <c r="GKQ143" s="22"/>
      <c r="GKR143" s="22"/>
      <c r="GKS143" s="22"/>
      <c r="GKT143" s="22"/>
      <c r="GKU143" s="22"/>
      <c r="GKV143" s="22"/>
      <c r="GKW143" s="22"/>
      <c r="GKX143" s="22"/>
      <c r="GKY143" s="22"/>
      <c r="GKZ143" s="22"/>
      <c r="GLA143" s="22"/>
      <c r="GLB143" s="22"/>
      <c r="GLC143" s="22"/>
      <c r="GLD143" s="22"/>
      <c r="GLE143" s="22"/>
      <c r="GLF143" s="22"/>
      <c r="GLG143" s="22"/>
      <c r="GLH143" s="22"/>
      <c r="GLI143" s="22"/>
      <c r="GLJ143" s="22"/>
      <c r="GLK143" s="22"/>
      <c r="GLL143" s="22"/>
      <c r="GLM143" s="22"/>
      <c r="GLN143" s="22"/>
      <c r="GLO143" s="22"/>
      <c r="GLP143" s="22"/>
      <c r="GLQ143" s="22"/>
      <c r="GLR143" s="22"/>
      <c r="GLS143" s="22"/>
      <c r="GLT143" s="22"/>
      <c r="GLU143" s="22"/>
      <c r="GLV143" s="22"/>
      <c r="GLW143" s="22"/>
      <c r="GLX143" s="22"/>
      <c r="GLY143" s="22"/>
      <c r="GLZ143" s="22"/>
      <c r="GMA143" s="22"/>
      <c r="GMB143" s="22"/>
      <c r="GMC143" s="22"/>
      <c r="GMD143" s="22"/>
      <c r="GME143" s="22"/>
      <c r="GMF143" s="22"/>
      <c r="GMG143" s="22"/>
      <c r="GMH143" s="22"/>
      <c r="GMI143" s="22"/>
      <c r="GMJ143" s="22"/>
      <c r="GMK143" s="22"/>
      <c r="GML143" s="22"/>
      <c r="GMM143" s="22"/>
      <c r="GMN143" s="22"/>
      <c r="GMO143" s="22"/>
      <c r="GMP143" s="22"/>
      <c r="GMQ143" s="22"/>
      <c r="GMR143" s="22"/>
      <c r="GMS143" s="22"/>
      <c r="GMT143" s="22"/>
      <c r="GMU143" s="22"/>
      <c r="GMV143" s="22"/>
      <c r="GMW143" s="22"/>
      <c r="GMX143" s="22"/>
      <c r="GMY143" s="22"/>
      <c r="GMZ143" s="22"/>
      <c r="GNA143" s="22"/>
      <c r="GNB143" s="22"/>
      <c r="GNC143" s="22"/>
      <c r="GND143" s="22"/>
      <c r="GNE143" s="22"/>
      <c r="GNF143" s="22"/>
      <c r="GNG143" s="22"/>
      <c r="GNH143" s="22"/>
      <c r="GNI143" s="22"/>
      <c r="GNJ143" s="22"/>
      <c r="GNK143" s="22"/>
      <c r="GNL143" s="22"/>
      <c r="GNM143" s="22"/>
      <c r="GNN143" s="22"/>
      <c r="GNO143" s="22"/>
      <c r="GNP143" s="22"/>
      <c r="GNQ143" s="22"/>
      <c r="GNR143" s="22"/>
      <c r="GNS143" s="22"/>
      <c r="GNT143" s="22"/>
      <c r="GNU143" s="22"/>
      <c r="GNV143" s="22"/>
      <c r="GNW143" s="22"/>
      <c r="GNX143" s="22"/>
      <c r="GNY143" s="22"/>
      <c r="GNZ143" s="22"/>
      <c r="GOA143" s="22"/>
      <c r="GOB143" s="22"/>
      <c r="GOC143" s="22"/>
      <c r="GOD143" s="22"/>
      <c r="GOE143" s="22"/>
      <c r="GOF143" s="22"/>
      <c r="GOG143" s="22"/>
      <c r="GOH143" s="22"/>
      <c r="GOI143" s="22"/>
      <c r="GOJ143" s="22"/>
      <c r="GOK143" s="22"/>
      <c r="GOL143" s="22"/>
      <c r="GOM143" s="22"/>
      <c r="GON143" s="22"/>
      <c r="GOO143" s="22"/>
      <c r="GOP143" s="22"/>
      <c r="GOQ143" s="22"/>
      <c r="GOR143" s="22"/>
      <c r="GOS143" s="22"/>
      <c r="GOT143" s="22"/>
      <c r="GOU143" s="22"/>
      <c r="GOV143" s="22"/>
      <c r="GOW143" s="22"/>
      <c r="GOX143" s="22"/>
      <c r="GOY143" s="22"/>
      <c r="GOZ143" s="22"/>
      <c r="GPA143" s="22"/>
      <c r="GPB143" s="22"/>
      <c r="GPC143" s="22"/>
      <c r="GPD143" s="22"/>
      <c r="GPE143" s="22"/>
      <c r="GPF143" s="22"/>
      <c r="GPG143" s="22"/>
      <c r="GPH143" s="22"/>
      <c r="GPI143" s="22"/>
      <c r="GPJ143" s="22"/>
      <c r="GPK143" s="22"/>
      <c r="GPL143" s="22"/>
      <c r="GPM143" s="22"/>
      <c r="GPN143" s="22"/>
      <c r="GPO143" s="22"/>
      <c r="GPP143" s="22"/>
      <c r="GPQ143" s="22"/>
      <c r="GPR143" s="22"/>
      <c r="GPS143" s="22"/>
      <c r="GPT143" s="22"/>
      <c r="GPU143" s="22"/>
      <c r="GPV143" s="22"/>
      <c r="GPW143" s="22"/>
      <c r="GPX143" s="22"/>
      <c r="GPY143" s="22"/>
      <c r="GPZ143" s="22"/>
      <c r="GQA143" s="22"/>
      <c r="GQB143" s="22"/>
      <c r="GQC143" s="22"/>
      <c r="GQD143" s="22"/>
      <c r="GQE143" s="22"/>
      <c r="GQF143" s="22"/>
      <c r="GQG143" s="22"/>
      <c r="GQH143" s="22"/>
      <c r="GQI143" s="22"/>
      <c r="GQJ143" s="22"/>
      <c r="GQK143" s="22"/>
      <c r="GQL143" s="22"/>
      <c r="GQM143" s="22"/>
      <c r="GQN143" s="22"/>
      <c r="GQO143" s="22"/>
      <c r="GQP143" s="22"/>
      <c r="GQQ143" s="22"/>
      <c r="GQR143" s="22"/>
      <c r="GQS143" s="22"/>
      <c r="GQT143" s="22"/>
      <c r="GQU143" s="22"/>
      <c r="GQV143" s="22"/>
      <c r="GQW143" s="22"/>
      <c r="GQX143" s="22"/>
      <c r="GQY143" s="22"/>
      <c r="GQZ143" s="22"/>
      <c r="GRA143" s="22"/>
      <c r="GRB143" s="22"/>
      <c r="GRC143" s="22"/>
      <c r="GRD143" s="22"/>
      <c r="GRE143" s="22"/>
      <c r="GRF143" s="22"/>
      <c r="GRG143" s="22"/>
      <c r="GRH143" s="22"/>
      <c r="GRI143" s="22"/>
      <c r="GRJ143" s="22"/>
      <c r="GRK143" s="22"/>
      <c r="GRL143" s="22"/>
      <c r="GRM143" s="22"/>
      <c r="GRN143" s="22"/>
      <c r="GRO143" s="22"/>
      <c r="GRP143" s="22"/>
      <c r="GRQ143" s="22"/>
      <c r="GRR143" s="22"/>
      <c r="GRS143" s="22"/>
      <c r="GRT143" s="22"/>
      <c r="GRU143" s="22"/>
      <c r="GRV143" s="22"/>
      <c r="GRW143" s="22"/>
      <c r="GRX143" s="22"/>
      <c r="GRY143" s="22"/>
      <c r="GRZ143" s="22"/>
      <c r="GSA143" s="22"/>
      <c r="GSB143" s="22"/>
      <c r="GSC143" s="22"/>
      <c r="GSD143" s="22"/>
      <c r="GSE143" s="22"/>
      <c r="GSF143" s="22"/>
      <c r="GSG143" s="22"/>
      <c r="GSH143" s="22"/>
      <c r="GSI143" s="22"/>
      <c r="GSJ143" s="22"/>
      <c r="GSK143" s="22"/>
      <c r="GSL143" s="22"/>
      <c r="GSM143" s="22"/>
      <c r="GSN143" s="22"/>
      <c r="GSO143" s="22"/>
      <c r="GSP143" s="22"/>
      <c r="GSQ143" s="22"/>
      <c r="GSR143" s="22"/>
      <c r="GSS143" s="22"/>
      <c r="GST143" s="22"/>
      <c r="GSU143" s="22"/>
      <c r="GSV143" s="22"/>
      <c r="GSW143" s="22"/>
      <c r="GSX143" s="22"/>
      <c r="GSY143" s="22"/>
      <c r="GSZ143" s="22"/>
      <c r="GTA143" s="22"/>
      <c r="GTB143" s="22"/>
      <c r="GTC143" s="22"/>
      <c r="GTD143" s="22"/>
      <c r="GTE143" s="22"/>
      <c r="GTF143" s="22"/>
      <c r="GTG143" s="22"/>
      <c r="GTH143" s="22"/>
      <c r="GTI143" s="22"/>
      <c r="GTJ143" s="22"/>
      <c r="GTK143" s="22"/>
      <c r="GTL143" s="22"/>
      <c r="GTM143" s="22"/>
      <c r="GTN143" s="22"/>
      <c r="GTO143" s="22"/>
      <c r="GTP143" s="22"/>
      <c r="GTQ143" s="22"/>
      <c r="GTR143" s="22"/>
      <c r="GTS143" s="22"/>
      <c r="GTT143" s="22"/>
      <c r="GTU143" s="22"/>
      <c r="GTV143" s="22"/>
      <c r="GTW143" s="22"/>
      <c r="GTX143" s="22"/>
      <c r="GTY143" s="22"/>
      <c r="GTZ143" s="22"/>
      <c r="GUA143" s="22"/>
      <c r="GUB143" s="22"/>
      <c r="GUC143" s="22"/>
      <c r="GUD143" s="22"/>
      <c r="GUE143" s="22"/>
      <c r="GUF143" s="22"/>
      <c r="GUG143" s="22"/>
      <c r="GUH143" s="22"/>
      <c r="GUI143" s="22"/>
      <c r="GUJ143" s="22"/>
      <c r="GUK143" s="22"/>
      <c r="GUL143" s="22"/>
      <c r="GUM143" s="22"/>
      <c r="GUN143" s="22"/>
      <c r="GUO143" s="22"/>
      <c r="GUP143" s="22"/>
      <c r="GUQ143" s="22"/>
      <c r="GUR143" s="22"/>
      <c r="GUS143" s="22"/>
      <c r="GUT143" s="22"/>
      <c r="GUU143" s="22"/>
      <c r="GUV143" s="22"/>
      <c r="GUW143" s="22"/>
      <c r="GUX143" s="22"/>
      <c r="GUY143" s="22"/>
      <c r="GUZ143" s="22"/>
      <c r="GVA143" s="22"/>
      <c r="GVB143" s="22"/>
      <c r="GVC143" s="22"/>
      <c r="GVD143" s="22"/>
      <c r="GVE143" s="22"/>
      <c r="GVF143" s="22"/>
      <c r="GVG143" s="22"/>
      <c r="GVH143" s="22"/>
      <c r="GVI143" s="22"/>
      <c r="GVJ143" s="22"/>
      <c r="GVK143" s="22"/>
      <c r="GVL143" s="22"/>
      <c r="GVM143" s="22"/>
      <c r="GVN143" s="22"/>
      <c r="GVO143" s="22"/>
      <c r="GVP143" s="22"/>
      <c r="GVQ143" s="22"/>
      <c r="GVR143" s="22"/>
      <c r="GVS143" s="22"/>
      <c r="GVT143" s="22"/>
      <c r="GVU143" s="22"/>
      <c r="GVV143" s="22"/>
      <c r="GVW143" s="22"/>
      <c r="GVX143" s="22"/>
      <c r="GVY143" s="22"/>
      <c r="GVZ143" s="22"/>
      <c r="GWA143" s="22"/>
      <c r="GWB143" s="22"/>
      <c r="GWC143" s="22"/>
      <c r="GWD143" s="22"/>
      <c r="GWE143" s="22"/>
      <c r="GWF143" s="22"/>
      <c r="GWG143" s="22"/>
      <c r="GWH143" s="22"/>
      <c r="GWI143" s="22"/>
      <c r="GWJ143" s="22"/>
      <c r="GWK143" s="22"/>
      <c r="GWL143" s="22"/>
      <c r="GWM143" s="22"/>
      <c r="GWN143" s="22"/>
      <c r="GWO143" s="22"/>
      <c r="GWP143" s="22"/>
      <c r="GWQ143" s="22"/>
      <c r="GWR143" s="22"/>
      <c r="GWS143" s="22"/>
      <c r="GWT143" s="22"/>
      <c r="GWU143" s="22"/>
      <c r="GWV143" s="22"/>
      <c r="GWW143" s="22"/>
      <c r="GWX143" s="22"/>
      <c r="GWY143" s="22"/>
      <c r="GWZ143" s="22"/>
      <c r="GXA143" s="22"/>
      <c r="GXB143" s="22"/>
      <c r="GXC143" s="22"/>
      <c r="GXD143" s="22"/>
      <c r="GXE143" s="22"/>
      <c r="GXF143" s="22"/>
      <c r="GXG143" s="22"/>
      <c r="GXH143" s="22"/>
      <c r="GXI143" s="22"/>
      <c r="GXJ143" s="22"/>
      <c r="GXK143" s="22"/>
      <c r="GXL143" s="22"/>
      <c r="GXM143" s="22"/>
      <c r="GXN143" s="22"/>
      <c r="GXO143" s="22"/>
      <c r="GXP143" s="22"/>
      <c r="GXQ143" s="22"/>
      <c r="GXR143" s="22"/>
      <c r="GXS143" s="22"/>
      <c r="GXT143" s="22"/>
      <c r="GXU143" s="22"/>
      <c r="GXV143" s="22"/>
      <c r="GXW143" s="22"/>
      <c r="GXX143" s="22"/>
      <c r="GXY143" s="22"/>
      <c r="GXZ143" s="22"/>
      <c r="GYA143" s="22"/>
      <c r="GYB143" s="22"/>
      <c r="GYC143" s="22"/>
      <c r="GYD143" s="22"/>
      <c r="GYE143" s="22"/>
      <c r="GYF143" s="22"/>
      <c r="GYG143" s="22"/>
      <c r="GYH143" s="22"/>
      <c r="GYI143" s="22"/>
      <c r="GYJ143" s="22"/>
      <c r="GYK143" s="22"/>
      <c r="GYL143" s="22"/>
      <c r="GYM143" s="22"/>
      <c r="GYN143" s="22"/>
      <c r="GYO143" s="22"/>
      <c r="GYP143" s="22"/>
      <c r="GYQ143" s="22"/>
      <c r="GYR143" s="22"/>
      <c r="GYS143" s="22"/>
      <c r="GYT143" s="22"/>
      <c r="GYU143" s="22"/>
      <c r="GYV143" s="22"/>
      <c r="GYW143" s="22"/>
      <c r="GYX143" s="22"/>
      <c r="GYY143" s="22"/>
      <c r="GYZ143" s="22"/>
      <c r="GZA143" s="22"/>
      <c r="GZB143" s="22"/>
      <c r="GZC143" s="22"/>
      <c r="GZD143" s="22"/>
      <c r="GZE143" s="22"/>
      <c r="GZF143" s="22"/>
      <c r="GZG143" s="22"/>
      <c r="GZH143" s="22"/>
      <c r="GZI143" s="22"/>
      <c r="GZJ143" s="22"/>
      <c r="GZK143" s="22"/>
      <c r="GZL143" s="22"/>
      <c r="GZM143" s="22"/>
      <c r="GZN143" s="22"/>
      <c r="GZO143" s="22"/>
      <c r="GZP143" s="22"/>
      <c r="GZQ143" s="22"/>
      <c r="GZR143" s="22"/>
      <c r="GZS143" s="22"/>
      <c r="GZT143" s="22"/>
      <c r="GZU143" s="22"/>
      <c r="GZV143" s="22"/>
      <c r="GZW143" s="22"/>
      <c r="GZX143" s="22"/>
      <c r="GZY143" s="22"/>
      <c r="GZZ143" s="22"/>
      <c r="HAA143" s="22"/>
      <c r="HAB143" s="22"/>
      <c r="HAC143" s="22"/>
      <c r="HAD143" s="22"/>
      <c r="HAE143" s="22"/>
      <c r="HAF143" s="22"/>
      <c r="HAG143" s="22"/>
      <c r="HAH143" s="22"/>
      <c r="HAI143" s="22"/>
      <c r="HAJ143" s="22"/>
      <c r="HAK143" s="22"/>
      <c r="HAL143" s="22"/>
      <c r="HAM143" s="22"/>
      <c r="HAN143" s="22"/>
      <c r="HAO143" s="22"/>
      <c r="HAP143" s="22"/>
      <c r="HAQ143" s="22"/>
      <c r="HAR143" s="22"/>
      <c r="HAS143" s="22"/>
      <c r="HAT143" s="22"/>
      <c r="HAU143" s="22"/>
      <c r="HAV143" s="22"/>
      <c r="HAW143" s="22"/>
      <c r="HAX143" s="22"/>
      <c r="HAY143" s="22"/>
      <c r="HAZ143" s="22"/>
      <c r="HBA143" s="22"/>
      <c r="HBB143" s="22"/>
      <c r="HBC143" s="22"/>
      <c r="HBD143" s="22"/>
      <c r="HBE143" s="22"/>
      <c r="HBF143" s="22"/>
      <c r="HBG143" s="22"/>
      <c r="HBH143" s="22"/>
      <c r="HBI143" s="22"/>
      <c r="HBJ143" s="22"/>
      <c r="HBK143" s="22"/>
      <c r="HBL143" s="22"/>
      <c r="HBM143" s="22"/>
      <c r="HBN143" s="22"/>
      <c r="HBO143" s="22"/>
      <c r="HBP143" s="22"/>
      <c r="HBQ143" s="22"/>
      <c r="HBR143" s="22"/>
      <c r="HBS143" s="22"/>
      <c r="HBT143" s="22"/>
      <c r="HBU143" s="22"/>
      <c r="HBV143" s="22"/>
      <c r="HBW143" s="22"/>
      <c r="HBX143" s="22"/>
      <c r="HBY143" s="22"/>
      <c r="HBZ143" s="22"/>
      <c r="HCA143" s="22"/>
      <c r="HCB143" s="22"/>
      <c r="HCC143" s="22"/>
      <c r="HCD143" s="22"/>
      <c r="HCE143" s="22"/>
      <c r="HCF143" s="22"/>
      <c r="HCG143" s="22"/>
      <c r="HCH143" s="22"/>
      <c r="HCI143" s="22"/>
      <c r="HCJ143" s="22"/>
      <c r="HCK143" s="22"/>
      <c r="HCL143" s="22"/>
      <c r="HCM143" s="22"/>
      <c r="HCN143" s="22"/>
      <c r="HCO143" s="22"/>
      <c r="HCP143" s="22"/>
      <c r="HCQ143" s="22"/>
      <c r="HCR143" s="22"/>
      <c r="HCS143" s="22"/>
      <c r="HCT143" s="22"/>
      <c r="HCU143" s="22"/>
      <c r="HCV143" s="22"/>
      <c r="HCW143" s="22"/>
      <c r="HCX143" s="22"/>
      <c r="HCY143" s="22"/>
      <c r="HCZ143" s="22"/>
      <c r="HDA143" s="22"/>
      <c r="HDB143" s="22"/>
      <c r="HDC143" s="22"/>
      <c r="HDD143" s="22"/>
      <c r="HDE143" s="22"/>
      <c r="HDF143" s="22"/>
      <c r="HDG143" s="22"/>
      <c r="HDH143" s="22"/>
      <c r="HDI143" s="22"/>
      <c r="HDJ143" s="22"/>
      <c r="HDK143" s="22"/>
      <c r="HDL143" s="22"/>
      <c r="HDM143" s="22"/>
      <c r="HDN143" s="22"/>
      <c r="HDO143" s="22"/>
      <c r="HDP143" s="22"/>
      <c r="HDQ143" s="22"/>
      <c r="HDR143" s="22"/>
      <c r="HDS143" s="22"/>
      <c r="HDT143" s="22"/>
      <c r="HDU143" s="22"/>
      <c r="HDV143" s="22"/>
      <c r="HDW143" s="22"/>
      <c r="HDX143" s="22"/>
      <c r="HDY143" s="22"/>
      <c r="HDZ143" s="22"/>
      <c r="HEA143" s="22"/>
      <c r="HEB143" s="22"/>
      <c r="HEC143" s="22"/>
      <c r="HED143" s="22"/>
      <c r="HEE143" s="22"/>
      <c r="HEF143" s="22"/>
      <c r="HEG143" s="22"/>
      <c r="HEH143" s="22"/>
      <c r="HEI143" s="22"/>
      <c r="HEJ143" s="22"/>
      <c r="HEK143" s="22"/>
      <c r="HEL143" s="22"/>
      <c r="HEM143" s="22"/>
      <c r="HEN143" s="22"/>
      <c r="HEO143" s="22"/>
      <c r="HEP143" s="22"/>
      <c r="HEQ143" s="22"/>
      <c r="HER143" s="22"/>
      <c r="HES143" s="22"/>
      <c r="HET143" s="22"/>
      <c r="HEU143" s="22"/>
      <c r="HEV143" s="22"/>
      <c r="HEW143" s="22"/>
      <c r="HEX143" s="22"/>
      <c r="HEY143" s="22"/>
      <c r="HEZ143" s="22"/>
      <c r="HFA143" s="22"/>
      <c r="HFB143" s="22"/>
      <c r="HFC143" s="22"/>
      <c r="HFD143" s="22"/>
      <c r="HFE143" s="22"/>
      <c r="HFF143" s="22"/>
      <c r="HFG143" s="22"/>
      <c r="HFH143" s="22"/>
      <c r="HFI143" s="22"/>
      <c r="HFJ143" s="22"/>
      <c r="HFK143" s="22"/>
      <c r="HFL143" s="22"/>
      <c r="HFM143" s="22"/>
      <c r="HFN143" s="22"/>
      <c r="HFO143" s="22"/>
      <c r="HFP143" s="22"/>
      <c r="HFQ143" s="22"/>
      <c r="HFR143" s="22"/>
      <c r="HFS143" s="22"/>
      <c r="HFT143" s="22"/>
      <c r="HFU143" s="22"/>
      <c r="HFV143" s="22"/>
      <c r="HFW143" s="22"/>
      <c r="HFX143" s="22"/>
      <c r="HFY143" s="22"/>
      <c r="HFZ143" s="22"/>
      <c r="HGA143" s="22"/>
      <c r="HGB143" s="22"/>
      <c r="HGC143" s="22"/>
      <c r="HGD143" s="22"/>
      <c r="HGE143" s="22"/>
      <c r="HGF143" s="22"/>
      <c r="HGG143" s="22"/>
      <c r="HGH143" s="22"/>
      <c r="HGI143" s="22"/>
      <c r="HGJ143" s="22"/>
      <c r="HGK143" s="22"/>
      <c r="HGL143" s="22"/>
      <c r="HGM143" s="22"/>
      <c r="HGN143" s="22"/>
      <c r="HGO143" s="22"/>
      <c r="HGP143" s="22"/>
      <c r="HGQ143" s="22"/>
      <c r="HGR143" s="22"/>
      <c r="HGS143" s="22"/>
      <c r="HGT143" s="22"/>
      <c r="HGU143" s="22"/>
      <c r="HGV143" s="22"/>
      <c r="HGW143" s="22"/>
      <c r="HGX143" s="22"/>
      <c r="HGY143" s="22"/>
      <c r="HGZ143" s="22"/>
      <c r="HHA143" s="22"/>
      <c r="HHB143" s="22"/>
      <c r="HHC143" s="22"/>
      <c r="HHD143" s="22"/>
      <c r="HHE143" s="22"/>
      <c r="HHF143" s="22"/>
      <c r="HHG143" s="22"/>
      <c r="HHH143" s="22"/>
      <c r="HHI143" s="22"/>
      <c r="HHJ143" s="22"/>
      <c r="HHK143" s="22"/>
      <c r="HHL143" s="22"/>
      <c r="HHM143" s="22"/>
      <c r="HHN143" s="22"/>
      <c r="HHO143" s="22"/>
      <c r="HHP143" s="22"/>
      <c r="HHQ143" s="22"/>
      <c r="HHR143" s="22"/>
      <c r="HHS143" s="22"/>
      <c r="HHT143" s="22"/>
      <c r="HHU143" s="22"/>
      <c r="HHV143" s="22"/>
      <c r="HHW143" s="22"/>
      <c r="HHX143" s="22"/>
      <c r="HHY143" s="22"/>
      <c r="HHZ143" s="22"/>
      <c r="HIA143" s="22"/>
      <c r="HIB143" s="22"/>
      <c r="HIC143" s="22"/>
      <c r="HID143" s="22"/>
      <c r="HIE143" s="22"/>
      <c r="HIF143" s="22"/>
      <c r="HIG143" s="22"/>
      <c r="HIH143" s="22"/>
      <c r="HII143" s="22"/>
      <c r="HIJ143" s="22"/>
      <c r="HIK143" s="22"/>
      <c r="HIL143" s="22"/>
      <c r="HIM143" s="22"/>
      <c r="HIN143" s="22"/>
      <c r="HIO143" s="22"/>
      <c r="HIP143" s="22"/>
      <c r="HIQ143" s="22"/>
      <c r="HIR143" s="22"/>
      <c r="HIS143" s="22"/>
      <c r="HIT143" s="22"/>
      <c r="HIU143" s="22"/>
      <c r="HIV143" s="22"/>
      <c r="HIW143" s="22"/>
      <c r="HIX143" s="22"/>
      <c r="HIY143" s="22"/>
      <c r="HIZ143" s="22"/>
      <c r="HJA143" s="22"/>
      <c r="HJB143" s="22"/>
      <c r="HJC143" s="22"/>
      <c r="HJD143" s="22"/>
      <c r="HJE143" s="22"/>
      <c r="HJF143" s="22"/>
      <c r="HJG143" s="22"/>
      <c r="HJH143" s="22"/>
      <c r="HJI143" s="22"/>
      <c r="HJJ143" s="22"/>
      <c r="HJK143" s="22"/>
      <c r="HJL143" s="22"/>
      <c r="HJM143" s="22"/>
      <c r="HJN143" s="22"/>
      <c r="HJO143" s="22"/>
      <c r="HJP143" s="22"/>
      <c r="HJQ143" s="22"/>
      <c r="HJR143" s="22"/>
      <c r="HJS143" s="22"/>
      <c r="HJT143" s="22"/>
      <c r="HJU143" s="22"/>
      <c r="HJV143" s="22"/>
      <c r="HJW143" s="22"/>
      <c r="HJX143" s="22"/>
      <c r="HJY143" s="22"/>
      <c r="HJZ143" s="22"/>
      <c r="HKA143" s="22"/>
      <c r="HKB143" s="22"/>
      <c r="HKC143" s="22"/>
      <c r="HKD143" s="22"/>
      <c r="HKE143" s="22"/>
      <c r="HKF143" s="22"/>
      <c r="HKG143" s="22"/>
      <c r="HKH143" s="22"/>
      <c r="HKI143" s="22"/>
      <c r="HKJ143" s="22"/>
      <c r="HKK143" s="22"/>
      <c r="HKL143" s="22"/>
      <c r="HKM143" s="22"/>
      <c r="HKN143" s="22"/>
      <c r="HKO143" s="22"/>
      <c r="HKP143" s="22"/>
      <c r="HKQ143" s="22"/>
      <c r="HKR143" s="22"/>
      <c r="HKS143" s="22"/>
      <c r="HKT143" s="22"/>
      <c r="HKU143" s="22"/>
      <c r="HKV143" s="22"/>
      <c r="HKW143" s="22"/>
      <c r="HKX143" s="22"/>
      <c r="HKY143" s="22"/>
      <c r="HKZ143" s="22"/>
      <c r="HLA143" s="22"/>
      <c r="HLB143" s="22"/>
      <c r="HLC143" s="22"/>
      <c r="HLD143" s="22"/>
      <c r="HLE143" s="22"/>
      <c r="HLF143" s="22"/>
      <c r="HLG143" s="22"/>
      <c r="HLH143" s="22"/>
      <c r="HLI143" s="22"/>
      <c r="HLJ143" s="22"/>
      <c r="HLK143" s="22"/>
      <c r="HLL143" s="22"/>
      <c r="HLM143" s="22"/>
      <c r="HLN143" s="22"/>
      <c r="HLO143" s="22"/>
      <c r="HLP143" s="22"/>
      <c r="HLQ143" s="22"/>
      <c r="HLR143" s="22"/>
      <c r="HLS143" s="22"/>
      <c r="HLT143" s="22"/>
      <c r="HLU143" s="22"/>
      <c r="HLV143" s="22"/>
      <c r="HLW143" s="22"/>
      <c r="HLX143" s="22"/>
      <c r="HLY143" s="22"/>
      <c r="HLZ143" s="22"/>
      <c r="HMA143" s="22"/>
      <c r="HMB143" s="22"/>
      <c r="HMC143" s="22"/>
      <c r="HMD143" s="22"/>
      <c r="HME143" s="22"/>
      <c r="HMF143" s="22"/>
      <c r="HMG143" s="22"/>
      <c r="HMH143" s="22"/>
      <c r="HMI143" s="22"/>
      <c r="HMJ143" s="22"/>
      <c r="HMK143" s="22"/>
      <c r="HML143" s="22"/>
      <c r="HMM143" s="22"/>
      <c r="HMN143" s="22"/>
      <c r="HMO143" s="22"/>
      <c r="HMP143" s="22"/>
      <c r="HMQ143" s="22"/>
      <c r="HMR143" s="22"/>
      <c r="HMS143" s="22"/>
      <c r="HMT143" s="22"/>
      <c r="HMU143" s="22"/>
      <c r="HMV143" s="22"/>
      <c r="HMW143" s="22"/>
      <c r="HMX143" s="22"/>
      <c r="HMY143" s="22"/>
      <c r="HMZ143" s="22"/>
      <c r="HNA143" s="22"/>
      <c r="HNB143" s="22"/>
      <c r="HNC143" s="22"/>
      <c r="HND143" s="22"/>
      <c r="HNE143" s="22"/>
      <c r="HNF143" s="22"/>
      <c r="HNG143" s="22"/>
      <c r="HNH143" s="22"/>
      <c r="HNI143" s="22"/>
      <c r="HNJ143" s="22"/>
      <c r="HNK143" s="22"/>
      <c r="HNL143" s="22"/>
      <c r="HNM143" s="22"/>
      <c r="HNN143" s="22"/>
      <c r="HNO143" s="22"/>
      <c r="HNP143" s="22"/>
      <c r="HNQ143" s="22"/>
      <c r="HNR143" s="22"/>
      <c r="HNS143" s="22"/>
      <c r="HNT143" s="22"/>
      <c r="HNU143" s="22"/>
      <c r="HNV143" s="22"/>
      <c r="HNW143" s="22"/>
      <c r="HNX143" s="22"/>
      <c r="HNY143" s="22"/>
      <c r="HNZ143" s="22"/>
      <c r="HOA143" s="22"/>
      <c r="HOB143" s="22"/>
      <c r="HOC143" s="22"/>
      <c r="HOD143" s="22"/>
      <c r="HOE143" s="22"/>
      <c r="HOF143" s="22"/>
      <c r="HOG143" s="22"/>
      <c r="HOH143" s="22"/>
      <c r="HOI143" s="22"/>
      <c r="HOJ143" s="22"/>
      <c r="HOK143" s="22"/>
      <c r="HOL143" s="22"/>
      <c r="HOM143" s="22"/>
      <c r="HON143" s="22"/>
      <c r="HOO143" s="22"/>
      <c r="HOP143" s="22"/>
      <c r="HOQ143" s="22"/>
      <c r="HOR143" s="22"/>
      <c r="HOS143" s="22"/>
      <c r="HOT143" s="22"/>
      <c r="HOU143" s="22"/>
      <c r="HOV143" s="22"/>
      <c r="HOW143" s="22"/>
      <c r="HOX143" s="22"/>
      <c r="HOY143" s="22"/>
      <c r="HOZ143" s="22"/>
      <c r="HPA143" s="22"/>
      <c r="HPB143" s="22"/>
      <c r="HPC143" s="22"/>
      <c r="HPD143" s="22"/>
      <c r="HPE143" s="22"/>
      <c r="HPF143" s="22"/>
      <c r="HPG143" s="22"/>
      <c r="HPH143" s="22"/>
      <c r="HPI143" s="22"/>
      <c r="HPJ143" s="22"/>
      <c r="HPK143" s="22"/>
      <c r="HPL143" s="22"/>
      <c r="HPM143" s="22"/>
      <c r="HPN143" s="22"/>
      <c r="HPO143" s="22"/>
      <c r="HPP143" s="22"/>
      <c r="HPQ143" s="22"/>
      <c r="HPR143" s="22"/>
      <c r="HPS143" s="22"/>
      <c r="HPT143" s="22"/>
      <c r="HPU143" s="22"/>
      <c r="HPV143" s="22"/>
      <c r="HPW143" s="22"/>
      <c r="HPX143" s="22"/>
      <c r="HPY143" s="22"/>
      <c r="HPZ143" s="22"/>
      <c r="HQA143" s="22"/>
      <c r="HQB143" s="22"/>
      <c r="HQC143" s="22"/>
      <c r="HQD143" s="22"/>
      <c r="HQE143" s="22"/>
      <c r="HQF143" s="22"/>
      <c r="HQG143" s="22"/>
      <c r="HQH143" s="22"/>
      <c r="HQI143" s="22"/>
      <c r="HQJ143" s="22"/>
      <c r="HQK143" s="22"/>
      <c r="HQL143" s="22"/>
      <c r="HQM143" s="22"/>
      <c r="HQN143" s="22"/>
      <c r="HQO143" s="22"/>
      <c r="HQP143" s="22"/>
      <c r="HQQ143" s="22"/>
      <c r="HQR143" s="22"/>
      <c r="HQS143" s="22"/>
      <c r="HQT143" s="22"/>
      <c r="HQU143" s="22"/>
      <c r="HQV143" s="22"/>
      <c r="HQW143" s="22"/>
      <c r="HQX143" s="22"/>
      <c r="HQY143" s="22"/>
      <c r="HQZ143" s="22"/>
      <c r="HRA143" s="22"/>
      <c r="HRB143" s="22"/>
      <c r="HRC143" s="22"/>
      <c r="HRD143" s="22"/>
      <c r="HRE143" s="22"/>
      <c r="HRF143" s="22"/>
      <c r="HRG143" s="22"/>
      <c r="HRH143" s="22"/>
      <c r="HRI143" s="22"/>
      <c r="HRJ143" s="22"/>
      <c r="HRK143" s="22"/>
      <c r="HRL143" s="22"/>
      <c r="HRM143" s="22"/>
      <c r="HRN143" s="22"/>
      <c r="HRO143" s="22"/>
      <c r="HRP143" s="22"/>
      <c r="HRQ143" s="22"/>
      <c r="HRR143" s="22"/>
      <c r="HRS143" s="22"/>
      <c r="HRT143" s="22"/>
      <c r="HRU143" s="22"/>
      <c r="HRV143" s="22"/>
      <c r="HRW143" s="22"/>
      <c r="HRX143" s="22"/>
      <c r="HRY143" s="22"/>
      <c r="HRZ143" s="22"/>
      <c r="HSA143" s="22"/>
      <c r="HSB143" s="22"/>
      <c r="HSC143" s="22"/>
      <c r="HSD143" s="22"/>
      <c r="HSE143" s="22"/>
      <c r="HSF143" s="22"/>
      <c r="HSG143" s="22"/>
      <c r="HSH143" s="22"/>
      <c r="HSI143" s="22"/>
      <c r="HSJ143" s="22"/>
      <c r="HSK143" s="22"/>
      <c r="HSL143" s="22"/>
      <c r="HSM143" s="22"/>
      <c r="HSN143" s="22"/>
      <c r="HSO143" s="22"/>
      <c r="HSP143" s="22"/>
      <c r="HSQ143" s="22"/>
      <c r="HSR143" s="22"/>
      <c r="HSS143" s="22"/>
      <c r="HST143" s="22"/>
      <c r="HSU143" s="22"/>
      <c r="HSV143" s="22"/>
      <c r="HSW143" s="22"/>
      <c r="HSX143" s="22"/>
      <c r="HSY143" s="22"/>
      <c r="HSZ143" s="22"/>
      <c r="HTA143" s="22"/>
      <c r="HTB143" s="22"/>
      <c r="HTC143" s="22"/>
      <c r="HTD143" s="22"/>
      <c r="HTE143" s="22"/>
      <c r="HTF143" s="22"/>
      <c r="HTG143" s="22"/>
      <c r="HTH143" s="22"/>
      <c r="HTI143" s="22"/>
      <c r="HTJ143" s="22"/>
      <c r="HTK143" s="22"/>
      <c r="HTL143" s="22"/>
      <c r="HTM143" s="22"/>
      <c r="HTN143" s="22"/>
      <c r="HTO143" s="22"/>
      <c r="HTP143" s="22"/>
      <c r="HTQ143" s="22"/>
      <c r="HTR143" s="22"/>
      <c r="HTS143" s="22"/>
      <c r="HTT143" s="22"/>
      <c r="HTU143" s="22"/>
      <c r="HTV143" s="22"/>
      <c r="HTW143" s="22"/>
      <c r="HTX143" s="22"/>
      <c r="HTY143" s="22"/>
      <c r="HTZ143" s="22"/>
      <c r="HUA143" s="22"/>
      <c r="HUB143" s="22"/>
      <c r="HUC143" s="22"/>
      <c r="HUD143" s="22"/>
      <c r="HUE143" s="22"/>
      <c r="HUF143" s="22"/>
      <c r="HUG143" s="22"/>
      <c r="HUH143" s="22"/>
      <c r="HUI143" s="22"/>
      <c r="HUJ143" s="22"/>
      <c r="HUK143" s="22"/>
      <c r="HUL143" s="22"/>
      <c r="HUM143" s="22"/>
      <c r="HUN143" s="22"/>
      <c r="HUO143" s="22"/>
      <c r="HUP143" s="22"/>
      <c r="HUQ143" s="22"/>
      <c r="HUR143" s="22"/>
      <c r="HUS143" s="22"/>
      <c r="HUT143" s="22"/>
      <c r="HUU143" s="22"/>
      <c r="HUV143" s="22"/>
      <c r="HUW143" s="22"/>
      <c r="HUX143" s="22"/>
      <c r="HUY143" s="22"/>
      <c r="HUZ143" s="22"/>
      <c r="HVA143" s="22"/>
      <c r="HVB143" s="22"/>
      <c r="HVC143" s="22"/>
      <c r="HVD143" s="22"/>
      <c r="HVE143" s="22"/>
      <c r="HVF143" s="22"/>
      <c r="HVG143" s="22"/>
      <c r="HVH143" s="22"/>
      <c r="HVI143" s="22"/>
      <c r="HVJ143" s="22"/>
      <c r="HVK143" s="22"/>
      <c r="HVL143" s="22"/>
      <c r="HVM143" s="22"/>
      <c r="HVN143" s="22"/>
      <c r="HVO143" s="22"/>
      <c r="HVP143" s="22"/>
      <c r="HVQ143" s="22"/>
      <c r="HVR143" s="22"/>
      <c r="HVS143" s="22"/>
      <c r="HVT143" s="22"/>
      <c r="HVU143" s="22"/>
      <c r="HVV143" s="22"/>
      <c r="HVW143" s="22"/>
      <c r="HVX143" s="22"/>
      <c r="HVY143" s="22"/>
      <c r="HVZ143" s="22"/>
      <c r="HWA143" s="22"/>
      <c r="HWB143" s="22"/>
      <c r="HWC143" s="22"/>
      <c r="HWD143" s="22"/>
      <c r="HWE143" s="22"/>
      <c r="HWF143" s="22"/>
      <c r="HWG143" s="22"/>
      <c r="HWH143" s="22"/>
      <c r="HWI143" s="22"/>
      <c r="HWJ143" s="22"/>
      <c r="HWK143" s="22"/>
      <c r="HWL143" s="22"/>
      <c r="HWM143" s="22"/>
      <c r="HWN143" s="22"/>
      <c r="HWO143" s="22"/>
      <c r="HWP143" s="22"/>
      <c r="HWQ143" s="22"/>
      <c r="HWR143" s="22"/>
      <c r="HWS143" s="22"/>
      <c r="HWT143" s="22"/>
      <c r="HWU143" s="22"/>
      <c r="HWV143" s="22"/>
      <c r="HWW143" s="22"/>
      <c r="HWX143" s="22"/>
      <c r="HWY143" s="22"/>
      <c r="HWZ143" s="22"/>
      <c r="HXA143" s="22"/>
      <c r="HXB143" s="22"/>
      <c r="HXC143" s="22"/>
      <c r="HXD143" s="22"/>
      <c r="HXE143" s="22"/>
      <c r="HXF143" s="22"/>
      <c r="HXG143" s="22"/>
      <c r="HXH143" s="22"/>
      <c r="HXI143" s="22"/>
      <c r="HXJ143" s="22"/>
      <c r="HXK143" s="22"/>
      <c r="HXL143" s="22"/>
      <c r="HXM143" s="22"/>
      <c r="HXN143" s="22"/>
      <c r="HXO143" s="22"/>
      <c r="HXP143" s="22"/>
      <c r="HXQ143" s="22"/>
      <c r="HXR143" s="22"/>
      <c r="HXS143" s="22"/>
      <c r="HXT143" s="22"/>
      <c r="HXU143" s="22"/>
      <c r="HXV143" s="22"/>
      <c r="HXW143" s="22"/>
      <c r="HXX143" s="22"/>
      <c r="HXY143" s="22"/>
      <c r="HXZ143" s="22"/>
      <c r="HYA143" s="22"/>
      <c r="HYB143" s="22"/>
      <c r="HYC143" s="22"/>
      <c r="HYD143" s="22"/>
      <c r="HYE143" s="22"/>
      <c r="HYF143" s="22"/>
      <c r="HYG143" s="22"/>
      <c r="HYH143" s="22"/>
      <c r="HYI143" s="22"/>
      <c r="HYJ143" s="22"/>
      <c r="HYK143" s="22"/>
      <c r="HYL143" s="22"/>
      <c r="HYM143" s="22"/>
      <c r="HYN143" s="22"/>
      <c r="HYO143" s="22"/>
      <c r="HYP143" s="22"/>
      <c r="HYQ143" s="22"/>
      <c r="HYR143" s="22"/>
      <c r="HYS143" s="22"/>
      <c r="HYT143" s="22"/>
      <c r="HYU143" s="22"/>
      <c r="HYV143" s="22"/>
      <c r="HYW143" s="22"/>
      <c r="HYX143" s="22"/>
      <c r="HYY143" s="22"/>
      <c r="HYZ143" s="22"/>
      <c r="HZA143" s="22"/>
      <c r="HZB143" s="22"/>
      <c r="HZC143" s="22"/>
      <c r="HZD143" s="22"/>
      <c r="HZE143" s="22"/>
      <c r="HZF143" s="22"/>
      <c r="HZG143" s="22"/>
      <c r="HZH143" s="22"/>
      <c r="HZI143" s="22"/>
      <c r="HZJ143" s="22"/>
      <c r="HZK143" s="22"/>
      <c r="HZL143" s="22"/>
      <c r="HZM143" s="22"/>
      <c r="HZN143" s="22"/>
      <c r="HZO143" s="22"/>
      <c r="HZP143" s="22"/>
      <c r="HZQ143" s="22"/>
      <c r="HZR143" s="22"/>
      <c r="HZS143" s="22"/>
      <c r="HZT143" s="22"/>
      <c r="HZU143" s="22"/>
      <c r="HZV143" s="22"/>
      <c r="HZW143" s="22"/>
      <c r="HZX143" s="22"/>
      <c r="HZY143" s="22"/>
      <c r="HZZ143" s="22"/>
      <c r="IAA143" s="22"/>
      <c r="IAB143" s="22"/>
      <c r="IAC143" s="22"/>
      <c r="IAD143" s="22"/>
      <c r="IAE143" s="22"/>
      <c r="IAF143" s="22"/>
      <c r="IAG143" s="22"/>
      <c r="IAH143" s="22"/>
      <c r="IAI143" s="22"/>
      <c r="IAJ143" s="22"/>
      <c r="IAK143" s="22"/>
      <c r="IAL143" s="22"/>
      <c r="IAM143" s="22"/>
      <c r="IAN143" s="22"/>
      <c r="IAO143" s="22"/>
      <c r="IAP143" s="22"/>
      <c r="IAQ143" s="22"/>
      <c r="IAR143" s="22"/>
      <c r="IAS143" s="22"/>
      <c r="IAT143" s="22"/>
      <c r="IAU143" s="22"/>
      <c r="IAV143" s="22"/>
      <c r="IAW143" s="22"/>
      <c r="IAX143" s="22"/>
      <c r="IAY143" s="22"/>
      <c r="IAZ143" s="22"/>
      <c r="IBA143" s="22"/>
      <c r="IBB143" s="22"/>
      <c r="IBC143" s="22"/>
      <c r="IBD143" s="22"/>
      <c r="IBE143" s="22"/>
      <c r="IBF143" s="22"/>
      <c r="IBG143" s="22"/>
      <c r="IBH143" s="22"/>
      <c r="IBI143" s="22"/>
      <c r="IBJ143" s="22"/>
      <c r="IBK143" s="22"/>
      <c r="IBL143" s="22"/>
      <c r="IBM143" s="22"/>
      <c r="IBN143" s="22"/>
      <c r="IBO143" s="22"/>
      <c r="IBP143" s="22"/>
      <c r="IBQ143" s="22"/>
      <c r="IBR143" s="22"/>
      <c r="IBS143" s="22"/>
      <c r="IBT143" s="22"/>
      <c r="IBU143" s="22"/>
      <c r="IBV143" s="22"/>
      <c r="IBW143" s="22"/>
      <c r="IBX143" s="22"/>
      <c r="IBY143" s="22"/>
      <c r="IBZ143" s="22"/>
      <c r="ICA143" s="22"/>
      <c r="ICB143" s="22"/>
      <c r="ICC143" s="22"/>
      <c r="ICD143" s="22"/>
      <c r="ICE143" s="22"/>
      <c r="ICF143" s="22"/>
      <c r="ICG143" s="22"/>
      <c r="ICH143" s="22"/>
      <c r="ICI143" s="22"/>
      <c r="ICJ143" s="22"/>
      <c r="ICK143" s="22"/>
      <c r="ICL143" s="22"/>
      <c r="ICM143" s="22"/>
      <c r="ICN143" s="22"/>
      <c r="ICO143" s="22"/>
      <c r="ICP143" s="22"/>
      <c r="ICQ143" s="22"/>
      <c r="ICR143" s="22"/>
      <c r="ICS143" s="22"/>
      <c r="ICT143" s="22"/>
      <c r="ICU143" s="22"/>
      <c r="ICV143" s="22"/>
      <c r="ICW143" s="22"/>
      <c r="ICX143" s="22"/>
      <c r="ICY143" s="22"/>
      <c r="ICZ143" s="22"/>
      <c r="IDA143" s="22"/>
      <c r="IDB143" s="22"/>
      <c r="IDC143" s="22"/>
      <c r="IDD143" s="22"/>
      <c r="IDE143" s="22"/>
      <c r="IDF143" s="22"/>
      <c r="IDG143" s="22"/>
      <c r="IDH143" s="22"/>
      <c r="IDI143" s="22"/>
      <c r="IDJ143" s="22"/>
      <c r="IDK143" s="22"/>
      <c r="IDL143" s="22"/>
      <c r="IDM143" s="22"/>
      <c r="IDN143" s="22"/>
      <c r="IDO143" s="22"/>
      <c r="IDP143" s="22"/>
      <c r="IDQ143" s="22"/>
      <c r="IDR143" s="22"/>
      <c r="IDS143" s="22"/>
      <c r="IDT143" s="22"/>
      <c r="IDU143" s="22"/>
      <c r="IDV143" s="22"/>
      <c r="IDW143" s="22"/>
      <c r="IDX143" s="22"/>
      <c r="IDY143" s="22"/>
      <c r="IDZ143" s="22"/>
      <c r="IEA143" s="22"/>
      <c r="IEB143" s="22"/>
      <c r="IEC143" s="22"/>
      <c r="IED143" s="22"/>
      <c r="IEE143" s="22"/>
      <c r="IEF143" s="22"/>
      <c r="IEG143" s="22"/>
      <c r="IEH143" s="22"/>
      <c r="IEI143" s="22"/>
      <c r="IEJ143" s="22"/>
      <c r="IEK143" s="22"/>
      <c r="IEL143" s="22"/>
      <c r="IEM143" s="22"/>
      <c r="IEN143" s="22"/>
      <c r="IEO143" s="22"/>
      <c r="IEP143" s="22"/>
      <c r="IEQ143" s="22"/>
      <c r="IER143" s="22"/>
      <c r="IES143" s="22"/>
      <c r="IET143" s="22"/>
      <c r="IEU143" s="22"/>
      <c r="IEV143" s="22"/>
      <c r="IEW143" s="22"/>
      <c r="IEX143" s="22"/>
      <c r="IEY143" s="22"/>
      <c r="IEZ143" s="22"/>
      <c r="IFA143" s="22"/>
      <c r="IFB143" s="22"/>
      <c r="IFC143" s="22"/>
      <c r="IFD143" s="22"/>
      <c r="IFE143" s="22"/>
      <c r="IFF143" s="22"/>
      <c r="IFG143" s="22"/>
      <c r="IFH143" s="22"/>
      <c r="IFI143" s="22"/>
      <c r="IFJ143" s="22"/>
      <c r="IFK143" s="22"/>
      <c r="IFL143" s="22"/>
      <c r="IFM143" s="22"/>
      <c r="IFN143" s="22"/>
      <c r="IFO143" s="22"/>
      <c r="IFP143" s="22"/>
      <c r="IFQ143" s="22"/>
      <c r="IFR143" s="22"/>
      <c r="IFS143" s="22"/>
      <c r="IFT143" s="22"/>
      <c r="IFU143" s="22"/>
      <c r="IFV143" s="22"/>
      <c r="IFW143" s="22"/>
      <c r="IFX143" s="22"/>
      <c r="IFY143" s="22"/>
      <c r="IFZ143" s="22"/>
      <c r="IGA143" s="22"/>
      <c r="IGB143" s="22"/>
      <c r="IGC143" s="22"/>
      <c r="IGD143" s="22"/>
      <c r="IGE143" s="22"/>
      <c r="IGF143" s="22"/>
      <c r="IGG143" s="22"/>
      <c r="IGH143" s="22"/>
      <c r="IGI143" s="22"/>
      <c r="IGJ143" s="22"/>
      <c r="IGK143" s="22"/>
      <c r="IGL143" s="22"/>
      <c r="IGM143" s="22"/>
      <c r="IGN143" s="22"/>
      <c r="IGO143" s="22"/>
      <c r="IGP143" s="22"/>
      <c r="IGQ143" s="22"/>
      <c r="IGR143" s="22"/>
      <c r="IGS143" s="22"/>
      <c r="IGT143" s="22"/>
      <c r="IGU143" s="22"/>
      <c r="IGV143" s="22"/>
      <c r="IGW143" s="22"/>
      <c r="IGX143" s="22"/>
      <c r="IGY143" s="22"/>
      <c r="IGZ143" s="22"/>
      <c r="IHA143" s="22"/>
      <c r="IHB143" s="22"/>
      <c r="IHC143" s="22"/>
      <c r="IHD143" s="22"/>
      <c r="IHE143" s="22"/>
      <c r="IHF143" s="22"/>
      <c r="IHG143" s="22"/>
      <c r="IHH143" s="22"/>
      <c r="IHI143" s="22"/>
      <c r="IHJ143" s="22"/>
      <c r="IHK143" s="22"/>
      <c r="IHL143" s="22"/>
      <c r="IHM143" s="22"/>
      <c r="IHN143" s="22"/>
      <c r="IHO143" s="22"/>
      <c r="IHP143" s="22"/>
      <c r="IHQ143" s="22"/>
      <c r="IHR143" s="22"/>
      <c r="IHS143" s="22"/>
      <c r="IHT143" s="22"/>
      <c r="IHU143" s="22"/>
      <c r="IHV143" s="22"/>
      <c r="IHW143" s="22"/>
      <c r="IHX143" s="22"/>
      <c r="IHY143" s="22"/>
      <c r="IHZ143" s="22"/>
      <c r="IIA143" s="22"/>
      <c r="IIB143" s="22"/>
      <c r="IIC143" s="22"/>
      <c r="IID143" s="22"/>
      <c r="IIE143" s="22"/>
      <c r="IIF143" s="22"/>
      <c r="IIG143" s="22"/>
      <c r="IIH143" s="22"/>
      <c r="III143" s="22"/>
      <c r="IIJ143" s="22"/>
      <c r="IIK143" s="22"/>
      <c r="IIL143" s="22"/>
      <c r="IIM143" s="22"/>
      <c r="IIN143" s="22"/>
      <c r="IIO143" s="22"/>
      <c r="IIP143" s="22"/>
      <c r="IIQ143" s="22"/>
      <c r="IIR143" s="22"/>
      <c r="IIS143" s="22"/>
      <c r="IIT143" s="22"/>
      <c r="IIU143" s="22"/>
      <c r="IIV143" s="22"/>
      <c r="IIW143" s="22"/>
      <c r="IIX143" s="22"/>
      <c r="IIY143" s="22"/>
      <c r="IIZ143" s="22"/>
      <c r="IJA143" s="22"/>
      <c r="IJB143" s="22"/>
      <c r="IJC143" s="22"/>
      <c r="IJD143" s="22"/>
      <c r="IJE143" s="22"/>
      <c r="IJF143" s="22"/>
      <c r="IJG143" s="22"/>
      <c r="IJH143" s="22"/>
      <c r="IJI143" s="22"/>
      <c r="IJJ143" s="22"/>
      <c r="IJK143" s="22"/>
      <c r="IJL143" s="22"/>
      <c r="IJM143" s="22"/>
      <c r="IJN143" s="22"/>
      <c r="IJO143" s="22"/>
      <c r="IJP143" s="22"/>
      <c r="IJQ143" s="22"/>
      <c r="IJR143" s="22"/>
      <c r="IJS143" s="22"/>
      <c r="IJT143" s="22"/>
      <c r="IJU143" s="22"/>
      <c r="IJV143" s="22"/>
      <c r="IJW143" s="22"/>
      <c r="IJX143" s="22"/>
      <c r="IJY143" s="22"/>
      <c r="IJZ143" s="22"/>
      <c r="IKA143" s="22"/>
      <c r="IKB143" s="22"/>
      <c r="IKC143" s="22"/>
      <c r="IKD143" s="22"/>
      <c r="IKE143" s="22"/>
      <c r="IKF143" s="22"/>
      <c r="IKG143" s="22"/>
      <c r="IKH143" s="22"/>
      <c r="IKI143" s="22"/>
      <c r="IKJ143" s="22"/>
      <c r="IKK143" s="22"/>
      <c r="IKL143" s="22"/>
      <c r="IKM143" s="22"/>
      <c r="IKN143" s="22"/>
      <c r="IKO143" s="22"/>
      <c r="IKP143" s="22"/>
      <c r="IKQ143" s="22"/>
      <c r="IKR143" s="22"/>
      <c r="IKS143" s="22"/>
      <c r="IKT143" s="22"/>
      <c r="IKU143" s="22"/>
      <c r="IKV143" s="22"/>
      <c r="IKW143" s="22"/>
      <c r="IKX143" s="22"/>
      <c r="IKY143" s="22"/>
      <c r="IKZ143" s="22"/>
      <c r="ILA143" s="22"/>
      <c r="ILB143" s="22"/>
      <c r="ILC143" s="22"/>
      <c r="ILD143" s="22"/>
      <c r="ILE143" s="22"/>
      <c r="ILF143" s="22"/>
      <c r="ILG143" s="22"/>
      <c r="ILH143" s="22"/>
      <c r="ILI143" s="22"/>
      <c r="ILJ143" s="22"/>
      <c r="ILK143" s="22"/>
      <c r="ILL143" s="22"/>
      <c r="ILM143" s="22"/>
      <c r="ILN143" s="22"/>
      <c r="ILO143" s="22"/>
      <c r="ILP143" s="22"/>
      <c r="ILQ143" s="22"/>
      <c r="ILR143" s="22"/>
      <c r="ILS143" s="22"/>
      <c r="ILT143" s="22"/>
      <c r="ILU143" s="22"/>
      <c r="ILV143" s="22"/>
      <c r="ILW143" s="22"/>
      <c r="ILX143" s="22"/>
      <c r="ILY143" s="22"/>
      <c r="ILZ143" s="22"/>
      <c r="IMA143" s="22"/>
      <c r="IMB143" s="22"/>
      <c r="IMC143" s="22"/>
      <c r="IMD143" s="22"/>
      <c r="IME143" s="22"/>
      <c r="IMF143" s="22"/>
      <c r="IMG143" s="22"/>
      <c r="IMH143" s="22"/>
      <c r="IMI143" s="22"/>
      <c r="IMJ143" s="22"/>
      <c r="IMK143" s="22"/>
      <c r="IML143" s="22"/>
      <c r="IMM143" s="22"/>
      <c r="IMN143" s="22"/>
      <c r="IMO143" s="22"/>
      <c r="IMP143" s="22"/>
      <c r="IMQ143" s="22"/>
      <c r="IMR143" s="22"/>
      <c r="IMS143" s="22"/>
      <c r="IMT143" s="22"/>
      <c r="IMU143" s="22"/>
      <c r="IMV143" s="22"/>
      <c r="IMW143" s="22"/>
      <c r="IMX143" s="22"/>
      <c r="IMY143" s="22"/>
      <c r="IMZ143" s="22"/>
      <c r="INA143" s="22"/>
      <c r="INB143" s="22"/>
      <c r="INC143" s="22"/>
      <c r="IND143" s="22"/>
      <c r="INE143" s="22"/>
      <c r="INF143" s="22"/>
      <c r="ING143" s="22"/>
      <c r="INH143" s="22"/>
      <c r="INI143" s="22"/>
      <c r="INJ143" s="22"/>
      <c r="INK143" s="22"/>
      <c r="INL143" s="22"/>
      <c r="INM143" s="22"/>
      <c r="INN143" s="22"/>
      <c r="INO143" s="22"/>
      <c r="INP143" s="22"/>
      <c r="INQ143" s="22"/>
      <c r="INR143" s="22"/>
      <c r="INS143" s="22"/>
      <c r="INT143" s="22"/>
      <c r="INU143" s="22"/>
      <c r="INV143" s="22"/>
      <c r="INW143" s="22"/>
      <c r="INX143" s="22"/>
      <c r="INY143" s="22"/>
      <c r="INZ143" s="22"/>
      <c r="IOA143" s="22"/>
      <c r="IOB143" s="22"/>
      <c r="IOC143" s="22"/>
      <c r="IOD143" s="22"/>
      <c r="IOE143" s="22"/>
      <c r="IOF143" s="22"/>
      <c r="IOG143" s="22"/>
      <c r="IOH143" s="22"/>
      <c r="IOI143" s="22"/>
      <c r="IOJ143" s="22"/>
      <c r="IOK143" s="22"/>
      <c r="IOL143" s="22"/>
      <c r="IOM143" s="22"/>
      <c r="ION143" s="22"/>
      <c r="IOO143" s="22"/>
      <c r="IOP143" s="22"/>
      <c r="IOQ143" s="22"/>
      <c r="IOR143" s="22"/>
      <c r="IOS143" s="22"/>
      <c r="IOT143" s="22"/>
      <c r="IOU143" s="22"/>
      <c r="IOV143" s="22"/>
      <c r="IOW143" s="22"/>
      <c r="IOX143" s="22"/>
      <c r="IOY143" s="22"/>
      <c r="IOZ143" s="22"/>
      <c r="IPA143" s="22"/>
      <c r="IPB143" s="22"/>
      <c r="IPC143" s="22"/>
      <c r="IPD143" s="22"/>
      <c r="IPE143" s="22"/>
      <c r="IPF143" s="22"/>
      <c r="IPG143" s="22"/>
      <c r="IPH143" s="22"/>
      <c r="IPI143" s="22"/>
      <c r="IPJ143" s="22"/>
      <c r="IPK143" s="22"/>
      <c r="IPL143" s="22"/>
      <c r="IPM143" s="22"/>
      <c r="IPN143" s="22"/>
      <c r="IPO143" s="22"/>
      <c r="IPP143" s="22"/>
      <c r="IPQ143" s="22"/>
      <c r="IPR143" s="22"/>
      <c r="IPS143" s="22"/>
      <c r="IPT143" s="22"/>
      <c r="IPU143" s="22"/>
      <c r="IPV143" s="22"/>
      <c r="IPW143" s="22"/>
      <c r="IPX143" s="22"/>
      <c r="IPY143" s="22"/>
      <c r="IPZ143" s="22"/>
      <c r="IQA143" s="22"/>
      <c r="IQB143" s="22"/>
      <c r="IQC143" s="22"/>
      <c r="IQD143" s="22"/>
      <c r="IQE143" s="22"/>
      <c r="IQF143" s="22"/>
      <c r="IQG143" s="22"/>
      <c r="IQH143" s="22"/>
      <c r="IQI143" s="22"/>
      <c r="IQJ143" s="22"/>
      <c r="IQK143" s="22"/>
      <c r="IQL143" s="22"/>
      <c r="IQM143" s="22"/>
      <c r="IQN143" s="22"/>
      <c r="IQO143" s="22"/>
      <c r="IQP143" s="22"/>
      <c r="IQQ143" s="22"/>
      <c r="IQR143" s="22"/>
      <c r="IQS143" s="22"/>
      <c r="IQT143" s="22"/>
      <c r="IQU143" s="22"/>
      <c r="IQV143" s="22"/>
      <c r="IQW143" s="22"/>
      <c r="IQX143" s="22"/>
      <c r="IQY143" s="22"/>
      <c r="IQZ143" s="22"/>
      <c r="IRA143" s="22"/>
      <c r="IRB143" s="22"/>
      <c r="IRC143" s="22"/>
      <c r="IRD143" s="22"/>
      <c r="IRE143" s="22"/>
      <c r="IRF143" s="22"/>
      <c r="IRG143" s="22"/>
      <c r="IRH143" s="22"/>
      <c r="IRI143" s="22"/>
      <c r="IRJ143" s="22"/>
      <c r="IRK143" s="22"/>
      <c r="IRL143" s="22"/>
      <c r="IRM143" s="22"/>
      <c r="IRN143" s="22"/>
      <c r="IRO143" s="22"/>
      <c r="IRP143" s="22"/>
      <c r="IRQ143" s="22"/>
      <c r="IRR143" s="22"/>
      <c r="IRS143" s="22"/>
      <c r="IRT143" s="22"/>
      <c r="IRU143" s="22"/>
      <c r="IRV143" s="22"/>
      <c r="IRW143" s="22"/>
      <c r="IRX143" s="22"/>
      <c r="IRY143" s="22"/>
      <c r="IRZ143" s="22"/>
      <c r="ISA143" s="22"/>
      <c r="ISB143" s="22"/>
      <c r="ISC143" s="22"/>
      <c r="ISD143" s="22"/>
      <c r="ISE143" s="22"/>
      <c r="ISF143" s="22"/>
      <c r="ISG143" s="22"/>
      <c r="ISH143" s="22"/>
      <c r="ISI143" s="22"/>
      <c r="ISJ143" s="22"/>
      <c r="ISK143" s="22"/>
      <c r="ISL143" s="22"/>
      <c r="ISM143" s="22"/>
      <c r="ISN143" s="22"/>
      <c r="ISO143" s="22"/>
      <c r="ISP143" s="22"/>
      <c r="ISQ143" s="22"/>
      <c r="ISR143" s="22"/>
      <c r="ISS143" s="22"/>
      <c r="IST143" s="22"/>
      <c r="ISU143" s="22"/>
      <c r="ISV143" s="22"/>
      <c r="ISW143" s="22"/>
      <c r="ISX143" s="22"/>
      <c r="ISY143" s="22"/>
      <c r="ISZ143" s="22"/>
      <c r="ITA143" s="22"/>
      <c r="ITB143" s="22"/>
      <c r="ITC143" s="22"/>
      <c r="ITD143" s="22"/>
      <c r="ITE143" s="22"/>
      <c r="ITF143" s="22"/>
      <c r="ITG143" s="22"/>
      <c r="ITH143" s="22"/>
      <c r="ITI143" s="22"/>
      <c r="ITJ143" s="22"/>
      <c r="ITK143" s="22"/>
      <c r="ITL143" s="22"/>
      <c r="ITM143" s="22"/>
      <c r="ITN143" s="22"/>
      <c r="ITO143" s="22"/>
      <c r="ITP143" s="22"/>
      <c r="ITQ143" s="22"/>
      <c r="ITR143" s="22"/>
      <c r="ITS143" s="22"/>
      <c r="ITT143" s="22"/>
      <c r="ITU143" s="22"/>
      <c r="ITV143" s="22"/>
      <c r="ITW143" s="22"/>
      <c r="ITX143" s="22"/>
      <c r="ITY143" s="22"/>
      <c r="ITZ143" s="22"/>
      <c r="IUA143" s="22"/>
      <c r="IUB143" s="22"/>
      <c r="IUC143" s="22"/>
      <c r="IUD143" s="22"/>
      <c r="IUE143" s="22"/>
      <c r="IUF143" s="22"/>
      <c r="IUG143" s="22"/>
      <c r="IUH143" s="22"/>
      <c r="IUI143" s="22"/>
      <c r="IUJ143" s="22"/>
      <c r="IUK143" s="22"/>
      <c r="IUL143" s="22"/>
      <c r="IUM143" s="22"/>
      <c r="IUN143" s="22"/>
      <c r="IUO143" s="22"/>
      <c r="IUP143" s="22"/>
      <c r="IUQ143" s="22"/>
      <c r="IUR143" s="22"/>
      <c r="IUS143" s="22"/>
      <c r="IUT143" s="22"/>
      <c r="IUU143" s="22"/>
      <c r="IUV143" s="22"/>
      <c r="IUW143" s="22"/>
      <c r="IUX143" s="22"/>
      <c r="IUY143" s="22"/>
      <c r="IUZ143" s="22"/>
      <c r="IVA143" s="22"/>
      <c r="IVB143" s="22"/>
      <c r="IVC143" s="22"/>
      <c r="IVD143" s="22"/>
      <c r="IVE143" s="22"/>
      <c r="IVF143" s="22"/>
      <c r="IVG143" s="22"/>
      <c r="IVH143" s="22"/>
      <c r="IVI143" s="22"/>
      <c r="IVJ143" s="22"/>
      <c r="IVK143" s="22"/>
      <c r="IVL143" s="22"/>
      <c r="IVM143" s="22"/>
      <c r="IVN143" s="22"/>
      <c r="IVO143" s="22"/>
      <c r="IVP143" s="22"/>
      <c r="IVQ143" s="22"/>
      <c r="IVR143" s="22"/>
      <c r="IVS143" s="22"/>
      <c r="IVT143" s="22"/>
      <c r="IVU143" s="22"/>
      <c r="IVV143" s="22"/>
      <c r="IVW143" s="22"/>
      <c r="IVX143" s="22"/>
      <c r="IVY143" s="22"/>
      <c r="IVZ143" s="22"/>
      <c r="IWA143" s="22"/>
      <c r="IWB143" s="22"/>
      <c r="IWC143" s="22"/>
      <c r="IWD143" s="22"/>
      <c r="IWE143" s="22"/>
      <c r="IWF143" s="22"/>
      <c r="IWG143" s="22"/>
      <c r="IWH143" s="22"/>
      <c r="IWI143" s="22"/>
      <c r="IWJ143" s="22"/>
      <c r="IWK143" s="22"/>
      <c r="IWL143" s="22"/>
      <c r="IWM143" s="22"/>
      <c r="IWN143" s="22"/>
      <c r="IWO143" s="22"/>
      <c r="IWP143" s="22"/>
      <c r="IWQ143" s="22"/>
      <c r="IWR143" s="22"/>
      <c r="IWS143" s="22"/>
      <c r="IWT143" s="22"/>
      <c r="IWU143" s="22"/>
      <c r="IWV143" s="22"/>
      <c r="IWW143" s="22"/>
      <c r="IWX143" s="22"/>
      <c r="IWY143" s="22"/>
      <c r="IWZ143" s="22"/>
      <c r="IXA143" s="22"/>
      <c r="IXB143" s="22"/>
      <c r="IXC143" s="22"/>
      <c r="IXD143" s="22"/>
      <c r="IXE143" s="22"/>
      <c r="IXF143" s="22"/>
      <c r="IXG143" s="22"/>
      <c r="IXH143" s="22"/>
      <c r="IXI143" s="22"/>
      <c r="IXJ143" s="22"/>
      <c r="IXK143" s="22"/>
      <c r="IXL143" s="22"/>
      <c r="IXM143" s="22"/>
      <c r="IXN143" s="22"/>
      <c r="IXO143" s="22"/>
      <c r="IXP143" s="22"/>
      <c r="IXQ143" s="22"/>
      <c r="IXR143" s="22"/>
      <c r="IXS143" s="22"/>
      <c r="IXT143" s="22"/>
      <c r="IXU143" s="22"/>
      <c r="IXV143" s="22"/>
      <c r="IXW143" s="22"/>
      <c r="IXX143" s="22"/>
      <c r="IXY143" s="22"/>
      <c r="IXZ143" s="22"/>
      <c r="IYA143" s="22"/>
      <c r="IYB143" s="22"/>
      <c r="IYC143" s="22"/>
      <c r="IYD143" s="22"/>
      <c r="IYE143" s="22"/>
      <c r="IYF143" s="22"/>
      <c r="IYG143" s="22"/>
      <c r="IYH143" s="22"/>
      <c r="IYI143" s="22"/>
      <c r="IYJ143" s="22"/>
      <c r="IYK143" s="22"/>
      <c r="IYL143" s="22"/>
      <c r="IYM143" s="22"/>
      <c r="IYN143" s="22"/>
      <c r="IYO143" s="22"/>
      <c r="IYP143" s="22"/>
      <c r="IYQ143" s="22"/>
      <c r="IYR143" s="22"/>
      <c r="IYS143" s="22"/>
      <c r="IYT143" s="22"/>
      <c r="IYU143" s="22"/>
      <c r="IYV143" s="22"/>
      <c r="IYW143" s="22"/>
      <c r="IYX143" s="22"/>
      <c r="IYY143" s="22"/>
      <c r="IYZ143" s="22"/>
      <c r="IZA143" s="22"/>
      <c r="IZB143" s="22"/>
      <c r="IZC143" s="22"/>
      <c r="IZD143" s="22"/>
      <c r="IZE143" s="22"/>
      <c r="IZF143" s="22"/>
      <c r="IZG143" s="22"/>
      <c r="IZH143" s="22"/>
      <c r="IZI143" s="22"/>
      <c r="IZJ143" s="22"/>
      <c r="IZK143" s="22"/>
      <c r="IZL143" s="22"/>
      <c r="IZM143" s="22"/>
      <c r="IZN143" s="22"/>
      <c r="IZO143" s="22"/>
      <c r="IZP143" s="22"/>
      <c r="IZQ143" s="22"/>
      <c r="IZR143" s="22"/>
      <c r="IZS143" s="22"/>
      <c r="IZT143" s="22"/>
      <c r="IZU143" s="22"/>
      <c r="IZV143" s="22"/>
      <c r="IZW143" s="22"/>
      <c r="IZX143" s="22"/>
      <c r="IZY143" s="22"/>
      <c r="IZZ143" s="22"/>
      <c r="JAA143" s="22"/>
      <c r="JAB143" s="22"/>
      <c r="JAC143" s="22"/>
      <c r="JAD143" s="22"/>
      <c r="JAE143" s="22"/>
      <c r="JAF143" s="22"/>
      <c r="JAG143" s="22"/>
      <c r="JAH143" s="22"/>
      <c r="JAI143" s="22"/>
      <c r="JAJ143" s="22"/>
      <c r="JAK143" s="22"/>
      <c r="JAL143" s="22"/>
      <c r="JAM143" s="22"/>
      <c r="JAN143" s="22"/>
      <c r="JAO143" s="22"/>
      <c r="JAP143" s="22"/>
      <c r="JAQ143" s="22"/>
      <c r="JAR143" s="22"/>
      <c r="JAS143" s="22"/>
      <c r="JAT143" s="22"/>
      <c r="JAU143" s="22"/>
      <c r="JAV143" s="22"/>
      <c r="JAW143" s="22"/>
      <c r="JAX143" s="22"/>
      <c r="JAY143" s="22"/>
      <c r="JAZ143" s="22"/>
      <c r="JBA143" s="22"/>
      <c r="JBB143" s="22"/>
      <c r="JBC143" s="22"/>
      <c r="JBD143" s="22"/>
      <c r="JBE143" s="22"/>
      <c r="JBF143" s="22"/>
      <c r="JBG143" s="22"/>
      <c r="JBH143" s="22"/>
      <c r="JBI143" s="22"/>
      <c r="JBJ143" s="22"/>
      <c r="JBK143" s="22"/>
      <c r="JBL143" s="22"/>
      <c r="JBM143" s="22"/>
      <c r="JBN143" s="22"/>
      <c r="JBO143" s="22"/>
      <c r="JBP143" s="22"/>
      <c r="JBQ143" s="22"/>
      <c r="JBR143" s="22"/>
      <c r="JBS143" s="22"/>
      <c r="JBT143" s="22"/>
      <c r="JBU143" s="22"/>
      <c r="JBV143" s="22"/>
      <c r="JBW143" s="22"/>
      <c r="JBX143" s="22"/>
      <c r="JBY143" s="22"/>
      <c r="JBZ143" s="22"/>
      <c r="JCA143" s="22"/>
      <c r="JCB143" s="22"/>
      <c r="JCC143" s="22"/>
      <c r="JCD143" s="22"/>
      <c r="JCE143" s="22"/>
      <c r="JCF143" s="22"/>
      <c r="JCG143" s="22"/>
      <c r="JCH143" s="22"/>
      <c r="JCI143" s="22"/>
      <c r="JCJ143" s="22"/>
      <c r="JCK143" s="22"/>
      <c r="JCL143" s="22"/>
      <c r="JCM143" s="22"/>
      <c r="JCN143" s="22"/>
      <c r="JCO143" s="22"/>
      <c r="JCP143" s="22"/>
      <c r="JCQ143" s="22"/>
      <c r="JCR143" s="22"/>
      <c r="JCS143" s="22"/>
      <c r="JCT143" s="22"/>
      <c r="JCU143" s="22"/>
      <c r="JCV143" s="22"/>
      <c r="JCW143" s="22"/>
      <c r="JCX143" s="22"/>
      <c r="JCY143" s="22"/>
      <c r="JCZ143" s="22"/>
      <c r="JDA143" s="22"/>
      <c r="JDB143" s="22"/>
      <c r="JDC143" s="22"/>
      <c r="JDD143" s="22"/>
      <c r="JDE143" s="22"/>
      <c r="JDF143" s="22"/>
      <c r="JDG143" s="22"/>
      <c r="JDH143" s="22"/>
      <c r="JDI143" s="22"/>
      <c r="JDJ143" s="22"/>
      <c r="JDK143" s="22"/>
      <c r="JDL143" s="22"/>
      <c r="JDM143" s="22"/>
      <c r="JDN143" s="22"/>
      <c r="JDO143" s="22"/>
      <c r="JDP143" s="22"/>
      <c r="JDQ143" s="22"/>
      <c r="JDR143" s="22"/>
      <c r="JDS143" s="22"/>
      <c r="JDT143" s="22"/>
      <c r="JDU143" s="22"/>
      <c r="JDV143" s="22"/>
      <c r="JDW143" s="22"/>
      <c r="JDX143" s="22"/>
      <c r="JDY143" s="22"/>
      <c r="JDZ143" s="22"/>
      <c r="JEA143" s="22"/>
      <c r="JEB143" s="22"/>
      <c r="JEC143" s="22"/>
      <c r="JED143" s="22"/>
      <c r="JEE143" s="22"/>
      <c r="JEF143" s="22"/>
      <c r="JEG143" s="22"/>
      <c r="JEH143" s="22"/>
      <c r="JEI143" s="22"/>
      <c r="JEJ143" s="22"/>
      <c r="JEK143" s="22"/>
      <c r="JEL143" s="22"/>
      <c r="JEM143" s="22"/>
      <c r="JEN143" s="22"/>
      <c r="JEO143" s="22"/>
      <c r="JEP143" s="22"/>
      <c r="JEQ143" s="22"/>
      <c r="JER143" s="22"/>
      <c r="JES143" s="22"/>
      <c r="JET143" s="22"/>
      <c r="JEU143" s="22"/>
      <c r="JEV143" s="22"/>
      <c r="JEW143" s="22"/>
      <c r="JEX143" s="22"/>
      <c r="JEY143" s="22"/>
      <c r="JEZ143" s="22"/>
      <c r="JFA143" s="22"/>
      <c r="JFB143" s="22"/>
      <c r="JFC143" s="22"/>
      <c r="JFD143" s="22"/>
      <c r="JFE143" s="22"/>
      <c r="JFF143" s="22"/>
      <c r="JFG143" s="22"/>
      <c r="JFH143" s="22"/>
      <c r="JFI143" s="22"/>
      <c r="JFJ143" s="22"/>
      <c r="JFK143" s="22"/>
      <c r="JFL143" s="22"/>
      <c r="JFM143" s="22"/>
      <c r="JFN143" s="22"/>
      <c r="JFO143" s="22"/>
      <c r="JFP143" s="22"/>
      <c r="JFQ143" s="22"/>
      <c r="JFR143" s="22"/>
      <c r="JFS143" s="22"/>
      <c r="JFT143" s="22"/>
      <c r="JFU143" s="22"/>
      <c r="JFV143" s="22"/>
      <c r="JFW143" s="22"/>
      <c r="JFX143" s="22"/>
      <c r="JFY143" s="22"/>
      <c r="JFZ143" s="22"/>
      <c r="JGA143" s="22"/>
      <c r="JGB143" s="22"/>
      <c r="JGC143" s="22"/>
      <c r="JGD143" s="22"/>
      <c r="JGE143" s="22"/>
      <c r="JGF143" s="22"/>
      <c r="JGG143" s="22"/>
      <c r="JGH143" s="22"/>
      <c r="JGI143" s="22"/>
      <c r="JGJ143" s="22"/>
      <c r="JGK143" s="22"/>
      <c r="JGL143" s="22"/>
      <c r="JGM143" s="22"/>
      <c r="JGN143" s="22"/>
      <c r="JGO143" s="22"/>
      <c r="JGP143" s="22"/>
      <c r="JGQ143" s="22"/>
      <c r="JGR143" s="22"/>
      <c r="JGS143" s="22"/>
      <c r="JGT143" s="22"/>
      <c r="JGU143" s="22"/>
      <c r="JGV143" s="22"/>
      <c r="JGW143" s="22"/>
      <c r="JGX143" s="22"/>
      <c r="JGY143" s="22"/>
      <c r="JGZ143" s="22"/>
      <c r="JHA143" s="22"/>
      <c r="JHB143" s="22"/>
      <c r="JHC143" s="22"/>
      <c r="JHD143" s="22"/>
      <c r="JHE143" s="22"/>
      <c r="JHF143" s="22"/>
      <c r="JHG143" s="22"/>
      <c r="JHH143" s="22"/>
      <c r="JHI143" s="22"/>
      <c r="JHJ143" s="22"/>
      <c r="JHK143" s="22"/>
      <c r="JHL143" s="22"/>
      <c r="JHM143" s="22"/>
      <c r="JHN143" s="22"/>
      <c r="JHO143" s="22"/>
      <c r="JHP143" s="22"/>
      <c r="JHQ143" s="22"/>
      <c r="JHR143" s="22"/>
      <c r="JHS143" s="22"/>
      <c r="JHT143" s="22"/>
      <c r="JHU143" s="22"/>
      <c r="JHV143" s="22"/>
      <c r="JHW143" s="22"/>
      <c r="JHX143" s="22"/>
      <c r="JHY143" s="22"/>
      <c r="JHZ143" s="22"/>
      <c r="JIA143" s="22"/>
      <c r="JIB143" s="22"/>
      <c r="JIC143" s="22"/>
      <c r="JID143" s="22"/>
      <c r="JIE143" s="22"/>
      <c r="JIF143" s="22"/>
      <c r="JIG143" s="22"/>
      <c r="JIH143" s="22"/>
      <c r="JII143" s="22"/>
      <c r="JIJ143" s="22"/>
      <c r="JIK143" s="22"/>
      <c r="JIL143" s="22"/>
      <c r="JIM143" s="22"/>
      <c r="JIN143" s="22"/>
      <c r="JIO143" s="22"/>
      <c r="JIP143" s="22"/>
      <c r="JIQ143" s="22"/>
      <c r="JIR143" s="22"/>
      <c r="JIS143" s="22"/>
      <c r="JIT143" s="22"/>
      <c r="JIU143" s="22"/>
      <c r="JIV143" s="22"/>
      <c r="JIW143" s="22"/>
      <c r="JIX143" s="22"/>
      <c r="JIY143" s="22"/>
      <c r="JIZ143" s="22"/>
      <c r="JJA143" s="22"/>
      <c r="JJB143" s="22"/>
      <c r="JJC143" s="22"/>
      <c r="JJD143" s="22"/>
      <c r="JJE143" s="22"/>
      <c r="JJF143" s="22"/>
      <c r="JJG143" s="22"/>
      <c r="JJH143" s="22"/>
      <c r="JJI143" s="22"/>
      <c r="JJJ143" s="22"/>
      <c r="JJK143" s="22"/>
      <c r="JJL143" s="22"/>
      <c r="JJM143" s="22"/>
      <c r="JJN143" s="22"/>
      <c r="JJO143" s="22"/>
      <c r="JJP143" s="22"/>
      <c r="JJQ143" s="22"/>
      <c r="JJR143" s="22"/>
      <c r="JJS143" s="22"/>
      <c r="JJT143" s="22"/>
      <c r="JJU143" s="22"/>
      <c r="JJV143" s="22"/>
      <c r="JJW143" s="22"/>
      <c r="JJX143" s="22"/>
      <c r="JJY143" s="22"/>
      <c r="JJZ143" s="22"/>
      <c r="JKA143" s="22"/>
      <c r="JKB143" s="22"/>
      <c r="JKC143" s="22"/>
      <c r="JKD143" s="22"/>
      <c r="JKE143" s="22"/>
      <c r="JKF143" s="22"/>
      <c r="JKG143" s="22"/>
      <c r="JKH143" s="22"/>
      <c r="JKI143" s="22"/>
      <c r="JKJ143" s="22"/>
      <c r="JKK143" s="22"/>
      <c r="JKL143" s="22"/>
      <c r="JKM143" s="22"/>
      <c r="JKN143" s="22"/>
      <c r="JKO143" s="22"/>
      <c r="JKP143" s="22"/>
      <c r="JKQ143" s="22"/>
      <c r="JKR143" s="22"/>
      <c r="JKS143" s="22"/>
      <c r="JKT143" s="22"/>
      <c r="JKU143" s="22"/>
      <c r="JKV143" s="22"/>
      <c r="JKW143" s="22"/>
      <c r="JKX143" s="22"/>
      <c r="JKY143" s="22"/>
      <c r="JKZ143" s="22"/>
      <c r="JLA143" s="22"/>
      <c r="JLB143" s="22"/>
      <c r="JLC143" s="22"/>
      <c r="JLD143" s="22"/>
      <c r="JLE143" s="22"/>
      <c r="JLF143" s="22"/>
      <c r="JLG143" s="22"/>
      <c r="JLH143" s="22"/>
      <c r="JLI143" s="22"/>
      <c r="JLJ143" s="22"/>
      <c r="JLK143" s="22"/>
      <c r="JLL143" s="22"/>
      <c r="JLM143" s="22"/>
      <c r="JLN143" s="22"/>
      <c r="JLO143" s="22"/>
      <c r="JLP143" s="22"/>
      <c r="JLQ143" s="22"/>
      <c r="JLR143" s="22"/>
      <c r="JLS143" s="22"/>
      <c r="JLT143" s="22"/>
      <c r="JLU143" s="22"/>
      <c r="JLV143" s="22"/>
      <c r="JLW143" s="22"/>
      <c r="JLX143" s="22"/>
      <c r="JLY143" s="22"/>
      <c r="JLZ143" s="22"/>
      <c r="JMA143" s="22"/>
      <c r="JMB143" s="22"/>
      <c r="JMC143" s="22"/>
      <c r="JMD143" s="22"/>
      <c r="JME143" s="22"/>
      <c r="JMF143" s="22"/>
      <c r="JMG143" s="22"/>
      <c r="JMH143" s="22"/>
      <c r="JMI143" s="22"/>
      <c r="JMJ143" s="22"/>
      <c r="JMK143" s="22"/>
      <c r="JML143" s="22"/>
      <c r="JMM143" s="22"/>
      <c r="JMN143" s="22"/>
      <c r="JMO143" s="22"/>
      <c r="JMP143" s="22"/>
      <c r="JMQ143" s="22"/>
      <c r="JMR143" s="22"/>
      <c r="JMS143" s="22"/>
      <c r="JMT143" s="22"/>
      <c r="JMU143" s="22"/>
      <c r="JMV143" s="22"/>
      <c r="JMW143" s="22"/>
      <c r="JMX143" s="22"/>
      <c r="JMY143" s="22"/>
      <c r="JMZ143" s="22"/>
      <c r="JNA143" s="22"/>
      <c r="JNB143" s="22"/>
      <c r="JNC143" s="22"/>
      <c r="JND143" s="22"/>
      <c r="JNE143" s="22"/>
      <c r="JNF143" s="22"/>
      <c r="JNG143" s="22"/>
      <c r="JNH143" s="22"/>
      <c r="JNI143" s="22"/>
      <c r="JNJ143" s="22"/>
      <c r="JNK143" s="22"/>
      <c r="JNL143" s="22"/>
      <c r="JNM143" s="22"/>
      <c r="JNN143" s="22"/>
      <c r="JNO143" s="22"/>
      <c r="JNP143" s="22"/>
      <c r="JNQ143" s="22"/>
      <c r="JNR143" s="22"/>
      <c r="JNS143" s="22"/>
      <c r="JNT143" s="22"/>
      <c r="JNU143" s="22"/>
      <c r="JNV143" s="22"/>
      <c r="JNW143" s="22"/>
      <c r="JNX143" s="22"/>
      <c r="JNY143" s="22"/>
      <c r="JNZ143" s="22"/>
      <c r="JOA143" s="22"/>
      <c r="JOB143" s="22"/>
      <c r="JOC143" s="22"/>
      <c r="JOD143" s="22"/>
      <c r="JOE143" s="22"/>
      <c r="JOF143" s="22"/>
      <c r="JOG143" s="22"/>
      <c r="JOH143" s="22"/>
      <c r="JOI143" s="22"/>
      <c r="JOJ143" s="22"/>
      <c r="JOK143" s="22"/>
      <c r="JOL143" s="22"/>
      <c r="JOM143" s="22"/>
      <c r="JON143" s="22"/>
      <c r="JOO143" s="22"/>
      <c r="JOP143" s="22"/>
      <c r="JOQ143" s="22"/>
      <c r="JOR143" s="22"/>
      <c r="JOS143" s="22"/>
      <c r="JOT143" s="22"/>
      <c r="JOU143" s="22"/>
      <c r="JOV143" s="22"/>
      <c r="JOW143" s="22"/>
      <c r="JOX143" s="22"/>
      <c r="JOY143" s="22"/>
      <c r="JOZ143" s="22"/>
      <c r="JPA143" s="22"/>
      <c r="JPB143" s="22"/>
      <c r="JPC143" s="22"/>
      <c r="JPD143" s="22"/>
      <c r="JPE143" s="22"/>
      <c r="JPF143" s="22"/>
      <c r="JPG143" s="22"/>
      <c r="JPH143" s="22"/>
      <c r="JPI143" s="22"/>
      <c r="JPJ143" s="22"/>
      <c r="JPK143" s="22"/>
      <c r="JPL143" s="22"/>
      <c r="JPM143" s="22"/>
      <c r="JPN143" s="22"/>
      <c r="JPO143" s="22"/>
      <c r="JPP143" s="22"/>
      <c r="JPQ143" s="22"/>
      <c r="JPR143" s="22"/>
      <c r="JPS143" s="22"/>
      <c r="JPT143" s="22"/>
      <c r="JPU143" s="22"/>
      <c r="JPV143" s="22"/>
      <c r="JPW143" s="22"/>
      <c r="JPX143" s="22"/>
      <c r="JPY143" s="22"/>
      <c r="JPZ143" s="22"/>
      <c r="JQA143" s="22"/>
      <c r="JQB143" s="22"/>
      <c r="JQC143" s="22"/>
      <c r="JQD143" s="22"/>
      <c r="JQE143" s="22"/>
      <c r="JQF143" s="22"/>
      <c r="JQG143" s="22"/>
      <c r="JQH143" s="22"/>
      <c r="JQI143" s="22"/>
      <c r="JQJ143" s="22"/>
      <c r="JQK143" s="22"/>
      <c r="JQL143" s="22"/>
      <c r="JQM143" s="22"/>
      <c r="JQN143" s="22"/>
      <c r="JQO143" s="22"/>
      <c r="JQP143" s="22"/>
      <c r="JQQ143" s="22"/>
      <c r="JQR143" s="22"/>
      <c r="JQS143" s="22"/>
      <c r="JQT143" s="22"/>
      <c r="JQU143" s="22"/>
      <c r="JQV143" s="22"/>
      <c r="JQW143" s="22"/>
      <c r="JQX143" s="22"/>
      <c r="JQY143" s="22"/>
      <c r="JQZ143" s="22"/>
      <c r="JRA143" s="22"/>
      <c r="JRB143" s="22"/>
      <c r="JRC143" s="22"/>
      <c r="JRD143" s="22"/>
      <c r="JRE143" s="22"/>
      <c r="JRF143" s="22"/>
      <c r="JRG143" s="22"/>
      <c r="JRH143" s="22"/>
      <c r="JRI143" s="22"/>
      <c r="JRJ143" s="22"/>
      <c r="JRK143" s="22"/>
      <c r="JRL143" s="22"/>
      <c r="JRM143" s="22"/>
      <c r="JRN143" s="22"/>
      <c r="JRO143" s="22"/>
      <c r="JRP143" s="22"/>
      <c r="JRQ143" s="22"/>
      <c r="JRR143" s="22"/>
      <c r="JRS143" s="22"/>
      <c r="JRT143" s="22"/>
      <c r="JRU143" s="22"/>
      <c r="JRV143" s="22"/>
      <c r="JRW143" s="22"/>
      <c r="JRX143" s="22"/>
      <c r="JRY143" s="22"/>
      <c r="JRZ143" s="22"/>
      <c r="JSA143" s="22"/>
      <c r="JSB143" s="22"/>
      <c r="JSC143" s="22"/>
      <c r="JSD143" s="22"/>
      <c r="JSE143" s="22"/>
      <c r="JSF143" s="22"/>
      <c r="JSG143" s="22"/>
      <c r="JSH143" s="22"/>
      <c r="JSI143" s="22"/>
      <c r="JSJ143" s="22"/>
      <c r="JSK143" s="22"/>
      <c r="JSL143" s="22"/>
      <c r="JSM143" s="22"/>
      <c r="JSN143" s="22"/>
      <c r="JSO143" s="22"/>
      <c r="JSP143" s="22"/>
      <c r="JSQ143" s="22"/>
      <c r="JSR143" s="22"/>
      <c r="JSS143" s="22"/>
      <c r="JST143" s="22"/>
      <c r="JSU143" s="22"/>
      <c r="JSV143" s="22"/>
      <c r="JSW143" s="22"/>
      <c r="JSX143" s="22"/>
      <c r="JSY143" s="22"/>
      <c r="JSZ143" s="22"/>
      <c r="JTA143" s="22"/>
      <c r="JTB143" s="22"/>
      <c r="JTC143" s="22"/>
      <c r="JTD143" s="22"/>
      <c r="JTE143" s="22"/>
      <c r="JTF143" s="22"/>
      <c r="JTG143" s="22"/>
      <c r="JTH143" s="22"/>
      <c r="JTI143" s="22"/>
      <c r="JTJ143" s="22"/>
      <c r="JTK143" s="22"/>
      <c r="JTL143" s="22"/>
      <c r="JTM143" s="22"/>
      <c r="JTN143" s="22"/>
      <c r="JTO143" s="22"/>
      <c r="JTP143" s="22"/>
      <c r="JTQ143" s="22"/>
      <c r="JTR143" s="22"/>
      <c r="JTS143" s="22"/>
      <c r="JTT143" s="22"/>
      <c r="JTU143" s="22"/>
      <c r="JTV143" s="22"/>
      <c r="JTW143" s="22"/>
      <c r="JTX143" s="22"/>
      <c r="JTY143" s="22"/>
      <c r="JTZ143" s="22"/>
      <c r="JUA143" s="22"/>
      <c r="JUB143" s="22"/>
      <c r="JUC143" s="22"/>
      <c r="JUD143" s="22"/>
      <c r="JUE143" s="22"/>
      <c r="JUF143" s="22"/>
      <c r="JUG143" s="22"/>
      <c r="JUH143" s="22"/>
      <c r="JUI143" s="22"/>
      <c r="JUJ143" s="22"/>
      <c r="JUK143" s="22"/>
      <c r="JUL143" s="22"/>
      <c r="JUM143" s="22"/>
      <c r="JUN143" s="22"/>
      <c r="JUO143" s="22"/>
      <c r="JUP143" s="22"/>
      <c r="JUQ143" s="22"/>
      <c r="JUR143" s="22"/>
      <c r="JUS143" s="22"/>
      <c r="JUT143" s="22"/>
      <c r="JUU143" s="22"/>
      <c r="JUV143" s="22"/>
      <c r="JUW143" s="22"/>
      <c r="JUX143" s="22"/>
      <c r="JUY143" s="22"/>
      <c r="JUZ143" s="22"/>
      <c r="JVA143" s="22"/>
      <c r="JVB143" s="22"/>
      <c r="JVC143" s="22"/>
      <c r="JVD143" s="22"/>
      <c r="JVE143" s="22"/>
      <c r="JVF143" s="22"/>
      <c r="JVG143" s="22"/>
      <c r="JVH143" s="22"/>
      <c r="JVI143" s="22"/>
      <c r="JVJ143" s="22"/>
      <c r="JVK143" s="22"/>
      <c r="JVL143" s="22"/>
      <c r="JVM143" s="22"/>
      <c r="JVN143" s="22"/>
      <c r="JVO143" s="22"/>
      <c r="JVP143" s="22"/>
      <c r="JVQ143" s="22"/>
      <c r="JVR143" s="22"/>
      <c r="JVS143" s="22"/>
      <c r="JVT143" s="22"/>
      <c r="JVU143" s="22"/>
      <c r="JVV143" s="22"/>
      <c r="JVW143" s="22"/>
      <c r="JVX143" s="22"/>
      <c r="JVY143" s="22"/>
      <c r="JVZ143" s="22"/>
      <c r="JWA143" s="22"/>
      <c r="JWB143" s="22"/>
      <c r="JWC143" s="22"/>
      <c r="JWD143" s="22"/>
      <c r="JWE143" s="22"/>
      <c r="JWF143" s="22"/>
      <c r="JWG143" s="22"/>
      <c r="JWH143" s="22"/>
      <c r="JWI143" s="22"/>
      <c r="JWJ143" s="22"/>
      <c r="JWK143" s="22"/>
      <c r="JWL143" s="22"/>
      <c r="JWM143" s="22"/>
      <c r="JWN143" s="22"/>
      <c r="JWO143" s="22"/>
      <c r="JWP143" s="22"/>
      <c r="JWQ143" s="22"/>
      <c r="JWR143" s="22"/>
      <c r="JWS143" s="22"/>
      <c r="JWT143" s="22"/>
      <c r="JWU143" s="22"/>
      <c r="JWV143" s="22"/>
      <c r="JWW143" s="22"/>
      <c r="JWX143" s="22"/>
      <c r="JWY143" s="22"/>
      <c r="JWZ143" s="22"/>
      <c r="JXA143" s="22"/>
      <c r="JXB143" s="22"/>
      <c r="JXC143" s="22"/>
      <c r="JXD143" s="22"/>
      <c r="JXE143" s="22"/>
      <c r="JXF143" s="22"/>
      <c r="JXG143" s="22"/>
      <c r="JXH143" s="22"/>
      <c r="JXI143" s="22"/>
      <c r="JXJ143" s="22"/>
      <c r="JXK143" s="22"/>
      <c r="JXL143" s="22"/>
      <c r="JXM143" s="22"/>
      <c r="JXN143" s="22"/>
      <c r="JXO143" s="22"/>
      <c r="JXP143" s="22"/>
      <c r="JXQ143" s="22"/>
      <c r="JXR143" s="22"/>
      <c r="JXS143" s="22"/>
      <c r="JXT143" s="22"/>
      <c r="JXU143" s="22"/>
      <c r="JXV143" s="22"/>
      <c r="JXW143" s="22"/>
      <c r="JXX143" s="22"/>
      <c r="JXY143" s="22"/>
      <c r="JXZ143" s="22"/>
      <c r="JYA143" s="22"/>
      <c r="JYB143" s="22"/>
      <c r="JYC143" s="22"/>
      <c r="JYD143" s="22"/>
      <c r="JYE143" s="22"/>
      <c r="JYF143" s="22"/>
      <c r="JYG143" s="22"/>
      <c r="JYH143" s="22"/>
      <c r="JYI143" s="22"/>
      <c r="JYJ143" s="22"/>
      <c r="JYK143" s="22"/>
      <c r="JYL143" s="22"/>
      <c r="JYM143" s="22"/>
      <c r="JYN143" s="22"/>
      <c r="JYO143" s="22"/>
      <c r="JYP143" s="22"/>
      <c r="JYQ143" s="22"/>
      <c r="JYR143" s="22"/>
      <c r="JYS143" s="22"/>
      <c r="JYT143" s="22"/>
      <c r="JYU143" s="22"/>
      <c r="JYV143" s="22"/>
      <c r="JYW143" s="22"/>
      <c r="JYX143" s="22"/>
      <c r="JYY143" s="22"/>
      <c r="JYZ143" s="22"/>
      <c r="JZA143" s="22"/>
      <c r="JZB143" s="22"/>
      <c r="JZC143" s="22"/>
      <c r="JZD143" s="22"/>
      <c r="JZE143" s="22"/>
      <c r="JZF143" s="22"/>
      <c r="JZG143" s="22"/>
      <c r="JZH143" s="22"/>
      <c r="JZI143" s="22"/>
      <c r="JZJ143" s="22"/>
      <c r="JZK143" s="22"/>
      <c r="JZL143" s="22"/>
      <c r="JZM143" s="22"/>
      <c r="JZN143" s="22"/>
      <c r="JZO143" s="22"/>
      <c r="JZP143" s="22"/>
      <c r="JZQ143" s="22"/>
      <c r="JZR143" s="22"/>
      <c r="JZS143" s="22"/>
      <c r="JZT143" s="22"/>
      <c r="JZU143" s="22"/>
      <c r="JZV143" s="22"/>
      <c r="JZW143" s="22"/>
      <c r="JZX143" s="22"/>
      <c r="JZY143" s="22"/>
      <c r="JZZ143" s="22"/>
      <c r="KAA143" s="22"/>
      <c r="KAB143" s="22"/>
      <c r="KAC143" s="22"/>
      <c r="KAD143" s="22"/>
      <c r="KAE143" s="22"/>
      <c r="KAF143" s="22"/>
      <c r="KAG143" s="22"/>
      <c r="KAH143" s="22"/>
      <c r="KAI143" s="22"/>
      <c r="KAJ143" s="22"/>
      <c r="KAK143" s="22"/>
      <c r="KAL143" s="22"/>
      <c r="KAM143" s="22"/>
      <c r="KAN143" s="22"/>
      <c r="KAO143" s="22"/>
      <c r="KAP143" s="22"/>
      <c r="KAQ143" s="22"/>
      <c r="KAR143" s="22"/>
      <c r="KAS143" s="22"/>
      <c r="KAT143" s="22"/>
      <c r="KAU143" s="22"/>
      <c r="KAV143" s="22"/>
      <c r="KAW143" s="22"/>
      <c r="KAX143" s="22"/>
      <c r="KAY143" s="22"/>
      <c r="KAZ143" s="22"/>
      <c r="KBA143" s="22"/>
      <c r="KBB143" s="22"/>
      <c r="KBC143" s="22"/>
      <c r="KBD143" s="22"/>
      <c r="KBE143" s="22"/>
      <c r="KBF143" s="22"/>
      <c r="KBG143" s="22"/>
      <c r="KBH143" s="22"/>
      <c r="KBI143" s="22"/>
      <c r="KBJ143" s="22"/>
      <c r="KBK143" s="22"/>
      <c r="KBL143" s="22"/>
      <c r="KBM143" s="22"/>
      <c r="KBN143" s="22"/>
      <c r="KBO143" s="22"/>
      <c r="KBP143" s="22"/>
      <c r="KBQ143" s="22"/>
      <c r="KBR143" s="22"/>
      <c r="KBS143" s="22"/>
      <c r="KBT143" s="22"/>
      <c r="KBU143" s="22"/>
      <c r="KBV143" s="22"/>
      <c r="KBW143" s="22"/>
      <c r="KBX143" s="22"/>
      <c r="KBY143" s="22"/>
      <c r="KBZ143" s="22"/>
      <c r="KCA143" s="22"/>
      <c r="KCB143" s="22"/>
      <c r="KCC143" s="22"/>
      <c r="KCD143" s="22"/>
      <c r="KCE143" s="22"/>
      <c r="KCF143" s="22"/>
      <c r="KCG143" s="22"/>
      <c r="KCH143" s="22"/>
      <c r="KCI143" s="22"/>
      <c r="KCJ143" s="22"/>
      <c r="KCK143" s="22"/>
      <c r="KCL143" s="22"/>
      <c r="KCM143" s="22"/>
      <c r="KCN143" s="22"/>
      <c r="KCO143" s="22"/>
      <c r="KCP143" s="22"/>
      <c r="KCQ143" s="22"/>
      <c r="KCR143" s="22"/>
      <c r="KCS143" s="22"/>
      <c r="KCT143" s="22"/>
      <c r="KCU143" s="22"/>
      <c r="KCV143" s="22"/>
      <c r="KCW143" s="22"/>
      <c r="KCX143" s="22"/>
      <c r="KCY143" s="22"/>
      <c r="KCZ143" s="22"/>
      <c r="KDA143" s="22"/>
      <c r="KDB143" s="22"/>
      <c r="KDC143" s="22"/>
      <c r="KDD143" s="22"/>
      <c r="KDE143" s="22"/>
      <c r="KDF143" s="22"/>
      <c r="KDG143" s="22"/>
      <c r="KDH143" s="22"/>
      <c r="KDI143" s="22"/>
      <c r="KDJ143" s="22"/>
      <c r="KDK143" s="22"/>
      <c r="KDL143" s="22"/>
      <c r="KDM143" s="22"/>
      <c r="KDN143" s="22"/>
      <c r="KDO143" s="22"/>
      <c r="KDP143" s="22"/>
      <c r="KDQ143" s="22"/>
      <c r="KDR143" s="22"/>
      <c r="KDS143" s="22"/>
      <c r="KDT143" s="22"/>
      <c r="KDU143" s="22"/>
      <c r="KDV143" s="22"/>
      <c r="KDW143" s="22"/>
      <c r="KDX143" s="22"/>
      <c r="KDY143" s="22"/>
      <c r="KDZ143" s="22"/>
      <c r="KEA143" s="22"/>
      <c r="KEB143" s="22"/>
      <c r="KEC143" s="22"/>
      <c r="KED143" s="22"/>
      <c r="KEE143" s="22"/>
      <c r="KEF143" s="22"/>
      <c r="KEG143" s="22"/>
      <c r="KEH143" s="22"/>
      <c r="KEI143" s="22"/>
      <c r="KEJ143" s="22"/>
      <c r="KEK143" s="22"/>
      <c r="KEL143" s="22"/>
      <c r="KEM143" s="22"/>
      <c r="KEN143" s="22"/>
      <c r="KEO143" s="22"/>
      <c r="KEP143" s="22"/>
      <c r="KEQ143" s="22"/>
      <c r="KER143" s="22"/>
      <c r="KES143" s="22"/>
      <c r="KET143" s="22"/>
      <c r="KEU143" s="22"/>
      <c r="KEV143" s="22"/>
      <c r="KEW143" s="22"/>
      <c r="KEX143" s="22"/>
      <c r="KEY143" s="22"/>
      <c r="KEZ143" s="22"/>
      <c r="KFA143" s="22"/>
      <c r="KFB143" s="22"/>
      <c r="KFC143" s="22"/>
      <c r="KFD143" s="22"/>
      <c r="KFE143" s="22"/>
      <c r="KFF143" s="22"/>
      <c r="KFG143" s="22"/>
      <c r="KFH143" s="22"/>
      <c r="KFI143" s="22"/>
      <c r="KFJ143" s="22"/>
      <c r="KFK143" s="22"/>
      <c r="KFL143" s="22"/>
      <c r="KFM143" s="22"/>
      <c r="KFN143" s="22"/>
      <c r="KFO143" s="22"/>
      <c r="KFP143" s="22"/>
      <c r="KFQ143" s="22"/>
      <c r="KFR143" s="22"/>
      <c r="KFS143" s="22"/>
      <c r="KFT143" s="22"/>
      <c r="KFU143" s="22"/>
      <c r="KFV143" s="22"/>
      <c r="KFW143" s="22"/>
      <c r="KFX143" s="22"/>
      <c r="KFY143" s="22"/>
      <c r="KFZ143" s="22"/>
      <c r="KGA143" s="22"/>
      <c r="KGB143" s="22"/>
      <c r="KGC143" s="22"/>
      <c r="KGD143" s="22"/>
      <c r="KGE143" s="22"/>
      <c r="KGF143" s="22"/>
      <c r="KGG143" s="22"/>
      <c r="KGH143" s="22"/>
      <c r="KGI143" s="22"/>
      <c r="KGJ143" s="22"/>
      <c r="KGK143" s="22"/>
      <c r="KGL143" s="22"/>
      <c r="KGM143" s="22"/>
      <c r="KGN143" s="22"/>
      <c r="KGO143" s="22"/>
      <c r="KGP143" s="22"/>
      <c r="KGQ143" s="22"/>
      <c r="KGR143" s="22"/>
      <c r="KGS143" s="22"/>
      <c r="KGT143" s="22"/>
      <c r="KGU143" s="22"/>
      <c r="KGV143" s="22"/>
      <c r="KGW143" s="22"/>
      <c r="KGX143" s="22"/>
      <c r="KGY143" s="22"/>
      <c r="KGZ143" s="22"/>
      <c r="KHA143" s="22"/>
      <c r="KHB143" s="22"/>
      <c r="KHC143" s="22"/>
      <c r="KHD143" s="22"/>
      <c r="KHE143" s="22"/>
      <c r="KHF143" s="22"/>
      <c r="KHG143" s="22"/>
      <c r="KHH143" s="22"/>
      <c r="KHI143" s="22"/>
      <c r="KHJ143" s="22"/>
      <c r="KHK143" s="22"/>
      <c r="KHL143" s="22"/>
      <c r="KHM143" s="22"/>
      <c r="KHN143" s="22"/>
      <c r="KHO143" s="22"/>
      <c r="KHP143" s="22"/>
      <c r="KHQ143" s="22"/>
      <c r="KHR143" s="22"/>
      <c r="KHS143" s="22"/>
      <c r="KHT143" s="22"/>
      <c r="KHU143" s="22"/>
      <c r="KHV143" s="22"/>
      <c r="KHW143" s="22"/>
      <c r="KHX143" s="22"/>
      <c r="KHY143" s="22"/>
      <c r="KHZ143" s="22"/>
      <c r="KIA143" s="22"/>
      <c r="KIB143" s="22"/>
      <c r="KIC143" s="22"/>
      <c r="KID143" s="22"/>
      <c r="KIE143" s="22"/>
      <c r="KIF143" s="22"/>
      <c r="KIG143" s="22"/>
      <c r="KIH143" s="22"/>
      <c r="KII143" s="22"/>
      <c r="KIJ143" s="22"/>
      <c r="KIK143" s="22"/>
      <c r="KIL143" s="22"/>
      <c r="KIM143" s="22"/>
      <c r="KIN143" s="22"/>
      <c r="KIO143" s="22"/>
      <c r="KIP143" s="22"/>
      <c r="KIQ143" s="22"/>
      <c r="KIR143" s="22"/>
      <c r="KIS143" s="22"/>
      <c r="KIT143" s="22"/>
      <c r="KIU143" s="22"/>
      <c r="KIV143" s="22"/>
      <c r="KIW143" s="22"/>
      <c r="KIX143" s="22"/>
      <c r="KIY143" s="22"/>
      <c r="KIZ143" s="22"/>
      <c r="KJA143" s="22"/>
      <c r="KJB143" s="22"/>
      <c r="KJC143" s="22"/>
      <c r="KJD143" s="22"/>
      <c r="KJE143" s="22"/>
      <c r="KJF143" s="22"/>
      <c r="KJG143" s="22"/>
      <c r="KJH143" s="22"/>
      <c r="KJI143" s="22"/>
      <c r="KJJ143" s="22"/>
      <c r="KJK143" s="22"/>
      <c r="KJL143" s="22"/>
      <c r="KJM143" s="22"/>
      <c r="KJN143" s="22"/>
      <c r="KJO143" s="22"/>
      <c r="KJP143" s="22"/>
      <c r="KJQ143" s="22"/>
      <c r="KJR143" s="22"/>
      <c r="KJS143" s="22"/>
      <c r="KJT143" s="22"/>
      <c r="KJU143" s="22"/>
      <c r="KJV143" s="22"/>
      <c r="KJW143" s="22"/>
      <c r="KJX143" s="22"/>
      <c r="KJY143" s="22"/>
      <c r="KJZ143" s="22"/>
      <c r="KKA143" s="22"/>
      <c r="KKB143" s="22"/>
      <c r="KKC143" s="22"/>
      <c r="KKD143" s="22"/>
      <c r="KKE143" s="22"/>
      <c r="KKF143" s="22"/>
      <c r="KKG143" s="22"/>
      <c r="KKH143" s="22"/>
      <c r="KKI143" s="22"/>
      <c r="KKJ143" s="22"/>
      <c r="KKK143" s="22"/>
      <c r="KKL143" s="22"/>
      <c r="KKM143" s="22"/>
      <c r="KKN143" s="22"/>
      <c r="KKO143" s="22"/>
      <c r="KKP143" s="22"/>
      <c r="KKQ143" s="22"/>
      <c r="KKR143" s="22"/>
      <c r="KKS143" s="22"/>
      <c r="KKT143" s="22"/>
      <c r="KKU143" s="22"/>
      <c r="KKV143" s="22"/>
      <c r="KKW143" s="22"/>
      <c r="KKX143" s="22"/>
      <c r="KKY143" s="22"/>
      <c r="KKZ143" s="22"/>
      <c r="KLA143" s="22"/>
      <c r="KLB143" s="22"/>
      <c r="KLC143" s="22"/>
      <c r="KLD143" s="22"/>
      <c r="KLE143" s="22"/>
      <c r="KLF143" s="22"/>
      <c r="KLG143" s="22"/>
      <c r="KLH143" s="22"/>
      <c r="KLI143" s="22"/>
      <c r="KLJ143" s="22"/>
      <c r="KLK143" s="22"/>
      <c r="KLL143" s="22"/>
      <c r="KLM143" s="22"/>
      <c r="KLN143" s="22"/>
      <c r="KLO143" s="22"/>
      <c r="KLP143" s="22"/>
      <c r="KLQ143" s="22"/>
      <c r="KLR143" s="22"/>
      <c r="KLS143" s="22"/>
      <c r="KLT143" s="22"/>
      <c r="KLU143" s="22"/>
      <c r="KLV143" s="22"/>
      <c r="KLW143" s="22"/>
      <c r="KLX143" s="22"/>
      <c r="KLY143" s="22"/>
      <c r="KLZ143" s="22"/>
      <c r="KMA143" s="22"/>
      <c r="KMB143" s="22"/>
      <c r="KMC143" s="22"/>
      <c r="KMD143" s="22"/>
      <c r="KME143" s="22"/>
      <c r="KMF143" s="22"/>
      <c r="KMG143" s="22"/>
      <c r="KMH143" s="22"/>
      <c r="KMI143" s="22"/>
      <c r="KMJ143" s="22"/>
      <c r="KMK143" s="22"/>
      <c r="KML143" s="22"/>
      <c r="KMM143" s="22"/>
      <c r="KMN143" s="22"/>
      <c r="KMO143" s="22"/>
      <c r="KMP143" s="22"/>
      <c r="KMQ143" s="22"/>
      <c r="KMR143" s="22"/>
      <c r="KMS143" s="22"/>
      <c r="KMT143" s="22"/>
      <c r="KMU143" s="22"/>
      <c r="KMV143" s="22"/>
      <c r="KMW143" s="22"/>
      <c r="KMX143" s="22"/>
      <c r="KMY143" s="22"/>
      <c r="KMZ143" s="22"/>
      <c r="KNA143" s="22"/>
      <c r="KNB143" s="22"/>
      <c r="KNC143" s="22"/>
      <c r="KND143" s="22"/>
      <c r="KNE143" s="22"/>
      <c r="KNF143" s="22"/>
      <c r="KNG143" s="22"/>
      <c r="KNH143" s="22"/>
      <c r="KNI143" s="22"/>
      <c r="KNJ143" s="22"/>
      <c r="KNK143" s="22"/>
      <c r="KNL143" s="22"/>
      <c r="KNM143" s="22"/>
      <c r="KNN143" s="22"/>
      <c r="KNO143" s="22"/>
      <c r="KNP143" s="22"/>
      <c r="KNQ143" s="22"/>
      <c r="KNR143" s="22"/>
      <c r="KNS143" s="22"/>
      <c r="KNT143" s="22"/>
      <c r="KNU143" s="22"/>
      <c r="KNV143" s="22"/>
      <c r="KNW143" s="22"/>
      <c r="KNX143" s="22"/>
      <c r="KNY143" s="22"/>
      <c r="KNZ143" s="22"/>
      <c r="KOA143" s="22"/>
      <c r="KOB143" s="22"/>
      <c r="KOC143" s="22"/>
      <c r="KOD143" s="22"/>
      <c r="KOE143" s="22"/>
      <c r="KOF143" s="22"/>
      <c r="KOG143" s="22"/>
      <c r="KOH143" s="22"/>
      <c r="KOI143" s="22"/>
      <c r="KOJ143" s="22"/>
      <c r="KOK143" s="22"/>
      <c r="KOL143" s="22"/>
      <c r="KOM143" s="22"/>
      <c r="KON143" s="22"/>
      <c r="KOO143" s="22"/>
      <c r="KOP143" s="22"/>
      <c r="KOQ143" s="22"/>
      <c r="KOR143" s="22"/>
      <c r="KOS143" s="22"/>
      <c r="KOT143" s="22"/>
      <c r="KOU143" s="22"/>
      <c r="KOV143" s="22"/>
      <c r="KOW143" s="22"/>
      <c r="KOX143" s="22"/>
      <c r="KOY143" s="22"/>
      <c r="KOZ143" s="22"/>
      <c r="KPA143" s="22"/>
      <c r="KPB143" s="22"/>
      <c r="KPC143" s="22"/>
      <c r="KPD143" s="22"/>
      <c r="KPE143" s="22"/>
      <c r="KPF143" s="22"/>
      <c r="KPG143" s="22"/>
      <c r="KPH143" s="22"/>
      <c r="KPI143" s="22"/>
      <c r="KPJ143" s="22"/>
      <c r="KPK143" s="22"/>
      <c r="KPL143" s="22"/>
      <c r="KPM143" s="22"/>
      <c r="KPN143" s="22"/>
      <c r="KPO143" s="22"/>
      <c r="KPP143" s="22"/>
      <c r="KPQ143" s="22"/>
      <c r="KPR143" s="22"/>
      <c r="KPS143" s="22"/>
      <c r="KPT143" s="22"/>
      <c r="KPU143" s="22"/>
      <c r="KPV143" s="22"/>
      <c r="KPW143" s="22"/>
      <c r="KPX143" s="22"/>
      <c r="KPY143" s="22"/>
      <c r="KPZ143" s="22"/>
      <c r="KQA143" s="22"/>
      <c r="KQB143" s="22"/>
      <c r="KQC143" s="22"/>
      <c r="KQD143" s="22"/>
      <c r="KQE143" s="22"/>
      <c r="KQF143" s="22"/>
      <c r="KQG143" s="22"/>
      <c r="KQH143" s="22"/>
      <c r="KQI143" s="22"/>
      <c r="KQJ143" s="22"/>
      <c r="KQK143" s="22"/>
      <c r="KQL143" s="22"/>
      <c r="KQM143" s="22"/>
      <c r="KQN143" s="22"/>
      <c r="KQO143" s="22"/>
      <c r="KQP143" s="22"/>
      <c r="KQQ143" s="22"/>
      <c r="KQR143" s="22"/>
      <c r="KQS143" s="22"/>
      <c r="KQT143" s="22"/>
      <c r="KQU143" s="22"/>
      <c r="KQV143" s="22"/>
      <c r="KQW143" s="22"/>
      <c r="KQX143" s="22"/>
      <c r="KQY143" s="22"/>
      <c r="KQZ143" s="22"/>
      <c r="KRA143" s="22"/>
      <c r="KRB143" s="22"/>
      <c r="KRC143" s="22"/>
      <c r="KRD143" s="22"/>
      <c r="KRE143" s="22"/>
      <c r="KRF143" s="22"/>
      <c r="KRG143" s="22"/>
      <c r="KRH143" s="22"/>
      <c r="KRI143" s="22"/>
      <c r="KRJ143" s="22"/>
      <c r="KRK143" s="22"/>
      <c r="KRL143" s="22"/>
      <c r="KRM143" s="22"/>
      <c r="KRN143" s="22"/>
      <c r="KRO143" s="22"/>
      <c r="KRP143" s="22"/>
      <c r="KRQ143" s="22"/>
      <c r="KRR143" s="22"/>
      <c r="KRS143" s="22"/>
      <c r="KRT143" s="22"/>
      <c r="KRU143" s="22"/>
      <c r="KRV143" s="22"/>
      <c r="KRW143" s="22"/>
      <c r="KRX143" s="22"/>
      <c r="KRY143" s="22"/>
      <c r="KRZ143" s="22"/>
      <c r="KSA143" s="22"/>
      <c r="KSB143" s="22"/>
      <c r="KSC143" s="22"/>
      <c r="KSD143" s="22"/>
      <c r="KSE143" s="22"/>
      <c r="KSF143" s="22"/>
      <c r="KSG143" s="22"/>
      <c r="KSH143" s="22"/>
      <c r="KSI143" s="22"/>
      <c r="KSJ143" s="22"/>
      <c r="KSK143" s="22"/>
      <c r="KSL143" s="22"/>
      <c r="KSM143" s="22"/>
      <c r="KSN143" s="22"/>
      <c r="KSO143" s="22"/>
      <c r="KSP143" s="22"/>
      <c r="KSQ143" s="22"/>
      <c r="KSR143" s="22"/>
      <c r="KSS143" s="22"/>
      <c r="KST143" s="22"/>
      <c r="KSU143" s="22"/>
      <c r="KSV143" s="22"/>
      <c r="KSW143" s="22"/>
      <c r="KSX143" s="22"/>
      <c r="KSY143" s="22"/>
      <c r="KSZ143" s="22"/>
      <c r="KTA143" s="22"/>
      <c r="KTB143" s="22"/>
      <c r="KTC143" s="22"/>
      <c r="KTD143" s="22"/>
      <c r="KTE143" s="22"/>
      <c r="KTF143" s="22"/>
      <c r="KTG143" s="22"/>
      <c r="KTH143" s="22"/>
      <c r="KTI143" s="22"/>
      <c r="KTJ143" s="22"/>
      <c r="KTK143" s="22"/>
      <c r="KTL143" s="22"/>
      <c r="KTM143" s="22"/>
      <c r="KTN143" s="22"/>
      <c r="KTO143" s="22"/>
      <c r="KTP143" s="22"/>
      <c r="KTQ143" s="22"/>
      <c r="KTR143" s="22"/>
      <c r="KTS143" s="22"/>
      <c r="KTT143" s="22"/>
      <c r="KTU143" s="22"/>
      <c r="KTV143" s="22"/>
      <c r="KTW143" s="22"/>
      <c r="KTX143" s="22"/>
      <c r="KTY143" s="22"/>
      <c r="KTZ143" s="22"/>
      <c r="KUA143" s="22"/>
      <c r="KUB143" s="22"/>
      <c r="KUC143" s="22"/>
      <c r="KUD143" s="22"/>
      <c r="KUE143" s="22"/>
      <c r="KUF143" s="22"/>
      <c r="KUG143" s="22"/>
      <c r="KUH143" s="22"/>
      <c r="KUI143" s="22"/>
      <c r="KUJ143" s="22"/>
      <c r="KUK143" s="22"/>
      <c r="KUL143" s="22"/>
      <c r="KUM143" s="22"/>
      <c r="KUN143" s="22"/>
      <c r="KUO143" s="22"/>
      <c r="KUP143" s="22"/>
      <c r="KUQ143" s="22"/>
      <c r="KUR143" s="22"/>
      <c r="KUS143" s="22"/>
      <c r="KUT143" s="22"/>
      <c r="KUU143" s="22"/>
      <c r="KUV143" s="22"/>
      <c r="KUW143" s="22"/>
      <c r="KUX143" s="22"/>
      <c r="KUY143" s="22"/>
      <c r="KUZ143" s="22"/>
      <c r="KVA143" s="22"/>
      <c r="KVB143" s="22"/>
      <c r="KVC143" s="22"/>
      <c r="KVD143" s="22"/>
      <c r="KVE143" s="22"/>
      <c r="KVF143" s="22"/>
      <c r="KVG143" s="22"/>
      <c r="KVH143" s="22"/>
      <c r="KVI143" s="22"/>
      <c r="KVJ143" s="22"/>
      <c r="KVK143" s="22"/>
      <c r="KVL143" s="22"/>
      <c r="KVM143" s="22"/>
      <c r="KVN143" s="22"/>
      <c r="KVO143" s="22"/>
      <c r="KVP143" s="22"/>
      <c r="KVQ143" s="22"/>
      <c r="KVR143" s="22"/>
      <c r="KVS143" s="22"/>
      <c r="KVT143" s="22"/>
      <c r="KVU143" s="22"/>
      <c r="KVV143" s="22"/>
      <c r="KVW143" s="22"/>
      <c r="KVX143" s="22"/>
      <c r="KVY143" s="22"/>
      <c r="KVZ143" s="22"/>
      <c r="KWA143" s="22"/>
      <c r="KWB143" s="22"/>
      <c r="KWC143" s="22"/>
      <c r="KWD143" s="22"/>
      <c r="KWE143" s="22"/>
      <c r="KWF143" s="22"/>
      <c r="KWG143" s="22"/>
      <c r="KWH143" s="22"/>
      <c r="KWI143" s="22"/>
      <c r="KWJ143" s="22"/>
      <c r="KWK143" s="22"/>
      <c r="KWL143" s="22"/>
      <c r="KWM143" s="22"/>
      <c r="KWN143" s="22"/>
      <c r="KWO143" s="22"/>
      <c r="KWP143" s="22"/>
      <c r="KWQ143" s="22"/>
      <c r="KWR143" s="22"/>
      <c r="KWS143" s="22"/>
      <c r="KWT143" s="22"/>
      <c r="KWU143" s="22"/>
      <c r="KWV143" s="22"/>
      <c r="KWW143" s="22"/>
      <c r="KWX143" s="22"/>
      <c r="KWY143" s="22"/>
      <c r="KWZ143" s="22"/>
      <c r="KXA143" s="22"/>
      <c r="KXB143" s="22"/>
      <c r="KXC143" s="22"/>
      <c r="KXD143" s="22"/>
      <c r="KXE143" s="22"/>
      <c r="KXF143" s="22"/>
      <c r="KXG143" s="22"/>
      <c r="KXH143" s="22"/>
      <c r="KXI143" s="22"/>
      <c r="KXJ143" s="22"/>
      <c r="KXK143" s="22"/>
      <c r="KXL143" s="22"/>
      <c r="KXM143" s="22"/>
      <c r="KXN143" s="22"/>
      <c r="KXO143" s="22"/>
      <c r="KXP143" s="22"/>
      <c r="KXQ143" s="22"/>
      <c r="KXR143" s="22"/>
      <c r="KXS143" s="22"/>
      <c r="KXT143" s="22"/>
      <c r="KXU143" s="22"/>
      <c r="KXV143" s="22"/>
      <c r="KXW143" s="22"/>
      <c r="KXX143" s="22"/>
      <c r="KXY143" s="22"/>
      <c r="KXZ143" s="22"/>
      <c r="KYA143" s="22"/>
      <c r="KYB143" s="22"/>
      <c r="KYC143" s="22"/>
      <c r="KYD143" s="22"/>
      <c r="KYE143" s="22"/>
      <c r="KYF143" s="22"/>
      <c r="KYG143" s="22"/>
      <c r="KYH143" s="22"/>
      <c r="KYI143" s="22"/>
      <c r="KYJ143" s="22"/>
      <c r="KYK143" s="22"/>
      <c r="KYL143" s="22"/>
      <c r="KYM143" s="22"/>
      <c r="KYN143" s="22"/>
      <c r="KYO143" s="22"/>
      <c r="KYP143" s="22"/>
      <c r="KYQ143" s="22"/>
      <c r="KYR143" s="22"/>
      <c r="KYS143" s="22"/>
      <c r="KYT143" s="22"/>
      <c r="KYU143" s="22"/>
      <c r="KYV143" s="22"/>
      <c r="KYW143" s="22"/>
      <c r="KYX143" s="22"/>
      <c r="KYY143" s="22"/>
      <c r="KYZ143" s="22"/>
      <c r="KZA143" s="22"/>
      <c r="KZB143" s="22"/>
      <c r="KZC143" s="22"/>
      <c r="KZD143" s="22"/>
      <c r="KZE143" s="22"/>
      <c r="KZF143" s="22"/>
      <c r="KZG143" s="22"/>
      <c r="KZH143" s="22"/>
      <c r="KZI143" s="22"/>
      <c r="KZJ143" s="22"/>
      <c r="KZK143" s="22"/>
      <c r="KZL143" s="22"/>
      <c r="KZM143" s="22"/>
      <c r="KZN143" s="22"/>
      <c r="KZO143" s="22"/>
      <c r="KZP143" s="22"/>
      <c r="KZQ143" s="22"/>
      <c r="KZR143" s="22"/>
      <c r="KZS143" s="22"/>
      <c r="KZT143" s="22"/>
      <c r="KZU143" s="22"/>
      <c r="KZV143" s="22"/>
      <c r="KZW143" s="22"/>
      <c r="KZX143" s="22"/>
      <c r="KZY143" s="22"/>
      <c r="KZZ143" s="22"/>
      <c r="LAA143" s="22"/>
      <c r="LAB143" s="22"/>
      <c r="LAC143" s="22"/>
      <c r="LAD143" s="22"/>
      <c r="LAE143" s="22"/>
      <c r="LAF143" s="22"/>
      <c r="LAG143" s="22"/>
      <c r="LAH143" s="22"/>
      <c r="LAI143" s="22"/>
      <c r="LAJ143" s="22"/>
      <c r="LAK143" s="22"/>
      <c r="LAL143" s="22"/>
      <c r="LAM143" s="22"/>
      <c r="LAN143" s="22"/>
      <c r="LAO143" s="22"/>
      <c r="LAP143" s="22"/>
      <c r="LAQ143" s="22"/>
      <c r="LAR143" s="22"/>
      <c r="LAS143" s="22"/>
      <c r="LAT143" s="22"/>
      <c r="LAU143" s="22"/>
      <c r="LAV143" s="22"/>
      <c r="LAW143" s="22"/>
      <c r="LAX143" s="22"/>
      <c r="LAY143" s="22"/>
      <c r="LAZ143" s="22"/>
      <c r="LBA143" s="22"/>
      <c r="LBB143" s="22"/>
      <c r="LBC143" s="22"/>
      <c r="LBD143" s="22"/>
      <c r="LBE143" s="22"/>
      <c r="LBF143" s="22"/>
      <c r="LBG143" s="22"/>
      <c r="LBH143" s="22"/>
      <c r="LBI143" s="22"/>
      <c r="LBJ143" s="22"/>
      <c r="LBK143" s="22"/>
      <c r="LBL143" s="22"/>
      <c r="LBM143" s="22"/>
      <c r="LBN143" s="22"/>
      <c r="LBO143" s="22"/>
      <c r="LBP143" s="22"/>
      <c r="LBQ143" s="22"/>
      <c r="LBR143" s="22"/>
      <c r="LBS143" s="22"/>
      <c r="LBT143" s="22"/>
      <c r="LBU143" s="22"/>
      <c r="LBV143" s="22"/>
      <c r="LBW143" s="22"/>
      <c r="LBX143" s="22"/>
      <c r="LBY143" s="22"/>
      <c r="LBZ143" s="22"/>
      <c r="LCA143" s="22"/>
      <c r="LCB143" s="22"/>
      <c r="LCC143" s="22"/>
      <c r="LCD143" s="22"/>
      <c r="LCE143" s="22"/>
      <c r="LCF143" s="22"/>
      <c r="LCG143" s="22"/>
      <c r="LCH143" s="22"/>
      <c r="LCI143" s="22"/>
      <c r="LCJ143" s="22"/>
      <c r="LCK143" s="22"/>
      <c r="LCL143" s="22"/>
      <c r="LCM143" s="22"/>
      <c r="LCN143" s="22"/>
      <c r="LCO143" s="22"/>
      <c r="LCP143" s="22"/>
      <c r="LCQ143" s="22"/>
      <c r="LCR143" s="22"/>
      <c r="LCS143" s="22"/>
      <c r="LCT143" s="22"/>
      <c r="LCU143" s="22"/>
      <c r="LCV143" s="22"/>
      <c r="LCW143" s="22"/>
      <c r="LCX143" s="22"/>
      <c r="LCY143" s="22"/>
      <c r="LCZ143" s="22"/>
      <c r="LDA143" s="22"/>
      <c r="LDB143" s="22"/>
      <c r="LDC143" s="22"/>
      <c r="LDD143" s="22"/>
      <c r="LDE143" s="22"/>
      <c r="LDF143" s="22"/>
      <c r="LDG143" s="22"/>
      <c r="LDH143" s="22"/>
      <c r="LDI143" s="22"/>
      <c r="LDJ143" s="22"/>
      <c r="LDK143" s="22"/>
      <c r="LDL143" s="22"/>
      <c r="LDM143" s="22"/>
      <c r="LDN143" s="22"/>
      <c r="LDO143" s="22"/>
      <c r="LDP143" s="22"/>
      <c r="LDQ143" s="22"/>
      <c r="LDR143" s="22"/>
      <c r="LDS143" s="22"/>
      <c r="LDT143" s="22"/>
      <c r="LDU143" s="22"/>
      <c r="LDV143" s="22"/>
      <c r="LDW143" s="22"/>
      <c r="LDX143" s="22"/>
      <c r="LDY143" s="22"/>
      <c r="LDZ143" s="22"/>
      <c r="LEA143" s="22"/>
      <c r="LEB143" s="22"/>
      <c r="LEC143" s="22"/>
      <c r="LED143" s="22"/>
      <c r="LEE143" s="22"/>
      <c r="LEF143" s="22"/>
      <c r="LEG143" s="22"/>
      <c r="LEH143" s="22"/>
      <c r="LEI143" s="22"/>
      <c r="LEJ143" s="22"/>
      <c r="LEK143" s="22"/>
      <c r="LEL143" s="22"/>
      <c r="LEM143" s="22"/>
      <c r="LEN143" s="22"/>
      <c r="LEO143" s="22"/>
      <c r="LEP143" s="22"/>
      <c r="LEQ143" s="22"/>
      <c r="LER143" s="22"/>
      <c r="LES143" s="22"/>
      <c r="LET143" s="22"/>
      <c r="LEU143" s="22"/>
      <c r="LEV143" s="22"/>
      <c r="LEW143" s="22"/>
      <c r="LEX143" s="22"/>
      <c r="LEY143" s="22"/>
      <c r="LEZ143" s="22"/>
      <c r="LFA143" s="22"/>
      <c r="LFB143" s="22"/>
      <c r="LFC143" s="22"/>
      <c r="LFD143" s="22"/>
      <c r="LFE143" s="22"/>
      <c r="LFF143" s="22"/>
      <c r="LFG143" s="22"/>
      <c r="LFH143" s="22"/>
      <c r="LFI143" s="22"/>
      <c r="LFJ143" s="22"/>
      <c r="LFK143" s="22"/>
      <c r="LFL143" s="22"/>
      <c r="LFM143" s="22"/>
      <c r="LFN143" s="22"/>
      <c r="LFO143" s="22"/>
      <c r="LFP143" s="22"/>
      <c r="LFQ143" s="22"/>
      <c r="LFR143" s="22"/>
      <c r="LFS143" s="22"/>
      <c r="LFT143" s="22"/>
      <c r="LFU143" s="22"/>
      <c r="LFV143" s="22"/>
      <c r="LFW143" s="22"/>
      <c r="LFX143" s="22"/>
      <c r="LFY143" s="22"/>
      <c r="LFZ143" s="22"/>
      <c r="LGA143" s="22"/>
      <c r="LGB143" s="22"/>
      <c r="LGC143" s="22"/>
      <c r="LGD143" s="22"/>
      <c r="LGE143" s="22"/>
      <c r="LGF143" s="22"/>
      <c r="LGG143" s="22"/>
      <c r="LGH143" s="22"/>
      <c r="LGI143" s="22"/>
      <c r="LGJ143" s="22"/>
      <c r="LGK143" s="22"/>
      <c r="LGL143" s="22"/>
      <c r="LGM143" s="22"/>
      <c r="LGN143" s="22"/>
      <c r="LGO143" s="22"/>
      <c r="LGP143" s="22"/>
      <c r="LGQ143" s="22"/>
      <c r="LGR143" s="22"/>
      <c r="LGS143" s="22"/>
      <c r="LGT143" s="22"/>
      <c r="LGU143" s="22"/>
      <c r="LGV143" s="22"/>
      <c r="LGW143" s="22"/>
      <c r="LGX143" s="22"/>
      <c r="LGY143" s="22"/>
      <c r="LGZ143" s="22"/>
      <c r="LHA143" s="22"/>
      <c r="LHB143" s="22"/>
      <c r="LHC143" s="22"/>
      <c r="LHD143" s="22"/>
      <c r="LHE143" s="22"/>
      <c r="LHF143" s="22"/>
      <c r="LHG143" s="22"/>
      <c r="LHH143" s="22"/>
      <c r="LHI143" s="22"/>
      <c r="LHJ143" s="22"/>
      <c r="LHK143" s="22"/>
      <c r="LHL143" s="22"/>
      <c r="LHM143" s="22"/>
      <c r="LHN143" s="22"/>
      <c r="LHO143" s="22"/>
      <c r="LHP143" s="22"/>
      <c r="LHQ143" s="22"/>
      <c r="LHR143" s="22"/>
      <c r="LHS143" s="22"/>
      <c r="LHT143" s="22"/>
      <c r="LHU143" s="22"/>
      <c r="LHV143" s="22"/>
      <c r="LHW143" s="22"/>
      <c r="LHX143" s="22"/>
      <c r="LHY143" s="22"/>
      <c r="LHZ143" s="22"/>
      <c r="LIA143" s="22"/>
      <c r="LIB143" s="22"/>
      <c r="LIC143" s="22"/>
      <c r="LID143" s="22"/>
      <c r="LIE143" s="22"/>
      <c r="LIF143" s="22"/>
      <c r="LIG143" s="22"/>
      <c r="LIH143" s="22"/>
      <c r="LII143" s="22"/>
      <c r="LIJ143" s="22"/>
      <c r="LIK143" s="22"/>
      <c r="LIL143" s="22"/>
      <c r="LIM143" s="22"/>
      <c r="LIN143" s="22"/>
      <c r="LIO143" s="22"/>
      <c r="LIP143" s="22"/>
      <c r="LIQ143" s="22"/>
      <c r="LIR143" s="22"/>
      <c r="LIS143" s="22"/>
      <c r="LIT143" s="22"/>
      <c r="LIU143" s="22"/>
      <c r="LIV143" s="22"/>
      <c r="LIW143" s="22"/>
      <c r="LIX143" s="22"/>
      <c r="LIY143" s="22"/>
      <c r="LIZ143" s="22"/>
      <c r="LJA143" s="22"/>
      <c r="LJB143" s="22"/>
      <c r="LJC143" s="22"/>
      <c r="LJD143" s="22"/>
      <c r="LJE143" s="22"/>
      <c r="LJF143" s="22"/>
      <c r="LJG143" s="22"/>
      <c r="LJH143" s="22"/>
      <c r="LJI143" s="22"/>
      <c r="LJJ143" s="22"/>
      <c r="LJK143" s="22"/>
      <c r="LJL143" s="22"/>
      <c r="LJM143" s="22"/>
      <c r="LJN143" s="22"/>
      <c r="LJO143" s="22"/>
      <c r="LJP143" s="22"/>
      <c r="LJQ143" s="22"/>
      <c r="LJR143" s="22"/>
      <c r="LJS143" s="22"/>
      <c r="LJT143" s="22"/>
      <c r="LJU143" s="22"/>
      <c r="LJV143" s="22"/>
      <c r="LJW143" s="22"/>
      <c r="LJX143" s="22"/>
      <c r="LJY143" s="22"/>
      <c r="LJZ143" s="22"/>
      <c r="LKA143" s="22"/>
      <c r="LKB143" s="22"/>
      <c r="LKC143" s="22"/>
      <c r="LKD143" s="22"/>
      <c r="LKE143" s="22"/>
      <c r="LKF143" s="22"/>
      <c r="LKG143" s="22"/>
      <c r="LKH143" s="22"/>
      <c r="LKI143" s="22"/>
      <c r="LKJ143" s="22"/>
      <c r="LKK143" s="22"/>
      <c r="LKL143" s="22"/>
      <c r="LKM143" s="22"/>
      <c r="LKN143" s="22"/>
      <c r="LKO143" s="22"/>
      <c r="LKP143" s="22"/>
      <c r="LKQ143" s="22"/>
      <c r="LKR143" s="22"/>
      <c r="LKS143" s="22"/>
      <c r="LKT143" s="22"/>
      <c r="LKU143" s="22"/>
      <c r="LKV143" s="22"/>
      <c r="LKW143" s="22"/>
      <c r="LKX143" s="22"/>
      <c r="LKY143" s="22"/>
      <c r="LKZ143" s="22"/>
      <c r="LLA143" s="22"/>
      <c r="LLB143" s="22"/>
      <c r="LLC143" s="22"/>
      <c r="LLD143" s="22"/>
      <c r="LLE143" s="22"/>
      <c r="LLF143" s="22"/>
      <c r="LLG143" s="22"/>
      <c r="LLH143" s="22"/>
      <c r="LLI143" s="22"/>
      <c r="LLJ143" s="22"/>
      <c r="LLK143" s="22"/>
      <c r="LLL143" s="22"/>
      <c r="LLM143" s="22"/>
      <c r="LLN143" s="22"/>
      <c r="LLO143" s="22"/>
      <c r="LLP143" s="22"/>
      <c r="LLQ143" s="22"/>
      <c r="LLR143" s="22"/>
      <c r="LLS143" s="22"/>
      <c r="LLT143" s="22"/>
      <c r="LLU143" s="22"/>
      <c r="LLV143" s="22"/>
      <c r="LLW143" s="22"/>
      <c r="LLX143" s="22"/>
      <c r="LLY143" s="22"/>
      <c r="LLZ143" s="22"/>
      <c r="LMA143" s="22"/>
      <c r="LMB143" s="22"/>
      <c r="LMC143" s="22"/>
      <c r="LMD143" s="22"/>
      <c r="LME143" s="22"/>
      <c r="LMF143" s="22"/>
      <c r="LMG143" s="22"/>
      <c r="LMH143" s="22"/>
      <c r="LMI143" s="22"/>
      <c r="LMJ143" s="22"/>
      <c r="LMK143" s="22"/>
      <c r="LML143" s="22"/>
      <c r="LMM143" s="22"/>
      <c r="LMN143" s="22"/>
      <c r="LMO143" s="22"/>
      <c r="LMP143" s="22"/>
      <c r="LMQ143" s="22"/>
      <c r="LMR143" s="22"/>
      <c r="LMS143" s="22"/>
      <c r="LMT143" s="22"/>
      <c r="LMU143" s="22"/>
      <c r="LMV143" s="22"/>
      <c r="LMW143" s="22"/>
      <c r="LMX143" s="22"/>
      <c r="LMY143" s="22"/>
      <c r="LMZ143" s="22"/>
      <c r="LNA143" s="22"/>
      <c r="LNB143" s="22"/>
      <c r="LNC143" s="22"/>
      <c r="LND143" s="22"/>
      <c r="LNE143" s="22"/>
      <c r="LNF143" s="22"/>
      <c r="LNG143" s="22"/>
      <c r="LNH143" s="22"/>
      <c r="LNI143" s="22"/>
      <c r="LNJ143" s="22"/>
      <c r="LNK143" s="22"/>
      <c r="LNL143" s="22"/>
      <c r="LNM143" s="22"/>
      <c r="LNN143" s="22"/>
      <c r="LNO143" s="22"/>
      <c r="LNP143" s="22"/>
      <c r="LNQ143" s="22"/>
      <c r="LNR143" s="22"/>
      <c r="LNS143" s="22"/>
      <c r="LNT143" s="22"/>
      <c r="LNU143" s="22"/>
      <c r="LNV143" s="22"/>
      <c r="LNW143" s="22"/>
      <c r="LNX143" s="22"/>
      <c r="LNY143" s="22"/>
      <c r="LNZ143" s="22"/>
      <c r="LOA143" s="22"/>
      <c r="LOB143" s="22"/>
      <c r="LOC143" s="22"/>
      <c r="LOD143" s="22"/>
      <c r="LOE143" s="22"/>
      <c r="LOF143" s="22"/>
      <c r="LOG143" s="22"/>
      <c r="LOH143" s="22"/>
      <c r="LOI143" s="22"/>
      <c r="LOJ143" s="22"/>
      <c r="LOK143" s="22"/>
      <c r="LOL143" s="22"/>
      <c r="LOM143" s="22"/>
      <c r="LON143" s="22"/>
      <c r="LOO143" s="22"/>
      <c r="LOP143" s="22"/>
      <c r="LOQ143" s="22"/>
      <c r="LOR143" s="22"/>
      <c r="LOS143" s="22"/>
      <c r="LOT143" s="22"/>
      <c r="LOU143" s="22"/>
      <c r="LOV143" s="22"/>
      <c r="LOW143" s="22"/>
      <c r="LOX143" s="22"/>
      <c r="LOY143" s="22"/>
      <c r="LOZ143" s="22"/>
      <c r="LPA143" s="22"/>
      <c r="LPB143" s="22"/>
      <c r="LPC143" s="22"/>
      <c r="LPD143" s="22"/>
      <c r="LPE143" s="22"/>
      <c r="LPF143" s="22"/>
      <c r="LPG143" s="22"/>
      <c r="LPH143" s="22"/>
      <c r="LPI143" s="22"/>
      <c r="LPJ143" s="22"/>
      <c r="LPK143" s="22"/>
      <c r="LPL143" s="22"/>
      <c r="LPM143" s="22"/>
      <c r="LPN143" s="22"/>
      <c r="LPO143" s="22"/>
      <c r="LPP143" s="22"/>
      <c r="LPQ143" s="22"/>
      <c r="LPR143" s="22"/>
      <c r="LPS143" s="22"/>
      <c r="LPT143" s="22"/>
      <c r="LPU143" s="22"/>
      <c r="LPV143" s="22"/>
      <c r="LPW143" s="22"/>
      <c r="LPX143" s="22"/>
      <c r="LPY143" s="22"/>
      <c r="LPZ143" s="22"/>
      <c r="LQA143" s="22"/>
      <c r="LQB143" s="22"/>
      <c r="LQC143" s="22"/>
      <c r="LQD143" s="22"/>
      <c r="LQE143" s="22"/>
      <c r="LQF143" s="22"/>
      <c r="LQG143" s="22"/>
      <c r="LQH143" s="22"/>
      <c r="LQI143" s="22"/>
      <c r="LQJ143" s="22"/>
      <c r="LQK143" s="22"/>
      <c r="LQL143" s="22"/>
      <c r="LQM143" s="22"/>
      <c r="LQN143" s="22"/>
      <c r="LQO143" s="22"/>
      <c r="LQP143" s="22"/>
      <c r="LQQ143" s="22"/>
      <c r="LQR143" s="22"/>
      <c r="LQS143" s="22"/>
      <c r="LQT143" s="22"/>
      <c r="LQU143" s="22"/>
      <c r="LQV143" s="22"/>
      <c r="LQW143" s="22"/>
      <c r="LQX143" s="22"/>
      <c r="LQY143" s="22"/>
      <c r="LQZ143" s="22"/>
      <c r="LRA143" s="22"/>
      <c r="LRB143" s="22"/>
      <c r="LRC143" s="22"/>
      <c r="LRD143" s="22"/>
      <c r="LRE143" s="22"/>
      <c r="LRF143" s="22"/>
      <c r="LRG143" s="22"/>
      <c r="LRH143" s="22"/>
      <c r="LRI143" s="22"/>
      <c r="LRJ143" s="22"/>
      <c r="LRK143" s="22"/>
      <c r="LRL143" s="22"/>
      <c r="LRM143" s="22"/>
      <c r="LRN143" s="22"/>
      <c r="LRO143" s="22"/>
      <c r="LRP143" s="22"/>
      <c r="LRQ143" s="22"/>
      <c r="LRR143" s="22"/>
      <c r="LRS143" s="22"/>
      <c r="LRT143" s="22"/>
      <c r="LRU143" s="22"/>
      <c r="LRV143" s="22"/>
      <c r="LRW143" s="22"/>
      <c r="LRX143" s="22"/>
      <c r="LRY143" s="22"/>
      <c r="LRZ143" s="22"/>
      <c r="LSA143" s="22"/>
      <c r="LSB143" s="22"/>
      <c r="LSC143" s="22"/>
      <c r="LSD143" s="22"/>
      <c r="LSE143" s="22"/>
      <c r="LSF143" s="22"/>
      <c r="LSG143" s="22"/>
      <c r="LSH143" s="22"/>
      <c r="LSI143" s="22"/>
      <c r="LSJ143" s="22"/>
      <c r="LSK143" s="22"/>
      <c r="LSL143" s="22"/>
      <c r="LSM143" s="22"/>
      <c r="LSN143" s="22"/>
      <c r="LSO143" s="22"/>
      <c r="LSP143" s="22"/>
      <c r="LSQ143" s="22"/>
      <c r="LSR143" s="22"/>
      <c r="LSS143" s="22"/>
      <c r="LST143" s="22"/>
      <c r="LSU143" s="22"/>
      <c r="LSV143" s="22"/>
      <c r="LSW143" s="22"/>
      <c r="LSX143" s="22"/>
      <c r="LSY143" s="22"/>
      <c r="LSZ143" s="22"/>
      <c r="LTA143" s="22"/>
      <c r="LTB143" s="22"/>
      <c r="LTC143" s="22"/>
      <c r="LTD143" s="22"/>
      <c r="LTE143" s="22"/>
      <c r="LTF143" s="22"/>
      <c r="LTG143" s="22"/>
      <c r="LTH143" s="22"/>
      <c r="LTI143" s="22"/>
      <c r="LTJ143" s="22"/>
      <c r="LTK143" s="22"/>
      <c r="LTL143" s="22"/>
      <c r="LTM143" s="22"/>
      <c r="LTN143" s="22"/>
      <c r="LTO143" s="22"/>
      <c r="LTP143" s="22"/>
      <c r="LTQ143" s="22"/>
      <c r="LTR143" s="22"/>
      <c r="LTS143" s="22"/>
      <c r="LTT143" s="22"/>
      <c r="LTU143" s="22"/>
      <c r="LTV143" s="22"/>
      <c r="LTW143" s="22"/>
      <c r="LTX143" s="22"/>
      <c r="LTY143" s="22"/>
      <c r="LTZ143" s="22"/>
      <c r="LUA143" s="22"/>
      <c r="LUB143" s="22"/>
      <c r="LUC143" s="22"/>
      <c r="LUD143" s="22"/>
      <c r="LUE143" s="22"/>
      <c r="LUF143" s="22"/>
      <c r="LUG143" s="22"/>
      <c r="LUH143" s="22"/>
      <c r="LUI143" s="22"/>
      <c r="LUJ143" s="22"/>
      <c r="LUK143" s="22"/>
      <c r="LUL143" s="22"/>
      <c r="LUM143" s="22"/>
      <c r="LUN143" s="22"/>
      <c r="LUO143" s="22"/>
      <c r="LUP143" s="22"/>
      <c r="LUQ143" s="22"/>
      <c r="LUR143" s="22"/>
      <c r="LUS143" s="22"/>
      <c r="LUT143" s="22"/>
      <c r="LUU143" s="22"/>
      <c r="LUV143" s="22"/>
      <c r="LUW143" s="22"/>
      <c r="LUX143" s="22"/>
      <c r="LUY143" s="22"/>
      <c r="LUZ143" s="22"/>
      <c r="LVA143" s="22"/>
      <c r="LVB143" s="22"/>
      <c r="LVC143" s="22"/>
      <c r="LVD143" s="22"/>
      <c r="LVE143" s="22"/>
      <c r="LVF143" s="22"/>
      <c r="LVG143" s="22"/>
      <c r="LVH143" s="22"/>
      <c r="LVI143" s="22"/>
      <c r="LVJ143" s="22"/>
      <c r="LVK143" s="22"/>
      <c r="LVL143" s="22"/>
      <c r="LVM143" s="22"/>
      <c r="LVN143" s="22"/>
      <c r="LVO143" s="22"/>
      <c r="LVP143" s="22"/>
      <c r="LVQ143" s="22"/>
      <c r="LVR143" s="22"/>
      <c r="LVS143" s="22"/>
      <c r="LVT143" s="22"/>
      <c r="LVU143" s="22"/>
      <c r="LVV143" s="22"/>
      <c r="LVW143" s="22"/>
      <c r="LVX143" s="22"/>
      <c r="LVY143" s="22"/>
      <c r="LVZ143" s="22"/>
      <c r="LWA143" s="22"/>
      <c r="LWB143" s="22"/>
      <c r="LWC143" s="22"/>
      <c r="LWD143" s="22"/>
      <c r="LWE143" s="22"/>
      <c r="LWF143" s="22"/>
      <c r="LWG143" s="22"/>
      <c r="LWH143" s="22"/>
      <c r="LWI143" s="22"/>
      <c r="LWJ143" s="22"/>
      <c r="LWK143" s="22"/>
      <c r="LWL143" s="22"/>
      <c r="LWM143" s="22"/>
      <c r="LWN143" s="22"/>
      <c r="LWO143" s="22"/>
      <c r="LWP143" s="22"/>
      <c r="LWQ143" s="22"/>
      <c r="LWR143" s="22"/>
      <c r="LWS143" s="22"/>
      <c r="LWT143" s="22"/>
      <c r="LWU143" s="22"/>
      <c r="LWV143" s="22"/>
      <c r="LWW143" s="22"/>
      <c r="LWX143" s="22"/>
      <c r="LWY143" s="22"/>
      <c r="LWZ143" s="22"/>
      <c r="LXA143" s="22"/>
      <c r="LXB143" s="22"/>
      <c r="LXC143" s="22"/>
      <c r="LXD143" s="22"/>
      <c r="LXE143" s="22"/>
      <c r="LXF143" s="22"/>
      <c r="LXG143" s="22"/>
      <c r="LXH143" s="22"/>
      <c r="LXI143" s="22"/>
      <c r="LXJ143" s="22"/>
      <c r="LXK143" s="22"/>
      <c r="LXL143" s="22"/>
      <c r="LXM143" s="22"/>
      <c r="LXN143" s="22"/>
      <c r="LXO143" s="22"/>
      <c r="LXP143" s="22"/>
      <c r="LXQ143" s="22"/>
      <c r="LXR143" s="22"/>
      <c r="LXS143" s="22"/>
      <c r="LXT143" s="22"/>
      <c r="LXU143" s="22"/>
      <c r="LXV143" s="22"/>
      <c r="LXW143" s="22"/>
      <c r="LXX143" s="22"/>
      <c r="LXY143" s="22"/>
      <c r="LXZ143" s="22"/>
      <c r="LYA143" s="22"/>
      <c r="LYB143" s="22"/>
      <c r="LYC143" s="22"/>
      <c r="LYD143" s="22"/>
      <c r="LYE143" s="22"/>
      <c r="LYF143" s="22"/>
      <c r="LYG143" s="22"/>
      <c r="LYH143" s="22"/>
      <c r="LYI143" s="22"/>
      <c r="LYJ143" s="22"/>
      <c r="LYK143" s="22"/>
      <c r="LYL143" s="22"/>
      <c r="LYM143" s="22"/>
      <c r="LYN143" s="22"/>
      <c r="LYO143" s="22"/>
      <c r="LYP143" s="22"/>
      <c r="LYQ143" s="22"/>
      <c r="LYR143" s="22"/>
      <c r="LYS143" s="22"/>
      <c r="LYT143" s="22"/>
      <c r="LYU143" s="22"/>
      <c r="LYV143" s="22"/>
      <c r="LYW143" s="22"/>
      <c r="LYX143" s="22"/>
      <c r="LYY143" s="22"/>
      <c r="LYZ143" s="22"/>
      <c r="LZA143" s="22"/>
      <c r="LZB143" s="22"/>
      <c r="LZC143" s="22"/>
      <c r="LZD143" s="22"/>
      <c r="LZE143" s="22"/>
      <c r="LZF143" s="22"/>
      <c r="LZG143" s="22"/>
      <c r="LZH143" s="22"/>
      <c r="LZI143" s="22"/>
      <c r="LZJ143" s="22"/>
      <c r="LZK143" s="22"/>
      <c r="LZL143" s="22"/>
      <c r="LZM143" s="22"/>
      <c r="LZN143" s="22"/>
      <c r="LZO143" s="22"/>
      <c r="LZP143" s="22"/>
      <c r="LZQ143" s="22"/>
      <c r="LZR143" s="22"/>
      <c r="LZS143" s="22"/>
      <c r="LZT143" s="22"/>
      <c r="LZU143" s="22"/>
      <c r="LZV143" s="22"/>
      <c r="LZW143" s="22"/>
      <c r="LZX143" s="22"/>
      <c r="LZY143" s="22"/>
      <c r="LZZ143" s="22"/>
      <c r="MAA143" s="22"/>
      <c r="MAB143" s="22"/>
      <c r="MAC143" s="22"/>
      <c r="MAD143" s="22"/>
      <c r="MAE143" s="22"/>
      <c r="MAF143" s="22"/>
      <c r="MAG143" s="22"/>
      <c r="MAH143" s="22"/>
      <c r="MAI143" s="22"/>
      <c r="MAJ143" s="22"/>
      <c r="MAK143" s="22"/>
      <c r="MAL143" s="22"/>
      <c r="MAM143" s="22"/>
      <c r="MAN143" s="22"/>
      <c r="MAO143" s="22"/>
      <c r="MAP143" s="22"/>
      <c r="MAQ143" s="22"/>
      <c r="MAR143" s="22"/>
      <c r="MAS143" s="22"/>
      <c r="MAT143" s="22"/>
      <c r="MAU143" s="22"/>
      <c r="MAV143" s="22"/>
      <c r="MAW143" s="22"/>
      <c r="MAX143" s="22"/>
      <c r="MAY143" s="22"/>
      <c r="MAZ143" s="22"/>
      <c r="MBA143" s="22"/>
      <c r="MBB143" s="22"/>
      <c r="MBC143" s="22"/>
      <c r="MBD143" s="22"/>
      <c r="MBE143" s="22"/>
      <c r="MBF143" s="22"/>
      <c r="MBG143" s="22"/>
      <c r="MBH143" s="22"/>
      <c r="MBI143" s="22"/>
      <c r="MBJ143" s="22"/>
      <c r="MBK143" s="22"/>
      <c r="MBL143" s="22"/>
      <c r="MBM143" s="22"/>
      <c r="MBN143" s="22"/>
      <c r="MBO143" s="22"/>
      <c r="MBP143" s="22"/>
      <c r="MBQ143" s="22"/>
      <c r="MBR143" s="22"/>
      <c r="MBS143" s="22"/>
      <c r="MBT143" s="22"/>
      <c r="MBU143" s="22"/>
      <c r="MBV143" s="22"/>
      <c r="MBW143" s="22"/>
      <c r="MBX143" s="22"/>
      <c r="MBY143" s="22"/>
      <c r="MBZ143" s="22"/>
      <c r="MCA143" s="22"/>
      <c r="MCB143" s="22"/>
      <c r="MCC143" s="22"/>
      <c r="MCD143" s="22"/>
      <c r="MCE143" s="22"/>
      <c r="MCF143" s="22"/>
      <c r="MCG143" s="22"/>
      <c r="MCH143" s="22"/>
      <c r="MCI143" s="22"/>
      <c r="MCJ143" s="22"/>
      <c r="MCK143" s="22"/>
      <c r="MCL143" s="22"/>
      <c r="MCM143" s="22"/>
      <c r="MCN143" s="22"/>
      <c r="MCO143" s="22"/>
      <c r="MCP143" s="22"/>
      <c r="MCQ143" s="22"/>
      <c r="MCR143" s="22"/>
      <c r="MCS143" s="22"/>
      <c r="MCT143" s="22"/>
      <c r="MCU143" s="22"/>
      <c r="MCV143" s="22"/>
      <c r="MCW143" s="22"/>
      <c r="MCX143" s="22"/>
      <c r="MCY143" s="22"/>
      <c r="MCZ143" s="22"/>
      <c r="MDA143" s="22"/>
      <c r="MDB143" s="22"/>
      <c r="MDC143" s="22"/>
      <c r="MDD143" s="22"/>
      <c r="MDE143" s="22"/>
      <c r="MDF143" s="22"/>
      <c r="MDG143" s="22"/>
      <c r="MDH143" s="22"/>
      <c r="MDI143" s="22"/>
      <c r="MDJ143" s="22"/>
      <c r="MDK143" s="22"/>
      <c r="MDL143" s="22"/>
      <c r="MDM143" s="22"/>
      <c r="MDN143" s="22"/>
      <c r="MDO143" s="22"/>
      <c r="MDP143" s="22"/>
      <c r="MDQ143" s="22"/>
      <c r="MDR143" s="22"/>
      <c r="MDS143" s="22"/>
      <c r="MDT143" s="22"/>
      <c r="MDU143" s="22"/>
      <c r="MDV143" s="22"/>
      <c r="MDW143" s="22"/>
      <c r="MDX143" s="22"/>
      <c r="MDY143" s="22"/>
      <c r="MDZ143" s="22"/>
      <c r="MEA143" s="22"/>
      <c r="MEB143" s="22"/>
      <c r="MEC143" s="22"/>
      <c r="MED143" s="22"/>
      <c r="MEE143" s="22"/>
      <c r="MEF143" s="22"/>
      <c r="MEG143" s="22"/>
      <c r="MEH143" s="22"/>
      <c r="MEI143" s="22"/>
      <c r="MEJ143" s="22"/>
      <c r="MEK143" s="22"/>
      <c r="MEL143" s="22"/>
      <c r="MEM143" s="22"/>
      <c r="MEN143" s="22"/>
      <c r="MEO143" s="22"/>
      <c r="MEP143" s="22"/>
      <c r="MEQ143" s="22"/>
      <c r="MER143" s="22"/>
      <c r="MES143" s="22"/>
      <c r="MET143" s="22"/>
      <c r="MEU143" s="22"/>
      <c r="MEV143" s="22"/>
      <c r="MEW143" s="22"/>
      <c r="MEX143" s="22"/>
      <c r="MEY143" s="22"/>
      <c r="MEZ143" s="22"/>
      <c r="MFA143" s="22"/>
      <c r="MFB143" s="22"/>
      <c r="MFC143" s="22"/>
      <c r="MFD143" s="22"/>
      <c r="MFE143" s="22"/>
      <c r="MFF143" s="22"/>
      <c r="MFG143" s="22"/>
      <c r="MFH143" s="22"/>
      <c r="MFI143" s="22"/>
      <c r="MFJ143" s="22"/>
      <c r="MFK143" s="22"/>
      <c r="MFL143" s="22"/>
      <c r="MFM143" s="22"/>
      <c r="MFN143" s="22"/>
      <c r="MFO143" s="22"/>
      <c r="MFP143" s="22"/>
      <c r="MFQ143" s="22"/>
      <c r="MFR143" s="22"/>
      <c r="MFS143" s="22"/>
      <c r="MFT143" s="22"/>
      <c r="MFU143" s="22"/>
      <c r="MFV143" s="22"/>
      <c r="MFW143" s="22"/>
      <c r="MFX143" s="22"/>
      <c r="MFY143" s="22"/>
      <c r="MFZ143" s="22"/>
      <c r="MGA143" s="22"/>
      <c r="MGB143" s="22"/>
      <c r="MGC143" s="22"/>
      <c r="MGD143" s="22"/>
      <c r="MGE143" s="22"/>
      <c r="MGF143" s="22"/>
      <c r="MGG143" s="22"/>
      <c r="MGH143" s="22"/>
      <c r="MGI143" s="22"/>
      <c r="MGJ143" s="22"/>
      <c r="MGK143" s="22"/>
      <c r="MGL143" s="22"/>
      <c r="MGM143" s="22"/>
      <c r="MGN143" s="22"/>
      <c r="MGO143" s="22"/>
      <c r="MGP143" s="22"/>
      <c r="MGQ143" s="22"/>
      <c r="MGR143" s="22"/>
      <c r="MGS143" s="22"/>
      <c r="MGT143" s="22"/>
      <c r="MGU143" s="22"/>
      <c r="MGV143" s="22"/>
      <c r="MGW143" s="22"/>
      <c r="MGX143" s="22"/>
      <c r="MGY143" s="22"/>
      <c r="MGZ143" s="22"/>
      <c r="MHA143" s="22"/>
      <c r="MHB143" s="22"/>
      <c r="MHC143" s="22"/>
      <c r="MHD143" s="22"/>
      <c r="MHE143" s="22"/>
      <c r="MHF143" s="22"/>
      <c r="MHG143" s="22"/>
      <c r="MHH143" s="22"/>
      <c r="MHI143" s="22"/>
      <c r="MHJ143" s="22"/>
      <c r="MHK143" s="22"/>
      <c r="MHL143" s="22"/>
      <c r="MHM143" s="22"/>
      <c r="MHN143" s="22"/>
      <c r="MHO143" s="22"/>
      <c r="MHP143" s="22"/>
      <c r="MHQ143" s="22"/>
      <c r="MHR143" s="22"/>
      <c r="MHS143" s="22"/>
      <c r="MHT143" s="22"/>
      <c r="MHU143" s="22"/>
      <c r="MHV143" s="22"/>
      <c r="MHW143" s="22"/>
      <c r="MHX143" s="22"/>
      <c r="MHY143" s="22"/>
      <c r="MHZ143" s="22"/>
      <c r="MIA143" s="22"/>
      <c r="MIB143" s="22"/>
      <c r="MIC143" s="22"/>
      <c r="MID143" s="22"/>
      <c r="MIE143" s="22"/>
      <c r="MIF143" s="22"/>
      <c r="MIG143" s="22"/>
      <c r="MIH143" s="22"/>
      <c r="MII143" s="22"/>
      <c r="MIJ143" s="22"/>
      <c r="MIK143" s="22"/>
      <c r="MIL143" s="22"/>
      <c r="MIM143" s="22"/>
      <c r="MIN143" s="22"/>
      <c r="MIO143" s="22"/>
      <c r="MIP143" s="22"/>
      <c r="MIQ143" s="22"/>
      <c r="MIR143" s="22"/>
      <c r="MIS143" s="22"/>
      <c r="MIT143" s="22"/>
      <c r="MIU143" s="22"/>
      <c r="MIV143" s="22"/>
      <c r="MIW143" s="22"/>
      <c r="MIX143" s="22"/>
      <c r="MIY143" s="22"/>
      <c r="MIZ143" s="22"/>
      <c r="MJA143" s="22"/>
      <c r="MJB143" s="22"/>
      <c r="MJC143" s="22"/>
      <c r="MJD143" s="22"/>
      <c r="MJE143" s="22"/>
      <c r="MJF143" s="22"/>
      <c r="MJG143" s="22"/>
      <c r="MJH143" s="22"/>
      <c r="MJI143" s="22"/>
      <c r="MJJ143" s="22"/>
      <c r="MJK143" s="22"/>
      <c r="MJL143" s="22"/>
      <c r="MJM143" s="22"/>
      <c r="MJN143" s="22"/>
      <c r="MJO143" s="22"/>
      <c r="MJP143" s="22"/>
      <c r="MJQ143" s="22"/>
      <c r="MJR143" s="22"/>
      <c r="MJS143" s="22"/>
      <c r="MJT143" s="22"/>
      <c r="MJU143" s="22"/>
      <c r="MJV143" s="22"/>
      <c r="MJW143" s="22"/>
      <c r="MJX143" s="22"/>
      <c r="MJY143" s="22"/>
      <c r="MJZ143" s="22"/>
      <c r="MKA143" s="22"/>
      <c r="MKB143" s="22"/>
      <c r="MKC143" s="22"/>
      <c r="MKD143" s="22"/>
      <c r="MKE143" s="22"/>
      <c r="MKF143" s="22"/>
      <c r="MKG143" s="22"/>
      <c r="MKH143" s="22"/>
      <c r="MKI143" s="22"/>
      <c r="MKJ143" s="22"/>
      <c r="MKK143" s="22"/>
      <c r="MKL143" s="22"/>
      <c r="MKM143" s="22"/>
      <c r="MKN143" s="22"/>
      <c r="MKO143" s="22"/>
      <c r="MKP143" s="22"/>
      <c r="MKQ143" s="22"/>
      <c r="MKR143" s="22"/>
      <c r="MKS143" s="22"/>
      <c r="MKT143" s="22"/>
      <c r="MKU143" s="22"/>
      <c r="MKV143" s="22"/>
      <c r="MKW143" s="22"/>
      <c r="MKX143" s="22"/>
      <c r="MKY143" s="22"/>
      <c r="MKZ143" s="22"/>
      <c r="MLA143" s="22"/>
      <c r="MLB143" s="22"/>
      <c r="MLC143" s="22"/>
      <c r="MLD143" s="22"/>
      <c r="MLE143" s="22"/>
      <c r="MLF143" s="22"/>
      <c r="MLG143" s="22"/>
      <c r="MLH143" s="22"/>
      <c r="MLI143" s="22"/>
      <c r="MLJ143" s="22"/>
      <c r="MLK143" s="22"/>
      <c r="MLL143" s="22"/>
      <c r="MLM143" s="22"/>
      <c r="MLN143" s="22"/>
      <c r="MLO143" s="22"/>
      <c r="MLP143" s="22"/>
      <c r="MLQ143" s="22"/>
      <c r="MLR143" s="22"/>
      <c r="MLS143" s="22"/>
      <c r="MLT143" s="22"/>
      <c r="MLU143" s="22"/>
      <c r="MLV143" s="22"/>
      <c r="MLW143" s="22"/>
      <c r="MLX143" s="22"/>
      <c r="MLY143" s="22"/>
      <c r="MLZ143" s="22"/>
      <c r="MMA143" s="22"/>
      <c r="MMB143" s="22"/>
      <c r="MMC143" s="22"/>
      <c r="MMD143" s="22"/>
      <c r="MME143" s="22"/>
      <c r="MMF143" s="22"/>
      <c r="MMG143" s="22"/>
      <c r="MMH143" s="22"/>
      <c r="MMI143" s="22"/>
      <c r="MMJ143" s="22"/>
      <c r="MMK143" s="22"/>
      <c r="MML143" s="22"/>
      <c r="MMM143" s="22"/>
      <c r="MMN143" s="22"/>
      <c r="MMO143" s="22"/>
      <c r="MMP143" s="22"/>
      <c r="MMQ143" s="22"/>
      <c r="MMR143" s="22"/>
      <c r="MMS143" s="22"/>
      <c r="MMT143" s="22"/>
      <c r="MMU143" s="22"/>
      <c r="MMV143" s="22"/>
      <c r="MMW143" s="22"/>
      <c r="MMX143" s="22"/>
      <c r="MMY143" s="22"/>
      <c r="MMZ143" s="22"/>
      <c r="MNA143" s="22"/>
      <c r="MNB143" s="22"/>
      <c r="MNC143" s="22"/>
      <c r="MND143" s="22"/>
      <c r="MNE143" s="22"/>
      <c r="MNF143" s="22"/>
      <c r="MNG143" s="22"/>
      <c r="MNH143" s="22"/>
      <c r="MNI143" s="22"/>
      <c r="MNJ143" s="22"/>
      <c r="MNK143" s="22"/>
      <c r="MNL143" s="22"/>
      <c r="MNM143" s="22"/>
      <c r="MNN143" s="22"/>
      <c r="MNO143" s="22"/>
      <c r="MNP143" s="22"/>
      <c r="MNQ143" s="22"/>
      <c r="MNR143" s="22"/>
      <c r="MNS143" s="22"/>
      <c r="MNT143" s="22"/>
      <c r="MNU143" s="22"/>
      <c r="MNV143" s="22"/>
      <c r="MNW143" s="22"/>
      <c r="MNX143" s="22"/>
      <c r="MNY143" s="22"/>
      <c r="MNZ143" s="22"/>
      <c r="MOA143" s="22"/>
      <c r="MOB143" s="22"/>
      <c r="MOC143" s="22"/>
      <c r="MOD143" s="22"/>
      <c r="MOE143" s="22"/>
      <c r="MOF143" s="22"/>
      <c r="MOG143" s="22"/>
      <c r="MOH143" s="22"/>
      <c r="MOI143" s="22"/>
      <c r="MOJ143" s="22"/>
      <c r="MOK143" s="22"/>
      <c r="MOL143" s="22"/>
      <c r="MOM143" s="22"/>
      <c r="MON143" s="22"/>
      <c r="MOO143" s="22"/>
      <c r="MOP143" s="22"/>
      <c r="MOQ143" s="22"/>
      <c r="MOR143" s="22"/>
      <c r="MOS143" s="22"/>
      <c r="MOT143" s="22"/>
      <c r="MOU143" s="22"/>
      <c r="MOV143" s="22"/>
      <c r="MOW143" s="22"/>
      <c r="MOX143" s="22"/>
      <c r="MOY143" s="22"/>
      <c r="MOZ143" s="22"/>
      <c r="MPA143" s="22"/>
      <c r="MPB143" s="22"/>
      <c r="MPC143" s="22"/>
      <c r="MPD143" s="22"/>
      <c r="MPE143" s="22"/>
      <c r="MPF143" s="22"/>
      <c r="MPG143" s="22"/>
      <c r="MPH143" s="22"/>
      <c r="MPI143" s="22"/>
      <c r="MPJ143" s="22"/>
      <c r="MPK143" s="22"/>
      <c r="MPL143" s="22"/>
      <c r="MPM143" s="22"/>
      <c r="MPN143" s="22"/>
      <c r="MPO143" s="22"/>
      <c r="MPP143" s="22"/>
      <c r="MPQ143" s="22"/>
      <c r="MPR143" s="22"/>
      <c r="MPS143" s="22"/>
      <c r="MPT143" s="22"/>
      <c r="MPU143" s="22"/>
      <c r="MPV143" s="22"/>
      <c r="MPW143" s="22"/>
      <c r="MPX143" s="22"/>
      <c r="MPY143" s="22"/>
      <c r="MPZ143" s="22"/>
      <c r="MQA143" s="22"/>
      <c r="MQB143" s="22"/>
      <c r="MQC143" s="22"/>
      <c r="MQD143" s="22"/>
      <c r="MQE143" s="22"/>
      <c r="MQF143" s="22"/>
      <c r="MQG143" s="22"/>
      <c r="MQH143" s="22"/>
      <c r="MQI143" s="22"/>
      <c r="MQJ143" s="22"/>
      <c r="MQK143" s="22"/>
      <c r="MQL143" s="22"/>
      <c r="MQM143" s="22"/>
      <c r="MQN143" s="22"/>
      <c r="MQO143" s="22"/>
      <c r="MQP143" s="22"/>
      <c r="MQQ143" s="22"/>
      <c r="MQR143" s="22"/>
      <c r="MQS143" s="22"/>
      <c r="MQT143" s="22"/>
      <c r="MQU143" s="22"/>
      <c r="MQV143" s="22"/>
      <c r="MQW143" s="22"/>
      <c r="MQX143" s="22"/>
      <c r="MQY143" s="22"/>
      <c r="MQZ143" s="22"/>
      <c r="MRA143" s="22"/>
      <c r="MRB143" s="22"/>
      <c r="MRC143" s="22"/>
      <c r="MRD143" s="22"/>
      <c r="MRE143" s="22"/>
      <c r="MRF143" s="22"/>
      <c r="MRG143" s="22"/>
      <c r="MRH143" s="22"/>
      <c r="MRI143" s="22"/>
      <c r="MRJ143" s="22"/>
      <c r="MRK143" s="22"/>
      <c r="MRL143" s="22"/>
      <c r="MRM143" s="22"/>
      <c r="MRN143" s="22"/>
      <c r="MRO143" s="22"/>
      <c r="MRP143" s="22"/>
      <c r="MRQ143" s="22"/>
      <c r="MRR143" s="22"/>
      <c r="MRS143" s="22"/>
      <c r="MRT143" s="22"/>
      <c r="MRU143" s="22"/>
      <c r="MRV143" s="22"/>
      <c r="MRW143" s="22"/>
      <c r="MRX143" s="22"/>
      <c r="MRY143" s="22"/>
      <c r="MRZ143" s="22"/>
      <c r="MSA143" s="22"/>
      <c r="MSB143" s="22"/>
      <c r="MSC143" s="22"/>
      <c r="MSD143" s="22"/>
      <c r="MSE143" s="22"/>
      <c r="MSF143" s="22"/>
      <c r="MSG143" s="22"/>
      <c r="MSH143" s="22"/>
      <c r="MSI143" s="22"/>
      <c r="MSJ143" s="22"/>
      <c r="MSK143" s="22"/>
      <c r="MSL143" s="22"/>
      <c r="MSM143" s="22"/>
      <c r="MSN143" s="22"/>
      <c r="MSO143" s="22"/>
      <c r="MSP143" s="22"/>
      <c r="MSQ143" s="22"/>
      <c r="MSR143" s="22"/>
      <c r="MSS143" s="22"/>
      <c r="MST143" s="22"/>
      <c r="MSU143" s="22"/>
      <c r="MSV143" s="22"/>
      <c r="MSW143" s="22"/>
      <c r="MSX143" s="22"/>
      <c r="MSY143" s="22"/>
      <c r="MSZ143" s="22"/>
      <c r="MTA143" s="22"/>
      <c r="MTB143" s="22"/>
      <c r="MTC143" s="22"/>
      <c r="MTD143" s="22"/>
      <c r="MTE143" s="22"/>
      <c r="MTF143" s="22"/>
      <c r="MTG143" s="22"/>
      <c r="MTH143" s="22"/>
      <c r="MTI143" s="22"/>
      <c r="MTJ143" s="22"/>
      <c r="MTK143" s="22"/>
      <c r="MTL143" s="22"/>
      <c r="MTM143" s="22"/>
      <c r="MTN143" s="22"/>
      <c r="MTO143" s="22"/>
      <c r="MTP143" s="22"/>
      <c r="MTQ143" s="22"/>
      <c r="MTR143" s="22"/>
      <c r="MTS143" s="22"/>
      <c r="MTT143" s="22"/>
      <c r="MTU143" s="22"/>
      <c r="MTV143" s="22"/>
      <c r="MTW143" s="22"/>
      <c r="MTX143" s="22"/>
      <c r="MTY143" s="22"/>
      <c r="MTZ143" s="22"/>
      <c r="MUA143" s="22"/>
      <c r="MUB143" s="22"/>
      <c r="MUC143" s="22"/>
      <c r="MUD143" s="22"/>
      <c r="MUE143" s="22"/>
      <c r="MUF143" s="22"/>
      <c r="MUG143" s="22"/>
      <c r="MUH143" s="22"/>
      <c r="MUI143" s="22"/>
      <c r="MUJ143" s="22"/>
      <c r="MUK143" s="22"/>
      <c r="MUL143" s="22"/>
      <c r="MUM143" s="22"/>
      <c r="MUN143" s="22"/>
      <c r="MUO143" s="22"/>
      <c r="MUP143" s="22"/>
      <c r="MUQ143" s="22"/>
      <c r="MUR143" s="22"/>
      <c r="MUS143" s="22"/>
      <c r="MUT143" s="22"/>
      <c r="MUU143" s="22"/>
      <c r="MUV143" s="22"/>
      <c r="MUW143" s="22"/>
      <c r="MUX143" s="22"/>
      <c r="MUY143" s="22"/>
      <c r="MUZ143" s="22"/>
      <c r="MVA143" s="22"/>
      <c r="MVB143" s="22"/>
      <c r="MVC143" s="22"/>
      <c r="MVD143" s="22"/>
      <c r="MVE143" s="22"/>
      <c r="MVF143" s="22"/>
      <c r="MVG143" s="22"/>
      <c r="MVH143" s="22"/>
      <c r="MVI143" s="22"/>
      <c r="MVJ143" s="22"/>
      <c r="MVK143" s="22"/>
      <c r="MVL143" s="22"/>
      <c r="MVM143" s="22"/>
      <c r="MVN143" s="22"/>
      <c r="MVO143" s="22"/>
      <c r="MVP143" s="22"/>
      <c r="MVQ143" s="22"/>
      <c r="MVR143" s="22"/>
      <c r="MVS143" s="22"/>
      <c r="MVT143" s="22"/>
      <c r="MVU143" s="22"/>
      <c r="MVV143" s="22"/>
      <c r="MVW143" s="22"/>
      <c r="MVX143" s="22"/>
      <c r="MVY143" s="22"/>
      <c r="MVZ143" s="22"/>
      <c r="MWA143" s="22"/>
      <c r="MWB143" s="22"/>
      <c r="MWC143" s="22"/>
      <c r="MWD143" s="22"/>
      <c r="MWE143" s="22"/>
      <c r="MWF143" s="22"/>
      <c r="MWG143" s="22"/>
      <c r="MWH143" s="22"/>
      <c r="MWI143" s="22"/>
      <c r="MWJ143" s="22"/>
      <c r="MWK143" s="22"/>
      <c r="MWL143" s="22"/>
      <c r="MWM143" s="22"/>
      <c r="MWN143" s="22"/>
      <c r="MWO143" s="22"/>
      <c r="MWP143" s="22"/>
      <c r="MWQ143" s="22"/>
      <c r="MWR143" s="22"/>
      <c r="MWS143" s="22"/>
      <c r="MWT143" s="22"/>
      <c r="MWU143" s="22"/>
      <c r="MWV143" s="22"/>
      <c r="MWW143" s="22"/>
      <c r="MWX143" s="22"/>
      <c r="MWY143" s="22"/>
      <c r="MWZ143" s="22"/>
      <c r="MXA143" s="22"/>
      <c r="MXB143" s="22"/>
      <c r="MXC143" s="22"/>
      <c r="MXD143" s="22"/>
      <c r="MXE143" s="22"/>
      <c r="MXF143" s="22"/>
      <c r="MXG143" s="22"/>
      <c r="MXH143" s="22"/>
      <c r="MXI143" s="22"/>
      <c r="MXJ143" s="22"/>
      <c r="MXK143" s="22"/>
      <c r="MXL143" s="22"/>
      <c r="MXM143" s="22"/>
      <c r="MXN143" s="22"/>
      <c r="MXO143" s="22"/>
      <c r="MXP143" s="22"/>
      <c r="MXQ143" s="22"/>
      <c r="MXR143" s="22"/>
      <c r="MXS143" s="22"/>
      <c r="MXT143" s="22"/>
      <c r="MXU143" s="22"/>
      <c r="MXV143" s="22"/>
      <c r="MXW143" s="22"/>
      <c r="MXX143" s="22"/>
      <c r="MXY143" s="22"/>
      <c r="MXZ143" s="22"/>
      <c r="MYA143" s="22"/>
      <c r="MYB143" s="22"/>
      <c r="MYC143" s="22"/>
      <c r="MYD143" s="22"/>
      <c r="MYE143" s="22"/>
      <c r="MYF143" s="22"/>
      <c r="MYG143" s="22"/>
      <c r="MYH143" s="22"/>
      <c r="MYI143" s="22"/>
      <c r="MYJ143" s="22"/>
      <c r="MYK143" s="22"/>
      <c r="MYL143" s="22"/>
      <c r="MYM143" s="22"/>
      <c r="MYN143" s="22"/>
      <c r="MYO143" s="22"/>
      <c r="MYP143" s="22"/>
      <c r="MYQ143" s="22"/>
      <c r="MYR143" s="22"/>
      <c r="MYS143" s="22"/>
      <c r="MYT143" s="22"/>
      <c r="MYU143" s="22"/>
      <c r="MYV143" s="22"/>
      <c r="MYW143" s="22"/>
      <c r="MYX143" s="22"/>
      <c r="MYY143" s="22"/>
      <c r="MYZ143" s="22"/>
      <c r="MZA143" s="22"/>
      <c r="MZB143" s="22"/>
      <c r="MZC143" s="22"/>
      <c r="MZD143" s="22"/>
      <c r="MZE143" s="22"/>
      <c r="MZF143" s="22"/>
      <c r="MZG143" s="22"/>
      <c r="MZH143" s="22"/>
      <c r="MZI143" s="22"/>
      <c r="MZJ143" s="22"/>
      <c r="MZK143" s="22"/>
      <c r="MZL143" s="22"/>
      <c r="MZM143" s="22"/>
      <c r="MZN143" s="22"/>
      <c r="MZO143" s="22"/>
      <c r="MZP143" s="22"/>
      <c r="MZQ143" s="22"/>
      <c r="MZR143" s="22"/>
      <c r="MZS143" s="22"/>
      <c r="MZT143" s="22"/>
      <c r="MZU143" s="22"/>
      <c r="MZV143" s="22"/>
      <c r="MZW143" s="22"/>
      <c r="MZX143" s="22"/>
      <c r="MZY143" s="22"/>
      <c r="MZZ143" s="22"/>
      <c r="NAA143" s="22"/>
      <c r="NAB143" s="22"/>
      <c r="NAC143" s="22"/>
      <c r="NAD143" s="22"/>
      <c r="NAE143" s="22"/>
      <c r="NAF143" s="22"/>
      <c r="NAG143" s="22"/>
      <c r="NAH143" s="22"/>
      <c r="NAI143" s="22"/>
      <c r="NAJ143" s="22"/>
      <c r="NAK143" s="22"/>
      <c r="NAL143" s="22"/>
      <c r="NAM143" s="22"/>
      <c r="NAN143" s="22"/>
      <c r="NAO143" s="22"/>
      <c r="NAP143" s="22"/>
      <c r="NAQ143" s="22"/>
      <c r="NAR143" s="22"/>
      <c r="NAS143" s="22"/>
      <c r="NAT143" s="22"/>
      <c r="NAU143" s="22"/>
      <c r="NAV143" s="22"/>
      <c r="NAW143" s="22"/>
      <c r="NAX143" s="22"/>
      <c r="NAY143" s="22"/>
      <c r="NAZ143" s="22"/>
      <c r="NBA143" s="22"/>
      <c r="NBB143" s="22"/>
      <c r="NBC143" s="22"/>
      <c r="NBD143" s="22"/>
      <c r="NBE143" s="22"/>
      <c r="NBF143" s="22"/>
      <c r="NBG143" s="22"/>
      <c r="NBH143" s="22"/>
      <c r="NBI143" s="22"/>
      <c r="NBJ143" s="22"/>
      <c r="NBK143" s="22"/>
      <c r="NBL143" s="22"/>
      <c r="NBM143" s="22"/>
      <c r="NBN143" s="22"/>
      <c r="NBO143" s="22"/>
      <c r="NBP143" s="22"/>
      <c r="NBQ143" s="22"/>
      <c r="NBR143" s="22"/>
      <c r="NBS143" s="22"/>
      <c r="NBT143" s="22"/>
      <c r="NBU143" s="22"/>
      <c r="NBV143" s="22"/>
      <c r="NBW143" s="22"/>
      <c r="NBX143" s="22"/>
      <c r="NBY143" s="22"/>
      <c r="NBZ143" s="22"/>
      <c r="NCA143" s="22"/>
      <c r="NCB143" s="22"/>
      <c r="NCC143" s="22"/>
      <c r="NCD143" s="22"/>
      <c r="NCE143" s="22"/>
      <c r="NCF143" s="22"/>
      <c r="NCG143" s="22"/>
      <c r="NCH143" s="22"/>
      <c r="NCI143" s="22"/>
      <c r="NCJ143" s="22"/>
      <c r="NCK143" s="22"/>
      <c r="NCL143" s="22"/>
      <c r="NCM143" s="22"/>
      <c r="NCN143" s="22"/>
      <c r="NCO143" s="22"/>
      <c r="NCP143" s="22"/>
      <c r="NCQ143" s="22"/>
      <c r="NCR143" s="22"/>
      <c r="NCS143" s="22"/>
      <c r="NCT143" s="22"/>
      <c r="NCU143" s="22"/>
      <c r="NCV143" s="22"/>
      <c r="NCW143" s="22"/>
      <c r="NCX143" s="22"/>
      <c r="NCY143" s="22"/>
      <c r="NCZ143" s="22"/>
      <c r="NDA143" s="22"/>
      <c r="NDB143" s="22"/>
      <c r="NDC143" s="22"/>
      <c r="NDD143" s="22"/>
      <c r="NDE143" s="22"/>
      <c r="NDF143" s="22"/>
      <c r="NDG143" s="22"/>
      <c r="NDH143" s="22"/>
      <c r="NDI143" s="22"/>
      <c r="NDJ143" s="22"/>
      <c r="NDK143" s="22"/>
      <c r="NDL143" s="22"/>
      <c r="NDM143" s="22"/>
      <c r="NDN143" s="22"/>
      <c r="NDO143" s="22"/>
      <c r="NDP143" s="22"/>
      <c r="NDQ143" s="22"/>
      <c r="NDR143" s="22"/>
      <c r="NDS143" s="22"/>
      <c r="NDT143" s="22"/>
      <c r="NDU143" s="22"/>
      <c r="NDV143" s="22"/>
      <c r="NDW143" s="22"/>
      <c r="NDX143" s="22"/>
      <c r="NDY143" s="22"/>
      <c r="NDZ143" s="22"/>
      <c r="NEA143" s="22"/>
      <c r="NEB143" s="22"/>
      <c r="NEC143" s="22"/>
      <c r="NED143" s="22"/>
      <c r="NEE143" s="22"/>
      <c r="NEF143" s="22"/>
      <c r="NEG143" s="22"/>
      <c r="NEH143" s="22"/>
      <c r="NEI143" s="22"/>
      <c r="NEJ143" s="22"/>
      <c r="NEK143" s="22"/>
      <c r="NEL143" s="22"/>
      <c r="NEM143" s="22"/>
      <c r="NEN143" s="22"/>
      <c r="NEO143" s="22"/>
      <c r="NEP143" s="22"/>
      <c r="NEQ143" s="22"/>
      <c r="NER143" s="22"/>
      <c r="NES143" s="22"/>
      <c r="NET143" s="22"/>
      <c r="NEU143" s="22"/>
      <c r="NEV143" s="22"/>
      <c r="NEW143" s="22"/>
      <c r="NEX143" s="22"/>
      <c r="NEY143" s="22"/>
      <c r="NEZ143" s="22"/>
      <c r="NFA143" s="22"/>
      <c r="NFB143" s="22"/>
      <c r="NFC143" s="22"/>
      <c r="NFD143" s="22"/>
      <c r="NFE143" s="22"/>
      <c r="NFF143" s="22"/>
      <c r="NFG143" s="22"/>
      <c r="NFH143" s="22"/>
      <c r="NFI143" s="22"/>
      <c r="NFJ143" s="22"/>
      <c r="NFK143" s="22"/>
      <c r="NFL143" s="22"/>
      <c r="NFM143" s="22"/>
      <c r="NFN143" s="22"/>
      <c r="NFO143" s="22"/>
      <c r="NFP143" s="22"/>
      <c r="NFQ143" s="22"/>
      <c r="NFR143" s="22"/>
      <c r="NFS143" s="22"/>
      <c r="NFT143" s="22"/>
      <c r="NFU143" s="22"/>
      <c r="NFV143" s="22"/>
      <c r="NFW143" s="22"/>
      <c r="NFX143" s="22"/>
      <c r="NFY143" s="22"/>
      <c r="NFZ143" s="22"/>
      <c r="NGA143" s="22"/>
      <c r="NGB143" s="22"/>
      <c r="NGC143" s="22"/>
      <c r="NGD143" s="22"/>
      <c r="NGE143" s="22"/>
      <c r="NGF143" s="22"/>
      <c r="NGG143" s="22"/>
      <c r="NGH143" s="22"/>
      <c r="NGI143" s="22"/>
      <c r="NGJ143" s="22"/>
      <c r="NGK143" s="22"/>
      <c r="NGL143" s="22"/>
      <c r="NGM143" s="22"/>
      <c r="NGN143" s="22"/>
      <c r="NGO143" s="22"/>
      <c r="NGP143" s="22"/>
      <c r="NGQ143" s="22"/>
      <c r="NGR143" s="22"/>
      <c r="NGS143" s="22"/>
      <c r="NGT143" s="22"/>
      <c r="NGU143" s="22"/>
      <c r="NGV143" s="22"/>
      <c r="NGW143" s="22"/>
      <c r="NGX143" s="22"/>
      <c r="NGY143" s="22"/>
      <c r="NGZ143" s="22"/>
      <c r="NHA143" s="22"/>
      <c r="NHB143" s="22"/>
      <c r="NHC143" s="22"/>
      <c r="NHD143" s="22"/>
      <c r="NHE143" s="22"/>
      <c r="NHF143" s="22"/>
      <c r="NHG143" s="22"/>
      <c r="NHH143" s="22"/>
      <c r="NHI143" s="22"/>
      <c r="NHJ143" s="22"/>
      <c r="NHK143" s="22"/>
      <c r="NHL143" s="22"/>
      <c r="NHM143" s="22"/>
      <c r="NHN143" s="22"/>
      <c r="NHO143" s="22"/>
      <c r="NHP143" s="22"/>
      <c r="NHQ143" s="22"/>
      <c r="NHR143" s="22"/>
      <c r="NHS143" s="22"/>
      <c r="NHT143" s="22"/>
      <c r="NHU143" s="22"/>
      <c r="NHV143" s="22"/>
      <c r="NHW143" s="22"/>
      <c r="NHX143" s="22"/>
      <c r="NHY143" s="22"/>
      <c r="NHZ143" s="22"/>
      <c r="NIA143" s="22"/>
      <c r="NIB143" s="22"/>
      <c r="NIC143" s="22"/>
      <c r="NID143" s="22"/>
      <c r="NIE143" s="22"/>
      <c r="NIF143" s="22"/>
      <c r="NIG143" s="22"/>
      <c r="NIH143" s="22"/>
      <c r="NII143" s="22"/>
      <c r="NIJ143" s="22"/>
      <c r="NIK143" s="22"/>
      <c r="NIL143" s="22"/>
      <c r="NIM143" s="22"/>
      <c r="NIN143" s="22"/>
      <c r="NIO143" s="22"/>
      <c r="NIP143" s="22"/>
      <c r="NIQ143" s="22"/>
      <c r="NIR143" s="22"/>
      <c r="NIS143" s="22"/>
      <c r="NIT143" s="22"/>
      <c r="NIU143" s="22"/>
      <c r="NIV143" s="22"/>
      <c r="NIW143" s="22"/>
      <c r="NIX143" s="22"/>
      <c r="NIY143" s="22"/>
      <c r="NIZ143" s="22"/>
      <c r="NJA143" s="22"/>
      <c r="NJB143" s="22"/>
      <c r="NJC143" s="22"/>
      <c r="NJD143" s="22"/>
      <c r="NJE143" s="22"/>
      <c r="NJF143" s="22"/>
      <c r="NJG143" s="22"/>
      <c r="NJH143" s="22"/>
      <c r="NJI143" s="22"/>
      <c r="NJJ143" s="22"/>
      <c r="NJK143" s="22"/>
      <c r="NJL143" s="22"/>
      <c r="NJM143" s="22"/>
      <c r="NJN143" s="22"/>
      <c r="NJO143" s="22"/>
      <c r="NJP143" s="22"/>
      <c r="NJQ143" s="22"/>
      <c r="NJR143" s="22"/>
      <c r="NJS143" s="22"/>
      <c r="NJT143" s="22"/>
      <c r="NJU143" s="22"/>
      <c r="NJV143" s="22"/>
      <c r="NJW143" s="22"/>
      <c r="NJX143" s="22"/>
      <c r="NJY143" s="22"/>
      <c r="NJZ143" s="22"/>
      <c r="NKA143" s="22"/>
      <c r="NKB143" s="22"/>
      <c r="NKC143" s="22"/>
      <c r="NKD143" s="22"/>
      <c r="NKE143" s="22"/>
      <c r="NKF143" s="22"/>
      <c r="NKG143" s="22"/>
      <c r="NKH143" s="22"/>
      <c r="NKI143" s="22"/>
      <c r="NKJ143" s="22"/>
      <c r="NKK143" s="22"/>
      <c r="NKL143" s="22"/>
      <c r="NKM143" s="22"/>
      <c r="NKN143" s="22"/>
      <c r="NKO143" s="22"/>
      <c r="NKP143" s="22"/>
      <c r="NKQ143" s="22"/>
      <c r="NKR143" s="22"/>
      <c r="NKS143" s="22"/>
      <c r="NKT143" s="22"/>
      <c r="NKU143" s="22"/>
      <c r="NKV143" s="22"/>
      <c r="NKW143" s="22"/>
      <c r="NKX143" s="22"/>
      <c r="NKY143" s="22"/>
      <c r="NKZ143" s="22"/>
      <c r="NLA143" s="22"/>
      <c r="NLB143" s="22"/>
      <c r="NLC143" s="22"/>
      <c r="NLD143" s="22"/>
      <c r="NLE143" s="22"/>
      <c r="NLF143" s="22"/>
      <c r="NLG143" s="22"/>
      <c r="NLH143" s="22"/>
      <c r="NLI143" s="22"/>
      <c r="NLJ143" s="22"/>
      <c r="NLK143" s="22"/>
      <c r="NLL143" s="22"/>
      <c r="NLM143" s="22"/>
      <c r="NLN143" s="22"/>
      <c r="NLO143" s="22"/>
      <c r="NLP143" s="22"/>
      <c r="NLQ143" s="22"/>
      <c r="NLR143" s="22"/>
      <c r="NLS143" s="22"/>
      <c r="NLT143" s="22"/>
      <c r="NLU143" s="22"/>
      <c r="NLV143" s="22"/>
      <c r="NLW143" s="22"/>
      <c r="NLX143" s="22"/>
      <c r="NLY143" s="22"/>
      <c r="NLZ143" s="22"/>
      <c r="NMA143" s="22"/>
      <c r="NMB143" s="22"/>
      <c r="NMC143" s="22"/>
      <c r="NMD143" s="22"/>
      <c r="NME143" s="22"/>
      <c r="NMF143" s="22"/>
      <c r="NMG143" s="22"/>
      <c r="NMH143" s="22"/>
      <c r="NMI143" s="22"/>
      <c r="NMJ143" s="22"/>
      <c r="NMK143" s="22"/>
      <c r="NML143" s="22"/>
      <c r="NMM143" s="22"/>
      <c r="NMN143" s="22"/>
      <c r="NMO143" s="22"/>
      <c r="NMP143" s="22"/>
      <c r="NMQ143" s="22"/>
      <c r="NMR143" s="22"/>
      <c r="NMS143" s="22"/>
      <c r="NMT143" s="22"/>
      <c r="NMU143" s="22"/>
      <c r="NMV143" s="22"/>
      <c r="NMW143" s="22"/>
      <c r="NMX143" s="22"/>
      <c r="NMY143" s="22"/>
      <c r="NMZ143" s="22"/>
      <c r="NNA143" s="22"/>
      <c r="NNB143" s="22"/>
      <c r="NNC143" s="22"/>
      <c r="NND143" s="22"/>
      <c r="NNE143" s="22"/>
      <c r="NNF143" s="22"/>
      <c r="NNG143" s="22"/>
      <c r="NNH143" s="22"/>
      <c r="NNI143" s="22"/>
      <c r="NNJ143" s="22"/>
      <c r="NNK143" s="22"/>
      <c r="NNL143" s="22"/>
      <c r="NNM143" s="22"/>
      <c r="NNN143" s="22"/>
      <c r="NNO143" s="22"/>
      <c r="NNP143" s="22"/>
      <c r="NNQ143" s="22"/>
      <c r="NNR143" s="22"/>
      <c r="NNS143" s="22"/>
      <c r="NNT143" s="22"/>
      <c r="NNU143" s="22"/>
      <c r="NNV143" s="22"/>
      <c r="NNW143" s="22"/>
      <c r="NNX143" s="22"/>
      <c r="NNY143" s="22"/>
      <c r="NNZ143" s="22"/>
      <c r="NOA143" s="22"/>
      <c r="NOB143" s="22"/>
      <c r="NOC143" s="22"/>
      <c r="NOD143" s="22"/>
      <c r="NOE143" s="22"/>
      <c r="NOF143" s="22"/>
      <c r="NOG143" s="22"/>
      <c r="NOH143" s="22"/>
      <c r="NOI143" s="22"/>
      <c r="NOJ143" s="22"/>
      <c r="NOK143" s="22"/>
      <c r="NOL143" s="22"/>
      <c r="NOM143" s="22"/>
      <c r="NON143" s="22"/>
      <c r="NOO143" s="22"/>
      <c r="NOP143" s="22"/>
      <c r="NOQ143" s="22"/>
      <c r="NOR143" s="22"/>
      <c r="NOS143" s="22"/>
      <c r="NOT143" s="22"/>
      <c r="NOU143" s="22"/>
      <c r="NOV143" s="22"/>
      <c r="NOW143" s="22"/>
      <c r="NOX143" s="22"/>
      <c r="NOY143" s="22"/>
      <c r="NOZ143" s="22"/>
      <c r="NPA143" s="22"/>
      <c r="NPB143" s="22"/>
      <c r="NPC143" s="22"/>
      <c r="NPD143" s="22"/>
      <c r="NPE143" s="22"/>
      <c r="NPF143" s="22"/>
      <c r="NPG143" s="22"/>
      <c r="NPH143" s="22"/>
      <c r="NPI143" s="22"/>
      <c r="NPJ143" s="22"/>
      <c r="NPK143" s="22"/>
      <c r="NPL143" s="22"/>
      <c r="NPM143" s="22"/>
      <c r="NPN143" s="22"/>
      <c r="NPO143" s="22"/>
      <c r="NPP143" s="22"/>
      <c r="NPQ143" s="22"/>
      <c r="NPR143" s="22"/>
      <c r="NPS143" s="22"/>
      <c r="NPT143" s="22"/>
      <c r="NPU143" s="22"/>
      <c r="NPV143" s="22"/>
      <c r="NPW143" s="22"/>
      <c r="NPX143" s="22"/>
      <c r="NPY143" s="22"/>
      <c r="NPZ143" s="22"/>
      <c r="NQA143" s="22"/>
      <c r="NQB143" s="22"/>
      <c r="NQC143" s="22"/>
      <c r="NQD143" s="22"/>
      <c r="NQE143" s="22"/>
      <c r="NQF143" s="22"/>
      <c r="NQG143" s="22"/>
      <c r="NQH143" s="22"/>
      <c r="NQI143" s="22"/>
      <c r="NQJ143" s="22"/>
      <c r="NQK143" s="22"/>
      <c r="NQL143" s="22"/>
      <c r="NQM143" s="22"/>
      <c r="NQN143" s="22"/>
      <c r="NQO143" s="22"/>
      <c r="NQP143" s="22"/>
      <c r="NQQ143" s="22"/>
      <c r="NQR143" s="22"/>
      <c r="NQS143" s="22"/>
      <c r="NQT143" s="22"/>
      <c r="NQU143" s="22"/>
      <c r="NQV143" s="22"/>
      <c r="NQW143" s="22"/>
      <c r="NQX143" s="22"/>
      <c r="NQY143" s="22"/>
      <c r="NQZ143" s="22"/>
      <c r="NRA143" s="22"/>
      <c r="NRB143" s="22"/>
      <c r="NRC143" s="22"/>
      <c r="NRD143" s="22"/>
      <c r="NRE143" s="22"/>
      <c r="NRF143" s="22"/>
      <c r="NRG143" s="22"/>
      <c r="NRH143" s="22"/>
      <c r="NRI143" s="22"/>
      <c r="NRJ143" s="22"/>
      <c r="NRK143" s="22"/>
      <c r="NRL143" s="22"/>
      <c r="NRM143" s="22"/>
      <c r="NRN143" s="22"/>
      <c r="NRO143" s="22"/>
      <c r="NRP143" s="22"/>
      <c r="NRQ143" s="22"/>
      <c r="NRR143" s="22"/>
      <c r="NRS143" s="22"/>
      <c r="NRT143" s="22"/>
      <c r="NRU143" s="22"/>
      <c r="NRV143" s="22"/>
      <c r="NRW143" s="22"/>
      <c r="NRX143" s="22"/>
      <c r="NRY143" s="22"/>
      <c r="NRZ143" s="22"/>
      <c r="NSA143" s="22"/>
      <c r="NSB143" s="22"/>
      <c r="NSC143" s="22"/>
      <c r="NSD143" s="22"/>
      <c r="NSE143" s="22"/>
      <c r="NSF143" s="22"/>
      <c r="NSG143" s="22"/>
      <c r="NSH143" s="22"/>
      <c r="NSI143" s="22"/>
      <c r="NSJ143" s="22"/>
      <c r="NSK143" s="22"/>
      <c r="NSL143" s="22"/>
      <c r="NSM143" s="22"/>
      <c r="NSN143" s="22"/>
      <c r="NSO143" s="22"/>
      <c r="NSP143" s="22"/>
      <c r="NSQ143" s="22"/>
      <c r="NSR143" s="22"/>
      <c r="NSS143" s="22"/>
      <c r="NST143" s="22"/>
      <c r="NSU143" s="22"/>
      <c r="NSV143" s="22"/>
      <c r="NSW143" s="22"/>
      <c r="NSX143" s="22"/>
      <c r="NSY143" s="22"/>
      <c r="NSZ143" s="22"/>
      <c r="NTA143" s="22"/>
      <c r="NTB143" s="22"/>
      <c r="NTC143" s="22"/>
      <c r="NTD143" s="22"/>
      <c r="NTE143" s="22"/>
      <c r="NTF143" s="22"/>
      <c r="NTG143" s="22"/>
      <c r="NTH143" s="22"/>
      <c r="NTI143" s="22"/>
      <c r="NTJ143" s="22"/>
      <c r="NTK143" s="22"/>
      <c r="NTL143" s="22"/>
      <c r="NTM143" s="22"/>
      <c r="NTN143" s="22"/>
      <c r="NTO143" s="22"/>
      <c r="NTP143" s="22"/>
      <c r="NTQ143" s="22"/>
      <c r="NTR143" s="22"/>
      <c r="NTS143" s="22"/>
      <c r="NTT143" s="22"/>
      <c r="NTU143" s="22"/>
      <c r="NTV143" s="22"/>
      <c r="NTW143" s="22"/>
      <c r="NTX143" s="22"/>
      <c r="NTY143" s="22"/>
      <c r="NTZ143" s="22"/>
      <c r="NUA143" s="22"/>
      <c r="NUB143" s="22"/>
      <c r="NUC143" s="22"/>
      <c r="NUD143" s="22"/>
      <c r="NUE143" s="22"/>
      <c r="NUF143" s="22"/>
      <c r="NUG143" s="22"/>
      <c r="NUH143" s="22"/>
      <c r="NUI143" s="22"/>
      <c r="NUJ143" s="22"/>
      <c r="NUK143" s="22"/>
      <c r="NUL143" s="22"/>
      <c r="NUM143" s="22"/>
      <c r="NUN143" s="22"/>
      <c r="NUO143" s="22"/>
      <c r="NUP143" s="22"/>
      <c r="NUQ143" s="22"/>
      <c r="NUR143" s="22"/>
      <c r="NUS143" s="22"/>
      <c r="NUT143" s="22"/>
      <c r="NUU143" s="22"/>
      <c r="NUV143" s="22"/>
      <c r="NUW143" s="22"/>
      <c r="NUX143" s="22"/>
      <c r="NUY143" s="22"/>
      <c r="NUZ143" s="22"/>
      <c r="NVA143" s="22"/>
      <c r="NVB143" s="22"/>
      <c r="NVC143" s="22"/>
      <c r="NVD143" s="22"/>
      <c r="NVE143" s="22"/>
      <c r="NVF143" s="22"/>
      <c r="NVG143" s="22"/>
      <c r="NVH143" s="22"/>
      <c r="NVI143" s="22"/>
      <c r="NVJ143" s="22"/>
      <c r="NVK143" s="22"/>
      <c r="NVL143" s="22"/>
      <c r="NVM143" s="22"/>
      <c r="NVN143" s="22"/>
      <c r="NVO143" s="22"/>
      <c r="NVP143" s="22"/>
      <c r="NVQ143" s="22"/>
      <c r="NVR143" s="22"/>
      <c r="NVS143" s="22"/>
      <c r="NVT143" s="22"/>
      <c r="NVU143" s="22"/>
      <c r="NVV143" s="22"/>
      <c r="NVW143" s="22"/>
      <c r="NVX143" s="22"/>
      <c r="NVY143" s="22"/>
      <c r="NVZ143" s="22"/>
      <c r="NWA143" s="22"/>
      <c r="NWB143" s="22"/>
      <c r="NWC143" s="22"/>
      <c r="NWD143" s="22"/>
      <c r="NWE143" s="22"/>
      <c r="NWF143" s="22"/>
      <c r="NWG143" s="22"/>
      <c r="NWH143" s="22"/>
      <c r="NWI143" s="22"/>
      <c r="NWJ143" s="22"/>
      <c r="NWK143" s="22"/>
      <c r="NWL143" s="22"/>
      <c r="NWM143" s="22"/>
      <c r="NWN143" s="22"/>
      <c r="NWO143" s="22"/>
      <c r="NWP143" s="22"/>
      <c r="NWQ143" s="22"/>
      <c r="NWR143" s="22"/>
      <c r="NWS143" s="22"/>
      <c r="NWT143" s="22"/>
      <c r="NWU143" s="22"/>
      <c r="NWV143" s="22"/>
      <c r="NWW143" s="22"/>
      <c r="NWX143" s="22"/>
      <c r="NWY143" s="22"/>
      <c r="NWZ143" s="22"/>
      <c r="NXA143" s="22"/>
      <c r="NXB143" s="22"/>
      <c r="NXC143" s="22"/>
      <c r="NXD143" s="22"/>
      <c r="NXE143" s="22"/>
      <c r="NXF143" s="22"/>
      <c r="NXG143" s="22"/>
      <c r="NXH143" s="22"/>
      <c r="NXI143" s="22"/>
      <c r="NXJ143" s="22"/>
      <c r="NXK143" s="22"/>
      <c r="NXL143" s="22"/>
      <c r="NXM143" s="22"/>
      <c r="NXN143" s="22"/>
      <c r="NXO143" s="22"/>
      <c r="NXP143" s="22"/>
      <c r="NXQ143" s="22"/>
      <c r="NXR143" s="22"/>
      <c r="NXS143" s="22"/>
      <c r="NXT143" s="22"/>
      <c r="NXU143" s="22"/>
      <c r="NXV143" s="22"/>
      <c r="NXW143" s="22"/>
      <c r="NXX143" s="22"/>
      <c r="NXY143" s="22"/>
      <c r="NXZ143" s="22"/>
      <c r="NYA143" s="22"/>
      <c r="NYB143" s="22"/>
      <c r="NYC143" s="22"/>
      <c r="NYD143" s="22"/>
      <c r="NYE143" s="22"/>
      <c r="NYF143" s="22"/>
      <c r="NYG143" s="22"/>
      <c r="NYH143" s="22"/>
      <c r="NYI143" s="22"/>
      <c r="NYJ143" s="22"/>
      <c r="NYK143" s="22"/>
      <c r="NYL143" s="22"/>
      <c r="NYM143" s="22"/>
      <c r="NYN143" s="22"/>
      <c r="NYO143" s="22"/>
      <c r="NYP143" s="22"/>
      <c r="NYQ143" s="22"/>
      <c r="NYR143" s="22"/>
      <c r="NYS143" s="22"/>
      <c r="NYT143" s="22"/>
      <c r="NYU143" s="22"/>
      <c r="NYV143" s="22"/>
      <c r="NYW143" s="22"/>
      <c r="NYX143" s="22"/>
      <c r="NYY143" s="22"/>
      <c r="NYZ143" s="22"/>
      <c r="NZA143" s="22"/>
      <c r="NZB143" s="22"/>
      <c r="NZC143" s="22"/>
      <c r="NZD143" s="22"/>
      <c r="NZE143" s="22"/>
      <c r="NZF143" s="22"/>
      <c r="NZG143" s="22"/>
      <c r="NZH143" s="22"/>
      <c r="NZI143" s="22"/>
      <c r="NZJ143" s="22"/>
      <c r="NZK143" s="22"/>
      <c r="NZL143" s="22"/>
      <c r="NZM143" s="22"/>
      <c r="NZN143" s="22"/>
      <c r="NZO143" s="22"/>
      <c r="NZP143" s="22"/>
      <c r="NZQ143" s="22"/>
      <c r="NZR143" s="22"/>
      <c r="NZS143" s="22"/>
      <c r="NZT143" s="22"/>
      <c r="NZU143" s="22"/>
      <c r="NZV143" s="22"/>
      <c r="NZW143" s="22"/>
      <c r="NZX143" s="22"/>
      <c r="NZY143" s="22"/>
      <c r="NZZ143" s="22"/>
      <c r="OAA143" s="22"/>
      <c r="OAB143" s="22"/>
      <c r="OAC143" s="22"/>
      <c r="OAD143" s="22"/>
      <c r="OAE143" s="22"/>
      <c r="OAF143" s="22"/>
      <c r="OAG143" s="22"/>
      <c r="OAH143" s="22"/>
      <c r="OAI143" s="22"/>
      <c r="OAJ143" s="22"/>
      <c r="OAK143" s="22"/>
      <c r="OAL143" s="22"/>
      <c r="OAM143" s="22"/>
      <c r="OAN143" s="22"/>
      <c r="OAO143" s="22"/>
      <c r="OAP143" s="22"/>
      <c r="OAQ143" s="22"/>
      <c r="OAR143" s="22"/>
      <c r="OAS143" s="22"/>
      <c r="OAT143" s="22"/>
      <c r="OAU143" s="22"/>
      <c r="OAV143" s="22"/>
      <c r="OAW143" s="22"/>
      <c r="OAX143" s="22"/>
      <c r="OAY143" s="22"/>
      <c r="OAZ143" s="22"/>
      <c r="OBA143" s="22"/>
      <c r="OBB143" s="22"/>
      <c r="OBC143" s="22"/>
      <c r="OBD143" s="22"/>
      <c r="OBE143" s="22"/>
      <c r="OBF143" s="22"/>
      <c r="OBG143" s="22"/>
      <c r="OBH143" s="22"/>
      <c r="OBI143" s="22"/>
      <c r="OBJ143" s="22"/>
      <c r="OBK143" s="22"/>
      <c r="OBL143" s="22"/>
      <c r="OBM143" s="22"/>
      <c r="OBN143" s="22"/>
      <c r="OBO143" s="22"/>
      <c r="OBP143" s="22"/>
      <c r="OBQ143" s="22"/>
      <c r="OBR143" s="22"/>
      <c r="OBS143" s="22"/>
      <c r="OBT143" s="22"/>
      <c r="OBU143" s="22"/>
      <c r="OBV143" s="22"/>
      <c r="OBW143" s="22"/>
      <c r="OBX143" s="22"/>
      <c r="OBY143" s="22"/>
      <c r="OBZ143" s="22"/>
      <c r="OCA143" s="22"/>
      <c r="OCB143" s="22"/>
      <c r="OCC143" s="22"/>
      <c r="OCD143" s="22"/>
      <c r="OCE143" s="22"/>
      <c r="OCF143" s="22"/>
      <c r="OCG143" s="22"/>
      <c r="OCH143" s="22"/>
      <c r="OCI143" s="22"/>
      <c r="OCJ143" s="22"/>
      <c r="OCK143" s="22"/>
      <c r="OCL143" s="22"/>
      <c r="OCM143" s="22"/>
      <c r="OCN143" s="22"/>
      <c r="OCO143" s="22"/>
      <c r="OCP143" s="22"/>
      <c r="OCQ143" s="22"/>
      <c r="OCR143" s="22"/>
      <c r="OCS143" s="22"/>
      <c r="OCT143" s="22"/>
      <c r="OCU143" s="22"/>
      <c r="OCV143" s="22"/>
      <c r="OCW143" s="22"/>
      <c r="OCX143" s="22"/>
      <c r="OCY143" s="22"/>
      <c r="OCZ143" s="22"/>
      <c r="ODA143" s="22"/>
      <c r="ODB143" s="22"/>
      <c r="ODC143" s="22"/>
      <c r="ODD143" s="22"/>
      <c r="ODE143" s="22"/>
      <c r="ODF143" s="22"/>
      <c r="ODG143" s="22"/>
      <c r="ODH143" s="22"/>
      <c r="ODI143" s="22"/>
      <c r="ODJ143" s="22"/>
      <c r="ODK143" s="22"/>
      <c r="ODL143" s="22"/>
      <c r="ODM143" s="22"/>
      <c r="ODN143" s="22"/>
      <c r="ODO143" s="22"/>
      <c r="ODP143" s="22"/>
      <c r="ODQ143" s="22"/>
      <c r="ODR143" s="22"/>
      <c r="ODS143" s="22"/>
      <c r="ODT143" s="22"/>
      <c r="ODU143" s="22"/>
      <c r="ODV143" s="22"/>
      <c r="ODW143" s="22"/>
      <c r="ODX143" s="22"/>
      <c r="ODY143" s="22"/>
      <c r="ODZ143" s="22"/>
      <c r="OEA143" s="22"/>
      <c r="OEB143" s="22"/>
      <c r="OEC143" s="22"/>
      <c r="OED143" s="22"/>
      <c r="OEE143" s="22"/>
      <c r="OEF143" s="22"/>
      <c r="OEG143" s="22"/>
      <c r="OEH143" s="22"/>
      <c r="OEI143" s="22"/>
      <c r="OEJ143" s="22"/>
      <c r="OEK143" s="22"/>
      <c r="OEL143" s="22"/>
      <c r="OEM143" s="22"/>
      <c r="OEN143" s="22"/>
      <c r="OEO143" s="22"/>
      <c r="OEP143" s="22"/>
      <c r="OEQ143" s="22"/>
      <c r="OER143" s="22"/>
      <c r="OES143" s="22"/>
      <c r="OET143" s="22"/>
      <c r="OEU143" s="22"/>
      <c r="OEV143" s="22"/>
      <c r="OEW143" s="22"/>
      <c r="OEX143" s="22"/>
      <c r="OEY143" s="22"/>
      <c r="OEZ143" s="22"/>
      <c r="OFA143" s="22"/>
      <c r="OFB143" s="22"/>
      <c r="OFC143" s="22"/>
      <c r="OFD143" s="22"/>
      <c r="OFE143" s="22"/>
      <c r="OFF143" s="22"/>
      <c r="OFG143" s="22"/>
      <c r="OFH143" s="22"/>
      <c r="OFI143" s="22"/>
      <c r="OFJ143" s="22"/>
      <c r="OFK143" s="22"/>
      <c r="OFL143" s="22"/>
      <c r="OFM143" s="22"/>
      <c r="OFN143" s="22"/>
      <c r="OFO143" s="22"/>
      <c r="OFP143" s="22"/>
      <c r="OFQ143" s="22"/>
      <c r="OFR143" s="22"/>
      <c r="OFS143" s="22"/>
      <c r="OFT143" s="22"/>
      <c r="OFU143" s="22"/>
      <c r="OFV143" s="22"/>
      <c r="OFW143" s="22"/>
      <c r="OFX143" s="22"/>
      <c r="OFY143" s="22"/>
      <c r="OFZ143" s="22"/>
      <c r="OGA143" s="22"/>
      <c r="OGB143" s="22"/>
      <c r="OGC143" s="22"/>
      <c r="OGD143" s="22"/>
      <c r="OGE143" s="22"/>
      <c r="OGF143" s="22"/>
      <c r="OGG143" s="22"/>
      <c r="OGH143" s="22"/>
      <c r="OGI143" s="22"/>
      <c r="OGJ143" s="22"/>
      <c r="OGK143" s="22"/>
      <c r="OGL143" s="22"/>
      <c r="OGM143" s="22"/>
      <c r="OGN143" s="22"/>
      <c r="OGO143" s="22"/>
      <c r="OGP143" s="22"/>
      <c r="OGQ143" s="22"/>
      <c r="OGR143" s="22"/>
      <c r="OGS143" s="22"/>
      <c r="OGT143" s="22"/>
      <c r="OGU143" s="22"/>
      <c r="OGV143" s="22"/>
      <c r="OGW143" s="22"/>
      <c r="OGX143" s="22"/>
      <c r="OGY143" s="22"/>
      <c r="OGZ143" s="22"/>
      <c r="OHA143" s="22"/>
      <c r="OHB143" s="22"/>
      <c r="OHC143" s="22"/>
      <c r="OHD143" s="22"/>
      <c r="OHE143" s="22"/>
      <c r="OHF143" s="22"/>
      <c r="OHG143" s="22"/>
      <c r="OHH143" s="22"/>
      <c r="OHI143" s="22"/>
      <c r="OHJ143" s="22"/>
      <c r="OHK143" s="22"/>
      <c r="OHL143" s="22"/>
      <c r="OHM143" s="22"/>
      <c r="OHN143" s="22"/>
      <c r="OHO143" s="22"/>
      <c r="OHP143" s="22"/>
      <c r="OHQ143" s="22"/>
      <c r="OHR143" s="22"/>
      <c r="OHS143" s="22"/>
      <c r="OHT143" s="22"/>
      <c r="OHU143" s="22"/>
      <c r="OHV143" s="22"/>
      <c r="OHW143" s="22"/>
      <c r="OHX143" s="22"/>
      <c r="OHY143" s="22"/>
      <c r="OHZ143" s="22"/>
      <c r="OIA143" s="22"/>
      <c r="OIB143" s="22"/>
      <c r="OIC143" s="22"/>
      <c r="OID143" s="22"/>
      <c r="OIE143" s="22"/>
      <c r="OIF143" s="22"/>
      <c r="OIG143" s="22"/>
      <c r="OIH143" s="22"/>
      <c r="OII143" s="22"/>
      <c r="OIJ143" s="22"/>
      <c r="OIK143" s="22"/>
      <c r="OIL143" s="22"/>
      <c r="OIM143" s="22"/>
      <c r="OIN143" s="22"/>
      <c r="OIO143" s="22"/>
      <c r="OIP143" s="22"/>
      <c r="OIQ143" s="22"/>
      <c r="OIR143" s="22"/>
      <c r="OIS143" s="22"/>
      <c r="OIT143" s="22"/>
      <c r="OIU143" s="22"/>
      <c r="OIV143" s="22"/>
      <c r="OIW143" s="22"/>
      <c r="OIX143" s="22"/>
      <c r="OIY143" s="22"/>
      <c r="OIZ143" s="22"/>
      <c r="OJA143" s="22"/>
      <c r="OJB143" s="22"/>
      <c r="OJC143" s="22"/>
      <c r="OJD143" s="22"/>
      <c r="OJE143" s="22"/>
      <c r="OJF143" s="22"/>
      <c r="OJG143" s="22"/>
      <c r="OJH143" s="22"/>
      <c r="OJI143" s="22"/>
      <c r="OJJ143" s="22"/>
      <c r="OJK143" s="22"/>
      <c r="OJL143" s="22"/>
      <c r="OJM143" s="22"/>
      <c r="OJN143" s="22"/>
      <c r="OJO143" s="22"/>
      <c r="OJP143" s="22"/>
      <c r="OJQ143" s="22"/>
      <c r="OJR143" s="22"/>
      <c r="OJS143" s="22"/>
      <c r="OJT143" s="22"/>
      <c r="OJU143" s="22"/>
      <c r="OJV143" s="22"/>
      <c r="OJW143" s="22"/>
      <c r="OJX143" s="22"/>
      <c r="OJY143" s="22"/>
      <c r="OJZ143" s="22"/>
      <c r="OKA143" s="22"/>
      <c r="OKB143" s="22"/>
      <c r="OKC143" s="22"/>
      <c r="OKD143" s="22"/>
      <c r="OKE143" s="22"/>
      <c r="OKF143" s="22"/>
      <c r="OKG143" s="22"/>
      <c r="OKH143" s="22"/>
      <c r="OKI143" s="22"/>
      <c r="OKJ143" s="22"/>
      <c r="OKK143" s="22"/>
      <c r="OKL143" s="22"/>
      <c r="OKM143" s="22"/>
      <c r="OKN143" s="22"/>
      <c r="OKO143" s="22"/>
      <c r="OKP143" s="22"/>
      <c r="OKQ143" s="22"/>
      <c r="OKR143" s="22"/>
      <c r="OKS143" s="22"/>
      <c r="OKT143" s="22"/>
      <c r="OKU143" s="22"/>
      <c r="OKV143" s="22"/>
      <c r="OKW143" s="22"/>
      <c r="OKX143" s="22"/>
      <c r="OKY143" s="22"/>
      <c r="OKZ143" s="22"/>
      <c r="OLA143" s="22"/>
      <c r="OLB143" s="22"/>
      <c r="OLC143" s="22"/>
      <c r="OLD143" s="22"/>
      <c r="OLE143" s="22"/>
      <c r="OLF143" s="22"/>
      <c r="OLG143" s="22"/>
      <c r="OLH143" s="22"/>
      <c r="OLI143" s="22"/>
      <c r="OLJ143" s="22"/>
      <c r="OLK143" s="22"/>
      <c r="OLL143" s="22"/>
      <c r="OLM143" s="22"/>
      <c r="OLN143" s="22"/>
      <c r="OLO143" s="22"/>
      <c r="OLP143" s="22"/>
      <c r="OLQ143" s="22"/>
      <c r="OLR143" s="22"/>
      <c r="OLS143" s="22"/>
      <c r="OLT143" s="22"/>
      <c r="OLU143" s="22"/>
      <c r="OLV143" s="22"/>
      <c r="OLW143" s="22"/>
      <c r="OLX143" s="22"/>
      <c r="OLY143" s="22"/>
      <c r="OLZ143" s="22"/>
      <c r="OMA143" s="22"/>
      <c r="OMB143" s="22"/>
      <c r="OMC143" s="22"/>
      <c r="OMD143" s="22"/>
      <c r="OME143" s="22"/>
      <c r="OMF143" s="22"/>
      <c r="OMG143" s="22"/>
      <c r="OMH143" s="22"/>
      <c r="OMI143" s="22"/>
      <c r="OMJ143" s="22"/>
      <c r="OMK143" s="22"/>
      <c r="OML143" s="22"/>
      <c r="OMM143" s="22"/>
      <c r="OMN143" s="22"/>
      <c r="OMO143" s="22"/>
      <c r="OMP143" s="22"/>
      <c r="OMQ143" s="22"/>
      <c r="OMR143" s="22"/>
      <c r="OMS143" s="22"/>
      <c r="OMT143" s="22"/>
      <c r="OMU143" s="22"/>
      <c r="OMV143" s="22"/>
      <c r="OMW143" s="22"/>
      <c r="OMX143" s="22"/>
      <c r="OMY143" s="22"/>
      <c r="OMZ143" s="22"/>
      <c r="ONA143" s="22"/>
      <c r="ONB143" s="22"/>
      <c r="ONC143" s="22"/>
      <c r="OND143" s="22"/>
      <c r="ONE143" s="22"/>
      <c r="ONF143" s="22"/>
      <c r="ONG143" s="22"/>
      <c r="ONH143" s="22"/>
      <c r="ONI143" s="22"/>
      <c r="ONJ143" s="22"/>
      <c r="ONK143" s="22"/>
      <c r="ONL143" s="22"/>
      <c r="ONM143" s="22"/>
      <c r="ONN143" s="22"/>
      <c r="ONO143" s="22"/>
      <c r="ONP143" s="22"/>
      <c r="ONQ143" s="22"/>
      <c r="ONR143" s="22"/>
      <c r="ONS143" s="22"/>
      <c r="ONT143" s="22"/>
      <c r="ONU143" s="22"/>
      <c r="ONV143" s="22"/>
      <c r="ONW143" s="22"/>
      <c r="ONX143" s="22"/>
      <c r="ONY143" s="22"/>
      <c r="ONZ143" s="22"/>
      <c r="OOA143" s="22"/>
      <c r="OOB143" s="22"/>
      <c r="OOC143" s="22"/>
      <c r="OOD143" s="22"/>
      <c r="OOE143" s="22"/>
      <c r="OOF143" s="22"/>
      <c r="OOG143" s="22"/>
      <c r="OOH143" s="22"/>
      <c r="OOI143" s="22"/>
      <c r="OOJ143" s="22"/>
      <c r="OOK143" s="22"/>
      <c r="OOL143" s="22"/>
      <c r="OOM143" s="22"/>
      <c r="OON143" s="22"/>
      <c r="OOO143" s="22"/>
      <c r="OOP143" s="22"/>
      <c r="OOQ143" s="22"/>
      <c r="OOR143" s="22"/>
      <c r="OOS143" s="22"/>
      <c r="OOT143" s="22"/>
      <c r="OOU143" s="22"/>
      <c r="OOV143" s="22"/>
      <c r="OOW143" s="22"/>
      <c r="OOX143" s="22"/>
      <c r="OOY143" s="22"/>
      <c r="OOZ143" s="22"/>
      <c r="OPA143" s="22"/>
      <c r="OPB143" s="22"/>
      <c r="OPC143" s="22"/>
      <c r="OPD143" s="22"/>
      <c r="OPE143" s="22"/>
      <c r="OPF143" s="22"/>
      <c r="OPG143" s="22"/>
      <c r="OPH143" s="22"/>
      <c r="OPI143" s="22"/>
      <c r="OPJ143" s="22"/>
      <c r="OPK143" s="22"/>
      <c r="OPL143" s="22"/>
      <c r="OPM143" s="22"/>
      <c r="OPN143" s="22"/>
      <c r="OPO143" s="22"/>
      <c r="OPP143" s="22"/>
      <c r="OPQ143" s="22"/>
      <c r="OPR143" s="22"/>
      <c r="OPS143" s="22"/>
      <c r="OPT143" s="22"/>
      <c r="OPU143" s="22"/>
      <c r="OPV143" s="22"/>
      <c r="OPW143" s="22"/>
      <c r="OPX143" s="22"/>
      <c r="OPY143" s="22"/>
      <c r="OPZ143" s="22"/>
      <c r="OQA143" s="22"/>
      <c r="OQB143" s="22"/>
      <c r="OQC143" s="22"/>
      <c r="OQD143" s="22"/>
      <c r="OQE143" s="22"/>
      <c r="OQF143" s="22"/>
      <c r="OQG143" s="22"/>
      <c r="OQH143" s="22"/>
      <c r="OQI143" s="22"/>
      <c r="OQJ143" s="22"/>
      <c r="OQK143" s="22"/>
      <c r="OQL143" s="22"/>
      <c r="OQM143" s="22"/>
      <c r="OQN143" s="22"/>
      <c r="OQO143" s="22"/>
      <c r="OQP143" s="22"/>
      <c r="OQQ143" s="22"/>
      <c r="OQR143" s="22"/>
      <c r="OQS143" s="22"/>
      <c r="OQT143" s="22"/>
      <c r="OQU143" s="22"/>
      <c r="OQV143" s="22"/>
      <c r="OQW143" s="22"/>
      <c r="OQX143" s="22"/>
      <c r="OQY143" s="22"/>
      <c r="OQZ143" s="22"/>
      <c r="ORA143" s="22"/>
      <c r="ORB143" s="22"/>
      <c r="ORC143" s="22"/>
      <c r="ORD143" s="22"/>
      <c r="ORE143" s="22"/>
      <c r="ORF143" s="22"/>
      <c r="ORG143" s="22"/>
      <c r="ORH143" s="22"/>
      <c r="ORI143" s="22"/>
      <c r="ORJ143" s="22"/>
      <c r="ORK143" s="22"/>
      <c r="ORL143" s="22"/>
      <c r="ORM143" s="22"/>
      <c r="ORN143" s="22"/>
      <c r="ORO143" s="22"/>
      <c r="ORP143" s="22"/>
      <c r="ORQ143" s="22"/>
      <c r="ORR143" s="22"/>
      <c r="ORS143" s="22"/>
      <c r="ORT143" s="22"/>
      <c r="ORU143" s="22"/>
      <c r="ORV143" s="22"/>
      <c r="ORW143" s="22"/>
      <c r="ORX143" s="22"/>
      <c r="ORY143" s="22"/>
      <c r="ORZ143" s="22"/>
      <c r="OSA143" s="22"/>
      <c r="OSB143" s="22"/>
      <c r="OSC143" s="22"/>
      <c r="OSD143" s="22"/>
      <c r="OSE143" s="22"/>
      <c r="OSF143" s="22"/>
      <c r="OSG143" s="22"/>
      <c r="OSH143" s="22"/>
      <c r="OSI143" s="22"/>
      <c r="OSJ143" s="22"/>
      <c r="OSK143" s="22"/>
      <c r="OSL143" s="22"/>
      <c r="OSM143" s="22"/>
      <c r="OSN143" s="22"/>
      <c r="OSO143" s="22"/>
      <c r="OSP143" s="22"/>
      <c r="OSQ143" s="22"/>
      <c r="OSR143" s="22"/>
      <c r="OSS143" s="22"/>
      <c r="OST143" s="22"/>
      <c r="OSU143" s="22"/>
      <c r="OSV143" s="22"/>
      <c r="OSW143" s="22"/>
      <c r="OSX143" s="22"/>
      <c r="OSY143" s="22"/>
      <c r="OSZ143" s="22"/>
      <c r="OTA143" s="22"/>
      <c r="OTB143" s="22"/>
      <c r="OTC143" s="22"/>
      <c r="OTD143" s="22"/>
      <c r="OTE143" s="22"/>
      <c r="OTF143" s="22"/>
      <c r="OTG143" s="22"/>
      <c r="OTH143" s="22"/>
      <c r="OTI143" s="22"/>
      <c r="OTJ143" s="22"/>
      <c r="OTK143" s="22"/>
      <c r="OTL143" s="22"/>
      <c r="OTM143" s="22"/>
      <c r="OTN143" s="22"/>
      <c r="OTO143" s="22"/>
      <c r="OTP143" s="22"/>
      <c r="OTQ143" s="22"/>
      <c r="OTR143" s="22"/>
      <c r="OTS143" s="22"/>
      <c r="OTT143" s="22"/>
      <c r="OTU143" s="22"/>
      <c r="OTV143" s="22"/>
      <c r="OTW143" s="22"/>
      <c r="OTX143" s="22"/>
      <c r="OTY143" s="22"/>
      <c r="OTZ143" s="22"/>
      <c r="OUA143" s="22"/>
      <c r="OUB143" s="22"/>
      <c r="OUC143" s="22"/>
      <c r="OUD143" s="22"/>
      <c r="OUE143" s="22"/>
      <c r="OUF143" s="22"/>
      <c r="OUG143" s="22"/>
      <c r="OUH143" s="22"/>
      <c r="OUI143" s="22"/>
      <c r="OUJ143" s="22"/>
      <c r="OUK143" s="22"/>
      <c r="OUL143" s="22"/>
      <c r="OUM143" s="22"/>
      <c r="OUN143" s="22"/>
      <c r="OUO143" s="22"/>
      <c r="OUP143" s="22"/>
      <c r="OUQ143" s="22"/>
      <c r="OUR143" s="22"/>
      <c r="OUS143" s="22"/>
      <c r="OUT143" s="22"/>
      <c r="OUU143" s="22"/>
      <c r="OUV143" s="22"/>
      <c r="OUW143" s="22"/>
      <c r="OUX143" s="22"/>
      <c r="OUY143" s="22"/>
      <c r="OUZ143" s="22"/>
      <c r="OVA143" s="22"/>
      <c r="OVB143" s="22"/>
      <c r="OVC143" s="22"/>
      <c r="OVD143" s="22"/>
      <c r="OVE143" s="22"/>
      <c r="OVF143" s="22"/>
      <c r="OVG143" s="22"/>
      <c r="OVH143" s="22"/>
      <c r="OVI143" s="22"/>
      <c r="OVJ143" s="22"/>
      <c r="OVK143" s="22"/>
      <c r="OVL143" s="22"/>
      <c r="OVM143" s="22"/>
      <c r="OVN143" s="22"/>
      <c r="OVO143" s="22"/>
      <c r="OVP143" s="22"/>
      <c r="OVQ143" s="22"/>
      <c r="OVR143" s="22"/>
      <c r="OVS143" s="22"/>
      <c r="OVT143" s="22"/>
      <c r="OVU143" s="22"/>
      <c r="OVV143" s="22"/>
      <c r="OVW143" s="22"/>
      <c r="OVX143" s="22"/>
      <c r="OVY143" s="22"/>
      <c r="OVZ143" s="22"/>
      <c r="OWA143" s="22"/>
      <c r="OWB143" s="22"/>
      <c r="OWC143" s="22"/>
      <c r="OWD143" s="22"/>
      <c r="OWE143" s="22"/>
      <c r="OWF143" s="22"/>
      <c r="OWG143" s="22"/>
      <c r="OWH143" s="22"/>
      <c r="OWI143" s="22"/>
      <c r="OWJ143" s="22"/>
      <c r="OWK143" s="22"/>
      <c r="OWL143" s="22"/>
      <c r="OWM143" s="22"/>
      <c r="OWN143" s="22"/>
      <c r="OWO143" s="22"/>
      <c r="OWP143" s="22"/>
      <c r="OWQ143" s="22"/>
      <c r="OWR143" s="22"/>
      <c r="OWS143" s="22"/>
      <c r="OWT143" s="22"/>
      <c r="OWU143" s="22"/>
      <c r="OWV143" s="22"/>
      <c r="OWW143" s="22"/>
      <c r="OWX143" s="22"/>
      <c r="OWY143" s="22"/>
      <c r="OWZ143" s="22"/>
      <c r="OXA143" s="22"/>
      <c r="OXB143" s="22"/>
      <c r="OXC143" s="22"/>
      <c r="OXD143" s="22"/>
      <c r="OXE143" s="22"/>
      <c r="OXF143" s="22"/>
      <c r="OXG143" s="22"/>
      <c r="OXH143" s="22"/>
      <c r="OXI143" s="22"/>
      <c r="OXJ143" s="22"/>
      <c r="OXK143" s="22"/>
      <c r="OXL143" s="22"/>
      <c r="OXM143" s="22"/>
      <c r="OXN143" s="22"/>
      <c r="OXO143" s="22"/>
      <c r="OXP143" s="22"/>
      <c r="OXQ143" s="22"/>
      <c r="OXR143" s="22"/>
      <c r="OXS143" s="22"/>
      <c r="OXT143" s="22"/>
      <c r="OXU143" s="22"/>
      <c r="OXV143" s="22"/>
      <c r="OXW143" s="22"/>
      <c r="OXX143" s="22"/>
      <c r="OXY143" s="22"/>
      <c r="OXZ143" s="22"/>
      <c r="OYA143" s="22"/>
      <c r="OYB143" s="22"/>
      <c r="OYC143" s="22"/>
      <c r="OYD143" s="22"/>
      <c r="OYE143" s="22"/>
      <c r="OYF143" s="22"/>
      <c r="OYG143" s="22"/>
      <c r="OYH143" s="22"/>
      <c r="OYI143" s="22"/>
      <c r="OYJ143" s="22"/>
      <c r="OYK143" s="22"/>
      <c r="OYL143" s="22"/>
      <c r="OYM143" s="22"/>
      <c r="OYN143" s="22"/>
      <c r="OYO143" s="22"/>
      <c r="OYP143" s="22"/>
      <c r="OYQ143" s="22"/>
      <c r="OYR143" s="22"/>
      <c r="OYS143" s="22"/>
      <c r="OYT143" s="22"/>
      <c r="OYU143" s="22"/>
      <c r="OYV143" s="22"/>
      <c r="OYW143" s="22"/>
      <c r="OYX143" s="22"/>
      <c r="OYY143" s="22"/>
      <c r="OYZ143" s="22"/>
      <c r="OZA143" s="22"/>
      <c r="OZB143" s="22"/>
      <c r="OZC143" s="22"/>
      <c r="OZD143" s="22"/>
      <c r="OZE143" s="22"/>
      <c r="OZF143" s="22"/>
      <c r="OZG143" s="22"/>
      <c r="OZH143" s="22"/>
      <c r="OZI143" s="22"/>
      <c r="OZJ143" s="22"/>
      <c r="OZK143" s="22"/>
      <c r="OZL143" s="22"/>
      <c r="OZM143" s="22"/>
      <c r="OZN143" s="22"/>
      <c r="OZO143" s="22"/>
      <c r="OZP143" s="22"/>
      <c r="OZQ143" s="22"/>
      <c r="OZR143" s="22"/>
      <c r="OZS143" s="22"/>
      <c r="OZT143" s="22"/>
      <c r="OZU143" s="22"/>
      <c r="OZV143" s="22"/>
      <c r="OZW143" s="22"/>
      <c r="OZX143" s="22"/>
      <c r="OZY143" s="22"/>
      <c r="OZZ143" s="22"/>
      <c r="PAA143" s="22"/>
      <c r="PAB143" s="22"/>
      <c r="PAC143" s="22"/>
      <c r="PAD143" s="22"/>
      <c r="PAE143" s="22"/>
      <c r="PAF143" s="22"/>
      <c r="PAG143" s="22"/>
      <c r="PAH143" s="22"/>
      <c r="PAI143" s="22"/>
      <c r="PAJ143" s="22"/>
      <c r="PAK143" s="22"/>
      <c r="PAL143" s="22"/>
      <c r="PAM143" s="22"/>
      <c r="PAN143" s="22"/>
      <c r="PAO143" s="22"/>
      <c r="PAP143" s="22"/>
      <c r="PAQ143" s="22"/>
      <c r="PAR143" s="22"/>
      <c r="PAS143" s="22"/>
      <c r="PAT143" s="22"/>
      <c r="PAU143" s="22"/>
      <c r="PAV143" s="22"/>
      <c r="PAW143" s="22"/>
      <c r="PAX143" s="22"/>
      <c r="PAY143" s="22"/>
      <c r="PAZ143" s="22"/>
      <c r="PBA143" s="22"/>
      <c r="PBB143" s="22"/>
      <c r="PBC143" s="22"/>
      <c r="PBD143" s="22"/>
      <c r="PBE143" s="22"/>
      <c r="PBF143" s="22"/>
      <c r="PBG143" s="22"/>
      <c r="PBH143" s="22"/>
      <c r="PBI143" s="22"/>
      <c r="PBJ143" s="22"/>
      <c r="PBK143" s="22"/>
      <c r="PBL143" s="22"/>
      <c r="PBM143" s="22"/>
      <c r="PBN143" s="22"/>
      <c r="PBO143" s="22"/>
      <c r="PBP143" s="22"/>
      <c r="PBQ143" s="22"/>
      <c r="PBR143" s="22"/>
      <c r="PBS143" s="22"/>
      <c r="PBT143" s="22"/>
      <c r="PBU143" s="22"/>
      <c r="PBV143" s="22"/>
      <c r="PBW143" s="22"/>
      <c r="PBX143" s="22"/>
      <c r="PBY143" s="22"/>
      <c r="PBZ143" s="22"/>
      <c r="PCA143" s="22"/>
      <c r="PCB143" s="22"/>
      <c r="PCC143" s="22"/>
      <c r="PCD143" s="22"/>
      <c r="PCE143" s="22"/>
      <c r="PCF143" s="22"/>
      <c r="PCG143" s="22"/>
      <c r="PCH143" s="22"/>
      <c r="PCI143" s="22"/>
      <c r="PCJ143" s="22"/>
      <c r="PCK143" s="22"/>
      <c r="PCL143" s="22"/>
      <c r="PCM143" s="22"/>
      <c r="PCN143" s="22"/>
      <c r="PCO143" s="22"/>
      <c r="PCP143" s="22"/>
      <c r="PCQ143" s="22"/>
      <c r="PCR143" s="22"/>
      <c r="PCS143" s="22"/>
      <c r="PCT143" s="22"/>
      <c r="PCU143" s="22"/>
      <c r="PCV143" s="22"/>
      <c r="PCW143" s="22"/>
      <c r="PCX143" s="22"/>
      <c r="PCY143" s="22"/>
      <c r="PCZ143" s="22"/>
      <c r="PDA143" s="22"/>
      <c r="PDB143" s="22"/>
      <c r="PDC143" s="22"/>
      <c r="PDD143" s="22"/>
      <c r="PDE143" s="22"/>
      <c r="PDF143" s="22"/>
      <c r="PDG143" s="22"/>
      <c r="PDH143" s="22"/>
      <c r="PDI143" s="22"/>
      <c r="PDJ143" s="22"/>
      <c r="PDK143" s="22"/>
      <c r="PDL143" s="22"/>
      <c r="PDM143" s="22"/>
      <c r="PDN143" s="22"/>
      <c r="PDO143" s="22"/>
      <c r="PDP143" s="22"/>
      <c r="PDQ143" s="22"/>
      <c r="PDR143" s="22"/>
      <c r="PDS143" s="22"/>
      <c r="PDT143" s="22"/>
      <c r="PDU143" s="22"/>
      <c r="PDV143" s="22"/>
      <c r="PDW143" s="22"/>
      <c r="PDX143" s="22"/>
      <c r="PDY143" s="22"/>
      <c r="PDZ143" s="22"/>
      <c r="PEA143" s="22"/>
      <c r="PEB143" s="22"/>
      <c r="PEC143" s="22"/>
      <c r="PED143" s="22"/>
      <c r="PEE143" s="22"/>
      <c r="PEF143" s="22"/>
      <c r="PEG143" s="22"/>
      <c r="PEH143" s="22"/>
      <c r="PEI143" s="22"/>
      <c r="PEJ143" s="22"/>
      <c r="PEK143" s="22"/>
      <c r="PEL143" s="22"/>
      <c r="PEM143" s="22"/>
      <c r="PEN143" s="22"/>
      <c r="PEO143" s="22"/>
      <c r="PEP143" s="22"/>
      <c r="PEQ143" s="22"/>
      <c r="PER143" s="22"/>
      <c r="PES143" s="22"/>
      <c r="PET143" s="22"/>
      <c r="PEU143" s="22"/>
      <c r="PEV143" s="22"/>
      <c r="PEW143" s="22"/>
      <c r="PEX143" s="22"/>
      <c r="PEY143" s="22"/>
      <c r="PEZ143" s="22"/>
      <c r="PFA143" s="22"/>
      <c r="PFB143" s="22"/>
      <c r="PFC143" s="22"/>
      <c r="PFD143" s="22"/>
      <c r="PFE143" s="22"/>
      <c r="PFF143" s="22"/>
      <c r="PFG143" s="22"/>
      <c r="PFH143" s="22"/>
      <c r="PFI143" s="22"/>
      <c r="PFJ143" s="22"/>
      <c r="PFK143" s="22"/>
      <c r="PFL143" s="22"/>
      <c r="PFM143" s="22"/>
      <c r="PFN143" s="22"/>
      <c r="PFO143" s="22"/>
      <c r="PFP143" s="22"/>
      <c r="PFQ143" s="22"/>
      <c r="PFR143" s="22"/>
      <c r="PFS143" s="22"/>
      <c r="PFT143" s="22"/>
      <c r="PFU143" s="22"/>
      <c r="PFV143" s="22"/>
      <c r="PFW143" s="22"/>
      <c r="PFX143" s="22"/>
      <c r="PFY143" s="22"/>
      <c r="PFZ143" s="22"/>
      <c r="PGA143" s="22"/>
      <c r="PGB143" s="22"/>
      <c r="PGC143" s="22"/>
      <c r="PGD143" s="22"/>
      <c r="PGE143" s="22"/>
      <c r="PGF143" s="22"/>
      <c r="PGG143" s="22"/>
      <c r="PGH143" s="22"/>
      <c r="PGI143" s="22"/>
      <c r="PGJ143" s="22"/>
      <c r="PGK143" s="22"/>
      <c r="PGL143" s="22"/>
      <c r="PGM143" s="22"/>
      <c r="PGN143" s="22"/>
      <c r="PGO143" s="22"/>
      <c r="PGP143" s="22"/>
      <c r="PGQ143" s="22"/>
      <c r="PGR143" s="22"/>
      <c r="PGS143" s="22"/>
      <c r="PGT143" s="22"/>
      <c r="PGU143" s="22"/>
      <c r="PGV143" s="22"/>
      <c r="PGW143" s="22"/>
      <c r="PGX143" s="22"/>
      <c r="PGY143" s="22"/>
      <c r="PGZ143" s="22"/>
      <c r="PHA143" s="22"/>
      <c r="PHB143" s="22"/>
      <c r="PHC143" s="22"/>
      <c r="PHD143" s="22"/>
      <c r="PHE143" s="22"/>
      <c r="PHF143" s="22"/>
      <c r="PHG143" s="22"/>
      <c r="PHH143" s="22"/>
      <c r="PHI143" s="22"/>
      <c r="PHJ143" s="22"/>
      <c r="PHK143" s="22"/>
      <c r="PHL143" s="22"/>
      <c r="PHM143" s="22"/>
      <c r="PHN143" s="22"/>
      <c r="PHO143" s="22"/>
      <c r="PHP143" s="22"/>
      <c r="PHQ143" s="22"/>
      <c r="PHR143" s="22"/>
      <c r="PHS143" s="22"/>
      <c r="PHT143" s="22"/>
      <c r="PHU143" s="22"/>
      <c r="PHV143" s="22"/>
      <c r="PHW143" s="22"/>
      <c r="PHX143" s="22"/>
      <c r="PHY143" s="22"/>
      <c r="PHZ143" s="22"/>
      <c r="PIA143" s="22"/>
      <c r="PIB143" s="22"/>
      <c r="PIC143" s="22"/>
      <c r="PID143" s="22"/>
      <c r="PIE143" s="22"/>
      <c r="PIF143" s="22"/>
      <c r="PIG143" s="22"/>
      <c r="PIH143" s="22"/>
      <c r="PII143" s="22"/>
      <c r="PIJ143" s="22"/>
      <c r="PIK143" s="22"/>
      <c r="PIL143" s="22"/>
      <c r="PIM143" s="22"/>
      <c r="PIN143" s="22"/>
      <c r="PIO143" s="22"/>
      <c r="PIP143" s="22"/>
      <c r="PIQ143" s="22"/>
      <c r="PIR143" s="22"/>
      <c r="PIS143" s="22"/>
      <c r="PIT143" s="22"/>
      <c r="PIU143" s="22"/>
      <c r="PIV143" s="22"/>
      <c r="PIW143" s="22"/>
      <c r="PIX143" s="22"/>
      <c r="PIY143" s="22"/>
      <c r="PIZ143" s="22"/>
      <c r="PJA143" s="22"/>
      <c r="PJB143" s="22"/>
      <c r="PJC143" s="22"/>
      <c r="PJD143" s="22"/>
      <c r="PJE143" s="22"/>
      <c r="PJF143" s="22"/>
      <c r="PJG143" s="22"/>
      <c r="PJH143" s="22"/>
      <c r="PJI143" s="22"/>
      <c r="PJJ143" s="22"/>
      <c r="PJK143" s="22"/>
      <c r="PJL143" s="22"/>
      <c r="PJM143" s="22"/>
      <c r="PJN143" s="22"/>
      <c r="PJO143" s="22"/>
      <c r="PJP143" s="22"/>
      <c r="PJQ143" s="22"/>
      <c r="PJR143" s="22"/>
      <c r="PJS143" s="22"/>
      <c r="PJT143" s="22"/>
      <c r="PJU143" s="22"/>
      <c r="PJV143" s="22"/>
      <c r="PJW143" s="22"/>
      <c r="PJX143" s="22"/>
      <c r="PJY143" s="22"/>
      <c r="PJZ143" s="22"/>
      <c r="PKA143" s="22"/>
      <c r="PKB143" s="22"/>
      <c r="PKC143" s="22"/>
      <c r="PKD143" s="22"/>
      <c r="PKE143" s="22"/>
      <c r="PKF143" s="22"/>
      <c r="PKG143" s="22"/>
      <c r="PKH143" s="22"/>
      <c r="PKI143" s="22"/>
      <c r="PKJ143" s="22"/>
      <c r="PKK143" s="22"/>
      <c r="PKL143" s="22"/>
      <c r="PKM143" s="22"/>
      <c r="PKN143" s="22"/>
      <c r="PKO143" s="22"/>
      <c r="PKP143" s="22"/>
      <c r="PKQ143" s="22"/>
      <c r="PKR143" s="22"/>
      <c r="PKS143" s="22"/>
      <c r="PKT143" s="22"/>
      <c r="PKU143" s="22"/>
      <c r="PKV143" s="22"/>
      <c r="PKW143" s="22"/>
      <c r="PKX143" s="22"/>
      <c r="PKY143" s="22"/>
      <c r="PKZ143" s="22"/>
      <c r="PLA143" s="22"/>
      <c r="PLB143" s="22"/>
      <c r="PLC143" s="22"/>
      <c r="PLD143" s="22"/>
      <c r="PLE143" s="22"/>
      <c r="PLF143" s="22"/>
      <c r="PLG143" s="22"/>
      <c r="PLH143" s="22"/>
      <c r="PLI143" s="22"/>
      <c r="PLJ143" s="22"/>
      <c r="PLK143" s="22"/>
      <c r="PLL143" s="22"/>
      <c r="PLM143" s="22"/>
      <c r="PLN143" s="22"/>
      <c r="PLO143" s="22"/>
      <c r="PLP143" s="22"/>
      <c r="PLQ143" s="22"/>
      <c r="PLR143" s="22"/>
      <c r="PLS143" s="22"/>
      <c r="PLT143" s="22"/>
      <c r="PLU143" s="22"/>
      <c r="PLV143" s="22"/>
      <c r="PLW143" s="22"/>
      <c r="PLX143" s="22"/>
      <c r="PLY143" s="22"/>
      <c r="PLZ143" s="22"/>
      <c r="PMA143" s="22"/>
      <c r="PMB143" s="22"/>
      <c r="PMC143" s="22"/>
      <c r="PMD143" s="22"/>
      <c r="PME143" s="22"/>
      <c r="PMF143" s="22"/>
      <c r="PMG143" s="22"/>
      <c r="PMH143" s="22"/>
      <c r="PMI143" s="22"/>
      <c r="PMJ143" s="22"/>
      <c r="PMK143" s="22"/>
      <c r="PML143" s="22"/>
      <c r="PMM143" s="22"/>
      <c r="PMN143" s="22"/>
      <c r="PMO143" s="22"/>
      <c r="PMP143" s="22"/>
      <c r="PMQ143" s="22"/>
      <c r="PMR143" s="22"/>
      <c r="PMS143" s="22"/>
      <c r="PMT143" s="22"/>
      <c r="PMU143" s="22"/>
      <c r="PMV143" s="22"/>
      <c r="PMW143" s="22"/>
      <c r="PMX143" s="22"/>
      <c r="PMY143" s="22"/>
      <c r="PMZ143" s="22"/>
      <c r="PNA143" s="22"/>
      <c r="PNB143" s="22"/>
      <c r="PNC143" s="22"/>
      <c r="PND143" s="22"/>
      <c r="PNE143" s="22"/>
      <c r="PNF143" s="22"/>
      <c r="PNG143" s="22"/>
      <c r="PNH143" s="22"/>
      <c r="PNI143" s="22"/>
      <c r="PNJ143" s="22"/>
      <c r="PNK143" s="22"/>
      <c r="PNL143" s="22"/>
      <c r="PNM143" s="22"/>
      <c r="PNN143" s="22"/>
      <c r="PNO143" s="22"/>
      <c r="PNP143" s="22"/>
      <c r="PNQ143" s="22"/>
      <c r="PNR143" s="22"/>
      <c r="PNS143" s="22"/>
      <c r="PNT143" s="22"/>
      <c r="PNU143" s="22"/>
      <c r="PNV143" s="22"/>
      <c r="PNW143" s="22"/>
      <c r="PNX143" s="22"/>
      <c r="PNY143" s="22"/>
      <c r="PNZ143" s="22"/>
      <c r="POA143" s="22"/>
      <c r="POB143" s="22"/>
      <c r="POC143" s="22"/>
      <c r="POD143" s="22"/>
      <c r="POE143" s="22"/>
      <c r="POF143" s="22"/>
      <c r="POG143" s="22"/>
      <c r="POH143" s="22"/>
      <c r="POI143" s="22"/>
      <c r="POJ143" s="22"/>
      <c r="POK143" s="22"/>
      <c r="POL143" s="22"/>
      <c r="POM143" s="22"/>
      <c r="PON143" s="22"/>
      <c r="POO143" s="22"/>
      <c r="POP143" s="22"/>
      <c r="POQ143" s="22"/>
      <c r="POR143" s="22"/>
      <c r="POS143" s="22"/>
      <c r="POT143" s="22"/>
      <c r="POU143" s="22"/>
      <c r="POV143" s="22"/>
      <c r="POW143" s="22"/>
      <c r="POX143" s="22"/>
      <c r="POY143" s="22"/>
      <c r="POZ143" s="22"/>
      <c r="PPA143" s="22"/>
      <c r="PPB143" s="22"/>
      <c r="PPC143" s="22"/>
      <c r="PPD143" s="22"/>
      <c r="PPE143" s="22"/>
      <c r="PPF143" s="22"/>
      <c r="PPG143" s="22"/>
      <c r="PPH143" s="22"/>
      <c r="PPI143" s="22"/>
      <c r="PPJ143" s="22"/>
      <c r="PPK143" s="22"/>
      <c r="PPL143" s="22"/>
      <c r="PPM143" s="22"/>
      <c r="PPN143" s="22"/>
      <c r="PPO143" s="22"/>
      <c r="PPP143" s="22"/>
      <c r="PPQ143" s="22"/>
      <c r="PPR143" s="22"/>
      <c r="PPS143" s="22"/>
      <c r="PPT143" s="22"/>
      <c r="PPU143" s="22"/>
      <c r="PPV143" s="22"/>
      <c r="PPW143" s="22"/>
      <c r="PPX143" s="22"/>
      <c r="PPY143" s="22"/>
      <c r="PPZ143" s="22"/>
      <c r="PQA143" s="22"/>
      <c r="PQB143" s="22"/>
      <c r="PQC143" s="22"/>
      <c r="PQD143" s="22"/>
      <c r="PQE143" s="22"/>
      <c r="PQF143" s="22"/>
      <c r="PQG143" s="22"/>
      <c r="PQH143" s="22"/>
      <c r="PQI143" s="22"/>
      <c r="PQJ143" s="22"/>
      <c r="PQK143" s="22"/>
      <c r="PQL143" s="22"/>
      <c r="PQM143" s="22"/>
      <c r="PQN143" s="22"/>
      <c r="PQO143" s="22"/>
      <c r="PQP143" s="22"/>
      <c r="PQQ143" s="22"/>
      <c r="PQR143" s="22"/>
      <c r="PQS143" s="22"/>
      <c r="PQT143" s="22"/>
      <c r="PQU143" s="22"/>
      <c r="PQV143" s="22"/>
      <c r="PQW143" s="22"/>
      <c r="PQX143" s="22"/>
      <c r="PQY143" s="22"/>
      <c r="PQZ143" s="22"/>
      <c r="PRA143" s="22"/>
      <c r="PRB143" s="22"/>
      <c r="PRC143" s="22"/>
      <c r="PRD143" s="22"/>
      <c r="PRE143" s="22"/>
      <c r="PRF143" s="22"/>
      <c r="PRG143" s="22"/>
      <c r="PRH143" s="22"/>
      <c r="PRI143" s="22"/>
      <c r="PRJ143" s="22"/>
      <c r="PRK143" s="22"/>
      <c r="PRL143" s="22"/>
      <c r="PRM143" s="22"/>
      <c r="PRN143" s="22"/>
      <c r="PRO143" s="22"/>
      <c r="PRP143" s="22"/>
      <c r="PRQ143" s="22"/>
      <c r="PRR143" s="22"/>
      <c r="PRS143" s="22"/>
      <c r="PRT143" s="22"/>
      <c r="PRU143" s="22"/>
      <c r="PRV143" s="22"/>
      <c r="PRW143" s="22"/>
      <c r="PRX143" s="22"/>
      <c r="PRY143" s="22"/>
      <c r="PRZ143" s="22"/>
      <c r="PSA143" s="22"/>
      <c r="PSB143" s="22"/>
      <c r="PSC143" s="22"/>
      <c r="PSD143" s="22"/>
      <c r="PSE143" s="22"/>
      <c r="PSF143" s="22"/>
      <c r="PSG143" s="22"/>
      <c r="PSH143" s="22"/>
      <c r="PSI143" s="22"/>
      <c r="PSJ143" s="22"/>
      <c r="PSK143" s="22"/>
      <c r="PSL143" s="22"/>
      <c r="PSM143" s="22"/>
      <c r="PSN143" s="22"/>
      <c r="PSO143" s="22"/>
      <c r="PSP143" s="22"/>
      <c r="PSQ143" s="22"/>
      <c r="PSR143" s="22"/>
      <c r="PSS143" s="22"/>
      <c r="PST143" s="22"/>
      <c r="PSU143" s="22"/>
      <c r="PSV143" s="22"/>
      <c r="PSW143" s="22"/>
      <c r="PSX143" s="22"/>
      <c r="PSY143" s="22"/>
      <c r="PSZ143" s="22"/>
      <c r="PTA143" s="22"/>
      <c r="PTB143" s="22"/>
      <c r="PTC143" s="22"/>
      <c r="PTD143" s="22"/>
      <c r="PTE143" s="22"/>
      <c r="PTF143" s="22"/>
      <c r="PTG143" s="22"/>
      <c r="PTH143" s="22"/>
      <c r="PTI143" s="22"/>
      <c r="PTJ143" s="22"/>
      <c r="PTK143" s="22"/>
      <c r="PTL143" s="22"/>
      <c r="PTM143" s="22"/>
      <c r="PTN143" s="22"/>
      <c r="PTO143" s="22"/>
      <c r="PTP143" s="22"/>
      <c r="PTQ143" s="22"/>
      <c r="PTR143" s="22"/>
      <c r="PTS143" s="22"/>
      <c r="PTT143" s="22"/>
      <c r="PTU143" s="22"/>
      <c r="PTV143" s="22"/>
      <c r="PTW143" s="22"/>
      <c r="PTX143" s="22"/>
      <c r="PTY143" s="22"/>
      <c r="PTZ143" s="22"/>
      <c r="PUA143" s="22"/>
      <c r="PUB143" s="22"/>
      <c r="PUC143" s="22"/>
      <c r="PUD143" s="22"/>
      <c r="PUE143" s="22"/>
      <c r="PUF143" s="22"/>
      <c r="PUG143" s="22"/>
      <c r="PUH143" s="22"/>
      <c r="PUI143" s="22"/>
      <c r="PUJ143" s="22"/>
      <c r="PUK143" s="22"/>
      <c r="PUL143" s="22"/>
      <c r="PUM143" s="22"/>
      <c r="PUN143" s="22"/>
      <c r="PUO143" s="22"/>
      <c r="PUP143" s="22"/>
      <c r="PUQ143" s="22"/>
      <c r="PUR143" s="22"/>
      <c r="PUS143" s="22"/>
      <c r="PUT143" s="22"/>
      <c r="PUU143" s="22"/>
      <c r="PUV143" s="22"/>
      <c r="PUW143" s="22"/>
      <c r="PUX143" s="22"/>
      <c r="PUY143" s="22"/>
      <c r="PUZ143" s="22"/>
      <c r="PVA143" s="22"/>
      <c r="PVB143" s="22"/>
      <c r="PVC143" s="22"/>
      <c r="PVD143" s="22"/>
      <c r="PVE143" s="22"/>
      <c r="PVF143" s="22"/>
      <c r="PVG143" s="22"/>
      <c r="PVH143" s="22"/>
      <c r="PVI143" s="22"/>
      <c r="PVJ143" s="22"/>
      <c r="PVK143" s="22"/>
      <c r="PVL143" s="22"/>
      <c r="PVM143" s="22"/>
      <c r="PVN143" s="22"/>
      <c r="PVO143" s="22"/>
      <c r="PVP143" s="22"/>
      <c r="PVQ143" s="22"/>
      <c r="PVR143" s="22"/>
      <c r="PVS143" s="22"/>
      <c r="PVT143" s="22"/>
      <c r="PVU143" s="22"/>
      <c r="PVV143" s="22"/>
      <c r="PVW143" s="22"/>
      <c r="PVX143" s="22"/>
      <c r="PVY143" s="22"/>
      <c r="PVZ143" s="22"/>
      <c r="PWA143" s="22"/>
      <c r="PWB143" s="22"/>
      <c r="PWC143" s="22"/>
      <c r="PWD143" s="22"/>
      <c r="PWE143" s="22"/>
      <c r="PWF143" s="22"/>
      <c r="PWG143" s="22"/>
      <c r="PWH143" s="22"/>
      <c r="PWI143" s="22"/>
      <c r="PWJ143" s="22"/>
      <c r="PWK143" s="22"/>
      <c r="PWL143" s="22"/>
      <c r="PWM143" s="22"/>
      <c r="PWN143" s="22"/>
      <c r="PWO143" s="22"/>
      <c r="PWP143" s="22"/>
      <c r="PWQ143" s="22"/>
      <c r="PWR143" s="22"/>
      <c r="PWS143" s="22"/>
      <c r="PWT143" s="22"/>
      <c r="PWU143" s="22"/>
      <c r="PWV143" s="22"/>
      <c r="PWW143" s="22"/>
      <c r="PWX143" s="22"/>
      <c r="PWY143" s="22"/>
      <c r="PWZ143" s="22"/>
      <c r="PXA143" s="22"/>
      <c r="PXB143" s="22"/>
      <c r="PXC143" s="22"/>
      <c r="PXD143" s="22"/>
      <c r="PXE143" s="22"/>
      <c r="PXF143" s="22"/>
      <c r="PXG143" s="22"/>
      <c r="PXH143" s="22"/>
      <c r="PXI143" s="22"/>
      <c r="PXJ143" s="22"/>
      <c r="PXK143" s="22"/>
      <c r="PXL143" s="22"/>
      <c r="PXM143" s="22"/>
      <c r="PXN143" s="22"/>
      <c r="PXO143" s="22"/>
      <c r="PXP143" s="22"/>
      <c r="PXQ143" s="22"/>
      <c r="PXR143" s="22"/>
      <c r="PXS143" s="22"/>
      <c r="PXT143" s="22"/>
      <c r="PXU143" s="22"/>
      <c r="PXV143" s="22"/>
      <c r="PXW143" s="22"/>
      <c r="PXX143" s="22"/>
      <c r="PXY143" s="22"/>
      <c r="PXZ143" s="22"/>
      <c r="PYA143" s="22"/>
      <c r="PYB143" s="22"/>
      <c r="PYC143" s="22"/>
      <c r="PYD143" s="22"/>
      <c r="PYE143" s="22"/>
      <c r="PYF143" s="22"/>
      <c r="PYG143" s="22"/>
      <c r="PYH143" s="22"/>
      <c r="PYI143" s="22"/>
      <c r="PYJ143" s="22"/>
      <c r="PYK143" s="22"/>
      <c r="PYL143" s="22"/>
      <c r="PYM143" s="22"/>
      <c r="PYN143" s="22"/>
      <c r="PYO143" s="22"/>
      <c r="PYP143" s="22"/>
      <c r="PYQ143" s="22"/>
      <c r="PYR143" s="22"/>
      <c r="PYS143" s="22"/>
      <c r="PYT143" s="22"/>
      <c r="PYU143" s="22"/>
      <c r="PYV143" s="22"/>
      <c r="PYW143" s="22"/>
      <c r="PYX143" s="22"/>
      <c r="PYY143" s="22"/>
      <c r="PYZ143" s="22"/>
      <c r="PZA143" s="22"/>
      <c r="PZB143" s="22"/>
      <c r="PZC143" s="22"/>
      <c r="PZD143" s="22"/>
      <c r="PZE143" s="22"/>
      <c r="PZF143" s="22"/>
      <c r="PZG143" s="22"/>
      <c r="PZH143" s="22"/>
      <c r="PZI143" s="22"/>
      <c r="PZJ143" s="22"/>
      <c r="PZK143" s="22"/>
      <c r="PZL143" s="22"/>
      <c r="PZM143" s="22"/>
      <c r="PZN143" s="22"/>
      <c r="PZO143" s="22"/>
      <c r="PZP143" s="22"/>
      <c r="PZQ143" s="22"/>
      <c r="PZR143" s="22"/>
      <c r="PZS143" s="22"/>
      <c r="PZT143" s="22"/>
      <c r="PZU143" s="22"/>
      <c r="PZV143" s="22"/>
      <c r="PZW143" s="22"/>
      <c r="PZX143" s="22"/>
      <c r="PZY143" s="22"/>
      <c r="PZZ143" s="22"/>
      <c r="QAA143" s="22"/>
      <c r="QAB143" s="22"/>
      <c r="QAC143" s="22"/>
      <c r="QAD143" s="22"/>
      <c r="QAE143" s="22"/>
      <c r="QAF143" s="22"/>
      <c r="QAG143" s="22"/>
      <c r="QAH143" s="22"/>
      <c r="QAI143" s="22"/>
      <c r="QAJ143" s="22"/>
      <c r="QAK143" s="22"/>
      <c r="QAL143" s="22"/>
      <c r="QAM143" s="22"/>
      <c r="QAN143" s="22"/>
      <c r="QAO143" s="22"/>
      <c r="QAP143" s="22"/>
      <c r="QAQ143" s="22"/>
      <c r="QAR143" s="22"/>
      <c r="QAS143" s="22"/>
      <c r="QAT143" s="22"/>
      <c r="QAU143" s="22"/>
      <c r="QAV143" s="22"/>
      <c r="QAW143" s="22"/>
      <c r="QAX143" s="22"/>
      <c r="QAY143" s="22"/>
      <c r="QAZ143" s="22"/>
      <c r="QBA143" s="22"/>
      <c r="QBB143" s="22"/>
      <c r="QBC143" s="22"/>
      <c r="QBD143" s="22"/>
      <c r="QBE143" s="22"/>
      <c r="QBF143" s="22"/>
      <c r="QBG143" s="22"/>
      <c r="QBH143" s="22"/>
      <c r="QBI143" s="22"/>
      <c r="QBJ143" s="22"/>
      <c r="QBK143" s="22"/>
      <c r="QBL143" s="22"/>
      <c r="QBM143" s="22"/>
      <c r="QBN143" s="22"/>
      <c r="QBO143" s="22"/>
      <c r="QBP143" s="22"/>
      <c r="QBQ143" s="22"/>
      <c r="QBR143" s="22"/>
      <c r="QBS143" s="22"/>
      <c r="QBT143" s="22"/>
      <c r="QBU143" s="22"/>
      <c r="QBV143" s="22"/>
      <c r="QBW143" s="22"/>
      <c r="QBX143" s="22"/>
      <c r="QBY143" s="22"/>
      <c r="QBZ143" s="22"/>
      <c r="QCA143" s="22"/>
      <c r="QCB143" s="22"/>
      <c r="QCC143" s="22"/>
      <c r="QCD143" s="22"/>
      <c r="QCE143" s="22"/>
      <c r="QCF143" s="22"/>
      <c r="QCG143" s="22"/>
      <c r="QCH143" s="22"/>
      <c r="QCI143" s="22"/>
      <c r="QCJ143" s="22"/>
      <c r="QCK143" s="22"/>
      <c r="QCL143" s="22"/>
      <c r="QCM143" s="22"/>
      <c r="QCN143" s="22"/>
      <c r="QCO143" s="22"/>
      <c r="QCP143" s="22"/>
      <c r="QCQ143" s="22"/>
      <c r="QCR143" s="22"/>
      <c r="QCS143" s="22"/>
      <c r="QCT143" s="22"/>
      <c r="QCU143" s="22"/>
      <c r="QCV143" s="22"/>
      <c r="QCW143" s="22"/>
      <c r="QCX143" s="22"/>
      <c r="QCY143" s="22"/>
      <c r="QCZ143" s="22"/>
      <c r="QDA143" s="22"/>
      <c r="QDB143" s="22"/>
      <c r="QDC143" s="22"/>
      <c r="QDD143" s="22"/>
      <c r="QDE143" s="22"/>
      <c r="QDF143" s="22"/>
      <c r="QDG143" s="22"/>
      <c r="QDH143" s="22"/>
      <c r="QDI143" s="22"/>
      <c r="QDJ143" s="22"/>
      <c r="QDK143" s="22"/>
      <c r="QDL143" s="22"/>
      <c r="QDM143" s="22"/>
      <c r="QDN143" s="22"/>
      <c r="QDO143" s="22"/>
      <c r="QDP143" s="22"/>
      <c r="QDQ143" s="22"/>
      <c r="QDR143" s="22"/>
      <c r="QDS143" s="22"/>
      <c r="QDT143" s="22"/>
      <c r="QDU143" s="22"/>
      <c r="QDV143" s="22"/>
      <c r="QDW143" s="22"/>
      <c r="QDX143" s="22"/>
      <c r="QDY143" s="22"/>
      <c r="QDZ143" s="22"/>
      <c r="QEA143" s="22"/>
      <c r="QEB143" s="22"/>
      <c r="QEC143" s="22"/>
      <c r="QED143" s="22"/>
      <c r="QEE143" s="22"/>
      <c r="QEF143" s="22"/>
      <c r="QEG143" s="22"/>
      <c r="QEH143" s="22"/>
      <c r="QEI143" s="22"/>
      <c r="QEJ143" s="22"/>
      <c r="QEK143" s="22"/>
      <c r="QEL143" s="22"/>
      <c r="QEM143" s="22"/>
      <c r="QEN143" s="22"/>
      <c r="QEO143" s="22"/>
      <c r="QEP143" s="22"/>
      <c r="QEQ143" s="22"/>
      <c r="QER143" s="22"/>
      <c r="QES143" s="22"/>
      <c r="QET143" s="22"/>
      <c r="QEU143" s="22"/>
      <c r="QEV143" s="22"/>
      <c r="QEW143" s="22"/>
      <c r="QEX143" s="22"/>
      <c r="QEY143" s="22"/>
      <c r="QEZ143" s="22"/>
      <c r="QFA143" s="22"/>
      <c r="QFB143" s="22"/>
      <c r="QFC143" s="22"/>
      <c r="QFD143" s="22"/>
      <c r="QFE143" s="22"/>
      <c r="QFF143" s="22"/>
      <c r="QFG143" s="22"/>
      <c r="QFH143" s="22"/>
      <c r="QFI143" s="22"/>
      <c r="QFJ143" s="22"/>
      <c r="QFK143" s="22"/>
      <c r="QFL143" s="22"/>
      <c r="QFM143" s="22"/>
      <c r="QFN143" s="22"/>
      <c r="QFO143" s="22"/>
      <c r="QFP143" s="22"/>
      <c r="QFQ143" s="22"/>
      <c r="QFR143" s="22"/>
      <c r="QFS143" s="22"/>
      <c r="QFT143" s="22"/>
      <c r="QFU143" s="22"/>
      <c r="QFV143" s="22"/>
      <c r="QFW143" s="22"/>
      <c r="QFX143" s="22"/>
      <c r="QFY143" s="22"/>
      <c r="QFZ143" s="22"/>
      <c r="QGA143" s="22"/>
      <c r="QGB143" s="22"/>
      <c r="QGC143" s="22"/>
      <c r="QGD143" s="22"/>
      <c r="QGE143" s="22"/>
      <c r="QGF143" s="22"/>
      <c r="QGG143" s="22"/>
      <c r="QGH143" s="22"/>
      <c r="QGI143" s="22"/>
      <c r="QGJ143" s="22"/>
      <c r="QGK143" s="22"/>
      <c r="QGL143" s="22"/>
      <c r="QGM143" s="22"/>
      <c r="QGN143" s="22"/>
      <c r="QGO143" s="22"/>
      <c r="QGP143" s="22"/>
      <c r="QGQ143" s="22"/>
      <c r="QGR143" s="22"/>
      <c r="QGS143" s="22"/>
      <c r="QGT143" s="22"/>
      <c r="QGU143" s="22"/>
      <c r="QGV143" s="22"/>
      <c r="QGW143" s="22"/>
      <c r="QGX143" s="22"/>
      <c r="QGY143" s="22"/>
      <c r="QGZ143" s="22"/>
      <c r="QHA143" s="22"/>
      <c r="QHB143" s="22"/>
      <c r="QHC143" s="22"/>
      <c r="QHD143" s="22"/>
      <c r="QHE143" s="22"/>
      <c r="QHF143" s="22"/>
      <c r="QHG143" s="22"/>
      <c r="QHH143" s="22"/>
      <c r="QHI143" s="22"/>
      <c r="QHJ143" s="22"/>
      <c r="QHK143" s="22"/>
      <c r="QHL143" s="22"/>
      <c r="QHM143" s="22"/>
      <c r="QHN143" s="22"/>
      <c r="QHO143" s="22"/>
      <c r="QHP143" s="22"/>
      <c r="QHQ143" s="22"/>
      <c r="QHR143" s="22"/>
      <c r="QHS143" s="22"/>
      <c r="QHT143" s="22"/>
      <c r="QHU143" s="22"/>
      <c r="QHV143" s="22"/>
      <c r="QHW143" s="22"/>
      <c r="QHX143" s="22"/>
      <c r="QHY143" s="22"/>
      <c r="QHZ143" s="22"/>
      <c r="QIA143" s="22"/>
      <c r="QIB143" s="22"/>
      <c r="QIC143" s="22"/>
      <c r="QID143" s="22"/>
      <c r="QIE143" s="22"/>
      <c r="QIF143" s="22"/>
      <c r="QIG143" s="22"/>
      <c r="QIH143" s="22"/>
      <c r="QII143" s="22"/>
      <c r="QIJ143" s="22"/>
      <c r="QIK143" s="22"/>
      <c r="QIL143" s="22"/>
      <c r="QIM143" s="22"/>
      <c r="QIN143" s="22"/>
      <c r="QIO143" s="22"/>
      <c r="QIP143" s="22"/>
      <c r="QIQ143" s="22"/>
      <c r="QIR143" s="22"/>
      <c r="QIS143" s="22"/>
      <c r="QIT143" s="22"/>
      <c r="QIU143" s="22"/>
      <c r="QIV143" s="22"/>
      <c r="QIW143" s="22"/>
      <c r="QIX143" s="22"/>
      <c r="QIY143" s="22"/>
      <c r="QIZ143" s="22"/>
      <c r="QJA143" s="22"/>
      <c r="QJB143" s="22"/>
      <c r="QJC143" s="22"/>
      <c r="QJD143" s="22"/>
      <c r="QJE143" s="22"/>
      <c r="QJF143" s="22"/>
      <c r="QJG143" s="22"/>
      <c r="QJH143" s="22"/>
      <c r="QJI143" s="22"/>
      <c r="QJJ143" s="22"/>
      <c r="QJK143" s="22"/>
      <c r="QJL143" s="22"/>
      <c r="QJM143" s="22"/>
      <c r="QJN143" s="22"/>
      <c r="QJO143" s="22"/>
      <c r="QJP143" s="22"/>
      <c r="QJQ143" s="22"/>
      <c r="QJR143" s="22"/>
      <c r="QJS143" s="22"/>
      <c r="QJT143" s="22"/>
      <c r="QJU143" s="22"/>
      <c r="QJV143" s="22"/>
      <c r="QJW143" s="22"/>
      <c r="QJX143" s="22"/>
      <c r="QJY143" s="22"/>
      <c r="QJZ143" s="22"/>
      <c r="QKA143" s="22"/>
      <c r="QKB143" s="22"/>
      <c r="QKC143" s="22"/>
      <c r="QKD143" s="22"/>
      <c r="QKE143" s="22"/>
      <c r="QKF143" s="22"/>
      <c r="QKG143" s="22"/>
      <c r="QKH143" s="22"/>
      <c r="QKI143" s="22"/>
      <c r="QKJ143" s="22"/>
      <c r="QKK143" s="22"/>
      <c r="QKL143" s="22"/>
      <c r="QKM143" s="22"/>
      <c r="QKN143" s="22"/>
      <c r="QKO143" s="22"/>
      <c r="QKP143" s="22"/>
      <c r="QKQ143" s="22"/>
      <c r="QKR143" s="22"/>
      <c r="QKS143" s="22"/>
      <c r="QKT143" s="22"/>
      <c r="QKU143" s="22"/>
      <c r="QKV143" s="22"/>
      <c r="QKW143" s="22"/>
      <c r="QKX143" s="22"/>
      <c r="QKY143" s="22"/>
      <c r="QKZ143" s="22"/>
      <c r="QLA143" s="22"/>
      <c r="QLB143" s="22"/>
      <c r="QLC143" s="22"/>
      <c r="QLD143" s="22"/>
      <c r="QLE143" s="22"/>
      <c r="QLF143" s="22"/>
      <c r="QLG143" s="22"/>
      <c r="QLH143" s="22"/>
      <c r="QLI143" s="22"/>
      <c r="QLJ143" s="22"/>
      <c r="QLK143" s="22"/>
      <c r="QLL143" s="22"/>
      <c r="QLM143" s="22"/>
      <c r="QLN143" s="22"/>
      <c r="QLO143" s="22"/>
      <c r="QLP143" s="22"/>
      <c r="QLQ143" s="22"/>
      <c r="QLR143" s="22"/>
      <c r="QLS143" s="22"/>
      <c r="QLT143" s="22"/>
      <c r="QLU143" s="22"/>
      <c r="QLV143" s="22"/>
      <c r="QLW143" s="22"/>
      <c r="QLX143" s="22"/>
      <c r="QLY143" s="22"/>
      <c r="QLZ143" s="22"/>
      <c r="QMA143" s="22"/>
      <c r="QMB143" s="22"/>
      <c r="QMC143" s="22"/>
      <c r="QMD143" s="22"/>
      <c r="QME143" s="22"/>
      <c r="QMF143" s="22"/>
      <c r="QMG143" s="22"/>
      <c r="QMH143" s="22"/>
      <c r="QMI143" s="22"/>
      <c r="QMJ143" s="22"/>
      <c r="QMK143" s="22"/>
      <c r="QML143" s="22"/>
      <c r="QMM143" s="22"/>
      <c r="QMN143" s="22"/>
      <c r="QMO143" s="22"/>
      <c r="QMP143" s="22"/>
      <c r="QMQ143" s="22"/>
      <c r="QMR143" s="22"/>
      <c r="QMS143" s="22"/>
      <c r="QMT143" s="22"/>
      <c r="QMU143" s="22"/>
      <c r="QMV143" s="22"/>
      <c r="QMW143" s="22"/>
      <c r="QMX143" s="22"/>
      <c r="QMY143" s="22"/>
      <c r="QMZ143" s="22"/>
      <c r="QNA143" s="22"/>
      <c r="QNB143" s="22"/>
      <c r="QNC143" s="22"/>
      <c r="QND143" s="22"/>
      <c r="QNE143" s="22"/>
      <c r="QNF143" s="22"/>
      <c r="QNG143" s="22"/>
      <c r="QNH143" s="22"/>
      <c r="QNI143" s="22"/>
      <c r="QNJ143" s="22"/>
      <c r="QNK143" s="22"/>
      <c r="QNL143" s="22"/>
      <c r="QNM143" s="22"/>
      <c r="QNN143" s="22"/>
      <c r="QNO143" s="22"/>
      <c r="QNP143" s="22"/>
      <c r="QNQ143" s="22"/>
      <c r="QNR143" s="22"/>
      <c r="QNS143" s="22"/>
      <c r="QNT143" s="22"/>
      <c r="QNU143" s="22"/>
      <c r="QNV143" s="22"/>
      <c r="QNW143" s="22"/>
      <c r="QNX143" s="22"/>
      <c r="QNY143" s="22"/>
      <c r="QNZ143" s="22"/>
      <c r="QOA143" s="22"/>
      <c r="QOB143" s="22"/>
      <c r="QOC143" s="22"/>
      <c r="QOD143" s="22"/>
      <c r="QOE143" s="22"/>
      <c r="QOF143" s="22"/>
      <c r="QOG143" s="22"/>
      <c r="QOH143" s="22"/>
      <c r="QOI143" s="22"/>
      <c r="QOJ143" s="22"/>
      <c r="QOK143" s="22"/>
      <c r="QOL143" s="22"/>
      <c r="QOM143" s="22"/>
      <c r="QON143" s="22"/>
      <c r="QOO143" s="22"/>
      <c r="QOP143" s="22"/>
      <c r="QOQ143" s="22"/>
      <c r="QOR143" s="22"/>
      <c r="QOS143" s="22"/>
      <c r="QOT143" s="22"/>
      <c r="QOU143" s="22"/>
      <c r="QOV143" s="22"/>
      <c r="QOW143" s="22"/>
      <c r="QOX143" s="22"/>
      <c r="QOY143" s="22"/>
      <c r="QOZ143" s="22"/>
      <c r="QPA143" s="22"/>
      <c r="QPB143" s="22"/>
      <c r="QPC143" s="22"/>
      <c r="QPD143" s="22"/>
      <c r="QPE143" s="22"/>
      <c r="QPF143" s="22"/>
      <c r="QPG143" s="22"/>
      <c r="QPH143" s="22"/>
      <c r="QPI143" s="22"/>
      <c r="QPJ143" s="22"/>
      <c r="QPK143" s="22"/>
      <c r="QPL143" s="22"/>
      <c r="QPM143" s="22"/>
      <c r="QPN143" s="22"/>
      <c r="QPO143" s="22"/>
      <c r="QPP143" s="22"/>
      <c r="QPQ143" s="22"/>
      <c r="QPR143" s="22"/>
      <c r="QPS143" s="22"/>
      <c r="QPT143" s="22"/>
      <c r="QPU143" s="22"/>
      <c r="QPV143" s="22"/>
      <c r="QPW143" s="22"/>
      <c r="QPX143" s="22"/>
      <c r="QPY143" s="22"/>
      <c r="QPZ143" s="22"/>
      <c r="QQA143" s="22"/>
      <c r="QQB143" s="22"/>
      <c r="QQC143" s="22"/>
      <c r="QQD143" s="22"/>
      <c r="QQE143" s="22"/>
      <c r="QQF143" s="22"/>
      <c r="QQG143" s="22"/>
      <c r="QQH143" s="22"/>
      <c r="QQI143" s="22"/>
      <c r="QQJ143" s="22"/>
      <c r="QQK143" s="22"/>
      <c r="QQL143" s="22"/>
      <c r="QQM143" s="22"/>
      <c r="QQN143" s="22"/>
      <c r="QQO143" s="22"/>
      <c r="QQP143" s="22"/>
      <c r="QQQ143" s="22"/>
      <c r="QQR143" s="22"/>
      <c r="QQS143" s="22"/>
      <c r="QQT143" s="22"/>
      <c r="QQU143" s="22"/>
      <c r="QQV143" s="22"/>
      <c r="QQW143" s="22"/>
      <c r="QQX143" s="22"/>
      <c r="QQY143" s="22"/>
      <c r="QQZ143" s="22"/>
      <c r="QRA143" s="22"/>
      <c r="QRB143" s="22"/>
      <c r="QRC143" s="22"/>
      <c r="QRD143" s="22"/>
      <c r="QRE143" s="22"/>
      <c r="QRF143" s="22"/>
      <c r="QRG143" s="22"/>
      <c r="QRH143" s="22"/>
      <c r="QRI143" s="22"/>
      <c r="QRJ143" s="22"/>
      <c r="QRK143" s="22"/>
      <c r="QRL143" s="22"/>
      <c r="QRM143" s="22"/>
      <c r="QRN143" s="22"/>
      <c r="QRO143" s="22"/>
      <c r="QRP143" s="22"/>
      <c r="QRQ143" s="22"/>
      <c r="QRR143" s="22"/>
      <c r="QRS143" s="22"/>
      <c r="QRT143" s="22"/>
      <c r="QRU143" s="22"/>
      <c r="QRV143" s="22"/>
      <c r="QRW143" s="22"/>
      <c r="QRX143" s="22"/>
      <c r="QRY143" s="22"/>
      <c r="QRZ143" s="22"/>
      <c r="QSA143" s="22"/>
      <c r="QSB143" s="22"/>
      <c r="QSC143" s="22"/>
      <c r="QSD143" s="22"/>
      <c r="QSE143" s="22"/>
      <c r="QSF143" s="22"/>
      <c r="QSG143" s="22"/>
      <c r="QSH143" s="22"/>
      <c r="QSI143" s="22"/>
      <c r="QSJ143" s="22"/>
      <c r="QSK143" s="22"/>
      <c r="QSL143" s="22"/>
      <c r="QSM143" s="22"/>
      <c r="QSN143" s="22"/>
      <c r="QSO143" s="22"/>
      <c r="QSP143" s="22"/>
      <c r="QSQ143" s="22"/>
      <c r="QSR143" s="22"/>
      <c r="QSS143" s="22"/>
      <c r="QST143" s="22"/>
      <c r="QSU143" s="22"/>
      <c r="QSV143" s="22"/>
      <c r="QSW143" s="22"/>
      <c r="QSX143" s="22"/>
      <c r="QSY143" s="22"/>
      <c r="QSZ143" s="22"/>
      <c r="QTA143" s="22"/>
      <c r="QTB143" s="22"/>
      <c r="QTC143" s="22"/>
      <c r="QTD143" s="22"/>
      <c r="QTE143" s="22"/>
      <c r="QTF143" s="22"/>
      <c r="QTG143" s="22"/>
      <c r="QTH143" s="22"/>
      <c r="QTI143" s="22"/>
      <c r="QTJ143" s="22"/>
      <c r="QTK143" s="22"/>
      <c r="QTL143" s="22"/>
      <c r="QTM143" s="22"/>
      <c r="QTN143" s="22"/>
      <c r="QTO143" s="22"/>
      <c r="QTP143" s="22"/>
      <c r="QTQ143" s="22"/>
      <c r="QTR143" s="22"/>
      <c r="QTS143" s="22"/>
      <c r="QTT143" s="22"/>
      <c r="QTU143" s="22"/>
      <c r="QTV143" s="22"/>
      <c r="QTW143" s="22"/>
      <c r="QTX143" s="22"/>
      <c r="QTY143" s="22"/>
      <c r="QTZ143" s="22"/>
      <c r="QUA143" s="22"/>
      <c r="QUB143" s="22"/>
      <c r="QUC143" s="22"/>
      <c r="QUD143" s="22"/>
      <c r="QUE143" s="22"/>
      <c r="QUF143" s="22"/>
      <c r="QUG143" s="22"/>
      <c r="QUH143" s="22"/>
      <c r="QUI143" s="22"/>
      <c r="QUJ143" s="22"/>
      <c r="QUK143" s="22"/>
      <c r="QUL143" s="22"/>
      <c r="QUM143" s="22"/>
      <c r="QUN143" s="22"/>
      <c r="QUO143" s="22"/>
      <c r="QUP143" s="22"/>
      <c r="QUQ143" s="22"/>
      <c r="QUR143" s="22"/>
      <c r="QUS143" s="22"/>
      <c r="QUT143" s="22"/>
      <c r="QUU143" s="22"/>
      <c r="QUV143" s="22"/>
      <c r="QUW143" s="22"/>
      <c r="QUX143" s="22"/>
      <c r="QUY143" s="22"/>
      <c r="QUZ143" s="22"/>
      <c r="QVA143" s="22"/>
      <c r="QVB143" s="22"/>
      <c r="QVC143" s="22"/>
      <c r="QVD143" s="22"/>
      <c r="QVE143" s="22"/>
      <c r="QVF143" s="22"/>
      <c r="QVG143" s="22"/>
      <c r="QVH143" s="22"/>
      <c r="QVI143" s="22"/>
      <c r="QVJ143" s="22"/>
      <c r="QVK143" s="22"/>
      <c r="QVL143" s="22"/>
      <c r="QVM143" s="22"/>
      <c r="QVN143" s="22"/>
      <c r="QVO143" s="22"/>
      <c r="QVP143" s="22"/>
      <c r="QVQ143" s="22"/>
      <c r="QVR143" s="22"/>
      <c r="QVS143" s="22"/>
      <c r="QVT143" s="22"/>
      <c r="QVU143" s="22"/>
      <c r="QVV143" s="22"/>
      <c r="QVW143" s="22"/>
      <c r="QVX143" s="22"/>
      <c r="QVY143" s="22"/>
      <c r="QVZ143" s="22"/>
      <c r="QWA143" s="22"/>
      <c r="QWB143" s="22"/>
      <c r="QWC143" s="22"/>
      <c r="QWD143" s="22"/>
      <c r="QWE143" s="22"/>
      <c r="QWF143" s="22"/>
      <c r="QWG143" s="22"/>
      <c r="QWH143" s="22"/>
      <c r="QWI143" s="22"/>
      <c r="QWJ143" s="22"/>
      <c r="QWK143" s="22"/>
      <c r="QWL143" s="22"/>
      <c r="QWM143" s="22"/>
      <c r="QWN143" s="22"/>
      <c r="QWO143" s="22"/>
      <c r="QWP143" s="22"/>
      <c r="QWQ143" s="22"/>
      <c r="QWR143" s="22"/>
      <c r="QWS143" s="22"/>
      <c r="QWT143" s="22"/>
      <c r="QWU143" s="22"/>
      <c r="QWV143" s="22"/>
      <c r="QWW143" s="22"/>
      <c r="QWX143" s="22"/>
      <c r="QWY143" s="22"/>
      <c r="QWZ143" s="22"/>
      <c r="QXA143" s="22"/>
      <c r="QXB143" s="22"/>
      <c r="QXC143" s="22"/>
      <c r="QXD143" s="22"/>
      <c r="QXE143" s="22"/>
      <c r="QXF143" s="22"/>
      <c r="QXG143" s="22"/>
      <c r="QXH143" s="22"/>
      <c r="QXI143" s="22"/>
      <c r="QXJ143" s="22"/>
      <c r="QXK143" s="22"/>
      <c r="QXL143" s="22"/>
      <c r="QXM143" s="22"/>
      <c r="QXN143" s="22"/>
      <c r="QXO143" s="22"/>
      <c r="QXP143" s="22"/>
      <c r="QXQ143" s="22"/>
      <c r="QXR143" s="22"/>
      <c r="QXS143" s="22"/>
      <c r="QXT143" s="22"/>
      <c r="QXU143" s="22"/>
      <c r="QXV143" s="22"/>
      <c r="QXW143" s="22"/>
      <c r="QXX143" s="22"/>
      <c r="QXY143" s="22"/>
      <c r="QXZ143" s="22"/>
      <c r="QYA143" s="22"/>
      <c r="QYB143" s="22"/>
      <c r="QYC143" s="22"/>
      <c r="QYD143" s="22"/>
      <c r="QYE143" s="22"/>
      <c r="QYF143" s="22"/>
      <c r="QYG143" s="22"/>
      <c r="QYH143" s="22"/>
      <c r="QYI143" s="22"/>
      <c r="QYJ143" s="22"/>
      <c r="QYK143" s="22"/>
      <c r="QYL143" s="22"/>
      <c r="QYM143" s="22"/>
      <c r="QYN143" s="22"/>
      <c r="QYO143" s="22"/>
      <c r="QYP143" s="22"/>
      <c r="QYQ143" s="22"/>
      <c r="QYR143" s="22"/>
      <c r="QYS143" s="22"/>
      <c r="QYT143" s="22"/>
      <c r="QYU143" s="22"/>
      <c r="QYV143" s="22"/>
      <c r="QYW143" s="22"/>
      <c r="QYX143" s="22"/>
      <c r="QYY143" s="22"/>
      <c r="QYZ143" s="22"/>
      <c r="QZA143" s="22"/>
      <c r="QZB143" s="22"/>
      <c r="QZC143" s="22"/>
      <c r="QZD143" s="22"/>
      <c r="QZE143" s="22"/>
      <c r="QZF143" s="22"/>
      <c r="QZG143" s="22"/>
      <c r="QZH143" s="22"/>
      <c r="QZI143" s="22"/>
      <c r="QZJ143" s="22"/>
      <c r="QZK143" s="22"/>
      <c r="QZL143" s="22"/>
      <c r="QZM143" s="22"/>
      <c r="QZN143" s="22"/>
      <c r="QZO143" s="22"/>
      <c r="QZP143" s="22"/>
      <c r="QZQ143" s="22"/>
      <c r="QZR143" s="22"/>
      <c r="QZS143" s="22"/>
      <c r="QZT143" s="22"/>
      <c r="QZU143" s="22"/>
      <c r="QZV143" s="22"/>
      <c r="QZW143" s="22"/>
      <c r="QZX143" s="22"/>
      <c r="QZY143" s="22"/>
      <c r="QZZ143" s="22"/>
      <c r="RAA143" s="22"/>
      <c r="RAB143" s="22"/>
      <c r="RAC143" s="22"/>
      <c r="RAD143" s="22"/>
      <c r="RAE143" s="22"/>
      <c r="RAF143" s="22"/>
      <c r="RAG143" s="22"/>
      <c r="RAH143" s="22"/>
      <c r="RAI143" s="22"/>
      <c r="RAJ143" s="22"/>
      <c r="RAK143" s="22"/>
      <c r="RAL143" s="22"/>
      <c r="RAM143" s="22"/>
      <c r="RAN143" s="22"/>
      <c r="RAO143" s="22"/>
      <c r="RAP143" s="22"/>
      <c r="RAQ143" s="22"/>
      <c r="RAR143" s="22"/>
      <c r="RAS143" s="22"/>
      <c r="RAT143" s="22"/>
      <c r="RAU143" s="22"/>
      <c r="RAV143" s="22"/>
      <c r="RAW143" s="22"/>
      <c r="RAX143" s="22"/>
      <c r="RAY143" s="22"/>
      <c r="RAZ143" s="22"/>
      <c r="RBA143" s="22"/>
      <c r="RBB143" s="22"/>
      <c r="RBC143" s="22"/>
      <c r="RBD143" s="22"/>
      <c r="RBE143" s="22"/>
      <c r="RBF143" s="22"/>
      <c r="RBG143" s="22"/>
      <c r="RBH143" s="22"/>
      <c r="RBI143" s="22"/>
      <c r="RBJ143" s="22"/>
      <c r="RBK143" s="22"/>
      <c r="RBL143" s="22"/>
      <c r="RBM143" s="22"/>
      <c r="RBN143" s="22"/>
      <c r="RBO143" s="22"/>
      <c r="RBP143" s="22"/>
      <c r="RBQ143" s="22"/>
      <c r="RBR143" s="22"/>
      <c r="RBS143" s="22"/>
      <c r="RBT143" s="22"/>
      <c r="RBU143" s="22"/>
      <c r="RBV143" s="22"/>
      <c r="RBW143" s="22"/>
      <c r="RBX143" s="22"/>
      <c r="RBY143" s="22"/>
      <c r="RBZ143" s="22"/>
      <c r="RCA143" s="22"/>
      <c r="RCB143" s="22"/>
      <c r="RCC143" s="22"/>
      <c r="RCD143" s="22"/>
      <c r="RCE143" s="22"/>
      <c r="RCF143" s="22"/>
      <c r="RCG143" s="22"/>
      <c r="RCH143" s="22"/>
      <c r="RCI143" s="22"/>
      <c r="RCJ143" s="22"/>
      <c r="RCK143" s="22"/>
      <c r="RCL143" s="22"/>
      <c r="RCM143" s="22"/>
      <c r="RCN143" s="22"/>
      <c r="RCO143" s="22"/>
      <c r="RCP143" s="22"/>
      <c r="RCQ143" s="22"/>
      <c r="RCR143" s="22"/>
      <c r="RCS143" s="22"/>
      <c r="RCT143" s="22"/>
      <c r="RCU143" s="22"/>
      <c r="RCV143" s="22"/>
      <c r="RCW143" s="22"/>
      <c r="RCX143" s="22"/>
      <c r="RCY143" s="22"/>
      <c r="RCZ143" s="22"/>
      <c r="RDA143" s="22"/>
      <c r="RDB143" s="22"/>
      <c r="RDC143" s="22"/>
      <c r="RDD143" s="22"/>
      <c r="RDE143" s="22"/>
      <c r="RDF143" s="22"/>
      <c r="RDG143" s="22"/>
      <c r="RDH143" s="22"/>
      <c r="RDI143" s="22"/>
      <c r="RDJ143" s="22"/>
      <c r="RDK143" s="22"/>
      <c r="RDL143" s="22"/>
      <c r="RDM143" s="22"/>
      <c r="RDN143" s="22"/>
      <c r="RDO143" s="22"/>
      <c r="RDP143" s="22"/>
      <c r="RDQ143" s="22"/>
      <c r="RDR143" s="22"/>
      <c r="RDS143" s="22"/>
      <c r="RDT143" s="22"/>
      <c r="RDU143" s="22"/>
      <c r="RDV143" s="22"/>
      <c r="RDW143" s="22"/>
      <c r="RDX143" s="22"/>
      <c r="RDY143" s="22"/>
      <c r="RDZ143" s="22"/>
      <c r="REA143" s="22"/>
      <c r="REB143" s="22"/>
      <c r="REC143" s="22"/>
      <c r="RED143" s="22"/>
      <c r="REE143" s="22"/>
      <c r="REF143" s="22"/>
      <c r="REG143" s="22"/>
      <c r="REH143" s="22"/>
      <c r="REI143" s="22"/>
      <c r="REJ143" s="22"/>
      <c r="REK143" s="22"/>
      <c r="REL143" s="22"/>
      <c r="REM143" s="22"/>
      <c r="REN143" s="22"/>
      <c r="REO143" s="22"/>
      <c r="REP143" s="22"/>
      <c r="REQ143" s="22"/>
      <c r="RER143" s="22"/>
      <c r="RES143" s="22"/>
      <c r="RET143" s="22"/>
      <c r="REU143" s="22"/>
      <c r="REV143" s="22"/>
      <c r="REW143" s="22"/>
      <c r="REX143" s="22"/>
      <c r="REY143" s="22"/>
      <c r="REZ143" s="22"/>
      <c r="RFA143" s="22"/>
      <c r="RFB143" s="22"/>
      <c r="RFC143" s="22"/>
      <c r="RFD143" s="22"/>
      <c r="RFE143" s="22"/>
      <c r="RFF143" s="22"/>
      <c r="RFG143" s="22"/>
      <c r="RFH143" s="22"/>
      <c r="RFI143" s="22"/>
      <c r="RFJ143" s="22"/>
      <c r="RFK143" s="22"/>
      <c r="RFL143" s="22"/>
      <c r="RFM143" s="22"/>
      <c r="RFN143" s="22"/>
      <c r="RFO143" s="22"/>
      <c r="RFP143" s="22"/>
      <c r="RFQ143" s="22"/>
      <c r="RFR143" s="22"/>
      <c r="RFS143" s="22"/>
      <c r="RFT143" s="22"/>
      <c r="RFU143" s="22"/>
      <c r="RFV143" s="22"/>
      <c r="RFW143" s="22"/>
      <c r="RFX143" s="22"/>
      <c r="RFY143" s="22"/>
      <c r="RFZ143" s="22"/>
      <c r="RGA143" s="22"/>
      <c r="RGB143" s="22"/>
      <c r="RGC143" s="22"/>
      <c r="RGD143" s="22"/>
      <c r="RGE143" s="22"/>
      <c r="RGF143" s="22"/>
      <c r="RGG143" s="22"/>
      <c r="RGH143" s="22"/>
      <c r="RGI143" s="22"/>
      <c r="RGJ143" s="22"/>
      <c r="RGK143" s="22"/>
      <c r="RGL143" s="22"/>
      <c r="RGM143" s="22"/>
      <c r="RGN143" s="22"/>
      <c r="RGO143" s="22"/>
      <c r="RGP143" s="22"/>
      <c r="RGQ143" s="22"/>
      <c r="RGR143" s="22"/>
      <c r="RGS143" s="22"/>
      <c r="RGT143" s="22"/>
      <c r="RGU143" s="22"/>
      <c r="RGV143" s="22"/>
      <c r="RGW143" s="22"/>
      <c r="RGX143" s="22"/>
      <c r="RGY143" s="22"/>
      <c r="RGZ143" s="22"/>
      <c r="RHA143" s="22"/>
      <c r="RHB143" s="22"/>
      <c r="RHC143" s="22"/>
      <c r="RHD143" s="22"/>
      <c r="RHE143" s="22"/>
      <c r="RHF143" s="22"/>
      <c r="RHG143" s="22"/>
      <c r="RHH143" s="22"/>
      <c r="RHI143" s="22"/>
      <c r="RHJ143" s="22"/>
      <c r="RHK143" s="22"/>
      <c r="RHL143" s="22"/>
      <c r="RHM143" s="22"/>
      <c r="RHN143" s="22"/>
      <c r="RHO143" s="22"/>
      <c r="RHP143" s="22"/>
      <c r="RHQ143" s="22"/>
      <c r="RHR143" s="22"/>
      <c r="RHS143" s="22"/>
      <c r="RHT143" s="22"/>
      <c r="RHU143" s="22"/>
      <c r="RHV143" s="22"/>
      <c r="RHW143" s="22"/>
      <c r="RHX143" s="22"/>
      <c r="RHY143" s="22"/>
      <c r="RHZ143" s="22"/>
      <c r="RIA143" s="22"/>
      <c r="RIB143" s="22"/>
      <c r="RIC143" s="22"/>
      <c r="RID143" s="22"/>
      <c r="RIE143" s="22"/>
      <c r="RIF143" s="22"/>
      <c r="RIG143" s="22"/>
      <c r="RIH143" s="22"/>
      <c r="RII143" s="22"/>
      <c r="RIJ143" s="22"/>
      <c r="RIK143" s="22"/>
      <c r="RIL143" s="22"/>
      <c r="RIM143" s="22"/>
      <c r="RIN143" s="22"/>
      <c r="RIO143" s="22"/>
      <c r="RIP143" s="22"/>
      <c r="RIQ143" s="22"/>
      <c r="RIR143" s="22"/>
      <c r="RIS143" s="22"/>
      <c r="RIT143" s="22"/>
      <c r="RIU143" s="22"/>
      <c r="RIV143" s="22"/>
      <c r="RIW143" s="22"/>
      <c r="RIX143" s="22"/>
      <c r="RIY143" s="22"/>
      <c r="RIZ143" s="22"/>
      <c r="RJA143" s="22"/>
      <c r="RJB143" s="22"/>
      <c r="RJC143" s="22"/>
      <c r="RJD143" s="22"/>
      <c r="RJE143" s="22"/>
      <c r="RJF143" s="22"/>
      <c r="RJG143" s="22"/>
      <c r="RJH143" s="22"/>
      <c r="RJI143" s="22"/>
      <c r="RJJ143" s="22"/>
      <c r="RJK143" s="22"/>
      <c r="RJL143" s="22"/>
      <c r="RJM143" s="22"/>
      <c r="RJN143" s="22"/>
      <c r="RJO143" s="22"/>
      <c r="RJP143" s="22"/>
      <c r="RJQ143" s="22"/>
      <c r="RJR143" s="22"/>
      <c r="RJS143" s="22"/>
      <c r="RJT143" s="22"/>
      <c r="RJU143" s="22"/>
      <c r="RJV143" s="22"/>
      <c r="RJW143" s="22"/>
      <c r="RJX143" s="22"/>
      <c r="RJY143" s="22"/>
      <c r="RJZ143" s="22"/>
      <c r="RKA143" s="22"/>
      <c r="RKB143" s="22"/>
      <c r="RKC143" s="22"/>
      <c r="RKD143" s="22"/>
      <c r="RKE143" s="22"/>
      <c r="RKF143" s="22"/>
      <c r="RKG143" s="22"/>
      <c r="RKH143" s="22"/>
      <c r="RKI143" s="22"/>
      <c r="RKJ143" s="22"/>
      <c r="RKK143" s="22"/>
      <c r="RKL143" s="22"/>
      <c r="RKM143" s="22"/>
      <c r="RKN143" s="22"/>
      <c r="RKO143" s="22"/>
      <c r="RKP143" s="22"/>
      <c r="RKQ143" s="22"/>
      <c r="RKR143" s="22"/>
      <c r="RKS143" s="22"/>
      <c r="RKT143" s="22"/>
      <c r="RKU143" s="22"/>
      <c r="RKV143" s="22"/>
      <c r="RKW143" s="22"/>
      <c r="RKX143" s="22"/>
      <c r="RKY143" s="22"/>
      <c r="RKZ143" s="22"/>
      <c r="RLA143" s="22"/>
      <c r="RLB143" s="22"/>
      <c r="RLC143" s="22"/>
      <c r="RLD143" s="22"/>
      <c r="RLE143" s="22"/>
      <c r="RLF143" s="22"/>
      <c r="RLG143" s="22"/>
      <c r="RLH143" s="22"/>
      <c r="RLI143" s="22"/>
      <c r="RLJ143" s="22"/>
      <c r="RLK143" s="22"/>
      <c r="RLL143" s="22"/>
      <c r="RLM143" s="22"/>
      <c r="RLN143" s="22"/>
      <c r="RLO143" s="22"/>
      <c r="RLP143" s="22"/>
      <c r="RLQ143" s="22"/>
      <c r="RLR143" s="22"/>
      <c r="RLS143" s="22"/>
      <c r="RLT143" s="22"/>
      <c r="RLU143" s="22"/>
      <c r="RLV143" s="22"/>
      <c r="RLW143" s="22"/>
      <c r="RLX143" s="22"/>
      <c r="RLY143" s="22"/>
      <c r="RLZ143" s="22"/>
      <c r="RMA143" s="22"/>
      <c r="RMB143" s="22"/>
      <c r="RMC143" s="22"/>
      <c r="RMD143" s="22"/>
      <c r="RME143" s="22"/>
      <c r="RMF143" s="22"/>
      <c r="RMG143" s="22"/>
      <c r="RMH143" s="22"/>
      <c r="RMI143" s="22"/>
      <c r="RMJ143" s="22"/>
      <c r="RMK143" s="22"/>
      <c r="RML143" s="22"/>
      <c r="RMM143" s="22"/>
      <c r="RMN143" s="22"/>
      <c r="RMO143" s="22"/>
      <c r="RMP143" s="22"/>
      <c r="RMQ143" s="22"/>
      <c r="RMR143" s="22"/>
      <c r="RMS143" s="22"/>
      <c r="RMT143" s="22"/>
      <c r="RMU143" s="22"/>
      <c r="RMV143" s="22"/>
      <c r="RMW143" s="22"/>
      <c r="RMX143" s="22"/>
      <c r="RMY143" s="22"/>
      <c r="RMZ143" s="22"/>
      <c r="RNA143" s="22"/>
      <c r="RNB143" s="22"/>
      <c r="RNC143" s="22"/>
      <c r="RND143" s="22"/>
      <c r="RNE143" s="22"/>
      <c r="RNF143" s="22"/>
      <c r="RNG143" s="22"/>
      <c r="RNH143" s="22"/>
      <c r="RNI143" s="22"/>
      <c r="RNJ143" s="22"/>
      <c r="RNK143" s="22"/>
      <c r="RNL143" s="22"/>
      <c r="RNM143" s="22"/>
      <c r="RNN143" s="22"/>
      <c r="RNO143" s="22"/>
      <c r="RNP143" s="22"/>
      <c r="RNQ143" s="22"/>
      <c r="RNR143" s="22"/>
      <c r="RNS143" s="22"/>
      <c r="RNT143" s="22"/>
      <c r="RNU143" s="22"/>
      <c r="RNV143" s="22"/>
      <c r="RNW143" s="22"/>
      <c r="RNX143" s="22"/>
      <c r="RNY143" s="22"/>
      <c r="RNZ143" s="22"/>
      <c r="ROA143" s="22"/>
      <c r="ROB143" s="22"/>
      <c r="ROC143" s="22"/>
      <c r="ROD143" s="22"/>
      <c r="ROE143" s="22"/>
      <c r="ROF143" s="22"/>
      <c r="ROG143" s="22"/>
      <c r="ROH143" s="22"/>
      <c r="ROI143" s="22"/>
      <c r="ROJ143" s="22"/>
      <c r="ROK143" s="22"/>
      <c r="ROL143" s="22"/>
      <c r="ROM143" s="22"/>
      <c r="RON143" s="22"/>
      <c r="ROO143" s="22"/>
      <c r="ROP143" s="22"/>
      <c r="ROQ143" s="22"/>
      <c r="ROR143" s="22"/>
      <c r="ROS143" s="22"/>
      <c r="ROT143" s="22"/>
      <c r="ROU143" s="22"/>
      <c r="ROV143" s="22"/>
      <c r="ROW143" s="22"/>
      <c r="ROX143" s="22"/>
      <c r="ROY143" s="22"/>
      <c r="ROZ143" s="22"/>
      <c r="RPA143" s="22"/>
      <c r="RPB143" s="22"/>
      <c r="RPC143" s="22"/>
      <c r="RPD143" s="22"/>
      <c r="RPE143" s="22"/>
      <c r="RPF143" s="22"/>
      <c r="RPG143" s="22"/>
      <c r="RPH143" s="22"/>
      <c r="RPI143" s="22"/>
      <c r="RPJ143" s="22"/>
      <c r="RPK143" s="22"/>
      <c r="RPL143" s="22"/>
      <c r="RPM143" s="22"/>
      <c r="RPN143" s="22"/>
      <c r="RPO143" s="22"/>
      <c r="RPP143" s="22"/>
      <c r="RPQ143" s="22"/>
      <c r="RPR143" s="22"/>
      <c r="RPS143" s="22"/>
      <c r="RPT143" s="22"/>
      <c r="RPU143" s="22"/>
      <c r="RPV143" s="22"/>
      <c r="RPW143" s="22"/>
      <c r="RPX143" s="22"/>
      <c r="RPY143" s="22"/>
      <c r="RPZ143" s="22"/>
      <c r="RQA143" s="22"/>
      <c r="RQB143" s="22"/>
      <c r="RQC143" s="22"/>
      <c r="RQD143" s="22"/>
      <c r="RQE143" s="22"/>
      <c r="RQF143" s="22"/>
      <c r="RQG143" s="22"/>
      <c r="RQH143" s="22"/>
      <c r="RQI143" s="22"/>
      <c r="RQJ143" s="22"/>
      <c r="RQK143" s="22"/>
      <c r="RQL143" s="22"/>
      <c r="RQM143" s="22"/>
      <c r="RQN143" s="22"/>
      <c r="RQO143" s="22"/>
      <c r="RQP143" s="22"/>
      <c r="RQQ143" s="22"/>
      <c r="RQR143" s="22"/>
      <c r="RQS143" s="22"/>
      <c r="RQT143" s="22"/>
      <c r="RQU143" s="22"/>
      <c r="RQV143" s="22"/>
      <c r="RQW143" s="22"/>
      <c r="RQX143" s="22"/>
      <c r="RQY143" s="22"/>
      <c r="RQZ143" s="22"/>
      <c r="RRA143" s="22"/>
      <c r="RRB143" s="22"/>
      <c r="RRC143" s="22"/>
      <c r="RRD143" s="22"/>
      <c r="RRE143" s="22"/>
      <c r="RRF143" s="22"/>
      <c r="RRG143" s="22"/>
      <c r="RRH143" s="22"/>
      <c r="RRI143" s="22"/>
      <c r="RRJ143" s="22"/>
      <c r="RRK143" s="22"/>
      <c r="RRL143" s="22"/>
      <c r="RRM143" s="22"/>
      <c r="RRN143" s="22"/>
      <c r="RRO143" s="22"/>
      <c r="RRP143" s="22"/>
      <c r="RRQ143" s="22"/>
      <c r="RRR143" s="22"/>
      <c r="RRS143" s="22"/>
      <c r="RRT143" s="22"/>
      <c r="RRU143" s="22"/>
      <c r="RRV143" s="22"/>
      <c r="RRW143" s="22"/>
      <c r="RRX143" s="22"/>
      <c r="RRY143" s="22"/>
      <c r="RRZ143" s="22"/>
      <c r="RSA143" s="22"/>
      <c r="RSB143" s="22"/>
      <c r="RSC143" s="22"/>
      <c r="RSD143" s="22"/>
      <c r="RSE143" s="22"/>
      <c r="RSF143" s="22"/>
      <c r="RSG143" s="22"/>
      <c r="RSH143" s="22"/>
      <c r="RSI143" s="22"/>
      <c r="RSJ143" s="22"/>
      <c r="RSK143" s="22"/>
      <c r="RSL143" s="22"/>
      <c r="RSM143" s="22"/>
      <c r="RSN143" s="22"/>
      <c r="RSO143" s="22"/>
      <c r="RSP143" s="22"/>
      <c r="RSQ143" s="22"/>
      <c r="RSR143" s="22"/>
      <c r="RSS143" s="22"/>
      <c r="RST143" s="22"/>
      <c r="RSU143" s="22"/>
      <c r="RSV143" s="22"/>
      <c r="RSW143" s="22"/>
      <c r="RSX143" s="22"/>
      <c r="RSY143" s="22"/>
      <c r="RSZ143" s="22"/>
      <c r="RTA143" s="22"/>
      <c r="RTB143" s="22"/>
      <c r="RTC143" s="22"/>
      <c r="RTD143" s="22"/>
      <c r="RTE143" s="22"/>
      <c r="RTF143" s="22"/>
      <c r="RTG143" s="22"/>
      <c r="RTH143" s="22"/>
      <c r="RTI143" s="22"/>
      <c r="RTJ143" s="22"/>
      <c r="RTK143" s="22"/>
      <c r="RTL143" s="22"/>
      <c r="RTM143" s="22"/>
      <c r="RTN143" s="22"/>
      <c r="RTO143" s="22"/>
      <c r="RTP143" s="22"/>
      <c r="RTQ143" s="22"/>
      <c r="RTR143" s="22"/>
      <c r="RTS143" s="22"/>
      <c r="RTT143" s="22"/>
      <c r="RTU143" s="22"/>
      <c r="RTV143" s="22"/>
      <c r="RTW143" s="22"/>
      <c r="RTX143" s="22"/>
      <c r="RTY143" s="22"/>
      <c r="RTZ143" s="22"/>
      <c r="RUA143" s="22"/>
      <c r="RUB143" s="22"/>
      <c r="RUC143" s="22"/>
      <c r="RUD143" s="22"/>
      <c r="RUE143" s="22"/>
      <c r="RUF143" s="22"/>
      <c r="RUG143" s="22"/>
      <c r="RUH143" s="22"/>
      <c r="RUI143" s="22"/>
      <c r="RUJ143" s="22"/>
      <c r="RUK143" s="22"/>
      <c r="RUL143" s="22"/>
      <c r="RUM143" s="22"/>
      <c r="RUN143" s="22"/>
      <c r="RUO143" s="22"/>
      <c r="RUP143" s="22"/>
      <c r="RUQ143" s="22"/>
      <c r="RUR143" s="22"/>
      <c r="RUS143" s="22"/>
      <c r="RUT143" s="22"/>
      <c r="RUU143" s="22"/>
      <c r="RUV143" s="22"/>
      <c r="RUW143" s="22"/>
      <c r="RUX143" s="22"/>
      <c r="RUY143" s="22"/>
      <c r="RUZ143" s="22"/>
      <c r="RVA143" s="22"/>
      <c r="RVB143" s="22"/>
      <c r="RVC143" s="22"/>
      <c r="RVD143" s="22"/>
      <c r="RVE143" s="22"/>
      <c r="RVF143" s="22"/>
      <c r="RVG143" s="22"/>
      <c r="RVH143" s="22"/>
      <c r="RVI143" s="22"/>
      <c r="RVJ143" s="22"/>
      <c r="RVK143" s="22"/>
      <c r="RVL143" s="22"/>
      <c r="RVM143" s="22"/>
      <c r="RVN143" s="22"/>
      <c r="RVO143" s="22"/>
      <c r="RVP143" s="22"/>
      <c r="RVQ143" s="22"/>
      <c r="RVR143" s="22"/>
      <c r="RVS143" s="22"/>
      <c r="RVT143" s="22"/>
      <c r="RVU143" s="22"/>
      <c r="RVV143" s="22"/>
      <c r="RVW143" s="22"/>
      <c r="RVX143" s="22"/>
      <c r="RVY143" s="22"/>
      <c r="RVZ143" s="22"/>
      <c r="RWA143" s="22"/>
      <c r="RWB143" s="22"/>
      <c r="RWC143" s="22"/>
      <c r="RWD143" s="22"/>
      <c r="RWE143" s="22"/>
      <c r="RWF143" s="22"/>
      <c r="RWG143" s="22"/>
      <c r="RWH143" s="22"/>
      <c r="RWI143" s="22"/>
      <c r="RWJ143" s="22"/>
      <c r="RWK143" s="22"/>
      <c r="RWL143" s="22"/>
      <c r="RWM143" s="22"/>
      <c r="RWN143" s="22"/>
      <c r="RWO143" s="22"/>
      <c r="RWP143" s="22"/>
      <c r="RWQ143" s="22"/>
      <c r="RWR143" s="22"/>
      <c r="RWS143" s="22"/>
      <c r="RWT143" s="22"/>
      <c r="RWU143" s="22"/>
      <c r="RWV143" s="22"/>
      <c r="RWW143" s="22"/>
      <c r="RWX143" s="22"/>
      <c r="RWY143" s="22"/>
      <c r="RWZ143" s="22"/>
      <c r="RXA143" s="22"/>
      <c r="RXB143" s="22"/>
      <c r="RXC143" s="22"/>
      <c r="RXD143" s="22"/>
      <c r="RXE143" s="22"/>
      <c r="RXF143" s="22"/>
      <c r="RXG143" s="22"/>
      <c r="RXH143" s="22"/>
      <c r="RXI143" s="22"/>
      <c r="RXJ143" s="22"/>
      <c r="RXK143" s="22"/>
      <c r="RXL143" s="22"/>
      <c r="RXM143" s="22"/>
      <c r="RXN143" s="22"/>
      <c r="RXO143" s="22"/>
      <c r="RXP143" s="22"/>
      <c r="RXQ143" s="22"/>
      <c r="RXR143" s="22"/>
      <c r="RXS143" s="22"/>
      <c r="RXT143" s="22"/>
      <c r="RXU143" s="22"/>
      <c r="RXV143" s="22"/>
      <c r="RXW143" s="22"/>
      <c r="RXX143" s="22"/>
      <c r="RXY143" s="22"/>
      <c r="RXZ143" s="22"/>
      <c r="RYA143" s="22"/>
      <c r="RYB143" s="22"/>
      <c r="RYC143" s="22"/>
      <c r="RYD143" s="22"/>
      <c r="RYE143" s="22"/>
      <c r="RYF143" s="22"/>
      <c r="RYG143" s="22"/>
      <c r="RYH143" s="22"/>
      <c r="RYI143" s="22"/>
      <c r="RYJ143" s="22"/>
      <c r="RYK143" s="22"/>
      <c r="RYL143" s="22"/>
      <c r="RYM143" s="22"/>
      <c r="RYN143" s="22"/>
      <c r="RYO143" s="22"/>
      <c r="RYP143" s="22"/>
      <c r="RYQ143" s="22"/>
      <c r="RYR143" s="22"/>
      <c r="RYS143" s="22"/>
      <c r="RYT143" s="22"/>
      <c r="RYU143" s="22"/>
      <c r="RYV143" s="22"/>
      <c r="RYW143" s="22"/>
      <c r="RYX143" s="22"/>
      <c r="RYY143" s="22"/>
      <c r="RYZ143" s="22"/>
      <c r="RZA143" s="22"/>
      <c r="RZB143" s="22"/>
      <c r="RZC143" s="22"/>
      <c r="RZD143" s="22"/>
      <c r="RZE143" s="22"/>
      <c r="RZF143" s="22"/>
      <c r="RZG143" s="22"/>
      <c r="RZH143" s="22"/>
      <c r="RZI143" s="22"/>
      <c r="RZJ143" s="22"/>
      <c r="RZK143" s="22"/>
      <c r="RZL143" s="22"/>
      <c r="RZM143" s="22"/>
      <c r="RZN143" s="22"/>
      <c r="RZO143" s="22"/>
      <c r="RZP143" s="22"/>
      <c r="RZQ143" s="22"/>
      <c r="RZR143" s="22"/>
      <c r="RZS143" s="22"/>
      <c r="RZT143" s="22"/>
      <c r="RZU143" s="22"/>
      <c r="RZV143" s="22"/>
      <c r="RZW143" s="22"/>
      <c r="RZX143" s="22"/>
      <c r="RZY143" s="22"/>
      <c r="RZZ143" s="22"/>
      <c r="SAA143" s="22"/>
      <c r="SAB143" s="22"/>
      <c r="SAC143" s="22"/>
      <c r="SAD143" s="22"/>
      <c r="SAE143" s="22"/>
      <c r="SAF143" s="22"/>
      <c r="SAG143" s="22"/>
      <c r="SAH143" s="22"/>
      <c r="SAI143" s="22"/>
      <c r="SAJ143" s="22"/>
      <c r="SAK143" s="22"/>
      <c r="SAL143" s="22"/>
      <c r="SAM143" s="22"/>
      <c r="SAN143" s="22"/>
      <c r="SAO143" s="22"/>
      <c r="SAP143" s="22"/>
      <c r="SAQ143" s="22"/>
      <c r="SAR143" s="22"/>
      <c r="SAS143" s="22"/>
      <c r="SAT143" s="22"/>
      <c r="SAU143" s="22"/>
      <c r="SAV143" s="22"/>
      <c r="SAW143" s="22"/>
      <c r="SAX143" s="22"/>
      <c r="SAY143" s="22"/>
      <c r="SAZ143" s="22"/>
      <c r="SBA143" s="22"/>
      <c r="SBB143" s="22"/>
      <c r="SBC143" s="22"/>
      <c r="SBD143" s="22"/>
      <c r="SBE143" s="22"/>
      <c r="SBF143" s="22"/>
      <c r="SBG143" s="22"/>
      <c r="SBH143" s="22"/>
      <c r="SBI143" s="22"/>
      <c r="SBJ143" s="22"/>
      <c r="SBK143" s="22"/>
      <c r="SBL143" s="22"/>
      <c r="SBM143" s="22"/>
      <c r="SBN143" s="22"/>
      <c r="SBO143" s="22"/>
      <c r="SBP143" s="22"/>
      <c r="SBQ143" s="22"/>
      <c r="SBR143" s="22"/>
      <c r="SBS143" s="22"/>
      <c r="SBT143" s="22"/>
      <c r="SBU143" s="22"/>
      <c r="SBV143" s="22"/>
      <c r="SBW143" s="22"/>
      <c r="SBX143" s="22"/>
      <c r="SBY143" s="22"/>
      <c r="SBZ143" s="22"/>
      <c r="SCA143" s="22"/>
      <c r="SCB143" s="22"/>
      <c r="SCC143" s="22"/>
      <c r="SCD143" s="22"/>
      <c r="SCE143" s="22"/>
      <c r="SCF143" s="22"/>
      <c r="SCG143" s="22"/>
      <c r="SCH143" s="22"/>
      <c r="SCI143" s="22"/>
      <c r="SCJ143" s="22"/>
      <c r="SCK143" s="22"/>
      <c r="SCL143" s="22"/>
      <c r="SCM143" s="22"/>
      <c r="SCN143" s="22"/>
      <c r="SCO143" s="22"/>
      <c r="SCP143" s="22"/>
      <c r="SCQ143" s="22"/>
      <c r="SCR143" s="22"/>
      <c r="SCS143" s="22"/>
      <c r="SCT143" s="22"/>
      <c r="SCU143" s="22"/>
      <c r="SCV143" s="22"/>
      <c r="SCW143" s="22"/>
      <c r="SCX143" s="22"/>
      <c r="SCY143" s="22"/>
      <c r="SCZ143" s="22"/>
      <c r="SDA143" s="22"/>
      <c r="SDB143" s="22"/>
      <c r="SDC143" s="22"/>
      <c r="SDD143" s="22"/>
      <c r="SDE143" s="22"/>
      <c r="SDF143" s="22"/>
      <c r="SDG143" s="22"/>
      <c r="SDH143" s="22"/>
      <c r="SDI143" s="22"/>
      <c r="SDJ143" s="22"/>
      <c r="SDK143" s="22"/>
      <c r="SDL143" s="22"/>
      <c r="SDM143" s="22"/>
      <c r="SDN143" s="22"/>
      <c r="SDO143" s="22"/>
      <c r="SDP143" s="22"/>
      <c r="SDQ143" s="22"/>
      <c r="SDR143" s="22"/>
      <c r="SDS143" s="22"/>
      <c r="SDT143" s="22"/>
      <c r="SDU143" s="22"/>
      <c r="SDV143" s="22"/>
      <c r="SDW143" s="22"/>
      <c r="SDX143" s="22"/>
      <c r="SDY143" s="22"/>
      <c r="SDZ143" s="22"/>
      <c r="SEA143" s="22"/>
      <c r="SEB143" s="22"/>
      <c r="SEC143" s="22"/>
      <c r="SED143" s="22"/>
      <c r="SEE143" s="22"/>
      <c r="SEF143" s="22"/>
      <c r="SEG143" s="22"/>
      <c r="SEH143" s="22"/>
      <c r="SEI143" s="22"/>
      <c r="SEJ143" s="22"/>
      <c r="SEK143" s="22"/>
      <c r="SEL143" s="22"/>
      <c r="SEM143" s="22"/>
      <c r="SEN143" s="22"/>
      <c r="SEO143" s="22"/>
      <c r="SEP143" s="22"/>
      <c r="SEQ143" s="22"/>
      <c r="SER143" s="22"/>
      <c r="SES143" s="22"/>
      <c r="SET143" s="22"/>
      <c r="SEU143" s="22"/>
      <c r="SEV143" s="22"/>
      <c r="SEW143" s="22"/>
      <c r="SEX143" s="22"/>
      <c r="SEY143" s="22"/>
      <c r="SEZ143" s="22"/>
      <c r="SFA143" s="22"/>
      <c r="SFB143" s="22"/>
      <c r="SFC143" s="22"/>
      <c r="SFD143" s="22"/>
      <c r="SFE143" s="22"/>
      <c r="SFF143" s="22"/>
      <c r="SFG143" s="22"/>
      <c r="SFH143" s="22"/>
      <c r="SFI143" s="22"/>
      <c r="SFJ143" s="22"/>
      <c r="SFK143" s="22"/>
      <c r="SFL143" s="22"/>
      <c r="SFM143" s="22"/>
      <c r="SFN143" s="22"/>
      <c r="SFO143" s="22"/>
      <c r="SFP143" s="22"/>
      <c r="SFQ143" s="22"/>
      <c r="SFR143" s="22"/>
      <c r="SFS143" s="22"/>
      <c r="SFT143" s="22"/>
      <c r="SFU143" s="22"/>
      <c r="SFV143" s="22"/>
      <c r="SFW143" s="22"/>
      <c r="SFX143" s="22"/>
      <c r="SFY143" s="22"/>
      <c r="SFZ143" s="22"/>
      <c r="SGA143" s="22"/>
      <c r="SGB143" s="22"/>
      <c r="SGC143" s="22"/>
      <c r="SGD143" s="22"/>
      <c r="SGE143" s="22"/>
      <c r="SGF143" s="22"/>
      <c r="SGG143" s="22"/>
      <c r="SGH143" s="22"/>
      <c r="SGI143" s="22"/>
      <c r="SGJ143" s="22"/>
      <c r="SGK143" s="22"/>
      <c r="SGL143" s="22"/>
      <c r="SGM143" s="22"/>
      <c r="SGN143" s="22"/>
      <c r="SGO143" s="22"/>
      <c r="SGP143" s="22"/>
      <c r="SGQ143" s="22"/>
      <c r="SGR143" s="22"/>
      <c r="SGS143" s="22"/>
      <c r="SGT143" s="22"/>
      <c r="SGU143" s="22"/>
      <c r="SGV143" s="22"/>
      <c r="SGW143" s="22"/>
      <c r="SGX143" s="22"/>
      <c r="SGY143" s="22"/>
      <c r="SGZ143" s="22"/>
      <c r="SHA143" s="22"/>
      <c r="SHB143" s="22"/>
      <c r="SHC143" s="22"/>
      <c r="SHD143" s="22"/>
      <c r="SHE143" s="22"/>
      <c r="SHF143" s="22"/>
      <c r="SHG143" s="22"/>
      <c r="SHH143" s="22"/>
      <c r="SHI143" s="22"/>
      <c r="SHJ143" s="22"/>
      <c r="SHK143" s="22"/>
      <c r="SHL143" s="22"/>
      <c r="SHM143" s="22"/>
      <c r="SHN143" s="22"/>
      <c r="SHO143" s="22"/>
      <c r="SHP143" s="22"/>
      <c r="SHQ143" s="22"/>
      <c r="SHR143" s="22"/>
      <c r="SHS143" s="22"/>
      <c r="SHT143" s="22"/>
      <c r="SHU143" s="22"/>
      <c r="SHV143" s="22"/>
      <c r="SHW143" s="22"/>
      <c r="SHX143" s="22"/>
      <c r="SHY143" s="22"/>
      <c r="SHZ143" s="22"/>
      <c r="SIA143" s="22"/>
      <c r="SIB143" s="22"/>
      <c r="SIC143" s="22"/>
      <c r="SID143" s="22"/>
      <c r="SIE143" s="22"/>
      <c r="SIF143" s="22"/>
      <c r="SIG143" s="22"/>
      <c r="SIH143" s="22"/>
      <c r="SII143" s="22"/>
      <c r="SIJ143" s="22"/>
      <c r="SIK143" s="22"/>
      <c r="SIL143" s="22"/>
      <c r="SIM143" s="22"/>
      <c r="SIN143" s="22"/>
      <c r="SIO143" s="22"/>
      <c r="SIP143" s="22"/>
      <c r="SIQ143" s="22"/>
      <c r="SIR143" s="22"/>
      <c r="SIS143" s="22"/>
      <c r="SIT143" s="22"/>
      <c r="SIU143" s="22"/>
      <c r="SIV143" s="22"/>
      <c r="SIW143" s="22"/>
      <c r="SIX143" s="22"/>
      <c r="SIY143" s="22"/>
      <c r="SIZ143" s="22"/>
      <c r="SJA143" s="22"/>
      <c r="SJB143" s="22"/>
      <c r="SJC143" s="22"/>
      <c r="SJD143" s="22"/>
      <c r="SJE143" s="22"/>
      <c r="SJF143" s="22"/>
      <c r="SJG143" s="22"/>
      <c r="SJH143" s="22"/>
      <c r="SJI143" s="22"/>
      <c r="SJJ143" s="22"/>
      <c r="SJK143" s="22"/>
      <c r="SJL143" s="22"/>
      <c r="SJM143" s="22"/>
      <c r="SJN143" s="22"/>
      <c r="SJO143" s="22"/>
      <c r="SJP143" s="22"/>
      <c r="SJQ143" s="22"/>
      <c r="SJR143" s="22"/>
      <c r="SJS143" s="22"/>
      <c r="SJT143" s="22"/>
      <c r="SJU143" s="22"/>
      <c r="SJV143" s="22"/>
      <c r="SJW143" s="22"/>
      <c r="SJX143" s="22"/>
      <c r="SJY143" s="22"/>
      <c r="SJZ143" s="22"/>
      <c r="SKA143" s="22"/>
      <c r="SKB143" s="22"/>
      <c r="SKC143" s="22"/>
      <c r="SKD143" s="22"/>
      <c r="SKE143" s="22"/>
      <c r="SKF143" s="22"/>
      <c r="SKG143" s="22"/>
      <c r="SKH143" s="22"/>
      <c r="SKI143" s="22"/>
      <c r="SKJ143" s="22"/>
      <c r="SKK143" s="22"/>
      <c r="SKL143" s="22"/>
      <c r="SKM143" s="22"/>
      <c r="SKN143" s="22"/>
      <c r="SKO143" s="22"/>
      <c r="SKP143" s="22"/>
      <c r="SKQ143" s="22"/>
      <c r="SKR143" s="22"/>
      <c r="SKS143" s="22"/>
      <c r="SKT143" s="22"/>
      <c r="SKU143" s="22"/>
      <c r="SKV143" s="22"/>
      <c r="SKW143" s="22"/>
      <c r="SKX143" s="22"/>
      <c r="SKY143" s="22"/>
      <c r="SKZ143" s="22"/>
      <c r="SLA143" s="22"/>
      <c r="SLB143" s="22"/>
      <c r="SLC143" s="22"/>
      <c r="SLD143" s="22"/>
      <c r="SLE143" s="22"/>
      <c r="SLF143" s="22"/>
      <c r="SLG143" s="22"/>
      <c r="SLH143" s="22"/>
      <c r="SLI143" s="22"/>
      <c r="SLJ143" s="22"/>
      <c r="SLK143" s="22"/>
      <c r="SLL143" s="22"/>
      <c r="SLM143" s="22"/>
      <c r="SLN143" s="22"/>
      <c r="SLO143" s="22"/>
      <c r="SLP143" s="22"/>
      <c r="SLQ143" s="22"/>
      <c r="SLR143" s="22"/>
      <c r="SLS143" s="22"/>
      <c r="SLT143" s="22"/>
      <c r="SLU143" s="22"/>
      <c r="SLV143" s="22"/>
      <c r="SLW143" s="22"/>
      <c r="SLX143" s="22"/>
      <c r="SLY143" s="22"/>
      <c r="SLZ143" s="22"/>
      <c r="SMA143" s="22"/>
      <c r="SMB143" s="22"/>
      <c r="SMC143" s="22"/>
      <c r="SMD143" s="22"/>
      <c r="SME143" s="22"/>
      <c r="SMF143" s="22"/>
      <c r="SMG143" s="22"/>
      <c r="SMH143" s="22"/>
      <c r="SMI143" s="22"/>
      <c r="SMJ143" s="22"/>
      <c r="SMK143" s="22"/>
      <c r="SML143" s="22"/>
      <c r="SMM143" s="22"/>
      <c r="SMN143" s="22"/>
      <c r="SMO143" s="22"/>
      <c r="SMP143" s="22"/>
      <c r="SMQ143" s="22"/>
      <c r="SMR143" s="22"/>
      <c r="SMS143" s="22"/>
      <c r="SMT143" s="22"/>
      <c r="SMU143" s="22"/>
      <c r="SMV143" s="22"/>
      <c r="SMW143" s="22"/>
      <c r="SMX143" s="22"/>
      <c r="SMY143" s="22"/>
      <c r="SMZ143" s="22"/>
      <c r="SNA143" s="22"/>
      <c r="SNB143" s="22"/>
      <c r="SNC143" s="22"/>
      <c r="SND143" s="22"/>
      <c r="SNE143" s="22"/>
      <c r="SNF143" s="22"/>
      <c r="SNG143" s="22"/>
      <c r="SNH143" s="22"/>
      <c r="SNI143" s="22"/>
      <c r="SNJ143" s="22"/>
      <c r="SNK143" s="22"/>
      <c r="SNL143" s="22"/>
      <c r="SNM143" s="22"/>
      <c r="SNN143" s="22"/>
      <c r="SNO143" s="22"/>
      <c r="SNP143" s="22"/>
      <c r="SNQ143" s="22"/>
      <c r="SNR143" s="22"/>
      <c r="SNS143" s="22"/>
      <c r="SNT143" s="22"/>
      <c r="SNU143" s="22"/>
      <c r="SNV143" s="22"/>
      <c r="SNW143" s="22"/>
      <c r="SNX143" s="22"/>
      <c r="SNY143" s="22"/>
      <c r="SNZ143" s="22"/>
      <c r="SOA143" s="22"/>
      <c r="SOB143" s="22"/>
      <c r="SOC143" s="22"/>
      <c r="SOD143" s="22"/>
      <c r="SOE143" s="22"/>
      <c r="SOF143" s="22"/>
      <c r="SOG143" s="22"/>
      <c r="SOH143" s="22"/>
      <c r="SOI143" s="22"/>
      <c r="SOJ143" s="22"/>
      <c r="SOK143" s="22"/>
      <c r="SOL143" s="22"/>
      <c r="SOM143" s="22"/>
      <c r="SON143" s="22"/>
      <c r="SOO143" s="22"/>
      <c r="SOP143" s="22"/>
      <c r="SOQ143" s="22"/>
      <c r="SOR143" s="22"/>
      <c r="SOS143" s="22"/>
      <c r="SOT143" s="22"/>
      <c r="SOU143" s="22"/>
      <c r="SOV143" s="22"/>
      <c r="SOW143" s="22"/>
      <c r="SOX143" s="22"/>
      <c r="SOY143" s="22"/>
      <c r="SOZ143" s="22"/>
      <c r="SPA143" s="22"/>
      <c r="SPB143" s="22"/>
      <c r="SPC143" s="22"/>
      <c r="SPD143" s="22"/>
      <c r="SPE143" s="22"/>
      <c r="SPF143" s="22"/>
      <c r="SPG143" s="22"/>
      <c r="SPH143" s="22"/>
      <c r="SPI143" s="22"/>
      <c r="SPJ143" s="22"/>
      <c r="SPK143" s="22"/>
      <c r="SPL143" s="22"/>
      <c r="SPM143" s="22"/>
      <c r="SPN143" s="22"/>
      <c r="SPO143" s="22"/>
      <c r="SPP143" s="22"/>
      <c r="SPQ143" s="22"/>
      <c r="SPR143" s="22"/>
      <c r="SPS143" s="22"/>
      <c r="SPT143" s="22"/>
      <c r="SPU143" s="22"/>
      <c r="SPV143" s="22"/>
      <c r="SPW143" s="22"/>
      <c r="SPX143" s="22"/>
      <c r="SPY143" s="22"/>
      <c r="SPZ143" s="22"/>
      <c r="SQA143" s="22"/>
      <c r="SQB143" s="22"/>
      <c r="SQC143" s="22"/>
      <c r="SQD143" s="22"/>
      <c r="SQE143" s="22"/>
      <c r="SQF143" s="22"/>
      <c r="SQG143" s="22"/>
      <c r="SQH143" s="22"/>
      <c r="SQI143" s="22"/>
      <c r="SQJ143" s="22"/>
      <c r="SQK143" s="22"/>
      <c r="SQL143" s="22"/>
      <c r="SQM143" s="22"/>
      <c r="SQN143" s="22"/>
      <c r="SQO143" s="22"/>
      <c r="SQP143" s="22"/>
      <c r="SQQ143" s="22"/>
      <c r="SQR143" s="22"/>
      <c r="SQS143" s="22"/>
      <c r="SQT143" s="22"/>
      <c r="SQU143" s="22"/>
      <c r="SQV143" s="22"/>
      <c r="SQW143" s="22"/>
      <c r="SQX143" s="22"/>
      <c r="SQY143" s="22"/>
      <c r="SQZ143" s="22"/>
      <c r="SRA143" s="22"/>
      <c r="SRB143" s="22"/>
      <c r="SRC143" s="22"/>
      <c r="SRD143" s="22"/>
      <c r="SRE143" s="22"/>
      <c r="SRF143" s="22"/>
      <c r="SRG143" s="22"/>
      <c r="SRH143" s="22"/>
      <c r="SRI143" s="22"/>
      <c r="SRJ143" s="22"/>
      <c r="SRK143" s="22"/>
      <c r="SRL143" s="22"/>
      <c r="SRM143" s="22"/>
      <c r="SRN143" s="22"/>
      <c r="SRO143" s="22"/>
      <c r="SRP143" s="22"/>
      <c r="SRQ143" s="22"/>
      <c r="SRR143" s="22"/>
      <c r="SRS143" s="22"/>
      <c r="SRT143" s="22"/>
      <c r="SRU143" s="22"/>
      <c r="SRV143" s="22"/>
      <c r="SRW143" s="22"/>
      <c r="SRX143" s="22"/>
      <c r="SRY143" s="22"/>
      <c r="SRZ143" s="22"/>
      <c r="SSA143" s="22"/>
      <c r="SSB143" s="22"/>
      <c r="SSC143" s="22"/>
      <c r="SSD143" s="22"/>
      <c r="SSE143" s="22"/>
      <c r="SSF143" s="22"/>
      <c r="SSG143" s="22"/>
      <c r="SSH143" s="22"/>
      <c r="SSI143" s="22"/>
      <c r="SSJ143" s="22"/>
      <c r="SSK143" s="22"/>
      <c r="SSL143" s="22"/>
      <c r="SSM143" s="22"/>
      <c r="SSN143" s="22"/>
      <c r="SSO143" s="22"/>
      <c r="SSP143" s="22"/>
      <c r="SSQ143" s="22"/>
      <c r="SSR143" s="22"/>
      <c r="SSS143" s="22"/>
      <c r="SST143" s="22"/>
      <c r="SSU143" s="22"/>
      <c r="SSV143" s="22"/>
      <c r="SSW143" s="22"/>
      <c r="SSX143" s="22"/>
      <c r="SSY143" s="22"/>
      <c r="SSZ143" s="22"/>
      <c r="STA143" s="22"/>
      <c r="STB143" s="22"/>
      <c r="STC143" s="22"/>
      <c r="STD143" s="22"/>
      <c r="STE143" s="22"/>
      <c r="STF143" s="22"/>
      <c r="STG143" s="22"/>
      <c r="STH143" s="22"/>
      <c r="STI143" s="22"/>
      <c r="STJ143" s="22"/>
      <c r="STK143" s="22"/>
      <c r="STL143" s="22"/>
      <c r="STM143" s="22"/>
      <c r="STN143" s="22"/>
      <c r="STO143" s="22"/>
      <c r="STP143" s="22"/>
      <c r="STQ143" s="22"/>
      <c r="STR143" s="22"/>
      <c r="STS143" s="22"/>
      <c r="STT143" s="22"/>
      <c r="STU143" s="22"/>
      <c r="STV143" s="22"/>
      <c r="STW143" s="22"/>
      <c r="STX143" s="22"/>
      <c r="STY143" s="22"/>
      <c r="STZ143" s="22"/>
      <c r="SUA143" s="22"/>
      <c r="SUB143" s="22"/>
      <c r="SUC143" s="22"/>
      <c r="SUD143" s="22"/>
      <c r="SUE143" s="22"/>
      <c r="SUF143" s="22"/>
      <c r="SUG143" s="22"/>
      <c r="SUH143" s="22"/>
      <c r="SUI143" s="22"/>
      <c r="SUJ143" s="22"/>
      <c r="SUK143" s="22"/>
      <c r="SUL143" s="22"/>
      <c r="SUM143" s="22"/>
      <c r="SUN143" s="22"/>
      <c r="SUO143" s="22"/>
      <c r="SUP143" s="22"/>
      <c r="SUQ143" s="22"/>
      <c r="SUR143" s="22"/>
      <c r="SUS143" s="22"/>
      <c r="SUT143" s="22"/>
      <c r="SUU143" s="22"/>
      <c r="SUV143" s="22"/>
      <c r="SUW143" s="22"/>
      <c r="SUX143" s="22"/>
      <c r="SUY143" s="22"/>
      <c r="SUZ143" s="22"/>
      <c r="SVA143" s="22"/>
      <c r="SVB143" s="22"/>
      <c r="SVC143" s="22"/>
      <c r="SVD143" s="22"/>
      <c r="SVE143" s="22"/>
      <c r="SVF143" s="22"/>
      <c r="SVG143" s="22"/>
      <c r="SVH143" s="22"/>
      <c r="SVI143" s="22"/>
      <c r="SVJ143" s="22"/>
      <c r="SVK143" s="22"/>
      <c r="SVL143" s="22"/>
      <c r="SVM143" s="22"/>
      <c r="SVN143" s="22"/>
      <c r="SVO143" s="22"/>
      <c r="SVP143" s="22"/>
      <c r="SVQ143" s="22"/>
      <c r="SVR143" s="22"/>
      <c r="SVS143" s="22"/>
      <c r="SVT143" s="22"/>
      <c r="SVU143" s="22"/>
      <c r="SVV143" s="22"/>
      <c r="SVW143" s="22"/>
      <c r="SVX143" s="22"/>
      <c r="SVY143" s="22"/>
      <c r="SVZ143" s="22"/>
      <c r="SWA143" s="22"/>
      <c r="SWB143" s="22"/>
      <c r="SWC143" s="22"/>
      <c r="SWD143" s="22"/>
      <c r="SWE143" s="22"/>
      <c r="SWF143" s="22"/>
      <c r="SWG143" s="22"/>
      <c r="SWH143" s="22"/>
      <c r="SWI143" s="22"/>
      <c r="SWJ143" s="22"/>
      <c r="SWK143" s="22"/>
      <c r="SWL143" s="22"/>
      <c r="SWM143" s="22"/>
      <c r="SWN143" s="22"/>
      <c r="SWO143" s="22"/>
      <c r="SWP143" s="22"/>
      <c r="SWQ143" s="22"/>
      <c r="SWR143" s="22"/>
      <c r="SWS143" s="22"/>
      <c r="SWT143" s="22"/>
      <c r="SWU143" s="22"/>
      <c r="SWV143" s="22"/>
      <c r="SWW143" s="22"/>
      <c r="SWX143" s="22"/>
      <c r="SWY143" s="22"/>
      <c r="SWZ143" s="22"/>
      <c r="SXA143" s="22"/>
      <c r="SXB143" s="22"/>
      <c r="SXC143" s="22"/>
      <c r="SXD143" s="22"/>
      <c r="SXE143" s="22"/>
      <c r="SXF143" s="22"/>
      <c r="SXG143" s="22"/>
      <c r="SXH143" s="22"/>
      <c r="SXI143" s="22"/>
      <c r="SXJ143" s="22"/>
      <c r="SXK143" s="22"/>
      <c r="SXL143" s="22"/>
      <c r="SXM143" s="22"/>
      <c r="SXN143" s="22"/>
      <c r="SXO143" s="22"/>
      <c r="SXP143" s="22"/>
      <c r="SXQ143" s="22"/>
      <c r="SXR143" s="22"/>
      <c r="SXS143" s="22"/>
      <c r="SXT143" s="22"/>
      <c r="SXU143" s="22"/>
      <c r="SXV143" s="22"/>
      <c r="SXW143" s="22"/>
      <c r="SXX143" s="22"/>
      <c r="SXY143" s="22"/>
      <c r="SXZ143" s="22"/>
      <c r="SYA143" s="22"/>
      <c r="SYB143" s="22"/>
      <c r="SYC143" s="22"/>
      <c r="SYD143" s="22"/>
      <c r="SYE143" s="22"/>
      <c r="SYF143" s="22"/>
      <c r="SYG143" s="22"/>
      <c r="SYH143" s="22"/>
      <c r="SYI143" s="22"/>
      <c r="SYJ143" s="22"/>
      <c r="SYK143" s="22"/>
      <c r="SYL143" s="22"/>
      <c r="SYM143" s="22"/>
      <c r="SYN143" s="22"/>
      <c r="SYO143" s="22"/>
      <c r="SYP143" s="22"/>
      <c r="SYQ143" s="22"/>
      <c r="SYR143" s="22"/>
      <c r="SYS143" s="22"/>
      <c r="SYT143" s="22"/>
      <c r="SYU143" s="22"/>
      <c r="SYV143" s="22"/>
      <c r="SYW143" s="22"/>
      <c r="SYX143" s="22"/>
      <c r="SYY143" s="22"/>
      <c r="SYZ143" s="22"/>
      <c r="SZA143" s="22"/>
      <c r="SZB143" s="22"/>
      <c r="SZC143" s="22"/>
      <c r="SZD143" s="22"/>
      <c r="SZE143" s="22"/>
      <c r="SZF143" s="22"/>
      <c r="SZG143" s="22"/>
      <c r="SZH143" s="22"/>
      <c r="SZI143" s="22"/>
      <c r="SZJ143" s="22"/>
      <c r="SZK143" s="22"/>
      <c r="SZL143" s="22"/>
      <c r="SZM143" s="22"/>
      <c r="SZN143" s="22"/>
      <c r="SZO143" s="22"/>
      <c r="SZP143" s="22"/>
      <c r="SZQ143" s="22"/>
      <c r="SZR143" s="22"/>
      <c r="SZS143" s="22"/>
      <c r="SZT143" s="22"/>
      <c r="SZU143" s="22"/>
      <c r="SZV143" s="22"/>
      <c r="SZW143" s="22"/>
      <c r="SZX143" s="22"/>
      <c r="SZY143" s="22"/>
      <c r="SZZ143" s="22"/>
      <c r="TAA143" s="22"/>
      <c r="TAB143" s="22"/>
      <c r="TAC143" s="22"/>
      <c r="TAD143" s="22"/>
      <c r="TAE143" s="22"/>
      <c r="TAF143" s="22"/>
      <c r="TAG143" s="22"/>
      <c r="TAH143" s="22"/>
      <c r="TAI143" s="22"/>
      <c r="TAJ143" s="22"/>
      <c r="TAK143" s="22"/>
      <c r="TAL143" s="22"/>
      <c r="TAM143" s="22"/>
      <c r="TAN143" s="22"/>
      <c r="TAO143" s="22"/>
      <c r="TAP143" s="22"/>
      <c r="TAQ143" s="22"/>
      <c r="TAR143" s="22"/>
      <c r="TAS143" s="22"/>
      <c r="TAT143" s="22"/>
      <c r="TAU143" s="22"/>
      <c r="TAV143" s="22"/>
      <c r="TAW143" s="22"/>
      <c r="TAX143" s="22"/>
      <c r="TAY143" s="22"/>
      <c r="TAZ143" s="22"/>
      <c r="TBA143" s="22"/>
      <c r="TBB143" s="22"/>
      <c r="TBC143" s="22"/>
      <c r="TBD143" s="22"/>
      <c r="TBE143" s="22"/>
      <c r="TBF143" s="22"/>
      <c r="TBG143" s="22"/>
      <c r="TBH143" s="22"/>
      <c r="TBI143" s="22"/>
      <c r="TBJ143" s="22"/>
      <c r="TBK143" s="22"/>
      <c r="TBL143" s="22"/>
      <c r="TBM143" s="22"/>
      <c r="TBN143" s="22"/>
      <c r="TBO143" s="22"/>
      <c r="TBP143" s="22"/>
      <c r="TBQ143" s="22"/>
      <c r="TBR143" s="22"/>
      <c r="TBS143" s="22"/>
      <c r="TBT143" s="22"/>
      <c r="TBU143" s="22"/>
      <c r="TBV143" s="22"/>
      <c r="TBW143" s="22"/>
      <c r="TBX143" s="22"/>
      <c r="TBY143" s="22"/>
      <c r="TBZ143" s="22"/>
      <c r="TCA143" s="22"/>
      <c r="TCB143" s="22"/>
      <c r="TCC143" s="22"/>
      <c r="TCD143" s="22"/>
      <c r="TCE143" s="22"/>
      <c r="TCF143" s="22"/>
      <c r="TCG143" s="22"/>
      <c r="TCH143" s="22"/>
      <c r="TCI143" s="22"/>
      <c r="TCJ143" s="22"/>
      <c r="TCK143" s="22"/>
      <c r="TCL143" s="22"/>
      <c r="TCM143" s="22"/>
      <c r="TCN143" s="22"/>
      <c r="TCO143" s="22"/>
      <c r="TCP143" s="22"/>
      <c r="TCQ143" s="22"/>
      <c r="TCR143" s="22"/>
      <c r="TCS143" s="22"/>
      <c r="TCT143" s="22"/>
      <c r="TCU143" s="22"/>
      <c r="TCV143" s="22"/>
      <c r="TCW143" s="22"/>
      <c r="TCX143" s="22"/>
      <c r="TCY143" s="22"/>
      <c r="TCZ143" s="22"/>
      <c r="TDA143" s="22"/>
      <c r="TDB143" s="22"/>
      <c r="TDC143" s="22"/>
      <c r="TDD143" s="22"/>
      <c r="TDE143" s="22"/>
      <c r="TDF143" s="22"/>
      <c r="TDG143" s="22"/>
      <c r="TDH143" s="22"/>
      <c r="TDI143" s="22"/>
      <c r="TDJ143" s="22"/>
      <c r="TDK143" s="22"/>
      <c r="TDL143" s="22"/>
      <c r="TDM143" s="22"/>
      <c r="TDN143" s="22"/>
      <c r="TDO143" s="22"/>
      <c r="TDP143" s="22"/>
      <c r="TDQ143" s="22"/>
      <c r="TDR143" s="22"/>
      <c r="TDS143" s="22"/>
      <c r="TDT143" s="22"/>
      <c r="TDU143" s="22"/>
      <c r="TDV143" s="22"/>
      <c r="TDW143" s="22"/>
      <c r="TDX143" s="22"/>
      <c r="TDY143" s="22"/>
      <c r="TDZ143" s="22"/>
      <c r="TEA143" s="22"/>
      <c r="TEB143" s="22"/>
      <c r="TEC143" s="22"/>
      <c r="TED143" s="22"/>
      <c r="TEE143" s="22"/>
      <c r="TEF143" s="22"/>
      <c r="TEG143" s="22"/>
      <c r="TEH143" s="22"/>
      <c r="TEI143" s="22"/>
      <c r="TEJ143" s="22"/>
      <c r="TEK143" s="22"/>
      <c r="TEL143" s="22"/>
      <c r="TEM143" s="22"/>
      <c r="TEN143" s="22"/>
      <c r="TEO143" s="22"/>
      <c r="TEP143" s="22"/>
      <c r="TEQ143" s="22"/>
      <c r="TER143" s="22"/>
      <c r="TES143" s="22"/>
      <c r="TET143" s="22"/>
      <c r="TEU143" s="22"/>
      <c r="TEV143" s="22"/>
      <c r="TEW143" s="22"/>
      <c r="TEX143" s="22"/>
      <c r="TEY143" s="22"/>
      <c r="TEZ143" s="22"/>
      <c r="TFA143" s="22"/>
      <c r="TFB143" s="22"/>
      <c r="TFC143" s="22"/>
      <c r="TFD143" s="22"/>
      <c r="TFE143" s="22"/>
      <c r="TFF143" s="22"/>
      <c r="TFG143" s="22"/>
      <c r="TFH143" s="22"/>
      <c r="TFI143" s="22"/>
      <c r="TFJ143" s="22"/>
      <c r="TFK143" s="22"/>
      <c r="TFL143" s="22"/>
      <c r="TFM143" s="22"/>
      <c r="TFN143" s="22"/>
      <c r="TFO143" s="22"/>
      <c r="TFP143" s="22"/>
      <c r="TFQ143" s="22"/>
      <c r="TFR143" s="22"/>
      <c r="TFS143" s="22"/>
      <c r="TFT143" s="22"/>
      <c r="TFU143" s="22"/>
      <c r="TFV143" s="22"/>
      <c r="TFW143" s="22"/>
      <c r="TFX143" s="22"/>
      <c r="TFY143" s="22"/>
      <c r="TFZ143" s="22"/>
      <c r="TGA143" s="22"/>
      <c r="TGB143" s="22"/>
      <c r="TGC143" s="22"/>
      <c r="TGD143" s="22"/>
      <c r="TGE143" s="22"/>
      <c r="TGF143" s="22"/>
      <c r="TGG143" s="22"/>
      <c r="TGH143" s="22"/>
      <c r="TGI143" s="22"/>
      <c r="TGJ143" s="22"/>
      <c r="TGK143" s="22"/>
      <c r="TGL143" s="22"/>
      <c r="TGM143" s="22"/>
      <c r="TGN143" s="22"/>
      <c r="TGO143" s="22"/>
      <c r="TGP143" s="22"/>
      <c r="TGQ143" s="22"/>
      <c r="TGR143" s="22"/>
      <c r="TGS143" s="22"/>
      <c r="TGT143" s="22"/>
      <c r="TGU143" s="22"/>
      <c r="TGV143" s="22"/>
      <c r="TGW143" s="22"/>
      <c r="TGX143" s="22"/>
      <c r="TGY143" s="22"/>
      <c r="TGZ143" s="22"/>
      <c r="THA143" s="22"/>
      <c r="THB143" s="22"/>
      <c r="THC143" s="22"/>
      <c r="THD143" s="22"/>
      <c r="THE143" s="22"/>
      <c r="THF143" s="22"/>
      <c r="THG143" s="22"/>
      <c r="THH143" s="22"/>
      <c r="THI143" s="22"/>
      <c r="THJ143" s="22"/>
      <c r="THK143" s="22"/>
      <c r="THL143" s="22"/>
      <c r="THM143" s="22"/>
      <c r="THN143" s="22"/>
      <c r="THO143" s="22"/>
      <c r="THP143" s="22"/>
      <c r="THQ143" s="22"/>
      <c r="THR143" s="22"/>
      <c r="THS143" s="22"/>
      <c r="THT143" s="22"/>
      <c r="THU143" s="22"/>
      <c r="THV143" s="22"/>
      <c r="THW143" s="22"/>
      <c r="THX143" s="22"/>
      <c r="THY143" s="22"/>
      <c r="THZ143" s="22"/>
      <c r="TIA143" s="22"/>
      <c r="TIB143" s="22"/>
      <c r="TIC143" s="22"/>
      <c r="TID143" s="22"/>
      <c r="TIE143" s="22"/>
      <c r="TIF143" s="22"/>
      <c r="TIG143" s="22"/>
      <c r="TIH143" s="22"/>
      <c r="TII143" s="22"/>
      <c r="TIJ143" s="22"/>
      <c r="TIK143" s="22"/>
      <c r="TIL143" s="22"/>
      <c r="TIM143" s="22"/>
      <c r="TIN143" s="22"/>
      <c r="TIO143" s="22"/>
      <c r="TIP143" s="22"/>
      <c r="TIQ143" s="22"/>
      <c r="TIR143" s="22"/>
      <c r="TIS143" s="22"/>
      <c r="TIT143" s="22"/>
      <c r="TIU143" s="22"/>
      <c r="TIV143" s="22"/>
      <c r="TIW143" s="22"/>
      <c r="TIX143" s="22"/>
      <c r="TIY143" s="22"/>
      <c r="TIZ143" s="22"/>
      <c r="TJA143" s="22"/>
      <c r="TJB143" s="22"/>
      <c r="TJC143" s="22"/>
      <c r="TJD143" s="22"/>
      <c r="TJE143" s="22"/>
      <c r="TJF143" s="22"/>
      <c r="TJG143" s="22"/>
      <c r="TJH143" s="22"/>
      <c r="TJI143" s="22"/>
      <c r="TJJ143" s="22"/>
      <c r="TJK143" s="22"/>
      <c r="TJL143" s="22"/>
      <c r="TJM143" s="22"/>
      <c r="TJN143" s="22"/>
      <c r="TJO143" s="22"/>
      <c r="TJP143" s="22"/>
      <c r="TJQ143" s="22"/>
      <c r="TJR143" s="22"/>
      <c r="TJS143" s="22"/>
      <c r="TJT143" s="22"/>
      <c r="TJU143" s="22"/>
      <c r="TJV143" s="22"/>
      <c r="TJW143" s="22"/>
      <c r="TJX143" s="22"/>
      <c r="TJY143" s="22"/>
      <c r="TJZ143" s="22"/>
      <c r="TKA143" s="22"/>
      <c r="TKB143" s="22"/>
      <c r="TKC143" s="22"/>
      <c r="TKD143" s="22"/>
      <c r="TKE143" s="22"/>
      <c r="TKF143" s="22"/>
      <c r="TKG143" s="22"/>
      <c r="TKH143" s="22"/>
      <c r="TKI143" s="22"/>
      <c r="TKJ143" s="22"/>
      <c r="TKK143" s="22"/>
      <c r="TKL143" s="22"/>
      <c r="TKM143" s="22"/>
      <c r="TKN143" s="22"/>
      <c r="TKO143" s="22"/>
      <c r="TKP143" s="22"/>
      <c r="TKQ143" s="22"/>
      <c r="TKR143" s="22"/>
      <c r="TKS143" s="22"/>
      <c r="TKT143" s="22"/>
      <c r="TKU143" s="22"/>
      <c r="TKV143" s="22"/>
      <c r="TKW143" s="22"/>
      <c r="TKX143" s="22"/>
      <c r="TKY143" s="22"/>
      <c r="TKZ143" s="22"/>
      <c r="TLA143" s="22"/>
      <c r="TLB143" s="22"/>
      <c r="TLC143" s="22"/>
      <c r="TLD143" s="22"/>
      <c r="TLE143" s="22"/>
      <c r="TLF143" s="22"/>
      <c r="TLG143" s="22"/>
      <c r="TLH143" s="22"/>
      <c r="TLI143" s="22"/>
      <c r="TLJ143" s="22"/>
      <c r="TLK143" s="22"/>
      <c r="TLL143" s="22"/>
      <c r="TLM143" s="22"/>
      <c r="TLN143" s="22"/>
      <c r="TLO143" s="22"/>
      <c r="TLP143" s="22"/>
      <c r="TLQ143" s="22"/>
      <c r="TLR143" s="22"/>
      <c r="TLS143" s="22"/>
      <c r="TLT143" s="22"/>
      <c r="TLU143" s="22"/>
      <c r="TLV143" s="22"/>
      <c r="TLW143" s="22"/>
      <c r="TLX143" s="22"/>
      <c r="TLY143" s="22"/>
      <c r="TLZ143" s="22"/>
      <c r="TMA143" s="22"/>
      <c r="TMB143" s="22"/>
      <c r="TMC143" s="22"/>
      <c r="TMD143" s="22"/>
      <c r="TME143" s="22"/>
      <c r="TMF143" s="22"/>
      <c r="TMG143" s="22"/>
      <c r="TMH143" s="22"/>
      <c r="TMI143" s="22"/>
      <c r="TMJ143" s="22"/>
      <c r="TMK143" s="22"/>
      <c r="TML143" s="22"/>
      <c r="TMM143" s="22"/>
      <c r="TMN143" s="22"/>
      <c r="TMO143" s="22"/>
      <c r="TMP143" s="22"/>
      <c r="TMQ143" s="22"/>
      <c r="TMR143" s="22"/>
      <c r="TMS143" s="22"/>
      <c r="TMT143" s="22"/>
      <c r="TMU143" s="22"/>
      <c r="TMV143" s="22"/>
      <c r="TMW143" s="22"/>
      <c r="TMX143" s="22"/>
      <c r="TMY143" s="22"/>
      <c r="TMZ143" s="22"/>
      <c r="TNA143" s="22"/>
      <c r="TNB143" s="22"/>
      <c r="TNC143" s="22"/>
      <c r="TND143" s="22"/>
      <c r="TNE143" s="22"/>
      <c r="TNF143" s="22"/>
      <c r="TNG143" s="22"/>
      <c r="TNH143" s="22"/>
      <c r="TNI143" s="22"/>
      <c r="TNJ143" s="22"/>
      <c r="TNK143" s="22"/>
      <c r="TNL143" s="22"/>
      <c r="TNM143" s="22"/>
      <c r="TNN143" s="22"/>
      <c r="TNO143" s="22"/>
      <c r="TNP143" s="22"/>
      <c r="TNQ143" s="22"/>
      <c r="TNR143" s="22"/>
      <c r="TNS143" s="22"/>
      <c r="TNT143" s="22"/>
      <c r="TNU143" s="22"/>
      <c r="TNV143" s="22"/>
      <c r="TNW143" s="22"/>
      <c r="TNX143" s="22"/>
      <c r="TNY143" s="22"/>
      <c r="TNZ143" s="22"/>
      <c r="TOA143" s="22"/>
      <c r="TOB143" s="22"/>
      <c r="TOC143" s="22"/>
      <c r="TOD143" s="22"/>
      <c r="TOE143" s="22"/>
      <c r="TOF143" s="22"/>
      <c r="TOG143" s="22"/>
      <c r="TOH143" s="22"/>
      <c r="TOI143" s="22"/>
      <c r="TOJ143" s="22"/>
      <c r="TOK143" s="22"/>
      <c r="TOL143" s="22"/>
      <c r="TOM143" s="22"/>
      <c r="TON143" s="22"/>
      <c r="TOO143" s="22"/>
      <c r="TOP143" s="22"/>
      <c r="TOQ143" s="22"/>
      <c r="TOR143" s="22"/>
      <c r="TOS143" s="22"/>
      <c r="TOT143" s="22"/>
      <c r="TOU143" s="22"/>
      <c r="TOV143" s="22"/>
      <c r="TOW143" s="22"/>
      <c r="TOX143" s="22"/>
      <c r="TOY143" s="22"/>
      <c r="TOZ143" s="22"/>
      <c r="TPA143" s="22"/>
      <c r="TPB143" s="22"/>
      <c r="TPC143" s="22"/>
      <c r="TPD143" s="22"/>
      <c r="TPE143" s="22"/>
      <c r="TPF143" s="22"/>
      <c r="TPG143" s="22"/>
      <c r="TPH143" s="22"/>
      <c r="TPI143" s="22"/>
      <c r="TPJ143" s="22"/>
      <c r="TPK143" s="22"/>
      <c r="TPL143" s="22"/>
      <c r="TPM143" s="22"/>
      <c r="TPN143" s="22"/>
      <c r="TPO143" s="22"/>
      <c r="TPP143" s="22"/>
      <c r="TPQ143" s="22"/>
      <c r="TPR143" s="22"/>
      <c r="TPS143" s="22"/>
      <c r="TPT143" s="22"/>
      <c r="TPU143" s="22"/>
      <c r="TPV143" s="22"/>
      <c r="TPW143" s="22"/>
      <c r="TPX143" s="22"/>
      <c r="TPY143" s="22"/>
      <c r="TPZ143" s="22"/>
      <c r="TQA143" s="22"/>
      <c r="TQB143" s="22"/>
      <c r="TQC143" s="22"/>
      <c r="TQD143" s="22"/>
      <c r="TQE143" s="22"/>
      <c r="TQF143" s="22"/>
      <c r="TQG143" s="22"/>
      <c r="TQH143" s="22"/>
      <c r="TQI143" s="22"/>
      <c r="TQJ143" s="22"/>
      <c r="TQK143" s="22"/>
      <c r="TQL143" s="22"/>
      <c r="TQM143" s="22"/>
      <c r="TQN143" s="22"/>
      <c r="TQO143" s="22"/>
      <c r="TQP143" s="22"/>
      <c r="TQQ143" s="22"/>
      <c r="TQR143" s="22"/>
      <c r="TQS143" s="22"/>
      <c r="TQT143" s="22"/>
      <c r="TQU143" s="22"/>
      <c r="TQV143" s="22"/>
      <c r="TQW143" s="22"/>
      <c r="TQX143" s="22"/>
      <c r="TQY143" s="22"/>
      <c r="TQZ143" s="22"/>
      <c r="TRA143" s="22"/>
      <c r="TRB143" s="22"/>
      <c r="TRC143" s="22"/>
      <c r="TRD143" s="22"/>
      <c r="TRE143" s="22"/>
      <c r="TRF143" s="22"/>
      <c r="TRG143" s="22"/>
      <c r="TRH143" s="22"/>
      <c r="TRI143" s="22"/>
      <c r="TRJ143" s="22"/>
      <c r="TRK143" s="22"/>
      <c r="TRL143" s="22"/>
      <c r="TRM143" s="22"/>
      <c r="TRN143" s="22"/>
      <c r="TRO143" s="22"/>
      <c r="TRP143" s="22"/>
      <c r="TRQ143" s="22"/>
      <c r="TRR143" s="22"/>
      <c r="TRS143" s="22"/>
      <c r="TRT143" s="22"/>
      <c r="TRU143" s="22"/>
      <c r="TRV143" s="22"/>
      <c r="TRW143" s="22"/>
      <c r="TRX143" s="22"/>
      <c r="TRY143" s="22"/>
      <c r="TRZ143" s="22"/>
      <c r="TSA143" s="22"/>
      <c r="TSB143" s="22"/>
      <c r="TSC143" s="22"/>
      <c r="TSD143" s="22"/>
      <c r="TSE143" s="22"/>
      <c r="TSF143" s="22"/>
      <c r="TSG143" s="22"/>
      <c r="TSH143" s="22"/>
      <c r="TSI143" s="22"/>
      <c r="TSJ143" s="22"/>
      <c r="TSK143" s="22"/>
      <c r="TSL143" s="22"/>
      <c r="TSM143" s="22"/>
      <c r="TSN143" s="22"/>
      <c r="TSO143" s="22"/>
      <c r="TSP143" s="22"/>
      <c r="TSQ143" s="22"/>
      <c r="TSR143" s="22"/>
      <c r="TSS143" s="22"/>
      <c r="TST143" s="22"/>
      <c r="TSU143" s="22"/>
      <c r="TSV143" s="22"/>
      <c r="TSW143" s="22"/>
      <c r="TSX143" s="22"/>
      <c r="TSY143" s="22"/>
      <c r="TSZ143" s="22"/>
      <c r="TTA143" s="22"/>
      <c r="TTB143" s="22"/>
      <c r="TTC143" s="22"/>
      <c r="TTD143" s="22"/>
      <c r="TTE143" s="22"/>
      <c r="TTF143" s="22"/>
      <c r="TTG143" s="22"/>
      <c r="TTH143" s="22"/>
      <c r="TTI143" s="22"/>
      <c r="TTJ143" s="22"/>
      <c r="TTK143" s="22"/>
      <c r="TTL143" s="22"/>
      <c r="TTM143" s="22"/>
      <c r="TTN143" s="22"/>
      <c r="TTO143" s="22"/>
      <c r="TTP143" s="22"/>
      <c r="TTQ143" s="22"/>
      <c r="TTR143" s="22"/>
      <c r="TTS143" s="22"/>
      <c r="TTT143" s="22"/>
      <c r="TTU143" s="22"/>
      <c r="TTV143" s="22"/>
      <c r="TTW143" s="22"/>
      <c r="TTX143" s="22"/>
      <c r="TTY143" s="22"/>
      <c r="TTZ143" s="22"/>
      <c r="TUA143" s="22"/>
      <c r="TUB143" s="22"/>
      <c r="TUC143" s="22"/>
      <c r="TUD143" s="22"/>
      <c r="TUE143" s="22"/>
      <c r="TUF143" s="22"/>
      <c r="TUG143" s="22"/>
      <c r="TUH143" s="22"/>
      <c r="TUI143" s="22"/>
      <c r="TUJ143" s="22"/>
      <c r="TUK143" s="22"/>
      <c r="TUL143" s="22"/>
      <c r="TUM143" s="22"/>
      <c r="TUN143" s="22"/>
      <c r="TUO143" s="22"/>
      <c r="TUP143" s="22"/>
      <c r="TUQ143" s="22"/>
      <c r="TUR143" s="22"/>
      <c r="TUS143" s="22"/>
      <c r="TUT143" s="22"/>
      <c r="TUU143" s="22"/>
      <c r="TUV143" s="22"/>
      <c r="TUW143" s="22"/>
      <c r="TUX143" s="22"/>
      <c r="TUY143" s="22"/>
      <c r="TUZ143" s="22"/>
      <c r="TVA143" s="22"/>
      <c r="TVB143" s="22"/>
      <c r="TVC143" s="22"/>
      <c r="TVD143" s="22"/>
      <c r="TVE143" s="22"/>
      <c r="TVF143" s="22"/>
      <c r="TVG143" s="22"/>
      <c r="TVH143" s="22"/>
      <c r="TVI143" s="22"/>
      <c r="TVJ143" s="22"/>
      <c r="TVK143" s="22"/>
      <c r="TVL143" s="22"/>
      <c r="TVM143" s="22"/>
      <c r="TVN143" s="22"/>
      <c r="TVO143" s="22"/>
      <c r="TVP143" s="22"/>
      <c r="TVQ143" s="22"/>
      <c r="TVR143" s="22"/>
      <c r="TVS143" s="22"/>
      <c r="TVT143" s="22"/>
      <c r="TVU143" s="22"/>
      <c r="TVV143" s="22"/>
      <c r="TVW143" s="22"/>
      <c r="TVX143" s="22"/>
      <c r="TVY143" s="22"/>
      <c r="TVZ143" s="22"/>
      <c r="TWA143" s="22"/>
      <c r="TWB143" s="22"/>
      <c r="TWC143" s="22"/>
      <c r="TWD143" s="22"/>
      <c r="TWE143" s="22"/>
      <c r="TWF143" s="22"/>
      <c r="TWG143" s="22"/>
      <c r="TWH143" s="22"/>
      <c r="TWI143" s="22"/>
      <c r="TWJ143" s="22"/>
      <c r="TWK143" s="22"/>
      <c r="TWL143" s="22"/>
      <c r="TWM143" s="22"/>
      <c r="TWN143" s="22"/>
      <c r="TWO143" s="22"/>
      <c r="TWP143" s="22"/>
      <c r="TWQ143" s="22"/>
      <c r="TWR143" s="22"/>
      <c r="TWS143" s="22"/>
      <c r="TWT143" s="22"/>
      <c r="TWU143" s="22"/>
      <c r="TWV143" s="22"/>
      <c r="TWW143" s="22"/>
      <c r="TWX143" s="22"/>
      <c r="TWY143" s="22"/>
      <c r="TWZ143" s="22"/>
      <c r="TXA143" s="22"/>
      <c r="TXB143" s="22"/>
      <c r="TXC143" s="22"/>
      <c r="TXD143" s="22"/>
      <c r="TXE143" s="22"/>
      <c r="TXF143" s="22"/>
      <c r="TXG143" s="22"/>
      <c r="TXH143" s="22"/>
      <c r="TXI143" s="22"/>
      <c r="TXJ143" s="22"/>
      <c r="TXK143" s="22"/>
      <c r="TXL143" s="22"/>
      <c r="TXM143" s="22"/>
      <c r="TXN143" s="22"/>
      <c r="TXO143" s="22"/>
      <c r="TXP143" s="22"/>
      <c r="TXQ143" s="22"/>
      <c r="TXR143" s="22"/>
      <c r="TXS143" s="22"/>
      <c r="TXT143" s="22"/>
      <c r="TXU143" s="22"/>
      <c r="TXV143" s="22"/>
      <c r="TXW143" s="22"/>
      <c r="TXX143" s="22"/>
      <c r="TXY143" s="22"/>
      <c r="TXZ143" s="22"/>
      <c r="TYA143" s="22"/>
      <c r="TYB143" s="22"/>
      <c r="TYC143" s="22"/>
      <c r="TYD143" s="22"/>
      <c r="TYE143" s="22"/>
      <c r="TYF143" s="22"/>
      <c r="TYG143" s="22"/>
      <c r="TYH143" s="22"/>
      <c r="TYI143" s="22"/>
      <c r="TYJ143" s="22"/>
      <c r="TYK143" s="22"/>
      <c r="TYL143" s="22"/>
      <c r="TYM143" s="22"/>
      <c r="TYN143" s="22"/>
      <c r="TYO143" s="22"/>
      <c r="TYP143" s="22"/>
      <c r="TYQ143" s="22"/>
      <c r="TYR143" s="22"/>
      <c r="TYS143" s="22"/>
      <c r="TYT143" s="22"/>
      <c r="TYU143" s="22"/>
      <c r="TYV143" s="22"/>
      <c r="TYW143" s="22"/>
      <c r="TYX143" s="22"/>
      <c r="TYY143" s="22"/>
      <c r="TYZ143" s="22"/>
      <c r="TZA143" s="22"/>
      <c r="TZB143" s="22"/>
      <c r="TZC143" s="22"/>
      <c r="TZD143" s="22"/>
      <c r="TZE143" s="22"/>
      <c r="TZF143" s="22"/>
      <c r="TZG143" s="22"/>
      <c r="TZH143" s="22"/>
      <c r="TZI143" s="22"/>
      <c r="TZJ143" s="22"/>
      <c r="TZK143" s="22"/>
      <c r="TZL143" s="22"/>
      <c r="TZM143" s="22"/>
      <c r="TZN143" s="22"/>
      <c r="TZO143" s="22"/>
      <c r="TZP143" s="22"/>
      <c r="TZQ143" s="22"/>
      <c r="TZR143" s="22"/>
      <c r="TZS143" s="22"/>
      <c r="TZT143" s="22"/>
      <c r="TZU143" s="22"/>
      <c r="TZV143" s="22"/>
      <c r="TZW143" s="22"/>
      <c r="TZX143" s="22"/>
      <c r="TZY143" s="22"/>
      <c r="TZZ143" s="22"/>
      <c r="UAA143" s="22"/>
      <c r="UAB143" s="22"/>
      <c r="UAC143" s="22"/>
      <c r="UAD143" s="22"/>
      <c r="UAE143" s="22"/>
      <c r="UAF143" s="22"/>
      <c r="UAG143" s="22"/>
      <c r="UAH143" s="22"/>
      <c r="UAI143" s="22"/>
      <c r="UAJ143" s="22"/>
      <c r="UAK143" s="22"/>
      <c r="UAL143" s="22"/>
      <c r="UAM143" s="22"/>
      <c r="UAN143" s="22"/>
      <c r="UAO143" s="22"/>
      <c r="UAP143" s="22"/>
      <c r="UAQ143" s="22"/>
      <c r="UAR143" s="22"/>
      <c r="UAS143" s="22"/>
      <c r="UAT143" s="22"/>
      <c r="UAU143" s="22"/>
      <c r="UAV143" s="22"/>
      <c r="UAW143" s="22"/>
      <c r="UAX143" s="22"/>
      <c r="UAY143" s="22"/>
      <c r="UAZ143" s="22"/>
      <c r="UBA143" s="22"/>
      <c r="UBB143" s="22"/>
      <c r="UBC143" s="22"/>
      <c r="UBD143" s="22"/>
      <c r="UBE143" s="22"/>
      <c r="UBF143" s="22"/>
      <c r="UBG143" s="22"/>
      <c r="UBH143" s="22"/>
      <c r="UBI143" s="22"/>
      <c r="UBJ143" s="22"/>
      <c r="UBK143" s="22"/>
      <c r="UBL143" s="22"/>
      <c r="UBM143" s="22"/>
      <c r="UBN143" s="22"/>
      <c r="UBO143" s="22"/>
      <c r="UBP143" s="22"/>
      <c r="UBQ143" s="22"/>
      <c r="UBR143" s="22"/>
      <c r="UBS143" s="22"/>
      <c r="UBT143" s="22"/>
      <c r="UBU143" s="22"/>
      <c r="UBV143" s="22"/>
      <c r="UBW143" s="22"/>
      <c r="UBX143" s="22"/>
      <c r="UBY143" s="22"/>
      <c r="UBZ143" s="22"/>
      <c r="UCA143" s="22"/>
      <c r="UCB143" s="22"/>
      <c r="UCC143" s="22"/>
      <c r="UCD143" s="22"/>
      <c r="UCE143" s="22"/>
      <c r="UCF143" s="22"/>
      <c r="UCG143" s="22"/>
      <c r="UCH143" s="22"/>
      <c r="UCI143" s="22"/>
      <c r="UCJ143" s="22"/>
      <c r="UCK143" s="22"/>
      <c r="UCL143" s="22"/>
      <c r="UCM143" s="22"/>
      <c r="UCN143" s="22"/>
      <c r="UCO143" s="22"/>
      <c r="UCP143" s="22"/>
      <c r="UCQ143" s="22"/>
      <c r="UCR143" s="22"/>
      <c r="UCS143" s="22"/>
      <c r="UCT143" s="22"/>
      <c r="UCU143" s="22"/>
      <c r="UCV143" s="22"/>
      <c r="UCW143" s="22"/>
      <c r="UCX143" s="22"/>
      <c r="UCY143" s="22"/>
      <c r="UCZ143" s="22"/>
      <c r="UDA143" s="22"/>
      <c r="UDB143" s="22"/>
      <c r="UDC143" s="22"/>
      <c r="UDD143" s="22"/>
      <c r="UDE143" s="22"/>
      <c r="UDF143" s="22"/>
      <c r="UDG143" s="22"/>
      <c r="UDH143" s="22"/>
      <c r="UDI143" s="22"/>
      <c r="UDJ143" s="22"/>
      <c r="UDK143" s="22"/>
      <c r="UDL143" s="22"/>
      <c r="UDM143" s="22"/>
      <c r="UDN143" s="22"/>
      <c r="UDO143" s="22"/>
      <c r="UDP143" s="22"/>
      <c r="UDQ143" s="22"/>
      <c r="UDR143" s="22"/>
      <c r="UDS143" s="22"/>
      <c r="UDT143" s="22"/>
      <c r="UDU143" s="22"/>
      <c r="UDV143" s="22"/>
      <c r="UDW143" s="22"/>
      <c r="UDX143" s="22"/>
      <c r="UDY143" s="22"/>
      <c r="UDZ143" s="22"/>
      <c r="UEA143" s="22"/>
      <c r="UEB143" s="22"/>
      <c r="UEC143" s="22"/>
      <c r="UED143" s="22"/>
      <c r="UEE143" s="22"/>
      <c r="UEF143" s="22"/>
      <c r="UEG143" s="22"/>
      <c r="UEH143" s="22"/>
      <c r="UEI143" s="22"/>
      <c r="UEJ143" s="22"/>
      <c r="UEK143" s="22"/>
      <c r="UEL143" s="22"/>
      <c r="UEM143" s="22"/>
      <c r="UEN143" s="22"/>
      <c r="UEO143" s="22"/>
      <c r="UEP143" s="22"/>
      <c r="UEQ143" s="22"/>
      <c r="UER143" s="22"/>
      <c r="UES143" s="22"/>
      <c r="UET143" s="22"/>
      <c r="UEU143" s="22"/>
      <c r="UEV143" s="22"/>
      <c r="UEW143" s="22"/>
      <c r="UEX143" s="22"/>
      <c r="UEY143" s="22"/>
      <c r="UEZ143" s="22"/>
      <c r="UFA143" s="22"/>
      <c r="UFB143" s="22"/>
      <c r="UFC143" s="22"/>
      <c r="UFD143" s="22"/>
      <c r="UFE143" s="22"/>
      <c r="UFF143" s="22"/>
      <c r="UFG143" s="22"/>
      <c r="UFH143" s="22"/>
      <c r="UFI143" s="22"/>
      <c r="UFJ143" s="22"/>
      <c r="UFK143" s="22"/>
      <c r="UFL143" s="22"/>
      <c r="UFM143" s="22"/>
      <c r="UFN143" s="22"/>
      <c r="UFO143" s="22"/>
      <c r="UFP143" s="22"/>
      <c r="UFQ143" s="22"/>
      <c r="UFR143" s="22"/>
      <c r="UFS143" s="22"/>
      <c r="UFT143" s="22"/>
      <c r="UFU143" s="22"/>
      <c r="UFV143" s="22"/>
      <c r="UFW143" s="22"/>
      <c r="UFX143" s="22"/>
      <c r="UFY143" s="22"/>
      <c r="UFZ143" s="22"/>
      <c r="UGA143" s="22"/>
      <c r="UGB143" s="22"/>
      <c r="UGC143" s="22"/>
      <c r="UGD143" s="22"/>
      <c r="UGE143" s="22"/>
      <c r="UGF143" s="22"/>
      <c r="UGG143" s="22"/>
      <c r="UGH143" s="22"/>
      <c r="UGI143" s="22"/>
      <c r="UGJ143" s="22"/>
      <c r="UGK143" s="22"/>
      <c r="UGL143" s="22"/>
      <c r="UGM143" s="22"/>
      <c r="UGN143" s="22"/>
      <c r="UGO143" s="22"/>
      <c r="UGP143" s="22"/>
      <c r="UGQ143" s="22"/>
      <c r="UGR143" s="22"/>
      <c r="UGS143" s="22"/>
      <c r="UGT143" s="22"/>
      <c r="UGU143" s="22"/>
      <c r="UGV143" s="22"/>
      <c r="UGW143" s="22"/>
      <c r="UGX143" s="22"/>
      <c r="UGY143" s="22"/>
      <c r="UGZ143" s="22"/>
      <c r="UHA143" s="22"/>
      <c r="UHB143" s="22"/>
      <c r="UHC143" s="22"/>
      <c r="UHD143" s="22"/>
      <c r="UHE143" s="22"/>
      <c r="UHF143" s="22"/>
      <c r="UHG143" s="22"/>
      <c r="UHH143" s="22"/>
      <c r="UHI143" s="22"/>
      <c r="UHJ143" s="22"/>
      <c r="UHK143" s="22"/>
      <c r="UHL143" s="22"/>
      <c r="UHM143" s="22"/>
      <c r="UHN143" s="22"/>
      <c r="UHO143" s="22"/>
      <c r="UHP143" s="22"/>
      <c r="UHQ143" s="22"/>
      <c r="UHR143" s="22"/>
      <c r="UHS143" s="22"/>
      <c r="UHT143" s="22"/>
      <c r="UHU143" s="22"/>
      <c r="UHV143" s="22"/>
      <c r="UHW143" s="22"/>
      <c r="UHX143" s="22"/>
      <c r="UHY143" s="22"/>
      <c r="UHZ143" s="22"/>
      <c r="UIA143" s="22"/>
      <c r="UIB143" s="22"/>
      <c r="UIC143" s="22"/>
      <c r="UID143" s="22"/>
      <c r="UIE143" s="22"/>
      <c r="UIF143" s="22"/>
      <c r="UIG143" s="22"/>
      <c r="UIH143" s="22"/>
      <c r="UII143" s="22"/>
      <c r="UIJ143" s="22"/>
      <c r="UIK143" s="22"/>
      <c r="UIL143" s="22"/>
      <c r="UIM143" s="22"/>
      <c r="UIN143" s="22"/>
      <c r="UIO143" s="22"/>
      <c r="UIP143" s="22"/>
      <c r="UIQ143" s="22"/>
      <c r="UIR143" s="22"/>
      <c r="UIS143" s="22"/>
      <c r="UIT143" s="22"/>
      <c r="UIU143" s="22"/>
      <c r="UIV143" s="22"/>
      <c r="UIW143" s="22"/>
      <c r="UIX143" s="22"/>
      <c r="UIY143" s="22"/>
      <c r="UIZ143" s="22"/>
      <c r="UJA143" s="22"/>
      <c r="UJB143" s="22"/>
      <c r="UJC143" s="22"/>
      <c r="UJD143" s="22"/>
      <c r="UJE143" s="22"/>
      <c r="UJF143" s="22"/>
      <c r="UJG143" s="22"/>
      <c r="UJH143" s="22"/>
      <c r="UJI143" s="22"/>
      <c r="UJJ143" s="22"/>
      <c r="UJK143" s="22"/>
      <c r="UJL143" s="22"/>
      <c r="UJM143" s="22"/>
      <c r="UJN143" s="22"/>
      <c r="UJO143" s="22"/>
      <c r="UJP143" s="22"/>
      <c r="UJQ143" s="22"/>
      <c r="UJR143" s="22"/>
      <c r="UJS143" s="22"/>
      <c r="UJT143" s="22"/>
      <c r="UJU143" s="22"/>
      <c r="UJV143" s="22"/>
      <c r="UJW143" s="22"/>
      <c r="UJX143" s="22"/>
      <c r="UJY143" s="22"/>
      <c r="UJZ143" s="22"/>
      <c r="UKA143" s="22"/>
      <c r="UKB143" s="22"/>
      <c r="UKC143" s="22"/>
      <c r="UKD143" s="22"/>
      <c r="UKE143" s="22"/>
      <c r="UKF143" s="22"/>
      <c r="UKG143" s="22"/>
      <c r="UKH143" s="22"/>
      <c r="UKI143" s="22"/>
      <c r="UKJ143" s="22"/>
      <c r="UKK143" s="22"/>
      <c r="UKL143" s="22"/>
      <c r="UKM143" s="22"/>
      <c r="UKN143" s="22"/>
      <c r="UKO143" s="22"/>
      <c r="UKP143" s="22"/>
      <c r="UKQ143" s="22"/>
      <c r="UKR143" s="22"/>
      <c r="UKS143" s="22"/>
      <c r="UKT143" s="22"/>
      <c r="UKU143" s="22"/>
      <c r="UKV143" s="22"/>
      <c r="UKW143" s="22"/>
      <c r="UKX143" s="22"/>
      <c r="UKY143" s="22"/>
      <c r="UKZ143" s="22"/>
      <c r="ULA143" s="22"/>
      <c r="ULB143" s="22"/>
      <c r="ULC143" s="22"/>
      <c r="ULD143" s="22"/>
      <c r="ULE143" s="22"/>
      <c r="ULF143" s="22"/>
      <c r="ULG143" s="22"/>
      <c r="ULH143" s="22"/>
      <c r="ULI143" s="22"/>
      <c r="ULJ143" s="22"/>
      <c r="ULK143" s="22"/>
      <c r="ULL143" s="22"/>
      <c r="ULM143" s="22"/>
      <c r="ULN143" s="22"/>
      <c r="ULO143" s="22"/>
      <c r="ULP143" s="22"/>
      <c r="ULQ143" s="22"/>
      <c r="ULR143" s="22"/>
      <c r="ULS143" s="22"/>
      <c r="ULT143" s="22"/>
      <c r="ULU143" s="22"/>
      <c r="ULV143" s="22"/>
      <c r="ULW143" s="22"/>
      <c r="ULX143" s="22"/>
      <c r="ULY143" s="22"/>
      <c r="ULZ143" s="22"/>
      <c r="UMA143" s="22"/>
      <c r="UMB143" s="22"/>
      <c r="UMC143" s="22"/>
      <c r="UMD143" s="22"/>
      <c r="UME143" s="22"/>
      <c r="UMF143" s="22"/>
      <c r="UMG143" s="22"/>
      <c r="UMH143" s="22"/>
      <c r="UMI143" s="22"/>
      <c r="UMJ143" s="22"/>
      <c r="UMK143" s="22"/>
      <c r="UML143" s="22"/>
      <c r="UMM143" s="22"/>
      <c r="UMN143" s="22"/>
      <c r="UMO143" s="22"/>
      <c r="UMP143" s="22"/>
      <c r="UMQ143" s="22"/>
      <c r="UMR143" s="22"/>
      <c r="UMS143" s="22"/>
      <c r="UMT143" s="22"/>
      <c r="UMU143" s="22"/>
      <c r="UMV143" s="22"/>
      <c r="UMW143" s="22"/>
      <c r="UMX143" s="22"/>
      <c r="UMY143" s="22"/>
      <c r="UMZ143" s="22"/>
      <c r="UNA143" s="22"/>
      <c r="UNB143" s="22"/>
      <c r="UNC143" s="22"/>
      <c r="UND143" s="22"/>
      <c r="UNE143" s="22"/>
      <c r="UNF143" s="22"/>
      <c r="UNG143" s="22"/>
      <c r="UNH143" s="22"/>
      <c r="UNI143" s="22"/>
      <c r="UNJ143" s="22"/>
      <c r="UNK143" s="22"/>
      <c r="UNL143" s="22"/>
      <c r="UNM143" s="22"/>
      <c r="UNN143" s="22"/>
      <c r="UNO143" s="22"/>
      <c r="UNP143" s="22"/>
      <c r="UNQ143" s="22"/>
      <c r="UNR143" s="22"/>
      <c r="UNS143" s="22"/>
      <c r="UNT143" s="22"/>
      <c r="UNU143" s="22"/>
      <c r="UNV143" s="22"/>
      <c r="UNW143" s="22"/>
      <c r="UNX143" s="22"/>
      <c r="UNY143" s="22"/>
      <c r="UNZ143" s="22"/>
      <c r="UOA143" s="22"/>
      <c r="UOB143" s="22"/>
      <c r="UOC143" s="22"/>
      <c r="UOD143" s="22"/>
      <c r="UOE143" s="22"/>
      <c r="UOF143" s="22"/>
      <c r="UOG143" s="22"/>
      <c r="UOH143" s="22"/>
      <c r="UOI143" s="22"/>
      <c r="UOJ143" s="22"/>
      <c r="UOK143" s="22"/>
      <c r="UOL143" s="22"/>
      <c r="UOM143" s="22"/>
      <c r="UON143" s="22"/>
      <c r="UOO143" s="22"/>
      <c r="UOP143" s="22"/>
      <c r="UOQ143" s="22"/>
      <c r="UOR143" s="22"/>
      <c r="UOS143" s="22"/>
      <c r="UOT143" s="22"/>
      <c r="UOU143" s="22"/>
      <c r="UOV143" s="22"/>
      <c r="UOW143" s="22"/>
      <c r="UOX143" s="22"/>
      <c r="UOY143" s="22"/>
      <c r="UOZ143" s="22"/>
      <c r="UPA143" s="22"/>
      <c r="UPB143" s="22"/>
      <c r="UPC143" s="22"/>
      <c r="UPD143" s="22"/>
      <c r="UPE143" s="22"/>
      <c r="UPF143" s="22"/>
      <c r="UPG143" s="22"/>
      <c r="UPH143" s="22"/>
      <c r="UPI143" s="22"/>
      <c r="UPJ143" s="22"/>
      <c r="UPK143" s="22"/>
      <c r="UPL143" s="22"/>
      <c r="UPM143" s="22"/>
      <c r="UPN143" s="22"/>
      <c r="UPO143" s="22"/>
      <c r="UPP143" s="22"/>
      <c r="UPQ143" s="22"/>
      <c r="UPR143" s="22"/>
      <c r="UPS143" s="22"/>
      <c r="UPT143" s="22"/>
      <c r="UPU143" s="22"/>
      <c r="UPV143" s="22"/>
      <c r="UPW143" s="22"/>
      <c r="UPX143" s="22"/>
      <c r="UPY143" s="22"/>
      <c r="UPZ143" s="22"/>
      <c r="UQA143" s="22"/>
      <c r="UQB143" s="22"/>
      <c r="UQC143" s="22"/>
      <c r="UQD143" s="22"/>
      <c r="UQE143" s="22"/>
      <c r="UQF143" s="22"/>
      <c r="UQG143" s="22"/>
      <c r="UQH143" s="22"/>
      <c r="UQI143" s="22"/>
      <c r="UQJ143" s="22"/>
      <c r="UQK143" s="22"/>
      <c r="UQL143" s="22"/>
      <c r="UQM143" s="22"/>
      <c r="UQN143" s="22"/>
      <c r="UQO143" s="22"/>
      <c r="UQP143" s="22"/>
      <c r="UQQ143" s="22"/>
      <c r="UQR143" s="22"/>
      <c r="UQS143" s="22"/>
      <c r="UQT143" s="22"/>
      <c r="UQU143" s="22"/>
      <c r="UQV143" s="22"/>
      <c r="UQW143" s="22"/>
      <c r="UQX143" s="22"/>
      <c r="UQY143" s="22"/>
      <c r="UQZ143" s="22"/>
      <c r="URA143" s="22"/>
      <c r="URB143" s="22"/>
      <c r="URC143" s="22"/>
      <c r="URD143" s="22"/>
      <c r="URE143" s="22"/>
      <c r="URF143" s="22"/>
      <c r="URG143" s="22"/>
      <c r="URH143" s="22"/>
      <c r="URI143" s="22"/>
      <c r="URJ143" s="22"/>
      <c r="URK143" s="22"/>
      <c r="URL143" s="22"/>
      <c r="URM143" s="22"/>
      <c r="URN143" s="22"/>
      <c r="URO143" s="22"/>
      <c r="URP143" s="22"/>
      <c r="URQ143" s="22"/>
      <c r="URR143" s="22"/>
      <c r="URS143" s="22"/>
      <c r="URT143" s="22"/>
      <c r="URU143" s="22"/>
      <c r="URV143" s="22"/>
      <c r="URW143" s="22"/>
      <c r="URX143" s="22"/>
      <c r="URY143" s="22"/>
      <c r="URZ143" s="22"/>
      <c r="USA143" s="22"/>
      <c r="USB143" s="22"/>
      <c r="USC143" s="22"/>
      <c r="USD143" s="22"/>
      <c r="USE143" s="22"/>
      <c r="USF143" s="22"/>
      <c r="USG143" s="22"/>
      <c r="USH143" s="22"/>
      <c r="USI143" s="22"/>
      <c r="USJ143" s="22"/>
      <c r="USK143" s="22"/>
      <c r="USL143" s="22"/>
      <c r="USM143" s="22"/>
      <c r="USN143" s="22"/>
      <c r="USO143" s="22"/>
      <c r="USP143" s="22"/>
      <c r="USQ143" s="22"/>
      <c r="USR143" s="22"/>
      <c r="USS143" s="22"/>
      <c r="UST143" s="22"/>
      <c r="USU143" s="22"/>
      <c r="USV143" s="22"/>
      <c r="USW143" s="22"/>
      <c r="USX143" s="22"/>
      <c r="USY143" s="22"/>
      <c r="USZ143" s="22"/>
      <c r="UTA143" s="22"/>
      <c r="UTB143" s="22"/>
      <c r="UTC143" s="22"/>
      <c r="UTD143" s="22"/>
      <c r="UTE143" s="22"/>
      <c r="UTF143" s="22"/>
      <c r="UTG143" s="22"/>
      <c r="UTH143" s="22"/>
      <c r="UTI143" s="22"/>
      <c r="UTJ143" s="22"/>
      <c r="UTK143" s="22"/>
      <c r="UTL143" s="22"/>
      <c r="UTM143" s="22"/>
      <c r="UTN143" s="22"/>
      <c r="UTO143" s="22"/>
      <c r="UTP143" s="22"/>
      <c r="UTQ143" s="22"/>
      <c r="UTR143" s="22"/>
      <c r="UTS143" s="22"/>
      <c r="UTT143" s="22"/>
      <c r="UTU143" s="22"/>
      <c r="UTV143" s="22"/>
      <c r="UTW143" s="22"/>
      <c r="UTX143" s="22"/>
      <c r="UTY143" s="22"/>
      <c r="UTZ143" s="22"/>
      <c r="UUA143" s="22"/>
      <c r="UUB143" s="22"/>
      <c r="UUC143" s="22"/>
      <c r="UUD143" s="22"/>
      <c r="UUE143" s="22"/>
      <c r="UUF143" s="22"/>
      <c r="UUG143" s="22"/>
      <c r="UUH143" s="22"/>
      <c r="UUI143" s="22"/>
      <c r="UUJ143" s="22"/>
      <c r="UUK143" s="22"/>
      <c r="UUL143" s="22"/>
      <c r="UUM143" s="22"/>
      <c r="UUN143" s="22"/>
      <c r="UUO143" s="22"/>
      <c r="UUP143" s="22"/>
      <c r="UUQ143" s="22"/>
      <c r="UUR143" s="22"/>
      <c r="UUS143" s="22"/>
      <c r="UUT143" s="22"/>
      <c r="UUU143" s="22"/>
      <c r="UUV143" s="22"/>
      <c r="UUW143" s="22"/>
      <c r="UUX143" s="22"/>
      <c r="UUY143" s="22"/>
      <c r="UUZ143" s="22"/>
      <c r="UVA143" s="22"/>
      <c r="UVB143" s="22"/>
      <c r="UVC143" s="22"/>
      <c r="UVD143" s="22"/>
      <c r="UVE143" s="22"/>
      <c r="UVF143" s="22"/>
      <c r="UVG143" s="22"/>
      <c r="UVH143" s="22"/>
      <c r="UVI143" s="22"/>
      <c r="UVJ143" s="22"/>
      <c r="UVK143" s="22"/>
      <c r="UVL143" s="22"/>
      <c r="UVM143" s="22"/>
      <c r="UVN143" s="22"/>
      <c r="UVO143" s="22"/>
      <c r="UVP143" s="22"/>
      <c r="UVQ143" s="22"/>
      <c r="UVR143" s="22"/>
      <c r="UVS143" s="22"/>
      <c r="UVT143" s="22"/>
      <c r="UVU143" s="22"/>
      <c r="UVV143" s="22"/>
      <c r="UVW143" s="22"/>
      <c r="UVX143" s="22"/>
      <c r="UVY143" s="22"/>
      <c r="UVZ143" s="22"/>
      <c r="UWA143" s="22"/>
      <c r="UWB143" s="22"/>
      <c r="UWC143" s="22"/>
      <c r="UWD143" s="22"/>
      <c r="UWE143" s="22"/>
      <c r="UWF143" s="22"/>
      <c r="UWG143" s="22"/>
      <c r="UWH143" s="22"/>
      <c r="UWI143" s="22"/>
      <c r="UWJ143" s="22"/>
      <c r="UWK143" s="22"/>
      <c r="UWL143" s="22"/>
      <c r="UWM143" s="22"/>
      <c r="UWN143" s="22"/>
      <c r="UWO143" s="22"/>
      <c r="UWP143" s="22"/>
      <c r="UWQ143" s="22"/>
      <c r="UWR143" s="22"/>
      <c r="UWS143" s="22"/>
      <c r="UWT143" s="22"/>
      <c r="UWU143" s="22"/>
      <c r="UWV143" s="22"/>
      <c r="UWW143" s="22"/>
      <c r="UWX143" s="22"/>
      <c r="UWY143" s="22"/>
      <c r="UWZ143" s="22"/>
      <c r="UXA143" s="22"/>
      <c r="UXB143" s="22"/>
      <c r="UXC143" s="22"/>
      <c r="UXD143" s="22"/>
      <c r="UXE143" s="22"/>
      <c r="UXF143" s="22"/>
      <c r="UXG143" s="22"/>
      <c r="UXH143" s="22"/>
      <c r="UXI143" s="22"/>
      <c r="UXJ143" s="22"/>
      <c r="UXK143" s="22"/>
      <c r="UXL143" s="22"/>
      <c r="UXM143" s="22"/>
      <c r="UXN143" s="22"/>
      <c r="UXO143" s="22"/>
      <c r="UXP143" s="22"/>
      <c r="UXQ143" s="22"/>
      <c r="UXR143" s="22"/>
      <c r="UXS143" s="22"/>
      <c r="UXT143" s="22"/>
      <c r="UXU143" s="22"/>
      <c r="UXV143" s="22"/>
      <c r="UXW143" s="22"/>
      <c r="UXX143" s="22"/>
      <c r="UXY143" s="22"/>
      <c r="UXZ143" s="22"/>
      <c r="UYA143" s="22"/>
      <c r="UYB143" s="22"/>
      <c r="UYC143" s="22"/>
      <c r="UYD143" s="22"/>
      <c r="UYE143" s="22"/>
      <c r="UYF143" s="22"/>
      <c r="UYG143" s="22"/>
      <c r="UYH143" s="22"/>
      <c r="UYI143" s="22"/>
      <c r="UYJ143" s="22"/>
      <c r="UYK143" s="22"/>
      <c r="UYL143" s="22"/>
      <c r="UYM143" s="22"/>
      <c r="UYN143" s="22"/>
      <c r="UYO143" s="22"/>
      <c r="UYP143" s="22"/>
      <c r="UYQ143" s="22"/>
      <c r="UYR143" s="22"/>
      <c r="UYS143" s="22"/>
      <c r="UYT143" s="22"/>
      <c r="UYU143" s="22"/>
      <c r="UYV143" s="22"/>
      <c r="UYW143" s="22"/>
      <c r="UYX143" s="22"/>
      <c r="UYY143" s="22"/>
      <c r="UYZ143" s="22"/>
      <c r="UZA143" s="22"/>
      <c r="UZB143" s="22"/>
      <c r="UZC143" s="22"/>
      <c r="UZD143" s="22"/>
      <c r="UZE143" s="22"/>
      <c r="UZF143" s="22"/>
      <c r="UZG143" s="22"/>
      <c r="UZH143" s="22"/>
      <c r="UZI143" s="22"/>
      <c r="UZJ143" s="22"/>
      <c r="UZK143" s="22"/>
      <c r="UZL143" s="22"/>
      <c r="UZM143" s="22"/>
      <c r="UZN143" s="22"/>
      <c r="UZO143" s="22"/>
      <c r="UZP143" s="22"/>
      <c r="UZQ143" s="22"/>
      <c r="UZR143" s="22"/>
      <c r="UZS143" s="22"/>
      <c r="UZT143" s="22"/>
      <c r="UZU143" s="22"/>
      <c r="UZV143" s="22"/>
      <c r="UZW143" s="22"/>
      <c r="UZX143" s="22"/>
      <c r="UZY143" s="22"/>
      <c r="UZZ143" s="22"/>
      <c r="VAA143" s="22"/>
      <c r="VAB143" s="22"/>
      <c r="VAC143" s="22"/>
      <c r="VAD143" s="22"/>
      <c r="VAE143" s="22"/>
      <c r="VAF143" s="22"/>
      <c r="VAG143" s="22"/>
      <c r="VAH143" s="22"/>
      <c r="VAI143" s="22"/>
      <c r="VAJ143" s="22"/>
      <c r="VAK143" s="22"/>
      <c r="VAL143" s="22"/>
      <c r="VAM143" s="22"/>
      <c r="VAN143" s="22"/>
      <c r="VAO143" s="22"/>
      <c r="VAP143" s="22"/>
      <c r="VAQ143" s="22"/>
      <c r="VAR143" s="22"/>
      <c r="VAS143" s="22"/>
      <c r="VAT143" s="22"/>
      <c r="VAU143" s="22"/>
      <c r="VAV143" s="22"/>
      <c r="VAW143" s="22"/>
      <c r="VAX143" s="22"/>
      <c r="VAY143" s="22"/>
      <c r="VAZ143" s="22"/>
      <c r="VBA143" s="22"/>
      <c r="VBB143" s="22"/>
      <c r="VBC143" s="22"/>
      <c r="VBD143" s="22"/>
      <c r="VBE143" s="22"/>
      <c r="VBF143" s="22"/>
      <c r="VBG143" s="22"/>
      <c r="VBH143" s="22"/>
      <c r="VBI143" s="22"/>
      <c r="VBJ143" s="22"/>
      <c r="VBK143" s="22"/>
      <c r="VBL143" s="22"/>
      <c r="VBM143" s="22"/>
      <c r="VBN143" s="22"/>
      <c r="VBO143" s="22"/>
      <c r="VBP143" s="22"/>
      <c r="VBQ143" s="22"/>
      <c r="VBR143" s="22"/>
      <c r="VBS143" s="22"/>
      <c r="VBT143" s="22"/>
      <c r="VBU143" s="22"/>
      <c r="VBV143" s="22"/>
      <c r="VBW143" s="22"/>
      <c r="VBX143" s="22"/>
      <c r="VBY143" s="22"/>
      <c r="VBZ143" s="22"/>
      <c r="VCA143" s="22"/>
      <c r="VCB143" s="22"/>
      <c r="VCC143" s="22"/>
      <c r="VCD143" s="22"/>
      <c r="VCE143" s="22"/>
      <c r="VCF143" s="22"/>
      <c r="VCG143" s="22"/>
      <c r="VCH143" s="22"/>
      <c r="VCI143" s="22"/>
      <c r="VCJ143" s="22"/>
      <c r="VCK143" s="22"/>
      <c r="VCL143" s="22"/>
      <c r="VCM143" s="22"/>
      <c r="VCN143" s="22"/>
      <c r="VCO143" s="22"/>
      <c r="VCP143" s="22"/>
      <c r="VCQ143" s="22"/>
      <c r="VCR143" s="22"/>
      <c r="VCS143" s="22"/>
      <c r="VCT143" s="22"/>
      <c r="VCU143" s="22"/>
      <c r="VCV143" s="22"/>
      <c r="VCW143" s="22"/>
      <c r="VCX143" s="22"/>
      <c r="VCY143" s="22"/>
      <c r="VCZ143" s="22"/>
      <c r="VDA143" s="22"/>
      <c r="VDB143" s="22"/>
      <c r="VDC143" s="22"/>
      <c r="VDD143" s="22"/>
      <c r="VDE143" s="22"/>
      <c r="VDF143" s="22"/>
      <c r="VDG143" s="22"/>
      <c r="VDH143" s="22"/>
      <c r="VDI143" s="22"/>
      <c r="VDJ143" s="22"/>
      <c r="VDK143" s="22"/>
      <c r="VDL143" s="22"/>
      <c r="VDM143" s="22"/>
      <c r="VDN143" s="22"/>
      <c r="VDO143" s="22"/>
      <c r="VDP143" s="22"/>
      <c r="VDQ143" s="22"/>
      <c r="VDR143" s="22"/>
      <c r="VDS143" s="22"/>
      <c r="VDT143" s="22"/>
      <c r="VDU143" s="22"/>
      <c r="VDV143" s="22"/>
      <c r="VDW143" s="22"/>
      <c r="VDX143" s="22"/>
      <c r="VDY143" s="22"/>
      <c r="VDZ143" s="22"/>
      <c r="VEA143" s="22"/>
      <c r="VEB143" s="22"/>
      <c r="VEC143" s="22"/>
      <c r="VED143" s="22"/>
      <c r="VEE143" s="22"/>
      <c r="VEF143" s="22"/>
      <c r="VEG143" s="22"/>
      <c r="VEH143" s="22"/>
      <c r="VEI143" s="22"/>
      <c r="VEJ143" s="22"/>
      <c r="VEK143" s="22"/>
      <c r="VEL143" s="22"/>
      <c r="VEM143" s="22"/>
      <c r="VEN143" s="22"/>
      <c r="VEO143" s="22"/>
      <c r="VEP143" s="22"/>
      <c r="VEQ143" s="22"/>
      <c r="VER143" s="22"/>
      <c r="VES143" s="22"/>
      <c r="VET143" s="22"/>
      <c r="VEU143" s="22"/>
      <c r="VEV143" s="22"/>
      <c r="VEW143" s="22"/>
      <c r="VEX143" s="22"/>
      <c r="VEY143" s="22"/>
      <c r="VEZ143" s="22"/>
      <c r="VFA143" s="22"/>
      <c r="VFB143" s="22"/>
      <c r="VFC143" s="22"/>
      <c r="VFD143" s="22"/>
      <c r="VFE143" s="22"/>
      <c r="VFF143" s="22"/>
      <c r="VFG143" s="22"/>
      <c r="VFH143" s="22"/>
      <c r="VFI143" s="22"/>
      <c r="VFJ143" s="22"/>
      <c r="VFK143" s="22"/>
      <c r="VFL143" s="22"/>
      <c r="VFM143" s="22"/>
      <c r="VFN143" s="22"/>
      <c r="VFO143" s="22"/>
      <c r="VFP143" s="22"/>
      <c r="VFQ143" s="22"/>
      <c r="VFR143" s="22"/>
      <c r="VFS143" s="22"/>
      <c r="VFT143" s="22"/>
      <c r="VFU143" s="22"/>
      <c r="VFV143" s="22"/>
      <c r="VFW143" s="22"/>
      <c r="VFX143" s="22"/>
      <c r="VFY143" s="22"/>
      <c r="VFZ143" s="22"/>
      <c r="VGA143" s="22"/>
      <c r="VGB143" s="22"/>
      <c r="VGC143" s="22"/>
      <c r="VGD143" s="22"/>
      <c r="VGE143" s="22"/>
      <c r="VGF143" s="22"/>
      <c r="VGG143" s="22"/>
      <c r="VGH143" s="22"/>
      <c r="VGI143" s="22"/>
      <c r="VGJ143" s="22"/>
      <c r="VGK143" s="22"/>
      <c r="VGL143" s="22"/>
      <c r="VGM143" s="22"/>
      <c r="VGN143" s="22"/>
      <c r="VGO143" s="22"/>
      <c r="VGP143" s="22"/>
      <c r="VGQ143" s="22"/>
      <c r="VGR143" s="22"/>
      <c r="VGS143" s="22"/>
      <c r="VGT143" s="22"/>
      <c r="VGU143" s="22"/>
      <c r="VGV143" s="22"/>
      <c r="VGW143" s="22"/>
      <c r="VGX143" s="22"/>
      <c r="VGY143" s="22"/>
      <c r="VGZ143" s="22"/>
      <c r="VHA143" s="22"/>
      <c r="VHB143" s="22"/>
      <c r="VHC143" s="22"/>
      <c r="VHD143" s="22"/>
      <c r="VHE143" s="22"/>
      <c r="VHF143" s="22"/>
      <c r="VHG143" s="22"/>
      <c r="VHH143" s="22"/>
      <c r="VHI143" s="22"/>
      <c r="VHJ143" s="22"/>
      <c r="VHK143" s="22"/>
      <c r="VHL143" s="22"/>
      <c r="VHM143" s="22"/>
      <c r="VHN143" s="22"/>
      <c r="VHO143" s="22"/>
      <c r="VHP143" s="22"/>
      <c r="VHQ143" s="22"/>
      <c r="VHR143" s="22"/>
      <c r="VHS143" s="22"/>
      <c r="VHT143" s="22"/>
      <c r="VHU143" s="22"/>
      <c r="VHV143" s="22"/>
      <c r="VHW143" s="22"/>
      <c r="VHX143" s="22"/>
      <c r="VHY143" s="22"/>
      <c r="VHZ143" s="22"/>
      <c r="VIA143" s="22"/>
      <c r="VIB143" s="22"/>
      <c r="VIC143" s="22"/>
      <c r="VID143" s="22"/>
      <c r="VIE143" s="22"/>
      <c r="VIF143" s="22"/>
      <c r="VIG143" s="22"/>
      <c r="VIH143" s="22"/>
      <c r="VII143" s="22"/>
      <c r="VIJ143" s="22"/>
      <c r="VIK143" s="22"/>
      <c r="VIL143" s="22"/>
      <c r="VIM143" s="22"/>
      <c r="VIN143" s="22"/>
      <c r="VIO143" s="22"/>
      <c r="VIP143" s="22"/>
      <c r="VIQ143" s="22"/>
      <c r="VIR143" s="22"/>
      <c r="VIS143" s="22"/>
      <c r="VIT143" s="22"/>
      <c r="VIU143" s="22"/>
      <c r="VIV143" s="22"/>
      <c r="VIW143" s="22"/>
      <c r="VIX143" s="22"/>
      <c r="VIY143" s="22"/>
      <c r="VIZ143" s="22"/>
      <c r="VJA143" s="22"/>
      <c r="VJB143" s="22"/>
      <c r="VJC143" s="22"/>
      <c r="VJD143" s="22"/>
      <c r="VJE143" s="22"/>
      <c r="VJF143" s="22"/>
      <c r="VJG143" s="22"/>
      <c r="VJH143" s="22"/>
      <c r="VJI143" s="22"/>
      <c r="VJJ143" s="22"/>
      <c r="VJK143" s="22"/>
      <c r="VJL143" s="22"/>
      <c r="VJM143" s="22"/>
      <c r="VJN143" s="22"/>
      <c r="VJO143" s="22"/>
      <c r="VJP143" s="22"/>
      <c r="VJQ143" s="22"/>
      <c r="VJR143" s="22"/>
      <c r="VJS143" s="22"/>
      <c r="VJT143" s="22"/>
      <c r="VJU143" s="22"/>
      <c r="VJV143" s="22"/>
      <c r="VJW143" s="22"/>
      <c r="VJX143" s="22"/>
      <c r="VJY143" s="22"/>
      <c r="VJZ143" s="22"/>
      <c r="VKA143" s="22"/>
      <c r="VKB143" s="22"/>
      <c r="VKC143" s="22"/>
      <c r="VKD143" s="22"/>
      <c r="VKE143" s="22"/>
      <c r="VKF143" s="22"/>
      <c r="VKG143" s="22"/>
      <c r="VKH143" s="22"/>
      <c r="VKI143" s="22"/>
      <c r="VKJ143" s="22"/>
      <c r="VKK143" s="22"/>
      <c r="VKL143" s="22"/>
      <c r="VKM143" s="22"/>
      <c r="VKN143" s="22"/>
      <c r="VKO143" s="22"/>
      <c r="VKP143" s="22"/>
      <c r="VKQ143" s="22"/>
      <c r="VKR143" s="22"/>
      <c r="VKS143" s="22"/>
      <c r="VKT143" s="22"/>
      <c r="VKU143" s="22"/>
      <c r="VKV143" s="22"/>
      <c r="VKW143" s="22"/>
      <c r="VKX143" s="22"/>
      <c r="VKY143" s="22"/>
      <c r="VKZ143" s="22"/>
      <c r="VLA143" s="22"/>
      <c r="VLB143" s="22"/>
      <c r="VLC143" s="22"/>
      <c r="VLD143" s="22"/>
      <c r="VLE143" s="22"/>
      <c r="VLF143" s="22"/>
      <c r="VLG143" s="22"/>
      <c r="VLH143" s="22"/>
      <c r="VLI143" s="22"/>
      <c r="VLJ143" s="22"/>
      <c r="VLK143" s="22"/>
      <c r="VLL143" s="22"/>
      <c r="VLM143" s="22"/>
      <c r="VLN143" s="22"/>
      <c r="VLO143" s="22"/>
      <c r="VLP143" s="22"/>
      <c r="VLQ143" s="22"/>
      <c r="VLR143" s="22"/>
      <c r="VLS143" s="22"/>
      <c r="VLT143" s="22"/>
      <c r="VLU143" s="22"/>
      <c r="VLV143" s="22"/>
      <c r="VLW143" s="22"/>
      <c r="VLX143" s="22"/>
      <c r="VLY143" s="22"/>
      <c r="VLZ143" s="22"/>
      <c r="VMA143" s="22"/>
      <c r="VMB143" s="22"/>
      <c r="VMC143" s="22"/>
      <c r="VMD143" s="22"/>
      <c r="VME143" s="22"/>
      <c r="VMF143" s="22"/>
      <c r="VMG143" s="22"/>
      <c r="VMH143" s="22"/>
      <c r="VMI143" s="22"/>
      <c r="VMJ143" s="22"/>
      <c r="VMK143" s="22"/>
      <c r="VML143" s="22"/>
      <c r="VMM143" s="22"/>
      <c r="VMN143" s="22"/>
      <c r="VMO143" s="22"/>
      <c r="VMP143" s="22"/>
      <c r="VMQ143" s="22"/>
      <c r="VMR143" s="22"/>
      <c r="VMS143" s="22"/>
      <c r="VMT143" s="22"/>
      <c r="VMU143" s="22"/>
      <c r="VMV143" s="22"/>
      <c r="VMW143" s="22"/>
      <c r="VMX143" s="22"/>
      <c r="VMY143" s="22"/>
      <c r="VMZ143" s="22"/>
      <c r="VNA143" s="22"/>
      <c r="VNB143" s="22"/>
      <c r="VNC143" s="22"/>
      <c r="VND143" s="22"/>
      <c r="VNE143" s="22"/>
      <c r="VNF143" s="22"/>
      <c r="VNG143" s="22"/>
      <c r="VNH143" s="22"/>
      <c r="VNI143" s="22"/>
      <c r="VNJ143" s="22"/>
      <c r="VNK143" s="22"/>
      <c r="VNL143" s="22"/>
      <c r="VNM143" s="22"/>
      <c r="VNN143" s="22"/>
      <c r="VNO143" s="22"/>
      <c r="VNP143" s="22"/>
      <c r="VNQ143" s="22"/>
      <c r="VNR143" s="22"/>
      <c r="VNS143" s="22"/>
      <c r="VNT143" s="22"/>
      <c r="VNU143" s="22"/>
      <c r="VNV143" s="22"/>
      <c r="VNW143" s="22"/>
      <c r="VNX143" s="22"/>
      <c r="VNY143" s="22"/>
      <c r="VNZ143" s="22"/>
      <c r="VOA143" s="22"/>
      <c r="VOB143" s="22"/>
      <c r="VOC143" s="22"/>
      <c r="VOD143" s="22"/>
      <c r="VOE143" s="22"/>
      <c r="VOF143" s="22"/>
      <c r="VOG143" s="22"/>
      <c r="VOH143" s="22"/>
      <c r="VOI143" s="22"/>
      <c r="VOJ143" s="22"/>
      <c r="VOK143" s="22"/>
      <c r="VOL143" s="22"/>
      <c r="VOM143" s="22"/>
      <c r="VON143" s="22"/>
      <c r="VOO143" s="22"/>
      <c r="VOP143" s="22"/>
      <c r="VOQ143" s="22"/>
      <c r="VOR143" s="22"/>
      <c r="VOS143" s="22"/>
      <c r="VOT143" s="22"/>
      <c r="VOU143" s="22"/>
      <c r="VOV143" s="22"/>
      <c r="VOW143" s="22"/>
      <c r="VOX143" s="22"/>
      <c r="VOY143" s="22"/>
      <c r="VOZ143" s="22"/>
      <c r="VPA143" s="22"/>
      <c r="VPB143" s="22"/>
      <c r="VPC143" s="22"/>
      <c r="VPD143" s="22"/>
      <c r="VPE143" s="22"/>
      <c r="VPF143" s="22"/>
      <c r="VPG143" s="22"/>
      <c r="VPH143" s="22"/>
      <c r="VPI143" s="22"/>
      <c r="VPJ143" s="22"/>
      <c r="VPK143" s="22"/>
      <c r="VPL143" s="22"/>
      <c r="VPM143" s="22"/>
      <c r="VPN143" s="22"/>
      <c r="VPO143" s="22"/>
      <c r="VPP143" s="22"/>
      <c r="VPQ143" s="22"/>
      <c r="VPR143" s="22"/>
      <c r="VPS143" s="22"/>
      <c r="VPT143" s="22"/>
      <c r="VPU143" s="22"/>
      <c r="VPV143" s="22"/>
      <c r="VPW143" s="22"/>
      <c r="VPX143" s="22"/>
      <c r="VPY143" s="22"/>
      <c r="VPZ143" s="22"/>
      <c r="VQA143" s="22"/>
      <c r="VQB143" s="22"/>
      <c r="VQC143" s="22"/>
      <c r="VQD143" s="22"/>
      <c r="VQE143" s="22"/>
      <c r="VQF143" s="22"/>
      <c r="VQG143" s="22"/>
      <c r="VQH143" s="22"/>
      <c r="VQI143" s="22"/>
      <c r="VQJ143" s="22"/>
      <c r="VQK143" s="22"/>
      <c r="VQL143" s="22"/>
      <c r="VQM143" s="22"/>
      <c r="VQN143" s="22"/>
      <c r="VQO143" s="22"/>
      <c r="VQP143" s="22"/>
      <c r="VQQ143" s="22"/>
      <c r="VQR143" s="22"/>
      <c r="VQS143" s="22"/>
      <c r="VQT143" s="22"/>
      <c r="VQU143" s="22"/>
      <c r="VQV143" s="22"/>
      <c r="VQW143" s="22"/>
      <c r="VQX143" s="22"/>
      <c r="VQY143" s="22"/>
      <c r="VQZ143" s="22"/>
      <c r="VRA143" s="22"/>
      <c r="VRB143" s="22"/>
      <c r="VRC143" s="22"/>
      <c r="VRD143" s="22"/>
      <c r="VRE143" s="22"/>
      <c r="VRF143" s="22"/>
      <c r="VRG143" s="22"/>
      <c r="VRH143" s="22"/>
      <c r="VRI143" s="22"/>
      <c r="VRJ143" s="22"/>
      <c r="VRK143" s="22"/>
      <c r="VRL143" s="22"/>
      <c r="VRM143" s="22"/>
      <c r="VRN143" s="22"/>
      <c r="VRO143" s="22"/>
      <c r="VRP143" s="22"/>
      <c r="VRQ143" s="22"/>
      <c r="VRR143" s="22"/>
      <c r="VRS143" s="22"/>
      <c r="VRT143" s="22"/>
      <c r="VRU143" s="22"/>
      <c r="VRV143" s="22"/>
      <c r="VRW143" s="22"/>
      <c r="VRX143" s="22"/>
      <c r="VRY143" s="22"/>
      <c r="VRZ143" s="22"/>
      <c r="VSA143" s="22"/>
      <c r="VSB143" s="22"/>
      <c r="VSC143" s="22"/>
      <c r="VSD143" s="22"/>
      <c r="VSE143" s="22"/>
      <c r="VSF143" s="22"/>
      <c r="VSG143" s="22"/>
      <c r="VSH143" s="22"/>
      <c r="VSI143" s="22"/>
      <c r="VSJ143" s="22"/>
      <c r="VSK143" s="22"/>
      <c r="VSL143" s="22"/>
      <c r="VSM143" s="22"/>
      <c r="VSN143" s="22"/>
      <c r="VSO143" s="22"/>
      <c r="VSP143" s="22"/>
      <c r="VSQ143" s="22"/>
      <c r="VSR143" s="22"/>
      <c r="VSS143" s="22"/>
      <c r="VST143" s="22"/>
      <c r="VSU143" s="22"/>
      <c r="VSV143" s="22"/>
      <c r="VSW143" s="22"/>
      <c r="VSX143" s="22"/>
      <c r="VSY143" s="22"/>
      <c r="VSZ143" s="22"/>
      <c r="VTA143" s="22"/>
      <c r="VTB143" s="22"/>
      <c r="VTC143" s="22"/>
      <c r="VTD143" s="22"/>
      <c r="VTE143" s="22"/>
      <c r="VTF143" s="22"/>
      <c r="VTG143" s="22"/>
      <c r="VTH143" s="22"/>
      <c r="VTI143" s="22"/>
      <c r="VTJ143" s="22"/>
      <c r="VTK143" s="22"/>
      <c r="VTL143" s="22"/>
      <c r="VTM143" s="22"/>
      <c r="VTN143" s="22"/>
      <c r="VTO143" s="22"/>
      <c r="VTP143" s="22"/>
      <c r="VTQ143" s="22"/>
      <c r="VTR143" s="22"/>
      <c r="VTS143" s="22"/>
      <c r="VTT143" s="22"/>
      <c r="VTU143" s="22"/>
      <c r="VTV143" s="22"/>
      <c r="VTW143" s="22"/>
      <c r="VTX143" s="22"/>
      <c r="VTY143" s="22"/>
      <c r="VTZ143" s="22"/>
      <c r="VUA143" s="22"/>
      <c r="VUB143" s="22"/>
      <c r="VUC143" s="22"/>
      <c r="VUD143" s="22"/>
      <c r="VUE143" s="22"/>
      <c r="VUF143" s="22"/>
      <c r="VUG143" s="22"/>
      <c r="VUH143" s="22"/>
      <c r="VUI143" s="22"/>
      <c r="VUJ143" s="22"/>
      <c r="VUK143" s="22"/>
      <c r="VUL143" s="22"/>
      <c r="VUM143" s="22"/>
      <c r="VUN143" s="22"/>
      <c r="VUO143" s="22"/>
      <c r="VUP143" s="22"/>
      <c r="VUQ143" s="22"/>
      <c r="VUR143" s="22"/>
      <c r="VUS143" s="22"/>
      <c r="VUT143" s="22"/>
      <c r="VUU143" s="22"/>
      <c r="VUV143" s="22"/>
      <c r="VUW143" s="22"/>
      <c r="VUX143" s="22"/>
      <c r="VUY143" s="22"/>
      <c r="VUZ143" s="22"/>
      <c r="VVA143" s="22"/>
      <c r="VVB143" s="22"/>
      <c r="VVC143" s="22"/>
      <c r="VVD143" s="22"/>
      <c r="VVE143" s="22"/>
      <c r="VVF143" s="22"/>
      <c r="VVG143" s="22"/>
      <c r="VVH143" s="22"/>
      <c r="VVI143" s="22"/>
      <c r="VVJ143" s="22"/>
      <c r="VVK143" s="22"/>
      <c r="VVL143" s="22"/>
      <c r="VVM143" s="22"/>
      <c r="VVN143" s="22"/>
      <c r="VVO143" s="22"/>
      <c r="VVP143" s="22"/>
      <c r="VVQ143" s="22"/>
      <c r="VVR143" s="22"/>
      <c r="VVS143" s="22"/>
      <c r="VVT143" s="22"/>
      <c r="VVU143" s="22"/>
      <c r="VVV143" s="22"/>
      <c r="VVW143" s="22"/>
      <c r="VVX143" s="22"/>
      <c r="VVY143" s="22"/>
      <c r="VVZ143" s="22"/>
      <c r="VWA143" s="22"/>
      <c r="VWB143" s="22"/>
      <c r="VWC143" s="22"/>
      <c r="VWD143" s="22"/>
      <c r="VWE143" s="22"/>
      <c r="VWF143" s="22"/>
      <c r="VWG143" s="22"/>
      <c r="VWH143" s="22"/>
      <c r="VWI143" s="22"/>
      <c r="VWJ143" s="22"/>
      <c r="VWK143" s="22"/>
      <c r="VWL143" s="22"/>
      <c r="VWM143" s="22"/>
      <c r="VWN143" s="22"/>
      <c r="VWO143" s="22"/>
      <c r="VWP143" s="22"/>
      <c r="VWQ143" s="22"/>
      <c r="VWR143" s="22"/>
      <c r="VWS143" s="22"/>
      <c r="VWT143" s="22"/>
      <c r="VWU143" s="22"/>
      <c r="VWV143" s="22"/>
      <c r="VWW143" s="22"/>
      <c r="VWX143" s="22"/>
      <c r="VWY143" s="22"/>
      <c r="VWZ143" s="22"/>
      <c r="VXA143" s="22"/>
      <c r="VXB143" s="22"/>
      <c r="VXC143" s="22"/>
      <c r="VXD143" s="22"/>
      <c r="VXE143" s="22"/>
      <c r="VXF143" s="22"/>
      <c r="VXG143" s="22"/>
      <c r="VXH143" s="22"/>
      <c r="VXI143" s="22"/>
      <c r="VXJ143" s="22"/>
      <c r="VXK143" s="22"/>
      <c r="VXL143" s="22"/>
      <c r="VXM143" s="22"/>
      <c r="VXN143" s="22"/>
      <c r="VXO143" s="22"/>
      <c r="VXP143" s="22"/>
      <c r="VXQ143" s="22"/>
      <c r="VXR143" s="22"/>
      <c r="VXS143" s="22"/>
      <c r="VXT143" s="22"/>
      <c r="VXU143" s="22"/>
      <c r="VXV143" s="22"/>
      <c r="VXW143" s="22"/>
      <c r="VXX143" s="22"/>
      <c r="VXY143" s="22"/>
      <c r="VXZ143" s="22"/>
      <c r="VYA143" s="22"/>
      <c r="VYB143" s="22"/>
      <c r="VYC143" s="22"/>
      <c r="VYD143" s="22"/>
      <c r="VYE143" s="22"/>
      <c r="VYF143" s="22"/>
      <c r="VYG143" s="22"/>
      <c r="VYH143" s="22"/>
      <c r="VYI143" s="22"/>
      <c r="VYJ143" s="22"/>
      <c r="VYK143" s="22"/>
      <c r="VYL143" s="22"/>
      <c r="VYM143" s="22"/>
      <c r="VYN143" s="22"/>
      <c r="VYO143" s="22"/>
      <c r="VYP143" s="22"/>
      <c r="VYQ143" s="22"/>
      <c r="VYR143" s="22"/>
      <c r="VYS143" s="22"/>
      <c r="VYT143" s="22"/>
      <c r="VYU143" s="22"/>
      <c r="VYV143" s="22"/>
      <c r="VYW143" s="22"/>
      <c r="VYX143" s="22"/>
      <c r="VYY143" s="22"/>
      <c r="VYZ143" s="22"/>
      <c r="VZA143" s="22"/>
      <c r="VZB143" s="22"/>
      <c r="VZC143" s="22"/>
      <c r="VZD143" s="22"/>
      <c r="VZE143" s="22"/>
      <c r="VZF143" s="22"/>
      <c r="VZG143" s="22"/>
      <c r="VZH143" s="22"/>
      <c r="VZI143" s="22"/>
      <c r="VZJ143" s="22"/>
      <c r="VZK143" s="22"/>
      <c r="VZL143" s="22"/>
      <c r="VZM143" s="22"/>
      <c r="VZN143" s="22"/>
      <c r="VZO143" s="22"/>
      <c r="VZP143" s="22"/>
      <c r="VZQ143" s="22"/>
      <c r="VZR143" s="22"/>
      <c r="VZS143" s="22"/>
      <c r="VZT143" s="22"/>
      <c r="VZU143" s="22"/>
      <c r="VZV143" s="22"/>
      <c r="VZW143" s="22"/>
      <c r="VZX143" s="22"/>
      <c r="VZY143" s="22"/>
      <c r="VZZ143" s="22"/>
      <c r="WAA143" s="22"/>
      <c r="WAB143" s="22"/>
      <c r="WAC143" s="22"/>
      <c r="WAD143" s="22"/>
      <c r="WAE143" s="22"/>
      <c r="WAF143" s="22"/>
      <c r="WAG143" s="22"/>
      <c r="WAH143" s="22"/>
      <c r="WAI143" s="22"/>
      <c r="WAJ143" s="22"/>
      <c r="WAK143" s="22"/>
      <c r="WAL143" s="22"/>
      <c r="WAM143" s="22"/>
      <c r="WAN143" s="22"/>
      <c r="WAO143" s="22"/>
      <c r="WAP143" s="22"/>
      <c r="WAQ143" s="22"/>
      <c r="WAR143" s="22"/>
      <c r="WAS143" s="22"/>
      <c r="WAT143" s="22"/>
      <c r="WAU143" s="22"/>
      <c r="WAV143" s="22"/>
      <c r="WAW143" s="22"/>
      <c r="WAX143" s="22"/>
      <c r="WAY143" s="22"/>
      <c r="WAZ143" s="22"/>
      <c r="WBA143" s="22"/>
      <c r="WBB143" s="22"/>
      <c r="WBC143" s="22"/>
      <c r="WBD143" s="22"/>
      <c r="WBE143" s="22"/>
      <c r="WBF143" s="22"/>
      <c r="WBG143" s="22"/>
      <c r="WBH143" s="22"/>
      <c r="WBI143" s="22"/>
      <c r="WBJ143" s="22"/>
      <c r="WBK143" s="22"/>
      <c r="WBL143" s="22"/>
      <c r="WBM143" s="22"/>
      <c r="WBN143" s="22"/>
      <c r="WBO143" s="22"/>
      <c r="WBP143" s="22"/>
      <c r="WBQ143" s="22"/>
      <c r="WBR143" s="22"/>
      <c r="WBS143" s="22"/>
      <c r="WBT143" s="22"/>
      <c r="WBU143" s="22"/>
      <c r="WBV143" s="22"/>
      <c r="WBW143" s="22"/>
      <c r="WBX143" s="22"/>
      <c r="WBY143" s="22"/>
      <c r="WBZ143" s="22"/>
      <c r="WCA143" s="22"/>
      <c r="WCB143" s="22"/>
      <c r="WCC143" s="22"/>
      <c r="WCD143" s="22"/>
      <c r="WCE143" s="22"/>
      <c r="WCF143" s="22"/>
      <c r="WCG143" s="22"/>
      <c r="WCH143" s="22"/>
      <c r="WCI143" s="22"/>
      <c r="WCJ143" s="22"/>
      <c r="WCK143" s="22"/>
      <c r="WCL143" s="22"/>
      <c r="WCM143" s="22"/>
      <c r="WCN143" s="22"/>
      <c r="WCO143" s="22"/>
      <c r="WCP143" s="22"/>
      <c r="WCQ143" s="22"/>
      <c r="WCR143" s="22"/>
      <c r="WCS143" s="22"/>
      <c r="WCT143" s="22"/>
      <c r="WCU143" s="22"/>
      <c r="WCV143" s="22"/>
      <c r="WCW143" s="22"/>
      <c r="WCX143" s="22"/>
      <c r="WCY143" s="22"/>
      <c r="WCZ143" s="22"/>
      <c r="WDA143" s="22"/>
      <c r="WDB143" s="22"/>
      <c r="WDC143" s="22"/>
      <c r="WDD143" s="22"/>
      <c r="WDE143" s="22"/>
      <c r="WDF143" s="22"/>
      <c r="WDG143" s="22"/>
      <c r="WDH143" s="22"/>
      <c r="WDI143" s="22"/>
      <c r="WDJ143" s="22"/>
      <c r="WDK143" s="22"/>
      <c r="WDL143" s="22"/>
      <c r="WDM143" s="22"/>
      <c r="WDN143" s="22"/>
      <c r="WDO143" s="22"/>
      <c r="WDP143" s="22"/>
      <c r="WDQ143" s="22"/>
      <c r="WDR143" s="22"/>
      <c r="WDS143" s="22"/>
      <c r="WDT143" s="22"/>
      <c r="WDU143" s="22"/>
      <c r="WDV143" s="22"/>
      <c r="WDW143" s="22"/>
      <c r="WDX143" s="22"/>
      <c r="WDY143" s="22"/>
      <c r="WDZ143" s="22"/>
      <c r="WEA143" s="22"/>
      <c r="WEB143" s="22"/>
      <c r="WEC143" s="22"/>
      <c r="WED143" s="22"/>
      <c r="WEE143" s="22"/>
      <c r="WEF143" s="22"/>
      <c r="WEG143" s="22"/>
      <c r="WEH143" s="22"/>
      <c r="WEI143" s="22"/>
      <c r="WEJ143" s="22"/>
      <c r="WEK143" s="22"/>
      <c r="WEL143" s="22"/>
      <c r="WEM143" s="22"/>
      <c r="WEN143" s="22"/>
      <c r="WEO143" s="22"/>
      <c r="WEP143" s="22"/>
      <c r="WEQ143" s="22"/>
      <c r="WER143" s="22"/>
      <c r="WES143" s="22"/>
      <c r="WET143" s="22"/>
      <c r="WEU143" s="22"/>
      <c r="WEV143" s="22"/>
      <c r="WEW143" s="22"/>
      <c r="WEX143" s="22"/>
      <c r="WEY143" s="22"/>
      <c r="WEZ143" s="22"/>
      <c r="WFA143" s="22"/>
      <c r="WFB143" s="22"/>
      <c r="WFC143" s="22"/>
      <c r="WFD143" s="22"/>
      <c r="WFE143" s="22"/>
      <c r="WFF143" s="22"/>
      <c r="WFG143" s="22"/>
      <c r="WFH143" s="22"/>
      <c r="WFI143" s="22"/>
      <c r="WFJ143" s="22"/>
      <c r="WFK143" s="22"/>
      <c r="WFL143" s="22"/>
      <c r="WFM143" s="22"/>
      <c r="WFN143" s="22"/>
      <c r="WFO143" s="22"/>
      <c r="WFP143" s="22"/>
      <c r="WFQ143" s="22"/>
      <c r="WFR143" s="22"/>
      <c r="WFS143" s="22"/>
      <c r="WFT143" s="22"/>
      <c r="WFU143" s="22"/>
      <c r="WFV143" s="22"/>
      <c r="WFW143" s="22"/>
      <c r="WFX143" s="22"/>
      <c r="WFY143" s="22"/>
      <c r="WFZ143" s="22"/>
      <c r="WGA143" s="22"/>
      <c r="WGB143" s="22"/>
      <c r="WGC143" s="22"/>
      <c r="WGD143" s="22"/>
      <c r="WGE143" s="22"/>
      <c r="WGF143" s="22"/>
      <c r="WGG143" s="22"/>
      <c r="WGH143" s="22"/>
      <c r="WGI143" s="22"/>
      <c r="WGJ143" s="22"/>
      <c r="WGK143" s="22"/>
      <c r="WGL143" s="22"/>
      <c r="WGM143" s="22"/>
      <c r="WGN143" s="22"/>
      <c r="WGO143" s="22"/>
      <c r="WGP143" s="22"/>
      <c r="WGQ143" s="22"/>
      <c r="WGR143" s="22"/>
      <c r="WGS143" s="22"/>
      <c r="WGT143" s="22"/>
      <c r="WGU143" s="22"/>
      <c r="WGV143" s="22"/>
      <c r="WGW143" s="22"/>
      <c r="WGX143" s="22"/>
      <c r="WGY143" s="22"/>
      <c r="WGZ143" s="22"/>
      <c r="WHA143" s="22"/>
      <c r="WHB143" s="22"/>
      <c r="WHC143" s="22"/>
      <c r="WHD143" s="22"/>
      <c r="WHE143" s="22"/>
      <c r="WHF143" s="22"/>
      <c r="WHG143" s="22"/>
      <c r="WHH143" s="22"/>
      <c r="WHI143" s="22"/>
      <c r="WHJ143" s="22"/>
      <c r="WHK143" s="22"/>
      <c r="WHL143" s="22"/>
      <c r="WHM143" s="22"/>
      <c r="WHN143" s="22"/>
      <c r="WHO143" s="22"/>
      <c r="WHP143" s="22"/>
      <c r="WHQ143" s="22"/>
      <c r="WHR143" s="22"/>
      <c r="WHS143" s="22"/>
      <c r="WHT143" s="22"/>
      <c r="WHU143" s="22"/>
      <c r="WHV143" s="22"/>
      <c r="WHW143" s="22"/>
      <c r="WHX143" s="22"/>
      <c r="WHY143" s="22"/>
      <c r="WHZ143" s="22"/>
      <c r="WIA143" s="22"/>
      <c r="WIB143" s="22"/>
      <c r="WIC143" s="22"/>
      <c r="WID143" s="22"/>
      <c r="WIE143" s="22"/>
      <c r="WIF143" s="22"/>
      <c r="WIG143" s="22"/>
      <c r="WIH143" s="22"/>
      <c r="WII143" s="22"/>
      <c r="WIJ143" s="22"/>
      <c r="WIK143" s="22"/>
      <c r="WIL143" s="22"/>
      <c r="WIM143" s="22"/>
      <c r="WIN143" s="22"/>
      <c r="WIO143" s="22"/>
      <c r="WIP143" s="22"/>
      <c r="WIQ143" s="22"/>
      <c r="WIR143" s="22"/>
      <c r="WIS143" s="22"/>
      <c r="WIT143" s="22"/>
      <c r="WIU143" s="22"/>
      <c r="WIV143" s="22"/>
      <c r="WIW143" s="22"/>
      <c r="WIX143" s="22"/>
      <c r="WIY143" s="22"/>
      <c r="WIZ143" s="22"/>
      <c r="WJA143" s="22"/>
      <c r="WJB143" s="22"/>
      <c r="WJC143" s="22"/>
      <c r="WJD143" s="22"/>
      <c r="WJE143" s="22"/>
      <c r="WJF143" s="22"/>
      <c r="WJG143" s="22"/>
      <c r="WJH143" s="22"/>
      <c r="WJI143" s="22"/>
      <c r="WJJ143" s="22"/>
      <c r="WJK143" s="22"/>
      <c r="WJL143" s="22"/>
      <c r="WJM143" s="22"/>
      <c r="WJN143" s="22"/>
      <c r="WJO143" s="22"/>
      <c r="WJP143" s="22"/>
      <c r="WJQ143" s="22"/>
      <c r="WJR143" s="22"/>
      <c r="WJS143" s="22"/>
      <c r="WJT143" s="22"/>
      <c r="WJU143" s="22"/>
      <c r="WJV143" s="22"/>
      <c r="WJW143" s="22"/>
      <c r="WJX143" s="22"/>
      <c r="WJY143" s="22"/>
      <c r="WJZ143" s="22"/>
      <c r="WKA143" s="22"/>
      <c r="WKB143" s="22"/>
      <c r="WKC143" s="22"/>
      <c r="WKD143" s="22"/>
      <c r="WKE143" s="22"/>
      <c r="WKF143" s="22"/>
      <c r="WKG143" s="22"/>
      <c r="WKH143" s="22"/>
      <c r="WKI143" s="22"/>
      <c r="WKJ143" s="22"/>
      <c r="WKK143" s="22"/>
      <c r="WKL143" s="22"/>
      <c r="WKM143" s="22"/>
      <c r="WKN143" s="22"/>
      <c r="WKO143" s="22"/>
      <c r="WKP143" s="22"/>
      <c r="WKQ143" s="22"/>
      <c r="WKR143" s="22"/>
      <c r="WKS143" s="22"/>
      <c r="WKT143" s="22"/>
      <c r="WKU143" s="22"/>
      <c r="WKV143" s="22"/>
      <c r="WKW143" s="22"/>
      <c r="WKX143" s="22"/>
      <c r="WKY143" s="22"/>
      <c r="WKZ143" s="22"/>
      <c r="WLA143" s="22"/>
      <c r="WLB143" s="22"/>
      <c r="WLC143" s="22"/>
      <c r="WLD143" s="22"/>
      <c r="WLE143" s="22"/>
      <c r="WLF143" s="22"/>
      <c r="WLG143" s="22"/>
      <c r="WLH143" s="22"/>
      <c r="WLI143" s="22"/>
      <c r="WLJ143" s="22"/>
      <c r="WLK143" s="22"/>
      <c r="WLL143" s="22"/>
      <c r="WLM143" s="22"/>
      <c r="WLN143" s="22"/>
      <c r="WLO143" s="22"/>
      <c r="WLP143" s="22"/>
      <c r="WLQ143" s="22"/>
      <c r="WLR143" s="22"/>
      <c r="WLS143" s="22"/>
      <c r="WLT143" s="22"/>
      <c r="WLU143" s="22"/>
      <c r="WLV143" s="22"/>
      <c r="WLW143" s="22"/>
      <c r="WLX143" s="22"/>
      <c r="WLY143" s="22"/>
      <c r="WLZ143" s="22"/>
      <c r="WMA143" s="22"/>
      <c r="WMB143" s="22"/>
      <c r="WMC143" s="22"/>
      <c r="WMD143" s="22"/>
      <c r="WME143" s="22"/>
      <c r="WMF143" s="22"/>
      <c r="WMG143" s="22"/>
      <c r="WMH143" s="22"/>
      <c r="WMI143" s="22"/>
      <c r="WMJ143" s="22"/>
      <c r="WMK143" s="22"/>
      <c r="WML143" s="22"/>
      <c r="WMM143" s="22"/>
      <c r="WMN143" s="22"/>
      <c r="WMO143" s="22"/>
      <c r="WMP143" s="22"/>
      <c r="WMQ143" s="22"/>
      <c r="WMR143" s="22"/>
      <c r="WMS143" s="22"/>
      <c r="WMT143" s="22"/>
      <c r="WMU143" s="22"/>
      <c r="WMV143" s="22"/>
      <c r="WMW143" s="22"/>
      <c r="WMX143" s="22"/>
      <c r="WMY143" s="22"/>
      <c r="WMZ143" s="22"/>
      <c r="WNA143" s="22"/>
      <c r="WNB143" s="22"/>
      <c r="WNC143" s="22"/>
      <c r="WND143" s="22"/>
      <c r="WNE143" s="22"/>
      <c r="WNF143" s="22"/>
      <c r="WNG143" s="22"/>
      <c r="WNH143" s="22"/>
      <c r="WNI143" s="22"/>
      <c r="WNJ143" s="22"/>
      <c r="WNK143" s="22"/>
      <c r="WNL143" s="22"/>
      <c r="WNM143" s="22"/>
      <c r="WNN143" s="22"/>
      <c r="WNO143" s="22"/>
      <c r="WNP143" s="22"/>
      <c r="WNQ143" s="22"/>
      <c r="WNR143" s="22"/>
      <c r="WNS143" s="22"/>
      <c r="WNT143" s="22"/>
      <c r="WNU143" s="22"/>
      <c r="WNV143" s="22"/>
      <c r="WNW143" s="22"/>
      <c r="WNX143" s="22"/>
      <c r="WNY143" s="22"/>
      <c r="WNZ143" s="22"/>
      <c r="WOA143" s="22"/>
      <c r="WOB143" s="22"/>
      <c r="WOC143" s="22"/>
      <c r="WOD143" s="22"/>
      <c r="WOE143" s="22"/>
      <c r="WOF143" s="22"/>
      <c r="WOG143" s="22"/>
      <c r="WOH143" s="22"/>
      <c r="WOI143" s="22"/>
      <c r="WOJ143" s="22"/>
      <c r="WOK143" s="22"/>
      <c r="WOL143" s="22"/>
      <c r="WOM143" s="22"/>
      <c r="WON143" s="22"/>
      <c r="WOO143" s="22"/>
      <c r="WOP143" s="22"/>
      <c r="WOQ143" s="22"/>
      <c r="WOR143" s="22"/>
      <c r="WOS143" s="22"/>
      <c r="WOT143" s="22"/>
      <c r="WOU143" s="22"/>
      <c r="WOV143" s="22"/>
      <c r="WOW143" s="22"/>
      <c r="WOX143" s="22"/>
      <c r="WOY143" s="22"/>
      <c r="WOZ143" s="22"/>
      <c r="WPA143" s="22"/>
      <c r="WPB143" s="22"/>
      <c r="WPC143" s="22"/>
      <c r="WPD143" s="22"/>
      <c r="WPE143" s="22"/>
      <c r="WPF143" s="22"/>
      <c r="WPG143" s="22"/>
      <c r="WPH143" s="22"/>
      <c r="WPI143" s="22"/>
      <c r="WPJ143" s="22"/>
      <c r="WPK143" s="22"/>
      <c r="WPL143" s="22"/>
      <c r="WPM143" s="22"/>
      <c r="WPN143" s="22"/>
      <c r="WPO143" s="22"/>
      <c r="WPP143" s="22"/>
      <c r="WPQ143" s="22"/>
      <c r="WPR143" s="22"/>
      <c r="WPS143" s="22"/>
      <c r="WPT143" s="22"/>
      <c r="WPU143" s="22"/>
      <c r="WPV143" s="22"/>
      <c r="WPW143" s="22"/>
      <c r="WPX143" s="22"/>
      <c r="WPY143" s="22"/>
      <c r="WPZ143" s="22"/>
      <c r="WQA143" s="22"/>
      <c r="WQB143" s="22"/>
      <c r="WQC143" s="22"/>
      <c r="WQD143" s="22"/>
      <c r="WQE143" s="22"/>
      <c r="WQF143" s="22"/>
      <c r="WQG143" s="22"/>
      <c r="WQH143" s="22"/>
      <c r="WQI143" s="22"/>
      <c r="WQJ143" s="22"/>
      <c r="WQK143" s="22"/>
      <c r="WQL143" s="22"/>
      <c r="WQM143" s="22"/>
      <c r="WQN143" s="22"/>
      <c r="WQO143" s="22"/>
      <c r="WQP143" s="22"/>
      <c r="WQQ143" s="22"/>
      <c r="WQR143" s="22"/>
      <c r="WQS143" s="22"/>
      <c r="WQT143" s="22"/>
      <c r="WQU143" s="22"/>
      <c r="WQV143" s="22"/>
      <c r="WQW143" s="22"/>
      <c r="WQX143" s="22"/>
      <c r="WQY143" s="22"/>
      <c r="WQZ143" s="22"/>
      <c r="WRA143" s="22"/>
      <c r="WRB143" s="22"/>
      <c r="WRC143" s="22"/>
      <c r="WRD143" s="22"/>
      <c r="WRE143" s="22"/>
      <c r="WRF143" s="22"/>
      <c r="WRG143" s="22"/>
      <c r="WRH143" s="22"/>
      <c r="WRI143" s="22"/>
      <c r="WRJ143" s="22"/>
      <c r="WRK143" s="22"/>
      <c r="WRL143" s="22"/>
      <c r="WRM143" s="22"/>
      <c r="WRN143" s="22"/>
      <c r="WRO143" s="22"/>
      <c r="WRP143" s="22"/>
      <c r="WRQ143" s="22"/>
      <c r="WRR143" s="22"/>
      <c r="WRS143" s="22"/>
      <c r="WRT143" s="22"/>
      <c r="WRU143" s="22"/>
      <c r="WRV143" s="22"/>
      <c r="WRW143" s="22"/>
      <c r="WRX143" s="22"/>
      <c r="WRY143" s="22"/>
      <c r="WRZ143" s="22"/>
      <c r="WSA143" s="22"/>
      <c r="WSB143" s="22"/>
      <c r="WSC143" s="22"/>
      <c r="WSD143" s="22"/>
      <c r="WSE143" s="22"/>
      <c r="WSF143" s="22"/>
      <c r="WSG143" s="22"/>
      <c r="WSH143" s="22"/>
      <c r="WSI143" s="22"/>
      <c r="WSJ143" s="22"/>
      <c r="WSK143" s="22"/>
      <c r="WSL143" s="22"/>
      <c r="WSM143" s="22"/>
      <c r="WSN143" s="22"/>
      <c r="WSO143" s="22"/>
      <c r="WSP143" s="22"/>
      <c r="WSQ143" s="22"/>
      <c r="WSR143" s="22"/>
      <c r="WSS143" s="22"/>
      <c r="WST143" s="22"/>
      <c r="WSU143" s="22"/>
      <c r="WSV143" s="22"/>
      <c r="WSW143" s="22"/>
      <c r="WSX143" s="22"/>
      <c r="WSY143" s="22"/>
      <c r="WSZ143" s="22"/>
      <c r="WTA143" s="22"/>
      <c r="WTB143" s="22"/>
      <c r="WTC143" s="22"/>
      <c r="WTD143" s="22"/>
      <c r="WTE143" s="22"/>
      <c r="WTF143" s="22"/>
      <c r="WTG143" s="22"/>
      <c r="WTH143" s="22"/>
      <c r="WTI143" s="22"/>
      <c r="WTJ143" s="22"/>
      <c r="WTK143" s="22"/>
      <c r="WTL143" s="22"/>
      <c r="WTM143" s="22"/>
      <c r="WTN143" s="22"/>
      <c r="WTO143" s="22"/>
      <c r="WTP143" s="22"/>
      <c r="WTQ143" s="22"/>
      <c r="WTR143" s="22"/>
      <c r="WTS143" s="22"/>
      <c r="WTT143" s="22"/>
      <c r="WTU143" s="22"/>
      <c r="WTV143" s="22"/>
      <c r="WTW143" s="22"/>
      <c r="WTX143" s="22"/>
      <c r="WTY143" s="22"/>
      <c r="WTZ143" s="22"/>
      <c r="WUA143" s="22"/>
      <c r="WUB143" s="22"/>
      <c r="WUC143" s="22"/>
      <c r="WUD143" s="22"/>
      <c r="WUE143" s="22"/>
      <c r="WUF143" s="22"/>
      <c r="WUG143" s="22"/>
      <c r="WUH143" s="22"/>
      <c r="WUI143" s="22"/>
      <c r="WUJ143" s="22"/>
      <c r="WUK143" s="22"/>
      <c r="WUL143" s="22"/>
      <c r="WUM143" s="22"/>
      <c r="WUN143" s="22"/>
      <c r="WUO143" s="22"/>
      <c r="WUP143" s="22"/>
      <c r="WUQ143" s="22"/>
      <c r="WUR143" s="22"/>
      <c r="WUS143" s="22"/>
      <c r="WUT143" s="22"/>
      <c r="WUU143" s="22"/>
      <c r="WUV143" s="22"/>
      <c r="WUW143" s="22"/>
      <c r="WUX143" s="22"/>
      <c r="WUY143" s="22"/>
      <c r="WUZ143" s="22"/>
      <c r="WVA143" s="22"/>
      <c r="WVB143" s="22"/>
      <c r="WVC143" s="22"/>
      <c r="WVD143" s="22"/>
      <c r="WVE143" s="22"/>
      <c r="WVF143" s="22"/>
      <c r="WVG143" s="22"/>
      <c r="WVH143" s="22"/>
      <c r="WVI143" s="22"/>
      <c r="WVJ143" s="22"/>
      <c r="WVK143" s="22"/>
      <c r="WVL143" s="22"/>
      <c r="WVM143" s="22"/>
      <c r="WVN143" s="22"/>
      <c r="WVO143" s="22"/>
      <c r="WVP143" s="22"/>
      <c r="WVQ143" s="22"/>
      <c r="WVR143" s="22"/>
      <c r="WVS143" s="22"/>
      <c r="WVT143" s="22"/>
      <c r="WVU143" s="22"/>
      <c r="WVV143" s="22"/>
      <c r="WVW143" s="22"/>
      <c r="WVX143" s="22"/>
      <c r="WVY143" s="22"/>
      <c r="WVZ143" s="22"/>
      <c r="WWA143" s="22"/>
      <c r="WWB143" s="22"/>
      <c r="WWC143" s="22"/>
      <c r="WWD143" s="22"/>
      <c r="WWE143" s="22"/>
      <c r="WWF143" s="22"/>
      <c r="WWG143" s="22"/>
      <c r="WWH143" s="22"/>
      <c r="WWI143" s="22"/>
      <c r="WWJ143" s="22"/>
      <c r="WWK143" s="22"/>
      <c r="WWL143" s="22"/>
      <c r="WWM143" s="22"/>
      <c r="WWN143" s="22"/>
      <c r="WWO143" s="22"/>
      <c r="WWP143" s="22"/>
      <c r="WWQ143" s="22"/>
      <c r="WWR143" s="22"/>
      <c r="WWS143" s="22"/>
      <c r="WWT143" s="22"/>
      <c r="WWU143" s="22"/>
      <c r="WWV143" s="22"/>
      <c r="WWW143" s="22"/>
      <c r="WWX143" s="22"/>
      <c r="WWY143" s="22"/>
      <c r="WWZ143" s="22"/>
      <c r="WXA143" s="22"/>
      <c r="WXB143" s="22"/>
      <c r="WXC143" s="22"/>
      <c r="WXD143" s="22"/>
      <c r="WXE143" s="22"/>
      <c r="WXF143" s="22"/>
      <c r="WXG143" s="22"/>
      <c r="WXH143" s="22"/>
      <c r="WXI143" s="22"/>
      <c r="WXJ143" s="22"/>
      <c r="WXK143" s="22"/>
      <c r="WXL143" s="22"/>
      <c r="WXM143" s="22"/>
      <c r="WXN143" s="22"/>
      <c r="WXO143" s="22"/>
      <c r="WXP143" s="22"/>
      <c r="WXQ143" s="22"/>
      <c r="WXR143" s="22"/>
      <c r="WXS143" s="22"/>
      <c r="WXT143" s="22"/>
      <c r="WXU143" s="22"/>
      <c r="WXV143" s="22"/>
      <c r="WXW143" s="22"/>
      <c r="WXX143" s="22"/>
      <c r="WXY143" s="22"/>
      <c r="WXZ143" s="22"/>
      <c r="WYA143" s="22"/>
      <c r="WYB143" s="22"/>
      <c r="WYC143" s="22"/>
      <c r="WYD143" s="22"/>
      <c r="WYE143" s="22"/>
      <c r="WYF143" s="22"/>
      <c r="WYG143" s="22"/>
      <c r="WYH143" s="22"/>
      <c r="WYI143" s="22"/>
      <c r="WYJ143" s="22"/>
      <c r="WYK143" s="22"/>
      <c r="WYL143" s="22"/>
      <c r="WYM143" s="22"/>
      <c r="WYN143" s="22"/>
      <c r="WYO143" s="22"/>
      <c r="WYP143" s="22"/>
      <c r="WYQ143" s="22"/>
      <c r="WYR143" s="22"/>
      <c r="WYS143" s="22"/>
      <c r="WYT143" s="22"/>
      <c r="WYU143" s="22"/>
      <c r="WYV143" s="22"/>
      <c r="WYW143" s="22"/>
      <c r="WYX143" s="22"/>
      <c r="WYY143" s="22"/>
      <c r="WYZ143" s="22"/>
      <c r="WZA143" s="22"/>
      <c r="WZB143" s="22"/>
      <c r="WZC143" s="22"/>
      <c r="WZD143" s="22"/>
      <c r="WZE143" s="22"/>
      <c r="WZF143" s="22"/>
      <c r="WZG143" s="22"/>
      <c r="WZH143" s="22"/>
      <c r="WZI143" s="22"/>
      <c r="WZJ143" s="22"/>
      <c r="WZK143" s="22"/>
      <c r="WZL143" s="22"/>
      <c r="WZM143" s="22"/>
      <c r="WZN143" s="22"/>
      <c r="WZO143" s="22"/>
      <c r="WZP143" s="22"/>
      <c r="WZQ143" s="22"/>
      <c r="WZR143" s="22"/>
      <c r="WZS143" s="22"/>
      <c r="WZT143" s="22"/>
      <c r="WZU143" s="22"/>
      <c r="WZV143" s="22"/>
      <c r="WZW143" s="22"/>
      <c r="WZX143" s="22"/>
      <c r="WZY143" s="22"/>
      <c r="WZZ143" s="22"/>
      <c r="XAA143" s="22"/>
      <c r="XAB143" s="22"/>
      <c r="XAC143" s="22"/>
      <c r="XAD143" s="22"/>
      <c r="XAE143" s="22"/>
      <c r="XAF143" s="22"/>
      <c r="XAG143" s="22"/>
      <c r="XAH143" s="22"/>
      <c r="XAI143" s="22"/>
      <c r="XAJ143" s="22"/>
      <c r="XAK143" s="22"/>
      <c r="XAL143" s="22"/>
      <c r="XAM143" s="22"/>
      <c r="XAN143" s="22"/>
      <c r="XAO143" s="22"/>
      <c r="XAP143" s="22"/>
      <c r="XAQ143" s="22"/>
      <c r="XAR143" s="22"/>
      <c r="XAS143" s="22"/>
      <c r="XAT143" s="22"/>
      <c r="XAU143" s="22"/>
      <c r="XAV143" s="22"/>
      <c r="XAW143" s="22"/>
      <c r="XAX143" s="22"/>
      <c r="XAY143" s="22"/>
      <c r="XAZ143" s="22"/>
      <c r="XBA143" s="22"/>
      <c r="XBB143" s="22"/>
      <c r="XBC143" s="22"/>
      <c r="XBD143" s="22"/>
      <c r="XBE143" s="22"/>
      <c r="XBF143" s="22"/>
      <c r="XBG143" s="22"/>
      <c r="XBH143" s="22"/>
      <c r="XBI143" s="22"/>
      <c r="XBJ143" s="22"/>
      <c r="XBK143" s="22"/>
      <c r="XBL143" s="22"/>
      <c r="XBM143" s="22"/>
      <c r="XBN143" s="22"/>
      <c r="XBO143" s="22"/>
      <c r="XBP143" s="22"/>
      <c r="XBQ143" s="22"/>
      <c r="XBR143" s="22"/>
      <c r="XBS143" s="22"/>
      <c r="XBT143" s="22"/>
      <c r="XBU143" s="22"/>
      <c r="XBV143" s="22"/>
      <c r="XBW143" s="22"/>
      <c r="XBX143" s="22"/>
      <c r="XBY143" s="22"/>
      <c r="XBZ143" s="22"/>
      <c r="XCA143" s="22"/>
      <c r="XCB143" s="22"/>
      <c r="XCC143" s="22"/>
      <c r="XCD143" s="22"/>
      <c r="XCE143" s="22"/>
      <c r="XCF143" s="22"/>
      <c r="XCG143" s="22"/>
      <c r="XCH143" s="22"/>
      <c r="XCI143" s="22"/>
      <c r="XCJ143" s="22"/>
      <c r="XCK143" s="22"/>
      <c r="XCL143" s="22"/>
      <c r="XCM143" s="22"/>
      <c r="XCN143" s="22"/>
      <c r="XCO143" s="22"/>
      <c r="XCP143" s="22"/>
      <c r="XCQ143" s="22"/>
      <c r="XCR143" s="22"/>
      <c r="XCS143" s="22"/>
      <c r="XCT143" s="22"/>
      <c r="XCU143" s="22"/>
      <c r="XCV143" s="22"/>
      <c r="XCW143" s="22"/>
      <c r="XCX143" s="22"/>
      <c r="XCY143" s="22"/>
      <c r="XCZ143" s="22"/>
      <c r="XDA143" s="22"/>
      <c r="XDB143" s="22"/>
      <c r="XDC143" s="22"/>
      <c r="XDD143" s="22"/>
      <c r="XDE143" s="22"/>
      <c r="XDF143" s="22"/>
      <c r="XDG143" s="22"/>
      <c r="XDH143" s="22"/>
      <c r="XDI143" s="22"/>
      <c r="XDJ143" s="22"/>
      <c r="XDK143" s="22"/>
      <c r="XDL143" s="22"/>
      <c r="XDM143" s="22"/>
      <c r="XDN143" s="22"/>
      <c r="XDO143" s="22"/>
      <c r="XDP143" s="22"/>
      <c r="XDQ143" s="22"/>
      <c r="XDR143" s="22"/>
      <c r="XDS143" s="22"/>
      <c r="XDT143" s="22"/>
      <c r="XDU143" s="22"/>
      <c r="XDV143" s="22"/>
      <c r="XDW143" s="22"/>
      <c r="XDX143" s="22"/>
      <c r="XDY143" s="22"/>
      <c r="XDZ143" s="22"/>
      <c r="XEA143" s="22"/>
      <c r="XEB143" s="22"/>
      <c r="XEC143" s="22"/>
      <c r="XED143" s="22"/>
      <c r="XEE143" s="22"/>
      <c r="XEF143" s="22"/>
      <c r="XEG143" s="22"/>
      <c r="XEH143" s="22"/>
      <c r="XEI143" s="22"/>
      <c r="XEJ143" s="22"/>
      <c r="XEK143" s="22"/>
      <c r="XEL143" s="22"/>
      <c r="XEM143" s="22"/>
      <c r="XEN143" s="22"/>
      <c r="XEO143" s="22"/>
      <c r="XEP143" s="22"/>
      <c r="XEQ143" s="22"/>
      <c r="XER143" s="22"/>
      <c r="XES143" s="22"/>
      <c r="XET143" s="22"/>
      <c r="XEU143" s="22"/>
      <c r="XEV143" s="22"/>
      <c r="XEW143" s="22"/>
      <c r="XEX143" s="22"/>
      <c r="XEY143" s="22"/>
      <c r="XEZ143" s="22"/>
      <c r="XFA143" s="22"/>
      <c r="XFB143" s="22"/>
      <c r="XFC143" s="22"/>
      <c r="XFD143" s="22"/>
    </row>
    <row r="144" spans="1:16384" s="22" customFormat="1" ht="12.75" x14ac:dyDescent="0.25">
      <c r="A144" s="137"/>
      <c r="B144" s="139"/>
      <c r="C144" s="139"/>
      <c r="D144" s="139"/>
      <c r="E144" s="139"/>
      <c r="F144" s="139"/>
      <c r="G144" s="139"/>
      <c r="H144" s="139"/>
      <c r="I144" s="139"/>
      <c r="J144" s="142"/>
      <c r="K144" s="142"/>
      <c r="L144" s="142"/>
      <c r="M144" s="142"/>
      <c r="N144" s="142"/>
      <c r="O144" s="139"/>
      <c r="P144" s="139"/>
      <c r="Q144" s="139"/>
      <c r="R144" s="139"/>
      <c r="S144" s="139"/>
      <c r="T144" s="139"/>
      <c r="U144" s="139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OV144" s="7"/>
      <c r="OW144" s="7"/>
      <c r="OX144" s="7"/>
      <c r="OY144" s="7"/>
      <c r="OZ144" s="7"/>
      <c r="PA144" s="7"/>
      <c r="PB144" s="7"/>
      <c r="PC144" s="7"/>
      <c r="PD144" s="7"/>
      <c r="PE144" s="7"/>
      <c r="PF144" s="7"/>
      <c r="PG144" s="7"/>
      <c r="PH144" s="7"/>
      <c r="PI144" s="7"/>
      <c r="PJ144" s="7"/>
      <c r="PK144" s="7"/>
      <c r="PL144" s="7"/>
      <c r="PM144" s="7"/>
      <c r="PN144" s="7"/>
      <c r="PO144" s="7"/>
      <c r="PP144" s="7"/>
      <c r="PQ144" s="7"/>
      <c r="PR144" s="7"/>
      <c r="PS144" s="7"/>
      <c r="PT144" s="7"/>
      <c r="PU144" s="7"/>
      <c r="PV144" s="7"/>
      <c r="PW144" s="7"/>
      <c r="PX144" s="7"/>
      <c r="PY144" s="7"/>
      <c r="PZ144" s="7"/>
      <c r="QA144" s="7"/>
      <c r="QB144" s="7"/>
      <c r="QC144" s="7"/>
      <c r="QD144" s="7"/>
      <c r="QE144" s="7"/>
      <c r="QF144" s="7"/>
      <c r="QG144" s="7"/>
      <c r="QH144" s="7"/>
      <c r="QI144" s="7"/>
      <c r="QJ144" s="7"/>
      <c r="QK144" s="7"/>
      <c r="QL144" s="7"/>
      <c r="QM144" s="7"/>
      <c r="QN144" s="7"/>
      <c r="QO144" s="7"/>
      <c r="QP144" s="7"/>
      <c r="QQ144" s="7"/>
      <c r="QR144" s="7"/>
      <c r="QS144" s="7"/>
      <c r="QT144" s="7"/>
      <c r="QU144" s="7"/>
      <c r="QV144" s="7"/>
      <c r="QW144" s="7"/>
      <c r="QX144" s="7"/>
      <c r="QY144" s="7"/>
      <c r="QZ144" s="7"/>
      <c r="RA144" s="7"/>
      <c r="RB144" s="7"/>
      <c r="RC144" s="7"/>
      <c r="RD144" s="7"/>
      <c r="RE144" s="7"/>
      <c r="RF144" s="7"/>
      <c r="RG144" s="7"/>
      <c r="RH144" s="7"/>
      <c r="RI144" s="7"/>
      <c r="RJ144" s="7"/>
      <c r="RK144" s="7"/>
      <c r="RL144" s="7"/>
      <c r="RM144" s="7"/>
      <c r="RN144" s="7"/>
      <c r="RO144" s="7"/>
      <c r="RP144" s="7"/>
      <c r="RQ144" s="7"/>
      <c r="RR144" s="7"/>
      <c r="RS144" s="7"/>
      <c r="RT144" s="7"/>
      <c r="RU144" s="7"/>
      <c r="RV144" s="7"/>
      <c r="RW144" s="7"/>
      <c r="RX144" s="7"/>
      <c r="RY144" s="7"/>
      <c r="RZ144" s="7"/>
      <c r="SA144" s="7"/>
      <c r="SB144" s="7"/>
      <c r="SC144" s="7"/>
      <c r="SD144" s="7"/>
      <c r="SE144" s="7"/>
      <c r="SF144" s="7"/>
      <c r="SG144" s="7"/>
      <c r="SH144" s="7"/>
      <c r="SI144" s="7"/>
      <c r="SJ144" s="7"/>
      <c r="SK144" s="7"/>
      <c r="SL144" s="7"/>
      <c r="SM144" s="7"/>
      <c r="SN144" s="7"/>
      <c r="SO144" s="7"/>
      <c r="SP144" s="7"/>
      <c r="SQ144" s="7"/>
      <c r="SR144" s="7"/>
      <c r="SS144" s="7"/>
      <c r="ST144" s="7"/>
      <c r="SU144" s="7"/>
      <c r="SV144" s="7"/>
      <c r="SW144" s="7"/>
      <c r="SX144" s="7"/>
      <c r="SY144" s="7"/>
      <c r="SZ144" s="7"/>
      <c r="TA144" s="7"/>
      <c r="TB144" s="7"/>
      <c r="TC144" s="7"/>
      <c r="TD144" s="7"/>
      <c r="TE144" s="7"/>
      <c r="TF144" s="7"/>
      <c r="TG144" s="7"/>
      <c r="TH144" s="7"/>
      <c r="TI144" s="7"/>
      <c r="TJ144" s="7"/>
      <c r="TK144" s="7"/>
      <c r="TL144" s="7"/>
      <c r="TM144" s="7"/>
      <c r="TN144" s="7"/>
      <c r="TO144" s="7"/>
      <c r="TP144" s="7"/>
      <c r="TQ144" s="7"/>
      <c r="TR144" s="7"/>
      <c r="TS144" s="7"/>
      <c r="TT144" s="7"/>
      <c r="TU144" s="7"/>
      <c r="TV144" s="7"/>
      <c r="TW144" s="7"/>
      <c r="TX144" s="7"/>
      <c r="TY144" s="7"/>
      <c r="TZ144" s="7"/>
      <c r="UA144" s="7"/>
      <c r="UB144" s="7"/>
      <c r="UC144" s="7"/>
      <c r="UD144" s="7"/>
      <c r="UE144" s="7"/>
      <c r="UF144" s="7"/>
      <c r="UG144" s="7"/>
      <c r="UH144" s="7"/>
      <c r="UI144" s="7"/>
      <c r="UJ144" s="7"/>
      <c r="UK144" s="7"/>
      <c r="UL144" s="7"/>
      <c r="UM144" s="7"/>
      <c r="UN144" s="7"/>
      <c r="UO144" s="7"/>
      <c r="UP144" s="7"/>
      <c r="UQ144" s="7"/>
      <c r="UR144" s="7"/>
      <c r="US144" s="7"/>
      <c r="UT144" s="7"/>
      <c r="UU144" s="7"/>
      <c r="UV144" s="7"/>
      <c r="UW144" s="7"/>
      <c r="UX144" s="7"/>
      <c r="UY144" s="7"/>
      <c r="UZ144" s="7"/>
      <c r="VA144" s="7"/>
      <c r="VB144" s="7"/>
      <c r="VC144" s="7"/>
      <c r="VD144" s="7"/>
      <c r="VE144" s="7"/>
      <c r="VF144" s="7"/>
      <c r="VG144" s="7"/>
      <c r="VH144" s="7"/>
      <c r="VI144" s="7"/>
      <c r="VJ144" s="7"/>
      <c r="VK144" s="7"/>
      <c r="VL144" s="7"/>
      <c r="VM144" s="7"/>
      <c r="VN144" s="7"/>
      <c r="VO144" s="7"/>
      <c r="VP144" s="7"/>
      <c r="VQ144" s="7"/>
      <c r="VR144" s="7"/>
      <c r="VS144" s="7"/>
      <c r="VT144" s="7"/>
      <c r="VU144" s="7"/>
      <c r="VV144" s="7"/>
      <c r="VW144" s="7"/>
      <c r="VX144" s="7"/>
      <c r="VY144" s="7"/>
      <c r="VZ144" s="7"/>
      <c r="WA144" s="7"/>
      <c r="WB144" s="7"/>
      <c r="WC144" s="7"/>
      <c r="WD144" s="7"/>
      <c r="WE144" s="7"/>
      <c r="WF144" s="7"/>
      <c r="WG144" s="7"/>
      <c r="WH144" s="7"/>
      <c r="WI144" s="7"/>
      <c r="WJ144" s="7"/>
      <c r="WK144" s="7"/>
      <c r="WL144" s="7"/>
      <c r="WM144" s="7"/>
      <c r="WN144" s="7"/>
      <c r="WO144" s="7"/>
      <c r="WP144" s="7"/>
      <c r="WQ144" s="7"/>
      <c r="WR144" s="7"/>
      <c r="WS144" s="7"/>
      <c r="WT144" s="7"/>
      <c r="WU144" s="7"/>
      <c r="WV144" s="7"/>
      <c r="WW144" s="7"/>
      <c r="WX144" s="7"/>
      <c r="WY144" s="7"/>
      <c r="WZ144" s="7"/>
      <c r="XA144" s="7"/>
      <c r="XB144" s="7"/>
      <c r="XC144" s="7"/>
      <c r="XD144" s="7"/>
      <c r="XE144" s="7"/>
      <c r="XF144" s="7"/>
      <c r="XG144" s="7"/>
      <c r="XH144" s="7"/>
      <c r="XI144" s="7"/>
      <c r="XJ144" s="7"/>
      <c r="XK144" s="7"/>
      <c r="XL144" s="7"/>
      <c r="XM144" s="7"/>
      <c r="XN144" s="7"/>
      <c r="XO144" s="7"/>
      <c r="XP144" s="7"/>
      <c r="XQ144" s="7"/>
      <c r="XR144" s="7"/>
      <c r="XS144" s="7"/>
      <c r="XT144" s="7"/>
      <c r="XU144" s="7"/>
      <c r="XV144" s="7"/>
      <c r="XW144" s="7"/>
      <c r="XX144" s="7"/>
      <c r="XY144" s="7"/>
      <c r="XZ144" s="7"/>
      <c r="YA144" s="7"/>
      <c r="YB144" s="7"/>
      <c r="YC144" s="7"/>
      <c r="YD144" s="7"/>
      <c r="YE144" s="7"/>
      <c r="YF144" s="7"/>
      <c r="YG144" s="7"/>
      <c r="YH144" s="7"/>
      <c r="YI144" s="7"/>
      <c r="YJ144" s="7"/>
      <c r="YK144" s="7"/>
      <c r="YL144" s="7"/>
      <c r="YM144" s="7"/>
      <c r="YN144" s="7"/>
      <c r="YO144" s="7"/>
      <c r="YP144" s="7"/>
      <c r="YQ144" s="7"/>
      <c r="YR144" s="7"/>
      <c r="YS144" s="7"/>
      <c r="YT144" s="7"/>
      <c r="YU144" s="7"/>
      <c r="YV144" s="7"/>
      <c r="YW144" s="7"/>
      <c r="YX144" s="7"/>
      <c r="YY144" s="7"/>
      <c r="YZ144" s="7"/>
      <c r="ZA144" s="7"/>
      <c r="ZB144" s="7"/>
      <c r="ZC144" s="7"/>
      <c r="ZD144" s="7"/>
      <c r="ZE144" s="7"/>
      <c r="ZF144" s="7"/>
      <c r="ZG144" s="7"/>
      <c r="ZH144" s="7"/>
      <c r="ZI144" s="7"/>
      <c r="ZJ144" s="7"/>
      <c r="ZK144" s="7"/>
      <c r="ZL144" s="7"/>
      <c r="ZM144" s="7"/>
      <c r="ZN144" s="7"/>
      <c r="ZO144" s="7"/>
      <c r="ZP144" s="7"/>
      <c r="ZQ144" s="7"/>
      <c r="ZR144" s="7"/>
      <c r="ZS144" s="7"/>
      <c r="ZT144" s="7"/>
      <c r="ZU144" s="7"/>
      <c r="ZV144" s="7"/>
      <c r="ZW144" s="7"/>
      <c r="ZX144" s="7"/>
      <c r="ZY144" s="7"/>
      <c r="ZZ144" s="7"/>
      <c r="AAA144" s="7"/>
      <c r="AAB144" s="7"/>
      <c r="AAC144" s="7"/>
      <c r="AAD144" s="7"/>
      <c r="AAE144" s="7"/>
      <c r="AAF144" s="7"/>
      <c r="AAG144" s="7"/>
      <c r="AAH144" s="7"/>
      <c r="AAI144" s="7"/>
      <c r="AAJ144" s="7"/>
      <c r="AAK144" s="7"/>
      <c r="AAL144" s="7"/>
      <c r="AAM144" s="7"/>
      <c r="AAN144" s="7"/>
      <c r="AAO144" s="7"/>
      <c r="AAP144" s="7"/>
      <c r="AAQ144" s="7"/>
      <c r="AAR144" s="7"/>
      <c r="AAS144" s="7"/>
      <c r="AAT144" s="7"/>
      <c r="AAU144" s="7"/>
      <c r="AAV144" s="7"/>
      <c r="AAW144" s="7"/>
      <c r="AAX144" s="7"/>
      <c r="AAY144" s="7"/>
      <c r="AAZ144" s="7"/>
      <c r="ABA144" s="7"/>
      <c r="ABB144" s="7"/>
      <c r="ABC144" s="7"/>
      <c r="ABD144" s="7"/>
      <c r="ABE144" s="7"/>
      <c r="ABF144" s="7"/>
      <c r="ABG144" s="7"/>
      <c r="ABH144" s="7"/>
      <c r="ABI144" s="7"/>
      <c r="ABJ144" s="7"/>
      <c r="ABK144" s="7"/>
      <c r="ABL144" s="7"/>
      <c r="ABM144" s="7"/>
      <c r="ABN144" s="7"/>
      <c r="ABO144" s="7"/>
      <c r="ABP144" s="7"/>
      <c r="ABQ144" s="7"/>
      <c r="ABR144" s="7"/>
      <c r="ABS144" s="7"/>
      <c r="ABT144" s="7"/>
      <c r="ABU144" s="7"/>
      <c r="ABV144" s="7"/>
      <c r="ABW144" s="7"/>
      <c r="ABX144" s="7"/>
      <c r="ABY144" s="7"/>
      <c r="ABZ144" s="7"/>
      <c r="ACA144" s="7"/>
      <c r="ACB144" s="7"/>
      <c r="ACC144" s="7"/>
      <c r="ACD144" s="7"/>
      <c r="ACE144" s="7"/>
      <c r="ACF144" s="7"/>
      <c r="ACG144" s="7"/>
      <c r="ACH144" s="7"/>
      <c r="ACI144" s="7"/>
      <c r="ACJ144" s="7"/>
      <c r="ACK144" s="7"/>
      <c r="ACL144" s="7"/>
      <c r="ACM144" s="7"/>
      <c r="ACN144" s="7"/>
      <c r="ACO144" s="7"/>
      <c r="ACP144" s="7"/>
      <c r="ACQ144" s="7"/>
      <c r="ACR144" s="7"/>
      <c r="ACS144" s="7"/>
      <c r="ACT144" s="7"/>
      <c r="ACU144" s="7"/>
      <c r="ACV144" s="7"/>
      <c r="ACW144" s="7"/>
      <c r="ACX144" s="7"/>
      <c r="ACY144" s="7"/>
      <c r="ACZ144" s="7"/>
      <c r="ADA144" s="7"/>
      <c r="ADB144" s="7"/>
      <c r="ADC144" s="7"/>
      <c r="ADD144" s="7"/>
      <c r="ADE144" s="7"/>
      <c r="ADF144" s="7"/>
      <c r="ADG144" s="7"/>
      <c r="ADH144" s="7"/>
      <c r="ADI144" s="7"/>
      <c r="ADJ144" s="7"/>
      <c r="ADK144" s="7"/>
      <c r="ADL144" s="7"/>
      <c r="ADM144" s="7"/>
      <c r="ADN144" s="7"/>
      <c r="ADO144" s="7"/>
      <c r="ADP144" s="7"/>
      <c r="ADQ144" s="7"/>
      <c r="ADR144" s="7"/>
      <c r="ADS144" s="7"/>
      <c r="ADT144" s="7"/>
      <c r="ADU144" s="7"/>
      <c r="ADV144" s="7"/>
      <c r="ADW144" s="7"/>
      <c r="ADX144" s="7"/>
      <c r="ADY144" s="7"/>
      <c r="ADZ144" s="7"/>
      <c r="AEA144" s="7"/>
      <c r="AEB144" s="7"/>
      <c r="AEC144" s="7"/>
      <c r="AED144" s="7"/>
      <c r="AEE144" s="7"/>
      <c r="AEF144" s="7"/>
      <c r="AEG144" s="7"/>
      <c r="AEH144" s="7"/>
      <c r="AEI144" s="7"/>
      <c r="AEJ144" s="7"/>
      <c r="AEK144" s="7"/>
      <c r="AEL144" s="7"/>
      <c r="AEM144" s="7"/>
      <c r="AEN144" s="7"/>
      <c r="AEO144" s="7"/>
      <c r="AEP144" s="7"/>
      <c r="AEQ144" s="7"/>
      <c r="AER144" s="7"/>
      <c r="AES144" s="7"/>
      <c r="AET144" s="7"/>
      <c r="AEU144" s="7"/>
      <c r="AEV144" s="7"/>
      <c r="AEW144" s="7"/>
      <c r="AEX144" s="7"/>
      <c r="AEY144" s="7"/>
      <c r="AEZ144" s="7"/>
      <c r="AFA144" s="7"/>
      <c r="AFB144" s="7"/>
      <c r="AFC144" s="7"/>
      <c r="AFD144" s="7"/>
      <c r="AFE144" s="7"/>
      <c r="AFF144" s="7"/>
      <c r="AFG144" s="7"/>
      <c r="AFH144" s="7"/>
      <c r="AFI144" s="7"/>
      <c r="AFJ144" s="7"/>
      <c r="AFK144" s="7"/>
      <c r="AFL144" s="7"/>
      <c r="AFM144" s="7"/>
      <c r="AFN144" s="7"/>
      <c r="AFO144" s="7"/>
      <c r="AFP144" s="7"/>
      <c r="AFQ144" s="7"/>
      <c r="AFR144" s="7"/>
      <c r="AFS144" s="7"/>
      <c r="AFT144" s="7"/>
      <c r="AFU144" s="7"/>
      <c r="AFV144" s="7"/>
      <c r="AFW144" s="7"/>
      <c r="AFX144" s="7"/>
      <c r="AFY144" s="7"/>
      <c r="AFZ144" s="7"/>
      <c r="AGA144" s="7"/>
      <c r="AGB144" s="7"/>
      <c r="AGC144" s="7"/>
      <c r="AGD144" s="7"/>
      <c r="AGE144" s="7"/>
      <c r="AGF144" s="7"/>
      <c r="AGG144" s="7"/>
      <c r="AGH144" s="7"/>
      <c r="AGI144" s="7"/>
      <c r="AGJ144" s="7"/>
      <c r="AGK144" s="7"/>
      <c r="AGL144" s="7"/>
      <c r="AGM144" s="7"/>
      <c r="AGN144" s="7"/>
      <c r="AGO144" s="7"/>
      <c r="AGP144" s="7"/>
      <c r="AGQ144" s="7"/>
      <c r="AGR144" s="7"/>
      <c r="AGS144" s="7"/>
      <c r="AGT144" s="7"/>
      <c r="AGU144" s="7"/>
      <c r="AGV144" s="7"/>
      <c r="AGW144" s="7"/>
      <c r="AGX144" s="7"/>
      <c r="AGY144" s="7"/>
      <c r="AGZ144" s="7"/>
      <c r="AHA144" s="7"/>
      <c r="AHB144" s="7"/>
      <c r="AHC144" s="7"/>
      <c r="AHD144" s="7"/>
      <c r="AHE144" s="7"/>
      <c r="AHF144" s="7"/>
      <c r="AHG144" s="7"/>
      <c r="AHH144" s="7"/>
      <c r="AHI144" s="7"/>
      <c r="AHJ144" s="7"/>
      <c r="AHK144" s="7"/>
      <c r="AHL144" s="7"/>
      <c r="AHM144" s="7"/>
      <c r="AHN144" s="7"/>
      <c r="AHO144" s="7"/>
      <c r="AHP144" s="7"/>
      <c r="AHQ144" s="7"/>
      <c r="AHR144" s="7"/>
      <c r="AHS144" s="7"/>
      <c r="AHT144" s="7"/>
      <c r="AHU144" s="7"/>
      <c r="AHV144" s="7"/>
      <c r="AHW144" s="7"/>
      <c r="AHX144" s="7"/>
      <c r="AHY144" s="7"/>
      <c r="AHZ144" s="7"/>
      <c r="AIA144" s="7"/>
      <c r="AIB144" s="7"/>
      <c r="AIC144" s="7"/>
      <c r="AID144" s="7"/>
      <c r="AIE144" s="7"/>
      <c r="AIF144" s="7"/>
      <c r="AIG144" s="7"/>
      <c r="AIH144" s="7"/>
      <c r="AII144" s="7"/>
      <c r="AIJ144" s="7"/>
      <c r="AIK144" s="7"/>
      <c r="AIL144" s="7"/>
      <c r="AIM144" s="7"/>
      <c r="AIN144" s="7"/>
      <c r="AIO144" s="7"/>
      <c r="AIP144" s="7"/>
      <c r="AIQ144" s="7"/>
      <c r="AIR144" s="7"/>
      <c r="AIS144" s="7"/>
      <c r="AIT144" s="7"/>
      <c r="AIU144" s="7"/>
      <c r="AIV144" s="7"/>
      <c r="AIW144" s="7"/>
      <c r="AIX144" s="7"/>
      <c r="AIY144" s="7"/>
      <c r="AIZ144" s="7"/>
      <c r="AJA144" s="7"/>
      <c r="AJB144" s="7"/>
      <c r="AJC144" s="7"/>
      <c r="AJD144" s="7"/>
      <c r="AJE144" s="7"/>
      <c r="AJF144" s="7"/>
      <c r="AJG144" s="7"/>
      <c r="AJH144" s="7"/>
      <c r="AJI144" s="7"/>
      <c r="AJJ144" s="7"/>
      <c r="AJK144" s="7"/>
      <c r="AJL144" s="7"/>
      <c r="AJM144" s="7"/>
      <c r="AJN144" s="7"/>
      <c r="AJO144" s="7"/>
      <c r="AJP144" s="7"/>
      <c r="AJQ144" s="7"/>
      <c r="AJR144" s="7"/>
      <c r="AJS144" s="7"/>
      <c r="AJT144" s="7"/>
      <c r="AJU144" s="7"/>
      <c r="AJV144" s="7"/>
      <c r="AJW144" s="7"/>
      <c r="AJX144" s="7"/>
      <c r="AJY144" s="7"/>
      <c r="AJZ144" s="7"/>
      <c r="AKA144" s="7"/>
      <c r="AKB144" s="7"/>
      <c r="AKC144" s="7"/>
      <c r="AKD144" s="7"/>
      <c r="AKE144" s="7"/>
      <c r="AKF144" s="7"/>
      <c r="AKG144" s="7"/>
      <c r="AKH144" s="7"/>
      <c r="AKI144" s="7"/>
      <c r="AKJ144" s="7"/>
      <c r="AKK144" s="7"/>
      <c r="AKL144" s="7"/>
      <c r="AKM144" s="7"/>
      <c r="AKN144" s="7"/>
      <c r="AKO144" s="7"/>
      <c r="AKP144" s="7"/>
      <c r="AKQ144" s="7"/>
      <c r="AKR144" s="7"/>
      <c r="AKS144" s="7"/>
      <c r="AKT144" s="7"/>
      <c r="AKU144" s="7"/>
      <c r="AKV144" s="7"/>
      <c r="AKW144" s="7"/>
      <c r="AKX144" s="7"/>
      <c r="AKY144" s="7"/>
      <c r="AKZ144" s="7"/>
      <c r="ALA144" s="7"/>
      <c r="ALB144" s="7"/>
      <c r="ALC144" s="7"/>
      <c r="ALD144" s="7"/>
      <c r="ALE144" s="7"/>
      <c r="ALF144" s="7"/>
      <c r="ALG144" s="7"/>
      <c r="ALH144" s="7"/>
      <c r="ALI144" s="7"/>
      <c r="ALJ144" s="7"/>
      <c r="ALK144" s="7"/>
      <c r="ALL144" s="7"/>
      <c r="ALM144" s="7"/>
      <c r="ALN144" s="7"/>
      <c r="ALO144" s="7"/>
      <c r="ALP144" s="7"/>
      <c r="ALQ144" s="7"/>
      <c r="ALR144" s="7"/>
      <c r="ALS144" s="7"/>
      <c r="ALT144" s="7"/>
      <c r="ALU144" s="7"/>
      <c r="ALV144" s="7"/>
      <c r="ALW144" s="7"/>
      <c r="ALX144" s="7"/>
      <c r="ALY144" s="7"/>
      <c r="ALZ144" s="7"/>
      <c r="AMA144" s="7"/>
      <c r="AMB144" s="7"/>
      <c r="AMC144" s="7"/>
      <c r="AMD144" s="7"/>
      <c r="AME144" s="7"/>
      <c r="AMF144" s="7"/>
      <c r="AMG144" s="7"/>
      <c r="AMH144" s="7"/>
      <c r="AMI144" s="7"/>
      <c r="AMJ144" s="7"/>
      <c r="AMK144" s="7"/>
      <c r="AML144" s="7"/>
      <c r="AMM144" s="7"/>
      <c r="AMN144" s="7"/>
      <c r="AMO144" s="7"/>
      <c r="AMP144" s="7"/>
      <c r="AMQ144" s="7"/>
      <c r="AMR144" s="7"/>
      <c r="AMS144" s="7"/>
      <c r="AMT144" s="7"/>
      <c r="AMU144" s="7"/>
      <c r="AMV144" s="7"/>
      <c r="AMW144" s="7"/>
      <c r="AMX144" s="7"/>
      <c r="AMY144" s="7"/>
      <c r="AMZ144" s="7"/>
      <c r="ANA144" s="7"/>
      <c r="ANB144" s="7"/>
      <c r="ANC144" s="7"/>
      <c r="AND144" s="7"/>
      <c r="ANE144" s="7"/>
      <c r="ANF144" s="7"/>
      <c r="ANG144" s="7"/>
      <c r="ANH144" s="7"/>
      <c r="ANI144" s="7"/>
      <c r="ANJ144" s="7"/>
      <c r="ANK144" s="7"/>
      <c r="ANL144" s="7"/>
      <c r="ANM144" s="7"/>
      <c r="ANN144" s="7"/>
      <c r="ANO144" s="7"/>
      <c r="ANP144" s="7"/>
      <c r="ANQ144" s="7"/>
      <c r="ANR144" s="7"/>
      <c r="ANS144" s="7"/>
      <c r="ANT144" s="7"/>
      <c r="ANU144" s="7"/>
      <c r="ANV144" s="7"/>
      <c r="ANW144" s="7"/>
      <c r="ANX144" s="7"/>
      <c r="ANY144" s="7"/>
      <c r="ANZ144" s="7"/>
      <c r="AOA144" s="7"/>
      <c r="AOB144" s="7"/>
      <c r="AOC144" s="7"/>
      <c r="AOD144" s="7"/>
      <c r="AOE144" s="7"/>
      <c r="AOF144" s="7"/>
      <c r="AOG144" s="7"/>
      <c r="AOH144" s="7"/>
      <c r="AOI144" s="7"/>
      <c r="AOJ144" s="7"/>
      <c r="AOK144" s="7"/>
      <c r="AOL144" s="7"/>
      <c r="AOM144" s="7"/>
      <c r="AON144" s="7"/>
      <c r="AOO144" s="7"/>
      <c r="AOP144" s="7"/>
      <c r="AOQ144" s="7"/>
      <c r="AOR144" s="7"/>
      <c r="AOS144" s="7"/>
      <c r="AOT144" s="7"/>
      <c r="AOU144" s="7"/>
      <c r="AOV144" s="7"/>
      <c r="AOW144" s="7"/>
      <c r="AOX144" s="7"/>
      <c r="AOY144" s="7"/>
      <c r="AOZ144" s="7"/>
      <c r="APA144" s="7"/>
      <c r="APB144" s="7"/>
      <c r="APC144" s="7"/>
      <c r="APD144" s="7"/>
      <c r="APE144" s="7"/>
      <c r="APF144" s="7"/>
      <c r="APG144" s="7"/>
      <c r="APH144" s="7"/>
      <c r="API144" s="7"/>
      <c r="APJ144" s="7"/>
      <c r="APK144" s="7"/>
      <c r="APL144" s="7"/>
      <c r="APM144" s="7"/>
      <c r="APN144" s="7"/>
      <c r="APO144" s="7"/>
      <c r="APP144" s="7"/>
      <c r="APQ144" s="7"/>
      <c r="APR144" s="7"/>
      <c r="APS144" s="7"/>
      <c r="APT144" s="7"/>
      <c r="APU144" s="7"/>
      <c r="APV144" s="7"/>
      <c r="APW144" s="7"/>
      <c r="APX144" s="7"/>
      <c r="APY144" s="7"/>
      <c r="APZ144" s="7"/>
      <c r="AQA144" s="7"/>
      <c r="AQB144" s="7"/>
      <c r="AQC144" s="7"/>
      <c r="AQD144" s="7"/>
      <c r="AQE144" s="7"/>
      <c r="AQF144" s="7"/>
      <c r="AQG144" s="7"/>
      <c r="AQH144" s="7"/>
      <c r="AQI144" s="7"/>
      <c r="AQJ144" s="7"/>
      <c r="AQK144" s="7"/>
      <c r="AQL144" s="7"/>
      <c r="AQM144" s="7"/>
      <c r="AQN144" s="7"/>
      <c r="AQO144" s="7"/>
      <c r="AQP144" s="7"/>
      <c r="AQQ144" s="7"/>
      <c r="AQR144" s="7"/>
      <c r="AQS144" s="7"/>
      <c r="AQT144" s="7"/>
      <c r="AQU144" s="7"/>
      <c r="AQV144" s="7"/>
      <c r="AQW144" s="7"/>
      <c r="AQX144" s="7"/>
      <c r="AQY144" s="7"/>
      <c r="AQZ144" s="7"/>
      <c r="ARA144" s="7"/>
      <c r="ARB144" s="7"/>
      <c r="ARC144" s="7"/>
      <c r="ARD144" s="7"/>
      <c r="ARE144" s="7"/>
      <c r="ARF144" s="7"/>
      <c r="ARG144" s="7"/>
      <c r="ARH144" s="7"/>
      <c r="ARI144" s="7"/>
      <c r="ARJ144" s="7"/>
      <c r="ARK144" s="7"/>
      <c r="ARL144" s="7"/>
      <c r="ARM144" s="7"/>
      <c r="ARN144" s="7"/>
      <c r="ARO144" s="7"/>
      <c r="ARP144" s="7"/>
      <c r="ARQ144" s="7"/>
      <c r="ARR144" s="7"/>
      <c r="ARS144" s="7"/>
      <c r="ART144" s="7"/>
      <c r="ARU144" s="7"/>
      <c r="ARV144" s="7"/>
      <c r="ARW144" s="7"/>
      <c r="ARX144" s="7"/>
      <c r="ARY144" s="7"/>
      <c r="ARZ144" s="7"/>
      <c r="ASA144" s="7"/>
      <c r="ASB144" s="7"/>
      <c r="ASC144" s="7"/>
      <c r="ASD144" s="7"/>
      <c r="ASE144" s="7"/>
      <c r="ASF144" s="7"/>
      <c r="ASG144" s="7"/>
      <c r="ASH144" s="7"/>
      <c r="ASI144" s="7"/>
      <c r="ASJ144" s="7"/>
      <c r="ASK144" s="7"/>
      <c r="ASL144" s="7"/>
      <c r="ASM144" s="7"/>
      <c r="ASN144" s="7"/>
      <c r="ASO144" s="7"/>
      <c r="ASP144" s="7"/>
      <c r="ASQ144" s="7"/>
      <c r="ASR144" s="7"/>
      <c r="ASS144" s="7"/>
      <c r="AST144" s="7"/>
      <c r="ASU144" s="7"/>
      <c r="ASV144" s="7"/>
      <c r="ASW144" s="7"/>
      <c r="ASX144" s="7"/>
      <c r="ASY144" s="7"/>
      <c r="ASZ144" s="7"/>
      <c r="ATA144" s="7"/>
      <c r="ATB144" s="7"/>
      <c r="ATC144" s="7"/>
      <c r="ATD144" s="7"/>
      <c r="ATE144" s="7"/>
      <c r="ATF144" s="7"/>
      <c r="ATG144" s="7"/>
      <c r="ATH144" s="7"/>
      <c r="ATI144" s="7"/>
      <c r="ATJ144" s="7"/>
      <c r="ATK144" s="7"/>
      <c r="ATL144" s="7"/>
      <c r="ATM144" s="7"/>
      <c r="ATN144" s="7"/>
      <c r="ATO144" s="7"/>
      <c r="ATP144" s="7"/>
      <c r="ATQ144" s="7"/>
      <c r="ATR144" s="7"/>
      <c r="ATS144" s="7"/>
      <c r="ATT144" s="7"/>
      <c r="ATU144" s="7"/>
      <c r="ATV144" s="7"/>
      <c r="ATW144" s="7"/>
      <c r="ATX144" s="7"/>
      <c r="ATY144" s="7"/>
      <c r="ATZ144" s="7"/>
      <c r="AUA144" s="7"/>
      <c r="AUB144" s="7"/>
      <c r="AUC144" s="7"/>
      <c r="AUD144" s="7"/>
      <c r="AUE144" s="7"/>
      <c r="AUF144" s="7"/>
      <c r="AUG144" s="7"/>
      <c r="AUH144" s="7"/>
      <c r="AUI144" s="7"/>
      <c r="AUJ144" s="7"/>
      <c r="AUK144" s="7"/>
      <c r="AUL144" s="7"/>
      <c r="AUM144" s="7"/>
      <c r="AUN144" s="7"/>
      <c r="AUO144" s="7"/>
      <c r="AUP144" s="7"/>
      <c r="AUQ144" s="7"/>
      <c r="AUR144" s="7"/>
      <c r="AUS144" s="7"/>
      <c r="AUT144" s="7"/>
      <c r="AUU144" s="7"/>
      <c r="AUV144" s="7"/>
      <c r="AUW144" s="7"/>
      <c r="AUX144" s="7"/>
      <c r="AUY144" s="7"/>
      <c r="AUZ144" s="7"/>
      <c r="AVA144" s="7"/>
      <c r="AVB144" s="7"/>
      <c r="AVC144" s="7"/>
      <c r="AVD144" s="7"/>
      <c r="AVE144" s="7"/>
      <c r="AVF144" s="7"/>
      <c r="AVG144" s="7"/>
      <c r="AVH144" s="7"/>
      <c r="AVI144" s="7"/>
      <c r="AVJ144" s="7"/>
      <c r="AVK144" s="7"/>
      <c r="AVL144" s="7"/>
      <c r="AVM144" s="7"/>
      <c r="AVN144" s="7"/>
      <c r="AVO144" s="7"/>
      <c r="AVP144" s="7"/>
      <c r="AVQ144" s="7"/>
      <c r="AVR144" s="7"/>
      <c r="AVS144" s="7"/>
      <c r="AVT144" s="7"/>
      <c r="AVU144" s="7"/>
      <c r="AVV144" s="7"/>
      <c r="AVW144" s="7"/>
      <c r="AVX144" s="7"/>
      <c r="AVY144" s="7"/>
      <c r="AVZ144" s="7"/>
      <c r="AWA144" s="7"/>
      <c r="AWB144" s="7"/>
      <c r="AWC144" s="7"/>
      <c r="AWD144" s="7"/>
      <c r="AWE144" s="7"/>
      <c r="AWF144" s="7"/>
      <c r="AWG144" s="7"/>
      <c r="AWH144" s="7"/>
      <c r="AWI144" s="7"/>
      <c r="AWJ144" s="7"/>
      <c r="AWK144" s="7"/>
      <c r="AWL144" s="7"/>
      <c r="AWM144" s="7"/>
      <c r="AWN144" s="7"/>
      <c r="AWO144" s="7"/>
      <c r="AWP144" s="7"/>
      <c r="AWQ144" s="7"/>
      <c r="AWR144" s="7"/>
      <c r="AWS144" s="7"/>
      <c r="AWT144" s="7"/>
      <c r="AWU144" s="7"/>
      <c r="AWV144" s="7"/>
      <c r="AWW144" s="7"/>
      <c r="AWX144" s="7"/>
      <c r="AWY144" s="7"/>
      <c r="AWZ144" s="7"/>
      <c r="AXA144" s="7"/>
      <c r="AXB144" s="7"/>
      <c r="AXC144" s="7"/>
      <c r="AXD144" s="7"/>
      <c r="AXE144" s="7"/>
      <c r="AXF144" s="7"/>
      <c r="AXG144" s="7"/>
      <c r="AXH144" s="7"/>
      <c r="AXI144" s="7"/>
      <c r="AXJ144" s="7"/>
      <c r="AXK144" s="7"/>
      <c r="AXL144" s="7"/>
      <c r="AXM144" s="7"/>
      <c r="AXN144" s="7"/>
      <c r="AXO144" s="7"/>
      <c r="AXP144" s="7"/>
      <c r="AXQ144" s="7"/>
      <c r="AXR144" s="7"/>
      <c r="AXS144" s="7"/>
      <c r="AXT144" s="7"/>
      <c r="AXU144" s="7"/>
      <c r="AXV144" s="7"/>
      <c r="AXW144" s="7"/>
      <c r="AXX144" s="7"/>
      <c r="AXY144" s="7"/>
      <c r="AXZ144" s="7"/>
      <c r="AYA144" s="7"/>
      <c r="AYB144" s="7"/>
      <c r="AYC144" s="7"/>
      <c r="AYD144" s="7"/>
      <c r="AYE144" s="7"/>
      <c r="AYF144" s="7"/>
      <c r="AYG144" s="7"/>
      <c r="AYH144" s="7"/>
      <c r="AYI144" s="7"/>
      <c r="AYJ144" s="7"/>
      <c r="AYK144" s="7"/>
      <c r="AYL144" s="7"/>
      <c r="AYM144" s="7"/>
      <c r="AYN144" s="7"/>
      <c r="AYO144" s="7"/>
      <c r="AYP144" s="7"/>
      <c r="AYQ144" s="7"/>
      <c r="AYR144" s="7"/>
      <c r="AYS144" s="7"/>
      <c r="AYT144" s="7"/>
      <c r="AYU144" s="7"/>
      <c r="AYV144" s="7"/>
      <c r="AYW144" s="7"/>
      <c r="AYX144" s="7"/>
      <c r="AYY144" s="7"/>
      <c r="AYZ144" s="7"/>
      <c r="AZA144" s="7"/>
      <c r="AZB144" s="7"/>
      <c r="AZC144" s="7"/>
      <c r="AZD144" s="7"/>
      <c r="AZE144" s="7"/>
      <c r="AZF144" s="7"/>
      <c r="AZG144" s="7"/>
      <c r="AZH144" s="7"/>
      <c r="AZI144" s="7"/>
      <c r="AZJ144" s="7"/>
      <c r="AZK144" s="7"/>
      <c r="AZL144" s="7"/>
      <c r="AZM144" s="7"/>
      <c r="AZN144" s="7"/>
      <c r="AZO144" s="7"/>
      <c r="AZP144" s="7"/>
      <c r="AZQ144" s="7"/>
      <c r="AZR144" s="7"/>
      <c r="AZS144" s="7"/>
      <c r="AZT144" s="7"/>
      <c r="AZU144" s="7"/>
      <c r="AZV144" s="7"/>
      <c r="AZW144" s="7"/>
      <c r="AZX144" s="7"/>
      <c r="AZY144" s="7"/>
      <c r="AZZ144" s="7"/>
      <c r="BAA144" s="7"/>
      <c r="BAB144" s="7"/>
      <c r="BAC144" s="7"/>
      <c r="BAD144" s="7"/>
      <c r="BAE144" s="7"/>
      <c r="BAF144" s="7"/>
      <c r="BAG144" s="7"/>
      <c r="BAH144" s="7"/>
      <c r="BAI144" s="7"/>
      <c r="BAJ144" s="7"/>
      <c r="BAK144" s="7"/>
      <c r="BAL144" s="7"/>
      <c r="BAM144" s="7"/>
      <c r="BAN144" s="7"/>
      <c r="BAO144" s="7"/>
      <c r="BAP144" s="7"/>
      <c r="BAQ144" s="7"/>
      <c r="BAR144" s="7"/>
      <c r="BAS144" s="7"/>
      <c r="BAT144" s="7"/>
      <c r="BAU144" s="7"/>
      <c r="BAV144" s="7"/>
      <c r="BAW144" s="7"/>
      <c r="BAX144" s="7"/>
      <c r="BAY144" s="7"/>
      <c r="BAZ144" s="7"/>
      <c r="BBA144" s="7"/>
      <c r="BBB144" s="7"/>
      <c r="BBC144" s="7"/>
      <c r="BBD144" s="7"/>
      <c r="BBE144" s="7"/>
      <c r="BBF144" s="7"/>
      <c r="BBG144" s="7"/>
      <c r="BBH144" s="7"/>
      <c r="BBI144" s="7"/>
      <c r="BBJ144" s="7"/>
      <c r="BBK144" s="7"/>
      <c r="BBL144" s="7"/>
      <c r="BBM144" s="7"/>
      <c r="BBN144" s="7"/>
      <c r="BBO144" s="7"/>
      <c r="BBP144" s="7"/>
      <c r="BBQ144" s="7"/>
      <c r="BBR144" s="7"/>
      <c r="BBS144" s="7"/>
      <c r="BBT144" s="7"/>
      <c r="BBU144" s="7"/>
      <c r="BBV144" s="7"/>
      <c r="BBW144" s="7"/>
      <c r="BBX144" s="7"/>
      <c r="BBY144" s="7"/>
      <c r="BBZ144" s="7"/>
      <c r="BCA144" s="7"/>
      <c r="BCB144" s="7"/>
      <c r="BCC144" s="7"/>
      <c r="BCD144" s="7"/>
      <c r="BCE144" s="7"/>
      <c r="BCF144" s="7"/>
      <c r="BCG144" s="7"/>
      <c r="BCH144" s="7"/>
      <c r="BCI144" s="7"/>
      <c r="BCJ144" s="7"/>
      <c r="BCK144" s="7"/>
      <c r="BCL144" s="7"/>
      <c r="BCM144" s="7"/>
      <c r="BCN144" s="7"/>
      <c r="BCO144" s="7"/>
      <c r="BCP144" s="7"/>
      <c r="BCQ144" s="7"/>
      <c r="BCR144" s="7"/>
      <c r="BCS144" s="7"/>
      <c r="BCT144" s="7"/>
      <c r="BCU144" s="7"/>
      <c r="BCV144" s="7"/>
      <c r="BCW144" s="7"/>
      <c r="BCX144" s="7"/>
      <c r="BCY144" s="7"/>
      <c r="BCZ144" s="7"/>
      <c r="BDA144" s="7"/>
      <c r="BDB144" s="7"/>
      <c r="BDC144" s="7"/>
      <c r="BDD144" s="7"/>
      <c r="BDE144" s="7"/>
      <c r="BDF144" s="7"/>
      <c r="BDG144" s="7"/>
      <c r="BDH144" s="7"/>
      <c r="BDI144" s="7"/>
      <c r="BDJ144" s="7"/>
      <c r="BDK144" s="7"/>
      <c r="BDL144" s="7"/>
      <c r="BDM144" s="7"/>
      <c r="BDN144" s="7"/>
      <c r="BDO144" s="7"/>
      <c r="BDP144" s="7"/>
      <c r="BDQ144" s="7"/>
      <c r="BDR144" s="7"/>
      <c r="BDS144" s="7"/>
      <c r="BDT144" s="7"/>
      <c r="BDU144" s="7"/>
      <c r="BDV144" s="7"/>
      <c r="BDW144" s="7"/>
      <c r="BDX144" s="7"/>
      <c r="BDY144" s="7"/>
      <c r="BDZ144" s="7"/>
      <c r="BEA144" s="7"/>
      <c r="BEB144" s="7"/>
      <c r="BEC144" s="7"/>
      <c r="BED144" s="7"/>
      <c r="BEE144" s="7"/>
      <c r="BEF144" s="7"/>
      <c r="BEG144" s="7"/>
      <c r="BEH144" s="7"/>
      <c r="BEI144" s="7"/>
      <c r="BEJ144" s="7"/>
      <c r="BEK144" s="7"/>
      <c r="BEL144" s="7"/>
      <c r="BEM144" s="7"/>
      <c r="BEN144" s="7"/>
      <c r="BEO144" s="7"/>
      <c r="BEP144" s="7"/>
      <c r="BEQ144" s="7"/>
      <c r="BER144" s="7"/>
      <c r="BES144" s="7"/>
      <c r="BET144" s="7"/>
      <c r="BEU144" s="7"/>
      <c r="BEV144" s="7"/>
      <c r="BEW144" s="7"/>
      <c r="BEX144" s="7"/>
      <c r="BEY144" s="7"/>
      <c r="BEZ144" s="7"/>
      <c r="BFA144" s="7"/>
      <c r="BFB144" s="7"/>
      <c r="BFC144" s="7"/>
      <c r="BFD144" s="7"/>
      <c r="BFE144" s="7"/>
      <c r="BFF144" s="7"/>
      <c r="BFG144" s="7"/>
      <c r="BFH144" s="7"/>
      <c r="BFI144" s="7"/>
      <c r="BFJ144" s="7"/>
      <c r="BFK144" s="7"/>
      <c r="BFL144" s="7"/>
      <c r="BFM144" s="7"/>
      <c r="BFN144" s="7"/>
      <c r="BFO144" s="7"/>
      <c r="BFP144" s="7"/>
      <c r="BFQ144" s="7"/>
      <c r="BFR144" s="7"/>
      <c r="BFS144" s="7"/>
      <c r="BFT144" s="7"/>
      <c r="BFU144" s="7"/>
      <c r="BFV144" s="7"/>
      <c r="BFW144" s="7"/>
      <c r="BFX144" s="7"/>
      <c r="BFY144" s="7"/>
      <c r="BFZ144" s="7"/>
      <c r="BGA144" s="7"/>
      <c r="BGB144" s="7"/>
      <c r="BGC144" s="7"/>
      <c r="BGD144" s="7"/>
      <c r="BGE144" s="7"/>
      <c r="BGF144" s="7"/>
      <c r="BGG144" s="7"/>
      <c r="BGH144" s="7"/>
      <c r="BGI144" s="7"/>
      <c r="BGJ144" s="7"/>
      <c r="BGK144" s="7"/>
      <c r="BGL144" s="7"/>
      <c r="BGM144" s="7"/>
      <c r="BGN144" s="7"/>
      <c r="BGO144" s="7"/>
      <c r="BGP144" s="7"/>
      <c r="BGQ144" s="7"/>
      <c r="BGR144" s="7"/>
      <c r="BGS144" s="7"/>
      <c r="BGT144" s="7"/>
      <c r="BGU144" s="7"/>
      <c r="BGV144" s="7"/>
      <c r="BGW144" s="7"/>
      <c r="BGX144" s="7"/>
      <c r="BGY144" s="7"/>
      <c r="BGZ144" s="7"/>
      <c r="BHA144" s="7"/>
      <c r="BHB144" s="7"/>
      <c r="BHC144" s="7"/>
      <c r="BHD144" s="7"/>
      <c r="BHE144" s="7"/>
      <c r="BHF144" s="7"/>
      <c r="BHG144" s="7"/>
      <c r="BHH144" s="7"/>
      <c r="BHI144" s="7"/>
      <c r="BHJ144" s="7"/>
      <c r="BHK144" s="7"/>
      <c r="BHL144" s="7"/>
      <c r="BHM144" s="7"/>
      <c r="BHN144" s="7"/>
      <c r="BHO144" s="7"/>
      <c r="BHP144" s="7"/>
      <c r="BHQ144" s="7"/>
      <c r="BHR144" s="7"/>
      <c r="BHS144" s="7"/>
      <c r="BHT144" s="7"/>
      <c r="BHU144" s="7"/>
      <c r="BHV144" s="7"/>
      <c r="BHW144" s="7"/>
      <c r="BHX144" s="7"/>
      <c r="BHY144" s="7"/>
      <c r="BHZ144" s="7"/>
      <c r="BIA144" s="7"/>
      <c r="BIB144" s="7"/>
      <c r="BIC144" s="7"/>
      <c r="BID144" s="7"/>
      <c r="BIE144" s="7"/>
      <c r="BIF144" s="7"/>
      <c r="BIG144" s="7"/>
      <c r="BIH144" s="7"/>
      <c r="BII144" s="7"/>
      <c r="BIJ144" s="7"/>
      <c r="BIK144" s="7"/>
      <c r="BIL144" s="7"/>
      <c r="BIM144" s="7"/>
      <c r="BIN144" s="7"/>
      <c r="BIO144" s="7"/>
      <c r="BIP144" s="7"/>
      <c r="BIQ144" s="7"/>
      <c r="BIR144" s="7"/>
      <c r="BIS144" s="7"/>
      <c r="BIT144" s="7"/>
      <c r="BIU144" s="7"/>
      <c r="BIV144" s="7"/>
      <c r="BIW144" s="7"/>
      <c r="BIX144" s="7"/>
      <c r="BIY144" s="7"/>
      <c r="BIZ144" s="7"/>
      <c r="BJA144" s="7"/>
      <c r="BJB144" s="7"/>
      <c r="BJC144" s="7"/>
      <c r="BJD144" s="7"/>
      <c r="BJE144" s="7"/>
      <c r="BJF144" s="7"/>
      <c r="BJG144" s="7"/>
      <c r="BJH144" s="7"/>
      <c r="BJI144" s="7"/>
      <c r="BJJ144" s="7"/>
      <c r="BJK144" s="7"/>
      <c r="BJL144" s="7"/>
      <c r="BJM144" s="7"/>
      <c r="BJN144" s="7"/>
      <c r="BJO144" s="7"/>
      <c r="BJP144" s="7"/>
      <c r="BJQ144" s="7"/>
      <c r="BJR144" s="7"/>
      <c r="BJS144" s="7"/>
      <c r="BJT144" s="7"/>
      <c r="BJU144" s="7"/>
      <c r="BJV144" s="7"/>
      <c r="BJW144" s="7"/>
      <c r="BJX144" s="7"/>
      <c r="BJY144" s="7"/>
      <c r="BJZ144" s="7"/>
      <c r="BKA144" s="7"/>
      <c r="BKB144" s="7"/>
      <c r="BKC144" s="7"/>
      <c r="BKD144" s="7"/>
      <c r="BKE144" s="7"/>
      <c r="BKF144" s="7"/>
      <c r="BKG144" s="7"/>
      <c r="BKH144" s="7"/>
      <c r="BKI144" s="7"/>
      <c r="BKJ144" s="7"/>
      <c r="BKK144" s="7"/>
      <c r="BKL144" s="7"/>
      <c r="BKM144" s="7"/>
      <c r="BKN144" s="7"/>
      <c r="BKO144" s="7"/>
      <c r="BKP144" s="7"/>
      <c r="BKQ144" s="7"/>
      <c r="BKR144" s="7"/>
      <c r="BKS144" s="7"/>
      <c r="BKT144" s="7"/>
      <c r="BKU144" s="7"/>
      <c r="BKV144" s="7"/>
      <c r="BKW144" s="7"/>
      <c r="BKX144" s="7"/>
      <c r="BKY144" s="7"/>
      <c r="BKZ144" s="7"/>
      <c r="BLA144" s="7"/>
      <c r="BLB144" s="7"/>
      <c r="BLC144" s="7"/>
      <c r="BLD144" s="7"/>
      <c r="BLE144" s="7"/>
      <c r="BLF144" s="7"/>
      <c r="BLG144" s="7"/>
      <c r="BLH144" s="7"/>
      <c r="BLI144" s="7"/>
      <c r="BLJ144" s="7"/>
      <c r="BLK144" s="7"/>
      <c r="BLL144" s="7"/>
      <c r="BLM144" s="7"/>
      <c r="BLN144" s="7"/>
      <c r="BLO144" s="7"/>
      <c r="BLP144" s="7"/>
      <c r="BLQ144" s="7"/>
      <c r="BLR144" s="7"/>
      <c r="BLS144" s="7"/>
      <c r="BLT144" s="7"/>
      <c r="BLU144" s="7"/>
      <c r="BLV144" s="7"/>
      <c r="BLW144" s="7"/>
      <c r="BLX144" s="7"/>
      <c r="BLY144" s="7"/>
      <c r="BLZ144" s="7"/>
      <c r="BMA144" s="7"/>
      <c r="BMB144" s="7"/>
      <c r="BMC144" s="7"/>
      <c r="BMD144" s="7"/>
      <c r="BME144" s="7"/>
      <c r="BMF144" s="7"/>
      <c r="BMG144" s="7"/>
      <c r="BMH144" s="7"/>
      <c r="BMI144" s="7"/>
      <c r="BMJ144" s="7"/>
      <c r="BMK144" s="7"/>
      <c r="BML144" s="7"/>
      <c r="BMM144" s="7"/>
      <c r="BMN144" s="7"/>
      <c r="BMO144" s="7"/>
      <c r="BMP144" s="7"/>
      <c r="BMQ144" s="7"/>
      <c r="BMR144" s="7"/>
      <c r="BMS144" s="7"/>
      <c r="BMT144" s="7"/>
      <c r="BMU144" s="7"/>
      <c r="BMV144" s="7"/>
      <c r="BMW144" s="7"/>
      <c r="BMX144" s="7"/>
      <c r="BMY144" s="7"/>
      <c r="BMZ144" s="7"/>
      <c r="BNA144" s="7"/>
      <c r="BNB144" s="7"/>
      <c r="BNC144" s="7"/>
      <c r="BND144" s="7"/>
      <c r="BNE144" s="7"/>
      <c r="BNF144" s="7"/>
      <c r="BNG144" s="7"/>
      <c r="BNH144" s="7"/>
      <c r="BNI144" s="7"/>
      <c r="BNJ144" s="7"/>
      <c r="BNK144" s="7"/>
      <c r="BNL144" s="7"/>
      <c r="BNM144" s="7"/>
      <c r="BNN144" s="7"/>
      <c r="BNO144" s="7"/>
      <c r="BNP144" s="7"/>
      <c r="BNQ144" s="7"/>
      <c r="BNR144" s="7"/>
      <c r="BNS144" s="7"/>
      <c r="BNT144" s="7"/>
      <c r="BNU144" s="7"/>
      <c r="BNV144" s="7"/>
      <c r="BNW144" s="7"/>
      <c r="BNX144" s="7"/>
      <c r="BNY144" s="7"/>
      <c r="BNZ144" s="7"/>
      <c r="BOA144" s="7"/>
      <c r="BOB144" s="7"/>
      <c r="BOC144" s="7"/>
      <c r="BOD144" s="7"/>
      <c r="BOE144" s="7"/>
      <c r="BOF144" s="7"/>
      <c r="BOG144" s="7"/>
      <c r="BOH144" s="7"/>
      <c r="BOI144" s="7"/>
      <c r="BOJ144" s="7"/>
      <c r="BOK144" s="7"/>
      <c r="BOL144" s="7"/>
      <c r="BOM144" s="7"/>
      <c r="BON144" s="7"/>
      <c r="BOO144" s="7"/>
      <c r="BOP144" s="7"/>
      <c r="BOQ144" s="7"/>
      <c r="BOR144" s="7"/>
      <c r="BOS144" s="7"/>
      <c r="BOT144" s="7"/>
      <c r="BOU144" s="7"/>
      <c r="BOV144" s="7"/>
      <c r="BOW144" s="7"/>
      <c r="BOX144" s="7"/>
      <c r="BOY144" s="7"/>
      <c r="BOZ144" s="7"/>
      <c r="BPA144" s="7"/>
      <c r="BPB144" s="7"/>
      <c r="BPC144" s="7"/>
      <c r="BPD144" s="7"/>
      <c r="BPE144" s="7"/>
      <c r="BPF144" s="7"/>
      <c r="BPG144" s="7"/>
      <c r="BPH144" s="7"/>
      <c r="BPI144" s="7"/>
      <c r="BPJ144" s="7"/>
      <c r="BPK144" s="7"/>
      <c r="BPL144" s="7"/>
      <c r="BPM144" s="7"/>
      <c r="BPN144" s="7"/>
      <c r="BPO144" s="7"/>
      <c r="BPP144" s="7"/>
      <c r="BPQ144" s="7"/>
      <c r="BPR144" s="7"/>
      <c r="BPS144" s="7"/>
      <c r="BPT144" s="7"/>
      <c r="BPU144" s="7"/>
      <c r="BPV144" s="7"/>
      <c r="BPW144" s="7"/>
      <c r="BPX144" s="7"/>
      <c r="BPY144" s="7"/>
      <c r="BPZ144" s="7"/>
      <c r="BQA144" s="7"/>
      <c r="BQB144" s="7"/>
      <c r="BQC144" s="7"/>
      <c r="BQD144" s="7"/>
      <c r="BQE144" s="7"/>
      <c r="BQF144" s="7"/>
      <c r="BQG144" s="7"/>
      <c r="BQH144" s="7"/>
      <c r="BQI144" s="7"/>
      <c r="BQJ144" s="7"/>
      <c r="BQK144" s="7"/>
      <c r="BQL144" s="7"/>
      <c r="BQM144" s="7"/>
      <c r="BQN144" s="7"/>
      <c r="BQO144" s="7"/>
      <c r="BQP144" s="7"/>
      <c r="BQQ144" s="7"/>
      <c r="BQR144" s="7"/>
      <c r="BQS144" s="7"/>
      <c r="BQT144" s="7"/>
      <c r="BQU144" s="7"/>
      <c r="BQV144" s="7"/>
      <c r="BQW144" s="7"/>
      <c r="BQX144" s="7"/>
      <c r="BQY144" s="7"/>
      <c r="BQZ144" s="7"/>
      <c r="BRA144" s="7"/>
      <c r="BRB144" s="7"/>
      <c r="BRC144" s="7"/>
      <c r="BRD144" s="7"/>
      <c r="BRE144" s="7"/>
      <c r="BRF144" s="7"/>
      <c r="BRG144" s="7"/>
      <c r="BRH144" s="7"/>
      <c r="BRI144" s="7"/>
      <c r="BRJ144" s="7"/>
      <c r="BRK144" s="7"/>
      <c r="BRL144" s="7"/>
      <c r="BRM144" s="7"/>
      <c r="BRN144" s="7"/>
      <c r="BRO144" s="7"/>
      <c r="BRP144" s="7"/>
      <c r="BRQ144" s="7"/>
      <c r="BRR144" s="7"/>
      <c r="BRS144" s="7"/>
      <c r="BRT144" s="7"/>
      <c r="BRU144" s="7"/>
      <c r="BRV144" s="7"/>
      <c r="BRW144" s="7"/>
      <c r="BRX144" s="7"/>
      <c r="BRY144" s="7"/>
      <c r="BRZ144" s="7"/>
      <c r="BSA144" s="7"/>
      <c r="BSB144" s="7"/>
      <c r="BSC144" s="7"/>
      <c r="BSD144" s="7"/>
      <c r="BSE144" s="7"/>
      <c r="BSF144" s="7"/>
      <c r="BSG144" s="7"/>
      <c r="BSH144" s="7"/>
      <c r="BSI144" s="7"/>
      <c r="BSJ144" s="7"/>
      <c r="BSK144" s="7"/>
      <c r="BSL144" s="7"/>
      <c r="BSM144" s="7"/>
      <c r="BSN144" s="7"/>
      <c r="BSO144" s="7"/>
      <c r="BSP144" s="7"/>
      <c r="BSQ144" s="7"/>
      <c r="BSR144" s="7"/>
      <c r="BSS144" s="7"/>
      <c r="BST144" s="7"/>
      <c r="BSU144" s="7"/>
      <c r="BSV144" s="7"/>
      <c r="BSW144" s="7"/>
      <c r="BSX144" s="7"/>
      <c r="BSY144" s="7"/>
      <c r="BSZ144" s="7"/>
      <c r="BTA144" s="7"/>
      <c r="BTB144" s="7"/>
      <c r="BTC144" s="7"/>
      <c r="BTD144" s="7"/>
      <c r="BTE144" s="7"/>
      <c r="BTF144" s="7"/>
      <c r="BTG144" s="7"/>
      <c r="BTH144" s="7"/>
      <c r="BTI144" s="7"/>
      <c r="BTJ144" s="7"/>
      <c r="BTK144" s="7"/>
      <c r="BTL144" s="7"/>
      <c r="BTM144" s="7"/>
      <c r="BTN144" s="7"/>
      <c r="BTO144" s="7"/>
      <c r="BTP144" s="7"/>
      <c r="BTQ144" s="7"/>
      <c r="BTR144" s="7"/>
      <c r="BTS144" s="7"/>
      <c r="BTT144" s="7"/>
      <c r="BTU144" s="7"/>
      <c r="BTV144" s="7"/>
      <c r="BTW144" s="7"/>
      <c r="BTX144" s="7"/>
      <c r="BTY144" s="7"/>
      <c r="BTZ144" s="7"/>
      <c r="BUA144" s="7"/>
      <c r="BUB144" s="7"/>
      <c r="BUC144" s="7"/>
      <c r="BUD144" s="7"/>
      <c r="BUE144" s="7"/>
      <c r="BUF144" s="7"/>
      <c r="BUG144" s="7"/>
      <c r="BUH144" s="7"/>
      <c r="BUI144" s="7"/>
      <c r="BUJ144" s="7"/>
      <c r="BUK144" s="7"/>
      <c r="BUL144" s="7"/>
      <c r="BUM144" s="7"/>
      <c r="BUN144" s="7"/>
      <c r="BUO144" s="7"/>
      <c r="BUP144" s="7"/>
      <c r="BUQ144" s="7"/>
      <c r="BUR144" s="7"/>
      <c r="BUS144" s="7"/>
      <c r="BUT144" s="7"/>
      <c r="BUU144" s="7"/>
      <c r="BUV144" s="7"/>
      <c r="BUW144" s="7"/>
      <c r="BUX144" s="7"/>
      <c r="BUY144" s="7"/>
      <c r="BUZ144" s="7"/>
      <c r="BVA144" s="7"/>
      <c r="BVB144" s="7"/>
      <c r="BVC144" s="7"/>
      <c r="BVD144" s="7"/>
      <c r="BVE144" s="7"/>
      <c r="BVF144" s="7"/>
      <c r="BVG144" s="7"/>
      <c r="BVH144" s="7"/>
      <c r="BVI144" s="7"/>
      <c r="BVJ144" s="7"/>
      <c r="BVK144" s="7"/>
      <c r="BVL144" s="7"/>
      <c r="BVM144" s="7"/>
      <c r="BVN144" s="7"/>
      <c r="BVO144" s="7"/>
      <c r="BVP144" s="7"/>
      <c r="BVQ144" s="7"/>
      <c r="BVR144" s="7"/>
      <c r="BVS144" s="7"/>
      <c r="BVT144" s="7"/>
      <c r="BVU144" s="7"/>
      <c r="BVV144" s="7"/>
      <c r="BVW144" s="7"/>
      <c r="BVX144" s="7"/>
      <c r="BVY144" s="7"/>
      <c r="BVZ144" s="7"/>
      <c r="BWA144" s="7"/>
      <c r="BWB144" s="7"/>
      <c r="BWC144" s="7"/>
      <c r="BWD144" s="7"/>
      <c r="BWE144" s="7"/>
      <c r="BWF144" s="7"/>
      <c r="BWG144" s="7"/>
      <c r="BWH144" s="7"/>
      <c r="BWI144" s="7"/>
      <c r="BWJ144" s="7"/>
      <c r="BWK144" s="7"/>
      <c r="BWL144" s="7"/>
      <c r="BWM144" s="7"/>
      <c r="BWN144" s="7"/>
      <c r="BWO144" s="7"/>
      <c r="BWP144" s="7"/>
      <c r="BWQ144" s="7"/>
      <c r="BWR144" s="7"/>
      <c r="BWS144" s="7"/>
      <c r="BWT144" s="7"/>
      <c r="BWU144" s="7"/>
      <c r="BWV144" s="7"/>
      <c r="BWW144" s="7"/>
      <c r="BWX144" s="7"/>
      <c r="BWY144" s="7"/>
      <c r="BWZ144" s="7"/>
      <c r="BXA144" s="7"/>
      <c r="BXB144" s="7"/>
      <c r="BXC144" s="7"/>
      <c r="BXD144" s="7"/>
      <c r="BXE144" s="7"/>
      <c r="BXF144" s="7"/>
      <c r="BXG144" s="7"/>
      <c r="BXH144" s="7"/>
      <c r="BXI144" s="7"/>
      <c r="BXJ144" s="7"/>
      <c r="BXK144" s="7"/>
      <c r="BXL144" s="7"/>
      <c r="BXM144" s="7"/>
      <c r="BXN144" s="7"/>
      <c r="BXO144" s="7"/>
      <c r="BXP144" s="7"/>
      <c r="BXQ144" s="7"/>
      <c r="BXR144" s="7"/>
      <c r="BXS144" s="7"/>
      <c r="BXT144" s="7"/>
      <c r="BXU144" s="7"/>
      <c r="BXV144" s="7"/>
      <c r="BXW144" s="7"/>
      <c r="BXX144" s="7"/>
      <c r="BXY144" s="7"/>
      <c r="BXZ144" s="7"/>
      <c r="BYA144" s="7"/>
      <c r="BYB144" s="7"/>
      <c r="BYC144" s="7"/>
      <c r="BYD144" s="7"/>
      <c r="BYE144" s="7"/>
      <c r="BYF144" s="7"/>
      <c r="BYG144" s="7"/>
      <c r="BYH144" s="7"/>
      <c r="BYI144" s="7"/>
      <c r="BYJ144" s="7"/>
      <c r="BYK144" s="7"/>
      <c r="BYL144" s="7"/>
      <c r="BYM144" s="7"/>
      <c r="BYN144" s="7"/>
      <c r="BYO144" s="7"/>
      <c r="BYP144" s="7"/>
      <c r="BYQ144" s="7"/>
      <c r="BYR144" s="7"/>
      <c r="BYS144" s="7"/>
      <c r="BYT144" s="7"/>
      <c r="BYU144" s="7"/>
      <c r="BYV144" s="7"/>
      <c r="BYW144" s="7"/>
      <c r="BYX144" s="7"/>
      <c r="BYY144" s="7"/>
      <c r="BYZ144" s="7"/>
      <c r="BZA144" s="7"/>
      <c r="BZB144" s="7"/>
      <c r="BZC144" s="7"/>
      <c r="BZD144" s="7"/>
      <c r="BZE144" s="7"/>
      <c r="BZF144" s="7"/>
      <c r="BZG144" s="7"/>
      <c r="BZH144" s="7"/>
      <c r="BZI144" s="7"/>
      <c r="BZJ144" s="7"/>
      <c r="BZK144" s="7"/>
      <c r="BZL144" s="7"/>
      <c r="BZM144" s="7"/>
      <c r="BZN144" s="7"/>
      <c r="BZO144" s="7"/>
      <c r="BZP144" s="7"/>
      <c r="BZQ144" s="7"/>
      <c r="BZR144" s="7"/>
      <c r="BZS144" s="7"/>
      <c r="BZT144" s="7"/>
      <c r="BZU144" s="7"/>
      <c r="BZV144" s="7"/>
      <c r="BZW144" s="7"/>
      <c r="BZX144" s="7"/>
      <c r="BZY144" s="7"/>
      <c r="BZZ144" s="7"/>
      <c r="CAA144" s="7"/>
      <c r="CAB144" s="7"/>
      <c r="CAC144" s="7"/>
      <c r="CAD144" s="7"/>
      <c r="CAE144" s="7"/>
      <c r="CAF144" s="7"/>
      <c r="CAG144" s="7"/>
      <c r="CAH144" s="7"/>
      <c r="CAI144" s="7"/>
      <c r="CAJ144" s="7"/>
      <c r="CAK144" s="7"/>
      <c r="CAL144" s="7"/>
      <c r="CAM144" s="7"/>
      <c r="CAN144" s="7"/>
      <c r="CAO144" s="7"/>
      <c r="CAP144" s="7"/>
      <c r="CAQ144" s="7"/>
      <c r="CAR144" s="7"/>
      <c r="CAS144" s="7"/>
      <c r="CAT144" s="7"/>
      <c r="CAU144" s="7"/>
      <c r="CAV144" s="7"/>
      <c r="CAW144" s="7"/>
      <c r="CAX144" s="7"/>
      <c r="CAY144" s="7"/>
      <c r="CAZ144" s="7"/>
      <c r="CBA144" s="7"/>
      <c r="CBB144" s="7"/>
      <c r="CBC144" s="7"/>
      <c r="CBD144" s="7"/>
      <c r="CBE144" s="7"/>
      <c r="CBF144" s="7"/>
      <c r="CBG144" s="7"/>
      <c r="CBH144" s="7"/>
      <c r="CBI144" s="7"/>
      <c r="CBJ144" s="7"/>
      <c r="CBK144" s="7"/>
      <c r="CBL144" s="7"/>
      <c r="CBM144" s="7"/>
      <c r="CBN144" s="7"/>
      <c r="CBO144" s="7"/>
      <c r="CBP144" s="7"/>
      <c r="CBQ144" s="7"/>
      <c r="CBR144" s="7"/>
      <c r="CBS144" s="7"/>
      <c r="CBT144" s="7"/>
      <c r="CBU144" s="7"/>
      <c r="CBV144" s="7"/>
      <c r="CBW144" s="7"/>
      <c r="CBX144" s="7"/>
      <c r="CBY144" s="7"/>
      <c r="CBZ144" s="7"/>
      <c r="CCA144" s="7"/>
      <c r="CCB144" s="7"/>
      <c r="CCC144" s="7"/>
      <c r="CCD144" s="7"/>
      <c r="CCE144" s="7"/>
      <c r="CCF144" s="7"/>
      <c r="CCG144" s="7"/>
      <c r="CCH144" s="7"/>
      <c r="CCI144" s="7"/>
      <c r="CCJ144" s="7"/>
      <c r="CCK144" s="7"/>
      <c r="CCL144" s="7"/>
      <c r="CCM144" s="7"/>
      <c r="CCN144" s="7"/>
      <c r="CCO144" s="7"/>
      <c r="CCP144" s="7"/>
      <c r="CCQ144" s="7"/>
      <c r="CCR144" s="7"/>
      <c r="CCS144" s="7"/>
      <c r="CCT144" s="7"/>
      <c r="CCU144" s="7"/>
      <c r="CCV144" s="7"/>
      <c r="CCW144" s="7"/>
      <c r="CCX144" s="7"/>
      <c r="CCY144" s="7"/>
      <c r="CCZ144" s="7"/>
      <c r="CDA144" s="7"/>
      <c r="CDB144" s="7"/>
      <c r="CDC144" s="7"/>
      <c r="CDD144" s="7"/>
      <c r="CDE144" s="7"/>
      <c r="CDF144" s="7"/>
      <c r="CDG144" s="7"/>
      <c r="CDH144" s="7"/>
      <c r="CDI144" s="7"/>
      <c r="CDJ144" s="7"/>
      <c r="CDK144" s="7"/>
      <c r="CDL144" s="7"/>
      <c r="CDM144" s="7"/>
      <c r="CDN144" s="7"/>
      <c r="CDO144" s="7"/>
      <c r="CDP144" s="7"/>
      <c r="CDQ144" s="7"/>
      <c r="CDR144" s="7"/>
      <c r="CDS144" s="7"/>
      <c r="CDT144" s="7"/>
      <c r="CDU144" s="7"/>
      <c r="CDV144" s="7"/>
      <c r="CDW144" s="7"/>
      <c r="CDX144" s="7"/>
      <c r="CDY144" s="7"/>
      <c r="CDZ144" s="7"/>
      <c r="CEA144" s="7"/>
      <c r="CEB144" s="7"/>
      <c r="CEC144" s="7"/>
      <c r="CED144" s="7"/>
      <c r="CEE144" s="7"/>
      <c r="CEF144" s="7"/>
      <c r="CEG144" s="7"/>
      <c r="CEH144" s="7"/>
      <c r="CEI144" s="7"/>
      <c r="CEJ144" s="7"/>
      <c r="CEK144" s="7"/>
      <c r="CEL144" s="7"/>
      <c r="CEM144" s="7"/>
      <c r="CEN144" s="7"/>
      <c r="CEO144" s="7"/>
      <c r="CEP144" s="7"/>
      <c r="CEQ144" s="7"/>
      <c r="CER144" s="7"/>
      <c r="CES144" s="7"/>
      <c r="CET144" s="7"/>
      <c r="CEU144" s="7"/>
      <c r="CEV144" s="7"/>
      <c r="CEW144" s="7"/>
      <c r="CEX144" s="7"/>
      <c r="CEY144" s="7"/>
      <c r="CEZ144" s="7"/>
      <c r="CFA144" s="7"/>
      <c r="CFB144" s="7"/>
      <c r="CFC144" s="7"/>
      <c r="CFD144" s="7"/>
      <c r="CFE144" s="7"/>
      <c r="CFF144" s="7"/>
      <c r="CFG144" s="7"/>
      <c r="CFH144" s="7"/>
      <c r="CFI144" s="7"/>
      <c r="CFJ144" s="7"/>
      <c r="CFK144" s="7"/>
      <c r="CFL144" s="7"/>
      <c r="CFM144" s="7"/>
      <c r="CFN144" s="7"/>
      <c r="CFO144" s="7"/>
      <c r="CFP144" s="7"/>
      <c r="CFQ144" s="7"/>
      <c r="CFR144" s="7"/>
      <c r="CFS144" s="7"/>
      <c r="CFT144" s="7"/>
      <c r="CFU144" s="7"/>
      <c r="CFV144" s="7"/>
      <c r="CFW144" s="7"/>
      <c r="CFX144" s="7"/>
      <c r="CFY144" s="7"/>
      <c r="CFZ144" s="7"/>
      <c r="CGA144" s="7"/>
      <c r="CGB144" s="7"/>
      <c r="CGC144" s="7"/>
      <c r="CGD144" s="7"/>
      <c r="CGE144" s="7"/>
      <c r="CGF144" s="7"/>
      <c r="CGG144" s="7"/>
      <c r="CGH144" s="7"/>
      <c r="CGI144" s="7"/>
      <c r="CGJ144" s="7"/>
      <c r="CGK144" s="7"/>
      <c r="CGL144" s="7"/>
      <c r="CGM144" s="7"/>
      <c r="CGN144" s="7"/>
      <c r="CGO144" s="7"/>
      <c r="CGP144" s="7"/>
      <c r="CGQ144" s="7"/>
      <c r="CGR144" s="7"/>
      <c r="CGS144" s="7"/>
      <c r="CGT144" s="7"/>
      <c r="CGU144" s="7"/>
      <c r="CGV144" s="7"/>
      <c r="CGW144" s="7"/>
      <c r="CGX144" s="7"/>
      <c r="CGY144" s="7"/>
      <c r="CGZ144" s="7"/>
      <c r="CHA144" s="7"/>
      <c r="CHB144" s="7"/>
      <c r="CHC144" s="7"/>
      <c r="CHD144" s="7"/>
      <c r="CHE144" s="7"/>
      <c r="CHF144" s="7"/>
      <c r="CHG144" s="7"/>
      <c r="CHH144" s="7"/>
      <c r="CHI144" s="7"/>
      <c r="CHJ144" s="7"/>
      <c r="CHK144" s="7"/>
      <c r="CHL144" s="7"/>
      <c r="CHM144" s="7"/>
      <c r="CHN144" s="7"/>
      <c r="CHO144" s="7"/>
      <c r="CHP144" s="7"/>
      <c r="CHQ144" s="7"/>
      <c r="CHR144" s="7"/>
      <c r="CHS144" s="7"/>
      <c r="CHT144" s="7"/>
      <c r="CHU144" s="7"/>
      <c r="CHV144" s="7"/>
      <c r="CHW144" s="7"/>
      <c r="CHX144" s="7"/>
      <c r="CHY144" s="7"/>
      <c r="CHZ144" s="7"/>
      <c r="CIA144" s="7"/>
      <c r="CIB144" s="7"/>
      <c r="CIC144" s="7"/>
      <c r="CID144" s="7"/>
      <c r="CIE144" s="7"/>
      <c r="CIF144" s="7"/>
      <c r="CIG144" s="7"/>
      <c r="CIH144" s="7"/>
      <c r="CII144" s="7"/>
      <c r="CIJ144" s="7"/>
      <c r="CIK144" s="7"/>
      <c r="CIL144" s="7"/>
      <c r="CIM144" s="7"/>
      <c r="CIN144" s="7"/>
      <c r="CIO144" s="7"/>
      <c r="CIP144" s="7"/>
      <c r="CIQ144" s="7"/>
      <c r="CIR144" s="7"/>
      <c r="CIS144" s="7"/>
      <c r="CIT144" s="7"/>
      <c r="CIU144" s="7"/>
      <c r="CIV144" s="7"/>
      <c r="CIW144" s="7"/>
      <c r="CIX144" s="7"/>
      <c r="CIY144" s="7"/>
      <c r="CIZ144" s="7"/>
      <c r="CJA144" s="7"/>
      <c r="CJB144" s="7"/>
      <c r="CJC144" s="7"/>
      <c r="CJD144" s="7"/>
      <c r="CJE144" s="7"/>
      <c r="CJF144" s="7"/>
      <c r="CJG144" s="7"/>
      <c r="CJH144" s="7"/>
      <c r="CJI144" s="7"/>
      <c r="CJJ144" s="7"/>
      <c r="CJK144" s="7"/>
      <c r="CJL144" s="7"/>
      <c r="CJM144" s="7"/>
      <c r="CJN144" s="7"/>
      <c r="CJO144" s="7"/>
      <c r="CJP144" s="7"/>
      <c r="CJQ144" s="7"/>
      <c r="CJR144" s="7"/>
      <c r="CJS144" s="7"/>
      <c r="CJT144" s="7"/>
      <c r="CJU144" s="7"/>
      <c r="CJV144" s="7"/>
      <c r="CJW144" s="7"/>
      <c r="CJX144" s="7"/>
      <c r="CJY144" s="7"/>
      <c r="CJZ144" s="7"/>
      <c r="CKA144" s="7"/>
      <c r="CKB144" s="7"/>
      <c r="CKC144" s="7"/>
      <c r="CKD144" s="7"/>
      <c r="CKE144" s="7"/>
      <c r="CKF144" s="7"/>
      <c r="CKG144" s="7"/>
      <c r="CKH144" s="7"/>
      <c r="CKI144" s="7"/>
      <c r="CKJ144" s="7"/>
      <c r="CKK144" s="7"/>
      <c r="CKL144" s="7"/>
      <c r="CKM144" s="7"/>
      <c r="CKN144" s="7"/>
      <c r="CKO144" s="7"/>
      <c r="CKP144" s="7"/>
      <c r="CKQ144" s="7"/>
      <c r="CKR144" s="7"/>
      <c r="CKS144" s="7"/>
      <c r="CKT144" s="7"/>
      <c r="CKU144" s="7"/>
      <c r="CKV144" s="7"/>
      <c r="CKW144" s="7"/>
      <c r="CKX144" s="7"/>
      <c r="CKY144" s="7"/>
      <c r="CKZ144" s="7"/>
      <c r="CLA144" s="7"/>
      <c r="CLB144" s="7"/>
      <c r="CLC144" s="7"/>
      <c r="CLD144" s="7"/>
      <c r="CLE144" s="7"/>
      <c r="CLF144" s="7"/>
      <c r="CLG144" s="7"/>
      <c r="CLH144" s="7"/>
      <c r="CLI144" s="7"/>
      <c r="CLJ144" s="7"/>
      <c r="CLK144" s="7"/>
      <c r="CLL144" s="7"/>
      <c r="CLM144" s="7"/>
      <c r="CLN144" s="7"/>
      <c r="CLO144" s="7"/>
      <c r="CLP144" s="7"/>
      <c r="CLQ144" s="7"/>
      <c r="CLR144" s="7"/>
      <c r="CLS144" s="7"/>
      <c r="CLT144" s="7"/>
      <c r="CLU144" s="7"/>
      <c r="CLV144" s="7"/>
      <c r="CLW144" s="7"/>
      <c r="CLX144" s="7"/>
      <c r="CLY144" s="7"/>
      <c r="CLZ144" s="7"/>
      <c r="CMA144" s="7"/>
      <c r="CMB144" s="7"/>
      <c r="CMC144" s="7"/>
      <c r="CMD144" s="7"/>
      <c r="CME144" s="7"/>
      <c r="CMF144" s="7"/>
      <c r="CMG144" s="7"/>
      <c r="CMH144" s="7"/>
      <c r="CMI144" s="7"/>
      <c r="CMJ144" s="7"/>
      <c r="CMK144" s="7"/>
      <c r="CML144" s="7"/>
      <c r="CMM144" s="7"/>
      <c r="CMN144" s="7"/>
      <c r="CMO144" s="7"/>
      <c r="CMP144" s="7"/>
      <c r="CMQ144" s="7"/>
      <c r="CMR144" s="7"/>
      <c r="CMS144" s="7"/>
      <c r="CMT144" s="7"/>
      <c r="CMU144" s="7"/>
      <c r="CMV144" s="7"/>
      <c r="CMW144" s="7"/>
      <c r="CMX144" s="7"/>
      <c r="CMY144" s="7"/>
      <c r="CMZ144" s="7"/>
      <c r="CNA144" s="7"/>
      <c r="CNB144" s="7"/>
      <c r="CNC144" s="7"/>
      <c r="CND144" s="7"/>
      <c r="CNE144" s="7"/>
      <c r="CNF144" s="7"/>
      <c r="CNG144" s="7"/>
      <c r="CNH144" s="7"/>
      <c r="CNI144" s="7"/>
      <c r="CNJ144" s="7"/>
      <c r="CNK144" s="7"/>
      <c r="CNL144" s="7"/>
      <c r="CNM144" s="7"/>
      <c r="CNN144" s="7"/>
      <c r="CNO144" s="7"/>
      <c r="CNP144" s="7"/>
      <c r="CNQ144" s="7"/>
      <c r="CNR144" s="7"/>
      <c r="CNS144" s="7"/>
      <c r="CNT144" s="7"/>
      <c r="CNU144" s="7"/>
      <c r="CNV144" s="7"/>
      <c r="CNW144" s="7"/>
      <c r="CNX144" s="7"/>
      <c r="CNY144" s="7"/>
      <c r="CNZ144" s="7"/>
      <c r="COA144" s="7"/>
      <c r="COB144" s="7"/>
      <c r="COC144" s="7"/>
      <c r="COD144" s="7"/>
      <c r="COE144" s="7"/>
      <c r="COF144" s="7"/>
      <c r="COG144" s="7"/>
      <c r="COH144" s="7"/>
      <c r="COI144" s="7"/>
      <c r="COJ144" s="7"/>
      <c r="COK144" s="7"/>
      <c r="COL144" s="7"/>
      <c r="COM144" s="7"/>
      <c r="CON144" s="7"/>
      <c r="COO144" s="7"/>
      <c r="COP144" s="7"/>
      <c r="COQ144" s="7"/>
      <c r="COR144" s="7"/>
      <c r="COS144" s="7"/>
      <c r="COT144" s="7"/>
      <c r="COU144" s="7"/>
      <c r="COV144" s="7"/>
      <c r="COW144" s="7"/>
      <c r="COX144" s="7"/>
      <c r="COY144" s="7"/>
      <c r="COZ144" s="7"/>
      <c r="CPA144" s="7"/>
      <c r="CPB144" s="7"/>
      <c r="CPC144" s="7"/>
      <c r="CPD144" s="7"/>
      <c r="CPE144" s="7"/>
      <c r="CPF144" s="7"/>
      <c r="CPG144" s="7"/>
      <c r="CPH144" s="7"/>
      <c r="CPI144" s="7"/>
      <c r="CPJ144" s="7"/>
      <c r="CPK144" s="7"/>
      <c r="CPL144" s="7"/>
      <c r="CPM144" s="7"/>
      <c r="CPN144" s="7"/>
      <c r="CPO144" s="7"/>
      <c r="CPP144" s="7"/>
      <c r="CPQ144" s="7"/>
      <c r="CPR144" s="7"/>
      <c r="CPS144" s="7"/>
      <c r="CPT144" s="7"/>
      <c r="CPU144" s="7"/>
      <c r="CPV144" s="7"/>
      <c r="CPW144" s="7"/>
      <c r="CPX144" s="7"/>
      <c r="CPY144" s="7"/>
      <c r="CPZ144" s="7"/>
      <c r="CQA144" s="7"/>
      <c r="CQB144" s="7"/>
      <c r="CQC144" s="7"/>
      <c r="CQD144" s="7"/>
      <c r="CQE144" s="7"/>
      <c r="CQF144" s="7"/>
      <c r="CQG144" s="7"/>
      <c r="CQH144" s="7"/>
      <c r="CQI144" s="7"/>
      <c r="CQJ144" s="7"/>
      <c r="CQK144" s="7"/>
      <c r="CQL144" s="7"/>
      <c r="CQM144" s="7"/>
      <c r="CQN144" s="7"/>
      <c r="CQO144" s="7"/>
      <c r="CQP144" s="7"/>
      <c r="CQQ144" s="7"/>
      <c r="CQR144" s="7"/>
      <c r="CQS144" s="7"/>
      <c r="CQT144" s="7"/>
      <c r="CQU144" s="7"/>
      <c r="CQV144" s="7"/>
      <c r="CQW144" s="7"/>
      <c r="CQX144" s="7"/>
      <c r="CQY144" s="7"/>
      <c r="CQZ144" s="7"/>
      <c r="CRA144" s="7"/>
      <c r="CRB144" s="7"/>
      <c r="CRC144" s="7"/>
      <c r="CRD144" s="7"/>
      <c r="CRE144" s="7"/>
      <c r="CRF144" s="7"/>
      <c r="CRG144" s="7"/>
      <c r="CRH144" s="7"/>
      <c r="CRI144" s="7"/>
      <c r="CRJ144" s="7"/>
      <c r="CRK144" s="7"/>
      <c r="CRL144" s="7"/>
      <c r="CRM144" s="7"/>
      <c r="CRN144" s="7"/>
      <c r="CRO144" s="7"/>
      <c r="CRP144" s="7"/>
      <c r="CRQ144" s="7"/>
      <c r="CRR144" s="7"/>
      <c r="CRS144" s="7"/>
      <c r="CRT144" s="7"/>
      <c r="CRU144" s="7"/>
      <c r="CRV144" s="7"/>
      <c r="CRW144" s="7"/>
      <c r="CRX144" s="7"/>
      <c r="CRY144" s="7"/>
      <c r="CRZ144" s="7"/>
      <c r="CSA144" s="7"/>
      <c r="CSB144" s="7"/>
      <c r="CSC144" s="7"/>
      <c r="CSD144" s="7"/>
      <c r="CSE144" s="7"/>
      <c r="CSF144" s="7"/>
      <c r="CSG144" s="7"/>
      <c r="CSH144" s="7"/>
      <c r="CSI144" s="7"/>
      <c r="CSJ144" s="7"/>
      <c r="CSK144" s="7"/>
      <c r="CSL144" s="7"/>
      <c r="CSM144" s="7"/>
      <c r="CSN144" s="7"/>
      <c r="CSO144" s="7"/>
      <c r="CSP144" s="7"/>
      <c r="CSQ144" s="7"/>
      <c r="CSR144" s="7"/>
      <c r="CSS144" s="7"/>
      <c r="CST144" s="7"/>
      <c r="CSU144" s="7"/>
      <c r="CSV144" s="7"/>
      <c r="CSW144" s="7"/>
      <c r="CSX144" s="7"/>
      <c r="CSY144" s="7"/>
      <c r="CSZ144" s="7"/>
      <c r="CTA144" s="7"/>
      <c r="CTB144" s="7"/>
      <c r="CTC144" s="7"/>
      <c r="CTD144" s="7"/>
      <c r="CTE144" s="7"/>
      <c r="CTF144" s="7"/>
      <c r="CTG144" s="7"/>
      <c r="CTH144" s="7"/>
      <c r="CTI144" s="7"/>
      <c r="CTJ144" s="7"/>
      <c r="CTK144" s="7"/>
      <c r="CTL144" s="7"/>
      <c r="CTM144" s="7"/>
      <c r="CTN144" s="7"/>
      <c r="CTO144" s="7"/>
      <c r="CTP144" s="7"/>
      <c r="CTQ144" s="7"/>
      <c r="CTR144" s="7"/>
      <c r="CTS144" s="7"/>
      <c r="CTT144" s="7"/>
      <c r="CTU144" s="7"/>
      <c r="CTV144" s="7"/>
      <c r="CTW144" s="7"/>
      <c r="CTX144" s="7"/>
      <c r="CTY144" s="7"/>
      <c r="CTZ144" s="7"/>
      <c r="CUA144" s="7"/>
      <c r="CUB144" s="7"/>
      <c r="CUC144" s="7"/>
      <c r="CUD144" s="7"/>
      <c r="CUE144" s="7"/>
      <c r="CUF144" s="7"/>
      <c r="CUG144" s="7"/>
      <c r="CUH144" s="7"/>
      <c r="CUI144" s="7"/>
      <c r="CUJ144" s="7"/>
      <c r="CUK144" s="7"/>
      <c r="CUL144" s="7"/>
      <c r="CUM144" s="7"/>
      <c r="CUN144" s="7"/>
      <c r="CUO144" s="7"/>
      <c r="CUP144" s="7"/>
      <c r="CUQ144" s="7"/>
      <c r="CUR144" s="7"/>
      <c r="CUS144" s="7"/>
      <c r="CUT144" s="7"/>
      <c r="CUU144" s="7"/>
      <c r="CUV144" s="7"/>
      <c r="CUW144" s="7"/>
      <c r="CUX144" s="7"/>
      <c r="CUY144" s="7"/>
      <c r="CUZ144" s="7"/>
      <c r="CVA144" s="7"/>
      <c r="CVB144" s="7"/>
      <c r="CVC144" s="7"/>
      <c r="CVD144" s="7"/>
      <c r="CVE144" s="7"/>
      <c r="CVF144" s="7"/>
      <c r="CVG144" s="7"/>
      <c r="CVH144" s="7"/>
      <c r="CVI144" s="7"/>
      <c r="CVJ144" s="7"/>
      <c r="CVK144" s="7"/>
      <c r="CVL144" s="7"/>
      <c r="CVM144" s="7"/>
      <c r="CVN144" s="7"/>
      <c r="CVO144" s="7"/>
      <c r="CVP144" s="7"/>
      <c r="CVQ144" s="7"/>
      <c r="CVR144" s="7"/>
      <c r="CVS144" s="7"/>
      <c r="CVT144" s="7"/>
      <c r="CVU144" s="7"/>
      <c r="CVV144" s="7"/>
      <c r="CVW144" s="7"/>
      <c r="CVX144" s="7"/>
      <c r="CVY144" s="7"/>
      <c r="CVZ144" s="7"/>
      <c r="CWA144" s="7"/>
      <c r="CWB144" s="7"/>
      <c r="CWC144" s="7"/>
      <c r="CWD144" s="7"/>
      <c r="CWE144" s="7"/>
      <c r="CWF144" s="7"/>
      <c r="CWG144" s="7"/>
      <c r="CWH144" s="7"/>
      <c r="CWI144" s="7"/>
      <c r="CWJ144" s="7"/>
      <c r="CWK144" s="7"/>
      <c r="CWL144" s="7"/>
      <c r="CWM144" s="7"/>
      <c r="CWN144" s="7"/>
      <c r="CWO144" s="7"/>
      <c r="CWP144" s="7"/>
      <c r="CWQ144" s="7"/>
      <c r="CWR144" s="7"/>
      <c r="CWS144" s="7"/>
      <c r="CWT144" s="7"/>
      <c r="CWU144" s="7"/>
      <c r="CWV144" s="7"/>
      <c r="CWW144" s="7"/>
      <c r="CWX144" s="7"/>
      <c r="CWY144" s="7"/>
      <c r="CWZ144" s="7"/>
      <c r="CXA144" s="7"/>
      <c r="CXB144" s="7"/>
      <c r="CXC144" s="7"/>
      <c r="CXD144" s="7"/>
      <c r="CXE144" s="7"/>
      <c r="CXF144" s="7"/>
      <c r="CXG144" s="7"/>
      <c r="CXH144" s="7"/>
      <c r="CXI144" s="7"/>
      <c r="CXJ144" s="7"/>
      <c r="CXK144" s="7"/>
      <c r="CXL144" s="7"/>
      <c r="CXM144" s="7"/>
      <c r="CXN144" s="7"/>
      <c r="CXO144" s="7"/>
      <c r="CXP144" s="7"/>
      <c r="CXQ144" s="7"/>
      <c r="CXR144" s="7"/>
      <c r="CXS144" s="7"/>
      <c r="CXT144" s="7"/>
      <c r="CXU144" s="7"/>
      <c r="CXV144" s="7"/>
      <c r="CXW144" s="7"/>
      <c r="CXX144" s="7"/>
      <c r="CXY144" s="7"/>
      <c r="CXZ144" s="7"/>
      <c r="CYA144" s="7"/>
      <c r="CYB144" s="7"/>
      <c r="CYC144" s="7"/>
      <c r="CYD144" s="7"/>
      <c r="CYE144" s="7"/>
      <c r="CYF144" s="7"/>
      <c r="CYG144" s="7"/>
      <c r="CYH144" s="7"/>
      <c r="CYI144" s="7"/>
      <c r="CYJ144" s="7"/>
      <c r="CYK144" s="7"/>
      <c r="CYL144" s="7"/>
      <c r="CYM144" s="7"/>
      <c r="CYN144" s="7"/>
      <c r="CYO144" s="7"/>
      <c r="CYP144" s="7"/>
      <c r="CYQ144" s="7"/>
      <c r="CYR144" s="7"/>
      <c r="CYS144" s="7"/>
      <c r="CYT144" s="7"/>
      <c r="CYU144" s="7"/>
      <c r="CYV144" s="7"/>
      <c r="CYW144" s="7"/>
      <c r="CYX144" s="7"/>
      <c r="CYY144" s="7"/>
      <c r="CYZ144" s="7"/>
      <c r="CZA144" s="7"/>
      <c r="CZB144" s="7"/>
      <c r="CZC144" s="7"/>
      <c r="CZD144" s="7"/>
      <c r="CZE144" s="7"/>
      <c r="CZF144" s="7"/>
      <c r="CZG144" s="7"/>
      <c r="CZH144" s="7"/>
      <c r="CZI144" s="7"/>
      <c r="CZJ144" s="7"/>
      <c r="CZK144" s="7"/>
      <c r="CZL144" s="7"/>
      <c r="CZM144" s="7"/>
      <c r="CZN144" s="7"/>
      <c r="CZO144" s="7"/>
      <c r="CZP144" s="7"/>
      <c r="CZQ144" s="7"/>
      <c r="CZR144" s="7"/>
      <c r="CZS144" s="7"/>
      <c r="CZT144" s="7"/>
      <c r="CZU144" s="7"/>
      <c r="CZV144" s="7"/>
      <c r="CZW144" s="7"/>
      <c r="CZX144" s="7"/>
      <c r="CZY144" s="7"/>
      <c r="CZZ144" s="7"/>
      <c r="DAA144" s="7"/>
      <c r="DAB144" s="7"/>
      <c r="DAC144" s="7"/>
      <c r="DAD144" s="7"/>
      <c r="DAE144" s="7"/>
      <c r="DAF144" s="7"/>
      <c r="DAG144" s="7"/>
      <c r="DAH144" s="7"/>
      <c r="DAI144" s="7"/>
      <c r="DAJ144" s="7"/>
      <c r="DAK144" s="7"/>
      <c r="DAL144" s="7"/>
      <c r="DAM144" s="7"/>
      <c r="DAN144" s="7"/>
      <c r="DAO144" s="7"/>
      <c r="DAP144" s="7"/>
      <c r="DAQ144" s="7"/>
      <c r="DAR144" s="7"/>
      <c r="DAS144" s="7"/>
      <c r="DAT144" s="7"/>
      <c r="DAU144" s="7"/>
      <c r="DAV144" s="7"/>
      <c r="DAW144" s="7"/>
      <c r="DAX144" s="7"/>
      <c r="DAY144" s="7"/>
      <c r="DAZ144" s="7"/>
      <c r="DBA144" s="7"/>
      <c r="DBB144" s="7"/>
      <c r="DBC144" s="7"/>
      <c r="DBD144" s="7"/>
      <c r="DBE144" s="7"/>
      <c r="DBF144" s="7"/>
      <c r="DBG144" s="7"/>
      <c r="DBH144" s="7"/>
      <c r="DBI144" s="7"/>
      <c r="DBJ144" s="7"/>
      <c r="DBK144" s="7"/>
      <c r="DBL144" s="7"/>
      <c r="DBM144" s="7"/>
      <c r="DBN144" s="7"/>
      <c r="DBO144" s="7"/>
      <c r="DBP144" s="7"/>
      <c r="DBQ144" s="7"/>
      <c r="DBR144" s="7"/>
      <c r="DBS144" s="7"/>
      <c r="DBT144" s="7"/>
      <c r="DBU144" s="7"/>
      <c r="DBV144" s="7"/>
      <c r="DBW144" s="7"/>
      <c r="DBX144" s="7"/>
      <c r="DBY144" s="7"/>
      <c r="DBZ144" s="7"/>
      <c r="DCA144" s="7"/>
      <c r="DCB144" s="7"/>
      <c r="DCC144" s="7"/>
      <c r="DCD144" s="7"/>
      <c r="DCE144" s="7"/>
      <c r="DCF144" s="7"/>
      <c r="DCG144" s="7"/>
      <c r="DCH144" s="7"/>
      <c r="DCI144" s="7"/>
      <c r="DCJ144" s="7"/>
      <c r="DCK144" s="7"/>
      <c r="DCL144" s="7"/>
      <c r="DCM144" s="7"/>
      <c r="DCN144" s="7"/>
      <c r="DCO144" s="7"/>
      <c r="DCP144" s="7"/>
      <c r="DCQ144" s="7"/>
      <c r="DCR144" s="7"/>
      <c r="DCS144" s="7"/>
      <c r="DCT144" s="7"/>
      <c r="DCU144" s="7"/>
      <c r="DCV144" s="7"/>
      <c r="DCW144" s="7"/>
      <c r="DCX144" s="7"/>
      <c r="DCY144" s="7"/>
      <c r="DCZ144" s="7"/>
      <c r="DDA144" s="7"/>
      <c r="DDB144" s="7"/>
      <c r="DDC144" s="7"/>
      <c r="DDD144" s="7"/>
      <c r="DDE144" s="7"/>
      <c r="DDF144" s="7"/>
      <c r="DDG144" s="7"/>
      <c r="DDH144" s="7"/>
      <c r="DDI144" s="7"/>
      <c r="DDJ144" s="7"/>
      <c r="DDK144" s="7"/>
      <c r="DDL144" s="7"/>
      <c r="DDM144" s="7"/>
      <c r="DDN144" s="7"/>
      <c r="DDO144" s="7"/>
      <c r="DDP144" s="7"/>
      <c r="DDQ144" s="7"/>
      <c r="DDR144" s="7"/>
      <c r="DDS144" s="7"/>
      <c r="DDT144" s="7"/>
      <c r="DDU144" s="7"/>
      <c r="DDV144" s="7"/>
      <c r="DDW144" s="7"/>
      <c r="DDX144" s="7"/>
      <c r="DDY144" s="7"/>
      <c r="DDZ144" s="7"/>
      <c r="DEA144" s="7"/>
      <c r="DEB144" s="7"/>
      <c r="DEC144" s="7"/>
      <c r="DED144" s="7"/>
      <c r="DEE144" s="7"/>
      <c r="DEF144" s="7"/>
      <c r="DEG144" s="7"/>
      <c r="DEH144" s="7"/>
      <c r="DEI144" s="7"/>
      <c r="DEJ144" s="7"/>
      <c r="DEK144" s="7"/>
      <c r="DEL144" s="7"/>
      <c r="DEM144" s="7"/>
      <c r="DEN144" s="7"/>
      <c r="DEO144" s="7"/>
      <c r="DEP144" s="7"/>
      <c r="DEQ144" s="7"/>
      <c r="DER144" s="7"/>
      <c r="DES144" s="7"/>
      <c r="DET144" s="7"/>
      <c r="DEU144" s="7"/>
      <c r="DEV144" s="7"/>
      <c r="DEW144" s="7"/>
      <c r="DEX144" s="7"/>
      <c r="DEY144" s="7"/>
      <c r="DEZ144" s="7"/>
      <c r="DFA144" s="7"/>
      <c r="DFB144" s="7"/>
      <c r="DFC144" s="7"/>
      <c r="DFD144" s="7"/>
      <c r="DFE144" s="7"/>
      <c r="DFF144" s="7"/>
      <c r="DFG144" s="7"/>
      <c r="DFH144" s="7"/>
      <c r="DFI144" s="7"/>
      <c r="DFJ144" s="7"/>
      <c r="DFK144" s="7"/>
      <c r="DFL144" s="7"/>
      <c r="DFM144" s="7"/>
      <c r="DFN144" s="7"/>
      <c r="DFO144" s="7"/>
      <c r="DFP144" s="7"/>
      <c r="DFQ144" s="7"/>
      <c r="DFR144" s="7"/>
      <c r="DFS144" s="7"/>
      <c r="DFT144" s="7"/>
      <c r="DFU144" s="7"/>
      <c r="DFV144" s="7"/>
      <c r="DFW144" s="7"/>
      <c r="DFX144" s="7"/>
      <c r="DFY144" s="7"/>
      <c r="DFZ144" s="7"/>
      <c r="DGA144" s="7"/>
      <c r="DGB144" s="7"/>
      <c r="DGC144" s="7"/>
      <c r="DGD144" s="7"/>
      <c r="DGE144" s="7"/>
      <c r="DGF144" s="7"/>
      <c r="DGG144" s="7"/>
      <c r="DGH144" s="7"/>
      <c r="DGI144" s="7"/>
      <c r="DGJ144" s="7"/>
      <c r="DGK144" s="7"/>
      <c r="DGL144" s="7"/>
      <c r="DGM144" s="7"/>
      <c r="DGN144" s="7"/>
      <c r="DGO144" s="7"/>
      <c r="DGP144" s="7"/>
      <c r="DGQ144" s="7"/>
      <c r="DGR144" s="7"/>
      <c r="DGS144" s="7"/>
      <c r="DGT144" s="7"/>
      <c r="DGU144" s="7"/>
      <c r="DGV144" s="7"/>
      <c r="DGW144" s="7"/>
      <c r="DGX144" s="7"/>
      <c r="DGY144" s="7"/>
      <c r="DGZ144" s="7"/>
      <c r="DHA144" s="7"/>
      <c r="DHB144" s="7"/>
      <c r="DHC144" s="7"/>
      <c r="DHD144" s="7"/>
      <c r="DHE144" s="7"/>
      <c r="DHF144" s="7"/>
      <c r="DHG144" s="7"/>
      <c r="DHH144" s="7"/>
      <c r="DHI144" s="7"/>
      <c r="DHJ144" s="7"/>
      <c r="DHK144" s="7"/>
      <c r="DHL144" s="7"/>
      <c r="DHM144" s="7"/>
      <c r="DHN144" s="7"/>
      <c r="DHO144" s="7"/>
      <c r="DHP144" s="7"/>
      <c r="DHQ144" s="7"/>
      <c r="DHR144" s="7"/>
      <c r="DHS144" s="7"/>
      <c r="DHT144" s="7"/>
      <c r="DHU144" s="7"/>
      <c r="DHV144" s="7"/>
      <c r="DHW144" s="7"/>
      <c r="DHX144" s="7"/>
      <c r="DHY144" s="7"/>
      <c r="DHZ144" s="7"/>
      <c r="DIA144" s="7"/>
      <c r="DIB144" s="7"/>
      <c r="DIC144" s="7"/>
      <c r="DID144" s="7"/>
      <c r="DIE144" s="7"/>
      <c r="DIF144" s="7"/>
      <c r="DIG144" s="7"/>
      <c r="DIH144" s="7"/>
      <c r="DII144" s="7"/>
      <c r="DIJ144" s="7"/>
      <c r="DIK144" s="7"/>
      <c r="DIL144" s="7"/>
      <c r="DIM144" s="7"/>
      <c r="DIN144" s="7"/>
      <c r="DIO144" s="7"/>
      <c r="DIP144" s="7"/>
      <c r="DIQ144" s="7"/>
      <c r="DIR144" s="7"/>
      <c r="DIS144" s="7"/>
      <c r="DIT144" s="7"/>
      <c r="DIU144" s="7"/>
      <c r="DIV144" s="7"/>
      <c r="DIW144" s="7"/>
      <c r="DIX144" s="7"/>
      <c r="DIY144" s="7"/>
      <c r="DIZ144" s="7"/>
      <c r="DJA144" s="7"/>
      <c r="DJB144" s="7"/>
      <c r="DJC144" s="7"/>
      <c r="DJD144" s="7"/>
      <c r="DJE144" s="7"/>
      <c r="DJF144" s="7"/>
      <c r="DJG144" s="7"/>
      <c r="DJH144" s="7"/>
      <c r="DJI144" s="7"/>
      <c r="DJJ144" s="7"/>
      <c r="DJK144" s="7"/>
      <c r="DJL144" s="7"/>
      <c r="DJM144" s="7"/>
      <c r="DJN144" s="7"/>
      <c r="DJO144" s="7"/>
      <c r="DJP144" s="7"/>
      <c r="DJQ144" s="7"/>
      <c r="DJR144" s="7"/>
      <c r="DJS144" s="7"/>
      <c r="DJT144" s="7"/>
      <c r="DJU144" s="7"/>
      <c r="DJV144" s="7"/>
      <c r="DJW144" s="7"/>
      <c r="DJX144" s="7"/>
      <c r="DJY144" s="7"/>
      <c r="DJZ144" s="7"/>
      <c r="DKA144" s="7"/>
      <c r="DKB144" s="7"/>
      <c r="DKC144" s="7"/>
      <c r="DKD144" s="7"/>
      <c r="DKE144" s="7"/>
      <c r="DKF144" s="7"/>
      <c r="DKG144" s="7"/>
      <c r="DKH144" s="7"/>
      <c r="DKI144" s="7"/>
      <c r="DKJ144" s="7"/>
      <c r="DKK144" s="7"/>
      <c r="DKL144" s="7"/>
      <c r="DKM144" s="7"/>
      <c r="DKN144" s="7"/>
      <c r="DKO144" s="7"/>
      <c r="DKP144" s="7"/>
      <c r="DKQ144" s="7"/>
      <c r="DKR144" s="7"/>
      <c r="DKS144" s="7"/>
      <c r="DKT144" s="7"/>
      <c r="DKU144" s="7"/>
      <c r="DKV144" s="7"/>
      <c r="DKW144" s="7"/>
      <c r="DKX144" s="7"/>
      <c r="DKY144" s="7"/>
      <c r="DKZ144" s="7"/>
      <c r="DLA144" s="7"/>
      <c r="DLB144" s="7"/>
      <c r="DLC144" s="7"/>
      <c r="DLD144" s="7"/>
      <c r="DLE144" s="7"/>
      <c r="DLF144" s="7"/>
      <c r="DLG144" s="7"/>
      <c r="DLH144" s="7"/>
      <c r="DLI144" s="7"/>
      <c r="DLJ144" s="7"/>
      <c r="DLK144" s="7"/>
      <c r="DLL144" s="7"/>
      <c r="DLM144" s="7"/>
      <c r="DLN144" s="7"/>
      <c r="DLO144" s="7"/>
      <c r="DLP144" s="7"/>
      <c r="DLQ144" s="7"/>
      <c r="DLR144" s="7"/>
      <c r="DLS144" s="7"/>
      <c r="DLT144" s="7"/>
      <c r="DLU144" s="7"/>
      <c r="DLV144" s="7"/>
      <c r="DLW144" s="7"/>
      <c r="DLX144" s="7"/>
      <c r="DLY144" s="7"/>
      <c r="DLZ144" s="7"/>
      <c r="DMA144" s="7"/>
      <c r="DMB144" s="7"/>
      <c r="DMC144" s="7"/>
      <c r="DMD144" s="7"/>
      <c r="DME144" s="7"/>
      <c r="DMF144" s="7"/>
      <c r="DMG144" s="7"/>
      <c r="DMH144" s="7"/>
      <c r="DMI144" s="7"/>
      <c r="DMJ144" s="7"/>
      <c r="DMK144" s="7"/>
      <c r="DML144" s="7"/>
      <c r="DMM144" s="7"/>
      <c r="DMN144" s="7"/>
      <c r="DMO144" s="7"/>
      <c r="DMP144" s="7"/>
      <c r="DMQ144" s="7"/>
      <c r="DMR144" s="7"/>
      <c r="DMS144" s="7"/>
      <c r="DMT144" s="7"/>
      <c r="DMU144" s="7"/>
      <c r="DMV144" s="7"/>
      <c r="DMW144" s="7"/>
      <c r="DMX144" s="7"/>
      <c r="DMY144" s="7"/>
      <c r="DMZ144" s="7"/>
      <c r="DNA144" s="7"/>
      <c r="DNB144" s="7"/>
      <c r="DNC144" s="7"/>
      <c r="DND144" s="7"/>
      <c r="DNE144" s="7"/>
      <c r="DNF144" s="7"/>
      <c r="DNG144" s="7"/>
      <c r="DNH144" s="7"/>
      <c r="DNI144" s="7"/>
      <c r="DNJ144" s="7"/>
      <c r="DNK144" s="7"/>
      <c r="DNL144" s="7"/>
      <c r="DNM144" s="7"/>
      <c r="DNN144" s="7"/>
      <c r="DNO144" s="7"/>
      <c r="DNP144" s="7"/>
      <c r="DNQ144" s="7"/>
      <c r="DNR144" s="7"/>
      <c r="DNS144" s="7"/>
      <c r="DNT144" s="7"/>
      <c r="DNU144" s="7"/>
      <c r="DNV144" s="7"/>
      <c r="DNW144" s="7"/>
      <c r="DNX144" s="7"/>
      <c r="DNY144" s="7"/>
      <c r="DNZ144" s="7"/>
      <c r="DOA144" s="7"/>
      <c r="DOB144" s="7"/>
      <c r="DOC144" s="7"/>
      <c r="DOD144" s="7"/>
      <c r="DOE144" s="7"/>
      <c r="DOF144" s="7"/>
      <c r="DOG144" s="7"/>
      <c r="DOH144" s="7"/>
      <c r="DOI144" s="7"/>
      <c r="DOJ144" s="7"/>
      <c r="DOK144" s="7"/>
      <c r="DOL144" s="7"/>
      <c r="DOM144" s="7"/>
      <c r="DON144" s="7"/>
      <c r="DOO144" s="7"/>
      <c r="DOP144" s="7"/>
      <c r="DOQ144" s="7"/>
      <c r="DOR144" s="7"/>
      <c r="DOS144" s="7"/>
      <c r="DOT144" s="7"/>
      <c r="DOU144" s="7"/>
      <c r="DOV144" s="7"/>
      <c r="DOW144" s="7"/>
      <c r="DOX144" s="7"/>
      <c r="DOY144" s="7"/>
      <c r="DOZ144" s="7"/>
      <c r="DPA144" s="7"/>
      <c r="DPB144" s="7"/>
      <c r="DPC144" s="7"/>
      <c r="DPD144" s="7"/>
      <c r="DPE144" s="7"/>
      <c r="DPF144" s="7"/>
      <c r="DPG144" s="7"/>
      <c r="DPH144" s="7"/>
      <c r="DPI144" s="7"/>
      <c r="DPJ144" s="7"/>
      <c r="DPK144" s="7"/>
      <c r="DPL144" s="7"/>
      <c r="DPM144" s="7"/>
      <c r="DPN144" s="7"/>
      <c r="DPO144" s="7"/>
      <c r="DPP144" s="7"/>
      <c r="DPQ144" s="7"/>
      <c r="DPR144" s="7"/>
      <c r="DPS144" s="7"/>
      <c r="DPT144" s="7"/>
      <c r="DPU144" s="7"/>
      <c r="DPV144" s="7"/>
      <c r="DPW144" s="7"/>
      <c r="DPX144" s="7"/>
      <c r="DPY144" s="7"/>
      <c r="DPZ144" s="7"/>
      <c r="DQA144" s="7"/>
      <c r="DQB144" s="7"/>
      <c r="DQC144" s="7"/>
      <c r="DQD144" s="7"/>
      <c r="DQE144" s="7"/>
      <c r="DQF144" s="7"/>
      <c r="DQG144" s="7"/>
      <c r="DQH144" s="7"/>
      <c r="DQI144" s="7"/>
      <c r="DQJ144" s="7"/>
      <c r="DQK144" s="7"/>
      <c r="DQL144" s="7"/>
      <c r="DQM144" s="7"/>
      <c r="DQN144" s="7"/>
      <c r="DQO144" s="7"/>
      <c r="DQP144" s="7"/>
      <c r="DQQ144" s="7"/>
      <c r="DQR144" s="7"/>
      <c r="DQS144" s="7"/>
      <c r="DQT144" s="7"/>
      <c r="DQU144" s="7"/>
      <c r="DQV144" s="7"/>
      <c r="DQW144" s="7"/>
      <c r="DQX144" s="7"/>
      <c r="DQY144" s="7"/>
      <c r="DQZ144" s="7"/>
      <c r="DRA144" s="7"/>
      <c r="DRB144" s="7"/>
      <c r="DRC144" s="7"/>
      <c r="DRD144" s="7"/>
      <c r="DRE144" s="7"/>
      <c r="DRF144" s="7"/>
      <c r="DRG144" s="7"/>
      <c r="DRH144" s="7"/>
      <c r="DRI144" s="7"/>
      <c r="DRJ144" s="7"/>
      <c r="DRK144" s="7"/>
      <c r="DRL144" s="7"/>
      <c r="DRM144" s="7"/>
      <c r="DRN144" s="7"/>
      <c r="DRO144" s="7"/>
      <c r="DRP144" s="7"/>
      <c r="DRQ144" s="7"/>
      <c r="DRR144" s="7"/>
      <c r="DRS144" s="7"/>
      <c r="DRT144" s="7"/>
      <c r="DRU144" s="7"/>
      <c r="DRV144" s="7"/>
      <c r="DRW144" s="7"/>
      <c r="DRX144" s="7"/>
      <c r="DRY144" s="7"/>
      <c r="DRZ144" s="7"/>
      <c r="DSA144" s="7"/>
      <c r="DSB144" s="7"/>
      <c r="DSC144" s="7"/>
      <c r="DSD144" s="7"/>
      <c r="DSE144" s="7"/>
      <c r="DSF144" s="7"/>
      <c r="DSG144" s="7"/>
      <c r="DSH144" s="7"/>
      <c r="DSI144" s="7"/>
      <c r="DSJ144" s="7"/>
      <c r="DSK144" s="7"/>
      <c r="DSL144" s="7"/>
      <c r="DSM144" s="7"/>
      <c r="DSN144" s="7"/>
      <c r="DSO144" s="7"/>
      <c r="DSP144" s="7"/>
      <c r="DSQ144" s="7"/>
      <c r="DSR144" s="7"/>
      <c r="DSS144" s="7"/>
      <c r="DST144" s="7"/>
      <c r="DSU144" s="7"/>
      <c r="DSV144" s="7"/>
      <c r="DSW144" s="7"/>
      <c r="DSX144" s="7"/>
      <c r="DSY144" s="7"/>
      <c r="DSZ144" s="7"/>
      <c r="DTA144" s="7"/>
      <c r="DTB144" s="7"/>
      <c r="DTC144" s="7"/>
      <c r="DTD144" s="7"/>
      <c r="DTE144" s="7"/>
      <c r="DTF144" s="7"/>
      <c r="DTG144" s="7"/>
      <c r="DTH144" s="7"/>
      <c r="DTI144" s="7"/>
      <c r="DTJ144" s="7"/>
      <c r="DTK144" s="7"/>
      <c r="DTL144" s="7"/>
      <c r="DTM144" s="7"/>
      <c r="DTN144" s="7"/>
      <c r="DTO144" s="7"/>
      <c r="DTP144" s="7"/>
      <c r="DTQ144" s="7"/>
      <c r="DTR144" s="7"/>
      <c r="DTS144" s="7"/>
      <c r="DTT144" s="7"/>
      <c r="DTU144" s="7"/>
      <c r="DTV144" s="7"/>
      <c r="DTW144" s="7"/>
      <c r="DTX144" s="7"/>
      <c r="DTY144" s="7"/>
      <c r="DTZ144" s="7"/>
      <c r="DUA144" s="7"/>
      <c r="DUB144" s="7"/>
      <c r="DUC144" s="7"/>
      <c r="DUD144" s="7"/>
      <c r="DUE144" s="7"/>
      <c r="DUF144" s="7"/>
      <c r="DUG144" s="7"/>
      <c r="DUH144" s="7"/>
      <c r="DUI144" s="7"/>
      <c r="DUJ144" s="7"/>
      <c r="DUK144" s="7"/>
      <c r="DUL144" s="7"/>
      <c r="DUM144" s="7"/>
      <c r="DUN144" s="7"/>
      <c r="DUO144" s="7"/>
      <c r="DUP144" s="7"/>
      <c r="DUQ144" s="7"/>
      <c r="DUR144" s="7"/>
      <c r="DUS144" s="7"/>
      <c r="DUT144" s="7"/>
      <c r="DUU144" s="7"/>
      <c r="DUV144" s="7"/>
      <c r="DUW144" s="7"/>
      <c r="DUX144" s="7"/>
      <c r="DUY144" s="7"/>
      <c r="DUZ144" s="7"/>
      <c r="DVA144" s="7"/>
      <c r="DVB144" s="7"/>
      <c r="DVC144" s="7"/>
      <c r="DVD144" s="7"/>
      <c r="DVE144" s="7"/>
      <c r="DVF144" s="7"/>
      <c r="DVG144" s="7"/>
      <c r="DVH144" s="7"/>
      <c r="DVI144" s="7"/>
      <c r="DVJ144" s="7"/>
      <c r="DVK144" s="7"/>
      <c r="DVL144" s="7"/>
      <c r="DVM144" s="7"/>
      <c r="DVN144" s="7"/>
      <c r="DVO144" s="7"/>
      <c r="DVP144" s="7"/>
      <c r="DVQ144" s="7"/>
      <c r="DVR144" s="7"/>
      <c r="DVS144" s="7"/>
      <c r="DVT144" s="7"/>
      <c r="DVU144" s="7"/>
      <c r="DVV144" s="7"/>
      <c r="DVW144" s="7"/>
      <c r="DVX144" s="7"/>
      <c r="DVY144" s="7"/>
      <c r="DVZ144" s="7"/>
      <c r="DWA144" s="7"/>
      <c r="DWB144" s="7"/>
      <c r="DWC144" s="7"/>
      <c r="DWD144" s="7"/>
      <c r="DWE144" s="7"/>
      <c r="DWF144" s="7"/>
      <c r="DWG144" s="7"/>
      <c r="DWH144" s="7"/>
      <c r="DWI144" s="7"/>
      <c r="DWJ144" s="7"/>
      <c r="DWK144" s="7"/>
      <c r="DWL144" s="7"/>
      <c r="DWM144" s="7"/>
      <c r="DWN144" s="7"/>
      <c r="DWO144" s="7"/>
      <c r="DWP144" s="7"/>
      <c r="DWQ144" s="7"/>
      <c r="DWR144" s="7"/>
      <c r="DWS144" s="7"/>
      <c r="DWT144" s="7"/>
      <c r="DWU144" s="7"/>
      <c r="DWV144" s="7"/>
      <c r="DWW144" s="7"/>
      <c r="DWX144" s="7"/>
      <c r="DWY144" s="7"/>
      <c r="DWZ144" s="7"/>
      <c r="DXA144" s="7"/>
      <c r="DXB144" s="7"/>
      <c r="DXC144" s="7"/>
      <c r="DXD144" s="7"/>
      <c r="DXE144" s="7"/>
      <c r="DXF144" s="7"/>
      <c r="DXG144" s="7"/>
      <c r="DXH144" s="7"/>
      <c r="DXI144" s="7"/>
      <c r="DXJ144" s="7"/>
      <c r="DXK144" s="7"/>
      <c r="DXL144" s="7"/>
      <c r="DXM144" s="7"/>
      <c r="DXN144" s="7"/>
      <c r="DXO144" s="7"/>
      <c r="DXP144" s="7"/>
      <c r="DXQ144" s="7"/>
      <c r="DXR144" s="7"/>
      <c r="DXS144" s="7"/>
      <c r="DXT144" s="7"/>
      <c r="DXU144" s="7"/>
      <c r="DXV144" s="7"/>
      <c r="DXW144" s="7"/>
      <c r="DXX144" s="7"/>
      <c r="DXY144" s="7"/>
      <c r="DXZ144" s="7"/>
      <c r="DYA144" s="7"/>
      <c r="DYB144" s="7"/>
      <c r="DYC144" s="7"/>
      <c r="DYD144" s="7"/>
      <c r="DYE144" s="7"/>
      <c r="DYF144" s="7"/>
      <c r="DYG144" s="7"/>
      <c r="DYH144" s="7"/>
      <c r="DYI144" s="7"/>
      <c r="DYJ144" s="7"/>
      <c r="DYK144" s="7"/>
      <c r="DYL144" s="7"/>
      <c r="DYM144" s="7"/>
      <c r="DYN144" s="7"/>
      <c r="DYO144" s="7"/>
      <c r="DYP144" s="7"/>
      <c r="DYQ144" s="7"/>
      <c r="DYR144" s="7"/>
      <c r="DYS144" s="7"/>
      <c r="DYT144" s="7"/>
      <c r="DYU144" s="7"/>
      <c r="DYV144" s="7"/>
      <c r="DYW144" s="7"/>
      <c r="DYX144" s="7"/>
      <c r="DYY144" s="7"/>
      <c r="DYZ144" s="7"/>
      <c r="DZA144" s="7"/>
      <c r="DZB144" s="7"/>
      <c r="DZC144" s="7"/>
      <c r="DZD144" s="7"/>
      <c r="DZE144" s="7"/>
      <c r="DZF144" s="7"/>
      <c r="DZG144" s="7"/>
      <c r="DZH144" s="7"/>
      <c r="DZI144" s="7"/>
      <c r="DZJ144" s="7"/>
      <c r="DZK144" s="7"/>
      <c r="DZL144" s="7"/>
      <c r="DZM144" s="7"/>
      <c r="DZN144" s="7"/>
      <c r="DZO144" s="7"/>
      <c r="DZP144" s="7"/>
      <c r="DZQ144" s="7"/>
      <c r="DZR144" s="7"/>
      <c r="DZS144" s="7"/>
      <c r="DZT144" s="7"/>
      <c r="DZU144" s="7"/>
      <c r="DZV144" s="7"/>
      <c r="DZW144" s="7"/>
      <c r="DZX144" s="7"/>
      <c r="DZY144" s="7"/>
      <c r="DZZ144" s="7"/>
      <c r="EAA144" s="7"/>
      <c r="EAB144" s="7"/>
      <c r="EAC144" s="7"/>
      <c r="EAD144" s="7"/>
      <c r="EAE144" s="7"/>
      <c r="EAF144" s="7"/>
      <c r="EAG144" s="7"/>
      <c r="EAH144" s="7"/>
      <c r="EAI144" s="7"/>
      <c r="EAJ144" s="7"/>
      <c r="EAK144" s="7"/>
      <c r="EAL144" s="7"/>
      <c r="EAM144" s="7"/>
      <c r="EAN144" s="7"/>
      <c r="EAO144" s="7"/>
      <c r="EAP144" s="7"/>
      <c r="EAQ144" s="7"/>
      <c r="EAR144" s="7"/>
      <c r="EAS144" s="7"/>
      <c r="EAT144" s="7"/>
      <c r="EAU144" s="7"/>
      <c r="EAV144" s="7"/>
      <c r="EAW144" s="7"/>
      <c r="EAX144" s="7"/>
      <c r="EAY144" s="7"/>
      <c r="EAZ144" s="7"/>
      <c r="EBA144" s="7"/>
      <c r="EBB144" s="7"/>
      <c r="EBC144" s="7"/>
      <c r="EBD144" s="7"/>
      <c r="EBE144" s="7"/>
      <c r="EBF144" s="7"/>
      <c r="EBG144" s="7"/>
      <c r="EBH144" s="7"/>
      <c r="EBI144" s="7"/>
      <c r="EBJ144" s="7"/>
      <c r="EBK144" s="7"/>
      <c r="EBL144" s="7"/>
      <c r="EBM144" s="7"/>
      <c r="EBN144" s="7"/>
      <c r="EBO144" s="7"/>
      <c r="EBP144" s="7"/>
      <c r="EBQ144" s="7"/>
      <c r="EBR144" s="7"/>
      <c r="EBS144" s="7"/>
      <c r="EBT144" s="7"/>
      <c r="EBU144" s="7"/>
      <c r="EBV144" s="7"/>
      <c r="EBW144" s="7"/>
      <c r="EBX144" s="7"/>
      <c r="EBY144" s="7"/>
      <c r="EBZ144" s="7"/>
      <c r="ECA144" s="7"/>
      <c r="ECB144" s="7"/>
      <c r="ECC144" s="7"/>
      <c r="ECD144" s="7"/>
      <c r="ECE144" s="7"/>
      <c r="ECF144" s="7"/>
      <c r="ECG144" s="7"/>
      <c r="ECH144" s="7"/>
      <c r="ECI144" s="7"/>
      <c r="ECJ144" s="7"/>
      <c r="ECK144" s="7"/>
      <c r="ECL144" s="7"/>
      <c r="ECM144" s="7"/>
      <c r="ECN144" s="7"/>
      <c r="ECO144" s="7"/>
      <c r="ECP144" s="7"/>
      <c r="ECQ144" s="7"/>
      <c r="ECR144" s="7"/>
      <c r="ECS144" s="7"/>
      <c r="ECT144" s="7"/>
      <c r="ECU144" s="7"/>
      <c r="ECV144" s="7"/>
      <c r="ECW144" s="7"/>
      <c r="ECX144" s="7"/>
      <c r="ECY144" s="7"/>
      <c r="ECZ144" s="7"/>
      <c r="EDA144" s="7"/>
      <c r="EDB144" s="7"/>
      <c r="EDC144" s="7"/>
      <c r="EDD144" s="7"/>
      <c r="EDE144" s="7"/>
      <c r="EDF144" s="7"/>
      <c r="EDG144" s="7"/>
      <c r="EDH144" s="7"/>
      <c r="EDI144" s="7"/>
      <c r="EDJ144" s="7"/>
      <c r="EDK144" s="7"/>
      <c r="EDL144" s="7"/>
      <c r="EDM144" s="7"/>
      <c r="EDN144" s="7"/>
      <c r="EDO144" s="7"/>
      <c r="EDP144" s="7"/>
      <c r="EDQ144" s="7"/>
      <c r="EDR144" s="7"/>
      <c r="EDS144" s="7"/>
      <c r="EDT144" s="7"/>
      <c r="EDU144" s="7"/>
      <c r="EDV144" s="7"/>
      <c r="EDW144" s="7"/>
      <c r="EDX144" s="7"/>
      <c r="EDY144" s="7"/>
      <c r="EDZ144" s="7"/>
      <c r="EEA144" s="7"/>
      <c r="EEB144" s="7"/>
      <c r="EEC144" s="7"/>
      <c r="EED144" s="7"/>
      <c r="EEE144" s="7"/>
      <c r="EEF144" s="7"/>
      <c r="EEG144" s="7"/>
      <c r="EEH144" s="7"/>
      <c r="EEI144" s="7"/>
      <c r="EEJ144" s="7"/>
      <c r="EEK144" s="7"/>
      <c r="EEL144" s="7"/>
      <c r="EEM144" s="7"/>
      <c r="EEN144" s="7"/>
      <c r="EEO144" s="7"/>
      <c r="EEP144" s="7"/>
      <c r="EEQ144" s="7"/>
      <c r="EER144" s="7"/>
      <c r="EES144" s="7"/>
      <c r="EET144" s="7"/>
      <c r="EEU144" s="7"/>
      <c r="EEV144" s="7"/>
      <c r="EEW144" s="7"/>
      <c r="EEX144" s="7"/>
      <c r="EEY144" s="7"/>
      <c r="EEZ144" s="7"/>
      <c r="EFA144" s="7"/>
      <c r="EFB144" s="7"/>
      <c r="EFC144" s="7"/>
      <c r="EFD144" s="7"/>
      <c r="EFE144" s="7"/>
      <c r="EFF144" s="7"/>
      <c r="EFG144" s="7"/>
      <c r="EFH144" s="7"/>
      <c r="EFI144" s="7"/>
      <c r="EFJ144" s="7"/>
      <c r="EFK144" s="7"/>
      <c r="EFL144" s="7"/>
      <c r="EFM144" s="7"/>
      <c r="EFN144" s="7"/>
      <c r="EFO144" s="7"/>
      <c r="EFP144" s="7"/>
      <c r="EFQ144" s="7"/>
      <c r="EFR144" s="7"/>
      <c r="EFS144" s="7"/>
      <c r="EFT144" s="7"/>
      <c r="EFU144" s="7"/>
      <c r="EFV144" s="7"/>
      <c r="EFW144" s="7"/>
      <c r="EFX144" s="7"/>
      <c r="EFY144" s="7"/>
      <c r="EFZ144" s="7"/>
      <c r="EGA144" s="7"/>
      <c r="EGB144" s="7"/>
      <c r="EGC144" s="7"/>
      <c r="EGD144" s="7"/>
      <c r="EGE144" s="7"/>
      <c r="EGF144" s="7"/>
      <c r="EGG144" s="7"/>
      <c r="EGH144" s="7"/>
      <c r="EGI144" s="7"/>
      <c r="EGJ144" s="7"/>
      <c r="EGK144" s="7"/>
      <c r="EGL144" s="7"/>
      <c r="EGM144" s="7"/>
      <c r="EGN144" s="7"/>
      <c r="EGO144" s="7"/>
      <c r="EGP144" s="7"/>
      <c r="EGQ144" s="7"/>
      <c r="EGR144" s="7"/>
      <c r="EGS144" s="7"/>
      <c r="EGT144" s="7"/>
      <c r="EGU144" s="7"/>
      <c r="EGV144" s="7"/>
      <c r="EGW144" s="7"/>
      <c r="EGX144" s="7"/>
      <c r="EGY144" s="7"/>
      <c r="EGZ144" s="7"/>
      <c r="EHA144" s="7"/>
      <c r="EHB144" s="7"/>
      <c r="EHC144" s="7"/>
      <c r="EHD144" s="7"/>
      <c r="EHE144" s="7"/>
      <c r="EHF144" s="7"/>
      <c r="EHG144" s="7"/>
      <c r="EHH144" s="7"/>
      <c r="EHI144" s="7"/>
      <c r="EHJ144" s="7"/>
      <c r="EHK144" s="7"/>
      <c r="EHL144" s="7"/>
      <c r="EHM144" s="7"/>
      <c r="EHN144" s="7"/>
      <c r="EHO144" s="7"/>
      <c r="EHP144" s="7"/>
      <c r="EHQ144" s="7"/>
      <c r="EHR144" s="7"/>
      <c r="EHS144" s="7"/>
      <c r="EHT144" s="7"/>
      <c r="EHU144" s="7"/>
      <c r="EHV144" s="7"/>
      <c r="EHW144" s="7"/>
      <c r="EHX144" s="7"/>
      <c r="EHY144" s="7"/>
      <c r="EHZ144" s="7"/>
      <c r="EIA144" s="7"/>
      <c r="EIB144" s="7"/>
      <c r="EIC144" s="7"/>
      <c r="EID144" s="7"/>
      <c r="EIE144" s="7"/>
      <c r="EIF144" s="7"/>
      <c r="EIG144" s="7"/>
      <c r="EIH144" s="7"/>
      <c r="EII144" s="7"/>
      <c r="EIJ144" s="7"/>
      <c r="EIK144" s="7"/>
      <c r="EIL144" s="7"/>
      <c r="EIM144" s="7"/>
      <c r="EIN144" s="7"/>
      <c r="EIO144" s="7"/>
      <c r="EIP144" s="7"/>
      <c r="EIQ144" s="7"/>
      <c r="EIR144" s="7"/>
      <c r="EIS144" s="7"/>
      <c r="EIT144" s="7"/>
      <c r="EIU144" s="7"/>
      <c r="EIV144" s="7"/>
      <c r="EIW144" s="7"/>
      <c r="EIX144" s="7"/>
      <c r="EIY144" s="7"/>
      <c r="EIZ144" s="7"/>
      <c r="EJA144" s="7"/>
      <c r="EJB144" s="7"/>
      <c r="EJC144" s="7"/>
      <c r="EJD144" s="7"/>
      <c r="EJE144" s="7"/>
      <c r="EJF144" s="7"/>
      <c r="EJG144" s="7"/>
      <c r="EJH144" s="7"/>
      <c r="EJI144" s="7"/>
      <c r="EJJ144" s="7"/>
      <c r="EJK144" s="7"/>
      <c r="EJL144" s="7"/>
      <c r="EJM144" s="7"/>
      <c r="EJN144" s="7"/>
      <c r="EJO144" s="7"/>
      <c r="EJP144" s="7"/>
      <c r="EJQ144" s="7"/>
      <c r="EJR144" s="7"/>
      <c r="EJS144" s="7"/>
      <c r="EJT144" s="7"/>
      <c r="EJU144" s="7"/>
      <c r="EJV144" s="7"/>
      <c r="EJW144" s="7"/>
      <c r="EJX144" s="7"/>
      <c r="EJY144" s="7"/>
      <c r="EJZ144" s="7"/>
      <c r="EKA144" s="7"/>
      <c r="EKB144" s="7"/>
      <c r="EKC144" s="7"/>
      <c r="EKD144" s="7"/>
      <c r="EKE144" s="7"/>
      <c r="EKF144" s="7"/>
      <c r="EKG144" s="7"/>
      <c r="EKH144" s="7"/>
      <c r="EKI144" s="7"/>
      <c r="EKJ144" s="7"/>
      <c r="EKK144" s="7"/>
      <c r="EKL144" s="7"/>
      <c r="EKM144" s="7"/>
      <c r="EKN144" s="7"/>
      <c r="EKO144" s="7"/>
      <c r="EKP144" s="7"/>
      <c r="EKQ144" s="7"/>
      <c r="EKR144" s="7"/>
      <c r="EKS144" s="7"/>
      <c r="EKT144" s="7"/>
      <c r="EKU144" s="7"/>
      <c r="EKV144" s="7"/>
      <c r="EKW144" s="7"/>
      <c r="EKX144" s="7"/>
      <c r="EKY144" s="7"/>
      <c r="EKZ144" s="7"/>
      <c r="ELA144" s="7"/>
      <c r="ELB144" s="7"/>
      <c r="ELC144" s="7"/>
      <c r="ELD144" s="7"/>
      <c r="ELE144" s="7"/>
      <c r="ELF144" s="7"/>
      <c r="ELG144" s="7"/>
      <c r="ELH144" s="7"/>
      <c r="ELI144" s="7"/>
      <c r="ELJ144" s="7"/>
      <c r="ELK144" s="7"/>
      <c r="ELL144" s="7"/>
      <c r="ELM144" s="7"/>
      <c r="ELN144" s="7"/>
      <c r="ELO144" s="7"/>
      <c r="ELP144" s="7"/>
      <c r="ELQ144" s="7"/>
      <c r="ELR144" s="7"/>
      <c r="ELS144" s="7"/>
      <c r="ELT144" s="7"/>
      <c r="ELU144" s="7"/>
      <c r="ELV144" s="7"/>
      <c r="ELW144" s="7"/>
      <c r="ELX144" s="7"/>
      <c r="ELY144" s="7"/>
      <c r="ELZ144" s="7"/>
      <c r="EMA144" s="7"/>
      <c r="EMB144" s="7"/>
      <c r="EMC144" s="7"/>
      <c r="EMD144" s="7"/>
      <c r="EME144" s="7"/>
      <c r="EMF144" s="7"/>
      <c r="EMG144" s="7"/>
      <c r="EMH144" s="7"/>
      <c r="EMI144" s="7"/>
      <c r="EMJ144" s="7"/>
      <c r="EMK144" s="7"/>
      <c r="EML144" s="7"/>
      <c r="EMM144" s="7"/>
      <c r="EMN144" s="7"/>
      <c r="EMO144" s="7"/>
      <c r="EMP144" s="7"/>
      <c r="EMQ144" s="7"/>
      <c r="EMR144" s="7"/>
      <c r="EMS144" s="7"/>
      <c r="EMT144" s="7"/>
      <c r="EMU144" s="7"/>
      <c r="EMV144" s="7"/>
      <c r="EMW144" s="7"/>
      <c r="EMX144" s="7"/>
      <c r="EMY144" s="7"/>
      <c r="EMZ144" s="7"/>
      <c r="ENA144" s="7"/>
      <c r="ENB144" s="7"/>
      <c r="ENC144" s="7"/>
      <c r="END144" s="7"/>
      <c r="ENE144" s="7"/>
      <c r="ENF144" s="7"/>
      <c r="ENG144" s="7"/>
      <c r="ENH144" s="7"/>
      <c r="ENI144" s="7"/>
      <c r="ENJ144" s="7"/>
      <c r="ENK144" s="7"/>
      <c r="ENL144" s="7"/>
      <c r="ENM144" s="7"/>
      <c r="ENN144" s="7"/>
      <c r="ENO144" s="7"/>
      <c r="ENP144" s="7"/>
      <c r="ENQ144" s="7"/>
      <c r="ENR144" s="7"/>
      <c r="ENS144" s="7"/>
      <c r="ENT144" s="7"/>
      <c r="ENU144" s="7"/>
      <c r="ENV144" s="7"/>
      <c r="ENW144" s="7"/>
      <c r="ENX144" s="7"/>
      <c r="ENY144" s="7"/>
      <c r="ENZ144" s="7"/>
      <c r="EOA144" s="7"/>
      <c r="EOB144" s="7"/>
      <c r="EOC144" s="7"/>
      <c r="EOD144" s="7"/>
      <c r="EOE144" s="7"/>
      <c r="EOF144" s="7"/>
      <c r="EOG144" s="7"/>
      <c r="EOH144" s="7"/>
      <c r="EOI144" s="7"/>
      <c r="EOJ144" s="7"/>
      <c r="EOK144" s="7"/>
      <c r="EOL144" s="7"/>
      <c r="EOM144" s="7"/>
      <c r="EON144" s="7"/>
      <c r="EOO144" s="7"/>
      <c r="EOP144" s="7"/>
      <c r="EOQ144" s="7"/>
      <c r="EOR144" s="7"/>
      <c r="EOS144" s="7"/>
      <c r="EOT144" s="7"/>
      <c r="EOU144" s="7"/>
      <c r="EOV144" s="7"/>
      <c r="EOW144" s="7"/>
      <c r="EOX144" s="7"/>
      <c r="EOY144" s="7"/>
      <c r="EOZ144" s="7"/>
      <c r="EPA144" s="7"/>
      <c r="EPB144" s="7"/>
      <c r="EPC144" s="7"/>
      <c r="EPD144" s="7"/>
      <c r="EPE144" s="7"/>
      <c r="EPF144" s="7"/>
      <c r="EPG144" s="7"/>
      <c r="EPH144" s="7"/>
      <c r="EPI144" s="7"/>
      <c r="EPJ144" s="7"/>
      <c r="EPK144" s="7"/>
      <c r="EPL144" s="7"/>
      <c r="EPM144" s="7"/>
      <c r="EPN144" s="7"/>
      <c r="EPO144" s="7"/>
      <c r="EPP144" s="7"/>
      <c r="EPQ144" s="7"/>
      <c r="EPR144" s="7"/>
      <c r="EPS144" s="7"/>
      <c r="EPT144" s="7"/>
      <c r="EPU144" s="7"/>
      <c r="EPV144" s="7"/>
      <c r="EPW144" s="7"/>
      <c r="EPX144" s="7"/>
      <c r="EPY144" s="7"/>
      <c r="EPZ144" s="7"/>
      <c r="EQA144" s="7"/>
      <c r="EQB144" s="7"/>
      <c r="EQC144" s="7"/>
      <c r="EQD144" s="7"/>
      <c r="EQE144" s="7"/>
      <c r="EQF144" s="7"/>
      <c r="EQG144" s="7"/>
      <c r="EQH144" s="7"/>
      <c r="EQI144" s="7"/>
      <c r="EQJ144" s="7"/>
      <c r="EQK144" s="7"/>
      <c r="EQL144" s="7"/>
      <c r="EQM144" s="7"/>
      <c r="EQN144" s="7"/>
      <c r="EQO144" s="7"/>
      <c r="EQP144" s="7"/>
      <c r="EQQ144" s="7"/>
      <c r="EQR144" s="7"/>
      <c r="EQS144" s="7"/>
      <c r="EQT144" s="7"/>
      <c r="EQU144" s="7"/>
      <c r="EQV144" s="7"/>
      <c r="EQW144" s="7"/>
      <c r="EQX144" s="7"/>
      <c r="EQY144" s="7"/>
      <c r="EQZ144" s="7"/>
      <c r="ERA144" s="7"/>
      <c r="ERB144" s="7"/>
      <c r="ERC144" s="7"/>
      <c r="ERD144" s="7"/>
      <c r="ERE144" s="7"/>
      <c r="ERF144" s="7"/>
      <c r="ERG144" s="7"/>
      <c r="ERH144" s="7"/>
      <c r="ERI144" s="7"/>
      <c r="ERJ144" s="7"/>
      <c r="ERK144" s="7"/>
      <c r="ERL144" s="7"/>
      <c r="ERM144" s="7"/>
      <c r="ERN144" s="7"/>
      <c r="ERO144" s="7"/>
      <c r="ERP144" s="7"/>
      <c r="ERQ144" s="7"/>
      <c r="ERR144" s="7"/>
      <c r="ERS144" s="7"/>
      <c r="ERT144" s="7"/>
      <c r="ERU144" s="7"/>
      <c r="ERV144" s="7"/>
      <c r="ERW144" s="7"/>
      <c r="ERX144" s="7"/>
      <c r="ERY144" s="7"/>
      <c r="ERZ144" s="7"/>
      <c r="ESA144" s="7"/>
      <c r="ESB144" s="7"/>
      <c r="ESC144" s="7"/>
      <c r="ESD144" s="7"/>
      <c r="ESE144" s="7"/>
      <c r="ESF144" s="7"/>
      <c r="ESG144" s="7"/>
      <c r="ESH144" s="7"/>
      <c r="ESI144" s="7"/>
      <c r="ESJ144" s="7"/>
      <c r="ESK144" s="7"/>
      <c r="ESL144" s="7"/>
      <c r="ESM144" s="7"/>
      <c r="ESN144" s="7"/>
      <c r="ESO144" s="7"/>
      <c r="ESP144" s="7"/>
      <c r="ESQ144" s="7"/>
      <c r="ESR144" s="7"/>
      <c r="ESS144" s="7"/>
      <c r="EST144" s="7"/>
      <c r="ESU144" s="7"/>
      <c r="ESV144" s="7"/>
      <c r="ESW144" s="7"/>
      <c r="ESX144" s="7"/>
      <c r="ESY144" s="7"/>
      <c r="ESZ144" s="7"/>
      <c r="ETA144" s="7"/>
      <c r="ETB144" s="7"/>
      <c r="ETC144" s="7"/>
      <c r="ETD144" s="7"/>
      <c r="ETE144" s="7"/>
      <c r="ETF144" s="7"/>
      <c r="ETG144" s="7"/>
      <c r="ETH144" s="7"/>
      <c r="ETI144" s="7"/>
      <c r="ETJ144" s="7"/>
      <c r="ETK144" s="7"/>
      <c r="ETL144" s="7"/>
      <c r="ETM144" s="7"/>
      <c r="ETN144" s="7"/>
      <c r="ETO144" s="7"/>
      <c r="ETP144" s="7"/>
      <c r="ETQ144" s="7"/>
      <c r="ETR144" s="7"/>
      <c r="ETS144" s="7"/>
      <c r="ETT144" s="7"/>
      <c r="ETU144" s="7"/>
      <c r="ETV144" s="7"/>
      <c r="ETW144" s="7"/>
      <c r="ETX144" s="7"/>
      <c r="ETY144" s="7"/>
      <c r="ETZ144" s="7"/>
      <c r="EUA144" s="7"/>
      <c r="EUB144" s="7"/>
      <c r="EUC144" s="7"/>
      <c r="EUD144" s="7"/>
      <c r="EUE144" s="7"/>
      <c r="EUF144" s="7"/>
      <c r="EUG144" s="7"/>
      <c r="EUH144" s="7"/>
      <c r="EUI144" s="7"/>
      <c r="EUJ144" s="7"/>
      <c r="EUK144" s="7"/>
      <c r="EUL144" s="7"/>
      <c r="EUM144" s="7"/>
      <c r="EUN144" s="7"/>
      <c r="EUO144" s="7"/>
      <c r="EUP144" s="7"/>
      <c r="EUQ144" s="7"/>
      <c r="EUR144" s="7"/>
      <c r="EUS144" s="7"/>
      <c r="EUT144" s="7"/>
      <c r="EUU144" s="7"/>
      <c r="EUV144" s="7"/>
      <c r="EUW144" s="7"/>
      <c r="EUX144" s="7"/>
      <c r="EUY144" s="7"/>
      <c r="EUZ144" s="7"/>
      <c r="EVA144" s="7"/>
      <c r="EVB144" s="7"/>
      <c r="EVC144" s="7"/>
      <c r="EVD144" s="7"/>
      <c r="EVE144" s="7"/>
      <c r="EVF144" s="7"/>
      <c r="EVG144" s="7"/>
      <c r="EVH144" s="7"/>
      <c r="EVI144" s="7"/>
      <c r="EVJ144" s="7"/>
      <c r="EVK144" s="7"/>
      <c r="EVL144" s="7"/>
      <c r="EVM144" s="7"/>
      <c r="EVN144" s="7"/>
      <c r="EVO144" s="7"/>
      <c r="EVP144" s="7"/>
      <c r="EVQ144" s="7"/>
      <c r="EVR144" s="7"/>
      <c r="EVS144" s="7"/>
      <c r="EVT144" s="7"/>
      <c r="EVU144" s="7"/>
      <c r="EVV144" s="7"/>
      <c r="EVW144" s="7"/>
      <c r="EVX144" s="7"/>
      <c r="EVY144" s="7"/>
      <c r="EVZ144" s="7"/>
      <c r="EWA144" s="7"/>
      <c r="EWB144" s="7"/>
      <c r="EWC144" s="7"/>
      <c r="EWD144" s="7"/>
      <c r="EWE144" s="7"/>
      <c r="EWF144" s="7"/>
      <c r="EWG144" s="7"/>
      <c r="EWH144" s="7"/>
      <c r="EWI144" s="7"/>
      <c r="EWJ144" s="7"/>
      <c r="EWK144" s="7"/>
      <c r="EWL144" s="7"/>
      <c r="EWM144" s="7"/>
      <c r="EWN144" s="7"/>
      <c r="EWO144" s="7"/>
      <c r="EWP144" s="7"/>
      <c r="EWQ144" s="7"/>
      <c r="EWR144" s="7"/>
      <c r="EWS144" s="7"/>
      <c r="EWT144" s="7"/>
      <c r="EWU144" s="7"/>
      <c r="EWV144" s="7"/>
      <c r="EWW144" s="7"/>
      <c r="EWX144" s="7"/>
      <c r="EWY144" s="7"/>
      <c r="EWZ144" s="7"/>
      <c r="EXA144" s="7"/>
      <c r="EXB144" s="7"/>
      <c r="EXC144" s="7"/>
      <c r="EXD144" s="7"/>
      <c r="EXE144" s="7"/>
      <c r="EXF144" s="7"/>
      <c r="EXG144" s="7"/>
      <c r="EXH144" s="7"/>
      <c r="EXI144" s="7"/>
      <c r="EXJ144" s="7"/>
      <c r="EXK144" s="7"/>
      <c r="EXL144" s="7"/>
      <c r="EXM144" s="7"/>
      <c r="EXN144" s="7"/>
      <c r="EXO144" s="7"/>
      <c r="EXP144" s="7"/>
      <c r="EXQ144" s="7"/>
      <c r="EXR144" s="7"/>
      <c r="EXS144" s="7"/>
      <c r="EXT144" s="7"/>
      <c r="EXU144" s="7"/>
      <c r="EXV144" s="7"/>
      <c r="EXW144" s="7"/>
      <c r="EXX144" s="7"/>
      <c r="EXY144" s="7"/>
      <c r="EXZ144" s="7"/>
      <c r="EYA144" s="7"/>
      <c r="EYB144" s="7"/>
      <c r="EYC144" s="7"/>
      <c r="EYD144" s="7"/>
      <c r="EYE144" s="7"/>
      <c r="EYF144" s="7"/>
      <c r="EYG144" s="7"/>
      <c r="EYH144" s="7"/>
      <c r="EYI144" s="7"/>
      <c r="EYJ144" s="7"/>
      <c r="EYK144" s="7"/>
      <c r="EYL144" s="7"/>
      <c r="EYM144" s="7"/>
      <c r="EYN144" s="7"/>
      <c r="EYO144" s="7"/>
      <c r="EYP144" s="7"/>
      <c r="EYQ144" s="7"/>
      <c r="EYR144" s="7"/>
      <c r="EYS144" s="7"/>
      <c r="EYT144" s="7"/>
      <c r="EYU144" s="7"/>
      <c r="EYV144" s="7"/>
      <c r="EYW144" s="7"/>
      <c r="EYX144" s="7"/>
      <c r="EYY144" s="7"/>
      <c r="EYZ144" s="7"/>
      <c r="EZA144" s="7"/>
      <c r="EZB144" s="7"/>
      <c r="EZC144" s="7"/>
      <c r="EZD144" s="7"/>
      <c r="EZE144" s="7"/>
      <c r="EZF144" s="7"/>
      <c r="EZG144" s="7"/>
      <c r="EZH144" s="7"/>
      <c r="EZI144" s="7"/>
      <c r="EZJ144" s="7"/>
      <c r="EZK144" s="7"/>
      <c r="EZL144" s="7"/>
      <c r="EZM144" s="7"/>
      <c r="EZN144" s="7"/>
      <c r="EZO144" s="7"/>
      <c r="EZP144" s="7"/>
      <c r="EZQ144" s="7"/>
      <c r="EZR144" s="7"/>
      <c r="EZS144" s="7"/>
      <c r="EZT144" s="7"/>
      <c r="EZU144" s="7"/>
      <c r="EZV144" s="7"/>
      <c r="EZW144" s="7"/>
      <c r="EZX144" s="7"/>
      <c r="EZY144" s="7"/>
      <c r="EZZ144" s="7"/>
      <c r="FAA144" s="7"/>
      <c r="FAB144" s="7"/>
      <c r="FAC144" s="7"/>
      <c r="FAD144" s="7"/>
      <c r="FAE144" s="7"/>
      <c r="FAF144" s="7"/>
      <c r="FAG144" s="7"/>
      <c r="FAH144" s="7"/>
      <c r="FAI144" s="7"/>
      <c r="FAJ144" s="7"/>
      <c r="FAK144" s="7"/>
      <c r="FAL144" s="7"/>
      <c r="FAM144" s="7"/>
      <c r="FAN144" s="7"/>
      <c r="FAO144" s="7"/>
      <c r="FAP144" s="7"/>
      <c r="FAQ144" s="7"/>
      <c r="FAR144" s="7"/>
      <c r="FAS144" s="7"/>
      <c r="FAT144" s="7"/>
      <c r="FAU144" s="7"/>
      <c r="FAV144" s="7"/>
      <c r="FAW144" s="7"/>
      <c r="FAX144" s="7"/>
      <c r="FAY144" s="7"/>
      <c r="FAZ144" s="7"/>
      <c r="FBA144" s="7"/>
      <c r="FBB144" s="7"/>
      <c r="FBC144" s="7"/>
      <c r="FBD144" s="7"/>
      <c r="FBE144" s="7"/>
      <c r="FBF144" s="7"/>
      <c r="FBG144" s="7"/>
      <c r="FBH144" s="7"/>
      <c r="FBI144" s="7"/>
      <c r="FBJ144" s="7"/>
      <c r="FBK144" s="7"/>
      <c r="FBL144" s="7"/>
      <c r="FBM144" s="7"/>
      <c r="FBN144" s="7"/>
      <c r="FBO144" s="7"/>
      <c r="FBP144" s="7"/>
      <c r="FBQ144" s="7"/>
      <c r="FBR144" s="7"/>
      <c r="FBS144" s="7"/>
      <c r="FBT144" s="7"/>
      <c r="FBU144" s="7"/>
      <c r="FBV144" s="7"/>
      <c r="FBW144" s="7"/>
      <c r="FBX144" s="7"/>
      <c r="FBY144" s="7"/>
      <c r="FBZ144" s="7"/>
      <c r="FCA144" s="7"/>
      <c r="FCB144" s="7"/>
      <c r="FCC144" s="7"/>
      <c r="FCD144" s="7"/>
      <c r="FCE144" s="7"/>
      <c r="FCF144" s="7"/>
      <c r="FCG144" s="7"/>
      <c r="FCH144" s="7"/>
      <c r="FCI144" s="7"/>
      <c r="FCJ144" s="7"/>
      <c r="FCK144" s="7"/>
      <c r="FCL144" s="7"/>
      <c r="FCM144" s="7"/>
      <c r="FCN144" s="7"/>
      <c r="FCO144" s="7"/>
      <c r="FCP144" s="7"/>
      <c r="FCQ144" s="7"/>
      <c r="FCR144" s="7"/>
      <c r="FCS144" s="7"/>
      <c r="FCT144" s="7"/>
      <c r="FCU144" s="7"/>
      <c r="FCV144" s="7"/>
      <c r="FCW144" s="7"/>
      <c r="FCX144" s="7"/>
      <c r="FCY144" s="7"/>
      <c r="FCZ144" s="7"/>
      <c r="FDA144" s="7"/>
      <c r="FDB144" s="7"/>
      <c r="FDC144" s="7"/>
      <c r="FDD144" s="7"/>
      <c r="FDE144" s="7"/>
      <c r="FDF144" s="7"/>
      <c r="FDG144" s="7"/>
      <c r="FDH144" s="7"/>
      <c r="FDI144" s="7"/>
      <c r="FDJ144" s="7"/>
      <c r="FDK144" s="7"/>
      <c r="FDL144" s="7"/>
      <c r="FDM144" s="7"/>
      <c r="FDN144" s="7"/>
      <c r="FDO144" s="7"/>
      <c r="FDP144" s="7"/>
      <c r="FDQ144" s="7"/>
      <c r="FDR144" s="7"/>
      <c r="FDS144" s="7"/>
      <c r="FDT144" s="7"/>
      <c r="FDU144" s="7"/>
      <c r="FDV144" s="7"/>
      <c r="FDW144" s="7"/>
      <c r="FDX144" s="7"/>
      <c r="FDY144" s="7"/>
      <c r="FDZ144" s="7"/>
      <c r="FEA144" s="7"/>
      <c r="FEB144" s="7"/>
      <c r="FEC144" s="7"/>
      <c r="FED144" s="7"/>
      <c r="FEE144" s="7"/>
      <c r="FEF144" s="7"/>
      <c r="FEG144" s="7"/>
      <c r="FEH144" s="7"/>
      <c r="FEI144" s="7"/>
      <c r="FEJ144" s="7"/>
      <c r="FEK144" s="7"/>
      <c r="FEL144" s="7"/>
      <c r="FEM144" s="7"/>
      <c r="FEN144" s="7"/>
      <c r="FEO144" s="7"/>
      <c r="FEP144" s="7"/>
      <c r="FEQ144" s="7"/>
      <c r="FER144" s="7"/>
      <c r="FES144" s="7"/>
      <c r="FET144" s="7"/>
      <c r="FEU144" s="7"/>
      <c r="FEV144" s="7"/>
      <c r="FEW144" s="7"/>
      <c r="FEX144" s="7"/>
      <c r="FEY144" s="7"/>
      <c r="FEZ144" s="7"/>
      <c r="FFA144" s="7"/>
      <c r="FFB144" s="7"/>
      <c r="FFC144" s="7"/>
      <c r="FFD144" s="7"/>
      <c r="FFE144" s="7"/>
      <c r="FFF144" s="7"/>
      <c r="FFG144" s="7"/>
      <c r="FFH144" s="7"/>
      <c r="FFI144" s="7"/>
      <c r="FFJ144" s="7"/>
      <c r="FFK144" s="7"/>
      <c r="FFL144" s="7"/>
      <c r="FFM144" s="7"/>
      <c r="FFN144" s="7"/>
      <c r="FFO144" s="7"/>
      <c r="FFP144" s="7"/>
      <c r="FFQ144" s="7"/>
      <c r="FFR144" s="7"/>
      <c r="FFS144" s="7"/>
      <c r="FFT144" s="7"/>
      <c r="FFU144" s="7"/>
      <c r="FFV144" s="7"/>
      <c r="FFW144" s="7"/>
      <c r="FFX144" s="7"/>
      <c r="FFY144" s="7"/>
      <c r="FFZ144" s="7"/>
      <c r="FGA144" s="7"/>
      <c r="FGB144" s="7"/>
      <c r="FGC144" s="7"/>
      <c r="FGD144" s="7"/>
      <c r="FGE144" s="7"/>
      <c r="FGF144" s="7"/>
      <c r="FGG144" s="7"/>
      <c r="FGH144" s="7"/>
      <c r="FGI144" s="7"/>
      <c r="FGJ144" s="7"/>
      <c r="FGK144" s="7"/>
      <c r="FGL144" s="7"/>
      <c r="FGM144" s="7"/>
      <c r="FGN144" s="7"/>
      <c r="FGO144" s="7"/>
      <c r="FGP144" s="7"/>
      <c r="FGQ144" s="7"/>
      <c r="FGR144" s="7"/>
      <c r="FGS144" s="7"/>
      <c r="FGT144" s="7"/>
      <c r="FGU144" s="7"/>
      <c r="FGV144" s="7"/>
      <c r="FGW144" s="7"/>
      <c r="FGX144" s="7"/>
      <c r="FGY144" s="7"/>
      <c r="FGZ144" s="7"/>
      <c r="FHA144" s="7"/>
      <c r="FHB144" s="7"/>
      <c r="FHC144" s="7"/>
      <c r="FHD144" s="7"/>
      <c r="FHE144" s="7"/>
      <c r="FHF144" s="7"/>
      <c r="FHG144" s="7"/>
      <c r="FHH144" s="7"/>
      <c r="FHI144" s="7"/>
      <c r="FHJ144" s="7"/>
      <c r="FHK144" s="7"/>
      <c r="FHL144" s="7"/>
      <c r="FHM144" s="7"/>
      <c r="FHN144" s="7"/>
      <c r="FHO144" s="7"/>
      <c r="FHP144" s="7"/>
      <c r="FHQ144" s="7"/>
      <c r="FHR144" s="7"/>
      <c r="FHS144" s="7"/>
      <c r="FHT144" s="7"/>
      <c r="FHU144" s="7"/>
      <c r="FHV144" s="7"/>
      <c r="FHW144" s="7"/>
      <c r="FHX144" s="7"/>
      <c r="FHY144" s="7"/>
      <c r="FHZ144" s="7"/>
      <c r="FIA144" s="7"/>
      <c r="FIB144" s="7"/>
      <c r="FIC144" s="7"/>
      <c r="FID144" s="7"/>
      <c r="FIE144" s="7"/>
      <c r="FIF144" s="7"/>
      <c r="FIG144" s="7"/>
      <c r="FIH144" s="7"/>
      <c r="FII144" s="7"/>
      <c r="FIJ144" s="7"/>
      <c r="FIK144" s="7"/>
      <c r="FIL144" s="7"/>
      <c r="FIM144" s="7"/>
      <c r="FIN144" s="7"/>
      <c r="FIO144" s="7"/>
      <c r="FIP144" s="7"/>
      <c r="FIQ144" s="7"/>
      <c r="FIR144" s="7"/>
      <c r="FIS144" s="7"/>
      <c r="FIT144" s="7"/>
      <c r="FIU144" s="7"/>
      <c r="FIV144" s="7"/>
      <c r="FIW144" s="7"/>
      <c r="FIX144" s="7"/>
      <c r="FIY144" s="7"/>
      <c r="FIZ144" s="7"/>
      <c r="FJA144" s="7"/>
      <c r="FJB144" s="7"/>
      <c r="FJC144" s="7"/>
      <c r="FJD144" s="7"/>
      <c r="FJE144" s="7"/>
      <c r="FJF144" s="7"/>
      <c r="FJG144" s="7"/>
      <c r="FJH144" s="7"/>
      <c r="FJI144" s="7"/>
      <c r="FJJ144" s="7"/>
      <c r="FJK144" s="7"/>
      <c r="FJL144" s="7"/>
      <c r="FJM144" s="7"/>
      <c r="FJN144" s="7"/>
      <c r="FJO144" s="7"/>
      <c r="FJP144" s="7"/>
      <c r="FJQ144" s="7"/>
      <c r="FJR144" s="7"/>
      <c r="FJS144" s="7"/>
      <c r="FJT144" s="7"/>
      <c r="FJU144" s="7"/>
      <c r="FJV144" s="7"/>
      <c r="FJW144" s="7"/>
      <c r="FJX144" s="7"/>
      <c r="FJY144" s="7"/>
      <c r="FJZ144" s="7"/>
      <c r="FKA144" s="7"/>
      <c r="FKB144" s="7"/>
      <c r="FKC144" s="7"/>
      <c r="FKD144" s="7"/>
      <c r="FKE144" s="7"/>
      <c r="FKF144" s="7"/>
      <c r="FKG144" s="7"/>
      <c r="FKH144" s="7"/>
      <c r="FKI144" s="7"/>
      <c r="FKJ144" s="7"/>
      <c r="FKK144" s="7"/>
      <c r="FKL144" s="7"/>
      <c r="FKM144" s="7"/>
      <c r="FKN144" s="7"/>
      <c r="FKO144" s="7"/>
      <c r="FKP144" s="7"/>
      <c r="FKQ144" s="7"/>
      <c r="FKR144" s="7"/>
      <c r="FKS144" s="7"/>
      <c r="FKT144" s="7"/>
      <c r="FKU144" s="7"/>
      <c r="FKV144" s="7"/>
      <c r="FKW144" s="7"/>
      <c r="FKX144" s="7"/>
      <c r="FKY144" s="7"/>
      <c r="FKZ144" s="7"/>
      <c r="FLA144" s="7"/>
      <c r="FLB144" s="7"/>
      <c r="FLC144" s="7"/>
      <c r="FLD144" s="7"/>
      <c r="FLE144" s="7"/>
      <c r="FLF144" s="7"/>
      <c r="FLG144" s="7"/>
      <c r="FLH144" s="7"/>
      <c r="FLI144" s="7"/>
      <c r="FLJ144" s="7"/>
      <c r="FLK144" s="7"/>
      <c r="FLL144" s="7"/>
      <c r="FLM144" s="7"/>
      <c r="FLN144" s="7"/>
      <c r="FLO144" s="7"/>
      <c r="FLP144" s="7"/>
      <c r="FLQ144" s="7"/>
      <c r="FLR144" s="7"/>
      <c r="FLS144" s="7"/>
      <c r="FLT144" s="7"/>
      <c r="FLU144" s="7"/>
      <c r="FLV144" s="7"/>
      <c r="FLW144" s="7"/>
      <c r="FLX144" s="7"/>
      <c r="FLY144" s="7"/>
      <c r="FLZ144" s="7"/>
      <c r="FMA144" s="7"/>
      <c r="FMB144" s="7"/>
      <c r="FMC144" s="7"/>
      <c r="FMD144" s="7"/>
      <c r="FME144" s="7"/>
      <c r="FMF144" s="7"/>
      <c r="FMG144" s="7"/>
      <c r="FMH144" s="7"/>
      <c r="FMI144" s="7"/>
      <c r="FMJ144" s="7"/>
      <c r="FMK144" s="7"/>
      <c r="FML144" s="7"/>
      <c r="FMM144" s="7"/>
      <c r="FMN144" s="7"/>
      <c r="FMO144" s="7"/>
      <c r="FMP144" s="7"/>
      <c r="FMQ144" s="7"/>
      <c r="FMR144" s="7"/>
      <c r="FMS144" s="7"/>
      <c r="FMT144" s="7"/>
      <c r="FMU144" s="7"/>
      <c r="FMV144" s="7"/>
      <c r="FMW144" s="7"/>
      <c r="FMX144" s="7"/>
      <c r="FMY144" s="7"/>
      <c r="FMZ144" s="7"/>
      <c r="FNA144" s="7"/>
      <c r="FNB144" s="7"/>
      <c r="FNC144" s="7"/>
      <c r="FND144" s="7"/>
      <c r="FNE144" s="7"/>
      <c r="FNF144" s="7"/>
      <c r="FNG144" s="7"/>
      <c r="FNH144" s="7"/>
      <c r="FNI144" s="7"/>
      <c r="FNJ144" s="7"/>
      <c r="FNK144" s="7"/>
      <c r="FNL144" s="7"/>
      <c r="FNM144" s="7"/>
      <c r="FNN144" s="7"/>
      <c r="FNO144" s="7"/>
      <c r="FNP144" s="7"/>
      <c r="FNQ144" s="7"/>
      <c r="FNR144" s="7"/>
      <c r="FNS144" s="7"/>
      <c r="FNT144" s="7"/>
      <c r="FNU144" s="7"/>
      <c r="FNV144" s="7"/>
      <c r="FNW144" s="7"/>
      <c r="FNX144" s="7"/>
      <c r="FNY144" s="7"/>
      <c r="FNZ144" s="7"/>
      <c r="FOA144" s="7"/>
      <c r="FOB144" s="7"/>
      <c r="FOC144" s="7"/>
      <c r="FOD144" s="7"/>
      <c r="FOE144" s="7"/>
      <c r="FOF144" s="7"/>
      <c r="FOG144" s="7"/>
      <c r="FOH144" s="7"/>
      <c r="FOI144" s="7"/>
      <c r="FOJ144" s="7"/>
      <c r="FOK144" s="7"/>
      <c r="FOL144" s="7"/>
      <c r="FOM144" s="7"/>
      <c r="FON144" s="7"/>
      <c r="FOO144" s="7"/>
      <c r="FOP144" s="7"/>
      <c r="FOQ144" s="7"/>
      <c r="FOR144" s="7"/>
      <c r="FOS144" s="7"/>
      <c r="FOT144" s="7"/>
      <c r="FOU144" s="7"/>
      <c r="FOV144" s="7"/>
      <c r="FOW144" s="7"/>
      <c r="FOX144" s="7"/>
      <c r="FOY144" s="7"/>
      <c r="FOZ144" s="7"/>
      <c r="FPA144" s="7"/>
      <c r="FPB144" s="7"/>
      <c r="FPC144" s="7"/>
      <c r="FPD144" s="7"/>
      <c r="FPE144" s="7"/>
      <c r="FPF144" s="7"/>
      <c r="FPG144" s="7"/>
      <c r="FPH144" s="7"/>
      <c r="FPI144" s="7"/>
      <c r="FPJ144" s="7"/>
      <c r="FPK144" s="7"/>
      <c r="FPL144" s="7"/>
      <c r="FPM144" s="7"/>
      <c r="FPN144" s="7"/>
      <c r="FPO144" s="7"/>
      <c r="FPP144" s="7"/>
      <c r="FPQ144" s="7"/>
      <c r="FPR144" s="7"/>
      <c r="FPS144" s="7"/>
      <c r="FPT144" s="7"/>
      <c r="FPU144" s="7"/>
      <c r="FPV144" s="7"/>
      <c r="FPW144" s="7"/>
      <c r="FPX144" s="7"/>
      <c r="FPY144" s="7"/>
      <c r="FPZ144" s="7"/>
      <c r="FQA144" s="7"/>
      <c r="FQB144" s="7"/>
      <c r="FQC144" s="7"/>
      <c r="FQD144" s="7"/>
      <c r="FQE144" s="7"/>
      <c r="FQF144" s="7"/>
      <c r="FQG144" s="7"/>
      <c r="FQH144" s="7"/>
      <c r="FQI144" s="7"/>
      <c r="FQJ144" s="7"/>
      <c r="FQK144" s="7"/>
      <c r="FQL144" s="7"/>
      <c r="FQM144" s="7"/>
      <c r="FQN144" s="7"/>
      <c r="FQO144" s="7"/>
      <c r="FQP144" s="7"/>
      <c r="FQQ144" s="7"/>
      <c r="FQR144" s="7"/>
      <c r="FQS144" s="7"/>
      <c r="FQT144" s="7"/>
      <c r="FQU144" s="7"/>
      <c r="FQV144" s="7"/>
      <c r="FQW144" s="7"/>
      <c r="FQX144" s="7"/>
      <c r="FQY144" s="7"/>
      <c r="FQZ144" s="7"/>
      <c r="FRA144" s="7"/>
      <c r="FRB144" s="7"/>
      <c r="FRC144" s="7"/>
      <c r="FRD144" s="7"/>
      <c r="FRE144" s="7"/>
      <c r="FRF144" s="7"/>
      <c r="FRG144" s="7"/>
      <c r="FRH144" s="7"/>
      <c r="FRI144" s="7"/>
      <c r="FRJ144" s="7"/>
      <c r="FRK144" s="7"/>
      <c r="FRL144" s="7"/>
      <c r="FRM144" s="7"/>
      <c r="FRN144" s="7"/>
      <c r="FRO144" s="7"/>
      <c r="FRP144" s="7"/>
      <c r="FRQ144" s="7"/>
      <c r="FRR144" s="7"/>
      <c r="FRS144" s="7"/>
      <c r="FRT144" s="7"/>
      <c r="FRU144" s="7"/>
      <c r="FRV144" s="7"/>
      <c r="FRW144" s="7"/>
      <c r="FRX144" s="7"/>
      <c r="FRY144" s="7"/>
      <c r="FRZ144" s="7"/>
      <c r="FSA144" s="7"/>
      <c r="FSB144" s="7"/>
      <c r="FSC144" s="7"/>
      <c r="FSD144" s="7"/>
      <c r="FSE144" s="7"/>
      <c r="FSF144" s="7"/>
      <c r="FSG144" s="7"/>
      <c r="FSH144" s="7"/>
      <c r="FSI144" s="7"/>
      <c r="FSJ144" s="7"/>
      <c r="FSK144" s="7"/>
      <c r="FSL144" s="7"/>
      <c r="FSM144" s="7"/>
      <c r="FSN144" s="7"/>
      <c r="FSO144" s="7"/>
      <c r="FSP144" s="7"/>
      <c r="FSQ144" s="7"/>
      <c r="FSR144" s="7"/>
      <c r="FSS144" s="7"/>
      <c r="FST144" s="7"/>
      <c r="FSU144" s="7"/>
      <c r="FSV144" s="7"/>
      <c r="FSW144" s="7"/>
      <c r="FSX144" s="7"/>
      <c r="FSY144" s="7"/>
      <c r="FSZ144" s="7"/>
      <c r="FTA144" s="7"/>
      <c r="FTB144" s="7"/>
      <c r="FTC144" s="7"/>
      <c r="FTD144" s="7"/>
      <c r="FTE144" s="7"/>
      <c r="FTF144" s="7"/>
      <c r="FTG144" s="7"/>
      <c r="FTH144" s="7"/>
      <c r="FTI144" s="7"/>
      <c r="FTJ144" s="7"/>
      <c r="FTK144" s="7"/>
      <c r="FTL144" s="7"/>
      <c r="FTM144" s="7"/>
      <c r="FTN144" s="7"/>
      <c r="FTO144" s="7"/>
      <c r="FTP144" s="7"/>
      <c r="FTQ144" s="7"/>
      <c r="FTR144" s="7"/>
      <c r="FTS144" s="7"/>
      <c r="FTT144" s="7"/>
      <c r="FTU144" s="7"/>
      <c r="FTV144" s="7"/>
      <c r="FTW144" s="7"/>
      <c r="FTX144" s="7"/>
      <c r="FTY144" s="7"/>
      <c r="FTZ144" s="7"/>
      <c r="FUA144" s="7"/>
      <c r="FUB144" s="7"/>
      <c r="FUC144" s="7"/>
      <c r="FUD144" s="7"/>
      <c r="FUE144" s="7"/>
      <c r="FUF144" s="7"/>
      <c r="FUG144" s="7"/>
      <c r="FUH144" s="7"/>
      <c r="FUI144" s="7"/>
      <c r="FUJ144" s="7"/>
      <c r="FUK144" s="7"/>
      <c r="FUL144" s="7"/>
      <c r="FUM144" s="7"/>
      <c r="FUN144" s="7"/>
      <c r="FUO144" s="7"/>
      <c r="FUP144" s="7"/>
      <c r="FUQ144" s="7"/>
      <c r="FUR144" s="7"/>
      <c r="FUS144" s="7"/>
      <c r="FUT144" s="7"/>
      <c r="FUU144" s="7"/>
      <c r="FUV144" s="7"/>
      <c r="FUW144" s="7"/>
      <c r="FUX144" s="7"/>
      <c r="FUY144" s="7"/>
      <c r="FUZ144" s="7"/>
      <c r="FVA144" s="7"/>
      <c r="FVB144" s="7"/>
      <c r="FVC144" s="7"/>
      <c r="FVD144" s="7"/>
      <c r="FVE144" s="7"/>
      <c r="FVF144" s="7"/>
      <c r="FVG144" s="7"/>
      <c r="FVH144" s="7"/>
      <c r="FVI144" s="7"/>
      <c r="FVJ144" s="7"/>
      <c r="FVK144" s="7"/>
      <c r="FVL144" s="7"/>
      <c r="FVM144" s="7"/>
      <c r="FVN144" s="7"/>
      <c r="FVO144" s="7"/>
      <c r="FVP144" s="7"/>
      <c r="FVQ144" s="7"/>
      <c r="FVR144" s="7"/>
      <c r="FVS144" s="7"/>
      <c r="FVT144" s="7"/>
      <c r="FVU144" s="7"/>
      <c r="FVV144" s="7"/>
      <c r="FVW144" s="7"/>
      <c r="FVX144" s="7"/>
      <c r="FVY144" s="7"/>
      <c r="FVZ144" s="7"/>
      <c r="FWA144" s="7"/>
      <c r="FWB144" s="7"/>
      <c r="FWC144" s="7"/>
      <c r="FWD144" s="7"/>
      <c r="FWE144" s="7"/>
      <c r="FWF144" s="7"/>
      <c r="FWG144" s="7"/>
      <c r="FWH144" s="7"/>
      <c r="FWI144" s="7"/>
      <c r="FWJ144" s="7"/>
      <c r="FWK144" s="7"/>
      <c r="FWL144" s="7"/>
      <c r="FWM144" s="7"/>
      <c r="FWN144" s="7"/>
      <c r="FWO144" s="7"/>
      <c r="FWP144" s="7"/>
      <c r="FWQ144" s="7"/>
      <c r="FWR144" s="7"/>
      <c r="FWS144" s="7"/>
      <c r="FWT144" s="7"/>
      <c r="FWU144" s="7"/>
      <c r="FWV144" s="7"/>
      <c r="FWW144" s="7"/>
      <c r="FWX144" s="7"/>
      <c r="FWY144" s="7"/>
      <c r="FWZ144" s="7"/>
      <c r="FXA144" s="7"/>
      <c r="FXB144" s="7"/>
      <c r="FXC144" s="7"/>
      <c r="FXD144" s="7"/>
      <c r="FXE144" s="7"/>
      <c r="FXF144" s="7"/>
      <c r="FXG144" s="7"/>
      <c r="FXH144" s="7"/>
      <c r="FXI144" s="7"/>
      <c r="FXJ144" s="7"/>
      <c r="FXK144" s="7"/>
      <c r="FXL144" s="7"/>
      <c r="FXM144" s="7"/>
      <c r="FXN144" s="7"/>
      <c r="FXO144" s="7"/>
      <c r="FXP144" s="7"/>
      <c r="FXQ144" s="7"/>
      <c r="FXR144" s="7"/>
      <c r="FXS144" s="7"/>
      <c r="FXT144" s="7"/>
      <c r="FXU144" s="7"/>
      <c r="FXV144" s="7"/>
      <c r="FXW144" s="7"/>
      <c r="FXX144" s="7"/>
      <c r="FXY144" s="7"/>
      <c r="FXZ144" s="7"/>
      <c r="FYA144" s="7"/>
      <c r="FYB144" s="7"/>
      <c r="FYC144" s="7"/>
      <c r="FYD144" s="7"/>
      <c r="FYE144" s="7"/>
      <c r="FYF144" s="7"/>
      <c r="FYG144" s="7"/>
      <c r="FYH144" s="7"/>
      <c r="FYI144" s="7"/>
      <c r="FYJ144" s="7"/>
      <c r="FYK144" s="7"/>
      <c r="FYL144" s="7"/>
      <c r="FYM144" s="7"/>
      <c r="FYN144" s="7"/>
      <c r="FYO144" s="7"/>
      <c r="FYP144" s="7"/>
      <c r="FYQ144" s="7"/>
      <c r="FYR144" s="7"/>
      <c r="FYS144" s="7"/>
      <c r="FYT144" s="7"/>
      <c r="FYU144" s="7"/>
      <c r="FYV144" s="7"/>
      <c r="FYW144" s="7"/>
      <c r="FYX144" s="7"/>
      <c r="FYY144" s="7"/>
      <c r="FYZ144" s="7"/>
      <c r="FZA144" s="7"/>
      <c r="FZB144" s="7"/>
      <c r="FZC144" s="7"/>
      <c r="FZD144" s="7"/>
      <c r="FZE144" s="7"/>
      <c r="FZF144" s="7"/>
      <c r="FZG144" s="7"/>
      <c r="FZH144" s="7"/>
      <c r="FZI144" s="7"/>
      <c r="FZJ144" s="7"/>
      <c r="FZK144" s="7"/>
      <c r="FZL144" s="7"/>
      <c r="FZM144" s="7"/>
      <c r="FZN144" s="7"/>
      <c r="FZO144" s="7"/>
      <c r="FZP144" s="7"/>
      <c r="FZQ144" s="7"/>
      <c r="FZR144" s="7"/>
      <c r="FZS144" s="7"/>
      <c r="FZT144" s="7"/>
      <c r="FZU144" s="7"/>
      <c r="FZV144" s="7"/>
      <c r="FZW144" s="7"/>
      <c r="FZX144" s="7"/>
      <c r="FZY144" s="7"/>
      <c r="FZZ144" s="7"/>
      <c r="GAA144" s="7"/>
      <c r="GAB144" s="7"/>
      <c r="GAC144" s="7"/>
      <c r="GAD144" s="7"/>
      <c r="GAE144" s="7"/>
      <c r="GAF144" s="7"/>
      <c r="GAG144" s="7"/>
      <c r="GAH144" s="7"/>
      <c r="GAI144" s="7"/>
      <c r="GAJ144" s="7"/>
      <c r="GAK144" s="7"/>
      <c r="GAL144" s="7"/>
      <c r="GAM144" s="7"/>
      <c r="GAN144" s="7"/>
      <c r="GAO144" s="7"/>
      <c r="GAP144" s="7"/>
      <c r="GAQ144" s="7"/>
      <c r="GAR144" s="7"/>
      <c r="GAS144" s="7"/>
      <c r="GAT144" s="7"/>
      <c r="GAU144" s="7"/>
      <c r="GAV144" s="7"/>
      <c r="GAW144" s="7"/>
      <c r="GAX144" s="7"/>
      <c r="GAY144" s="7"/>
      <c r="GAZ144" s="7"/>
      <c r="GBA144" s="7"/>
      <c r="GBB144" s="7"/>
      <c r="GBC144" s="7"/>
      <c r="GBD144" s="7"/>
      <c r="GBE144" s="7"/>
      <c r="GBF144" s="7"/>
      <c r="GBG144" s="7"/>
      <c r="GBH144" s="7"/>
      <c r="GBI144" s="7"/>
      <c r="GBJ144" s="7"/>
      <c r="GBK144" s="7"/>
      <c r="GBL144" s="7"/>
      <c r="GBM144" s="7"/>
      <c r="GBN144" s="7"/>
      <c r="GBO144" s="7"/>
      <c r="GBP144" s="7"/>
      <c r="GBQ144" s="7"/>
      <c r="GBR144" s="7"/>
      <c r="GBS144" s="7"/>
      <c r="GBT144" s="7"/>
      <c r="GBU144" s="7"/>
      <c r="GBV144" s="7"/>
      <c r="GBW144" s="7"/>
      <c r="GBX144" s="7"/>
      <c r="GBY144" s="7"/>
      <c r="GBZ144" s="7"/>
      <c r="GCA144" s="7"/>
      <c r="GCB144" s="7"/>
      <c r="GCC144" s="7"/>
      <c r="GCD144" s="7"/>
      <c r="GCE144" s="7"/>
      <c r="GCF144" s="7"/>
      <c r="GCG144" s="7"/>
      <c r="GCH144" s="7"/>
      <c r="GCI144" s="7"/>
      <c r="GCJ144" s="7"/>
      <c r="GCK144" s="7"/>
      <c r="GCL144" s="7"/>
      <c r="GCM144" s="7"/>
      <c r="GCN144" s="7"/>
      <c r="GCO144" s="7"/>
      <c r="GCP144" s="7"/>
      <c r="GCQ144" s="7"/>
      <c r="GCR144" s="7"/>
      <c r="GCS144" s="7"/>
      <c r="GCT144" s="7"/>
      <c r="GCU144" s="7"/>
      <c r="GCV144" s="7"/>
      <c r="GCW144" s="7"/>
      <c r="GCX144" s="7"/>
      <c r="GCY144" s="7"/>
      <c r="GCZ144" s="7"/>
      <c r="GDA144" s="7"/>
      <c r="GDB144" s="7"/>
      <c r="GDC144" s="7"/>
      <c r="GDD144" s="7"/>
      <c r="GDE144" s="7"/>
      <c r="GDF144" s="7"/>
      <c r="GDG144" s="7"/>
      <c r="GDH144" s="7"/>
      <c r="GDI144" s="7"/>
      <c r="GDJ144" s="7"/>
      <c r="GDK144" s="7"/>
      <c r="GDL144" s="7"/>
      <c r="GDM144" s="7"/>
      <c r="GDN144" s="7"/>
      <c r="GDO144" s="7"/>
      <c r="GDP144" s="7"/>
      <c r="GDQ144" s="7"/>
      <c r="GDR144" s="7"/>
      <c r="GDS144" s="7"/>
      <c r="GDT144" s="7"/>
      <c r="GDU144" s="7"/>
      <c r="GDV144" s="7"/>
      <c r="GDW144" s="7"/>
      <c r="GDX144" s="7"/>
      <c r="GDY144" s="7"/>
      <c r="GDZ144" s="7"/>
      <c r="GEA144" s="7"/>
      <c r="GEB144" s="7"/>
      <c r="GEC144" s="7"/>
      <c r="GED144" s="7"/>
      <c r="GEE144" s="7"/>
      <c r="GEF144" s="7"/>
      <c r="GEG144" s="7"/>
      <c r="GEH144" s="7"/>
      <c r="GEI144" s="7"/>
      <c r="GEJ144" s="7"/>
      <c r="GEK144" s="7"/>
      <c r="GEL144" s="7"/>
      <c r="GEM144" s="7"/>
      <c r="GEN144" s="7"/>
      <c r="GEO144" s="7"/>
      <c r="GEP144" s="7"/>
      <c r="GEQ144" s="7"/>
      <c r="GER144" s="7"/>
      <c r="GES144" s="7"/>
      <c r="GET144" s="7"/>
      <c r="GEU144" s="7"/>
      <c r="GEV144" s="7"/>
      <c r="GEW144" s="7"/>
      <c r="GEX144" s="7"/>
      <c r="GEY144" s="7"/>
      <c r="GEZ144" s="7"/>
      <c r="GFA144" s="7"/>
      <c r="GFB144" s="7"/>
      <c r="GFC144" s="7"/>
      <c r="GFD144" s="7"/>
      <c r="GFE144" s="7"/>
      <c r="GFF144" s="7"/>
      <c r="GFG144" s="7"/>
      <c r="GFH144" s="7"/>
      <c r="GFI144" s="7"/>
      <c r="GFJ144" s="7"/>
      <c r="GFK144" s="7"/>
      <c r="GFL144" s="7"/>
      <c r="GFM144" s="7"/>
      <c r="GFN144" s="7"/>
      <c r="GFO144" s="7"/>
      <c r="GFP144" s="7"/>
      <c r="GFQ144" s="7"/>
      <c r="GFR144" s="7"/>
      <c r="GFS144" s="7"/>
      <c r="GFT144" s="7"/>
      <c r="GFU144" s="7"/>
      <c r="GFV144" s="7"/>
      <c r="GFW144" s="7"/>
      <c r="GFX144" s="7"/>
      <c r="GFY144" s="7"/>
      <c r="GFZ144" s="7"/>
      <c r="GGA144" s="7"/>
      <c r="GGB144" s="7"/>
      <c r="GGC144" s="7"/>
      <c r="GGD144" s="7"/>
      <c r="GGE144" s="7"/>
      <c r="GGF144" s="7"/>
      <c r="GGG144" s="7"/>
      <c r="GGH144" s="7"/>
      <c r="GGI144" s="7"/>
      <c r="GGJ144" s="7"/>
      <c r="GGK144" s="7"/>
      <c r="GGL144" s="7"/>
      <c r="GGM144" s="7"/>
      <c r="GGN144" s="7"/>
      <c r="GGO144" s="7"/>
      <c r="GGP144" s="7"/>
      <c r="GGQ144" s="7"/>
      <c r="GGR144" s="7"/>
      <c r="GGS144" s="7"/>
      <c r="GGT144" s="7"/>
      <c r="GGU144" s="7"/>
      <c r="GGV144" s="7"/>
      <c r="GGW144" s="7"/>
      <c r="GGX144" s="7"/>
      <c r="GGY144" s="7"/>
      <c r="GGZ144" s="7"/>
      <c r="GHA144" s="7"/>
      <c r="GHB144" s="7"/>
      <c r="GHC144" s="7"/>
      <c r="GHD144" s="7"/>
      <c r="GHE144" s="7"/>
      <c r="GHF144" s="7"/>
      <c r="GHG144" s="7"/>
      <c r="GHH144" s="7"/>
      <c r="GHI144" s="7"/>
      <c r="GHJ144" s="7"/>
      <c r="GHK144" s="7"/>
      <c r="GHL144" s="7"/>
      <c r="GHM144" s="7"/>
      <c r="GHN144" s="7"/>
      <c r="GHO144" s="7"/>
      <c r="GHP144" s="7"/>
      <c r="GHQ144" s="7"/>
      <c r="GHR144" s="7"/>
      <c r="GHS144" s="7"/>
      <c r="GHT144" s="7"/>
      <c r="GHU144" s="7"/>
      <c r="GHV144" s="7"/>
      <c r="GHW144" s="7"/>
      <c r="GHX144" s="7"/>
      <c r="GHY144" s="7"/>
      <c r="GHZ144" s="7"/>
      <c r="GIA144" s="7"/>
      <c r="GIB144" s="7"/>
      <c r="GIC144" s="7"/>
      <c r="GID144" s="7"/>
      <c r="GIE144" s="7"/>
      <c r="GIF144" s="7"/>
      <c r="GIG144" s="7"/>
      <c r="GIH144" s="7"/>
      <c r="GII144" s="7"/>
      <c r="GIJ144" s="7"/>
      <c r="GIK144" s="7"/>
      <c r="GIL144" s="7"/>
      <c r="GIM144" s="7"/>
      <c r="GIN144" s="7"/>
      <c r="GIO144" s="7"/>
      <c r="GIP144" s="7"/>
      <c r="GIQ144" s="7"/>
      <c r="GIR144" s="7"/>
      <c r="GIS144" s="7"/>
      <c r="GIT144" s="7"/>
      <c r="GIU144" s="7"/>
      <c r="GIV144" s="7"/>
      <c r="GIW144" s="7"/>
      <c r="GIX144" s="7"/>
      <c r="GIY144" s="7"/>
      <c r="GIZ144" s="7"/>
      <c r="GJA144" s="7"/>
      <c r="GJB144" s="7"/>
      <c r="GJC144" s="7"/>
      <c r="GJD144" s="7"/>
      <c r="GJE144" s="7"/>
      <c r="GJF144" s="7"/>
      <c r="GJG144" s="7"/>
      <c r="GJH144" s="7"/>
      <c r="GJI144" s="7"/>
      <c r="GJJ144" s="7"/>
      <c r="GJK144" s="7"/>
      <c r="GJL144" s="7"/>
      <c r="GJM144" s="7"/>
      <c r="GJN144" s="7"/>
      <c r="GJO144" s="7"/>
      <c r="GJP144" s="7"/>
      <c r="GJQ144" s="7"/>
      <c r="GJR144" s="7"/>
      <c r="GJS144" s="7"/>
      <c r="GJT144" s="7"/>
      <c r="GJU144" s="7"/>
      <c r="GJV144" s="7"/>
      <c r="GJW144" s="7"/>
      <c r="GJX144" s="7"/>
      <c r="GJY144" s="7"/>
      <c r="GJZ144" s="7"/>
      <c r="GKA144" s="7"/>
      <c r="GKB144" s="7"/>
      <c r="GKC144" s="7"/>
      <c r="GKD144" s="7"/>
      <c r="GKE144" s="7"/>
      <c r="GKF144" s="7"/>
      <c r="GKG144" s="7"/>
      <c r="GKH144" s="7"/>
      <c r="GKI144" s="7"/>
      <c r="GKJ144" s="7"/>
      <c r="GKK144" s="7"/>
      <c r="GKL144" s="7"/>
      <c r="GKM144" s="7"/>
      <c r="GKN144" s="7"/>
      <c r="GKO144" s="7"/>
      <c r="GKP144" s="7"/>
      <c r="GKQ144" s="7"/>
      <c r="GKR144" s="7"/>
      <c r="GKS144" s="7"/>
      <c r="GKT144" s="7"/>
      <c r="GKU144" s="7"/>
      <c r="GKV144" s="7"/>
      <c r="GKW144" s="7"/>
      <c r="GKX144" s="7"/>
      <c r="GKY144" s="7"/>
      <c r="GKZ144" s="7"/>
      <c r="GLA144" s="7"/>
      <c r="GLB144" s="7"/>
      <c r="GLC144" s="7"/>
      <c r="GLD144" s="7"/>
      <c r="GLE144" s="7"/>
      <c r="GLF144" s="7"/>
      <c r="GLG144" s="7"/>
      <c r="GLH144" s="7"/>
      <c r="GLI144" s="7"/>
      <c r="GLJ144" s="7"/>
      <c r="GLK144" s="7"/>
      <c r="GLL144" s="7"/>
      <c r="GLM144" s="7"/>
      <c r="GLN144" s="7"/>
      <c r="GLO144" s="7"/>
      <c r="GLP144" s="7"/>
      <c r="GLQ144" s="7"/>
      <c r="GLR144" s="7"/>
      <c r="GLS144" s="7"/>
      <c r="GLT144" s="7"/>
      <c r="GLU144" s="7"/>
      <c r="GLV144" s="7"/>
      <c r="GLW144" s="7"/>
      <c r="GLX144" s="7"/>
      <c r="GLY144" s="7"/>
      <c r="GLZ144" s="7"/>
      <c r="GMA144" s="7"/>
      <c r="GMB144" s="7"/>
      <c r="GMC144" s="7"/>
      <c r="GMD144" s="7"/>
      <c r="GME144" s="7"/>
      <c r="GMF144" s="7"/>
      <c r="GMG144" s="7"/>
      <c r="GMH144" s="7"/>
      <c r="GMI144" s="7"/>
      <c r="GMJ144" s="7"/>
      <c r="GMK144" s="7"/>
      <c r="GML144" s="7"/>
      <c r="GMM144" s="7"/>
      <c r="GMN144" s="7"/>
      <c r="GMO144" s="7"/>
      <c r="GMP144" s="7"/>
      <c r="GMQ144" s="7"/>
      <c r="GMR144" s="7"/>
      <c r="GMS144" s="7"/>
      <c r="GMT144" s="7"/>
      <c r="GMU144" s="7"/>
      <c r="GMV144" s="7"/>
      <c r="GMW144" s="7"/>
      <c r="GMX144" s="7"/>
      <c r="GMY144" s="7"/>
      <c r="GMZ144" s="7"/>
      <c r="GNA144" s="7"/>
      <c r="GNB144" s="7"/>
      <c r="GNC144" s="7"/>
      <c r="GND144" s="7"/>
      <c r="GNE144" s="7"/>
      <c r="GNF144" s="7"/>
      <c r="GNG144" s="7"/>
      <c r="GNH144" s="7"/>
      <c r="GNI144" s="7"/>
      <c r="GNJ144" s="7"/>
      <c r="GNK144" s="7"/>
      <c r="GNL144" s="7"/>
      <c r="GNM144" s="7"/>
      <c r="GNN144" s="7"/>
      <c r="GNO144" s="7"/>
      <c r="GNP144" s="7"/>
      <c r="GNQ144" s="7"/>
      <c r="GNR144" s="7"/>
      <c r="GNS144" s="7"/>
      <c r="GNT144" s="7"/>
      <c r="GNU144" s="7"/>
      <c r="GNV144" s="7"/>
      <c r="GNW144" s="7"/>
      <c r="GNX144" s="7"/>
      <c r="GNY144" s="7"/>
      <c r="GNZ144" s="7"/>
      <c r="GOA144" s="7"/>
      <c r="GOB144" s="7"/>
      <c r="GOC144" s="7"/>
      <c r="GOD144" s="7"/>
      <c r="GOE144" s="7"/>
      <c r="GOF144" s="7"/>
      <c r="GOG144" s="7"/>
      <c r="GOH144" s="7"/>
      <c r="GOI144" s="7"/>
      <c r="GOJ144" s="7"/>
      <c r="GOK144" s="7"/>
      <c r="GOL144" s="7"/>
      <c r="GOM144" s="7"/>
      <c r="GON144" s="7"/>
      <c r="GOO144" s="7"/>
      <c r="GOP144" s="7"/>
      <c r="GOQ144" s="7"/>
      <c r="GOR144" s="7"/>
      <c r="GOS144" s="7"/>
      <c r="GOT144" s="7"/>
      <c r="GOU144" s="7"/>
      <c r="GOV144" s="7"/>
      <c r="GOW144" s="7"/>
      <c r="GOX144" s="7"/>
      <c r="GOY144" s="7"/>
      <c r="GOZ144" s="7"/>
      <c r="GPA144" s="7"/>
      <c r="GPB144" s="7"/>
      <c r="GPC144" s="7"/>
      <c r="GPD144" s="7"/>
      <c r="GPE144" s="7"/>
      <c r="GPF144" s="7"/>
      <c r="GPG144" s="7"/>
      <c r="GPH144" s="7"/>
      <c r="GPI144" s="7"/>
      <c r="GPJ144" s="7"/>
      <c r="GPK144" s="7"/>
      <c r="GPL144" s="7"/>
      <c r="GPM144" s="7"/>
      <c r="GPN144" s="7"/>
      <c r="GPO144" s="7"/>
      <c r="GPP144" s="7"/>
      <c r="GPQ144" s="7"/>
      <c r="GPR144" s="7"/>
      <c r="GPS144" s="7"/>
      <c r="GPT144" s="7"/>
      <c r="GPU144" s="7"/>
      <c r="GPV144" s="7"/>
      <c r="GPW144" s="7"/>
      <c r="GPX144" s="7"/>
      <c r="GPY144" s="7"/>
      <c r="GPZ144" s="7"/>
      <c r="GQA144" s="7"/>
      <c r="GQB144" s="7"/>
      <c r="GQC144" s="7"/>
      <c r="GQD144" s="7"/>
      <c r="GQE144" s="7"/>
      <c r="GQF144" s="7"/>
      <c r="GQG144" s="7"/>
      <c r="GQH144" s="7"/>
      <c r="GQI144" s="7"/>
      <c r="GQJ144" s="7"/>
      <c r="GQK144" s="7"/>
      <c r="GQL144" s="7"/>
      <c r="GQM144" s="7"/>
      <c r="GQN144" s="7"/>
      <c r="GQO144" s="7"/>
      <c r="GQP144" s="7"/>
      <c r="GQQ144" s="7"/>
      <c r="GQR144" s="7"/>
      <c r="GQS144" s="7"/>
      <c r="GQT144" s="7"/>
      <c r="GQU144" s="7"/>
      <c r="GQV144" s="7"/>
      <c r="GQW144" s="7"/>
      <c r="GQX144" s="7"/>
      <c r="GQY144" s="7"/>
      <c r="GQZ144" s="7"/>
      <c r="GRA144" s="7"/>
      <c r="GRB144" s="7"/>
      <c r="GRC144" s="7"/>
      <c r="GRD144" s="7"/>
      <c r="GRE144" s="7"/>
      <c r="GRF144" s="7"/>
      <c r="GRG144" s="7"/>
      <c r="GRH144" s="7"/>
      <c r="GRI144" s="7"/>
      <c r="GRJ144" s="7"/>
      <c r="GRK144" s="7"/>
      <c r="GRL144" s="7"/>
      <c r="GRM144" s="7"/>
      <c r="GRN144" s="7"/>
      <c r="GRO144" s="7"/>
      <c r="GRP144" s="7"/>
      <c r="GRQ144" s="7"/>
      <c r="GRR144" s="7"/>
      <c r="GRS144" s="7"/>
      <c r="GRT144" s="7"/>
      <c r="GRU144" s="7"/>
      <c r="GRV144" s="7"/>
      <c r="GRW144" s="7"/>
      <c r="GRX144" s="7"/>
      <c r="GRY144" s="7"/>
      <c r="GRZ144" s="7"/>
      <c r="GSA144" s="7"/>
      <c r="GSB144" s="7"/>
      <c r="GSC144" s="7"/>
      <c r="GSD144" s="7"/>
      <c r="GSE144" s="7"/>
      <c r="GSF144" s="7"/>
      <c r="GSG144" s="7"/>
      <c r="GSH144" s="7"/>
      <c r="GSI144" s="7"/>
      <c r="GSJ144" s="7"/>
      <c r="GSK144" s="7"/>
      <c r="GSL144" s="7"/>
      <c r="GSM144" s="7"/>
      <c r="GSN144" s="7"/>
      <c r="GSO144" s="7"/>
      <c r="GSP144" s="7"/>
      <c r="GSQ144" s="7"/>
      <c r="GSR144" s="7"/>
      <c r="GSS144" s="7"/>
      <c r="GST144" s="7"/>
      <c r="GSU144" s="7"/>
      <c r="GSV144" s="7"/>
      <c r="GSW144" s="7"/>
      <c r="GSX144" s="7"/>
      <c r="GSY144" s="7"/>
      <c r="GSZ144" s="7"/>
      <c r="GTA144" s="7"/>
      <c r="GTB144" s="7"/>
      <c r="GTC144" s="7"/>
      <c r="GTD144" s="7"/>
      <c r="GTE144" s="7"/>
      <c r="GTF144" s="7"/>
      <c r="GTG144" s="7"/>
      <c r="GTH144" s="7"/>
      <c r="GTI144" s="7"/>
      <c r="GTJ144" s="7"/>
      <c r="GTK144" s="7"/>
      <c r="GTL144" s="7"/>
      <c r="GTM144" s="7"/>
      <c r="GTN144" s="7"/>
      <c r="GTO144" s="7"/>
      <c r="GTP144" s="7"/>
      <c r="GTQ144" s="7"/>
      <c r="GTR144" s="7"/>
      <c r="GTS144" s="7"/>
      <c r="GTT144" s="7"/>
      <c r="GTU144" s="7"/>
      <c r="GTV144" s="7"/>
      <c r="GTW144" s="7"/>
      <c r="GTX144" s="7"/>
      <c r="GTY144" s="7"/>
      <c r="GTZ144" s="7"/>
      <c r="GUA144" s="7"/>
      <c r="GUB144" s="7"/>
      <c r="GUC144" s="7"/>
      <c r="GUD144" s="7"/>
      <c r="GUE144" s="7"/>
      <c r="GUF144" s="7"/>
      <c r="GUG144" s="7"/>
      <c r="GUH144" s="7"/>
      <c r="GUI144" s="7"/>
      <c r="GUJ144" s="7"/>
      <c r="GUK144" s="7"/>
      <c r="GUL144" s="7"/>
      <c r="GUM144" s="7"/>
      <c r="GUN144" s="7"/>
      <c r="GUO144" s="7"/>
      <c r="GUP144" s="7"/>
      <c r="GUQ144" s="7"/>
      <c r="GUR144" s="7"/>
      <c r="GUS144" s="7"/>
      <c r="GUT144" s="7"/>
      <c r="GUU144" s="7"/>
      <c r="GUV144" s="7"/>
      <c r="GUW144" s="7"/>
      <c r="GUX144" s="7"/>
      <c r="GUY144" s="7"/>
      <c r="GUZ144" s="7"/>
      <c r="GVA144" s="7"/>
      <c r="GVB144" s="7"/>
      <c r="GVC144" s="7"/>
      <c r="GVD144" s="7"/>
      <c r="GVE144" s="7"/>
      <c r="GVF144" s="7"/>
      <c r="GVG144" s="7"/>
      <c r="GVH144" s="7"/>
      <c r="GVI144" s="7"/>
      <c r="GVJ144" s="7"/>
      <c r="GVK144" s="7"/>
      <c r="GVL144" s="7"/>
      <c r="GVM144" s="7"/>
      <c r="GVN144" s="7"/>
      <c r="GVO144" s="7"/>
      <c r="GVP144" s="7"/>
      <c r="GVQ144" s="7"/>
      <c r="GVR144" s="7"/>
      <c r="GVS144" s="7"/>
      <c r="GVT144" s="7"/>
      <c r="GVU144" s="7"/>
      <c r="GVV144" s="7"/>
      <c r="GVW144" s="7"/>
      <c r="GVX144" s="7"/>
      <c r="GVY144" s="7"/>
      <c r="GVZ144" s="7"/>
      <c r="GWA144" s="7"/>
      <c r="GWB144" s="7"/>
      <c r="GWC144" s="7"/>
      <c r="GWD144" s="7"/>
      <c r="GWE144" s="7"/>
      <c r="GWF144" s="7"/>
      <c r="GWG144" s="7"/>
      <c r="GWH144" s="7"/>
      <c r="GWI144" s="7"/>
      <c r="GWJ144" s="7"/>
      <c r="GWK144" s="7"/>
      <c r="GWL144" s="7"/>
      <c r="GWM144" s="7"/>
      <c r="GWN144" s="7"/>
      <c r="GWO144" s="7"/>
      <c r="GWP144" s="7"/>
      <c r="GWQ144" s="7"/>
      <c r="GWR144" s="7"/>
      <c r="GWS144" s="7"/>
      <c r="GWT144" s="7"/>
      <c r="GWU144" s="7"/>
      <c r="GWV144" s="7"/>
      <c r="GWW144" s="7"/>
      <c r="GWX144" s="7"/>
      <c r="GWY144" s="7"/>
      <c r="GWZ144" s="7"/>
      <c r="GXA144" s="7"/>
      <c r="GXB144" s="7"/>
      <c r="GXC144" s="7"/>
      <c r="GXD144" s="7"/>
      <c r="GXE144" s="7"/>
      <c r="GXF144" s="7"/>
      <c r="GXG144" s="7"/>
      <c r="GXH144" s="7"/>
      <c r="GXI144" s="7"/>
      <c r="GXJ144" s="7"/>
      <c r="GXK144" s="7"/>
      <c r="GXL144" s="7"/>
      <c r="GXM144" s="7"/>
      <c r="GXN144" s="7"/>
      <c r="GXO144" s="7"/>
      <c r="GXP144" s="7"/>
      <c r="GXQ144" s="7"/>
      <c r="GXR144" s="7"/>
      <c r="GXS144" s="7"/>
      <c r="GXT144" s="7"/>
      <c r="GXU144" s="7"/>
      <c r="GXV144" s="7"/>
      <c r="GXW144" s="7"/>
      <c r="GXX144" s="7"/>
      <c r="GXY144" s="7"/>
      <c r="GXZ144" s="7"/>
      <c r="GYA144" s="7"/>
      <c r="GYB144" s="7"/>
      <c r="GYC144" s="7"/>
      <c r="GYD144" s="7"/>
      <c r="GYE144" s="7"/>
      <c r="GYF144" s="7"/>
      <c r="GYG144" s="7"/>
      <c r="GYH144" s="7"/>
      <c r="GYI144" s="7"/>
      <c r="GYJ144" s="7"/>
      <c r="GYK144" s="7"/>
      <c r="GYL144" s="7"/>
      <c r="GYM144" s="7"/>
      <c r="GYN144" s="7"/>
      <c r="GYO144" s="7"/>
      <c r="GYP144" s="7"/>
      <c r="GYQ144" s="7"/>
      <c r="GYR144" s="7"/>
      <c r="GYS144" s="7"/>
      <c r="GYT144" s="7"/>
      <c r="GYU144" s="7"/>
      <c r="GYV144" s="7"/>
      <c r="GYW144" s="7"/>
      <c r="GYX144" s="7"/>
      <c r="GYY144" s="7"/>
      <c r="GYZ144" s="7"/>
      <c r="GZA144" s="7"/>
      <c r="GZB144" s="7"/>
      <c r="GZC144" s="7"/>
      <c r="GZD144" s="7"/>
      <c r="GZE144" s="7"/>
      <c r="GZF144" s="7"/>
      <c r="GZG144" s="7"/>
      <c r="GZH144" s="7"/>
      <c r="GZI144" s="7"/>
      <c r="GZJ144" s="7"/>
      <c r="GZK144" s="7"/>
      <c r="GZL144" s="7"/>
      <c r="GZM144" s="7"/>
      <c r="GZN144" s="7"/>
      <c r="GZO144" s="7"/>
      <c r="GZP144" s="7"/>
      <c r="GZQ144" s="7"/>
      <c r="GZR144" s="7"/>
      <c r="GZS144" s="7"/>
      <c r="GZT144" s="7"/>
      <c r="GZU144" s="7"/>
      <c r="GZV144" s="7"/>
      <c r="GZW144" s="7"/>
      <c r="GZX144" s="7"/>
      <c r="GZY144" s="7"/>
      <c r="GZZ144" s="7"/>
      <c r="HAA144" s="7"/>
      <c r="HAB144" s="7"/>
      <c r="HAC144" s="7"/>
      <c r="HAD144" s="7"/>
      <c r="HAE144" s="7"/>
      <c r="HAF144" s="7"/>
      <c r="HAG144" s="7"/>
      <c r="HAH144" s="7"/>
      <c r="HAI144" s="7"/>
      <c r="HAJ144" s="7"/>
      <c r="HAK144" s="7"/>
      <c r="HAL144" s="7"/>
      <c r="HAM144" s="7"/>
      <c r="HAN144" s="7"/>
      <c r="HAO144" s="7"/>
      <c r="HAP144" s="7"/>
      <c r="HAQ144" s="7"/>
      <c r="HAR144" s="7"/>
      <c r="HAS144" s="7"/>
      <c r="HAT144" s="7"/>
      <c r="HAU144" s="7"/>
      <c r="HAV144" s="7"/>
      <c r="HAW144" s="7"/>
      <c r="HAX144" s="7"/>
      <c r="HAY144" s="7"/>
      <c r="HAZ144" s="7"/>
      <c r="HBA144" s="7"/>
      <c r="HBB144" s="7"/>
      <c r="HBC144" s="7"/>
      <c r="HBD144" s="7"/>
      <c r="HBE144" s="7"/>
      <c r="HBF144" s="7"/>
      <c r="HBG144" s="7"/>
      <c r="HBH144" s="7"/>
      <c r="HBI144" s="7"/>
      <c r="HBJ144" s="7"/>
      <c r="HBK144" s="7"/>
      <c r="HBL144" s="7"/>
      <c r="HBM144" s="7"/>
      <c r="HBN144" s="7"/>
      <c r="HBO144" s="7"/>
      <c r="HBP144" s="7"/>
      <c r="HBQ144" s="7"/>
      <c r="HBR144" s="7"/>
      <c r="HBS144" s="7"/>
      <c r="HBT144" s="7"/>
      <c r="HBU144" s="7"/>
      <c r="HBV144" s="7"/>
      <c r="HBW144" s="7"/>
      <c r="HBX144" s="7"/>
      <c r="HBY144" s="7"/>
      <c r="HBZ144" s="7"/>
      <c r="HCA144" s="7"/>
      <c r="HCB144" s="7"/>
      <c r="HCC144" s="7"/>
      <c r="HCD144" s="7"/>
      <c r="HCE144" s="7"/>
      <c r="HCF144" s="7"/>
      <c r="HCG144" s="7"/>
      <c r="HCH144" s="7"/>
      <c r="HCI144" s="7"/>
      <c r="HCJ144" s="7"/>
      <c r="HCK144" s="7"/>
      <c r="HCL144" s="7"/>
      <c r="HCM144" s="7"/>
      <c r="HCN144" s="7"/>
      <c r="HCO144" s="7"/>
      <c r="HCP144" s="7"/>
      <c r="HCQ144" s="7"/>
      <c r="HCR144" s="7"/>
      <c r="HCS144" s="7"/>
      <c r="HCT144" s="7"/>
      <c r="HCU144" s="7"/>
      <c r="HCV144" s="7"/>
      <c r="HCW144" s="7"/>
      <c r="HCX144" s="7"/>
      <c r="HCY144" s="7"/>
      <c r="HCZ144" s="7"/>
      <c r="HDA144" s="7"/>
      <c r="HDB144" s="7"/>
      <c r="HDC144" s="7"/>
      <c r="HDD144" s="7"/>
      <c r="HDE144" s="7"/>
      <c r="HDF144" s="7"/>
      <c r="HDG144" s="7"/>
      <c r="HDH144" s="7"/>
      <c r="HDI144" s="7"/>
      <c r="HDJ144" s="7"/>
      <c r="HDK144" s="7"/>
      <c r="HDL144" s="7"/>
      <c r="HDM144" s="7"/>
      <c r="HDN144" s="7"/>
      <c r="HDO144" s="7"/>
      <c r="HDP144" s="7"/>
      <c r="HDQ144" s="7"/>
      <c r="HDR144" s="7"/>
      <c r="HDS144" s="7"/>
      <c r="HDT144" s="7"/>
      <c r="HDU144" s="7"/>
      <c r="HDV144" s="7"/>
      <c r="HDW144" s="7"/>
      <c r="HDX144" s="7"/>
      <c r="HDY144" s="7"/>
      <c r="HDZ144" s="7"/>
      <c r="HEA144" s="7"/>
      <c r="HEB144" s="7"/>
      <c r="HEC144" s="7"/>
      <c r="HED144" s="7"/>
      <c r="HEE144" s="7"/>
      <c r="HEF144" s="7"/>
      <c r="HEG144" s="7"/>
      <c r="HEH144" s="7"/>
      <c r="HEI144" s="7"/>
      <c r="HEJ144" s="7"/>
      <c r="HEK144" s="7"/>
      <c r="HEL144" s="7"/>
      <c r="HEM144" s="7"/>
      <c r="HEN144" s="7"/>
      <c r="HEO144" s="7"/>
      <c r="HEP144" s="7"/>
      <c r="HEQ144" s="7"/>
      <c r="HER144" s="7"/>
      <c r="HES144" s="7"/>
      <c r="HET144" s="7"/>
      <c r="HEU144" s="7"/>
      <c r="HEV144" s="7"/>
      <c r="HEW144" s="7"/>
      <c r="HEX144" s="7"/>
      <c r="HEY144" s="7"/>
      <c r="HEZ144" s="7"/>
      <c r="HFA144" s="7"/>
      <c r="HFB144" s="7"/>
      <c r="HFC144" s="7"/>
      <c r="HFD144" s="7"/>
      <c r="HFE144" s="7"/>
      <c r="HFF144" s="7"/>
      <c r="HFG144" s="7"/>
      <c r="HFH144" s="7"/>
      <c r="HFI144" s="7"/>
      <c r="HFJ144" s="7"/>
      <c r="HFK144" s="7"/>
      <c r="HFL144" s="7"/>
      <c r="HFM144" s="7"/>
      <c r="HFN144" s="7"/>
      <c r="HFO144" s="7"/>
      <c r="HFP144" s="7"/>
      <c r="HFQ144" s="7"/>
      <c r="HFR144" s="7"/>
      <c r="HFS144" s="7"/>
      <c r="HFT144" s="7"/>
      <c r="HFU144" s="7"/>
      <c r="HFV144" s="7"/>
      <c r="HFW144" s="7"/>
      <c r="HFX144" s="7"/>
      <c r="HFY144" s="7"/>
      <c r="HFZ144" s="7"/>
      <c r="HGA144" s="7"/>
      <c r="HGB144" s="7"/>
      <c r="HGC144" s="7"/>
      <c r="HGD144" s="7"/>
      <c r="HGE144" s="7"/>
      <c r="HGF144" s="7"/>
      <c r="HGG144" s="7"/>
      <c r="HGH144" s="7"/>
      <c r="HGI144" s="7"/>
      <c r="HGJ144" s="7"/>
      <c r="HGK144" s="7"/>
      <c r="HGL144" s="7"/>
      <c r="HGM144" s="7"/>
      <c r="HGN144" s="7"/>
      <c r="HGO144" s="7"/>
      <c r="HGP144" s="7"/>
      <c r="HGQ144" s="7"/>
      <c r="HGR144" s="7"/>
      <c r="HGS144" s="7"/>
      <c r="HGT144" s="7"/>
      <c r="HGU144" s="7"/>
      <c r="HGV144" s="7"/>
      <c r="HGW144" s="7"/>
      <c r="HGX144" s="7"/>
      <c r="HGY144" s="7"/>
      <c r="HGZ144" s="7"/>
      <c r="HHA144" s="7"/>
      <c r="HHB144" s="7"/>
      <c r="HHC144" s="7"/>
      <c r="HHD144" s="7"/>
      <c r="HHE144" s="7"/>
      <c r="HHF144" s="7"/>
      <c r="HHG144" s="7"/>
      <c r="HHH144" s="7"/>
      <c r="HHI144" s="7"/>
      <c r="HHJ144" s="7"/>
      <c r="HHK144" s="7"/>
      <c r="HHL144" s="7"/>
      <c r="HHM144" s="7"/>
      <c r="HHN144" s="7"/>
      <c r="HHO144" s="7"/>
      <c r="HHP144" s="7"/>
      <c r="HHQ144" s="7"/>
      <c r="HHR144" s="7"/>
      <c r="HHS144" s="7"/>
      <c r="HHT144" s="7"/>
      <c r="HHU144" s="7"/>
      <c r="HHV144" s="7"/>
      <c r="HHW144" s="7"/>
      <c r="HHX144" s="7"/>
      <c r="HHY144" s="7"/>
      <c r="HHZ144" s="7"/>
      <c r="HIA144" s="7"/>
      <c r="HIB144" s="7"/>
      <c r="HIC144" s="7"/>
      <c r="HID144" s="7"/>
      <c r="HIE144" s="7"/>
      <c r="HIF144" s="7"/>
      <c r="HIG144" s="7"/>
      <c r="HIH144" s="7"/>
      <c r="HII144" s="7"/>
      <c r="HIJ144" s="7"/>
      <c r="HIK144" s="7"/>
      <c r="HIL144" s="7"/>
      <c r="HIM144" s="7"/>
      <c r="HIN144" s="7"/>
      <c r="HIO144" s="7"/>
      <c r="HIP144" s="7"/>
      <c r="HIQ144" s="7"/>
      <c r="HIR144" s="7"/>
      <c r="HIS144" s="7"/>
      <c r="HIT144" s="7"/>
      <c r="HIU144" s="7"/>
      <c r="HIV144" s="7"/>
      <c r="HIW144" s="7"/>
      <c r="HIX144" s="7"/>
      <c r="HIY144" s="7"/>
      <c r="HIZ144" s="7"/>
      <c r="HJA144" s="7"/>
      <c r="HJB144" s="7"/>
      <c r="HJC144" s="7"/>
      <c r="HJD144" s="7"/>
      <c r="HJE144" s="7"/>
      <c r="HJF144" s="7"/>
      <c r="HJG144" s="7"/>
      <c r="HJH144" s="7"/>
      <c r="HJI144" s="7"/>
      <c r="HJJ144" s="7"/>
      <c r="HJK144" s="7"/>
      <c r="HJL144" s="7"/>
      <c r="HJM144" s="7"/>
      <c r="HJN144" s="7"/>
      <c r="HJO144" s="7"/>
      <c r="HJP144" s="7"/>
      <c r="HJQ144" s="7"/>
      <c r="HJR144" s="7"/>
      <c r="HJS144" s="7"/>
      <c r="HJT144" s="7"/>
      <c r="HJU144" s="7"/>
      <c r="HJV144" s="7"/>
      <c r="HJW144" s="7"/>
      <c r="HJX144" s="7"/>
      <c r="HJY144" s="7"/>
      <c r="HJZ144" s="7"/>
      <c r="HKA144" s="7"/>
      <c r="HKB144" s="7"/>
      <c r="HKC144" s="7"/>
      <c r="HKD144" s="7"/>
      <c r="HKE144" s="7"/>
      <c r="HKF144" s="7"/>
      <c r="HKG144" s="7"/>
      <c r="HKH144" s="7"/>
      <c r="HKI144" s="7"/>
      <c r="HKJ144" s="7"/>
      <c r="HKK144" s="7"/>
      <c r="HKL144" s="7"/>
      <c r="HKM144" s="7"/>
      <c r="HKN144" s="7"/>
      <c r="HKO144" s="7"/>
      <c r="HKP144" s="7"/>
      <c r="HKQ144" s="7"/>
      <c r="HKR144" s="7"/>
      <c r="HKS144" s="7"/>
      <c r="HKT144" s="7"/>
      <c r="HKU144" s="7"/>
      <c r="HKV144" s="7"/>
      <c r="HKW144" s="7"/>
      <c r="HKX144" s="7"/>
      <c r="HKY144" s="7"/>
      <c r="HKZ144" s="7"/>
      <c r="HLA144" s="7"/>
      <c r="HLB144" s="7"/>
      <c r="HLC144" s="7"/>
      <c r="HLD144" s="7"/>
      <c r="HLE144" s="7"/>
      <c r="HLF144" s="7"/>
      <c r="HLG144" s="7"/>
      <c r="HLH144" s="7"/>
      <c r="HLI144" s="7"/>
      <c r="HLJ144" s="7"/>
      <c r="HLK144" s="7"/>
      <c r="HLL144" s="7"/>
      <c r="HLM144" s="7"/>
      <c r="HLN144" s="7"/>
      <c r="HLO144" s="7"/>
      <c r="HLP144" s="7"/>
      <c r="HLQ144" s="7"/>
      <c r="HLR144" s="7"/>
      <c r="HLS144" s="7"/>
      <c r="HLT144" s="7"/>
      <c r="HLU144" s="7"/>
      <c r="HLV144" s="7"/>
      <c r="HLW144" s="7"/>
      <c r="HLX144" s="7"/>
      <c r="HLY144" s="7"/>
      <c r="HLZ144" s="7"/>
      <c r="HMA144" s="7"/>
      <c r="HMB144" s="7"/>
      <c r="HMC144" s="7"/>
      <c r="HMD144" s="7"/>
      <c r="HME144" s="7"/>
      <c r="HMF144" s="7"/>
      <c r="HMG144" s="7"/>
      <c r="HMH144" s="7"/>
      <c r="HMI144" s="7"/>
      <c r="HMJ144" s="7"/>
      <c r="HMK144" s="7"/>
      <c r="HML144" s="7"/>
      <c r="HMM144" s="7"/>
      <c r="HMN144" s="7"/>
      <c r="HMO144" s="7"/>
      <c r="HMP144" s="7"/>
      <c r="HMQ144" s="7"/>
      <c r="HMR144" s="7"/>
      <c r="HMS144" s="7"/>
      <c r="HMT144" s="7"/>
      <c r="HMU144" s="7"/>
      <c r="HMV144" s="7"/>
      <c r="HMW144" s="7"/>
      <c r="HMX144" s="7"/>
      <c r="HMY144" s="7"/>
      <c r="HMZ144" s="7"/>
      <c r="HNA144" s="7"/>
      <c r="HNB144" s="7"/>
      <c r="HNC144" s="7"/>
      <c r="HND144" s="7"/>
      <c r="HNE144" s="7"/>
      <c r="HNF144" s="7"/>
      <c r="HNG144" s="7"/>
      <c r="HNH144" s="7"/>
      <c r="HNI144" s="7"/>
      <c r="HNJ144" s="7"/>
      <c r="HNK144" s="7"/>
      <c r="HNL144" s="7"/>
      <c r="HNM144" s="7"/>
      <c r="HNN144" s="7"/>
      <c r="HNO144" s="7"/>
      <c r="HNP144" s="7"/>
      <c r="HNQ144" s="7"/>
      <c r="HNR144" s="7"/>
      <c r="HNS144" s="7"/>
      <c r="HNT144" s="7"/>
      <c r="HNU144" s="7"/>
      <c r="HNV144" s="7"/>
      <c r="HNW144" s="7"/>
      <c r="HNX144" s="7"/>
      <c r="HNY144" s="7"/>
      <c r="HNZ144" s="7"/>
      <c r="HOA144" s="7"/>
      <c r="HOB144" s="7"/>
      <c r="HOC144" s="7"/>
      <c r="HOD144" s="7"/>
      <c r="HOE144" s="7"/>
      <c r="HOF144" s="7"/>
      <c r="HOG144" s="7"/>
      <c r="HOH144" s="7"/>
      <c r="HOI144" s="7"/>
      <c r="HOJ144" s="7"/>
      <c r="HOK144" s="7"/>
      <c r="HOL144" s="7"/>
      <c r="HOM144" s="7"/>
      <c r="HON144" s="7"/>
      <c r="HOO144" s="7"/>
      <c r="HOP144" s="7"/>
      <c r="HOQ144" s="7"/>
      <c r="HOR144" s="7"/>
      <c r="HOS144" s="7"/>
      <c r="HOT144" s="7"/>
      <c r="HOU144" s="7"/>
      <c r="HOV144" s="7"/>
      <c r="HOW144" s="7"/>
      <c r="HOX144" s="7"/>
      <c r="HOY144" s="7"/>
      <c r="HOZ144" s="7"/>
      <c r="HPA144" s="7"/>
      <c r="HPB144" s="7"/>
      <c r="HPC144" s="7"/>
      <c r="HPD144" s="7"/>
      <c r="HPE144" s="7"/>
      <c r="HPF144" s="7"/>
      <c r="HPG144" s="7"/>
      <c r="HPH144" s="7"/>
      <c r="HPI144" s="7"/>
      <c r="HPJ144" s="7"/>
      <c r="HPK144" s="7"/>
      <c r="HPL144" s="7"/>
      <c r="HPM144" s="7"/>
      <c r="HPN144" s="7"/>
      <c r="HPO144" s="7"/>
      <c r="HPP144" s="7"/>
      <c r="HPQ144" s="7"/>
      <c r="HPR144" s="7"/>
      <c r="HPS144" s="7"/>
      <c r="HPT144" s="7"/>
      <c r="HPU144" s="7"/>
      <c r="HPV144" s="7"/>
      <c r="HPW144" s="7"/>
      <c r="HPX144" s="7"/>
      <c r="HPY144" s="7"/>
      <c r="HPZ144" s="7"/>
      <c r="HQA144" s="7"/>
      <c r="HQB144" s="7"/>
      <c r="HQC144" s="7"/>
      <c r="HQD144" s="7"/>
      <c r="HQE144" s="7"/>
      <c r="HQF144" s="7"/>
      <c r="HQG144" s="7"/>
      <c r="HQH144" s="7"/>
      <c r="HQI144" s="7"/>
      <c r="HQJ144" s="7"/>
      <c r="HQK144" s="7"/>
      <c r="HQL144" s="7"/>
      <c r="HQM144" s="7"/>
      <c r="HQN144" s="7"/>
      <c r="HQO144" s="7"/>
      <c r="HQP144" s="7"/>
      <c r="HQQ144" s="7"/>
      <c r="HQR144" s="7"/>
      <c r="HQS144" s="7"/>
      <c r="HQT144" s="7"/>
      <c r="HQU144" s="7"/>
      <c r="HQV144" s="7"/>
      <c r="HQW144" s="7"/>
      <c r="HQX144" s="7"/>
      <c r="HQY144" s="7"/>
      <c r="HQZ144" s="7"/>
      <c r="HRA144" s="7"/>
      <c r="HRB144" s="7"/>
      <c r="HRC144" s="7"/>
      <c r="HRD144" s="7"/>
      <c r="HRE144" s="7"/>
      <c r="HRF144" s="7"/>
      <c r="HRG144" s="7"/>
      <c r="HRH144" s="7"/>
      <c r="HRI144" s="7"/>
      <c r="HRJ144" s="7"/>
      <c r="HRK144" s="7"/>
      <c r="HRL144" s="7"/>
      <c r="HRM144" s="7"/>
      <c r="HRN144" s="7"/>
      <c r="HRO144" s="7"/>
      <c r="HRP144" s="7"/>
      <c r="HRQ144" s="7"/>
      <c r="HRR144" s="7"/>
      <c r="HRS144" s="7"/>
      <c r="HRT144" s="7"/>
      <c r="HRU144" s="7"/>
      <c r="HRV144" s="7"/>
      <c r="HRW144" s="7"/>
      <c r="HRX144" s="7"/>
      <c r="HRY144" s="7"/>
      <c r="HRZ144" s="7"/>
      <c r="HSA144" s="7"/>
      <c r="HSB144" s="7"/>
      <c r="HSC144" s="7"/>
      <c r="HSD144" s="7"/>
      <c r="HSE144" s="7"/>
      <c r="HSF144" s="7"/>
      <c r="HSG144" s="7"/>
      <c r="HSH144" s="7"/>
      <c r="HSI144" s="7"/>
      <c r="HSJ144" s="7"/>
      <c r="HSK144" s="7"/>
      <c r="HSL144" s="7"/>
      <c r="HSM144" s="7"/>
      <c r="HSN144" s="7"/>
      <c r="HSO144" s="7"/>
      <c r="HSP144" s="7"/>
      <c r="HSQ144" s="7"/>
      <c r="HSR144" s="7"/>
      <c r="HSS144" s="7"/>
      <c r="HST144" s="7"/>
      <c r="HSU144" s="7"/>
      <c r="HSV144" s="7"/>
      <c r="HSW144" s="7"/>
      <c r="HSX144" s="7"/>
      <c r="HSY144" s="7"/>
      <c r="HSZ144" s="7"/>
      <c r="HTA144" s="7"/>
      <c r="HTB144" s="7"/>
      <c r="HTC144" s="7"/>
      <c r="HTD144" s="7"/>
      <c r="HTE144" s="7"/>
      <c r="HTF144" s="7"/>
      <c r="HTG144" s="7"/>
      <c r="HTH144" s="7"/>
      <c r="HTI144" s="7"/>
      <c r="HTJ144" s="7"/>
      <c r="HTK144" s="7"/>
      <c r="HTL144" s="7"/>
      <c r="HTM144" s="7"/>
      <c r="HTN144" s="7"/>
      <c r="HTO144" s="7"/>
      <c r="HTP144" s="7"/>
      <c r="HTQ144" s="7"/>
      <c r="HTR144" s="7"/>
      <c r="HTS144" s="7"/>
      <c r="HTT144" s="7"/>
      <c r="HTU144" s="7"/>
      <c r="HTV144" s="7"/>
      <c r="HTW144" s="7"/>
      <c r="HTX144" s="7"/>
      <c r="HTY144" s="7"/>
      <c r="HTZ144" s="7"/>
      <c r="HUA144" s="7"/>
      <c r="HUB144" s="7"/>
      <c r="HUC144" s="7"/>
      <c r="HUD144" s="7"/>
      <c r="HUE144" s="7"/>
      <c r="HUF144" s="7"/>
      <c r="HUG144" s="7"/>
      <c r="HUH144" s="7"/>
      <c r="HUI144" s="7"/>
      <c r="HUJ144" s="7"/>
      <c r="HUK144" s="7"/>
      <c r="HUL144" s="7"/>
      <c r="HUM144" s="7"/>
      <c r="HUN144" s="7"/>
      <c r="HUO144" s="7"/>
      <c r="HUP144" s="7"/>
      <c r="HUQ144" s="7"/>
      <c r="HUR144" s="7"/>
      <c r="HUS144" s="7"/>
      <c r="HUT144" s="7"/>
      <c r="HUU144" s="7"/>
      <c r="HUV144" s="7"/>
      <c r="HUW144" s="7"/>
      <c r="HUX144" s="7"/>
      <c r="HUY144" s="7"/>
      <c r="HUZ144" s="7"/>
      <c r="HVA144" s="7"/>
      <c r="HVB144" s="7"/>
      <c r="HVC144" s="7"/>
      <c r="HVD144" s="7"/>
      <c r="HVE144" s="7"/>
      <c r="HVF144" s="7"/>
      <c r="HVG144" s="7"/>
      <c r="HVH144" s="7"/>
      <c r="HVI144" s="7"/>
      <c r="HVJ144" s="7"/>
      <c r="HVK144" s="7"/>
      <c r="HVL144" s="7"/>
      <c r="HVM144" s="7"/>
      <c r="HVN144" s="7"/>
      <c r="HVO144" s="7"/>
      <c r="HVP144" s="7"/>
      <c r="HVQ144" s="7"/>
      <c r="HVR144" s="7"/>
      <c r="HVS144" s="7"/>
      <c r="HVT144" s="7"/>
      <c r="HVU144" s="7"/>
      <c r="HVV144" s="7"/>
      <c r="HVW144" s="7"/>
      <c r="HVX144" s="7"/>
      <c r="HVY144" s="7"/>
      <c r="HVZ144" s="7"/>
      <c r="HWA144" s="7"/>
      <c r="HWB144" s="7"/>
      <c r="HWC144" s="7"/>
      <c r="HWD144" s="7"/>
      <c r="HWE144" s="7"/>
      <c r="HWF144" s="7"/>
      <c r="HWG144" s="7"/>
      <c r="HWH144" s="7"/>
      <c r="HWI144" s="7"/>
      <c r="HWJ144" s="7"/>
      <c r="HWK144" s="7"/>
      <c r="HWL144" s="7"/>
      <c r="HWM144" s="7"/>
      <c r="HWN144" s="7"/>
      <c r="HWO144" s="7"/>
      <c r="HWP144" s="7"/>
      <c r="HWQ144" s="7"/>
      <c r="HWR144" s="7"/>
      <c r="HWS144" s="7"/>
      <c r="HWT144" s="7"/>
      <c r="HWU144" s="7"/>
      <c r="HWV144" s="7"/>
      <c r="HWW144" s="7"/>
      <c r="HWX144" s="7"/>
      <c r="HWY144" s="7"/>
      <c r="HWZ144" s="7"/>
      <c r="HXA144" s="7"/>
      <c r="HXB144" s="7"/>
      <c r="HXC144" s="7"/>
      <c r="HXD144" s="7"/>
      <c r="HXE144" s="7"/>
      <c r="HXF144" s="7"/>
      <c r="HXG144" s="7"/>
      <c r="HXH144" s="7"/>
      <c r="HXI144" s="7"/>
      <c r="HXJ144" s="7"/>
      <c r="HXK144" s="7"/>
      <c r="HXL144" s="7"/>
      <c r="HXM144" s="7"/>
      <c r="HXN144" s="7"/>
      <c r="HXO144" s="7"/>
      <c r="HXP144" s="7"/>
      <c r="HXQ144" s="7"/>
      <c r="HXR144" s="7"/>
      <c r="HXS144" s="7"/>
      <c r="HXT144" s="7"/>
      <c r="HXU144" s="7"/>
      <c r="HXV144" s="7"/>
      <c r="HXW144" s="7"/>
      <c r="HXX144" s="7"/>
      <c r="HXY144" s="7"/>
      <c r="HXZ144" s="7"/>
      <c r="HYA144" s="7"/>
      <c r="HYB144" s="7"/>
      <c r="HYC144" s="7"/>
      <c r="HYD144" s="7"/>
      <c r="HYE144" s="7"/>
      <c r="HYF144" s="7"/>
      <c r="HYG144" s="7"/>
      <c r="HYH144" s="7"/>
      <c r="HYI144" s="7"/>
      <c r="HYJ144" s="7"/>
      <c r="HYK144" s="7"/>
      <c r="HYL144" s="7"/>
      <c r="HYM144" s="7"/>
      <c r="HYN144" s="7"/>
      <c r="HYO144" s="7"/>
      <c r="HYP144" s="7"/>
      <c r="HYQ144" s="7"/>
      <c r="HYR144" s="7"/>
      <c r="HYS144" s="7"/>
      <c r="HYT144" s="7"/>
      <c r="HYU144" s="7"/>
      <c r="HYV144" s="7"/>
      <c r="HYW144" s="7"/>
      <c r="HYX144" s="7"/>
      <c r="HYY144" s="7"/>
      <c r="HYZ144" s="7"/>
      <c r="HZA144" s="7"/>
      <c r="HZB144" s="7"/>
      <c r="HZC144" s="7"/>
      <c r="HZD144" s="7"/>
      <c r="HZE144" s="7"/>
      <c r="HZF144" s="7"/>
      <c r="HZG144" s="7"/>
      <c r="HZH144" s="7"/>
      <c r="HZI144" s="7"/>
      <c r="HZJ144" s="7"/>
      <c r="HZK144" s="7"/>
      <c r="HZL144" s="7"/>
      <c r="HZM144" s="7"/>
      <c r="HZN144" s="7"/>
      <c r="HZO144" s="7"/>
      <c r="HZP144" s="7"/>
      <c r="HZQ144" s="7"/>
      <c r="HZR144" s="7"/>
      <c r="HZS144" s="7"/>
      <c r="HZT144" s="7"/>
      <c r="HZU144" s="7"/>
      <c r="HZV144" s="7"/>
      <c r="HZW144" s="7"/>
      <c r="HZX144" s="7"/>
      <c r="HZY144" s="7"/>
      <c r="HZZ144" s="7"/>
      <c r="IAA144" s="7"/>
      <c r="IAB144" s="7"/>
      <c r="IAC144" s="7"/>
      <c r="IAD144" s="7"/>
      <c r="IAE144" s="7"/>
      <c r="IAF144" s="7"/>
      <c r="IAG144" s="7"/>
      <c r="IAH144" s="7"/>
      <c r="IAI144" s="7"/>
      <c r="IAJ144" s="7"/>
      <c r="IAK144" s="7"/>
      <c r="IAL144" s="7"/>
      <c r="IAM144" s="7"/>
      <c r="IAN144" s="7"/>
      <c r="IAO144" s="7"/>
      <c r="IAP144" s="7"/>
      <c r="IAQ144" s="7"/>
      <c r="IAR144" s="7"/>
      <c r="IAS144" s="7"/>
      <c r="IAT144" s="7"/>
      <c r="IAU144" s="7"/>
      <c r="IAV144" s="7"/>
      <c r="IAW144" s="7"/>
      <c r="IAX144" s="7"/>
      <c r="IAY144" s="7"/>
      <c r="IAZ144" s="7"/>
      <c r="IBA144" s="7"/>
      <c r="IBB144" s="7"/>
      <c r="IBC144" s="7"/>
      <c r="IBD144" s="7"/>
      <c r="IBE144" s="7"/>
      <c r="IBF144" s="7"/>
      <c r="IBG144" s="7"/>
      <c r="IBH144" s="7"/>
      <c r="IBI144" s="7"/>
      <c r="IBJ144" s="7"/>
      <c r="IBK144" s="7"/>
      <c r="IBL144" s="7"/>
      <c r="IBM144" s="7"/>
      <c r="IBN144" s="7"/>
      <c r="IBO144" s="7"/>
      <c r="IBP144" s="7"/>
      <c r="IBQ144" s="7"/>
      <c r="IBR144" s="7"/>
      <c r="IBS144" s="7"/>
      <c r="IBT144" s="7"/>
      <c r="IBU144" s="7"/>
      <c r="IBV144" s="7"/>
      <c r="IBW144" s="7"/>
      <c r="IBX144" s="7"/>
      <c r="IBY144" s="7"/>
      <c r="IBZ144" s="7"/>
      <c r="ICA144" s="7"/>
      <c r="ICB144" s="7"/>
      <c r="ICC144" s="7"/>
      <c r="ICD144" s="7"/>
      <c r="ICE144" s="7"/>
      <c r="ICF144" s="7"/>
      <c r="ICG144" s="7"/>
      <c r="ICH144" s="7"/>
      <c r="ICI144" s="7"/>
      <c r="ICJ144" s="7"/>
      <c r="ICK144" s="7"/>
      <c r="ICL144" s="7"/>
      <c r="ICM144" s="7"/>
      <c r="ICN144" s="7"/>
      <c r="ICO144" s="7"/>
      <c r="ICP144" s="7"/>
      <c r="ICQ144" s="7"/>
      <c r="ICR144" s="7"/>
      <c r="ICS144" s="7"/>
      <c r="ICT144" s="7"/>
      <c r="ICU144" s="7"/>
      <c r="ICV144" s="7"/>
      <c r="ICW144" s="7"/>
      <c r="ICX144" s="7"/>
      <c r="ICY144" s="7"/>
      <c r="ICZ144" s="7"/>
      <c r="IDA144" s="7"/>
      <c r="IDB144" s="7"/>
      <c r="IDC144" s="7"/>
      <c r="IDD144" s="7"/>
      <c r="IDE144" s="7"/>
      <c r="IDF144" s="7"/>
      <c r="IDG144" s="7"/>
      <c r="IDH144" s="7"/>
      <c r="IDI144" s="7"/>
      <c r="IDJ144" s="7"/>
      <c r="IDK144" s="7"/>
      <c r="IDL144" s="7"/>
      <c r="IDM144" s="7"/>
      <c r="IDN144" s="7"/>
      <c r="IDO144" s="7"/>
      <c r="IDP144" s="7"/>
      <c r="IDQ144" s="7"/>
      <c r="IDR144" s="7"/>
      <c r="IDS144" s="7"/>
      <c r="IDT144" s="7"/>
      <c r="IDU144" s="7"/>
      <c r="IDV144" s="7"/>
      <c r="IDW144" s="7"/>
      <c r="IDX144" s="7"/>
      <c r="IDY144" s="7"/>
      <c r="IDZ144" s="7"/>
      <c r="IEA144" s="7"/>
      <c r="IEB144" s="7"/>
      <c r="IEC144" s="7"/>
      <c r="IED144" s="7"/>
      <c r="IEE144" s="7"/>
      <c r="IEF144" s="7"/>
      <c r="IEG144" s="7"/>
      <c r="IEH144" s="7"/>
      <c r="IEI144" s="7"/>
      <c r="IEJ144" s="7"/>
      <c r="IEK144" s="7"/>
      <c r="IEL144" s="7"/>
      <c r="IEM144" s="7"/>
      <c r="IEN144" s="7"/>
      <c r="IEO144" s="7"/>
      <c r="IEP144" s="7"/>
      <c r="IEQ144" s="7"/>
      <c r="IER144" s="7"/>
      <c r="IES144" s="7"/>
      <c r="IET144" s="7"/>
      <c r="IEU144" s="7"/>
      <c r="IEV144" s="7"/>
      <c r="IEW144" s="7"/>
      <c r="IEX144" s="7"/>
      <c r="IEY144" s="7"/>
      <c r="IEZ144" s="7"/>
      <c r="IFA144" s="7"/>
      <c r="IFB144" s="7"/>
      <c r="IFC144" s="7"/>
      <c r="IFD144" s="7"/>
      <c r="IFE144" s="7"/>
      <c r="IFF144" s="7"/>
      <c r="IFG144" s="7"/>
      <c r="IFH144" s="7"/>
      <c r="IFI144" s="7"/>
      <c r="IFJ144" s="7"/>
      <c r="IFK144" s="7"/>
      <c r="IFL144" s="7"/>
      <c r="IFM144" s="7"/>
      <c r="IFN144" s="7"/>
      <c r="IFO144" s="7"/>
      <c r="IFP144" s="7"/>
      <c r="IFQ144" s="7"/>
      <c r="IFR144" s="7"/>
      <c r="IFS144" s="7"/>
      <c r="IFT144" s="7"/>
      <c r="IFU144" s="7"/>
      <c r="IFV144" s="7"/>
      <c r="IFW144" s="7"/>
      <c r="IFX144" s="7"/>
      <c r="IFY144" s="7"/>
      <c r="IFZ144" s="7"/>
      <c r="IGA144" s="7"/>
      <c r="IGB144" s="7"/>
      <c r="IGC144" s="7"/>
      <c r="IGD144" s="7"/>
      <c r="IGE144" s="7"/>
      <c r="IGF144" s="7"/>
      <c r="IGG144" s="7"/>
      <c r="IGH144" s="7"/>
      <c r="IGI144" s="7"/>
      <c r="IGJ144" s="7"/>
      <c r="IGK144" s="7"/>
      <c r="IGL144" s="7"/>
      <c r="IGM144" s="7"/>
      <c r="IGN144" s="7"/>
      <c r="IGO144" s="7"/>
      <c r="IGP144" s="7"/>
      <c r="IGQ144" s="7"/>
      <c r="IGR144" s="7"/>
      <c r="IGS144" s="7"/>
      <c r="IGT144" s="7"/>
      <c r="IGU144" s="7"/>
      <c r="IGV144" s="7"/>
      <c r="IGW144" s="7"/>
      <c r="IGX144" s="7"/>
      <c r="IGY144" s="7"/>
      <c r="IGZ144" s="7"/>
      <c r="IHA144" s="7"/>
      <c r="IHB144" s="7"/>
      <c r="IHC144" s="7"/>
      <c r="IHD144" s="7"/>
      <c r="IHE144" s="7"/>
      <c r="IHF144" s="7"/>
      <c r="IHG144" s="7"/>
      <c r="IHH144" s="7"/>
      <c r="IHI144" s="7"/>
      <c r="IHJ144" s="7"/>
      <c r="IHK144" s="7"/>
      <c r="IHL144" s="7"/>
      <c r="IHM144" s="7"/>
      <c r="IHN144" s="7"/>
      <c r="IHO144" s="7"/>
      <c r="IHP144" s="7"/>
      <c r="IHQ144" s="7"/>
      <c r="IHR144" s="7"/>
      <c r="IHS144" s="7"/>
      <c r="IHT144" s="7"/>
      <c r="IHU144" s="7"/>
      <c r="IHV144" s="7"/>
      <c r="IHW144" s="7"/>
      <c r="IHX144" s="7"/>
      <c r="IHY144" s="7"/>
      <c r="IHZ144" s="7"/>
      <c r="IIA144" s="7"/>
      <c r="IIB144" s="7"/>
      <c r="IIC144" s="7"/>
      <c r="IID144" s="7"/>
      <c r="IIE144" s="7"/>
      <c r="IIF144" s="7"/>
      <c r="IIG144" s="7"/>
      <c r="IIH144" s="7"/>
      <c r="III144" s="7"/>
      <c r="IIJ144" s="7"/>
      <c r="IIK144" s="7"/>
      <c r="IIL144" s="7"/>
      <c r="IIM144" s="7"/>
      <c r="IIN144" s="7"/>
      <c r="IIO144" s="7"/>
      <c r="IIP144" s="7"/>
      <c r="IIQ144" s="7"/>
      <c r="IIR144" s="7"/>
      <c r="IIS144" s="7"/>
      <c r="IIT144" s="7"/>
      <c r="IIU144" s="7"/>
      <c r="IIV144" s="7"/>
      <c r="IIW144" s="7"/>
      <c r="IIX144" s="7"/>
      <c r="IIY144" s="7"/>
      <c r="IIZ144" s="7"/>
      <c r="IJA144" s="7"/>
      <c r="IJB144" s="7"/>
      <c r="IJC144" s="7"/>
      <c r="IJD144" s="7"/>
      <c r="IJE144" s="7"/>
      <c r="IJF144" s="7"/>
      <c r="IJG144" s="7"/>
      <c r="IJH144" s="7"/>
      <c r="IJI144" s="7"/>
      <c r="IJJ144" s="7"/>
      <c r="IJK144" s="7"/>
      <c r="IJL144" s="7"/>
      <c r="IJM144" s="7"/>
      <c r="IJN144" s="7"/>
      <c r="IJO144" s="7"/>
      <c r="IJP144" s="7"/>
      <c r="IJQ144" s="7"/>
      <c r="IJR144" s="7"/>
      <c r="IJS144" s="7"/>
      <c r="IJT144" s="7"/>
      <c r="IJU144" s="7"/>
      <c r="IJV144" s="7"/>
      <c r="IJW144" s="7"/>
      <c r="IJX144" s="7"/>
      <c r="IJY144" s="7"/>
      <c r="IJZ144" s="7"/>
      <c r="IKA144" s="7"/>
      <c r="IKB144" s="7"/>
      <c r="IKC144" s="7"/>
      <c r="IKD144" s="7"/>
      <c r="IKE144" s="7"/>
      <c r="IKF144" s="7"/>
      <c r="IKG144" s="7"/>
      <c r="IKH144" s="7"/>
      <c r="IKI144" s="7"/>
      <c r="IKJ144" s="7"/>
      <c r="IKK144" s="7"/>
      <c r="IKL144" s="7"/>
      <c r="IKM144" s="7"/>
      <c r="IKN144" s="7"/>
      <c r="IKO144" s="7"/>
      <c r="IKP144" s="7"/>
      <c r="IKQ144" s="7"/>
      <c r="IKR144" s="7"/>
      <c r="IKS144" s="7"/>
      <c r="IKT144" s="7"/>
      <c r="IKU144" s="7"/>
      <c r="IKV144" s="7"/>
      <c r="IKW144" s="7"/>
      <c r="IKX144" s="7"/>
      <c r="IKY144" s="7"/>
      <c r="IKZ144" s="7"/>
      <c r="ILA144" s="7"/>
      <c r="ILB144" s="7"/>
      <c r="ILC144" s="7"/>
      <c r="ILD144" s="7"/>
      <c r="ILE144" s="7"/>
      <c r="ILF144" s="7"/>
      <c r="ILG144" s="7"/>
      <c r="ILH144" s="7"/>
      <c r="ILI144" s="7"/>
      <c r="ILJ144" s="7"/>
      <c r="ILK144" s="7"/>
      <c r="ILL144" s="7"/>
      <c r="ILM144" s="7"/>
      <c r="ILN144" s="7"/>
      <c r="ILO144" s="7"/>
      <c r="ILP144" s="7"/>
      <c r="ILQ144" s="7"/>
      <c r="ILR144" s="7"/>
      <c r="ILS144" s="7"/>
      <c r="ILT144" s="7"/>
      <c r="ILU144" s="7"/>
      <c r="ILV144" s="7"/>
      <c r="ILW144" s="7"/>
      <c r="ILX144" s="7"/>
      <c r="ILY144" s="7"/>
      <c r="ILZ144" s="7"/>
      <c r="IMA144" s="7"/>
      <c r="IMB144" s="7"/>
      <c r="IMC144" s="7"/>
      <c r="IMD144" s="7"/>
      <c r="IME144" s="7"/>
      <c r="IMF144" s="7"/>
      <c r="IMG144" s="7"/>
      <c r="IMH144" s="7"/>
      <c r="IMI144" s="7"/>
      <c r="IMJ144" s="7"/>
      <c r="IMK144" s="7"/>
      <c r="IML144" s="7"/>
      <c r="IMM144" s="7"/>
      <c r="IMN144" s="7"/>
      <c r="IMO144" s="7"/>
      <c r="IMP144" s="7"/>
      <c r="IMQ144" s="7"/>
      <c r="IMR144" s="7"/>
      <c r="IMS144" s="7"/>
      <c r="IMT144" s="7"/>
      <c r="IMU144" s="7"/>
      <c r="IMV144" s="7"/>
      <c r="IMW144" s="7"/>
      <c r="IMX144" s="7"/>
      <c r="IMY144" s="7"/>
      <c r="IMZ144" s="7"/>
      <c r="INA144" s="7"/>
      <c r="INB144" s="7"/>
      <c r="INC144" s="7"/>
      <c r="IND144" s="7"/>
      <c r="INE144" s="7"/>
      <c r="INF144" s="7"/>
      <c r="ING144" s="7"/>
      <c r="INH144" s="7"/>
      <c r="INI144" s="7"/>
      <c r="INJ144" s="7"/>
      <c r="INK144" s="7"/>
      <c r="INL144" s="7"/>
      <c r="INM144" s="7"/>
      <c r="INN144" s="7"/>
      <c r="INO144" s="7"/>
      <c r="INP144" s="7"/>
      <c r="INQ144" s="7"/>
      <c r="INR144" s="7"/>
      <c r="INS144" s="7"/>
      <c r="INT144" s="7"/>
      <c r="INU144" s="7"/>
      <c r="INV144" s="7"/>
      <c r="INW144" s="7"/>
      <c r="INX144" s="7"/>
      <c r="INY144" s="7"/>
      <c r="INZ144" s="7"/>
      <c r="IOA144" s="7"/>
      <c r="IOB144" s="7"/>
      <c r="IOC144" s="7"/>
      <c r="IOD144" s="7"/>
      <c r="IOE144" s="7"/>
      <c r="IOF144" s="7"/>
      <c r="IOG144" s="7"/>
      <c r="IOH144" s="7"/>
      <c r="IOI144" s="7"/>
      <c r="IOJ144" s="7"/>
      <c r="IOK144" s="7"/>
      <c r="IOL144" s="7"/>
      <c r="IOM144" s="7"/>
      <c r="ION144" s="7"/>
      <c r="IOO144" s="7"/>
      <c r="IOP144" s="7"/>
      <c r="IOQ144" s="7"/>
      <c r="IOR144" s="7"/>
      <c r="IOS144" s="7"/>
      <c r="IOT144" s="7"/>
      <c r="IOU144" s="7"/>
      <c r="IOV144" s="7"/>
      <c r="IOW144" s="7"/>
      <c r="IOX144" s="7"/>
      <c r="IOY144" s="7"/>
      <c r="IOZ144" s="7"/>
      <c r="IPA144" s="7"/>
      <c r="IPB144" s="7"/>
      <c r="IPC144" s="7"/>
      <c r="IPD144" s="7"/>
      <c r="IPE144" s="7"/>
      <c r="IPF144" s="7"/>
      <c r="IPG144" s="7"/>
      <c r="IPH144" s="7"/>
      <c r="IPI144" s="7"/>
      <c r="IPJ144" s="7"/>
      <c r="IPK144" s="7"/>
      <c r="IPL144" s="7"/>
      <c r="IPM144" s="7"/>
      <c r="IPN144" s="7"/>
      <c r="IPO144" s="7"/>
      <c r="IPP144" s="7"/>
      <c r="IPQ144" s="7"/>
      <c r="IPR144" s="7"/>
      <c r="IPS144" s="7"/>
      <c r="IPT144" s="7"/>
      <c r="IPU144" s="7"/>
      <c r="IPV144" s="7"/>
      <c r="IPW144" s="7"/>
      <c r="IPX144" s="7"/>
      <c r="IPY144" s="7"/>
      <c r="IPZ144" s="7"/>
      <c r="IQA144" s="7"/>
      <c r="IQB144" s="7"/>
      <c r="IQC144" s="7"/>
      <c r="IQD144" s="7"/>
      <c r="IQE144" s="7"/>
      <c r="IQF144" s="7"/>
      <c r="IQG144" s="7"/>
      <c r="IQH144" s="7"/>
      <c r="IQI144" s="7"/>
      <c r="IQJ144" s="7"/>
      <c r="IQK144" s="7"/>
      <c r="IQL144" s="7"/>
      <c r="IQM144" s="7"/>
      <c r="IQN144" s="7"/>
      <c r="IQO144" s="7"/>
      <c r="IQP144" s="7"/>
      <c r="IQQ144" s="7"/>
      <c r="IQR144" s="7"/>
      <c r="IQS144" s="7"/>
      <c r="IQT144" s="7"/>
      <c r="IQU144" s="7"/>
      <c r="IQV144" s="7"/>
      <c r="IQW144" s="7"/>
      <c r="IQX144" s="7"/>
      <c r="IQY144" s="7"/>
      <c r="IQZ144" s="7"/>
      <c r="IRA144" s="7"/>
      <c r="IRB144" s="7"/>
      <c r="IRC144" s="7"/>
      <c r="IRD144" s="7"/>
      <c r="IRE144" s="7"/>
      <c r="IRF144" s="7"/>
      <c r="IRG144" s="7"/>
      <c r="IRH144" s="7"/>
      <c r="IRI144" s="7"/>
      <c r="IRJ144" s="7"/>
      <c r="IRK144" s="7"/>
      <c r="IRL144" s="7"/>
      <c r="IRM144" s="7"/>
      <c r="IRN144" s="7"/>
      <c r="IRO144" s="7"/>
      <c r="IRP144" s="7"/>
      <c r="IRQ144" s="7"/>
      <c r="IRR144" s="7"/>
      <c r="IRS144" s="7"/>
      <c r="IRT144" s="7"/>
      <c r="IRU144" s="7"/>
      <c r="IRV144" s="7"/>
      <c r="IRW144" s="7"/>
      <c r="IRX144" s="7"/>
      <c r="IRY144" s="7"/>
      <c r="IRZ144" s="7"/>
      <c r="ISA144" s="7"/>
      <c r="ISB144" s="7"/>
      <c r="ISC144" s="7"/>
      <c r="ISD144" s="7"/>
      <c r="ISE144" s="7"/>
      <c r="ISF144" s="7"/>
      <c r="ISG144" s="7"/>
      <c r="ISH144" s="7"/>
      <c r="ISI144" s="7"/>
      <c r="ISJ144" s="7"/>
      <c r="ISK144" s="7"/>
      <c r="ISL144" s="7"/>
      <c r="ISM144" s="7"/>
      <c r="ISN144" s="7"/>
      <c r="ISO144" s="7"/>
      <c r="ISP144" s="7"/>
      <c r="ISQ144" s="7"/>
      <c r="ISR144" s="7"/>
      <c r="ISS144" s="7"/>
      <c r="IST144" s="7"/>
      <c r="ISU144" s="7"/>
      <c r="ISV144" s="7"/>
      <c r="ISW144" s="7"/>
      <c r="ISX144" s="7"/>
      <c r="ISY144" s="7"/>
      <c r="ISZ144" s="7"/>
      <c r="ITA144" s="7"/>
      <c r="ITB144" s="7"/>
      <c r="ITC144" s="7"/>
      <c r="ITD144" s="7"/>
      <c r="ITE144" s="7"/>
      <c r="ITF144" s="7"/>
      <c r="ITG144" s="7"/>
      <c r="ITH144" s="7"/>
      <c r="ITI144" s="7"/>
      <c r="ITJ144" s="7"/>
      <c r="ITK144" s="7"/>
      <c r="ITL144" s="7"/>
      <c r="ITM144" s="7"/>
      <c r="ITN144" s="7"/>
      <c r="ITO144" s="7"/>
      <c r="ITP144" s="7"/>
      <c r="ITQ144" s="7"/>
      <c r="ITR144" s="7"/>
      <c r="ITS144" s="7"/>
      <c r="ITT144" s="7"/>
      <c r="ITU144" s="7"/>
      <c r="ITV144" s="7"/>
      <c r="ITW144" s="7"/>
      <c r="ITX144" s="7"/>
      <c r="ITY144" s="7"/>
      <c r="ITZ144" s="7"/>
      <c r="IUA144" s="7"/>
      <c r="IUB144" s="7"/>
      <c r="IUC144" s="7"/>
      <c r="IUD144" s="7"/>
      <c r="IUE144" s="7"/>
      <c r="IUF144" s="7"/>
      <c r="IUG144" s="7"/>
      <c r="IUH144" s="7"/>
      <c r="IUI144" s="7"/>
      <c r="IUJ144" s="7"/>
      <c r="IUK144" s="7"/>
      <c r="IUL144" s="7"/>
      <c r="IUM144" s="7"/>
      <c r="IUN144" s="7"/>
      <c r="IUO144" s="7"/>
      <c r="IUP144" s="7"/>
      <c r="IUQ144" s="7"/>
      <c r="IUR144" s="7"/>
      <c r="IUS144" s="7"/>
      <c r="IUT144" s="7"/>
      <c r="IUU144" s="7"/>
      <c r="IUV144" s="7"/>
      <c r="IUW144" s="7"/>
      <c r="IUX144" s="7"/>
      <c r="IUY144" s="7"/>
      <c r="IUZ144" s="7"/>
      <c r="IVA144" s="7"/>
      <c r="IVB144" s="7"/>
      <c r="IVC144" s="7"/>
      <c r="IVD144" s="7"/>
      <c r="IVE144" s="7"/>
      <c r="IVF144" s="7"/>
      <c r="IVG144" s="7"/>
      <c r="IVH144" s="7"/>
      <c r="IVI144" s="7"/>
      <c r="IVJ144" s="7"/>
      <c r="IVK144" s="7"/>
      <c r="IVL144" s="7"/>
      <c r="IVM144" s="7"/>
      <c r="IVN144" s="7"/>
      <c r="IVO144" s="7"/>
      <c r="IVP144" s="7"/>
      <c r="IVQ144" s="7"/>
      <c r="IVR144" s="7"/>
      <c r="IVS144" s="7"/>
      <c r="IVT144" s="7"/>
      <c r="IVU144" s="7"/>
      <c r="IVV144" s="7"/>
      <c r="IVW144" s="7"/>
      <c r="IVX144" s="7"/>
      <c r="IVY144" s="7"/>
      <c r="IVZ144" s="7"/>
      <c r="IWA144" s="7"/>
      <c r="IWB144" s="7"/>
      <c r="IWC144" s="7"/>
      <c r="IWD144" s="7"/>
      <c r="IWE144" s="7"/>
      <c r="IWF144" s="7"/>
      <c r="IWG144" s="7"/>
      <c r="IWH144" s="7"/>
      <c r="IWI144" s="7"/>
      <c r="IWJ144" s="7"/>
      <c r="IWK144" s="7"/>
      <c r="IWL144" s="7"/>
      <c r="IWM144" s="7"/>
      <c r="IWN144" s="7"/>
      <c r="IWO144" s="7"/>
      <c r="IWP144" s="7"/>
      <c r="IWQ144" s="7"/>
      <c r="IWR144" s="7"/>
      <c r="IWS144" s="7"/>
      <c r="IWT144" s="7"/>
      <c r="IWU144" s="7"/>
      <c r="IWV144" s="7"/>
      <c r="IWW144" s="7"/>
      <c r="IWX144" s="7"/>
      <c r="IWY144" s="7"/>
      <c r="IWZ144" s="7"/>
      <c r="IXA144" s="7"/>
      <c r="IXB144" s="7"/>
      <c r="IXC144" s="7"/>
      <c r="IXD144" s="7"/>
      <c r="IXE144" s="7"/>
      <c r="IXF144" s="7"/>
      <c r="IXG144" s="7"/>
      <c r="IXH144" s="7"/>
      <c r="IXI144" s="7"/>
      <c r="IXJ144" s="7"/>
      <c r="IXK144" s="7"/>
      <c r="IXL144" s="7"/>
      <c r="IXM144" s="7"/>
      <c r="IXN144" s="7"/>
      <c r="IXO144" s="7"/>
      <c r="IXP144" s="7"/>
      <c r="IXQ144" s="7"/>
      <c r="IXR144" s="7"/>
      <c r="IXS144" s="7"/>
      <c r="IXT144" s="7"/>
      <c r="IXU144" s="7"/>
      <c r="IXV144" s="7"/>
      <c r="IXW144" s="7"/>
      <c r="IXX144" s="7"/>
      <c r="IXY144" s="7"/>
      <c r="IXZ144" s="7"/>
      <c r="IYA144" s="7"/>
      <c r="IYB144" s="7"/>
      <c r="IYC144" s="7"/>
      <c r="IYD144" s="7"/>
      <c r="IYE144" s="7"/>
      <c r="IYF144" s="7"/>
      <c r="IYG144" s="7"/>
      <c r="IYH144" s="7"/>
      <c r="IYI144" s="7"/>
      <c r="IYJ144" s="7"/>
      <c r="IYK144" s="7"/>
      <c r="IYL144" s="7"/>
      <c r="IYM144" s="7"/>
      <c r="IYN144" s="7"/>
      <c r="IYO144" s="7"/>
      <c r="IYP144" s="7"/>
      <c r="IYQ144" s="7"/>
      <c r="IYR144" s="7"/>
      <c r="IYS144" s="7"/>
      <c r="IYT144" s="7"/>
      <c r="IYU144" s="7"/>
      <c r="IYV144" s="7"/>
      <c r="IYW144" s="7"/>
      <c r="IYX144" s="7"/>
      <c r="IYY144" s="7"/>
      <c r="IYZ144" s="7"/>
      <c r="IZA144" s="7"/>
      <c r="IZB144" s="7"/>
      <c r="IZC144" s="7"/>
      <c r="IZD144" s="7"/>
      <c r="IZE144" s="7"/>
      <c r="IZF144" s="7"/>
      <c r="IZG144" s="7"/>
      <c r="IZH144" s="7"/>
      <c r="IZI144" s="7"/>
      <c r="IZJ144" s="7"/>
      <c r="IZK144" s="7"/>
      <c r="IZL144" s="7"/>
      <c r="IZM144" s="7"/>
      <c r="IZN144" s="7"/>
      <c r="IZO144" s="7"/>
      <c r="IZP144" s="7"/>
      <c r="IZQ144" s="7"/>
      <c r="IZR144" s="7"/>
      <c r="IZS144" s="7"/>
      <c r="IZT144" s="7"/>
      <c r="IZU144" s="7"/>
      <c r="IZV144" s="7"/>
      <c r="IZW144" s="7"/>
      <c r="IZX144" s="7"/>
      <c r="IZY144" s="7"/>
      <c r="IZZ144" s="7"/>
      <c r="JAA144" s="7"/>
      <c r="JAB144" s="7"/>
      <c r="JAC144" s="7"/>
      <c r="JAD144" s="7"/>
      <c r="JAE144" s="7"/>
      <c r="JAF144" s="7"/>
      <c r="JAG144" s="7"/>
      <c r="JAH144" s="7"/>
      <c r="JAI144" s="7"/>
      <c r="JAJ144" s="7"/>
      <c r="JAK144" s="7"/>
      <c r="JAL144" s="7"/>
      <c r="JAM144" s="7"/>
      <c r="JAN144" s="7"/>
      <c r="JAO144" s="7"/>
      <c r="JAP144" s="7"/>
      <c r="JAQ144" s="7"/>
      <c r="JAR144" s="7"/>
      <c r="JAS144" s="7"/>
      <c r="JAT144" s="7"/>
      <c r="JAU144" s="7"/>
      <c r="JAV144" s="7"/>
      <c r="JAW144" s="7"/>
      <c r="JAX144" s="7"/>
      <c r="JAY144" s="7"/>
      <c r="JAZ144" s="7"/>
      <c r="JBA144" s="7"/>
      <c r="JBB144" s="7"/>
      <c r="JBC144" s="7"/>
      <c r="JBD144" s="7"/>
      <c r="JBE144" s="7"/>
      <c r="JBF144" s="7"/>
      <c r="JBG144" s="7"/>
      <c r="JBH144" s="7"/>
      <c r="JBI144" s="7"/>
      <c r="JBJ144" s="7"/>
      <c r="JBK144" s="7"/>
      <c r="JBL144" s="7"/>
      <c r="JBM144" s="7"/>
      <c r="JBN144" s="7"/>
      <c r="JBO144" s="7"/>
      <c r="JBP144" s="7"/>
      <c r="JBQ144" s="7"/>
      <c r="JBR144" s="7"/>
      <c r="JBS144" s="7"/>
      <c r="JBT144" s="7"/>
      <c r="JBU144" s="7"/>
      <c r="JBV144" s="7"/>
      <c r="JBW144" s="7"/>
      <c r="JBX144" s="7"/>
      <c r="JBY144" s="7"/>
      <c r="JBZ144" s="7"/>
      <c r="JCA144" s="7"/>
      <c r="JCB144" s="7"/>
      <c r="JCC144" s="7"/>
      <c r="JCD144" s="7"/>
      <c r="JCE144" s="7"/>
      <c r="JCF144" s="7"/>
      <c r="JCG144" s="7"/>
      <c r="JCH144" s="7"/>
      <c r="JCI144" s="7"/>
      <c r="JCJ144" s="7"/>
      <c r="JCK144" s="7"/>
      <c r="JCL144" s="7"/>
      <c r="JCM144" s="7"/>
      <c r="JCN144" s="7"/>
      <c r="JCO144" s="7"/>
      <c r="JCP144" s="7"/>
      <c r="JCQ144" s="7"/>
      <c r="JCR144" s="7"/>
      <c r="JCS144" s="7"/>
      <c r="JCT144" s="7"/>
      <c r="JCU144" s="7"/>
      <c r="JCV144" s="7"/>
      <c r="JCW144" s="7"/>
      <c r="JCX144" s="7"/>
      <c r="JCY144" s="7"/>
      <c r="JCZ144" s="7"/>
      <c r="JDA144" s="7"/>
      <c r="JDB144" s="7"/>
      <c r="JDC144" s="7"/>
      <c r="JDD144" s="7"/>
      <c r="JDE144" s="7"/>
      <c r="JDF144" s="7"/>
      <c r="JDG144" s="7"/>
      <c r="JDH144" s="7"/>
      <c r="JDI144" s="7"/>
      <c r="JDJ144" s="7"/>
      <c r="JDK144" s="7"/>
      <c r="JDL144" s="7"/>
      <c r="JDM144" s="7"/>
      <c r="JDN144" s="7"/>
      <c r="JDO144" s="7"/>
      <c r="JDP144" s="7"/>
      <c r="JDQ144" s="7"/>
      <c r="JDR144" s="7"/>
      <c r="JDS144" s="7"/>
      <c r="JDT144" s="7"/>
      <c r="JDU144" s="7"/>
      <c r="JDV144" s="7"/>
      <c r="JDW144" s="7"/>
      <c r="JDX144" s="7"/>
      <c r="JDY144" s="7"/>
      <c r="JDZ144" s="7"/>
      <c r="JEA144" s="7"/>
      <c r="JEB144" s="7"/>
      <c r="JEC144" s="7"/>
      <c r="JED144" s="7"/>
      <c r="JEE144" s="7"/>
      <c r="JEF144" s="7"/>
      <c r="JEG144" s="7"/>
      <c r="JEH144" s="7"/>
      <c r="JEI144" s="7"/>
      <c r="JEJ144" s="7"/>
      <c r="JEK144" s="7"/>
      <c r="JEL144" s="7"/>
      <c r="JEM144" s="7"/>
      <c r="JEN144" s="7"/>
      <c r="JEO144" s="7"/>
      <c r="JEP144" s="7"/>
      <c r="JEQ144" s="7"/>
      <c r="JER144" s="7"/>
      <c r="JES144" s="7"/>
      <c r="JET144" s="7"/>
      <c r="JEU144" s="7"/>
      <c r="JEV144" s="7"/>
      <c r="JEW144" s="7"/>
      <c r="JEX144" s="7"/>
      <c r="JEY144" s="7"/>
      <c r="JEZ144" s="7"/>
      <c r="JFA144" s="7"/>
      <c r="JFB144" s="7"/>
      <c r="JFC144" s="7"/>
      <c r="JFD144" s="7"/>
      <c r="JFE144" s="7"/>
      <c r="JFF144" s="7"/>
      <c r="JFG144" s="7"/>
      <c r="JFH144" s="7"/>
      <c r="JFI144" s="7"/>
      <c r="JFJ144" s="7"/>
      <c r="JFK144" s="7"/>
      <c r="JFL144" s="7"/>
      <c r="JFM144" s="7"/>
      <c r="JFN144" s="7"/>
      <c r="JFO144" s="7"/>
      <c r="JFP144" s="7"/>
      <c r="JFQ144" s="7"/>
      <c r="JFR144" s="7"/>
      <c r="JFS144" s="7"/>
      <c r="JFT144" s="7"/>
      <c r="JFU144" s="7"/>
      <c r="JFV144" s="7"/>
      <c r="JFW144" s="7"/>
      <c r="JFX144" s="7"/>
      <c r="JFY144" s="7"/>
      <c r="JFZ144" s="7"/>
      <c r="JGA144" s="7"/>
      <c r="JGB144" s="7"/>
      <c r="JGC144" s="7"/>
      <c r="JGD144" s="7"/>
      <c r="JGE144" s="7"/>
      <c r="JGF144" s="7"/>
      <c r="JGG144" s="7"/>
      <c r="JGH144" s="7"/>
      <c r="JGI144" s="7"/>
      <c r="JGJ144" s="7"/>
      <c r="JGK144" s="7"/>
      <c r="JGL144" s="7"/>
      <c r="JGM144" s="7"/>
      <c r="JGN144" s="7"/>
      <c r="JGO144" s="7"/>
      <c r="JGP144" s="7"/>
      <c r="JGQ144" s="7"/>
      <c r="JGR144" s="7"/>
      <c r="JGS144" s="7"/>
      <c r="JGT144" s="7"/>
      <c r="JGU144" s="7"/>
      <c r="JGV144" s="7"/>
      <c r="JGW144" s="7"/>
      <c r="JGX144" s="7"/>
      <c r="JGY144" s="7"/>
      <c r="JGZ144" s="7"/>
      <c r="JHA144" s="7"/>
      <c r="JHB144" s="7"/>
      <c r="JHC144" s="7"/>
      <c r="JHD144" s="7"/>
      <c r="JHE144" s="7"/>
      <c r="JHF144" s="7"/>
      <c r="JHG144" s="7"/>
      <c r="JHH144" s="7"/>
      <c r="JHI144" s="7"/>
      <c r="JHJ144" s="7"/>
      <c r="JHK144" s="7"/>
      <c r="JHL144" s="7"/>
      <c r="JHM144" s="7"/>
      <c r="JHN144" s="7"/>
      <c r="JHO144" s="7"/>
      <c r="JHP144" s="7"/>
      <c r="JHQ144" s="7"/>
      <c r="JHR144" s="7"/>
      <c r="JHS144" s="7"/>
      <c r="JHT144" s="7"/>
      <c r="JHU144" s="7"/>
      <c r="JHV144" s="7"/>
      <c r="JHW144" s="7"/>
      <c r="JHX144" s="7"/>
      <c r="JHY144" s="7"/>
      <c r="JHZ144" s="7"/>
      <c r="JIA144" s="7"/>
      <c r="JIB144" s="7"/>
      <c r="JIC144" s="7"/>
      <c r="JID144" s="7"/>
      <c r="JIE144" s="7"/>
      <c r="JIF144" s="7"/>
      <c r="JIG144" s="7"/>
      <c r="JIH144" s="7"/>
      <c r="JII144" s="7"/>
      <c r="JIJ144" s="7"/>
      <c r="JIK144" s="7"/>
      <c r="JIL144" s="7"/>
      <c r="JIM144" s="7"/>
      <c r="JIN144" s="7"/>
      <c r="JIO144" s="7"/>
      <c r="JIP144" s="7"/>
      <c r="JIQ144" s="7"/>
      <c r="JIR144" s="7"/>
      <c r="JIS144" s="7"/>
      <c r="JIT144" s="7"/>
      <c r="JIU144" s="7"/>
      <c r="JIV144" s="7"/>
      <c r="JIW144" s="7"/>
      <c r="JIX144" s="7"/>
      <c r="JIY144" s="7"/>
      <c r="JIZ144" s="7"/>
      <c r="JJA144" s="7"/>
      <c r="JJB144" s="7"/>
      <c r="JJC144" s="7"/>
      <c r="JJD144" s="7"/>
      <c r="JJE144" s="7"/>
      <c r="JJF144" s="7"/>
      <c r="JJG144" s="7"/>
      <c r="JJH144" s="7"/>
      <c r="JJI144" s="7"/>
      <c r="JJJ144" s="7"/>
      <c r="JJK144" s="7"/>
      <c r="JJL144" s="7"/>
      <c r="JJM144" s="7"/>
      <c r="JJN144" s="7"/>
      <c r="JJO144" s="7"/>
      <c r="JJP144" s="7"/>
      <c r="JJQ144" s="7"/>
      <c r="JJR144" s="7"/>
      <c r="JJS144" s="7"/>
      <c r="JJT144" s="7"/>
      <c r="JJU144" s="7"/>
      <c r="JJV144" s="7"/>
      <c r="JJW144" s="7"/>
      <c r="JJX144" s="7"/>
      <c r="JJY144" s="7"/>
      <c r="JJZ144" s="7"/>
      <c r="JKA144" s="7"/>
      <c r="JKB144" s="7"/>
      <c r="JKC144" s="7"/>
      <c r="JKD144" s="7"/>
      <c r="JKE144" s="7"/>
      <c r="JKF144" s="7"/>
      <c r="JKG144" s="7"/>
      <c r="JKH144" s="7"/>
      <c r="JKI144" s="7"/>
      <c r="JKJ144" s="7"/>
      <c r="JKK144" s="7"/>
      <c r="JKL144" s="7"/>
      <c r="JKM144" s="7"/>
      <c r="JKN144" s="7"/>
      <c r="JKO144" s="7"/>
      <c r="JKP144" s="7"/>
      <c r="JKQ144" s="7"/>
      <c r="JKR144" s="7"/>
      <c r="JKS144" s="7"/>
      <c r="JKT144" s="7"/>
      <c r="JKU144" s="7"/>
      <c r="JKV144" s="7"/>
      <c r="JKW144" s="7"/>
      <c r="JKX144" s="7"/>
      <c r="JKY144" s="7"/>
      <c r="JKZ144" s="7"/>
      <c r="JLA144" s="7"/>
      <c r="JLB144" s="7"/>
      <c r="JLC144" s="7"/>
      <c r="JLD144" s="7"/>
      <c r="JLE144" s="7"/>
      <c r="JLF144" s="7"/>
      <c r="JLG144" s="7"/>
      <c r="JLH144" s="7"/>
      <c r="JLI144" s="7"/>
      <c r="JLJ144" s="7"/>
      <c r="JLK144" s="7"/>
      <c r="JLL144" s="7"/>
      <c r="JLM144" s="7"/>
      <c r="JLN144" s="7"/>
      <c r="JLO144" s="7"/>
      <c r="JLP144" s="7"/>
      <c r="JLQ144" s="7"/>
      <c r="JLR144" s="7"/>
      <c r="JLS144" s="7"/>
      <c r="JLT144" s="7"/>
      <c r="JLU144" s="7"/>
      <c r="JLV144" s="7"/>
      <c r="JLW144" s="7"/>
      <c r="JLX144" s="7"/>
      <c r="JLY144" s="7"/>
      <c r="JLZ144" s="7"/>
      <c r="JMA144" s="7"/>
      <c r="JMB144" s="7"/>
      <c r="JMC144" s="7"/>
      <c r="JMD144" s="7"/>
      <c r="JME144" s="7"/>
      <c r="JMF144" s="7"/>
      <c r="JMG144" s="7"/>
      <c r="JMH144" s="7"/>
      <c r="JMI144" s="7"/>
      <c r="JMJ144" s="7"/>
      <c r="JMK144" s="7"/>
      <c r="JML144" s="7"/>
      <c r="JMM144" s="7"/>
      <c r="JMN144" s="7"/>
      <c r="JMO144" s="7"/>
      <c r="JMP144" s="7"/>
      <c r="JMQ144" s="7"/>
      <c r="JMR144" s="7"/>
      <c r="JMS144" s="7"/>
      <c r="JMT144" s="7"/>
      <c r="JMU144" s="7"/>
      <c r="JMV144" s="7"/>
      <c r="JMW144" s="7"/>
      <c r="JMX144" s="7"/>
      <c r="JMY144" s="7"/>
      <c r="JMZ144" s="7"/>
      <c r="JNA144" s="7"/>
      <c r="JNB144" s="7"/>
      <c r="JNC144" s="7"/>
      <c r="JND144" s="7"/>
      <c r="JNE144" s="7"/>
      <c r="JNF144" s="7"/>
      <c r="JNG144" s="7"/>
      <c r="JNH144" s="7"/>
      <c r="JNI144" s="7"/>
      <c r="JNJ144" s="7"/>
      <c r="JNK144" s="7"/>
      <c r="JNL144" s="7"/>
      <c r="JNM144" s="7"/>
      <c r="JNN144" s="7"/>
      <c r="JNO144" s="7"/>
      <c r="JNP144" s="7"/>
      <c r="JNQ144" s="7"/>
      <c r="JNR144" s="7"/>
      <c r="JNS144" s="7"/>
      <c r="JNT144" s="7"/>
      <c r="JNU144" s="7"/>
      <c r="JNV144" s="7"/>
      <c r="JNW144" s="7"/>
      <c r="JNX144" s="7"/>
      <c r="JNY144" s="7"/>
      <c r="JNZ144" s="7"/>
      <c r="JOA144" s="7"/>
      <c r="JOB144" s="7"/>
      <c r="JOC144" s="7"/>
      <c r="JOD144" s="7"/>
      <c r="JOE144" s="7"/>
      <c r="JOF144" s="7"/>
      <c r="JOG144" s="7"/>
      <c r="JOH144" s="7"/>
      <c r="JOI144" s="7"/>
      <c r="JOJ144" s="7"/>
      <c r="JOK144" s="7"/>
      <c r="JOL144" s="7"/>
      <c r="JOM144" s="7"/>
      <c r="JON144" s="7"/>
      <c r="JOO144" s="7"/>
      <c r="JOP144" s="7"/>
      <c r="JOQ144" s="7"/>
      <c r="JOR144" s="7"/>
      <c r="JOS144" s="7"/>
      <c r="JOT144" s="7"/>
      <c r="JOU144" s="7"/>
      <c r="JOV144" s="7"/>
      <c r="JOW144" s="7"/>
      <c r="JOX144" s="7"/>
      <c r="JOY144" s="7"/>
      <c r="JOZ144" s="7"/>
      <c r="JPA144" s="7"/>
      <c r="JPB144" s="7"/>
      <c r="JPC144" s="7"/>
      <c r="JPD144" s="7"/>
      <c r="JPE144" s="7"/>
      <c r="JPF144" s="7"/>
      <c r="JPG144" s="7"/>
      <c r="JPH144" s="7"/>
      <c r="JPI144" s="7"/>
      <c r="JPJ144" s="7"/>
      <c r="JPK144" s="7"/>
      <c r="JPL144" s="7"/>
      <c r="JPM144" s="7"/>
      <c r="JPN144" s="7"/>
      <c r="JPO144" s="7"/>
      <c r="JPP144" s="7"/>
      <c r="JPQ144" s="7"/>
      <c r="JPR144" s="7"/>
      <c r="JPS144" s="7"/>
      <c r="JPT144" s="7"/>
      <c r="JPU144" s="7"/>
      <c r="JPV144" s="7"/>
      <c r="JPW144" s="7"/>
      <c r="JPX144" s="7"/>
      <c r="JPY144" s="7"/>
      <c r="JPZ144" s="7"/>
      <c r="JQA144" s="7"/>
      <c r="JQB144" s="7"/>
      <c r="JQC144" s="7"/>
      <c r="JQD144" s="7"/>
      <c r="JQE144" s="7"/>
      <c r="JQF144" s="7"/>
      <c r="JQG144" s="7"/>
      <c r="JQH144" s="7"/>
      <c r="JQI144" s="7"/>
      <c r="JQJ144" s="7"/>
      <c r="JQK144" s="7"/>
      <c r="JQL144" s="7"/>
      <c r="JQM144" s="7"/>
      <c r="JQN144" s="7"/>
      <c r="JQO144" s="7"/>
      <c r="JQP144" s="7"/>
      <c r="JQQ144" s="7"/>
      <c r="JQR144" s="7"/>
      <c r="JQS144" s="7"/>
      <c r="JQT144" s="7"/>
      <c r="JQU144" s="7"/>
      <c r="JQV144" s="7"/>
      <c r="JQW144" s="7"/>
      <c r="JQX144" s="7"/>
      <c r="JQY144" s="7"/>
      <c r="JQZ144" s="7"/>
      <c r="JRA144" s="7"/>
      <c r="JRB144" s="7"/>
      <c r="JRC144" s="7"/>
      <c r="JRD144" s="7"/>
      <c r="JRE144" s="7"/>
      <c r="JRF144" s="7"/>
      <c r="JRG144" s="7"/>
      <c r="JRH144" s="7"/>
      <c r="JRI144" s="7"/>
      <c r="JRJ144" s="7"/>
      <c r="JRK144" s="7"/>
      <c r="JRL144" s="7"/>
      <c r="JRM144" s="7"/>
      <c r="JRN144" s="7"/>
      <c r="JRO144" s="7"/>
      <c r="JRP144" s="7"/>
      <c r="JRQ144" s="7"/>
      <c r="JRR144" s="7"/>
      <c r="JRS144" s="7"/>
      <c r="JRT144" s="7"/>
      <c r="JRU144" s="7"/>
      <c r="JRV144" s="7"/>
      <c r="JRW144" s="7"/>
      <c r="JRX144" s="7"/>
      <c r="JRY144" s="7"/>
      <c r="JRZ144" s="7"/>
      <c r="JSA144" s="7"/>
      <c r="JSB144" s="7"/>
      <c r="JSC144" s="7"/>
      <c r="JSD144" s="7"/>
      <c r="JSE144" s="7"/>
      <c r="JSF144" s="7"/>
      <c r="JSG144" s="7"/>
      <c r="JSH144" s="7"/>
      <c r="JSI144" s="7"/>
      <c r="JSJ144" s="7"/>
      <c r="JSK144" s="7"/>
      <c r="JSL144" s="7"/>
      <c r="JSM144" s="7"/>
      <c r="JSN144" s="7"/>
      <c r="JSO144" s="7"/>
      <c r="JSP144" s="7"/>
      <c r="JSQ144" s="7"/>
      <c r="JSR144" s="7"/>
      <c r="JSS144" s="7"/>
      <c r="JST144" s="7"/>
      <c r="JSU144" s="7"/>
      <c r="JSV144" s="7"/>
      <c r="JSW144" s="7"/>
      <c r="JSX144" s="7"/>
      <c r="JSY144" s="7"/>
      <c r="JSZ144" s="7"/>
      <c r="JTA144" s="7"/>
      <c r="JTB144" s="7"/>
      <c r="JTC144" s="7"/>
      <c r="JTD144" s="7"/>
      <c r="JTE144" s="7"/>
      <c r="JTF144" s="7"/>
      <c r="JTG144" s="7"/>
      <c r="JTH144" s="7"/>
      <c r="JTI144" s="7"/>
      <c r="JTJ144" s="7"/>
      <c r="JTK144" s="7"/>
      <c r="JTL144" s="7"/>
      <c r="JTM144" s="7"/>
      <c r="JTN144" s="7"/>
      <c r="JTO144" s="7"/>
      <c r="JTP144" s="7"/>
      <c r="JTQ144" s="7"/>
      <c r="JTR144" s="7"/>
      <c r="JTS144" s="7"/>
      <c r="JTT144" s="7"/>
      <c r="JTU144" s="7"/>
      <c r="JTV144" s="7"/>
      <c r="JTW144" s="7"/>
      <c r="JTX144" s="7"/>
      <c r="JTY144" s="7"/>
      <c r="JTZ144" s="7"/>
      <c r="JUA144" s="7"/>
      <c r="JUB144" s="7"/>
      <c r="JUC144" s="7"/>
      <c r="JUD144" s="7"/>
      <c r="JUE144" s="7"/>
      <c r="JUF144" s="7"/>
      <c r="JUG144" s="7"/>
      <c r="JUH144" s="7"/>
      <c r="JUI144" s="7"/>
      <c r="JUJ144" s="7"/>
      <c r="JUK144" s="7"/>
      <c r="JUL144" s="7"/>
      <c r="JUM144" s="7"/>
      <c r="JUN144" s="7"/>
      <c r="JUO144" s="7"/>
      <c r="JUP144" s="7"/>
      <c r="JUQ144" s="7"/>
      <c r="JUR144" s="7"/>
      <c r="JUS144" s="7"/>
      <c r="JUT144" s="7"/>
      <c r="JUU144" s="7"/>
      <c r="JUV144" s="7"/>
      <c r="JUW144" s="7"/>
      <c r="JUX144" s="7"/>
      <c r="JUY144" s="7"/>
      <c r="JUZ144" s="7"/>
      <c r="JVA144" s="7"/>
      <c r="JVB144" s="7"/>
      <c r="JVC144" s="7"/>
      <c r="JVD144" s="7"/>
      <c r="JVE144" s="7"/>
      <c r="JVF144" s="7"/>
      <c r="JVG144" s="7"/>
      <c r="JVH144" s="7"/>
      <c r="JVI144" s="7"/>
      <c r="JVJ144" s="7"/>
      <c r="JVK144" s="7"/>
      <c r="JVL144" s="7"/>
      <c r="JVM144" s="7"/>
      <c r="JVN144" s="7"/>
      <c r="JVO144" s="7"/>
      <c r="JVP144" s="7"/>
      <c r="JVQ144" s="7"/>
      <c r="JVR144" s="7"/>
      <c r="JVS144" s="7"/>
      <c r="JVT144" s="7"/>
      <c r="JVU144" s="7"/>
      <c r="JVV144" s="7"/>
      <c r="JVW144" s="7"/>
      <c r="JVX144" s="7"/>
      <c r="JVY144" s="7"/>
      <c r="JVZ144" s="7"/>
      <c r="JWA144" s="7"/>
      <c r="JWB144" s="7"/>
      <c r="JWC144" s="7"/>
      <c r="JWD144" s="7"/>
      <c r="JWE144" s="7"/>
      <c r="JWF144" s="7"/>
      <c r="JWG144" s="7"/>
      <c r="JWH144" s="7"/>
      <c r="JWI144" s="7"/>
      <c r="JWJ144" s="7"/>
      <c r="JWK144" s="7"/>
      <c r="JWL144" s="7"/>
      <c r="JWM144" s="7"/>
      <c r="JWN144" s="7"/>
      <c r="JWO144" s="7"/>
      <c r="JWP144" s="7"/>
      <c r="JWQ144" s="7"/>
      <c r="JWR144" s="7"/>
      <c r="JWS144" s="7"/>
      <c r="JWT144" s="7"/>
      <c r="JWU144" s="7"/>
      <c r="JWV144" s="7"/>
      <c r="JWW144" s="7"/>
      <c r="JWX144" s="7"/>
      <c r="JWY144" s="7"/>
      <c r="JWZ144" s="7"/>
      <c r="JXA144" s="7"/>
      <c r="JXB144" s="7"/>
      <c r="JXC144" s="7"/>
      <c r="JXD144" s="7"/>
      <c r="JXE144" s="7"/>
      <c r="JXF144" s="7"/>
      <c r="JXG144" s="7"/>
      <c r="JXH144" s="7"/>
      <c r="JXI144" s="7"/>
      <c r="JXJ144" s="7"/>
      <c r="JXK144" s="7"/>
      <c r="JXL144" s="7"/>
      <c r="JXM144" s="7"/>
      <c r="JXN144" s="7"/>
      <c r="JXO144" s="7"/>
      <c r="JXP144" s="7"/>
      <c r="JXQ144" s="7"/>
      <c r="JXR144" s="7"/>
      <c r="JXS144" s="7"/>
      <c r="JXT144" s="7"/>
      <c r="JXU144" s="7"/>
      <c r="JXV144" s="7"/>
      <c r="JXW144" s="7"/>
      <c r="JXX144" s="7"/>
      <c r="JXY144" s="7"/>
      <c r="JXZ144" s="7"/>
      <c r="JYA144" s="7"/>
      <c r="JYB144" s="7"/>
      <c r="JYC144" s="7"/>
      <c r="JYD144" s="7"/>
      <c r="JYE144" s="7"/>
      <c r="JYF144" s="7"/>
      <c r="JYG144" s="7"/>
      <c r="JYH144" s="7"/>
      <c r="JYI144" s="7"/>
      <c r="JYJ144" s="7"/>
      <c r="JYK144" s="7"/>
      <c r="JYL144" s="7"/>
      <c r="JYM144" s="7"/>
      <c r="JYN144" s="7"/>
      <c r="JYO144" s="7"/>
      <c r="JYP144" s="7"/>
      <c r="JYQ144" s="7"/>
      <c r="JYR144" s="7"/>
      <c r="JYS144" s="7"/>
      <c r="JYT144" s="7"/>
      <c r="JYU144" s="7"/>
      <c r="JYV144" s="7"/>
      <c r="JYW144" s="7"/>
      <c r="JYX144" s="7"/>
      <c r="JYY144" s="7"/>
      <c r="JYZ144" s="7"/>
      <c r="JZA144" s="7"/>
      <c r="JZB144" s="7"/>
      <c r="JZC144" s="7"/>
      <c r="JZD144" s="7"/>
      <c r="JZE144" s="7"/>
      <c r="JZF144" s="7"/>
      <c r="JZG144" s="7"/>
      <c r="JZH144" s="7"/>
      <c r="JZI144" s="7"/>
      <c r="JZJ144" s="7"/>
      <c r="JZK144" s="7"/>
      <c r="JZL144" s="7"/>
      <c r="JZM144" s="7"/>
      <c r="JZN144" s="7"/>
      <c r="JZO144" s="7"/>
      <c r="JZP144" s="7"/>
      <c r="JZQ144" s="7"/>
      <c r="JZR144" s="7"/>
      <c r="JZS144" s="7"/>
      <c r="JZT144" s="7"/>
      <c r="JZU144" s="7"/>
      <c r="JZV144" s="7"/>
      <c r="JZW144" s="7"/>
      <c r="JZX144" s="7"/>
      <c r="JZY144" s="7"/>
      <c r="JZZ144" s="7"/>
      <c r="KAA144" s="7"/>
      <c r="KAB144" s="7"/>
      <c r="KAC144" s="7"/>
      <c r="KAD144" s="7"/>
      <c r="KAE144" s="7"/>
      <c r="KAF144" s="7"/>
      <c r="KAG144" s="7"/>
      <c r="KAH144" s="7"/>
      <c r="KAI144" s="7"/>
      <c r="KAJ144" s="7"/>
      <c r="KAK144" s="7"/>
      <c r="KAL144" s="7"/>
      <c r="KAM144" s="7"/>
      <c r="KAN144" s="7"/>
      <c r="KAO144" s="7"/>
      <c r="KAP144" s="7"/>
      <c r="KAQ144" s="7"/>
      <c r="KAR144" s="7"/>
      <c r="KAS144" s="7"/>
      <c r="KAT144" s="7"/>
      <c r="KAU144" s="7"/>
      <c r="KAV144" s="7"/>
      <c r="KAW144" s="7"/>
      <c r="KAX144" s="7"/>
      <c r="KAY144" s="7"/>
      <c r="KAZ144" s="7"/>
      <c r="KBA144" s="7"/>
      <c r="KBB144" s="7"/>
      <c r="KBC144" s="7"/>
      <c r="KBD144" s="7"/>
      <c r="KBE144" s="7"/>
      <c r="KBF144" s="7"/>
      <c r="KBG144" s="7"/>
      <c r="KBH144" s="7"/>
      <c r="KBI144" s="7"/>
      <c r="KBJ144" s="7"/>
      <c r="KBK144" s="7"/>
      <c r="KBL144" s="7"/>
      <c r="KBM144" s="7"/>
      <c r="KBN144" s="7"/>
      <c r="KBO144" s="7"/>
      <c r="KBP144" s="7"/>
      <c r="KBQ144" s="7"/>
      <c r="KBR144" s="7"/>
      <c r="KBS144" s="7"/>
      <c r="KBT144" s="7"/>
      <c r="KBU144" s="7"/>
      <c r="KBV144" s="7"/>
      <c r="KBW144" s="7"/>
      <c r="KBX144" s="7"/>
      <c r="KBY144" s="7"/>
      <c r="KBZ144" s="7"/>
      <c r="KCA144" s="7"/>
      <c r="KCB144" s="7"/>
      <c r="KCC144" s="7"/>
      <c r="KCD144" s="7"/>
      <c r="KCE144" s="7"/>
      <c r="KCF144" s="7"/>
      <c r="KCG144" s="7"/>
      <c r="KCH144" s="7"/>
      <c r="KCI144" s="7"/>
      <c r="KCJ144" s="7"/>
      <c r="KCK144" s="7"/>
      <c r="KCL144" s="7"/>
      <c r="KCM144" s="7"/>
      <c r="KCN144" s="7"/>
      <c r="KCO144" s="7"/>
      <c r="KCP144" s="7"/>
      <c r="KCQ144" s="7"/>
      <c r="KCR144" s="7"/>
      <c r="KCS144" s="7"/>
      <c r="KCT144" s="7"/>
      <c r="KCU144" s="7"/>
      <c r="KCV144" s="7"/>
      <c r="KCW144" s="7"/>
      <c r="KCX144" s="7"/>
      <c r="KCY144" s="7"/>
      <c r="KCZ144" s="7"/>
      <c r="KDA144" s="7"/>
      <c r="KDB144" s="7"/>
      <c r="KDC144" s="7"/>
      <c r="KDD144" s="7"/>
      <c r="KDE144" s="7"/>
      <c r="KDF144" s="7"/>
      <c r="KDG144" s="7"/>
      <c r="KDH144" s="7"/>
      <c r="KDI144" s="7"/>
      <c r="KDJ144" s="7"/>
      <c r="KDK144" s="7"/>
      <c r="KDL144" s="7"/>
      <c r="KDM144" s="7"/>
      <c r="KDN144" s="7"/>
      <c r="KDO144" s="7"/>
      <c r="KDP144" s="7"/>
      <c r="KDQ144" s="7"/>
      <c r="KDR144" s="7"/>
      <c r="KDS144" s="7"/>
      <c r="KDT144" s="7"/>
      <c r="KDU144" s="7"/>
      <c r="KDV144" s="7"/>
      <c r="KDW144" s="7"/>
      <c r="KDX144" s="7"/>
      <c r="KDY144" s="7"/>
      <c r="KDZ144" s="7"/>
      <c r="KEA144" s="7"/>
      <c r="KEB144" s="7"/>
      <c r="KEC144" s="7"/>
      <c r="KED144" s="7"/>
      <c r="KEE144" s="7"/>
      <c r="KEF144" s="7"/>
      <c r="KEG144" s="7"/>
      <c r="KEH144" s="7"/>
      <c r="KEI144" s="7"/>
      <c r="KEJ144" s="7"/>
      <c r="KEK144" s="7"/>
      <c r="KEL144" s="7"/>
      <c r="KEM144" s="7"/>
      <c r="KEN144" s="7"/>
      <c r="KEO144" s="7"/>
      <c r="KEP144" s="7"/>
      <c r="KEQ144" s="7"/>
      <c r="KER144" s="7"/>
      <c r="KES144" s="7"/>
      <c r="KET144" s="7"/>
      <c r="KEU144" s="7"/>
      <c r="KEV144" s="7"/>
      <c r="KEW144" s="7"/>
      <c r="KEX144" s="7"/>
      <c r="KEY144" s="7"/>
      <c r="KEZ144" s="7"/>
      <c r="KFA144" s="7"/>
      <c r="KFB144" s="7"/>
      <c r="KFC144" s="7"/>
      <c r="KFD144" s="7"/>
      <c r="KFE144" s="7"/>
      <c r="KFF144" s="7"/>
      <c r="KFG144" s="7"/>
      <c r="KFH144" s="7"/>
      <c r="KFI144" s="7"/>
      <c r="KFJ144" s="7"/>
      <c r="KFK144" s="7"/>
      <c r="KFL144" s="7"/>
      <c r="KFM144" s="7"/>
      <c r="KFN144" s="7"/>
      <c r="KFO144" s="7"/>
      <c r="KFP144" s="7"/>
      <c r="KFQ144" s="7"/>
      <c r="KFR144" s="7"/>
      <c r="KFS144" s="7"/>
      <c r="KFT144" s="7"/>
      <c r="KFU144" s="7"/>
      <c r="KFV144" s="7"/>
      <c r="KFW144" s="7"/>
      <c r="KFX144" s="7"/>
      <c r="KFY144" s="7"/>
      <c r="KFZ144" s="7"/>
      <c r="KGA144" s="7"/>
      <c r="KGB144" s="7"/>
      <c r="KGC144" s="7"/>
      <c r="KGD144" s="7"/>
      <c r="KGE144" s="7"/>
      <c r="KGF144" s="7"/>
      <c r="KGG144" s="7"/>
      <c r="KGH144" s="7"/>
      <c r="KGI144" s="7"/>
      <c r="KGJ144" s="7"/>
      <c r="KGK144" s="7"/>
      <c r="KGL144" s="7"/>
      <c r="KGM144" s="7"/>
      <c r="KGN144" s="7"/>
      <c r="KGO144" s="7"/>
      <c r="KGP144" s="7"/>
      <c r="KGQ144" s="7"/>
      <c r="KGR144" s="7"/>
      <c r="KGS144" s="7"/>
      <c r="KGT144" s="7"/>
      <c r="KGU144" s="7"/>
      <c r="KGV144" s="7"/>
      <c r="KGW144" s="7"/>
      <c r="KGX144" s="7"/>
      <c r="KGY144" s="7"/>
      <c r="KGZ144" s="7"/>
      <c r="KHA144" s="7"/>
      <c r="KHB144" s="7"/>
      <c r="KHC144" s="7"/>
      <c r="KHD144" s="7"/>
      <c r="KHE144" s="7"/>
      <c r="KHF144" s="7"/>
      <c r="KHG144" s="7"/>
      <c r="KHH144" s="7"/>
      <c r="KHI144" s="7"/>
      <c r="KHJ144" s="7"/>
      <c r="KHK144" s="7"/>
      <c r="KHL144" s="7"/>
      <c r="KHM144" s="7"/>
      <c r="KHN144" s="7"/>
      <c r="KHO144" s="7"/>
      <c r="KHP144" s="7"/>
      <c r="KHQ144" s="7"/>
      <c r="KHR144" s="7"/>
      <c r="KHS144" s="7"/>
      <c r="KHT144" s="7"/>
      <c r="KHU144" s="7"/>
      <c r="KHV144" s="7"/>
      <c r="KHW144" s="7"/>
      <c r="KHX144" s="7"/>
      <c r="KHY144" s="7"/>
      <c r="KHZ144" s="7"/>
      <c r="KIA144" s="7"/>
      <c r="KIB144" s="7"/>
      <c r="KIC144" s="7"/>
      <c r="KID144" s="7"/>
      <c r="KIE144" s="7"/>
      <c r="KIF144" s="7"/>
      <c r="KIG144" s="7"/>
      <c r="KIH144" s="7"/>
      <c r="KII144" s="7"/>
      <c r="KIJ144" s="7"/>
      <c r="KIK144" s="7"/>
      <c r="KIL144" s="7"/>
      <c r="KIM144" s="7"/>
      <c r="KIN144" s="7"/>
      <c r="KIO144" s="7"/>
      <c r="KIP144" s="7"/>
      <c r="KIQ144" s="7"/>
      <c r="KIR144" s="7"/>
      <c r="KIS144" s="7"/>
      <c r="KIT144" s="7"/>
      <c r="KIU144" s="7"/>
      <c r="KIV144" s="7"/>
      <c r="KIW144" s="7"/>
      <c r="KIX144" s="7"/>
      <c r="KIY144" s="7"/>
      <c r="KIZ144" s="7"/>
      <c r="KJA144" s="7"/>
      <c r="KJB144" s="7"/>
      <c r="KJC144" s="7"/>
      <c r="KJD144" s="7"/>
      <c r="KJE144" s="7"/>
      <c r="KJF144" s="7"/>
      <c r="KJG144" s="7"/>
      <c r="KJH144" s="7"/>
      <c r="KJI144" s="7"/>
      <c r="KJJ144" s="7"/>
      <c r="KJK144" s="7"/>
      <c r="KJL144" s="7"/>
      <c r="KJM144" s="7"/>
      <c r="KJN144" s="7"/>
      <c r="KJO144" s="7"/>
      <c r="KJP144" s="7"/>
      <c r="KJQ144" s="7"/>
      <c r="KJR144" s="7"/>
      <c r="KJS144" s="7"/>
      <c r="KJT144" s="7"/>
      <c r="KJU144" s="7"/>
      <c r="KJV144" s="7"/>
      <c r="KJW144" s="7"/>
      <c r="KJX144" s="7"/>
      <c r="KJY144" s="7"/>
      <c r="KJZ144" s="7"/>
      <c r="KKA144" s="7"/>
      <c r="KKB144" s="7"/>
      <c r="KKC144" s="7"/>
      <c r="KKD144" s="7"/>
      <c r="KKE144" s="7"/>
      <c r="KKF144" s="7"/>
      <c r="KKG144" s="7"/>
      <c r="KKH144" s="7"/>
      <c r="KKI144" s="7"/>
      <c r="KKJ144" s="7"/>
      <c r="KKK144" s="7"/>
      <c r="KKL144" s="7"/>
      <c r="KKM144" s="7"/>
      <c r="KKN144" s="7"/>
      <c r="KKO144" s="7"/>
      <c r="KKP144" s="7"/>
      <c r="KKQ144" s="7"/>
      <c r="KKR144" s="7"/>
      <c r="KKS144" s="7"/>
      <c r="KKT144" s="7"/>
      <c r="KKU144" s="7"/>
      <c r="KKV144" s="7"/>
      <c r="KKW144" s="7"/>
      <c r="KKX144" s="7"/>
      <c r="KKY144" s="7"/>
      <c r="KKZ144" s="7"/>
      <c r="KLA144" s="7"/>
      <c r="KLB144" s="7"/>
      <c r="KLC144" s="7"/>
      <c r="KLD144" s="7"/>
      <c r="KLE144" s="7"/>
      <c r="KLF144" s="7"/>
      <c r="KLG144" s="7"/>
      <c r="KLH144" s="7"/>
      <c r="KLI144" s="7"/>
      <c r="KLJ144" s="7"/>
      <c r="KLK144" s="7"/>
      <c r="KLL144" s="7"/>
      <c r="KLM144" s="7"/>
      <c r="KLN144" s="7"/>
      <c r="KLO144" s="7"/>
      <c r="KLP144" s="7"/>
      <c r="KLQ144" s="7"/>
      <c r="KLR144" s="7"/>
      <c r="KLS144" s="7"/>
      <c r="KLT144" s="7"/>
      <c r="KLU144" s="7"/>
      <c r="KLV144" s="7"/>
      <c r="KLW144" s="7"/>
      <c r="KLX144" s="7"/>
      <c r="KLY144" s="7"/>
      <c r="KLZ144" s="7"/>
      <c r="KMA144" s="7"/>
      <c r="KMB144" s="7"/>
      <c r="KMC144" s="7"/>
      <c r="KMD144" s="7"/>
      <c r="KME144" s="7"/>
      <c r="KMF144" s="7"/>
      <c r="KMG144" s="7"/>
      <c r="KMH144" s="7"/>
      <c r="KMI144" s="7"/>
      <c r="KMJ144" s="7"/>
      <c r="KMK144" s="7"/>
      <c r="KML144" s="7"/>
      <c r="KMM144" s="7"/>
      <c r="KMN144" s="7"/>
      <c r="KMO144" s="7"/>
      <c r="KMP144" s="7"/>
      <c r="KMQ144" s="7"/>
      <c r="KMR144" s="7"/>
      <c r="KMS144" s="7"/>
      <c r="KMT144" s="7"/>
      <c r="KMU144" s="7"/>
      <c r="KMV144" s="7"/>
      <c r="KMW144" s="7"/>
      <c r="KMX144" s="7"/>
      <c r="KMY144" s="7"/>
      <c r="KMZ144" s="7"/>
      <c r="KNA144" s="7"/>
      <c r="KNB144" s="7"/>
      <c r="KNC144" s="7"/>
      <c r="KND144" s="7"/>
      <c r="KNE144" s="7"/>
      <c r="KNF144" s="7"/>
      <c r="KNG144" s="7"/>
      <c r="KNH144" s="7"/>
      <c r="KNI144" s="7"/>
      <c r="KNJ144" s="7"/>
      <c r="KNK144" s="7"/>
      <c r="KNL144" s="7"/>
      <c r="KNM144" s="7"/>
      <c r="KNN144" s="7"/>
      <c r="KNO144" s="7"/>
      <c r="KNP144" s="7"/>
      <c r="KNQ144" s="7"/>
      <c r="KNR144" s="7"/>
      <c r="KNS144" s="7"/>
      <c r="KNT144" s="7"/>
      <c r="KNU144" s="7"/>
      <c r="KNV144" s="7"/>
      <c r="KNW144" s="7"/>
      <c r="KNX144" s="7"/>
      <c r="KNY144" s="7"/>
      <c r="KNZ144" s="7"/>
      <c r="KOA144" s="7"/>
      <c r="KOB144" s="7"/>
      <c r="KOC144" s="7"/>
      <c r="KOD144" s="7"/>
      <c r="KOE144" s="7"/>
      <c r="KOF144" s="7"/>
      <c r="KOG144" s="7"/>
      <c r="KOH144" s="7"/>
      <c r="KOI144" s="7"/>
      <c r="KOJ144" s="7"/>
      <c r="KOK144" s="7"/>
      <c r="KOL144" s="7"/>
      <c r="KOM144" s="7"/>
      <c r="KON144" s="7"/>
      <c r="KOO144" s="7"/>
      <c r="KOP144" s="7"/>
      <c r="KOQ144" s="7"/>
      <c r="KOR144" s="7"/>
      <c r="KOS144" s="7"/>
      <c r="KOT144" s="7"/>
      <c r="KOU144" s="7"/>
      <c r="KOV144" s="7"/>
      <c r="KOW144" s="7"/>
      <c r="KOX144" s="7"/>
      <c r="KOY144" s="7"/>
      <c r="KOZ144" s="7"/>
      <c r="KPA144" s="7"/>
      <c r="KPB144" s="7"/>
      <c r="KPC144" s="7"/>
      <c r="KPD144" s="7"/>
      <c r="KPE144" s="7"/>
      <c r="KPF144" s="7"/>
      <c r="KPG144" s="7"/>
      <c r="KPH144" s="7"/>
      <c r="KPI144" s="7"/>
      <c r="KPJ144" s="7"/>
      <c r="KPK144" s="7"/>
      <c r="KPL144" s="7"/>
      <c r="KPM144" s="7"/>
      <c r="KPN144" s="7"/>
      <c r="KPO144" s="7"/>
      <c r="KPP144" s="7"/>
      <c r="KPQ144" s="7"/>
      <c r="KPR144" s="7"/>
      <c r="KPS144" s="7"/>
      <c r="KPT144" s="7"/>
      <c r="KPU144" s="7"/>
      <c r="KPV144" s="7"/>
      <c r="KPW144" s="7"/>
      <c r="KPX144" s="7"/>
      <c r="KPY144" s="7"/>
      <c r="KPZ144" s="7"/>
      <c r="KQA144" s="7"/>
      <c r="KQB144" s="7"/>
      <c r="KQC144" s="7"/>
      <c r="KQD144" s="7"/>
      <c r="KQE144" s="7"/>
      <c r="KQF144" s="7"/>
      <c r="KQG144" s="7"/>
      <c r="KQH144" s="7"/>
      <c r="KQI144" s="7"/>
      <c r="KQJ144" s="7"/>
      <c r="KQK144" s="7"/>
      <c r="KQL144" s="7"/>
      <c r="KQM144" s="7"/>
      <c r="KQN144" s="7"/>
      <c r="KQO144" s="7"/>
      <c r="KQP144" s="7"/>
      <c r="KQQ144" s="7"/>
      <c r="KQR144" s="7"/>
      <c r="KQS144" s="7"/>
      <c r="KQT144" s="7"/>
      <c r="KQU144" s="7"/>
      <c r="KQV144" s="7"/>
      <c r="KQW144" s="7"/>
      <c r="KQX144" s="7"/>
      <c r="KQY144" s="7"/>
      <c r="KQZ144" s="7"/>
      <c r="KRA144" s="7"/>
      <c r="KRB144" s="7"/>
      <c r="KRC144" s="7"/>
      <c r="KRD144" s="7"/>
      <c r="KRE144" s="7"/>
      <c r="KRF144" s="7"/>
      <c r="KRG144" s="7"/>
      <c r="KRH144" s="7"/>
      <c r="KRI144" s="7"/>
      <c r="KRJ144" s="7"/>
      <c r="KRK144" s="7"/>
      <c r="KRL144" s="7"/>
      <c r="KRM144" s="7"/>
      <c r="KRN144" s="7"/>
      <c r="KRO144" s="7"/>
      <c r="KRP144" s="7"/>
      <c r="KRQ144" s="7"/>
      <c r="KRR144" s="7"/>
      <c r="KRS144" s="7"/>
      <c r="KRT144" s="7"/>
      <c r="KRU144" s="7"/>
      <c r="KRV144" s="7"/>
      <c r="KRW144" s="7"/>
      <c r="KRX144" s="7"/>
      <c r="KRY144" s="7"/>
      <c r="KRZ144" s="7"/>
      <c r="KSA144" s="7"/>
      <c r="KSB144" s="7"/>
      <c r="KSC144" s="7"/>
      <c r="KSD144" s="7"/>
      <c r="KSE144" s="7"/>
      <c r="KSF144" s="7"/>
      <c r="KSG144" s="7"/>
      <c r="KSH144" s="7"/>
      <c r="KSI144" s="7"/>
      <c r="KSJ144" s="7"/>
      <c r="KSK144" s="7"/>
      <c r="KSL144" s="7"/>
      <c r="KSM144" s="7"/>
      <c r="KSN144" s="7"/>
      <c r="KSO144" s="7"/>
      <c r="KSP144" s="7"/>
      <c r="KSQ144" s="7"/>
      <c r="KSR144" s="7"/>
      <c r="KSS144" s="7"/>
      <c r="KST144" s="7"/>
      <c r="KSU144" s="7"/>
      <c r="KSV144" s="7"/>
      <c r="KSW144" s="7"/>
      <c r="KSX144" s="7"/>
      <c r="KSY144" s="7"/>
      <c r="KSZ144" s="7"/>
      <c r="KTA144" s="7"/>
      <c r="KTB144" s="7"/>
      <c r="KTC144" s="7"/>
      <c r="KTD144" s="7"/>
      <c r="KTE144" s="7"/>
      <c r="KTF144" s="7"/>
      <c r="KTG144" s="7"/>
      <c r="KTH144" s="7"/>
      <c r="KTI144" s="7"/>
      <c r="KTJ144" s="7"/>
      <c r="KTK144" s="7"/>
      <c r="KTL144" s="7"/>
      <c r="KTM144" s="7"/>
      <c r="KTN144" s="7"/>
      <c r="KTO144" s="7"/>
      <c r="KTP144" s="7"/>
      <c r="KTQ144" s="7"/>
      <c r="KTR144" s="7"/>
      <c r="KTS144" s="7"/>
      <c r="KTT144" s="7"/>
      <c r="KTU144" s="7"/>
      <c r="KTV144" s="7"/>
      <c r="KTW144" s="7"/>
      <c r="KTX144" s="7"/>
      <c r="KTY144" s="7"/>
      <c r="KTZ144" s="7"/>
      <c r="KUA144" s="7"/>
      <c r="KUB144" s="7"/>
      <c r="KUC144" s="7"/>
      <c r="KUD144" s="7"/>
      <c r="KUE144" s="7"/>
      <c r="KUF144" s="7"/>
      <c r="KUG144" s="7"/>
      <c r="KUH144" s="7"/>
      <c r="KUI144" s="7"/>
      <c r="KUJ144" s="7"/>
      <c r="KUK144" s="7"/>
      <c r="KUL144" s="7"/>
      <c r="KUM144" s="7"/>
      <c r="KUN144" s="7"/>
      <c r="KUO144" s="7"/>
      <c r="KUP144" s="7"/>
      <c r="KUQ144" s="7"/>
      <c r="KUR144" s="7"/>
      <c r="KUS144" s="7"/>
      <c r="KUT144" s="7"/>
      <c r="KUU144" s="7"/>
      <c r="KUV144" s="7"/>
      <c r="KUW144" s="7"/>
      <c r="KUX144" s="7"/>
      <c r="KUY144" s="7"/>
      <c r="KUZ144" s="7"/>
      <c r="KVA144" s="7"/>
      <c r="KVB144" s="7"/>
      <c r="KVC144" s="7"/>
      <c r="KVD144" s="7"/>
      <c r="KVE144" s="7"/>
      <c r="KVF144" s="7"/>
      <c r="KVG144" s="7"/>
      <c r="KVH144" s="7"/>
      <c r="KVI144" s="7"/>
      <c r="KVJ144" s="7"/>
      <c r="KVK144" s="7"/>
      <c r="KVL144" s="7"/>
      <c r="KVM144" s="7"/>
      <c r="KVN144" s="7"/>
      <c r="KVO144" s="7"/>
      <c r="KVP144" s="7"/>
      <c r="KVQ144" s="7"/>
      <c r="KVR144" s="7"/>
      <c r="KVS144" s="7"/>
      <c r="KVT144" s="7"/>
      <c r="KVU144" s="7"/>
      <c r="KVV144" s="7"/>
      <c r="KVW144" s="7"/>
      <c r="KVX144" s="7"/>
      <c r="KVY144" s="7"/>
      <c r="KVZ144" s="7"/>
      <c r="KWA144" s="7"/>
      <c r="KWB144" s="7"/>
      <c r="KWC144" s="7"/>
      <c r="KWD144" s="7"/>
      <c r="KWE144" s="7"/>
      <c r="KWF144" s="7"/>
      <c r="KWG144" s="7"/>
      <c r="KWH144" s="7"/>
      <c r="KWI144" s="7"/>
      <c r="KWJ144" s="7"/>
      <c r="KWK144" s="7"/>
      <c r="KWL144" s="7"/>
      <c r="KWM144" s="7"/>
      <c r="KWN144" s="7"/>
      <c r="KWO144" s="7"/>
      <c r="KWP144" s="7"/>
      <c r="KWQ144" s="7"/>
      <c r="KWR144" s="7"/>
      <c r="KWS144" s="7"/>
      <c r="KWT144" s="7"/>
      <c r="KWU144" s="7"/>
      <c r="KWV144" s="7"/>
      <c r="KWW144" s="7"/>
      <c r="KWX144" s="7"/>
      <c r="KWY144" s="7"/>
      <c r="KWZ144" s="7"/>
      <c r="KXA144" s="7"/>
      <c r="KXB144" s="7"/>
      <c r="KXC144" s="7"/>
      <c r="KXD144" s="7"/>
      <c r="KXE144" s="7"/>
      <c r="KXF144" s="7"/>
      <c r="KXG144" s="7"/>
      <c r="KXH144" s="7"/>
      <c r="KXI144" s="7"/>
      <c r="KXJ144" s="7"/>
      <c r="KXK144" s="7"/>
      <c r="KXL144" s="7"/>
      <c r="KXM144" s="7"/>
      <c r="KXN144" s="7"/>
      <c r="KXO144" s="7"/>
      <c r="KXP144" s="7"/>
      <c r="KXQ144" s="7"/>
      <c r="KXR144" s="7"/>
      <c r="KXS144" s="7"/>
      <c r="KXT144" s="7"/>
      <c r="KXU144" s="7"/>
      <c r="KXV144" s="7"/>
      <c r="KXW144" s="7"/>
      <c r="KXX144" s="7"/>
      <c r="KXY144" s="7"/>
      <c r="KXZ144" s="7"/>
      <c r="KYA144" s="7"/>
      <c r="KYB144" s="7"/>
      <c r="KYC144" s="7"/>
      <c r="KYD144" s="7"/>
      <c r="KYE144" s="7"/>
      <c r="KYF144" s="7"/>
      <c r="KYG144" s="7"/>
      <c r="KYH144" s="7"/>
      <c r="KYI144" s="7"/>
      <c r="KYJ144" s="7"/>
      <c r="KYK144" s="7"/>
      <c r="KYL144" s="7"/>
      <c r="KYM144" s="7"/>
      <c r="KYN144" s="7"/>
      <c r="KYO144" s="7"/>
      <c r="KYP144" s="7"/>
      <c r="KYQ144" s="7"/>
      <c r="KYR144" s="7"/>
      <c r="KYS144" s="7"/>
      <c r="KYT144" s="7"/>
      <c r="KYU144" s="7"/>
      <c r="KYV144" s="7"/>
      <c r="KYW144" s="7"/>
      <c r="KYX144" s="7"/>
      <c r="KYY144" s="7"/>
      <c r="KYZ144" s="7"/>
      <c r="KZA144" s="7"/>
      <c r="KZB144" s="7"/>
      <c r="KZC144" s="7"/>
      <c r="KZD144" s="7"/>
      <c r="KZE144" s="7"/>
      <c r="KZF144" s="7"/>
      <c r="KZG144" s="7"/>
      <c r="KZH144" s="7"/>
      <c r="KZI144" s="7"/>
      <c r="KZJ144" s="7"/>
      <c r="KZK144" s="7"/>
      <c r="KZL144" s="7"/>
      <c r="KZM144" s="7"/>
      <c r="KZN144" s="7"/>
      <c r="KZO144" s="7"/>
      <c r="KZP144" s="7"/>
      <c r="KZQ144" s="7"/>
      <c r="KZR144" s="7"/>
      <c r="KZS144" s="7"/>
      <c r="KZT144" s="7"/>
      <c r="KZU144" s="7"/>
      <c r="KZV144" s="7"/>
      <c r="KZW144" s="7"/>
      <c r="KZX144" s="7"/>
      <c r="KZY144" s="7"/>
      <c r="KZZ144" s="7"/>
      <c r="LAA144" s="7"/>
      <c r="LAB144" s="7"/>
      <c r="LAC144" s="7"/>
      <c r="LAD144" s="7"/>
      <c r="LAE144" s="7"/>
      <c r="LAF144" s="7"/>
      <c r="LAG144" s="7"/>
      <c r="LAH144" s="7"/>
      <c r="LAI144" s="7"/>
      <c r="LAJ144" s="7"/>
      <c r="LAK144" s="7"/>
      <c r="LAL144" s="7"/>
      <c r="LAM144" s="7"/>
      <c r="LAN144" s="7"/>
      <c r="LAO144" s="7"/>
      <c r="LAP144" s="7"/>
      <c r="LAQ144" s="7"/>
      <c r="LAR144" s="7"/>
      <c r="LAS144" s="7"/>
      <c r="LAT144" s="7"/>
      <c r="LAU144" s="7"/>
      <c r="LAV144" s="7"/>
      <c r="LAW144" s="7"/>
      <c r="LAX144" s="7"/>
      <c r="LAY144" s="7"/>
      <c r="LAZ144" s="7"/>
      <c r="LBA144" s="7"/>
      <c r="LBB144" s="7"/>
      <c r="LBC144" s="7"/>
      <c r="LBD144" s="7"/>
      <c r="LBE144" s="7"/>
      <c r="LBF144" s="7"/>
      <c r="LBG144" s="7"/>
      <c r="LBH144" s="7"/>
      <c r="LBI144" s="7"/>
      <c r="LBJ144" s="7"/>
      <c r="LBK144" s="7"/>
      <c r="LBL144" s="7"/>
      <c r="LBM144" s="7"/>
      <c r="LBN144" s="7"/>
      <c r="LBO144" s="7"/>
      <c r="LBP144" s="7"/>
      <c r="LBQ144" s="7"/>
      <c r="LBR144" s="7"/>
      <c r="LBS144" s="7"/>
      <c r="LBT144" s="7"/>
      <c r="LBU144" s="7"/>
      <c r="LBV144" s="7"/>
      <c r="LBW144" s="7"/>
      <c r="LBX144" s="7"/>
      <c r="LBY144" s="7"/>
      <c r="LBZ144" s="7"/>
      <c r="LCA144" s="7"/>
      <c r="LCB144" s="7"/>
      <c r="LCC144" s="7"/>
      <c r="LCD144" s="7"/>
      <c r="LCE144" s="7"/>
      <c r="LCF144" s="7"/>
      <c r="LCG144" s="7"/>
      <c r="LCH144" s="7"/>
      <c r="LCI144" s="7"/>
      <c r="LCJ144" s="7"/>
      <c r="LCK144" s="7"/>
      <c r="LCL144" s="7"/>
      <c r="LCM144" s="7"/>
      <c r="LCN144" s="7"/>
      <c r="LCO144" s="7"/>
      <c r="LCP144" s="7"/>
      <c r="LCQ144" s="7"/>
      <c r="LCR144" s="7"/>
      <c r="LCS144" s="7"/>
      <c r="LCT144" s="7"/>
      <c r="LCU144" s="7"/>
      <c r="LCV144" s="7"/>
      <c r="LCW144" s="7"/>
      <c r="LCX144" s="7"/>
      <c r="LCY144" s="7"/>
      <c r="LCZ144" s="7"/>
      <c r="LDA144" s="7"/>
      <c r="LDB144" s="7"/>
      <c r="LDC144" s="7"/>
      <c r="LDD144" s="7"/>
      <c r="LDE144" s="7"/>
      <c r="LDF144" s="7"/>
      <c r="LDG144" s="7"/>
      <c r="LDH144" s="7"/>
      <c r="LDI144" s="7"/>
      <c r="LDJ144" s="7"/>
      <c r="LDK144" s="7"/>
      <c r="LDL144" s="7"/>
      <c r="LDM144" s="7"/>
      <c r="LDN144" s="7"/>
      <c r="LDO144" s="7"/>
      <c r="LDP144" s="7"/>
      <c r="LDQ144" s="7"/>
      <c r="LDR144" s="7"/>
      <c r="LDS144" s="7"/>
      <c r="LDT144" s="7"/>
      <c r="LDU144" s="7"/>
      <c r="LDV144" s="7"/>
      <c r="LDW144" s="7"/>
      <c r="LDX144" s="7"/>
      <c r="LDY144" s="7"/>
      <c r="LDZ144" s="7"/>
      <c r="LEA144" s="7"/>
      <c r="LEB144" s="7"/>
      <c r="LEC144" s="7"/>
      <c r="LED144" s="7"/>
      <c r="LEE144" s="7"/>
      <c r="LEF144" s="7"/>
      <c r="LEG144" s="7"/>
      <c r="LEH144" s="7"/>
      <c r="LEI144" s="7"/>
      <c r="LEJ144" s="7"/>
      <c r="LEK144" s="7"/>
      <c r="LEL144" s="7"/>
      <c r="LEM144" s="7"/>
      <c r="LEN144" s="7"/>
      <c r="LEO144" s="7"/>
      <c r="LEP144" s="7"/>
      <c r="LEQ144" s="7"/>
      <c r="LER144" s="7"/>
      <c r="LES144" s="7"/>
      <c r="LET144" s="7"/>
      <c r="LEU144" s="7"/>
      <c r="LEV144" s="7"/>
      <c r="LEW144" s="7"/>
      <c r="LEX144" s="7"/>
      <c r="LEY144" s="7"/>
      <c r="LEZ144" s="7"/>
      <c r="LFA144" s="7"/>
      <c r="LFB144" s="7"/>
      <c r="LFC144" s="7"/>
      <c r="LFD144" s="7"/>
      <c r="LFE144" s="7"/>
      <c r="LFF144" s="7"/>
      <c r="LFG144" s="7"/>
      <c r="LFH144" s="7"/>
      <c r="LFI144" s="7"/>
      <c r="LFJ144" s="7"/>
      <c r="LFK144" s="7"/>
      <c r="LFL144" s="7"/>
      <c r="LFM144" s="7"/>
      <c r="LFN144" s="7"/>
      <c r="LFO144" s="7"/>
      <c r="LFP144" s="7"/>
      <c r="LFQ144" s="7"/>
      <c r="LFR144" s="7"/>
      <c r="LFS144" s="7"/>
      <c r="LFT144" s="7"/>
      <c r="LFU144" s="7"/>
      <c r="LFV144" s="7"/>
      <c r="LFW144" s="7"/>
      <c r="LFX144" s="7"/>
      <c r="LFY144" s="7"/>
      <c r="LFZ144" s="7"/>
      <c r="LGA144" s="7"/>
      <c r="LGB144" s="7"/>
      <c r="LGC144" s="7"/>
      <c r="LGD144" s="7"/>
      <c r="LGE144" s="7"/>
      <c r="LGF144" s="7"/>
      <c r="LGG144" s="7"/>
      <c r="LGH144" s="7"/>
      <c r="LGI144" s="7"/>
      <c r="LGJ144" s="7"/>
      <c r="LGK144" s="7"/>
      <c r="LGL144" s="7"/>
      <c r="LGM144" s="7"/>
      <c r="LGN144" s="7"/>
      <c r="LGO144" s="7"/>
      <c r="LGP144" s="7"/>
      <c r="LGQ144" s="7"/>
      <c r="LGR144" s="7"/>
      <c r="LGS144" s="7"/>
      <c r="LGT144" s="7"/>
      <c r="LGU144" s="7"/>
      <c r="LGV144" s="7"/>
      <c r="LGW144" s="7"/>
      <c r="LGX144" s="7"/>
      <c r="LGY144" s="7"/>
      <c r="LGZ144" s="7"/>
      <c r="LHA144" s="7"/>
      <c r="LHB144" s="7"/>
      <c r="LHC144" s="7"/>
      <c r="LHD144" s="7"/>
      <c r="LHE144" s="7"/>
      <c r="LHF144" s="7"/>
      <c r="LHG144" s="7"/>
      <c r="LHH144" s="7"/>
      <c r="LHI144" s="7"/>
      <c r="LHJ144" s="7"/>
      <c r="LHK144" s="7"/>
      <c r="LHL144" s="7"/>
      <c r="LHM144" s="7"/>
      <c r="LHN144" s="7"/>
      <c r="LHO144" s="7"/>
      <c r="LHP144" s="7"/>
      <c r="LHQ144" s="7"/>
      <c r="LHR144" s="7"/>
      <c r="LHS144" s="7"/>
      <c r="LHT144" s="7"/>
      <c r="LHU144" s="7"/>
      <c r="LHV144" s="7"/>
      <c r="LHW144" s="7"/>
      <c r="LHX144" s="7"/>
      <c r="LHY144" s="7"/>
      <c r="LHZ144" s="7"/>
      <c r="LIA144" s="7"/>
      <c r="LIB144" s="7"/>
      <c r="LIC144" s="7"/>
      <c r="LID144" s="7"/>
      <c r="LIE144" s="7"/>
      <c r="LIF144" s="7"/>
      <c r="LIG144" s="7"/>
      <c r="LIH144" s="7"/>
      <c r="LII144" s="7"/>
      <c r="LIJ144" s="7"/>
      <c r="LIK144" s="7"/>
      <c r="LIL144" s="7"/>
      <c r="LIM144" s="7"/>
      <c r="LIN144" s="7"/>
      <c r="LIO144" s="7"/>
      <c r="LIP144" s="7"/>
      <c r="LIQ144" s="7"/>
      <c r="LIR144" s="7"/>
      <c r="LIS144" s="7"/>
      <c r="LIT144" s="7"/>
      <c r="LIU144" s="7"/>
      <c r="LIV144" s="7"/>
      <c r="LIW144" s="7"/>
      <c r="LIX144" s="7"/>
      <c r="LIY144" s="7"/>
      <c r="LIZ144" s="7"/>
      <c r="LJA144" s="7"/>
      <c r="LJB144" s="7"/>
      <c r="LJC144" s="7"/>
      <c r="LJD144" s="7"/>
      <c r="LJE144" s="7"/>
      <c r="LJF144" s="7"/>
      <c r="LJG144" s="7"/>
      <c r="LJH144" s="7"/>
      <c r="LJI144" s="7"/>
      <c r="LJJ144" s="7"/>
      <c r="LJK144" s="7"/>
      <c r="LJL144" s="7"/>
      <c r="LJM144" s="7"/>
      <c r="LJN144" s="7"/>
      <c r="LJO144" s="7"/>
      <c r="LJP144" s="7"/>
      <c r="LJQ144" s="7"/>
      <c r="LJR144" s="7"/>
      <c r="LJS144" s="7"/>
      <c r="LJT144" s="7"/>
      <c r="LJU144" s="7"/>
      <c r="LJV144" s="7"/>
      <c r="LJW144" s="7"/>
      <c r="LJX144" s="7"/>
      <c r="LJY144" s="7"/>
      <c r="LJZ144" s="7"/>
      <c r="LKA144" s="7"/>
      <c r="LKB144" s="7"/>
      <c r="LKC144" s="7"/>
      <c r="LKD144" s="7"/>
      <c r="LKE144" s="7"/>
      <c r="LKF144" s="7"/>
      <c r="LKG144" s="7"/>
      <c r="LKH144" s="7"/>
      <c r="LKI144" s="7"/>
      <c r="LKJ144" s="7"/>
      <c r="LKK144" s="7"/>
      <c r="LKL144" s="7"/>
      <c r="LKM144" s="7"/>
      <c r="LKN144" s="7"/>
      <c r="LKO144" s="7"/>
      <c r="LKP144" s="7"/>
      <c r="LKQ144" s="7"/>
      <c r="LKR144" s="7"/>
      <c r="LKS144" s="7"/>
      <c r="LKT144" s="7"/>
      <c r="LKU144" s="7"/>
      <c r="LKV144" s="7"/>
      <c r="LKW144" s="7"/>
      <c r="LKX144" s="7"/>
      <c r="LKY144" s="7"/>
      <c r="LKZ144" s="7"/>
      <c r="LLA144" s="7"/>
      <c r="LLB144" s="7"/>
      <c r="LLC144" s="7"/>
      <c r="LLD144" s="7"/>
      <c r="LLE144" s="7"/>
      <c r="LLF144" s="7"/>
      <c r="LLG144" s="7"/>
      <c r="LLH144" s="7"/>
      <c r="LLI144" s="7"/>
      <c r="LLJ144" s="7"/>
      <c r="LLK144" s="7"/>
      <c r="LLL144" s="7"/>
      <c r="LLM144" s="7"/>
      <c r="LLN144" s="7"/>
      <c r="LLO144" s="7"/>
      <c r="LLP144" s="7"/>
      <c r="LLQ144" s="7"/>
      <c r="LLR144" s="7"/>
      <c r="LLS144" s="7"/>
      <c r="LLT144" s="7"/>
      <c r="LLU144" s="7"/>
      <c r="LLV144" s="7"/>
      <c r="LLW144" s="7"/>
      <c r="LLX144" s="7"/>
      <c r="LLY144" s="7"/>
      <c r="LLZ144" s="7"/>
      <c r="LMA144" s="7"/>
      <c r="LMB144" s="7"/>
      <c r="LMC144" s="7"/>
      <c r="LMD144" s="7"/>
      <c r="LME144" s="7"/>
      <c r="LMF144" s="7"/>
      <c r="LMG144" s="7"/>
      <c r="LMH144" s="7"/>
      <c r="LMI144" s="7"/>
      <c r="LMJ144" s="7"/>
      <c r="LMK144" s="7"/>
      <c r="LML144" s="7"/>
      <c r="LMM144" s="7"/>
      <c r="LMN144" s="7"/>
      <c r="LMO144" s="7"/>
      <c r="LMP144" s="7"/>
      <c r="LMQ144" s="7"/>
      <c r="LMR144" s="7"/>
      <c r="LMS144" s="7"/>
      <c r="LMT144" s="7"/>
      <c r="LMU144" s="7"/>
      <c r="LMV144" s="7"/>
      <c r="LMW144" s="7"/>
      <c r="LMX144" s="7"/>
      <c r="LMY144" s="7"/>
      <c r="LMZ144" s="7"/>
      <c r="LNA144" s="7"/>
      <c r="LNB144" s="7"/>
      <c r="LNC144" s="7"/>
      <c r="LND144" s="7"/>
      <c r="LNE144" s="7"/>
      <c r="LNF144" s="7"/>
      <c r="LNG144" s="7"/>
      <c r="LNH144" s="7"/>
      <c r="LNI144" s="7"/>
      <c r="LNJ144" s="7"/>
      <c r="LNK144" s="7"/>
      <c r="LNL144" s="7"/>
      <c r="LNM144" s="7"/>
      <c r="LNN144" s="7"/>
      <c r="LNO144" s="7"/>
      <c r="LNP144" s="7"/>
      <c r="LNQ144" s="7"/>
      <c r="LNR144" s="7"/>
      <c r="LNS144" s="7"/>
      <c r="LNT144" s="7"/>
      <c r="LNU144" s="7"/>
      <c r="LNV144" s="7"/>
      <c r="LNW144" s="7"/>
      <c r="LNX144" s="7"/>
      <c r="LNY144" s="7"/>
      <c r="LNZ144" s="7"/>
      <c r="LOA144" s="7"/>
      <c r="LOB144" s="7"/>
      <c r="LOC144" s="7"/>
      <c r="LOD144" s="7"/>
      <c r="LOE144" s="7"/>
      <c r="LOF144" s="7"/>
      <c r="LOG144" s="7"/>
      <c r="LOH144" s="7"/>
      <c r="LOI144" s="7"/>
      <c r="LOJ144" s="7"/>
      <c r="LOK144" s="7"/>
      <c r="LOL144" s="7"/>
      <c r="LOM144" s="7"/>
      <c r="LON144" s="7"/>
      <c r="LOO144" s="7"/>
      <c r="LOP144" s="7"/>
      <c r="LOQ144" s="7"/>
      <c r="LOR144" s="7"/>
      <c r="LOS144" s="7"/>
      <c r="LOT144" s="7"/>
      <c r="LOU144" s="7"/>
      <c r="LOV144" s="7"/>
      <c r="LOW144" s="7"/>
      <c r="LOX144" s="7"/>
      <c r="LOY144" s="7"/>
      <c r="LOZ144" s="7"/>
      <c r="LPA144" s="7"/>
      <c r="LPB144" s="7"/>
      <c r="LPC144" s="7"/>
      <c r="LPD144" s="7"/>
      <c r="LPE144" s="7"/>
      <c r="LPF144" s="7"/>
      <c r="LPG144" s="7"/>
      <c r="LPH144" s="7"/>
      <c r="LPI144" s="7"/>
      <c r="LPJ144" s="7"/>
      <c r="LPK144" s="7"/>
      <c r="LPL144" s="7"/>
      <c r="LPM144" s="7"/>
      <c r="LPN144" s="7"/>
      <c r="LPO144" s="7"/>
      <c r="LPP144" s="7"/>
      <c r="LPQ144" s="7"/>
      <c r="LPR144" s="7"/>
      <c r="LPS144" s="7"/>
      <c r="LPT144" s="7"/>
      <c r="LPU144" s="7"/>
      <c r="LPV144" s="7"/>
      <c r="LPW144" s="7"/>
      <c r="LPX144" s="7"/>
      <c r="LPY144" s="7"/>
      <c r="LPZ144" s="7"/>
      <c r="LQA144" s="7"/>
      <c r="LQB144" s="7"/>
      <c r="LQC144" s="7"/>
      <c r="LQD144" s="7"/>
      <c r="LQE144" s="7"/>
      <c r="LQF144" s="7"/>
      <c r="LQG144" s="7"/>
      <c r="LQH144" s="7"/>
      <c r="LQI144" s="7"/>
      <c r="LQJ144" s="7"/>
      <c r="LQK144" s="7"/>
      <c r="LQL144" s="7"/>
      <c r="LQM144" s="7"/>
      <c r="LQN144" s="7"/>
      <c r="LQO144" s="7"/>
      <c r="LQP144" s="7"/>
      <c r="LQQ144" s="7"/>
      <c r="LQR144" s="7"/>
      <c r="LQS144" s="7"/>
      <c r="LQT144" s="7"/>
      <c r="LQU144" s="7"/>
      <c r="LQV144" s="7"/>
      <c r="LQW144" s="7"/>
      <c r="LQX144" s="7"/>
      <c r="LQY144" s="7"/>
      <c r="LQZ144" s="7"/>
      <c r="LRA144" s="7"/>
      <c r="LRB144" s="7"/>
      <c r="LRC144" s="7"/>
      <c r="LRD144" s="7"/>
      <c r="LRE144" s="7"/>
      <c r="LRF144" s="7"/>
      <c r="LRG144" s="7"/>
      <c r="LRH144" s="7"/>
      <c r="LRI144" s="7"/>
      <c r="LRJ144" s="7"/>
      <c r="LRK144" s="7"/>
      <c r="LRL144" s="7"/>
      <c r="LRM144" s="7"/>
      <c r="LRN144" s="7"/>
      <c r="LRO144" s="7"/>
      <c r="LRP144" s="7"/>
      <c r="LRQ144" s="7"/>
      <c r="LRR144" s="7"/>
      <c r="LRS144" s="7"/>
      <c r="LRT144" s="7"/>
      <c r="LRU144" s="7"/>
      <c r="LRV144" s="7"/>
      <c r="LRW144" s="7"/>
      <c r="LRX144" s="7"/>
      <c r="LRY144" s="7"/>
      <c r="LRZ144" s="7"/>
      <c r="LSA144" s="7"/>
      <c r="LSB144" s="7"/>
      <c r="LSC144" s="7"/>
      <c r="LSD144" s="7"/>
      <c r="LSE144" s="7"/>
      <c r="LSF144" s="7"/>
      <c r="LSG144" s="7"/>
      <c r="LSH144" s="7"/>
      <c r="LSI144" s="7"/>
      <c r="LSJ144" s="7"/>
      <c r="LSK144" s="7"/>
      <c r="LSL144" s="7"/>
      <c r="LSM144" s="7"/>
      <c r="LSN144" s="7"/>
      <c r="LSO144" s="7"/>
      <c r="LSP144" s="7"/>
      <c r="LSQ144" s="7"/>
      <c r="LSR144" s="7"/>
      <c r="LSS144" s="7"/>
      <c r="LST144" s="7"/>
      <c r="LSU144" s="7"/>
      <c r="LSV144" s="7"/>
      <c r="LSW144" s="7"/>
      <c r="LSX144" s="7"/>
      <c r="LSY144" s="7"/>
      <c r="LSZ144" s="7"/>
      <c r="LTA144" s="7"/>
      <c r="LTB144" s="7"/>
      <c r="LTC144" s="7"/>
      <c r="LTD144" s="7"/>
      <c r="LTE144" s="7"/>
      <c r="LTF144" s="7"/>
      <c r="LTG144" s="7"/>
      <c r="LTH144" s="7"/>
      <c r="LTI144" s="7"/>
      <c r="LTJ144" s="7"/>
      <c r="LTK144" s="7"/>
      <c r="LTL144" s="7"/>
      <c r="LTM144" s="7"/>
      <c r="LTN144" s="7"/>
      <c r="LTO144" s="7"/>
      <c r="LTP144" s="7"/>
      <c r="LTQ144" s="7"/>
      <c r="LTR144" s="7"/>
      <c r="LTS144" s="7"/>
      <c r="LTT144" s="7"/>
      <c r="LTU144" s="7"/>
      <c r="LTV144" s="7"/>
      <c r="LTW144" s="7"/>
      <c r="LTX144" s="7"/>
      <c r="LTY144" s="7"/>
      <c r="LTZ144" s="7"/>
      <c r="LUA144" s="7"/>
      <c r="LUB144" s="7"/>
      <c r="LUC144" s="7"/>
      <c r="LUD144" s="7"/>
      <c r="LUE144" s="7"/>
      <c r="LUF144" s="7"/>
      <c r="LUG144" s="7"/>
      <c r="LUH144" s="7"/>
      <c r="LUI144" s="7"/>
      <c r="LUJ144" s="7"/>
      <c r="LUK144" s="7"/>
      <c r="LUL144" s="7"/>
      <c r="LUM144" s="7"/>
      <c r="LUN144" s="7"/>
      <c r="LUO144" s="7"/>
      <c r="LUP144" s="7"/>
      <c r="LUQ144" s="7"/>
      <c r="LUR144" s="7"/>
      <c r="LUS144" s="7"/>
      <c r="LUT144" s="7"/>
      <c r="LUU144" s="7"/>
      <c r="LUV144" s="7"/>
      <c r="LUW144" s="7"/>
      <c r="LUX144" s="7"/>
      <c r="LUY144" s="7"/>
      <c r="LUZ144" s="7"/>
      <c r="LVA144" s="7"/>
      <c r="LVB144" s="7"/>
      <c r="LVC144" s="7"/>
      <c r="LVD144" s="7"/>
      <c r="LVE144" s="7"/>
      <c r="LVF144" s="7"/>
      <c r="LVG144" s="7"/>
      <c r="LVH144" s="7"/>
      <c r="LVI144" s="7"/>
      <c r="LVJ144" s="7"/>
      <c r="LVK144" s="7"/>
      <c r="LVL144" s="7"/>
      <c r="LVM144" s="7"/>
      <c r="LVN144" s="7"/>
      <c r="LVO144" s="7"/>
      <c r="LVP144" s="7"/>
      <c r="LVQ144" s="7"/>
      <c r="LVR144" s="7"/>
      <c r="LVS144" s="7"/>
      <c r="LVT144" s="7"/>
      <c r="LVU144" s="7"/>
      <c r="LVV144" s="7"/>
      <c r="LVW144" s="7"/>
      <c r="LVX144" s="7"/>
      <c r="LVY144" s="7"/>
      <c r="LVZ144" s="7"/>
      <c r="LWA144" s="7"/>
      <c r="LWB144" s="7"/>
      <c r="LWC144" s="7"/>
      <c r="LWD144" s="7"/>
      <c r="LWE144" s="7"/>
      <c r="LWF144" s="7"/>
      <c r="LWG144" s="7"/>
      <c r="LWH144" s="7"/>
      <c r="LWI144" s="7"/>
      <c r="LWJ144" s="7"/>
      <c r="LWK144" s="7"/>
      <c r="LWL144" s="7"/>
      <c r="LWM144" s="7"/>
      <c r="LWN144" s="7"/>
      <c r="LWO144" s="7"/>
      <c r="LWP144" s="7"/>
      <c r="LWQ144" s="7"/>
      <c r="LWR144" s="7"/>
      <c r="LWS144" s="7"/>
      <c r="LWT144" s="7"/>
      <c r="LWU144" s="7"/>
      <c r="LWV144" s="7"/>
      <c r="LWW144" s="7"/>
      <c r="LWX144" s="7"/>
      <c r="LWY144" s="7"/>
      <c r="LWZ144" s="7"/>
      <c r="LXA144" s="7"/>
      <c r="LXB144" s="7"/>
      <c r="LXC144" s="7"/>
      <c r="LXD144" s="7"/>
      <c r="LXE144" s="7"/>
      <c r="LXF144" s="7"/>
      <c r="LXG144" s="7"/>
      <c r="LXH144" s="7"/>
      <c r="LXI144" s="7"/>
      <c r="LXJ144" s="7"/>
      <c r="LXK144" s="7"/>
      <c r="LXL144" s="7"/>
      <c r="LXM144" s="7"/>
      <c r="LXN144" s="7"/>
      <c r="LXO144" s="7"/>
      <c r="LXP144" s="7"/>
      <c r="LXQ144" s="7"/>
      <c r="LXR144" s="7"/>
      <c r="LXS144" s="7"/>
      <c r="LXT144" s="7"/>
      <c r="LXU144" s="7"/>
      <c r="LXV144" s="7"/>
      <c r="LXW144" s="7"/>
      <c r="LXX144" s="7"/>
      <c r="LXY144" s="7"/>
      <c r="LXZ144" s="7"/>
      <c r="LYA144" s="7"/>
      <c r="LYB144" s="7"/>
      <c r="LYC144" s="7"/>
      <c r="LYD144" s="7"/>
      <c r="LYE144" s="7"/>
      <c r="LYF144" s="7"/>
      <c r="LYG144" s="7"/>
      <c r="LYH144" s="7"/>
      <c r="LYI144" s="7"/>
      <c r="LYJ144" s="7"/>
      <c r="LYK144" s="7"/>
      <c r="LYL144" s="7"/>
      <c r="LYM144" s="7"/>
      <c r="LYN144" s="7"/>
      <c r="LYO144" s="7"/>
      <c r="LYP144" s="7"/>
      <c r="LYQ144" s="7"/>
      <c r="LYR144" s="7"/>
      <c r="LYS144" s="7"/>
      <c r="LYT144" s="7"/>
      <c r="LYU144" s="7"/>
      <c r="LYV144" s="7"/>
      <c r="LYW144" s="7"/>
      <c r="LYX144" s="7"/>
      <c r="LYY144" s="7"/>
      <c r="LYZ144" s="7"/>
      <c r="LZA144" s="7"/>
      <c r="LZB144" s="7"/>
      <c r="LZC144" s="7"/>
      <c r="LZD144" s="7"/>
      <c r="LZE144" s="7"/>
      <c r="LZF144" s="7"/>
      <c r="LZG144" s="7"/>
      <c r="LZH144" s="7"/>
      <c r="LZI144" s="7"/>
      <c r="LZJ144" s="7"/>
      <c r="LZK144" s="7"/>
      <c r="LZL144" s="7"/>
      <c r="LZM144" s="7"/>
      <c r="LZN144" s="7"/>
      <c r="LZO144" s="7"/>
      <c r="LZP144" s="7"/>
      <c r="LZQ144" s="7"/>
      <c r="LZR144" s="7"/>
      <c r="LZS144" s="7"/>
      <c r="LZT144" s="7"/>
      <c r="LZU144" s="7"/>
      <c r="LZV144" s="7"/>
      <c r="LZW144" s="7"/>
      <c r="LZX144" s="7"/>
      <c r="LZY144" s="7"/>
      <c r="LZZ144" s="7"/>
      <c r="MAA144" s="7"/>
      <c r="MAB144" s="7"/>
      <c r="MAC144" s="7"/>
      <c r="MAD144" s="7"/>
      <c r="MAE144" s="7"/>
      <c r="MAF144" s="7"/>
      <c r="MAG144" s="7"/>
      <c r="MAH144" s="7"/>
      <c r="MAI144" s="7"/>
      <c r="MAJ144" s="7"/>
      <c r="MAK144" s="7"/>
      <c r="MAL144" s="7"/>
      <c r="MAM144" s="7"/>
      <c r="MAN144" s="7"/>
      <c r="MAO144" s="7"/>
      <c r="MAP144" s="7"/>
      <c r="MAQ144" s="7"/>
      <c r="MAR144" s="7"/>
      <c r="MAS144" s="7"/>
      <c r="MAT144" s="7"/>
      <c r="MAU144" s="7"/>
      <c r="MAV144" s="7"/>
      <c r="MAW144" s="7"/>
      <c r="MAX144" s="7"/>
      <c r="MAY144" s="7"/>
      <c r="MAZ144" s="7"/>
      <c r="MBA144" s="7"/>
      <c r="MBB144" s="7"/>
      <c r="MBC144" s="7"/>
      <c r="MBD144" s="7"/>
      <c r="MBE144" s="7"/>
      <c r="MBF144" s="7"/>
      <c r="MBG144" s="7"/>
      <c r="MBH144" s="7"/>
      <c r="MBI144" s="7"/>
      <c r="MBJ144" s="7"/>
      <c r="MBK144" s="7"/>
      <c r="MBL144" s="7"/>
      <c r="MBM144" s="7"/>
      <c r="MBN144" s="7"/>
      <c r="MBO144" s="7"/>
      <c r="MBP144" s="7"/>
      <c r="MBQ144" s="7"/>
      <c r="MBR144" s="7"/>
      <c r="MBS144" s="7"/>
      <c r="MBT144" s="7"/>
      <c r="MBU144" s="7"/>
      <c r="MBV144" s="7"/>
      <c r="MBW144" s="7"/>
      <c r="MBX144" s="7"/>
      <c r="MBY144" s="7"/>
      <c r="MBZ144" s="7"/>
      <c r="MCA144" s="7"/>
      <c r="MCB144" s="7"/>
      <c r="MCC144" s="7"/>
      <c r="MCD144" s="7"/>
      <c r="MCE144" s="7"/>
      <c r="MCF144" s="7"/>
      <c r="MCG144" s="7"/>
      <c r="MCH144" s="7"/>
      <c r="MCI144" s="7"/>
      <c r="MCJ144" s="7"/>
      <c r="MCK144" s="7"/>
      <c r="MCL144" s="7"/>
      <c r="MCM144" s="7"/>
      <c r="MCN144" s="7"/>
      <c r="MCO144" s="7"/>
      <c r="MCP144" s="7"/>
      <c r="MCQ144" s="7"/>
      <c r="MCR144" s="7"/>
      <c r="MCS144" s="7"/>
      <c r="MCT144" s="7"/>
      <c r="MCU144" s="7"/>
      <c r="MCV144" s="7"/>
      <c r="MCW144" s="7"/>
      <c r="MCX144" s="7"/>
      <c r="MCY144" s="7"/>
      <c r="MCZ144" s="7"/>
      <c r="MDA144" s="7"/>
      <c r="MDB144" s="7"/>
      <c r="MDC144" s="7"/>
      <c r="MDD144" s="7"/>
      <c r="MDE144" s="7"/>
      <c r="MDF144" s="7"/>
      <c r="MDG144" s="7"/>
      <c r="MDH144" s="7"/>
      <c r="MDI144" s="7"/>
      <c r="MDJ144" s="7"/>
      <c r="MDK144" s="7"/>
      <c r="MDL144" s="7"/>
      <c r="MDM144" s="7"/>
      <c r="MDN144" s="7"/>
      <c r="MDO144" s="7"/>
      <c r="MDP144" s="7"/>
      <c r="MDQ144" s="7"/>
      <c r="MDR144" s="7"/>
      <c r="MDS144" s="7"/>
      <c r="MDT144" s="7"/>
      <c r="MDU144" s="7"/>
      <c r="MDV144" s="7"/>
      <c r="MDW144" s="7"/>
      <c r="MDX144" s="7"/>
      <c r="MDY144" s="7"/>
      <c r="MDZ144" s="7"/>
      <c r="MEA144" s="7"/>
      <c r="MEB144" s="7"/>
      <c r="MEC144" s="7"/>
      <c r="MED144" s="7"/>
      <c r="MEE144" s="7"/>
      <c r="MEF144" s="7"/>
      <c r="MEG144" s="7"/>
      <c r="MEH144" s="7"/>
      <c r="MEI144" s="7"/>
      <c r="MEJ144" s="7"/>
      <c r="MEK144" s="7"/>
      <c r="MEL144" s="7"/>
      <c r="MEM144" s="7"/>
      <c r="MEN144" s="7"/>
      <c r="MEO144" s="7"/>
      <c r="MEP144" s="7"/>
      <c r="MEQ144" s="7"/>
      <c r="MER144" s="7"/>
      <c r="MES144" s="7"/>
      <c r="MET144" s="7"/>
      <c r="MEU144" s="7"/>
      <c r="MEV144" s="7"/>
      <c r="MEW144" s="7"/>
      <c r="MEX144" s="7"/>
      <c r="MEY144" s="7"/>
      <c r="MEZ144" s="7"/>
      <c r="MFA144" s="7"/>
      <c r="MFB144" s="7"/>
      <c r="MFC144" s="7"/>
      <c r="MFD144" s="7"/>
      <c r="MFE144" s="7"/>
      <c r="MFF144" s="7"/>
      <c r="MFG144" s="7"/>
      <c r="MFH144" s="7"/>
      <c r="MFI144" s="7"/>
      <c r="MFJ144" s="7"/>
      <c r="MFK144" s="7"/>
      <c r="MFL144" s="7"/>
      <c r="MFM144" s="7"/>
      <c r="MFN144" s="7"/>
      <c r="MFO144" s="7"/>
      <c r="MFP144" s="7"/>
      <c r="MFQ144" s="7"/>
      <c r="MFR144" s="7"/>
      <c r="MFS144" s="7"/>
      <c r="MFT144" s="7"/>
      <c r="MFU144" s="7"/>
      <c r="MFV144" s="7"/>
      <c r="MFW144" s="7"/>
      <c r="MFX144" s="7"/>
      <c r="MFY144" s="7"/>
      <c r="MFZ144" s="7"/>
      <c r="MGA144" s="7"/>
      <c r="MGB144" s="7"/>
      <c r="MGC144" s="7"/>
      <c r="MGD144" s="7"/>
      <c r="MGE144" s="7"/>
      <c r="MGF144" s="7"/>
      <c r="MGG144" s="7"/>
      <c r="MGH144" s="7"/>
      <c r="MGI144" s="7"/>
      <c r="MGJ144" s="7"/>
      <c r="MGK144" s="7"/>
      <c r="MGL144" s="7"/>
      <c r="MGM144" s="7"/>
      <c r="MGN144" s="7"/>
      <c r="MGO144" s="7"/>
      <c r="MGP144" s="7"/>
      <c r="MGQ144" s="7"/>
      <c r="MGR144" s="7"/>
      <c r="MGS144" s="7"/>
      <c r="MGT144" s="7"/>
      <c r="MGU144" s="7"/>
      <c r="MGV144" s="7"/>
      <c r="MGW144" s="7"/>
      <c r="MGX144" s="7"/>
      <c r="MGY144" s="7"/>
      <c r="MGZ144" s="7"/>
      <c r="MHA144" s="7"/>
      <c r="MHB144" s="7"/>
      <c r="MHC144" s="7"/>
      <c r="MHD144" s="7"/>
      <c r="MHE144" s="7"/>
      <c r="MHF144" s="7"/>
      <c r="MHG144" s="7"/>
      <c r="MHH144" s="7"/>
      <c r="MHI144" s="7"/>
      <c r="MHJ144" s="7"/>
      <c r="MHK144" s="7"/>
      <c r="MHL144" s="7"/>
      <c r="MHM144" s="7"/>
      <c r="MHN144" s="7"/>
      <c r="MHO144" s="7"/>
      <c r="MHP144" s="7"/>
      <c r="MHQ144" s="7"/>
      <c r="MHR144" s="7"/>
      <c r="MHS144" s="7"/>
      <c r="MHT144" s="7"/>
      <c r="MHU144" s="7"/>
      <c r="MHV144" s="7"/>
      <c r="MHW144" s="7"/>
      <c r="MHX144" s="7"/>
      <c r="MHY144" s="7"/>
      <c r="MHZ144" s="7"/>
      <c r="MIA144" s="7"/>
      <c r="MIB144" s="7"/>
      <c r="MIC144" s="7"/>
      <c r="MID144" s="7"/>
      <c r="MIE144" s="7"/>
      <c r="MIF144" s="7"/>
      <c r="MIG144" s="7"/>
      <c r="MIH144" s="7"/>
      <c r="MII144" s="7"/>
      <c r="MIJ144" s="7"/>
      <c r="MIK144" s="7"/>
      <c r="MIL144" s="7"/>
      <c r="MIM144" s="7"/>
      <c r="MIN144" s="7"/>
      <c r="MIO144" s="7"/>
      <c r="MIP144" s="7"/>
      <c r="MIQ144" s="7"/>
      <c r="MIR144" s="7"/>
      <c r="MIS144" s="7"/>
      <c r="MIT144" s="7"/>
      <c r="MIU144" s="7"/>
      <c r="MIV144" s="7"/>
      <c r="MIW144" s="7"/>
      <c r="MIX144" s="7"/>
      <c r="MIY144" s="7"/>
      <c r="MIZ144" s="7"/>
      <c r="MJA144" s="7"/>
      <c r="MJB144" s="7"/>
      <c r="MJC144" s="7"/>
      <c r="MJD144" s="7"/>
      <c r="MJE144" s="7"/>
      <c r="MJF144" s="7"/>
      <c r="MJG144" s="7"/>
      <c r="MJH144" s="7"/>
      <c r="MJI144" s="7"/>
      <c r="MJJ144" s="7"/>
      <c r="MJK144" s="7"/>
      <c r="MJL144" s="7"/>
      <c r="MJM144" s="7"/>
      <c r="MJN144" s="7"/>
      <c r="MJO144" s="7"/>
      <c r="MJP144" s="7"/>
      <c r="MJQ144" s="7"/>
      <c r="MJR144" s="7"/>
      <c r="MJS144" s="7"/>
      <c r="MJT144" s="7"/>
      <c r="MJU144" s="7"/>
      <c r="MJV144" s="7"/>
      <c r="MJW144" s="7"/>
      <c r="MJX144" s="7"/>
      <c r="MJY144" s="7"/>
      <c r="MJZ144" s="7"/>
      <c r="MKA144" s="7"/>
      <c r="MKB144" s="7"/>
      <c r="MKC144" s="7"/>
      <c r="MKD144" s="7"/>
      <c r="MKE144" s="7"/>
      <c r="MKF144" s="7"/>
      <c r="MKG144" s="7"/>
      <c r="MKH144" s="7"/>
      <c r="MKI144" s="7"/>
      <c r="MKJ144" s="7"/>
      <c r="MKK144" s="7"/>
      <c r="MKL144" s="7"/>
      <c r="MKM144" s="7"/>
      <c r="MKN144" s="7"/>
      <c r="MKO144" s="7"/>
      <c r="MKP144" s="7"/>
      <c r="MKQ144" s="7"/>
      <c r="MKR144" s="7"/>
      <c r="MKS144" s="7"/>
      <c r="MKT144" s="7"/>
      <c r="MKU144" s="7"/>
      <c r="MKV144" s="7"/>
      <c r="MKW144" s="7"/>
      <c r="MKX144" s="7"/>
      <c r="MKY144" s="7"/>
      <c r="MKZ144" s="7"/>
      <c r="MLA144" s="7"/>
      <c r="MLB144" s="7"/>
      <c r="MLC144" s="7"/>
      <c r="MLD144" s="7"/>
      <c r="MLE144" s="7"/>
      <c r="MLF144" s="7"/>
      <c r="MLG144" s="7"/>
      <c r="MLH144" s="7"/>
      <c r="MLI144" s="7"/>
      <c r="MLJ144" s="7"/>
      <c r="MLK144" s="7"/>
      <c r="MLL144" s="7"/>
      <c r="MLM144" s="7"/>
      <c r="MLN144" s="7"/>
      <c r="MLO144" s="7"/>
      <c r="MLP144" s="7"/>
      <c r="MLQ144" s="7"/>
      <c r="MLR144" s="7"/>
      <c r="MLS144" s="7"/>
      <c r="MLT144" s="7"/>
      <c r="MLU144" s="7"/>
      <c r="MLV144" s="7"/>
      <c r="MLW144" s="7"/>
      <c r="MLX144" s="7"/>
      <c r="MLY144" s="7"/>
      <c r="MLZ144" s="7"/>
      <c r="MMA144" s="7"/>
      <c r="MMB144" s="7"/>
      <c r="MMC144" s="7"/>
      <c r="MMD144" s="7"/>
      <c r="MME144" s="7"/>
      <c r="MMF144" s="7"/>
      <c r="MMG144" s="7"/>
      <c r="MMH144" s="7"/>
      <c r="MMI144" s="7"/>
      <c r="MMJ144" s="7"/>
      <c r="MMK144" s="7"/>
      <c r="MML144" s="7"/>
      <c r="MMM144" s="7"/>
      <c r="MMN144" s="7"/>
      <c r="MMO144" s="7"/>
      <c r="MMP144" s="7"/>
      <c r="MMQ144" s="7"/>
      <c r="MMR144" s="7"/>
      <c r="MMS144" s="7"/>
      <c r="MMT144" s="7"/>
      <c r="MMU144" s="7"/>
      <c r="MMV144" s="7"/>
      <c r="MMW144" s="7"/>
      <c r="MMX144" s="7"/>
      <c r="MMY144" s="7"/>
      <c r="MMZ144" s="7"/>
      <c r="MNA144" s="7"/>
      <c r="MNB144" s="7"/>
      <c r="MNC144" s="7"/>
      <c r="MND144" s="7"/>
      <c r="MNE144" s="7"/>
      <c r="MNF144" s="7"/>
      <c r="MNG144" s="7"/>
      <c r="MNH144" s="7"/>
      <c r="MNI144" s="7"/>
      <c r="MNJ144" s="7"/>
      <c r="MNK144" s="7"/>
      <c r="MNL144" s="7"/>
      <c r="MNM144" s="7"/>
      <c r="MNN144" s="7"/>
      <c r="MNO144" s="7"/>
      <c r="MNP144" s="7"/>
      <c r="MNQ144" s="7"/>
      <c r="MNR144" s="7"/>
      <c r="MNS144" s="7"/>
      <c r="MNT144" s="7"/>
      <c r="MNU144" s="7"/>
      <c r="MNV144" s="7"/>
      <c r="MNW144" s="7"/>
      <c r="MNX144" s="7"/>
      <c r="MNY144" s="7"/>
      <c r="MNZ144" s="7"/>
      <c r="MOA144" s="7"/>
      <c r="MOB144" s="7"/>
      <c r="MOC144" s="7"/>
      <c r="MOD144" s="7"/>
      <c r="MOE144" s="7"/>
      <c r="MOF144" s="7"/>
      <c r="MOG144" s="7"/>
      <c r="MOH144" s="7"/>
      <c r="MOI144" s="7"/>
      <c r="MOJ144" s="7"/>
      <c r="MOK144" s="7"/>
      <c r="MOL144" s="7"/>
      <c r="MOM144" s="7"/>
      <c r="MON144" s="7"/>
      <c r="MOO144" s="7"/>
      <c r="MOP144" s="7"/>
      <c r="MOQ144" s="7"/>
      <c r="MOR144" s="7"/>
      <c r="MOS144" s="7"/>
      <c r="MOT144" s="7"/>
      <c r="MOU144" s="7"/>
      <c r="MOV144" s="7"/>
      <c r="MOW144" s="7"/>
      <c r="MOX144" s="7"/>
      <c r="MOY144" s="7"/>
      <c r="MOZ144" s="7"/>
      <c r="MPA144" s="7"/>
      <c r="MPB144" s="7"/>
      <c r="MPC144" s="7"/>
      <c r="MPD144" s="7"/>
      <c r="MPE144" s="7"/>
      <c r="MPF144" s="7"/>
      <c r="MPG144" s="7"/>
      <c r="MPH144" s="7"/>
      <c r="MPI144" s="7"/>
      <c r="MPJ144" s="7"/>
      <c r="MPK144" s="7"/>
      <c r="MPL144" s="7"/>
      <c r="MPM144" s="7"/>
      <c r="MPN144" s="7"/>
      <c r="MPO144" s="7"/>
      <c r="MPP144" s="7"/>
      <c r="MPQ144" s="7"/>
      <c r="MPR144" s="7"/>
      <c r="MPS144" s="7"/>
      <c r="MPT144" s="7"/>
      <c r="MPU144" s="7"/>
      <c r="MPV144" s="7"/>
      <c r="MPW144" s="7"/>
      <c r="MPX144" s="7"/>
      <c r="MPY144" s="7"/>
      <c r="MPZ144" s="7"/>
      <c r="MQA144" s="7"/>
      <c r="MQB144" s="7"/>
      <c r="MQC144" s="7"/>
      <c r="MQD144" s="7"/>
      <c r="MQE144" s="7"/>
      <c r="MQF144" s="7"/>
      <c r="MQG144" s="7"/>
      <c r="MQH144" s="7"/>
      <c r="MQI144" s="7"/>
      <c r="MQJ144" s="7"/>
      <c r="MQK144" s="7"/>
      <c r="MQL144" s="7"/>
      <c r="MQM144" s="7"/>
      <c r="MQN144" s="7"/>
      <c r="MQO144" s="7"/>
      <c r="MQP144" s="7"/>
      <c r="MQQ144" s="7"/>
      <c r="MQR144" s="7"/>
      <c r="MQS144" s="7"/>
      <c r="MQT144" s="7"/>
      <c r="MQU144" s="7"/>
      <c r="MQV144" s="7"/>
      <c r="MQW144" s="7"/>
      <c r="MQX144" s="7"/>
      <c r="MQY144" s="7"/>
      <c r="MQZ144" s="7"/>
      <c r="MRA144" s="7"/>
      <c r="MRB144" s="7"/>
      <c r="MRC144" s="7"/>
      <c r="MRD144" s="7"/>
      <c r="MRE144" s="7"/>
      <c r="MRF144" s="7"/>
      <c r="MRG144" s="7"/>
      <c r="MRH144" s="7"/>
      <c r="MRI144" s="7"/>
      <c r="MRJ144" s="7"/>
      <c r="MRK144" s="7"/>
      <c r="MRL144" s="7"/>
      <c r="MRM144" s="7"/>
      <c r="MRN144" s="7"/>
      <c r="MRO144" s="7"/>
      <c r="MRP144" s="7"/>
      <c r="MRQ144" s="7"/>
      <c r="MRR144" s="7"/>
      <c r="MRS144" s="7"/>
      <c r="MRT144" s="7"/>
      <c r="MRU144" s="7"/>
      <c r="MRV144" s="7"/>
      <c r="MRW144" s="7"/>
      <c r="MRX144" s="7"/>
      <c r="MRY144" s="7"/>
      <c r="MRZ144" s="7"/>
      <c r="MSA144" s="7"/>
      <c r="MSB144" s="7"/>
      <c r="MSC144" s="7"/>
      <c r="MSD144" s="7"/>
      <c r="MSE144" s="7"/>
      <c r="MSF144" s="7"/>
      <c r="MSG144" s="7"/>
      <c r="MSH144" s="7"/>
      <c r="MSI144" s="7"/>
      <c r="MSJ144" s="7"/>
      <c r="MSK144" s="7"/>
      <c r="MSL144" s="7"/>
      <c r="MSM144" s="7"/>
      <c r="MSN144" s="7"/>
      <c r="MSO144" s="7"/>
      <c r="MSP144" s="7"/>
      <c r="MSQ144" s="7"/>
      <c r="MSR144" s="7"/>
      <c r="MSS144" s="7"/>
      <c r="MST144" s="7"/>
      <c r="MSU144" s="7"/>
      <c r="MSV144" s="7"/>
      <c r="MSW144" s="7"/>
      <c r="MSX144" s="7"/>
      <c r="MSY144" s="7"/>
      <c r="MSZ144" s="7"/>
      <c r="MTA144" s="7"/>
      <c r="MTB144" s="7"/>
      <c r="MTC144" s="7"/>
      <c r="MTD144" s="7"/>
      <c r="MTE144" s="7"/>
      <c r="MTF144" s="7"/>
      <c r="MTG144" s="7"/>
      <c r="MTH144" s="7"/>
      <c r="MTI144" s="7"/>
      <c r="MTJ144" s="7"/>
      <c r="MTK144" s="7"/>
      <c r="MTL144" s="7"/>
      <c r="MTM144" s="7"/>
      <c r="MTN144" s="7"/>
      <c r="MTO144" s="7"/>
      <c r="MTP144" s="7"/>
      <c r="MTQ144" s="7"/>
      <c r="MTR144" s="7"/>
      <c r="MTS144" s="7"/>
      <c r="MTT144" s="7"/>
      <c r="MTU144" s="7"/>
      <c r="MTV144" s="7"/>
      <c r="MTW144" s="7"/>
      <c r="MTX144" s="7"/>
      <c r="MTY144" s="7"/>
      <c r="MTZ144" s="7"/>
      <c r="MUA144" s="7"/>
      <c r="MUB144" s="7"/>
      <c r="MUC144" s="7"/>
      <c r="MUD144" s="7"/>
      <c r="MUE144" s="7"/>
      <c r="MUF144" s="7"/>
      <c r="MUG144" s="7"/>
      <c r="MUH144" s="7"/>
      <c r="MUI144" s="7"/>
      <c r="MUJ144" s="7"/>
      <c r="MUK144" s="7"/>
      <c r="MUL144" s="7"/>
      <c r="MUM144" s="7"/>
      <c r="MUN144" s="7"/>
      <c r="MUO144" s="7"/>
      <c r="MUP144" s="7"/>
      <c r="MUQ144" s="7"/>
      <c r="MUR144" s="7"/>
      <c r="MUS144" s="7"/>
      <c r="MUT144" s="7"/>
      <c r="MUU144" s="7"/>
      <c r="MUV144" s="7"/>
      <c r="MUW144" s="7"/>
      <c r="MUX144" s="7"/>
      <c r="MUY144" s="7"/>
      <c r="MUZ144" s="7"/>
      <c r="MVA144" s="7"/>
      <c r="MVB144" s="7"/>
      <c r="MVC144" s="7"/>
      <c r="MVD144" s="7"/>
      <c r="MVE144" s="7"/>
      <c r="MVF144" s="7"/>
      <c r="MVG144" s="7"/>
      <c r="MVH144" s="7"/>
      <c r="MVI144" s="7"/>
      <c r="MVJ144" s="7"/>
      <c r="MVK144" s="7"/>
      <c r="MVL144" s="7"/>
      <c r="MVM144" s="7"/>
      <c r="MVN144" s="7"/>
      <c r="MVO144" s="7"/>
      <c r="MVP144" s="7"/>
      <c r="MVQ144" s="7"/>
      <c r="MVR144" s="7"/>
      <c r="MVS144" s="7"/>
      <c r="MVT144" s="7"/>
      <c r="MVU144" s="7"/>
      <c r="MVV144" s="7"/>
      <c r="MVW144" s="7"/>
      <c r="MVX144" s="7"/>
      <c r="MVY144" s="7"/>
      <c r="MVZ144" s="7"/>
      <c r="MWA144" s="7"/>
      <c r="MWB144" s="7"/>
      <c r="MWC144" s="7"/>
      <c r="MWD144" s="7"/>
      <c r="MWE144" s="7"/>
      <c r="MWF144" s="7"/>
      <c r="MWG144" s="7"/>
      <c r="MWH144" s="7"/>
      <c r="MWI144" s="7"/>
      <c r="MWJ144" s="7"/>
      <c r="MWK144" s="7"/>
      <c r="MWL144" s="7"/>
      <c r="MWM144" s="7"/>
      <c r="MWN144" s="7"/>
      <c r="MWO144" s="7"/>
      <c r="MWP144" s="7"/>
      <c r="MWQ144" s="7"/>
      <c r="MWR144" s="7"/>
      <c r="MWS144" s="7"/>
      <c r="MWT144" s="7"/>
      <c r="MWU144" s="7"/>
      <c r="MWV144" s="7"/>
      <c r="MWW144" s="7"/>
      <c r="MWX144" s="7"/>
      <c r="MWY144" s="7"/>
      <c r="MWZ144" s="7"/>
      <c r="MXA144" s="7"/>
      <c r="MXB144" s="7"/>
      <c r="MXC144" s="7"/>
      <c r="MXD144" s="7"/>
      <c r="MXE144" s="7"/>
      <c r="MXF144" s="7"/>
      <c r="MXG144" s="7"/>
      <c r="MXH144" s="7"/>
      <c r="MXI144" s="7"/>
      <c r="MXJ144" s="7"/>
      <c r="MXK144" s="7"/>
      <c r="MXL144" s="7"/>
      <c r="MXM144" s="7"/>
      <c r="MXN144" s="7"/>
      <c r="MXO144" s="7"/>
      <c r="MXP144" s="7"/>
      <c r="MXQ144" s="7"/>
      <c r="MXR144" s="7"/>
      <c r="MXS144" s="7"/>
      <c r="MXT144" s="7"/>
      <c r="MXU144" s="7"/>
      <c r="MXV144" s="7"/>
      <c r="MXW144" s="7"/>
      <c r="MXX144" s="7"/>
      <c r="MXY144" s="7"/>
      <c r="MXZ144" s="7"/>
      <c r="MYA144" s="7"/>
      <c r="MYB144" s="7"/>
      <c r="MYC144" s="7"/>
      <c r="MYD144" s="7"/>
      <c r="MYE144" s="7"/>
      <c r="MYF144" s="7"/>
      <c r="MYG144" s="7"/>
      <c r="MYH144" s="7"/>
      <c r="MYI144" s="7"/>
      <c r="MYJ144" s="7"/>
      <c r="MYK144" s="7"/>
      <c r="MYL144" s="7"/>
      <c r="MYM144" s="7"/>
      <c r="MYN144" s="7"/>
      <c r="MYO144" s="7"/>
      <c r="MYP144" s="7"/>
      <c r="MYQ144" s="7"/>
      <c r="MYR144" s="7"/>
      <c r="MYS144" s="7"/>
      <c r="MYT144" s="7"/>
      <c r="MYU144" s="7"/>
      <c r="MYV144" s="7"/>
      <c r="MYW144" s="7"/>
      <c r="MYX144" s="7"/>
      <c r="MYY144" s="7"/>
      <c r="MYZ144" s="7"/>
      <c r="MZA144" s="7"/>
      <c r="MZB144" s="7"/>
      <c r="MZC144" s="7"/>
      <c r="MZD144" s="7"/>
      <c r="MZE144" s="7"/>
      <c r="MZF144" s="7"/>
      <c r="MZG144" s="7"/>
      <c r="MZH144" s="7"/>
      <c r="MZI144" s="7"/>
      <c r="MZJ144" s="7"/>
      <c r="MZK144" s="7"/>
      <c r="MZL144" s="7"/>
      <c r="MZM144" s="7"/>
      <c r="MZN144" s="7"/>
      <c r="MZO144" s="7"/>
      <c r="MZP144" s="7"/>
      <c r="MZQ144" s="7"/>
      <c r="MZR144" s="7"/>
      <c r="MZS144" s="7"/>
      <c r="MZT144" s="7"/>
      <c r="MZU144" s="7"/>
      <c r="MZV144" s="7"/>
      <c r="MZW144" s="7"/>
      <c r="MZX144" s="7"/>
      <c r="MZY144" s="7"/>
      <c r="MZZ144" s="7"/>
      <c r="NAA144" s="7"/>
      <c r="NAB144" s="7"/>
      <c r="NAC144" s="7"/>
      <c r="NAD144" s="7"/>
      <c r="NAE144" s="7"/>
      <c r="NAF144" s="7"/>
      <c r="NAG144" s="7"/>
      <c r="NAH144" s="7"/>
      <c r="NAI144" s="7"/>
      <c r="NAJ144" s="7"/>
      <c r="NAK144" s="7"/>
      <c r="NAL144" s="7"/>
      <c r="NAM144" s="7"/>
      <c r="NAN144" s="7"/>
      <c r="NAO144" s="7"/>
      <c r="NAP144" s="7"/>
      <c r="NAQ144" s="7"/>
      <c r="NAR144" s="7"/>
      <c r="NAS144" s="7"/>
      <c r="NAT144" s="7"/>
      <c r="NAU144" s="7"/>
      <c r="NAV144" s="7"/>
      <c r="NAW144" s="7"/>
      <c r="NAX144" s="7"/>
      <c r="NAY144" s="7"/>
      <c r="NAZ144" s="7"/>
      <c r="NBA144" s="7"/>
      <c r="NBB144" s="7"/>
      <c r="NBC144" s="7"/>
      <c r="NBD144" s="7"/>
      <c r="NBE144" s="7"/>
      <c r="NBF144" s="7"/>
      <c r="NBG144" s="7"/>
      <c r="NBH144" s="7"/>
      <c r="NBI144" s="7"/>
      <c r="NBJ144" s="7"/>
      <c r="NBK144" s="7"/>
      <c r="NBL144" s="7"/>
      <c r="NBM144" s="7"/>
      <c r="NBN144" s="7"/>
      <c r="NBO144" s="7"/>
      <c r="NBP144" s="7"/>
      <c r="NBQ144" s="7"/>
      <c r="NBR144" s="7"/>
      <c r="NBS144" s="7"/>
      <c r="NBT144" s="7"/>
      <c r="NBU144" s="7"/>
      <c r="NBV144" s="7"/>
      <c r="NBW144" s="7"/>
      <c r="NBX144" s="7"/>
      <c r="NBY144" s="7"/>
      <c r="NBZ144" s="7"/>
      <c r="NCA144" s="7"/>
      <c r="NCB144" s="7"/>
      <c r="NCC144" s="7"/>
      <c r="NCD144" s="7"/>
      <c r="NCE144" s="7"/>
      <c r="NCF144" s="7"/>
      <c r="NCG144" s="7"/>
      <c r="NCH144" s="7"/>
      <c r="NCI144" s="7"/>
      <c r="NCJ144" s="7"/>
      <c r="NCK144" s="7"/>
      <c r="NCL144" s="7"/>
      <c r="NCM144" s="7"/>
      <c r="NCN144" s="7"/>
      <c r="NCO144" s="7"/>
      <c r="NCP144" s="7"/>
      <c r="NCQ144" s="7"/>
      <c r="NCR144" s="7"/>
      <c r="NCS144" s="7"/>
      <c r="NCT144" s="7"/>
      <c r="NCU144" s="7"/>
      <c r="NCV144" s="7"/>
      <c r="NCW144" s="7"/>
      <c r="NCX144" s="7"/>
      <c r="NCY144" s="7"/>
      <c r="NCZ144" s="7"/>
      <c r="NDA144" s="7"/>
      <c r="NDB144" s="7"/>
      <c r="NDC144" s="7"/>
      <c r="NDD144" s="7"/>
      <c r="NDE144" s="7"/>
      <c r="NDF144" s="7"/>
      <c r="NDG144" s="7"/>
      <c r="NDH144" s="7"/>
      <c r="NDI144" s="7"/>
      <c r="NDJ144" s="7"/>
      <c r="NDK144" s="7"/>
      <c r="NDL144" s="7"/>
      <c r="NDM144" s="7"/>
      <c r="NDN144" s="7"/>
      <c r="NDO144" s="7"/>
      <c r="NDP144" s="7"/>
      <c r="NDQ144" s="7"/>
      <c r="NDR144" s="7"/>
      <c r="NDS144" s="7"/>
      <c r="NDT144" s="7"/>
      <c r="NDU144" s="7"/>
      <c r="NDV144" s="7"/>
      <c r="NDW144" s="7"/>
      <c r="NDX144" s="7"/>
      <c r="NDY144" s="7"/>
      <c r="NDZ144" s="7"/>
      <c r="NEA144" s="7"/>
      <c r="NEB144" s="7"/>
      <c r="NEC144" s="7"/>
      <c r="NED144" s="7"/>
      <c r="NEE144" s="7"/>
      <c r="NEF144" s="7"/>
      <c r="NEG144" s="7"/>
      <c r="NEH144" s="7"/>
      <c r="NEI144" s="7"/>
      <c r="NEJ144" s="7"/>
      <c r="NEK144" s="7"/>
      <c r="NEL144" s="7"/>
      <c r="NEM144" s="7"/>
      <c r="NEN144" s="7"/>
      <c r="NEO144" s="7"/>
      <c r="NEP144" s="7"/>
      <c r="NEQ144" s="7"/>
      <c r="NER144" s="7"/>
      <c r="NES144" s="7"/>
      <c r="NET144" s="7"/>
      <c r="NEU144" s="7"/>
      <c r="NEV144" s="7"/>
      <c r="NEW144" s="7"/>
      <c r="NEX144" s="7"/>
      <c r="NEY144" s="7"/>
      <c r="NEZ144" s="7"/>
      <c r="NFA144" s="7"/>
      <c r="NFB144" s="7"/>
      <c r="NFC144" s="7"/>
      <c r="NFD144" s="7"/>
      <c r="NFE144" s="7"/>
      <c r="NFF144" s="7"/>
      <c r="NFG144" s="7"/>
      <c r="NFH144" s="7"/>
      <c r="NFI144" s="7"/>
      <c r="NFJ144" s="7"/>
      <c r="NFK144" s="7"/>
      <c r="NFL144" s="7"/>
      <c r="NFM144" s="7"/>
      <c r="NFN144" s="7"/>
      <c r="NFO144" s="7"/>
      <c r="NFP144" s="7"/>
      <c r="NFQ144" s="7"/>
      <c r="NFR144" s="7"/>
      <c r="NFS144" s="7"/>
      <c r="NFT144" s="7"/>
      <c r="NFU144" s="7"/>
      <c r="NFV144" s="7"/>
      <c r="NFW144" s="7"/>
      <c r="NFX144" s="7"/>
      <c r="NFY144" s="7"/>
      <c r="NFZ144" s="7"/>
      <c r="NGA144" s="7"/>
      <c r="NGB144" s="7"/>
      <c r="NGC144" s="7"/>
      <c r="NGD144" s="7"/>
      <c r="NGE144" s="7"/>
      <c r="NGF144" s="7"/>
      <c r="NGG144" s="7"/>
      <c r="NGH144" s="7"/>
      <c r="NGI144" s="7"/>
      <c r="NGJ144" s="7"/>
      <c r="NGK144" s="7"/>
      <c r="NGL144" s="7"/>
      <c r="NGM144" s="7"/>
      <c r="NGN144" s="7"/>
      <c r="NGO144" s="7"/>
      <c r="NGP144" s="7"/>
      <c r="NGQ144" s="7"/>
      <c r="NGR144" s="7"/>
      <c r="NGS144" s="7"/>
      <c r="NGT144" s="7"/>
      <c r="NGU144" s="7"/>
      <c r="NGV144" s="7"/>
      <c r="NGW144" s="7"/>
      <c r="NGX144" s="7"/>
      <c r="NGY144" s="7"/>
      <c r="NGZ144" s="7"/>
      <c r="NHA144" s="7"/>
      <c r="NHB144" s="7"/>
      <c r="NHC144" s="7"/>
      <c r="NHD144" s="7"/>
      <c r="NHE144" s="7"/>
      <c r="NHF144" s="7"/>
      <c r="NHG144" s="7"/>
      <c r="NHH144" s="7"/>
      <c r="NHI144" s="7"/>
      <c r="NHJ144" s="7"/>
      <c r="NHK144" s="7"/>
      <c r="NHL144" s="7"/>
      <c r="NHM144" s="7"/>
      <c r="NHN144" s="7"/>
      <c r="NHO144" s="7"/>
      <c r="NHP144" s="7"/>
      <c r="NHQ144" s="7"/>
      <c r="NHR144" s="7"/>
      <c r="NHS144" s="7"/>
      <c r="NHT144" s="7"/>
      <c r="NHU144" s="7"/>
      <c r="NHV144" s="7"/>
      <c r="NHW144" s="7"/>
      <c r="NHX144" s="7"/>
      <c r="NHY144" s="7"/>
      <c r="NHZ144" s="7"/>
      <c r="NIA144" s="7"/>
      <c r="NIB144" s="7"/>
      <c r="NIC144" s="7"/>
      <c r="NID144" s="7"/>
      <c r="NIE144" s="7"/>
      <c r="NIF144" s="7"/>
      <c r="NIG144" s="7"/>
      <c r="NIH144" s="7"/>
      <c r="NII144" s="7"/>
      <c r="NIJ144" s="7"/>
      <c r="NIK144" s="7"/>
      <c r="NIL144" s="7"/>
      <c r="NIM144" s="7"/>
      <c r="NIN144" s="7"/>
      <c r="NIO144" s="7"/>
      <c r="NIP144" s="7"/>
      <c r="NIQ144" s="7"/>
      <c r="NIR144" s="7"/>
      <c r="NIS144" s="7"/>
      <c r="NIT144" s="7"/>
      <c r="NIU144" s="7"/>
      <c r="NIV144" s="7"/>
      <c r="NIW144" s="7"/>
      <c r="NIX144" s="7"/>
      <c r="NIY144" s="7"/>
      <c r="NIZ144" s="7"/>
      <c r="NJA144" s="7"/>
      <c r="NJB144" s="7"/>
      <c r="NJC144" s="7"/>
      <c r="NJD144" s="7"/>
      <c r="NJE144" s="7"/>
      <c r="NJF144" s="7"/>
      <c r="NJG144" s="7"/>
      <c r="NJH144" s="7"/>
      <c r="NJI144" s="7"/>
      <c r="NJJ144" s="7"/>
      <c r="NJK144" s="7"/>
      <c r="NJL144" s="7"/>
      <c r="NJM144" s="7"/>
      <c r="NJN144" s="7"/>
      <c r="NJO144" s="7"/>
      <c r="NJP144" s="7"/>
      <c r="NJQ144" s="7"/>
      <c r="NJR144" s="7"/>
      <c r="NJS144" s="7"/>
      <c r="NJT144" s="7"/>
      <c r="NJU144" s="7"/>
      <c r="NJV144" s="7"/>
      <c r="NJW144" s="7"/>
      <c r="NJX144" s="7"/>
      <c r="NJY144" s="7"/>
      <c r="NJZ144" s="7"/>
      <c r="NKA144" s="7"/>
      <c r="NKB144" s="7"/>
      <c r="NKC144" s="7"/>
      <c r="NKD144" s="7"/>
      <c r="NKE144" s="7"/>
      <c r="NKF144" s="7"/>
      <c r="NKG144" s="7"/>
      <c r="NKH144" s="7"/>
      <c r="NKI144" s="7"/>
      <c r="NKJ144" s="7"/>
      <c r="NKK144" s="7"/>
      <c r="NKL144" s="7"/>
      <c r="NKM144" s="7"/>
      <c r="NKN144" s="7"/>
      <c r="NKO144" s="7"/>
      <c r="NKP144" s="7"/>
      <c r="NKQ144" s="7"/>
      <c r="NKR144" s="7"/>
      <c r="NKS144" s="7"/>
      <c r="NKT144" s="7"/>
      <c r="NKU144" s="7"/>
      <c r="NKV144" s="7"/>
      <c r="NKW144" s="7"/>
      <c r="NKX144" s="7"/>
      <c r="NKY144" s="7"/>
      <c r="NKZ144" s="7"/>
      <c r="NLA144" s="7"/>
      <c r="NLB144" s="7"/>
      <c r="NLC144" s="7"/>
      <c r="NLD144" s="7"/>
      <c r="NLE144" s="7"/>
      <c r="NLF144" s="7"/>
      <c r="NLG144" s="7"/>
      <c r="NLH144" s="7"/>
      <c r="NLI144" s="7"/>
      <c r="NLJ144" s="7"/>
      <c r="NLK144" s="7"/>
      <c r="NLL144" s="7"/>
      <c r="NLM144" s="7"/>
      <c r="NLN144" s="7"/>
      <c r="NLO144" s="7"/>
      <c r="NLP144" s="7"/>
      <c r="NLQ144" s="7"/>
      <c r="NLR144" s="7"/>
      <c r="NLS144" s="7"/>
      <c r="NLT144" s="7"/>
      <c r="NLU144" s="7"/>
      <c r="NLV144" s="7"/>
      <c r="NLW144" s="7"/>
      <c r="NLX144" s="7"/>
      <c r="NLY144" s="7"/>
      <c r="NLZ144" s="7"/>
      <c r="NMA144" s="7"/>
      <c r="NMB144" s="7"/>
      <c r="NMC144" s="7"/>
      <c r="NMD144" s="7"/>
      <c r="NME144" s="7"/>
      <c r="NMF144" s="7"/>
      <c r="NMG144" s="7"/>
      <c r="NMH144" s="7"/>
      <c r="NMI144" s="7"/>
      <c r="NMJ144" s="7"/>
      <c r="NMK144" s="7"/>
      <c r="NML144" s="7"/>
      <c r="NMM144" s="7"/>
      <c r="NMN144" s="7"/>
      <c r="NMO144" s="7"/>
      <c r="NMP144" s="7"/>
      <c r="NMQ144" s="7"/>
      <c r="NMR144" s="7"/>
      <c r="NMS144" s="7"/>
      <c r="NMT144" s="7"/>
      <c r="NMU144" s="7"/>
      <c r="NMV144" s="7"/>
      <c r="NMW144" s="7"/>
      <c r="NMX144" s="7"/>
      <c r="NMY144" s="7"/>
      <c r="NMZ144" s="7"/>
      <c r="NNA144" s="7"/>
      <c r="NNB144" s="7"/>
      <c r="NNC144" s="7"/>
      <c r="NND144" s="7"/>
      <c r="NNE144" s="7"/>
      <c r="NNF144" s="7"/>
      <c r="NNG144" s="7"/>
      <c r="NNH144" s="7"/>
      <c r="NNI144" s="7"/>
      <c r="NNJ144" s="7"/>
      <c r="NNK144" s="7"/>
      <c r="NNL144" s="7"/>
      <c r="NNM144" s="7"/>
      <c r="NNN144" s="7"/>
      <c r="NNO144" s="7"/>
      <c r="NNP144" s="7"/>
      <c r="NNQ144" s="7"/>
      <c r="NNR144" s="7"/>
      <c r="NNS144" s="7"/>
      <c r="NNT144" s="7"/>
      <c r="NNU144" s="7"/>
      <c r="NNV144" s="7"/>
      <c r="NNW144" s="7"/>
      <c r="NNX144" s="7"/>
      <c r="NNY144" s="7"/>
      <c r="NNZ144" s="7"/>
      <c r="NOA144" s="7"/>
      <c r="NOB144" s="7"/>
      <c r="NOC144" s="7"/>
      <c r="NOD144" s="7"/>
      <c r="NOE144" s="7"/>
      <c r="NOF144" s="7"/>
      <c r="NOG144" s="7"/>
      <c r="NOH144" s="7"/>
      <c r="NOI144" s="7"/>
      <c r="NOJ144" s="7"/>
      <c r="NOK144" s="7"/>
      <c r="NOL144" s="7"/>
      <c r="NOM144" s="7"/>
      <c r="NON144" s="7"/>
      <c r="NOO144" s="7"/>
      <c r="NOP144" s="7"/>
      <c r="NOQ144" s="7"/>
      <c r="NOR144" s="7"/>
      <c r="NOS144" s="7"/>
      <c r="NOT144" s="7"/>
      <c r="NOU144" s="7"/>
      <c r="NOV144" s="7"/>
      <c r="NOW144" s="7"/>
      <c r="NOX144" s="7"/>
      <c r="NOY144" s="7"/>
      <c r="NOZ144" s="7"/>
      <c r="NPA144" s="7"/>
      <c r="NPB144" s="7"/>
      <c r="NPC144" s="7"/>
      <c r="NPD144" s="7"/>
      <c r="NPE144" s="7"/>
      <c r="NPF144" s="7"/>
      <c r="NPG144" s="7"/>
      <c r="NPH144" s="7"/>
      <c r="NPI144" s="7"/>
      <c r="NPJ144" s="7"/>
      <c r="NPK144" s="7"/>
      <c r="NPL144" s="7"/>
      <c r="NPM144" s="7"/>
      <c r="NPN144" s="7"/>
      <c r="NPO144" s="7"/>
      <c r="NPP144" s="7"/>
      <c r="NPQ144" s="7"/>
      <c r="NPR144" s="7"/>
      <c r="NPS144" s="7"/>
      <c r="NPT144" s="7"/>
      <c r="NPU144" s="7"/>
      <c r="NPV144" s="7"/>
      <c r="NPW144" s="7"/>
      <c r="NPX144" s="7"/>
      <c r="NPY144" s="7"/>
      <c r="NPZ144" s="7"/>
      <c r="NQA144" s="7"/>
      <c r="NQB144" s="7"/>
      <c r="NQC144" s="7"/>
      <c r="NQD144" s="7"/>
      <c r="NQE144" s="7"/>
      <c r="NQF144" s="7"/>
      <c r="NQG144" s="7"/>
      <c r="NQH144" s="7"/>
      <c r="NQI144" s="7"/>
      <c r="NQJ144" s="7"/>
      <c r="NQK144" s="7"/>
      <c r="NQL144" s="7"/>
      <c r="NQM144" s="7"/>
      <c r="NQN144" s="7"/>
      <c r="NQO144" s="7"/>
      <c r="NQP144" s="7"/>
      <c r="NQQ144" s="7"/>
      <c r="NQR144" s="7"/>
      <c r="NQS144" s="7"/>
      <c r="NQT144" s="7"/>
      <c r="NQU144" s="7"/>
      <c r="NQV144" s="7"/>
      <c r="NQW144" s="7"/>
      <c r="NQX144" s="7"/>
      <c r="NQY144" s="7"/>
      <c r="NQZ144" s="7"/>
      <c r="NRA144" s="7"/>
      <c r="NRB144" s="7"/>
      <c r="NRC144" s="7"/>
      <c r="NRD144" s="7"/>
      <c r="NRE144" s="7"/>
      <c r="NRF144" s="7"/>
      <c r="NRG144" s="7"/>
      <c r="NRH144" s="7"/>
      <c r="NRI144" s="7"/>
      <c r="NRJ144" s="7"/>
      <c r="NRK144" s="7"/>
      <c r="NRL144" s="7"/>
      <c r="NRM144" s="7"/>
      <c r="NRN144" s="7"/>
      <c r="NRO144" s="7"/>
      <c r="NRP144" s="7"/>
      <c r="NRQ144" s="7"/>
      <c r="NRR144" s="7"/>
      <c r="NRS144" s="7"/>
      <c r="NRT144" s="7"/>
      <c r="NRU144" s="7"/>
      <c r="NRV144" s="7"/>
      <c r="NRW144" s="7"/>
      <c r="NRX144" s="7"/>
      <c r="NRY144" s="7"/>
      <c r="NRZ144" s="7"/>
      <c r="NSA144" s="7"/>
      <c r="NSB144" s="7"/>
      <c r="NSC144" s="7"/>
      <c r="NSD144" s="7"/>
      <c r="NSE144" s="7"/>
      <c r="NSF144" s="7"/>
      <c r="NSG144" s="7"/>
      <c r="NSH144" s="7"/>
      <c r="NSI144" s="7"/>
      <c r="NSJ144" s="7"/>
      <c r="NSK144" s="7"/>
      <c r="NSL144" s="7"/>
      <c r="NSM144" s="7"/>
      <c r="NSN144" s="7"/>
      <c r="NSO144" s="7"/>
      <c r="NSP144" s="7"/>
      <c r="NSQ144" s="7"/>
      <c r="NSR144" s="7"/>
      <c r="NSS144" s="7"/>
      <c r="NST144" s="7"/>
      <c r="NSU144" s="7"/>
      <c r="NSV144" s="7"/>
      <c r="NSW144" s="7"/>
      <c r="NSX144" s="7"/>
      <c r="NSY144" s="7"/>
      <c r="NSZ144" s="7"/>
      <c r="NTA144" s="7"/>
      <c r="NTB144" s="7"/>
      <c r="NTC144" s="7"/>
      <c r="NTD144" s="7"/>
      <c r="NTE144" s="7"/>
      <c r="NTF144" s="7"/>
      <c r="NTG144" s="7"/>
      <c r="NTH144" s="7"/>
      <c r="NTI144" s="7"/>
      <c r="NTJ144" s="7"/>
      <c r="NTK144" s="7"/>
      <c r="NTL144" s="7"/>
      <c r="NTM144" s="7"/>
      <c r="NTN144" s="7"/>
      <c r="NTO144" s="7"/>
      <c r="NTP144" s="7"/>
      <c r="NTQ144" s="7"/>
      <c r="NTR144" s="7"/>
      <c r="NTS144" s="7"/>
      <c r="NTT144" s="7"/>
      <c r="NTU144" s="7"/>
      <c r="NTV144" s="7"/>
      <c r="NTW144" s="7"/>
      <c r="NTX144" s="7"/>
      <c r="NTY144" s="7"/>
      <c r="NTZ144" s="7"/>
      <c r="NUA144" s="7"/>
      <c r="NUB144" s="7"/>
      <c r="NUC144" s="7"/>
      <c r="NUD144" s="7"/>
      <c r="NUE144" s="7"/>
      <c r="NUF144" s="7"/>
      <c r="NUG144" s="7"/>
      <c r="NUH144" s="7"/>
      <c r="NUI144" s="7"/>
      <c r="NUJ144" s="7"/>
      <c r="NUK144" s="7"/>
      <c r="NUL144" s="7"/>
      <c r="NUM144" s="7"/>
      <c r="NUN144" s="7"/>
      <c r="NUO144" s="7"/>
      <c r="NUP144" s="7"/>
      <c r="NUQ144" s="7"/>
      <c r="NUR144" s="7"/>
      <c r="NUS144" s="7"/>
      <c r="NUT144" s="7"/>
      <c r="NUU144" s="7"/>
      <c r="NUV144" s="7"/>
      <c r="NUW144" s="7"/>
      <c r="NUX144" s="7"/>
      <c r="NUY144" s="7"/>
      <c r="NUZ144" s="7"/>
      <c r="NVA144" s="7"/>
      <c r="NVB144" s="7"/>
      <c r="NVC144" s="7"/>
      <c r="NVD144" s="7"/>
      <c r="NVE144" s="7"/>
      <c r="NVF144" s="7"/>
      <c r="NVG144" s="7"/>
      <c r="NVH144" s="7"/>
      <c r="NVI144" s="7"/>
      <c r="NVJ144" s="7"/>
      <c r="NVK144" s="7"/>
      <c r="NVL144" s="7"/>
      <c r="NVM144" s="7"/>
      <c r="NVN144" s="7"/>
      <c r="NVO144" s="7"/>
      <c r="NVP144" s="7"/>
      <c r="NVQ144" s="7"/>
      <c r="NVR144" s="7"/>
      <c r="NVS144" s="7"/>
      <c r="NVT144" s="7"/>
      <c r="NVU144" s="7"/>
      <c r="NVV144" s="7"/>
      <c r="NVW144" s="7"/>
      <c r="NVX144" s="7"/>
      <c r="NVY144" s="7"/>
      <c r="NVZ144" s="7"/>
      <c r="NWA144" s="7"/>
      <c r="NWB144" s="7"/>
      <c r="NWC144" s="7"/>
      <c r="NWD144" s="7"/>
      <c r="NWE144" s="7"/>
      <c r="NWF144" s="7"/>
      <c r="NWG144" s="7"/>
      <c r="NWH144" s="7"/>
      <c r="NWI144" s="7"/>
      <c r="NWJ144" s="7"/>
      <c r="NWK144" s="7"/>
      <c r="NWL144" s="7"/>
      <c r="NWM144" s="7"/>
      <c r="NWN144" s="7"/>
      <c r="NWO144" s="7"/>
      <c r="NWP144" s="7"/>
      <c r="NWQ144" s="7"/>
      <c r="NWR144" s="7"/>
      <c r="NWS144" s="7"/>
      <c r="NWT144" s="7"/>
      <c r="NWU144" s="7"/>
      <c r="NWV144" s="7"/>
      <c r="NWW144" s="7"/>
      <c r="NWX144" s="7"/>
      <c r="NWY144" s="7"/>
      <c r="NWZ144" s="7"/>
      <c r="NXA144" s="7"/>
      <c r="NXB144" s="7"/>
      <c r="NXC144" s="7"/>
      <c r="NXD144" s="7"/>
      <c r="NXE144" s="7"/>
      <c r="NXF144" s="7"/>
      <c r="NXG144" s="7"/>
      <c r="NXH144" s="7"/>
      <c r="NXI144" s="7"/>
      <c r="NXJ144" s="7"/>
      <c r="NXK144" s="7"/>
      <c r="NXL144" s="7"/>
      <c r="NXM144" s="7"/>
      <c r="NXN144" s="7"/>
      <c r="NXO144" s="7"/>
      <c r="NXP144" s="7"/>
      <c r="NXQ144" s="7"/>
      <c r="NXR144" s="7"/>
      <c r="NXS144" s="7"/>
      <c r="NXT144" s="7"/>
      <c r="NXU144" s="7"/>
      <c r="NXV144" s="7"/>
      <c r="NXW144" s="7"/>
      <c r="NXX144" s="7"/>
      <c r="NXY144" s="7"/>
      <c r="NXZ144" s="7"/>
      <c r="NYA144" s="7"/>
      <c r="NYB144" s="7"/>
      <c r="NYC144" s="7"/>
      <c r="NYD144" s="7"/>
      <c r="NYE144" s="7"/>
      <c r="NYF144" s="7"/>
      <c r="NYG144" s="7"/>
      <c r="NYH144" s="7"/>
      <c r="NYI144" s="7"/>
      <c r="NYJ144" s="7"/>
      <c r="NYK144" s="7"/>
      <c r="NYL144" s="7"/>
      <c r="NYM144" s="7"/>
      <c r="NYN144" s="7"/>
      <c r="NYO144" s="7"/>
      <c r="NYP144" s="7"/>
      <c r="NYQ144" s="7"/>
      <c r="NYR144" s="7"/>
      <c r="NYS144" s="7"/>
      <c r="NYT144" s="7"/>
      <c r="NYU144" s="7"/>
      <c r="NYV144" s="7"/>
      <c r="NYW144" s="7"/>
      <c r="NYX144" s="7"/>
      <c r="NYY144" s="7"/>
      <c r="NYZ144" s="7"/>
      <c r="NZA144" s="7"/>
      <c r="NZB144" s="7"/>
      <c r="NZC144" s="7"/>
      <c r="NZD144" s="7"/>
      <c r="NZE144" s="7"/>
      <c r="NZF144" s="7"/>
      <c r="NZG144" s="7"/>
      <c r="NZH144" s="7"/>
      <c r="NZI144" s="7"/>
      <c r="NZJ144" s="7"/>
      <c r="NZK144" s="7"/>
      <c r="NZL144" s="7"/>
      <c r="NZM144" s="7"/>
      <c r="NZN144" s="7"/>
      <c r="NZO144" s="7"/>
      <c r="NZP144" s="7"/>
      <c r="NZQ144" s="7"/>
      <c r="NZR144" s="7"/>
      <c r="NZS144" s="7"/>
      <c r="NZT144" s="7"/>
      <c r="NZU144" s="7"/>
      <c r="NZV144" s="7"/>
      <c r="NZW144" s="7"/>
      <c r="NZX144" s="7"/>
      <c r="NZY144" s="7"/>
      <c r="NZZ144" s="7"/>
      <c r="OAA144" s="7"/>
      <c r="OAB144" s="7"/>
      <c r="OAC144" s="7"/>
      <c r="OAD144" s="7"/>
      <c r="OAE144" s="7"/>
      <c r="OAF144" s="7"/>
      <c r="OAG144" s="7"/>
      <c r="OAH144" s="7"/>
      <c r="OAI144" s="7"/>
      <c r="OAJ144" s="7"/>
      <c r="OAK144" s="7"/>
      <c r="OAL144" s="7"/>
      <c r="OAM144" s="7"/>
      <c r="OAN144" s="7"/>
      <c r="OAO144" s="7"/>
      <c r="OAP144" s="7"/>
      <c r="OAQ144" s="7"/>
      <c r="OAR144" s="7"/>
      <c r="OAS144" s="7"/>
      <c r="OAT144" s="7"/>
      <c r="OAU144" s="7"/>
      <c r="OAV144" s="7"/>
      <c r="OAW144" s="7"/>
      <c r="OAX144" s="7"/>
      <c r="OAY144" s="7"/>
      <c r="OAZ144" s="7"/>
      <c r="OBA144" s="7"/>
      <c r="OBB144" s="7"/>
      <c r="OBC144" s="7"/>
      <c r="OBD144" s="7"/>
      <c r="OBE144" s="7"/>
      <c r="OBF144" s="7"/>
      <c r="OBG144" s="7"/>
      <c r="OBH144" s="7"/>
      <c r="OBI144" s="7"/>
      <c r="OBJ144" s="7"/>
      <c r="OBK144" s="7"/>
      <c r="OBL144" s="7"/>
      <c r="OBM144" s="7"/>
      <c r="OBN144" s="7"/>
      <c r="OBO144" s="7"/>
      <c r="OBP144" s="7"/>
      <c r="OBQ144" s="7"/>
      <c r="OBR144" s="7"/>
      <c r="OBS144" s="7"/>
      <c r="OBT144" s="7"/>
      <c r="OBU144" s="7"/>
      <c r="OBV144" s="7"/>
      <c r="OBW144" s="7"/>
      <c r="OBX144" s="7"/>
      <c r="OBY144" s="7"/>
      <c r="OBZ144" s="7"/>
      <c r="OCA144" s="7"/>
      <c r="OCB144" s="7"/>
      <c r="OCC144" s="7"/>
      <c r="OCD144" s="7"/>
      <c r="OCE144" s="7"/>
      <c r="OCF144" s="7"/>
      <c r="OCG144" s="7"/>
      <c r="OCH144" s="7"/>
      <c r="OCI144" s="7"/>
      <c r="OCJ144" s="7"/>
      <c r="OCK144" s="7"/>
      <c r="OCL144" s="7"/>
      <c r="OCM144" s="7"/>
      <c r="OCN144" s="7"/>
      <c r="OCO144" s="7"/>
      <c r="OCP144" s="7"/>
      <c r="OCQ144" s="7"/>
      <c r="OCR144" s="7"/>
      <c r="OCS144" s="7"/>
      <c r="OCT144" s="7"/>
      <c r="OCU144" s="7"/>
      <c r="OCV144" s="7"/>
      <c r="OCW144" s="7"/>
      <c r="OCX144" s="7"/>
      <c r="OCY144" s="7"/>
      <c r="OCZ144" s="7"/>
      <c r="ODA144" s="7"/>
      <c r="ODB144" s="7"/>
      <c r="ODC144" s="7"/>
      <c r="ODD144" s="7"/>
      <c r="ODE144" s="7"/>
      <c r="ODF144" s="7"/>
      <c r="ODG144" s="7"/>
      <c r="ODH144" s="7"/>
      <c r="ODI144" s="7"/>
      <c r="ODJ144" s="7"/>
      <c r="ODK144" s="7"/>
      <c r="ODL144" s="7"/>
      <c r="ODM144" s="7"/>
      <c r="ODN144" s="7"/>
      <c r="ODO144" s="7"/>
      <c r="ODP144" s="7"/>
      <c r="ODQ144" s="7"/>
      <c r="ODR144" s="7"/>
      <c r="ODS144" s="7"/>
      <c r="ODT144" s="7"/>
      <c r="ODU144" s="7"/>
      <c r="ODV144" s="7"/>
      <c r="ODW144" s="7"/>
      <c r="ODX144" s="7"/>
      <c r="ODY144" s="7"/>
      <c r="ODZ144" s="7"/>
      <c r="OEA144" s="7"/>
      <c r="OEB144" s="7"/>
      <c r="OEC144" s="7"/>
      <c r="OED144" s="7"/>
      <c r="OEE144" s="7"/>
      <c r="OEF144" s="7"/>
      <c r="OEG144" s="7"/>
      <c r="OEH144" s="7"/>
      <c r="OEI144" s="7"/>
      <c r="OEJ144" s="7"/>
      <c r="OEK144" s="7"/>
      <c r="OEL144" s="7"/>
      <c r="OEM144" s="7"/>
      <c r="OEN144" s="7"/>
      <c r="OEO144" s="7"/>
      <c r="OEP144" s="7"/>
      <c r="OEQ144" s="7"/>
      <c r="OER144" s="7"/>
      <c r="OES144" s="7"/>
      <c r="OET144" s="7"/>
      <c r="OEU144" s="7"/>
      <c r="OEV144" s="7"/>
      <c r="OEW144" s="7"/>
      <c r="OEX144" s="7"/>
      <c r="OEY144" s="7"/>
      <c r="OEZ144" s="7"/>
      <c r="OFA144" s="7"/>
      <c r="OFB144" s="7"/>
      <c r="OFC144" s="7"/>
      <c r="OFD144" s="7"/>
      <c r="OFE144" s="7"/>
      <c r="OFF144" s="7"/>
      <c r="OFG144" s="7"/>
      <c r="OFH144" s="7"/>
      <c r="OFI144" s="7"/>
      <c r="OFJ144" s="7"/>
      <c r="OFK144" s="7"/>
      <c r="OFL144" s="7"/>
      <c r="OFM144" s="7"/>
      <c r="OFN144" s="7"/>
      <c r="OFO144" s="7"/>
      <c r="OFP144" s="7"/>
      <c r="OFQ144" s="7"/>
      <c r="OFR144" s="7"/>
      <c r="OFS144" s="7"/>
      <c r="OFT144" s="7"/>
      <c r="OFU144" s="7"/>
      <c r="OFV144" s="7"/>
      <c r="OFW144" s="7"/>
      <c r="OFX144" s="7"/>
      <c r="OFY144" s="7"/>
      <c r="OFZ144" s="7"/>
      <c r="OGA144" s="7"/>
      <c r="OGB144" s="7"/>
      <c r="OGC144" s="7"/>
      <c r="OGD144" s="7"/>
      <c r="OGE144" s="7"/>
      <c r="OGF144" s="7"/>
      <c r="OGG144" s="7"/>
      <c r="OGH144" s="7"/>
      <c r="OGI144" s="7"/>
      <c r="OGJ144" s="7"/>
      <c r="OGK144" s="7"/>
      <c r="OGL144" s="7"/>
      <c r="OGM144" s="7"/>
      <c r="OGN144" s="7"/>
      <c r="OGO144" s="7"/>
      <c r="OGP144" s="7"/>
      <c r="OGQ144" s="7"/>
      <c r="OGR144" s="7"/>
      <c r="OGS144" s="7"/>
      <c r="OGT144" s="7"/>
      <c r="OGU144" s="7"/>
      <c r="OGV144" s="7"/>
      <c r="OGW144" s="7"/>
      <c r="OGX144" s="7"/>
      <c r="OGY144" s="7"/>
      <c r="OGZ144" s="7"/>
      <c r="OHA144" s="7"/>
      <c r="OHB144" s="7"/>
      <c r="OHC144" s="7"/>
      <c r="OHD144" s="7"/>
      <c r="OHE144" s="7"/>
      <c r="OHF144" s="7"/>
      <c r="OHG144" s="7"/>
      <c r="OHH144" s="7"/>
      <c r="OHI144" s="7"/>
      <c r="OHJ144" s="7"/>
      <c r="OHK144" s="7"/>
      <c r="OHL144" s="7"/>
      <c r="OHM144" s="7"/>
      <c r="OHN144" s="7"/>
      <c r="OHO144" s="7"/>
      <c r="OHP144" s="7"/>
      <c r="OHQ144" s="7"/>
      <c r="OHR144" s="7"/>
      <c r="OHS144" s="7"/>
      <c r="OHT144" s="7"/>
      <c r="OHU144" s="7"/>
      <c r="OHV144" s="7"/>
      <c r="OHW144" s="7"/>
      <c r="OHX144" s="7"/>
      <c r="OHY144" s="7"/>
      <c r="OHZ144" s="7"/>
      <c r="OIA144" s="7"/>
      <c r="OIB144" s="7"/>
      <c r="OIC144" s="7"/>
      <c r="OID144" s="7"/>
      <c r="OIE144" s="7"/>
      <c r="OIF144" s="7"/>
      <c r="OIG144" s="7"/>
      <c r="OIH144" s="7"/>
      <c r="OII144" s="7"/>
      <c r="OIJ144" s="7"/>
      <c r="OIK144" s="7"/>
      <c r="OIL144" s="7"/>
      <c r="OIM144" s="7"/>
      <c r="OIN144" s="7"/>
      <c r="OIO144" s="7"/>
      <c r="OIP144" s="7"/>
      <c r="OIQ144" s="7"/>
      <c r="OIR144" s="7"/>
      <c r="OIS144" s="7"/>
      <c r="OIT144" s="7"/>
      <c r="OIU144" s="7"/>
      <c r="OIV144" s="7"/>
      <c r="OIW144" s="7"/>
      <c r="OIX144" s="7"/>
      <c r="OIY144" s="7"/>
      <c r="OIZ144" s="7"/>
      <c r="OJA144" s="7"/>
      <c r="OJB144" s="7"/>
      <c r="OJC144" s="7"/>
      <c r="OJD144" s="7"/>
      <c r="OJE144" s="7"/>
      <c r="OJF144" s="7"/>
      <c r="OJG144" s="7"/>
      <c r="OJH144" s="7"/>
      <c r="OJI144" s="7"/>
      <c r="OJJ144" s="7"/>
      <c r="OJK144" s="7"/>
      <c r="OJL144" s="7"/>
      <c r="OJM144" s="7"/>
      <c r="OJN144" s="7"/>
      <c r="OJO144" s="7"/>
      <c r="OJP144" s="7"/>
      <c r="OJQ144" s="7"/>
      <c r="OJR144" s="7"/>
      <c r="OJS144" s="7"/>
      <c r="OJT144" s="7"/>
      <c r="OJU144" s="7"/>
      <c r="OJV144" s="7"/>
      <c r="OJW144" s="7"/>
      <c r="OJX144" s="7"/>
      <c r="OJY144" s="7"/>
      <c r="OJZ144" s="7"/>
      <c r="OKA144" s="7"/>
      <c r="OKB144" s="7"/>
      <c r="OKC144" s="7"/>
      <c r="OKD144" s="7"/>
      <c r="OKE144" s="7"/>
      <c r="OKF144" s="7"/>
      <c r="OKG144" s="7"/>
      <c r="OKH144" s="7"/>
      <c r="OKI144" s="7"/>
      <c r="OKJ144" s="7"/>
      <c r="OKK144" s="7"/>
      <c r="OKL144" s="7"/>
      <c r="OKM144" s="7"/>
      <c r="OKN144" s="7"/>
      <c r="OKO144" s="7"/>
      <c r="OKP144" s="7"/>
      <c r="OKQ144" s="7"/>
      <c r="OKR144" s="7"/>
      <c r="OKS144" s="7"/>
      <c r="OKT144" s="7"/>
      <c r="OKU144" s="7"/>
      <c r="OKV144" s="7"/>
      <c r="OKW144" s="7"/>
      <c r="OKX144" s="7"/>
      <c r="OKY144" s="7"/>
      <c r="OKZ144" s="7"/>
      <c r="OLA144" s="7"/>
      <c r="OLB144" s="7"/>
      <c r="OLC144" s="7"/>
      <c r="OLD144" s="7"/>
      <c r="OLE144" s="7"/>
      <c r="OLF144" s="7"/>
      <c r="OLG144" s="7"/>
      <c r="OLH144" s="7"/>
      <c r="OLI144" s="7"/>
      <c r="OLJ144" s="7"/>
      <c r="OLK144" s="7"/>
      <c r="OLL144" s="7"/>
      <c r="OLM144" s="7"/>
      <c r="OLN144" s="7"/>
      <c r="OLO144" s="7"/>
      <c r="OLP144" s="7"/>
      <c r="OLQ144" s="7"/>
      <c r="OLR144" s="7"/>
      <c r="OLS144" s="7"/>
      <c r="OLT144" s="7"/>
      <c r="OLU144" s="7"/>
      <c r="OLV144" s="7"/>
      <c r="OLW144" s="7"/>
      <c r="OLX144" s="7"/>
      <c r="OLY144" s="7"/>
      <c r="OLZ144" s="7"/>
      <c r="OMA144" s="7"/>
      <c r="OMB144" s="7"/>
      <c r="OMC144" s="7"/>
      <c r="OMD144" s="7"/>
      <c r="OME144" s="7"/>
      <c r="OMF144" s="7"/>
      <c r="OMG144" s="7"/>
      <c r="OMH144" s="7"/>
      <c r="OMI144" s="7"/>
      <c r="OMJ144" s="7"/>
      <c r="OMK144" s="7"/>
      <c r="OML144" s="7"/>
      <c r="OMM144" s="7"/>
      <c r="OMN144" s="7"/>
      <c r="OMO144" s="7"/>
      <c r="OMP144" s="7"/>
      <c r="OMQ144" s="7"/>
      <c r="OMR144" s="7"/>
      <c r="OMS144" s="7"/>
      <c r="OMT144" s="7"/>
      <c r="OMU144" s="7"/>
      <c r="OMV144" s="7"/>
      <c r="OMW144" s="7"/>
      <c r="OMX144" s="7"/>
      <c r="OMY144" s="7"/>
      <c r="OMZ144" s="7"/>
      <c r="ONA144" s="7"/>
      <c r="ONB144" s="7"/>
      <c r="ONC144" s="7"/>
      <c r="OND144" s="7"/>
      <c r="ONE144" s="7"/>
      <c r="ONF144" s="7"/>
      <c r="ONG144" s="7"/>
      <c r="ONH144" s="7"/>
      <c r="ONI144" s="7"/>
      <c r="ONJ144" s="7"/>
      <c r="ONK144" s="7"/>
      <c r="ONL144" s="7"/>
      <c r="ONM144" s="7"/>
      <c r="ONN144" s="7"/>
      <c r="ONO144" s="7"/>
      <c r="ONP144" s="7"/>
      <c r="ONQ144" s="7"/>
      <c r="ONR144" s="7"/>
      <c r="ONS144" s="7"/>
      <c r="ONT144" s="7"/>
      <c r="ONU144" s="7"/>
      <c r="ONV144" s="7"/>
      <c r="ONW144" s="7"/>
      <c r="ONX144" s="7"/>
      <c r="ONY144" s="7"/>
      <c r="ONZ144" s="7"/>
      <c r="OOA144" s="7"/>
      <c r="OOB144" s="7"/>
      <c r="OOC144" s="7"/>
      <c r="OOD144" s="7"/>
      <c r="OOE144" s="7"/>
      <c r="OOF144" s="7"/>
      <c r="OOG144" s="7"/>
      <c r="OOH144" s="7"/>
      <c r="OOI144" s="7"/>
      <c r="OOJ144" s="7"/>
      <c r="OOK144" s="7"/>
      <c r="OOL144" s="7"/>
      <c r="OOM144" s="7"/>
      <c r="OON144" s="7"/>
      <c r="OOO144" s="7"/>
      <c r="OOP144" s="7"/>
      <c r="OOQ144" s="7"/>
      <c r="OOR144" s="7"/>
      <c r="OOS144" s="7"/>
      <c r="OOT144" s="7"/>
      <c r="OOU144" s="7"/>
      <c r="OOV144" s="7"/>
      <c r="OOW144" s="7"/>
      <c r="OOX144" s="7"/>
      <c r="OOY144" s="7"/>
      <c r="OOZ144" s="7"/>
      <c r="OPA144" s="7"/>
      <c r="OPB144" s="7"/>
      <c r="OPC144" s="7"/>
      <c r="OPD144" s="7"/>
      <c r="OPE144" s="7"/>
      <c r="OPF144" s="7"/>
      <c r="OPG144" s="7"/>
      <c r="OPH144" s="7"/>
      <c r="OPI144" s="7"/>
      <c r="OPJ144" s="7"/>
      <c r="OPK144" s="7"/>
      <c r="OPL144" s="7"/>
      <c r="OPM144" s="7"/>
      <c r="OPN144" s="7"/>
      <c r="OPO144" s="7"/>
      <c r="OPP144" s="7"/>
      <c r="OPQ144" s="7"/>
      <c r="OPR144" s="7"/>
      <c r="OPS144" s="7"/>
      <c r="OPT144" s="7"/>
      <c r="OPU144" s="7"/>
      <c r="OPV144" s="7"/>
      <c r="OPW144" s="7"/>
      <c r="OPX144" s="7"/>
      <c r="OPY144" s="7"/>
      <c r="OPZ144" s="7"/>
      <c r="OQA144" s="7"/>
      <c r="OQB144" s="7"/>
      <c r="OQC144" s="7"/>
      <c r="OQD144" s="7"/>
      <c r="OQE144" s="7"/>
      <c r="OQF144" s="7"/>
      <c r="OQG144" s="7"/>
      <c r="OQH144" s="7"/>
      <c r="OQI144" s="7"/>
      <c r="OQJ144" s="7"/>
      <c r="OQK144" s="7"/>
      <c r="OQL144" s="7"/>
      <c r="OQM144" s="7"/>
      <c r="OQN144" s="7"/>
      <c r="OQO144" s="7"/>
      <c r="OQP144" s="7"/>
      <c r="OQQ144" s="7"/>
      <c r="OQR144" s="7"/>
      <c r="OQS144" s="7"/>
      <c r="OQT144" s="7"/>
      <c r="OQU144" s="7"/>
      <c r="OQV144" s="7"/>
      <c r="OQW144" s="7"/>
      <c r="OQX144" s="7"/>
      <c r="OQY144" s="7"/>
      <c r="OQZ144" s="7"/>
      <c r="ORA144" s="7"/>
      <c r="ORB144" s="7"/>
      <c r="ORC144" s="7"/>
      <c r="ORD144" s="7"/>
      <c r="ORE144" s="7"/>
      <c r="ORF144" s="7"/>
      <c r="ORG144" s="7"/>
      <c r="ORH144" s="7"/>
      <c r="ORI144" s="7"/>
      <c r="ORJ144" s="7"/>
      <c r="ORK144" s="7"/>
      <c r="ORL144" s="7"/>
      <c r="ORM144" s="7"/>
      <c r="ORN144" s="7"/>
      <c r="ORO144" s="7"/>
      <c r="ORP144" s="7"/>
      <c r="ORQ144" s="7"/>
      <c r="ORR144" s="7"/>
      <c r="ORS144" s="7"/>
      <c r="ORT144" s="7"/>
      <c r="ORU144" s="7"/>
      <c r="ORV144" s="7"/>
      <c r="ORW144" s="7"/>
      <c r="ORX144" s="7"/>
      <c r="ORY144" s="7"/>
      <c r="ORZ144" s="7"/>
      <c r="OSA144" s="7"/>
      <c r="OSB144" s="7"/>
      <c r="OSC144" s="7"/>
      <c r="OSD144" s="7"/>
      <c r="OSE144" s="7"/>
      <c r="OSF144" s="7"/>
      <c r="OSG144" s="7"/>
      <c r="OSH144" s="7"/>
      <c r="OSI144" s="7"/>
      <c r="OSJ144" s="7"/>
      <c r="OSK144" s="7"/>
      <c r="OSL144" s="7"/>
      <c r="OSM144" s="7"/>
      <c r="OSN144" s="7"/>
      <c r="OSO144" s="7"/>
      <c r="OSP144" s="7"/>
      <c r="OSQ144" s="7"/>
      <c r="OSR144" s="7"/>
      <c r="OSS144" s="7"/>
      <c r="OST144" s="7"/>
      <c r="OSU144" s="7"/>
      <c r="OSV144" s="7"/>
      <c r="OSW144" s="7"/>
      <c r="OSX144" s="7"/>
      <c r="OSY144" s="7"/>
      <c r="OSZ144" s="7"/>
      <c r="OTA144" s="7"/>
      <c r="OTB144" s="7"/>
      <c r="OTC144" s="7"/>
      <c r="OTD144" s="7"/>
      <c r="OTE144" s="7"/>
      <c r="OTF144" s="7"/>
      <c r="OTG144" s="7"/>
      <c r="OTH144" s="7"/>
      <c r="OTI144" s="7"/>
      <c r="OTJ144" s="7"/>
      <c r="OTK144" s="7"/>
      <c r="OTL144" s="7"/>
      <c r="OTM144" s="7"/>
      <c r="OTN144" s="7"/>
      <c r="OTO144" s="7"/>
      <c r="OTP144" s="7"/>
      <c r="OTQ144" s="7"/>
      <c r="OTR144" s="7"/>
      <c r="OTS144" s="7"/>
      <c r="OTT144" s="7"/>
      <c r="OTU144" s="7"/>
      <c r="OTV144" s="7"/>
      <c r="OTW144" s="7"/>
      <c r="OTX144" s="7"/>
      <c r="OTY144" s="7"/>
      <c r="OTZ144" s="7"/>
      <c r="OUA144" s="7"/>
      <c r="OUB144" s="7"/>
      <c r="OUC144" s="7"/>
      <c r="OUD144" s="7"/>
      <c r="OUE144" s="7"/>
      <c r="OUF144" s="7"/>
      <c r="OUG144" s="7"/>
      <c r="OUH144" s="7"/>
      <c r="OUI144" s="7"/>
      <c r="OUJ144" s="7"/>
      <c r="OUK144" s="7"/>
      <c r="OUL144" s="7"/>
      <c r="OUM144" s="7"/>
      <c r="OUN144" s="7"/>
      <c r="OUO144" s="7"/>
      <c r="OUP144" s="7"/>
      <c r="OUQ144" s="7"/>
      <c r="OUR144" s="7"/>
      <c r="OUS144" s="7"/>
      <c r="OUT144" s="7"/>
      <c r="OUU144" s="7"/>
      <c r="OUV144" s="7"/>
      <c r="OUW144" s="7"/>
      <c r="OUX144" s="7"/>
      <c r="OUY144" s="7"/>
      <c r="OUZ144" s="7"/>
      <c r="OVA144" s="7"/>
      <c r="OVB144" s="7"/>
      <c r="OVC144" s="7"/>
      <c r="OVD144" s="7"/>
      <c r="OVE144" s="7"/>
      <c r="OVF144" s="7"/>
      <c r="OVG144" s="7"/>
      <c r="OVH144" s="7"/>
      <c r="OVI144" s="7"/>
      <c r="OVJ144" s="7"/>
      <c r="OVK144" s="7"/>
      <c r="OVL144" s="7"/>
      <c r="OVM144" s="7"/>
      <c r="OVN144" s="7"/>
      <c r="OVO144" s="7"/>
      <c r="OVP144" s="7"/>
      <c r="OVQ144" s="7"/>
      <c r="OVR144" s="7"/>
      <c r="OVS144" s="7"/>
      <c r="OVT144" s="7"/>
      <c r="OVU144" s="7"/>
      <c r="OVV144" s="7"/>
      <c r="OVW144" s="7"/>
      <c r="OVX144" s="7"/>
      <c r="OVY144" s="7"/>
      <c r="OVZ144" s="7"/>
      <c r="OWA144" s="7"/>
      <c r="OWB144" s="7"/>
      <c r="OWC144" s="7"/>
      <c r="OWD144" s="7"/>
      <c r="OWE144" s="7"/>
      <c r="OWF144" s="7"/>
      <c r="OWG144" s="7"/>
      <c r="OWH144" s="7"/>
      <c r="OWI144" s="7"/>
      <c r="OWJ144" s="7"/>
      <c r="OWK144" s="7"/>
      <c r="OWL144" s="7"/>
      <c r="OWM144" s="7"/>
      <c r="OWN144" s="7"/>
      <c r="OWO144" s="7"/>
      <c r="OWP144" s="7"/>
      <c r="OWQ144" s="7"/>
      <c r="OWR144" s="7"/>
      <c r="OWS144" s="7"/>
      <c r="OWT144" s="7"/>
      <c r="OWU144" s="7"/>
      <c r="OWV144" s="7"/>
      <c r="OWW144" s="7"/>
      <c r="OWX144" s="7"/>
      <c r="OWY144" s="7"/>
      <c r="OWZ144" s="7"/>
      <c r="OXA144" s="7"/>
      <c r="OXB144" s="7"/>
      <c r="OXC144" s="7"/>
      <c r="OXD144" s="7"/>
      <c r="OXE144" s="7"/>
      <c r="OXF144" s="7"/>
      <c r="OXG144" s="7"/>
      <c r="OXH144" s="7"/>
      <c r="OXI144" s="7"/>
      <c r="OXJ144" s="7"/>
      <c r="OXK144" s="7"/>
      <c r="OXL144" s="7"/>
      <c r="OXM144" s="7"/>
      <c r="OXN144" s="7"/>
      <c r="OXO144" s="7"/>
      <c r="OXP144" s="7"/>
      <c r="OXQ144" s="7"/>
      <c r="OXR144" s="7"/>
      <c r="OXS144" s="7"/>
      <c r="OXT144" s="7"/>
      <c r="OXU144" s="7"/>
      <c r="OXV144" s="7"/>
      <c r="OXW144" s="7"/>
      <c r="OXX144" s="7"/>
      <c r="OXY144" s="7"/>
      <c r="OXZ144" s="7"/>
      <c r="OYA144" s="7"/>
      <c r="OYB144" s="7"/>
      <c r="OYC144" s="7"/>
      <c r="OYD144" s="7"/>
      <c r="OYE144" s="7"/>
      <c r="OYF144" s="7"/>
      <c r="OYG144" s="7"/>
      <c r="OYH144" s="7"/>
      <c r="OYI144" s="7"/>
      <c r="OYJ144" s="7"/>
      <c r="OYK144" s="7"/>
      <c r="OYL144" s="7"/>
      <c r="OYM144" s="7"/>
      <c r="OYN144" s="7"/>
      <c r="OYO144" s="7"/>
      <c r="OYP144" s="7"/>
      <c r="OYQ144" s="7"/>
      <c r="OYR144" s="7"/>
      <c r="OYS144" s="7"/>
      <c r="OYT144" s="7"/>
      <c r="OYU144" s="7"/>
      <c r="OYV144" s="7"/>
      <c r="OYW144" s="7"/>
      <c r="OYX144" s="7"/>
      <c r="OYY144" s="7"/>
      <c r="OYZ144" s="7"/>
      <c r="OZA144" s="7"/>
      <c r="OZB144" s="7"/>
      <c r="OZC144" s="7"/>
      <c r="OZD144" s="7"/>
      <c r="OZE144" s="7"/>
      <c r="OZF144" s="7"/>
      <c r="OZG144" s="7"/>
      <c r="OZH144" s="7"/>
      <c r="OZI144" s="7"/>
      <c r="OZJ144" s="7"/>
      <c r="OZK144" s="7"/>
      <c r="OZL144" s="7"/>
      <c r="OZM144" s="7"/>
      <c r="OZN144" s="7"/>
      <c r="OZO144" s="7"/>
      <c r="OZP144" s="7"/>
      <c r="OZQ144" s="7"/>
      <c r="OZR144" s="7"/>
      <c r="OZS144" s="7"/>
      <c r="OZT144" s="7"/>
      <c r="OZU144" s="7"/>
      <c r="OZV144" s="7"/>
      <c r="OZW144" s="7"/>
      <c r="OZX144" s="7"/>
      <c r="OZY144" s="7"/>
      <c r="OZZ144" s="7"/>
      <c r="PAA144" s="7"/>
      <c r="PAB144" s="7"/>
      <c r="PAC144" s="7"/>
      <c r="PAD144" s="7"/>
      <c r="PAE144" s="7"/>
      <c r="PAF144" s="7"/>
      <c r="PAG144" s="7"/>
      <c r="PAH144" s="7"/>
      <c r="PAI144" s="7"/>
      <c r="PAJ144" s="7"/>
      <c r="PAK144" s="7"/>
      <c r="PAL144" s="7"/>
      <c r="PAM144" s="7"/>
      <c r="PAN144" s="7"/>
      <c r="PAO144" s="7"/>
      <c r="PAP144" s="7"/>
      <c r="PAQ144" s="7"/>
      <c r="PAR144" s="7"/>
      <c r="PAS144" s="7"/>
      <c r="PAT144" s="7"/>
      <c r="PAU144" s="7"/>
      <c r="PAV144" s="7"/>
      <c r="PAW144" s="7"/>
      <c r="PAX144" s="7"/>
      <c r="PAY144" s="7"/>
      <c r="PAZ144" s="7"/>
      <c r="PBA144" s="7"/>
      <c r="PBB144" s="7"/>
      <c r="PBC144" s="7"/>
      <c r="PBD144" s="7"/>
      <c r="PBE144" s="7"/>
      <c r="PBF144" s="7"/>
      <c r="PBG144" s="7"/>
      <c r="PBH144" s="7"/>
      <c r="PBI144" s="7"/>
      <c r="PBJ144" s="7"/>
      <c r="PBK144" s="7"/>
      <c r="PBL144" s="7"/>
      <c r="PBM144" s="7"/>
      <c r="PBN144" s="7"/>
      <c r="PBO144" s="7"/>
      <c r="PBP144" s="7"/>
      <c r="PBQ144" s="7"/>
      <c r="PBR144" s="7"/>
      <c r="PBS144" s="7"/>
      <c r="PBT144" s="7"/>
      <c r="PBU144" s="7"/>
      <c r="PBV144" s="7"/>
      <c r="PBW144" s="7"/>
      <c r="PBX144" s="7"/>
      <c r="PBY144" s="7"/>
      <c r="PBZ144" s="7"/>
      <c r="PCA144" s="7"/>
      <c r="PCB144" s="7"/>
      <c r="PCC144" s="7"/>
      <c r="PCD144" s="7"/>
      <c r="PCE144" s="7"/>
      <c r="PCF144" s="7"/>
      <c r="PCG144" s="7"/>
      <c r="PCH144" s="7"/>
      <c r="PCI144" s="7"/>
      <c r="PCJ144" s="7"/>
      <c r="PCK144" s="7"/>
      <c r="PCL144" s="7"/>
      <c r="PCM144" s="7"/>
      <c r="PCN144" s="7"/>
      <c r="PCO144" s="7"/>
      <c r="PCP144" s="7"/>
      <c r="PCQ144" s="7"/>
      <c r="PCR144" s="7"/>
      <c r="PCS144" s="7"/>
      <c r="PCT144" s="7"/>
      <c r="PCU144" s="7"/>
      <c r="PCV144" s="7"/>
      <c r="PCW144" s="7"/>
      <c r="PCX144" s="7"/>
      <c r="PCY144" s="7"/>
      <c r="PCZ144" s="7"/>
      <c r="PDA144" s="7"/>
      <c r="PDB144" s="7"/>
      <c r="PDC144" s="7"/>
      <c r="PDD144" s="7"/>
      <c r="PDE144" s="7"/>
      <c r="PDF144" s="7"/>
      <c r="PDG144" s="7"/>
      <c r="PDH144" s="7"/>
      <c r="PDI144" s="7"/>
      <c r="PDJ144" s="7"/>
      <c r="PDK144" s="7"/>
      <c r="PDL144" s="7"/>
      <c r="PDM144" s="7"/>
      <c r="PDN144" s="7"/>
      <c r="PDO144" s="7"/>
      <c r="PDP144" s="7"/>
      <c r="PDQ144" s="7"/>
      <c r="PDR144" s="7"/>
      <c r="PDS144" s="7"/>
      <c r="PDT144" s="7"/>
      <c r="PDU144" s="7"/>
      <c r="PDV144" s="7"/>
      <c r="PDW144" s="7"/>
      <c r="PDX144" s="7"/>
      <c r="PDY144" s="7"/>
      <c r="PDZ144" s="7"/>
      <c r="PEA144" s="7"/>
      <c r="PEB144" s="7"/>
      <c r="PEC144" s="7"/>
      <c r="PED144" s="7"/>
      <c r="PEE144" s="7"/>
      <c r="PEF144" s="7"/>
      <c r="PEG144" s="7"/>
      <c r="PEH144" s="7"/>
      <c r="PEI144" s="7"/>
      <c r="PEJ144" s="7"/>
      <c r="PEK144" s="7"/>
      <c r="PEL144" s="7"/>
      <c r="PEM144" s="7"/>
      <c r="PEN144" s="7"/>
      <c r="PEO144" s="7"/>
      <c r="PEP144" s="7"/>
      <c r="PEQ144" s="7"/>
      <c r="PER144" s="7"/>
      <c r="PES144" s="7"/>
      <c r="PET144" s="7"/>
      <c r="PEU144" s="7"/>
      <c r="PEV144" s="7"/>
      <c r="PEW144" s="7"/>
      <c r="PEX144" s="7"/>
      <c r="PEY144" s="7"/>
      <c r="PEZ144" s="7"/>
      <c r="PFA144" s="7"/>
      <c r="PFB144" s="7"/>
      <c r="PFC144" s="7"/>
      <c r="PFD144" s="7"/>
      <c r="PFE144" s="7"/>
      <c r="PFF144" s="7"/>
      <c r="PFG144" s="7"/>
      <c r="PFH144" s="7"/>
      <c r="PFI144" s="7"/>
      <c r="PFJ144" s="7"/>
      <c r="PFK144" s="7"/>
      <c r="PFL144" s="7"/>
      <c r="PFM144" s="7"/>
      <c r="PFN144" s="7"/>
      <c r="PFO144" s="7"/>
      <c r="PFP144" s="7"/>
      <c r="PFQ144" s="7"/>
      <c r="PFR144" s="7"/>
      <c r="PFS144" s="7"/>
      <c r="PFT144" s="7"/>
      <c r="PFU144" s="7"/>
      <c r="PFV144" s="7"/>
      <c r="PFW144" s="7"/>
      <c r="PFX144" s="7"/>
      <c r="PFY144" s="7"/>
      <c r="PFZ144" s="7"/>
      <c r="PGA144" s="7"/>
      <c r="PGB144" s="7"/>
      <c r="PGC144" s="7"/>
      <c r="PGD144" s="7"/>
      <c r="PGE144" s="7"/>
      <c r="PGF144" s="7"/>
      <c r="PGG144" s="7"/>
      <c r="PGH144" s="7"/>
      <c r="PGI144" s="7"/>
      <c r="PGJ144" s="7"/>
      <c r="PGK144" s="7"/>
      <c r="PGL144" s="7"/>
      <c r="PGM144" s="7"/>
      <c r="PGN144" s="7"/>
      <c r="PGO144" s="7"/>
      <c r="PGP144" s="7"/>
      <c r="PGQ144" s="7"/>
      <c r="PGR144" s="7"/>
      <c r="PGS144" s="7"/>
      <c r="PGT144" s="7"/>
      <c r="PGU144" s="7"/>
      <c r="PGV144" s="7"/>
      <c r="PGW144" s="7"/>
      <c r="PGX144" s="7"/>
      <c r="PGY144" s="7"/>
      <c r="PGZ144" s="7"/>
      <c r="PHA144" s="7"/>
      <c r="PHB144" s="7"/>
      <c r="PHC144" s="7"/>
      <c r="PHD144" s="7"/>
      <c r="PHE144" s="7"/>
      <c r="PHF144" s="7"/>
      <c r="PHG144" s="7"/>
      <c r="PHH144" s="7"/>
      <c r="PHI144" s="7"/>
      <c r="PHJ144" s="7"/>
      <c r="PHK144" s="7"/>
      <c r="PHL144" s="7"/>
      <c r="PHM144" s="7"/>
      <c r="PHN144" s="7"/>
      <c r="PHO144" s="7"/>
      <c r="PHP144" s="7"/>
      <c r="PHQ144" s="7"/>
      <c r="PHR144" s="7"/>
      <c r="PHS144" s="7"/>
      <c r="PHT144" s="7"/>
      <c r="PHU144" s="7"/>
      <c r="PHV144" s="7"/>
      <c r="PHW144" s="7"/>
      <c r="PHX144" s="7"/>
      <c r="PHY144" s="7"/>
      <c r="PHZ144" s="7"/>
      <c r="PIA144" s="7"/>
      <c r="PIB144" s="7"/>
      <c r="PIC144" s="7"/>
      <c r="PID144" s="7"/>
      <c r="PIE144" s="7"/>
      <c r="PIF144" s="7"/>
      <c r="PIG144" s="7"/>
      <c r="PIH144" s="7"/>
      <c r="PII144" s="7"/>
      <c r="PIJ144" s="7"/>
      <c r="PIK144" s="7"/>
      <c r="PIL144" s="7"/>
      <c r="PIM144" s="7"/>
      <c r="PIN144" s="7"/>
      <c r="PIO144" s="7"/>
      <c r="PIP144" s="7"/>
      <c r="PIQ144" s="7"/>
      <c r="PIR144" s="7"/>
      <c r="PIS144" s="7"/>
      <c r="PIT144" s="7"/>
      <c r="PIU144" s="7"/>
      <c r="PIV144" s="7"/>
      <c r="PIW144" s="7"/>
      <c r="PIX144" s="7"/>
      <c r="PIY144" s="7"/>
      <c r="PIZ144" s="7"/>
      <c r="PJA144" s="7"/>
      <c r="PJB144" s="7"/>
      <c r="PJC144" s="7"/>
      <c r="PJD144" s="7"/>
      <c r="PJE144" s="7"/>
      <c r="PJF144" s="7"/>
      <c r="PJG144" s="7"/>
      <c r="PJH144" s="7"/>
      <c r="PJI144" s="7"/>
      <c r="PJJ144" s="7"/>
      <c r="PJK144" s="7"/>
      <c r="PJL144" s="7"/>
      <c r="PJM144" s="7"/>
      <c r="PJN144" s="7"/>
      <c r="PJO144" s="7"/>
      <c r="PJP144" s="7"/>
      <c r="PJQ144" s="7"/>
      <c r="PJR144" s="7"/>
      <c r="PJS144" s="7"/>
      <c r="PJT144" s="7"/>
      <c r="PJU144" s="7"/>
      <c r="PJV144" s="7"/>
      <c r="PJW144" s="7"/>
      <c r="PJX144" s="7"/>
      <c r="PJY144" s="7"/>
      <c r="PJZ144" s="7"/>
      <c r="PKA144" s="7"/>
      <c r="PKB144" s="7"/>
      <c r="PKC144" s="7"/>
      <c r="PKD144" s="7"/>
      <c r="PKE144" s="7"/>
      <c r="PKF144" s="7"/>
      <c r="PKG144" s="7"/>
      <c r="PKH144" s="7"/>
      <c r="PKI144" s="7"/>
      <c r="PKJ144" s="7"/>
      <c r="PKK144" s="7"/>
      <c r="PKL144" s="7"/>
      <c r="PKM144" s="7"/>
      <c r="PKN144" s="7"/>
      <c r="PKO144" s="7"/>
      <c r="PKP144" s="7"/>
      <c r="PKQ144" s="7"/>
      <c r="PKR144" s="7"/>
      <c r="PKS144" s="7"/>
      <c r="PKT144" s="7"/>
      <c r="PKU144" s="7"/>
      <c r="PKV144" s="7"/>
      <c r="PKW144" s="7"/>
      <c r="PKX144" s="7"/>
      <c r="PKY144" s="7"/>
      <c r="PKZ144" s="7"/>
      <c r="PLA144" s="7"/>
      <c r="PLB144" s="7"/>
      <c r="PLC144" s="7"/>
      <c r="PLD144" s="7"/>
      <c r="PLE144" s="7"/>
      <c r="PLF144" s="7"/>
      <c r="PLG144" s="7"/>
      <c r="PLH144" s="7"/>
      <c r="PLI144" s="7"/>
      <c r="PLJ144" s="7"/>
      <c r="PLK144" s="7"/>
      <c r="PLL144" s="7"/>
      <c r="PLM144" s="7"/>
      <c r="PLN144" s="7"/>
      <c r="PLO144" s="7"/>
      <c r="PLP144" s="7"/>
      <c r="PLQ144" s="7"/>
      <c r="PLR144" s="7"/>
      <c r="PLS144" s="7"/>
      <c r="PLT144" s="7"/>
      <c r="PLU144" s="7"/>
      <c r="PLV144" s="7"/>
      <c r="PLW144" s="7"/>
      <c r="PLX144" s="7"/>
      <c r="PLY144" s="7"/>
      <c r="PLZ144" s="7"/>
      <c r="PMA144" s="7"/>
      <c r="PMB144" s="7"/>
      <c r="PMC144" s="7"/>
      <c r="PMD144" s="7"/>
      <c r="PME144" s="7"/>
      <c r="PMF144" s="7"/>
      <c r="PMG144" s="7"/>
      <c r="PMH144" s="7"/>
      <c r="PMI144" s="7"/>
      <c r="PMJ144" s="7"/>
      <c r="PMK144" s="7"/>
      <c r="PML144" s="7"/>
      <c r="PMM144" s="7"/>
      <c r="PMN144" s="7"/>
      <c r="PMO144" s="7"/>
      <c r="PMP144" s="7"/>
      <c r="PMQ144" s="7"/>
      <c r="PMR144" s="7"/>
      <c r="PMS144" s="7"/>
      <c r="PMT144" s="7"/>
      <c r="PMU144" s="7"/>
      <c r="PMV144" s="7"/>
      <c r="PMW144" s="7"/>
      <c r="PMX144" s="7"/>
      <c r="PMY144" s="7"/>
      <c r="PMZ144" s="7"/>
      <c r="PNA144" s="7"/>
      <c r="PNB144" s="7"/>
      <c r="PNC144" s="7"/>
      <c r="PND144" s="7"/>
      <c r="PNE144" s="7"/>
      <c r="PNF144" s="7"/>
      <c r="PNG144" s="7"/>
      <c r="PNH144" s="7"/>
      <c r="PNI144" s="7"/>
      <c r="PNJ144" s="7"/>
      <c r="PNK144" s="7"/>
      <c r="PNL144" s="7"/>
      <c r="PNM144" s="7"/>
      <c r="PNN144" s="7"/>
      <c r="PNO144" s="7"/>
      <c r="PNP144" s="7"/>
      <c r="PNQ144" s="7"/>
      <c r="PNR144" s="7"/>
      <c r="PNS144" s="7"/>
      <c r="PNT144" s="7"/>
      <c r="PNU144" s="7"/>
      <c r="PNV144" s="7"/>
      <c r="PNW144" s="7"/>
      <c r="PNX144" s="7"/>
      <c r="PNY144" s="7"/>
      <c r="PNZ144" s="7"/>
      <c r="POA144" s="7"/>
      <c r="POB144" s="7"/>
      <c r="POC144" s="7"/>
      <c r="POD144" s="7"/>
      <c r="POE144" s="7"/>
      <c r="POF144" s="7"/>
      <c r="POG144" s="7"/>
      <c r="POH144" s="7"/>
      <c r="POI144" s="7"/>
      <c r="POJ144" s="7"/>
      <c r="POK144" s="7"/>
      <c r="POL144" s="7"/>
      <c r="POM144" s="7"/>
      <c r="PON144" s="7"/>
      <c r="POO144" s="7"/>
      <c r="POP144" s="7"/>
      <c r="POQ144" s="7"/>
      <c r="POR144" s="7"/>
      <c r="POS144" s="7"/>
      <c r="POT144" s="7"/>
      <c r="POU144" s="7"/>
      <c r="POV144" s="7"/>
      <c r="POW144" s="7"/>
      <c r="POX144" s="7"/>
      <c r="POY144" s="7"/>
      <c r="POZ144" s="7"/>
      <c r="PPA144" s="7"/>
      <c r="PPB144" s="7"/>
      <c r="PPC144" s="7"/>
      <c r="PPD144" s="7"/>
      <c r="PPE144" s="7"/>
      <c r="PPF144" s="7"/>
      <c r="PPG144" s="7"/>
      <c r="PPH144" s="7"/>
      <c r="PPI144" s="7"/>
      <c r="PPJ144" s="7"/>
      <c r="PPK144" s="7"/>
      <c r="PPL144" s="7"/>
      <c r="PPM144" s="7"/>
      <c r="PPN144" s="7"/>
      <c r="PPO144" s="7"/>
      <c r="PPP144" s="7"/>
      <c r="PPQ144" s="7"/>
      <c r="PPR144" s="7"/>
      <c r="PPS144" s="7"/>
      <c r="PPT144" s="7"/>
      <c r="PPU144" s="7"/>
      <c r="PPV144" s="7"/>
      <c r="PPW144" s="7"/>
      <c r="PPX144" s="7"/>
      <c r="PPY144" s="7"/>
      <c r="PPZ144" s="7"/>
      <c r="PQA144" s="7"/>
      <c r="PQB144" s="7"/>
      <c r="PQC144" s="7"/>
      <c r="PQD144" s="7"/>
      <c r="PQE144" s="7"/>
      <c r="PQF144" s="7"/>
      <c r="PQG144" s="7"/>
      <c r="PQH144" s="7"/>
      <c r="PQI144" s="7"/>
      <c r="PQJ144" s="7"/>
      <c r="PQK144" s="7"/>
      <c r="PQL144" s="7"/>
      <c r="PQM144" s="7"/>
      <c r="PQN144" s="7"/>
      <c r="PQO144" s="7"/>
      <c r="PQP144" s="7"/>
      <c r="PQQ144" s="7"/>
      <c r="PQR144" s="7"/>
      <c r="PQS144" s="7"/>
      <c r="PQT144" s="7"/>
      <c r="PQU144" s="7"/>
      <c r="PQV144" s="7"/>
      <c r="PQW144" s="7"/>
      <c r="PQX144" s="7"/>
      <c r="PQY144" s="7"/>
      <c r="PQZ144" s="7"/>
      <c r="PRA144" s="7"/>
      <c r="PRB144" s="7"/>
      <c r="PRC144" s="7"/>
      <c r="PRD144" s="7"/>
      <c r="PRE144" s="7"/>
      <c r="PRF144" s="7"/>
      <c r="PRG144" s="7"/>
      <c r="PRH144" s="7"/>
      <c r="PRI144" s="7"/>
      <c r="PRJ144" s="7"/>
      <c r="PRK144" s="7"/>
      <c r="PRL144" s="7"/>
      <c r="PRM144" s="7"/>
      <c r="PRN144" s="7"/>
      <c r="PRO144" s="7"/>
      <c r="PRP144" s="7"/>
      <c r="PRQ144" s="7"/>
      <c r="PRR144" s="7"/>
      <c r="PRS144" s="7"/>
      <c r="PRT144" s="7"/>
      <c r="PRU144" s="7"/>
      <c r="PRV144" s="7"/>
      <c r="PRW144" s="7"/>
      <c r="PRX144" s="7"/>
      <c r="PRY144" s="7"/>
      <c r="PRZ144" s="7"/>
      <c r="PSA144" s="7"/>
      <c r="PSB144" s="7"/>
      <c r="PSC144" s="7"/>
      <c r="PSD144" s="7"/>
      <c r="PSE144" s="7"/>
      <c r="PSF144" s="7"/>
      <c r="PSG144" s="7"/>
      <c r="PSH144" s="7"/>
      <c r="PSI144" s="7"/>
      <c r="PSJ144" s="7"/>
      <c r="PSK144" s="7"/>
      <c r="PSL144" s="7"/>
      <c r="PSM144" s="7"/>
      <c r="PSN144" s="7"/>
      <c r="PSO144" s="7"/>
      <c r="PSP144" s="7"/>
      <c r="PSQ144" s="7"/>
      <c r="PSR144" s="7"/>
      <c r="PSS144" s="7"/>
      <c r="PST144" s="7"/>
      <c r="PSU144" s="7"/>
      <c r="PSV144" s="7"/>
      <c r="PSW144" s="7"/>
      <c r="PSX144" s="7"/>
      <c r="PSY144" s="7"/>
      <c r="PSZ144" s="7"/>
      <c r="PTA144" s="7"/>
      <c r="PTB144" s="7"/>
      <c r="PTC144" s="7"/>
      <c r="PTD144" s="7"/>
      <c r="PTE144" s="7"/>
      <c r="PTF144" s="7"/>
      <c r="PTG144" s="7"/>
      <c r="PTH144" s="7"/>
      <c r="PTI144" s="7"/>
      <c r="PTJ144" s="7"/>
      <c r="PTK144" s="7"/>
      <c r="PTL144" s="7"/>
      <c r="PTM144" s="7"/>
      <c r="PTN144" s="7"/>
      <c r="PTO144" s="7"/>
      <c r="PTP144" s="7"/>
      <c r="PTQ144" s="7"/>
      <c r="PTR144" s="7"/>
      <c r="PTS144" s="7"/>
      <c r="PTT144" s="7"/>
      <c r="PTU144" s="7"/>
      <c r="PTV144" s="7"/>
      <c r="PTW144" s="7"/>
      <c r="PTX144" s="7"/>
      <c r="PTY144" s="7"/>
      <c r="PTZ144" s="7"/>
      <c r="PUA144" s="7"/>
      <c r="PUB144" s="7"/>
      <c r="PUC144" s="7"/>
      <c r="PUD144" s="7"/>
      <c r="PUE144" s="7"/>
      <c r="PUF144" s="7"/>
      <c r="PUG144" s="7"/>
      <c r="PUH144" s="7"/>
      <c r="PUI144" s="7"/>
      <c r="PUJ144" s="7"/>
      <c r="PUK144" s="7"/>
      <c r="PUL144" s="7"/>
      <c r="PUM144" s="7"/>
      <c r="PUN144" s="7"/>
      <c r="PUO144" s="7"/>
      <c r="PUP144" s="7"/>
      <c r="PUQ144" s="7"/>
      <c r="PUR144" s="7"/>
      <c r="PUS144" s="7"/>
      <c r="PUT144" s="7"/>
      <c r="PUU144" s="7"/>
      <c r="PUV144" s="7"/>
      <c r="PUW144" s="7"/>
      <c r="PUX144" s="7"/>
      <c r="PUY144" s="7"/>
      <c r="PUZ144" s="7"/>
      <c r="PVA144" s="7"/>
      <c r="PVB144" s="7"/>
      <c r="PVC144" s="7"/>
      <c r="PVD144" s="7"/>
      <c r="PVE144" s="7"/>
      <c r="PVF144" s="7"/>
      <c r="PVG144" s="7"/>
      <c r="PVH144" s="7"/>
      <c r="PVI144" s="7"/>
      <c r="PVJ144" s="7"/>
      <c r="PVK144" s="7"/>
      <c r="PVL144" s="7"/>
      <c r="PVM144" s="7"/>
      <c r="PVN144" s="7"/>
      <c r="PVO144" s="7"/>
      <c r="PVP144" s="7"/>
      <c r="PVQ144" s="7"/>
      <c r="PVR144" s="7"/>
      <c r="PVS144" s="7"/>
      <c r="PVT144" s="7"/>
      <c r="PVU144" s="7"/>
      <c r="PVV144" s="7"/>
      <c r="PVW144" s="7"/>
      <c r="PVX144" s="7"/>
      <c r="PVY144" s="7"/>
      <c r="PVZ144" s="7"/>
      <c r="PWA144" s="7"/>
      <c r="PWB144" s="7"/>
      <c r="PWC144" s="7"/>
      <c r="PWD144" s="7"/>
      <c r="PWE144" s="7"/>
      <c r="PWF144" s="7"/>
      <c r="PWG144" s="7"/>
      <c r="PWH144" s="7"/>
      <c r="PWI144" s="7"/>
      <c r="PWJ144" s="7"/>
      <c r="PWK144" s="7"/>
      <c r="PWL144" s="7"/>
      <c r="PWM144" s="7"/>
      <c r="PWN144" s="7"/>
      <c r="PWO144" s="7"/>
      <c r="PWP144" s="7"/>
      <c r="PWQ144" s="7"/>
      <c r="PWR144" s="7"/>
      <c r="PWS144" s="7"/>
      <c r="PWT144" s="7"/>
      <c r="PWU144" s="7"/>
      <c r="PWV144" s="7"/>
      <c r="PWW144" s="7"/>
      <c r="PWX144" s="7"/>
      <c r="PWY144" s="7"/>
      <c r="PWZ144" s="7"/>
      <c r="PXA144" s="7"/>
      <c r="PXB144" s="7"/>
      <c r="PXC144" s="7"/>
      <c r="PXD144" s="7"/>
      <c r="PXE144" s="7"/>
      <c r="PXF144" s="7"/>
      <c r="PXG144" s="7"/>
      <c r="PXH144" s="7"/>
      <c r="PXI144" s="7"/>
      <c r="PXJ144" s="7"/>
      <c r="PXK144" s="7"/>
      <c r="PXL144" s="7"/>
      <c r="PXM144" s="7"/>
      <c r="PXN144" s="7"/>
      <c r="PXO144" s="7"/>
      <c r="PXP144" s="7"/>
      <c r="PXQ144" s="7"/>
      <c r="PXR144" s="7"/>
      <c r="PXS144" s="7"/>
      <c r="PXT144" s="7"/>
      <c r="PXU144" s="7"/>
      <c r="PXV144" s="7"/>
      <c r="PXW144" s="7"/>
      <c r="PXX144" s="7"/>
      <c r="PXY144" s="7"/>
      <c r="PXZ144" s="7"/>
      <c r="PYA144" s="7"/>
      <c r="PYB144" s="7"/>
      <c r="PYC144" s="7"/>
      <c r="PYD144" s="7"/>
      <c r="PYE144" s="7"/>
      <c r="PYF144" s="7"/>
      <c r="PYG144" s="7"/>
      <c r="PYH144" s="7"/>
      <c r="PYI144" s="7"/>
      <c r="PYJ144" s="7"/>
      <c r="PYK144" s="7"/>
      <c r="PYL144" s="7"/>
      <c r="PYM144" s="7"/>
      <c r="PYN144" s="7"/>
      <c r="PYO144" s="7"/>
      <c r="PYP144" s="7"/>
      <c r="PYQ144" s="7"/>
      <c r="PYR144" s="7"/>
      <c r="PYS144" s="7"/>
      <c r="PYT144" s="7"/>
      <c r="PYU144" s="7"/>
      <c r="PYV144" s="7"/>
      <c r="PYW144" s="7"/>
      <c r="PYX144" s="7"/>
      <c r="PYY144" s="7"/>
      <c r="PYZ144" s="7"/>
      <c r="PZA144" s="7"/>
      <c r="PZB144" s="7"/>
      <c r="PZC144" s="7"/>
      <c r="PZD144" s="7"/>
      <c r="PZE144" s="7"/>
      <c r="PZF144" s="7"/>
      <c r="PZG144" s="7"/>
      <c r="PZH144" s="7"/>
      <c r="PZI144" s="7"/>
      <c r="PZJ144" s="7"/>
      <c r="PZK144" s="7"/>
      <c r="PZL144" s="7"/>
      <c r="PZM144" s="7"/>
      <c r="PZN144" s="7"/>
      <c r="PZO144" s="7"/>
      <c r="PZP144" s="7"/>
      <c r="PZQ144" s="7"/>
      <c r="PZR144" s="7"/>
      <c r="PZS144" s="7"/>
      <c r="PZT144" s="7"/>
      <c r="PZU144" s="7"/>
      <c r="PZV144" s="7"/>
      <c r="PZW144" s="7"/>
      <c r="PZX144" s="7"/>
      <c r="PZY144" s="7"/>
      <c r="PZZ144" s="7"/>
      <c r="QAA144" s="7"/>
      <c r="QAB144" s="7"/>
      <c r="QAC144" s="7"/>
      <c r="QAD144" s="7"/>
      <c r="QAE144" s="7"/>
      <c r="QAF144" s="7"/>
      <c r="QAG144" s="7"/>
      <c r="QAH144" s="7"/>
      <c r="QAI144" s="7"/>
      <c r="QAJ144" s="7"/>
      <c r="QAK144" s="7"/>
      <c r="QAL144" s="7"/>
      <c r="QAM144" s="7"/>
      <c r="QAN144" s="7"/>
      <c r="QAO144" s="7"/>
      <c r="QAP144" s="7"/>
      <c r="QAQ144" s="7"/>
      <c r="QAR144" s="7"/>
      <c r="QAS144" s="7"/>
      <c r="QAT144" s="7"/>
      <c r="QAU144" s="7"/>
      <c r="QAV144" s="7"/>
      <c r="QAW144" s="7"/>
      <c r="QAX144" s="7"/>
      <c r="QAY144" s="7"/>
      <c r="QAZ144" s="7"/>
      <c r="QBA144" s="7"/>
      <c r="QBB144" s="7"/>
      <c r="QBC144" s="7"/>
      <c r="QBD144" s="7"/>
      <c r="QBE144" s="7"/>
      <c r="QBF144" s="7"/>
      <c r="QBG144" s="7"/>
      <c r="QBH144" s="7"/>
      <c r="QBI144" s="7"/>
      <c r="QBJ144" s="7"/>
      <c r="QBK144" s="7"/>
      <c r="QBL144" s="7"/>
      <c r="QBM144" s="7"/>
      <c r="QBN144" s="7"/>
      <c r="QBO144" s="7"/>
      <c r="QBP144" s="7"/>
      <c r="QBQ144" s="7"/>
      <c r="QBR144" s="7"/>
      <c r="QBS144" s="7"/>
      <c r="QBT144" s="7"/>
      <c r="QBU144" s="7"/>
      <c r="QBV144" s="7"/>
      <c r="QBW144" s="7"/>
      <c r="QBX144" s="7"/>
      <c r="QBY144" s="7"/>
      <c r="QBZ144" s="7"/>
      <c r="QCA144" s="7"/>
      <c r="QCB144" s="7"/>
      <c r="QCC144" s="7"/>
      <c r="QCD144" s="7"/>
      <c r="QCE144" s="7"/>
      <c r="QCF144" s="7"/>
      <c r="QCG144" s="7"/>
      <c r="QCH144" s="7"/>
      <c r="QCI144" s="7"/>
      <c r="QCJ144" s="7"/>
      <c r="QCK144" s="7"/>
      <c r="QCL144" s="7"/>
      <c r="QCM144" s="7"/>
      <c r="QCN144" s="7"/>
      <c r="QCO144" s="7"/>
      <c r="QCP144" s="7"/>
      <c r="QCQ144" s="7"/>
      <c r="QCR144" s="7"/>
      <c r="QCS144" s="7"/>
      <c r="QCT144" s="7"/>
      <c r="QCU144" s="7"/>
      <c r="QCV144" s="7"/>
      <c r="QCW144" s="7"/>
      <c r="QCX144" s="7"/>
      <c r="QCY144" s="7"/>
      <c r="QCZ144" s="7"/>
      <c r="QDA144" s="7"/>
      <c r="QDB144" s="7"/>
      <c r="QDC144" s="7"/>
      <c r="QDD144" s="7"/>
      <c r="QDE144" s="7"/>
      <c r="QDF144" s="7"/>
      <c r="QDG144" s="7"/>
      <c r="QDH144" s="7"/>
      <c r="QDI144" s="7"/>
      <c r="QDJ144" s="7"/>
      <c r="QDK144" s="7"/>
      <c r="QDL144" s="7"/>
      <c r="QDM144" s="7"/>
      <c r="QDN144" s="7"/>
      <c r="QDO144" s="7"/>
      <c r="QDP144" s="7"/>
      <c r="QDQ144" s="7"/>
      <c r="QDR144" s="7"/>
      <c r="QDS144" s="7"/>
      <c r="QDT144" s="7"/>
      <c r="QDU144" s="7"/>
      <c r="QDV144" s="7"/>
      <c r="QDW144" s="7"/>
      <c r="QDX144" s="7"/>
      <c r="QDY144" s="7"/>
      <c r="QDZ144" s="7"/>
      <c r="QEA144" s="7"/>
      <c r="QEB144" s="7"/>
      <c r="QEC144" s="7"/>
      <c r="QED144" s="7"/>
      <c r="QEE144" s="7"/>
      <c r="QEF144" s="7"/>
      <c r="QEG144" s="7"/>
      <c r="QEH144" s="7"/>
      <c r="QEI144" s="7"/>
      <c r="QEJ144" s="7"/>
      <c r="QEK144" s="7"/>
      <c r="QEL144" s="7"/>
      <c r="QEM144" s="7"/>
      <c r="QEN144" s="7"/>
      <c r="QEO144" s="7"/>
      <c r="QEP144" s="7"/>
      <c r="QEQ144" s="7"/>
      <c r="QER144" s="7"/>
      <c r="QES144" s="7"/>
      <c r="QET144" s="7"/>
      <c r="QEU144" s="7"/>
      <c r="QEV144" s="7"/>
      <c r="QEW144" s="7"/>
      <c r="QEX144" s="7"/>
      <c r="QEY144" s="7"/>
      <c r="QEZ144" s="7"/>
      <c r="QFA144" s="7"/>
      <c r="QFB144" s="7"/>
      <c r="QFC144" s="7"/>
      <c r="QFD144" s="7"/>
      <c r="QFE144" s="7"/>
      <c r="QFF144" s="7"/>
      <c r="QFG144" s="7"/>
      <c r="QFH144" s="7"/>
      <c r="QFI144" s="7"/>
      <c r="QFJ144" s="7"/>
      <c r="QFK144" s="7"/>
      <c r="QFL144" s="7"/>
      <c r="QFM144" s="7"/>
      <c r="QFN144" s="7"/>
      <c r="QFO144" s="7"/>
      <c r="QFP144" s="7"/>
      <c r="QFQ144" s="7"/>
      <c r="QFR144" s="7"/>
      <c r="QFS144" s="7"/>
      <c r="QFT144" s="7"/>
      <c r="QFU144" s="7"/>
      <c r="QFV144" s="7"/>
      <c r="QFW144" s="7"/>
      <c r="QFX144" s="7"/>
      <c r="QFY144" s="7"/>
      <c r="QFZ144" s="7"/>
      <c r="QGA144" s="7"/>
      <c r="QGB144" s="7"/>
      <c r="QGC144" s="7"/>
      <c r="QGD144" s="7"/>
      <c r="QGE144" s="7"/>
      <c r="QGF144" s="7"/>
      <c r="QGG144" s="7"/>
      <c r="QGH144" s="7"/>
      <c r="QGI144" s="7"/>
      <c r="QGJ144" s="7"/>
      <c r="QGK144" s="7"/>
      <c r="QGL144" s="7"/>
      <c r="QGM144" s="7"/>
      <c r="QGN144" s="7"/>
      <c r="QGO144" s="7"/>
      <c r="QGP144" s="7"/>
      <c r="QGQ144" s="7"/>
      <c r="QGR144" s="7"/>
      <c r="QGS144" s="7"/>
      <c r="QGT144" s="7"/>
      <c r="QGU144" s="7"/>
      <c r="QGV144" s="7"/>
      <c r="QGW144" s="7"/>
      <c r="QGX144" s="7"/>
      <c r="QGY144" s="7"/>
      <c r="QGZ144" s="7"/>
      <c r="QHA144" s="7"/>
      <c r="QHB144" s="7"/>
      <c r="QHC144" s="7"/>
      <c r="QHD144" s="7"/>
      <c r="QHE144" s="7"/>
      <c r="QHF144" s="7"/>
      <c r="QHG144" s="7"/>
      <c r="QHH144" s="7"/>
      <c r="QHI144" s="7"/>
      <c r="QHJ144" s="7"/>
      <c r="QHK144" s="7"/>
      <c r="QHL144" s="7"/>
      <c r="QHM144" s="7"/>
      <c r="QHN144" s="7"/>
      <c r="QHO144" s="7"/>
      <c r="QHP144" s="7"/>
      <c r="QHQ144" s="7"/>
      <c r="QHR144" s="7"/>
      <c r="QHS144" s="7"/>
      <c r="QHT144" s="7"/>
      <c r="QHU144" s="7"/>
      <c r="QHV144" s="7"/>
      <c r="QHW144" s="7"/>
      <c r="QHX144" s="7"/>
      <c r="QHY144" s="7"/>
      <c r="QHZ144" s="7"/>
      <c r="QIA144" s="7"/>
      <c r="QIB144" s="7"/>
      <c r="QIC144" s="7"/>
      <c r="QID144" s="7"/>
      <c r="QIE144" s="7"/>
      <c r="QIF144" s="7"/>
      <c r="QIG144" s="7"/>
      <c r="QIH144" s="7"/>
      <c r="QII144" s="7"/>
      <c r="QIJ144" s="7"/>
      <c r="QIK144" s="7"/>
      <c r="QIL144" s="7"/>
      <c r="QIM144" s="7"/>
      <c r="QIN144" s="7"/>
      <c r="QIO144" s="7"/>
      <c r="QIP144" s="7"/>
      <c r="QIQ144" s="7"/>
      <c r="QIR144" s="7"/>
      <c r="QIS144" s="7"/>
      <c r="QIT144" s="7"/>
      <c r="QIU144" s="7"/>
      <c r="QIV144" s="7"/>
      <c r="QIW144" s="7"/>
      <c r="QIX144" s="7"/>
      <c r="QIY144" s="7"/>
      <c r="QIZ144" s="7"/>
      <c r="QJA144" s="7"/>
      <c r="QJB144" s="7"/>
      <c r="QJC144" s="7"/>
      <c r="QJD144" s="7"/>
      <c r="QJE144" s="7"/>
      <c r="QJF144" s="7"/>
      <c r="QJG144" s="7"/>
      <c r="QJH144" s="7"/>
      <c r="QJI144" s="7"/>
      <c r="QJJ144" s="7"/>
      <c r="QJK144" s="7"/>
      <c r="QJL144" s="7"/>
      <c r="QJM144" s="7"/>
      <c r="QJN144" s="7"/>
      <c r="QJO144" s="7"/>
      <c r="QJP144" s="7"/>
      <c r="QJQ144" s="7"/>
      <c r="QJR144" s="7"/>
      <c r="QJS144" s="7"/>
      <c r="QJT144" s="7"/>
      <c r="QJU144" s="7"/>
      <c r="QJV144" s="7"/>
      <c r="QJW144" s="7"/>
      <c r="QJX144" s="7"/>
      <c r="QJY144" s="7"/>
      <c r="QJZ144" s="7"/>
      <c r="QKA144" s="7"/>
      <c r="QKB144" s="7"/>
      <c r="QKC144" s="7"/>
      <c r="QKD144" s="7"/>
      <c r="QKE144" s="7"/>
      <c r="QKF144" s="7"/>
      <c r="QKG144" s="7"/>
      <c r="QKH144" s="7"/>
      <c r="QKI144" s="7"/>
      <c r="QKJ144" s="7"/>
      <c r="QKK144" s="7"/>
      <c r="QKL144" s="7"/>
      <c r="QKM144" s="7"/>
      <c r="QKN144" s="7"/>
      <c r="QKO144" s="7"/>
      <c r="QKP144" s="7"/>
      <c r="QKQ144" s="7"/>
      <c r="QKR144" s="7"/>
      <c r="QKS144" s="7"/>
      <c r="QKT144" s="7"/>
      <c r="QKU144" s="7"/>
      <c r="QKV144" s="7"/>
      <c r="QKW144" s="7"/>
      <c r="QKX144" s="7"/>
      <c r="QKY144" s="7"/>
      <c r="QKZ144" s="7"/>
      <c r="QLA144" s="7"/>
      <c r="QLB144" s="7"/>
      <c r="QLC144" s="7"/>
      <c r="QLD144" s="7"/>
      <c r="QLE144" s="7"/>
      <c r="QLF144" s="7"/>
      <c r="QLG144" s="7"/>
      <c r="QLH144" s="7"/>
      <c r="QLI144" s="7"/>
      <c r="QLJ144" s="7"/>
      <c r="QLK144" s="7"/>
      <c r="QLL144" s="7"/>
      <c r="QLM144" s="7"/>
      <c r="QLN144" s="7"/>
      <c r="QLO144" s="7"/>
      <c r="QLP144" s="7"/>
      <c r="QLQ144" s="7"/>
      <c r="QLR144" s="7"/>
      <c r="QLS144" s="7"/>
      <c r="QLT144" s="7"/>
      <c r="QLU144" s="7"/>
      <c r="QLV144" s="7"/>
      <c r="QLW144" s="7"/>
      <c r="QLX144" s="7"/>
      <c r="QLY144" s="7"/>
      <c r="QLZ144" s="7"/>
      <c r="QMA144" s="7"/>
      <c r="QMB144" s="7"/>
      <c r="QMC144" s="7"/>
      <c r="QMD144" s="7"/>
      <c r="QME144" s="7"/>
      <c r="QMF144" s="7"/>
      <c r="QMG144" s="7"/>
      <c r="QMH144" s="7"/>
      <c r="QMI144" s="7"/>
      <c r="QMJ144" s="7"/>
      <c r="QMK144" s="7"/>
      <c r="QML144" s="7"/>
      <c r="QMM144" s="7"/>
      <c r="QMN144" s="7"/>
      <c r="QMO144" s="7"/>
      <c r="QMP144" s="7"/>
      <c r="QMQ144" s="7"/>
      <c r="QMR144" s="7"/>
      <c r="QMS144" s="7"/>
      <c r="QMT144" s="7"/>
      <c r="QMU144" s="7"/>
      <c r="QMV144" s="7"/>
      <c r="QMW144" s="7"/>
      <c r="QMX144" s="7"/>
      <c r="QMY144" s="7"/>
      <c r="QMZ144" s="7"/>
      <c r="QNA144" s="7"/>
      <c r="QNB144" s="7"/>
      <c r="QNC144" s="7"/>
      <c r="QND144" s="7"/>
      <c r="QNE144" s="7"/>
      <c r="QNF144" s="7"/>
      <c r="QNG144" s="7"/>
      <c r="QNH144" s="7"/>
      <c r="QNI144" s="7"/>
      <c r="QNJ144" s="7"/>
      <c r="QNK144" s="7"/>
      <c r="QNL144" s="7"/>
      <c r="QNM144" s="7"/>
      <c r="QNN144" s="7"/>
      <c r="QNO144" s="7"/>
      <c r="QNP144" s="7"/>
      <c r="QNQ144" s="7"/>
      <c r="QNR144" s="7"/>
      <c r="QNS144" s="7"/>
      <c r="QNT144" s="7"/>
      <c r="QNU144" s="7"/>
      <c r="QNV144" s="7"/>
      <c r="QNW144" s="7"/>
      <c r="QNX144" s="7"/>
      <c r="QNY144" s="7"/>
      <c r="QNZ144" s="7"/>
      <c r="QOA144" s="7"/>
      <c r="QOB144" s="7"/>
      <c r="QOC144" s="7"/>
      <c r="QOD144" s="7"/>
      <c r="QOE144" s="7"/>
      <c r="QOF144" s="7"/>
      <c r="QOG144" s="7"/>
      <c r="QOH144" s="7"/>
      <c r="QOI144" s="7"/>
      <c r="QOJ144" s="7"/>
      <c r="QOK144" s="7"/>
      <c r="QOL144" s="7"/>
      <c r="QOM144" s="7"/>
      <c r="QON144" s="7"/>
      <c r="QOO144" s="7"/>
      <c r="QOP144" s="7"/>
      <c r="QOQ144" s="7"/>
      <c r="QOR144" s="7"/>
      <c r="QOS144" s="7"/>
      <c r="QOT144" s="7"/>
      <c r="QOU144" s="7"/>
      <c r="QOV144" s="7"/>
      <c r="QOW144" s="7"/>
      <c r="QOX144" s="7"/>
      <c r="QOY144" s="7"/>
      <c r="QOZ144" s="7"/>
      <c r="QPA144" s="7"/>
      <c r="QPB144" s="7"/>
      <c r="QPC144" s="7"/>
      <c r="QPD144" s="7"/>
      <c r="QPE144" s="7"/>
      <c r="QPF144" s="7"/>
      <c r="QPG144" s="7"/>
      <c r="QPH144" s="7"/>
      <c r="QPI144" s="7"/>
      <c r="QPJ144" s="7"/>
      <c r="QPK144" s="7"/>
      <c r="QPL144" s="7"/>
      <c r="QPM144" s="7"/>
      <c r="QPN144" s="7"/>
      <c r="QPO144" s="7"/>
      <c r="QPP144" s="7"/>
      <c r="QPQ144" s="7"/>
      <c r="QPR144" s="7"/>
      <c r="QPS144" s="7"/>
      <c r="QPT144" s="7"/>
      <c r="QPU144" s="7"/>
      <c r="QPV144" s="7"/>
      <c r="QPW144" s="7"/>
      <c r="QPX144" s="7"/>
      <c r="QPY144" s="7"/>
      <c r="QPZ144" s="7"/>
      <c r="QQA144" s="7"/>
      <c r="QQB144" s="7"/>
      <c r="QQC144" s="7"/>
      <c r="QQD144" s="7"/>
      <c r="QQE144" s="7"/>
      <c r="QQF144" s="7"/>
      <c r="QQG144" s="7"/>
      <c r="QQH144" s="7"/>
      <c r="QQI144" s="7"/>
      <c r="QQJ144" s="7"/>
      <c r="QQK144" s="7"/>
      <c r="QQL144" s="7"/>
      <c r="QQM144" s="7"/>
      <c r="QQN144" s="7"/>
      <c r="QQO144" s="7"/>
      <c r="QQP144" s="7"/>
      <c r="QQQ144" s="7"/>
      <c r="QQR144" s="7"/>
      <c r="QQS144" s="7"/>
      <c r="QQT144" s="7"/>
      <c r="QQU144" s="7"/>
      <c r="QQV144" s="7"/>
      <c r="QQW144" s="7"/>
      <c r="QQX144" s="7"/>
      <c r="QQY144" s="7"/>
      <c r="QQZ144" s="7"/>
      <c r="QRA144" s="7"/>
      <c r="QRB144" s="7"/>
      <c r="QRC144" s="7"/>
      <c r="QRD144" s="7"/>
      <c r="QRE144" s="7"/>
      <c r="QRF144" s="7"/>
      <c r="QRG144" s="7"/>
      <c r="QRH144" s="7"/>
      <c r="QRI144" s="7"/>
      <c r="QRJ144" s="7"/>
      <c r="QRK144" s="7"/>
      <c r="QRL144" s="7"/>
      <c r="QRM144" s="7"/>
      <c r="QRN144" s="7"/>
      <c r="QRO144" s="7"/>
      <c r="QRP144" s="7"/>
      <c r="QRQ144" s="7"/>
      <c r="QRR144" s="7"/>
      <c r="QRS144" s="7"/>
      <c r="QRT144" s="7"/>
      <c r="QRU144" s="7"/>
      <c r="QRV144" s="7"/>
      <c r="QRW144" s="7"/>
      <c r="QRX144" s="7"/>
      <c r="QRY144" s="7"/>
      <c r="QRZ144" s="7"/>
      <c r="QSA144" s="7"/>
      <c r="QSB144" s="7"/>
      <c r="QSC144" s="7"/>
      <c r="QSD144" s="7"/>
      <c r="QSE144" s="7"/>
      <c r="QSF144" s="7"/>
      <c r="QSG144" s="7"/>
      <c r="QSH144" s="7"/>
      <c r="QSI144" s="7"/>
      <c r="QSJ144" s="7"/>
      <c r="QSK144" s="7"/>
      <c r="QSL144" s="7"/>
      <c r="QSM144" s="7"/>
      <c r="QSN144" s="7"/>
      <c r="QSO144" s="7"/>
      <c r="QSP144" s="7"/>
      <c r="QSQ144" s="7"/>
      <c r="QSR144" s="7"/>
      <c r="QSS144" s="7"/>
      <c r="QST144" s="7"/>
      <c r="QSU144" s="7"/>
      <c r="QSV144" s="7"/>
      <c r="QSW144" s="7"/>
      <c r="QSX144" s="7"/>
      <c r="QSY144" s="7"/>
      <c r="QSZ144" s="7"/>
      <c r="QTA144" s="7"/>
      <c r="QTB144" s="7"/>
      <c r="QTC144" s="7"/>
      <c r="QTD144" s="7"/>
      <c r="QTE144" s="7"/>
      <c r="QTF144" s="7"/>
      <c r="QTG144" s="7"/>
      <c r="QTH144" s="7"/>
      <c r="QTI144" s="7"/>
      <c r="QTJ144" s="7"/>
      <c r="QTK144" s="7"/>
      <c r="QTL144" s="7"/>
      <c r="QTM144" s="7"/>
      <c r="QTN144" s="7"/>
      <c r="QTO144" s="7"/>
      <c r="QTP144" s="7"/>
      <c r="QTQ144" s="7"/>
      <c r="QTR144" s="7"/>
      <c r="QTS144" s="7"/>
      <c r="QTT144" s="7"/>
      <c r="QTU144" s="7"/>
      <c r="QTV144" s="7"/>
      <c r="QTW144" s="7"/>
      <c r="QTX144" s="7"/>
      <c r="QTY144" s="7"/>
      <c r="QTZ144" s="7"/>
      <c r="QUA144" s="7"/>
      <c r="QUB144" s="7"/>
      <c r="QUC144" s="7"/>
      <c r="QUD144" s="7"/>
      <c r="QUE144" s="7"/>
      <c r="QUF144" s="7"/>
      <c r="QUG144" s="7"/>
      <c r="QUH144" s="7"/>
      <c r="QUI144" s="7"/>
      <c r="QUJ144" s="7"/>
      <c r="QUK144" s="7"/>
      <c r="QUL144" s="7"/>
      <c r="QUM144" s="7"/>
      <c r="QUN144" s="7"/>
      <c r="QUO144" s="7"/>
      <c r="QUP144" s="7"/>
      <c r="QUQ144" s="7"/>
      <c r="QUR144" s="7"/>
      <c r="QUS144" s="7"/>
      <c r="QUT144" s="7"/>
      <c r="QUU144" s="7"/>
      <c r="QUV144" s="7"/>
      <c r="QUW144" s="7"/>
      <c r="QUX144" s="7"/>
      <c r="QUY144" s="7"/>
      <c r="QUZ144" s="7"/>
      <c r="QVA144" s="7"/>
      <c r="QVB144" s="7"/>
      <c r="QVC144" s="7"/>
      <c r="QVD144" s="7"/>
      <c r="QVE144" s="7"/>
      <c r="QVF144" s="7"/>
      <c r="QVG144" s="7"/>
      <c r="QVH144" s="7"/>
      <c r="QVI144" s="7"/>
      <c r="QVJ144" s="7"/>
      <c r="QVK144" s="7"/>
      <c r="QVL144" s="7"/>
      <c r="QVM144" s="7"/>
      <c r="QVN144" s="7"/>
      <c r="QVO144" s="7"/>
      <c r="QVP144" s="7"/>
      <c r="QVQ144" s="7"/>
      <c r="QVR144" s="7"/>
      <c r="QVS144" s="7"/>
      <c r="QVT144" s="7"/>
      <c r="QVU144" s="7"/>
      <c r="QVV144" s="7"/>
      <c r="QVW144" s="7"/>
      <c r="QVX144" s="7"/>
      <c r="QVY144" s="7"/>
      <c r="QVZ144" s="7"/>
      <c r="QWA144" s="7"/>
      <c r="QWB144" s="7"/>
      <c r="QWC144" s="7"/>
      <c r="QWD144" s="7"/>
      <c r="QWE144" s="7"/>
      <c r="QWF144" s="7"/>
      <c r="QWG144" s="7"/>
      <c r="QWH144" s="7"/>
      <c r="QWI144" s="7"/>
      <c r="QWJ144" s="7"/>
      <c r="QWK144" s="7"/>
      <c r="QWL144" s="7"/>
      <c r="QWM144" s="7"/>
      <c r="QWN144" s="7"/>
      <c r="QWO144" s="7"/>
      <c r="QWP144" s="7"/>
      <c r="QWQ144" s="7"/>
      <c r="QWR144" s="7"/>
      <c r="QWS144" s="7"/>
      <c r="QWT144" s="7"/>
      <c r="QWU144" s="7"/>
      <c r="QWV144" s="7"/>
      <c r="QWW144" s="7"/>
      <c r="QWX144" s="7"/>
      <c r="QWY144" s="7"/>
      <c r="QWZ144" s="7"/>
      <c r="QXA144" s="7"/>
      <c r="QXB144" s="7"/>
      <c r="QXC144" s="7"/>
      <c r="QXD144" s="7"/>
      <c r="QXE144" s="7"/>
      <c r="QXF144" s="7"/>
      <c r="QXG144" s="7"/>
      <c r="QXH144" s="7"/>
      <c r="QXI144" s="7"/>
      <c r="QXJ144" s="7"/>
      <c r="QXK144" s="7"/>
      <c r="QXL144" s="7"/>
      <c r="QXM144" s="7"/>
      <c r="QXN144" s="7"/>
      <c r="QXO144" s="7"/>
      <c r="QXP144" s="7"/>
      <c r="QXQ144" s="7"/>
      <c r="QXR144" s="7"/>
      <c r="QXS144" s="7"/>
      <c r="QXT144" s="7"/>
      <c r="QXU144" s="7"/>
      <c r="QXV144" s="7"/>
      <c r="QXW144" s="7"/>
      <c r="QXX144" s="7"/>
      <c r="QXY144" s="7"/>
      <c r="QXZ144" s="7"/>
      <c r="QYA144" s="7"/>
      <c r="QYB144" s="7"/>
      <c r="QYC144" s="7"/>
      <c r="QYD144" s="7"/>
      <c r="QYE144" s="7"/>
      <c r="QYF144" s="7"/>
      <c r="QYG144" s="7"/>
      <c r="QYH144" s="7"/>
      <c r="QYI144" s="7"/>
      <c r="QYJ144" s="7"/>
      <c r="QYK144" s="7"/>
      <c r="QYL144" s="7"/>
      <c r="QYM144" s="7"/>
      <c r="QYN144" s="7"/>
      <c r="QYO144" s="7"/>
      <c r="QYP144" s="7"/>
      <c r="QYQ144" s="7"/>
      <c r="QYR144" s="7"/>
      <c r="QYS144" s="7"/>
      <c r="QYT144" s="7"/>
      <c r="QYU144" s="7"/>
      <c r="QYV144" s="7"/>
      <c r="QYW144" s="7"/>
      <c r="QYX144" s="7"/>
      <c r="QYY144" s="7"/>
      <c r="QYZ144" s="7"/>
      <c r="QZA144" s="7"/>
      <c r="QZB144" s="7"/>
      <c r="QZC144" s="7"/>
      <c r="QZD144" s="7"/>
      <c r="QZE144" s="7"/>
      <c r="QZF144" s="7"/>
      <c r="QZG144" s="7"/>
      <c r="QZH144" s="7"/>
      <c r="QZI144" s="7"/>
      <c r="QZJ144" s="7"/>
      <c r="QZK144" s="7"/>
      <c r="QZL144" s="7"/>
      <c r="QZM144" s="7"/>
      <c r="QZN144" s="7"/>
      <c r="QZO144" s="7"/>
      <c r="QZP144" s="7"/>
      <c r="QZQ144" s="7"/>
      <c r="QZR144" s="7"/>
      <c r="QZS144" s="7"/>
      <c r="QZT144" s="7"/>
      <c r="QZU144" s="7"/>
      <c r="QZV144" s="7"/>
      <c r="QZW144" s="7"/>
      <c r="QZX144" s="7"/>
      <c r="QZY144" s="7"/>
      <c r="QZZ144" s="7"/>
      <c r="RAA144" s="7"/>
      <c r="RAB144" s="7"/>
      <c r="RAC144" s="7"/>
      <c r="RAD144" s="7"/>
      <c r="RAE144" s="7"/>
      <c r="RAF144" s="7"/>
      <c r="RAG144" s="7"/>
      <c r="RAH144" s="7"/>
      <c r="RAI144" s="7"/>
      <c r="RAJ144" s="7"/>
      <c r="RAK144" s="7"/>
      <c r="RAL144" s="7"/>
      <c r="RAM144" s="7"/>
      <c r="RAN144" s="7"/>
      <c r="RAO144" s="7"/>
      <c r="RAP144" s="7"/>
      <c r="RAQ144" s="7"/>
      <c r="RAR144" s="7"/>
      <c r="RAS144" s="7"/>
      <c r="RAT144" s="7"/>
      <c r="RAU144" s="7"/>
      <c r="RAV144" s="7"/>
      <c r="RAW144" s="7"/>
      <c r="RAX144" s="7"/>
      <c r="RAY144" s="7"/>
      <c r="RAZ144" s="7"/>
      <c r="RBA144" s="7"/>
      <c r="RBB144" s="7"/>
      <c r="RBC144" s="7"/>
      <c r="RBD144" s="7"/>
      <c r="RBE144" s="7"/>
      <c r="RBF144" s="7"/>
      <c r="RBG144" s="7"/>
      <c r="RBH144" s="7"/>
      <c r="RBI144" s="7"/>
      <c r="RBJ144" s="7"/>
      <c r="RBK144" s="7"/>
      <c r="RBL144" s="7"/>
      <c r="RBM144" s="7"/>
      <c r="RBN144" s="7"/>
      <c r="RBO144" s="7"/>
      <c r="RBP144" s="7"/>
      <c r="RBQ144" s="7"/>
      <c r="RBR144" s="7"/>
      <c r="RBS144" s="7"/>
      <c r="RBT144" s="7"/>
      <c r="RBU144" s="7"/>
      <c r="RBV144" s="7"/>
      <c r="RBW144" s="7"/>
      <c r="RBX144" s="7"/>
      <c r="RBY144" s="7"/>
      <c r="RBZ144" s="7"/>
      <c r="RCA144" s="7"/>
      <c r="RCB144" s="7"/>
      <c r="RCC144" s="7"/>
      <c r="RCD144" s="7"/>
      <c r="RCE144" s="7"/>
      <c r="RCF144" s="7"/>
      <c r="RCG144" s="7"/>
      <c r="RCH144" s="7"/>
      <c r="RCI144" s="7"/>
      <c r="RCJ144" s="7"/>
      <c r="RCK144" s="7"/>
      <c r="RCL144" s="7"/>
      <c r="RCM144" s="7"/>
      <c r="RCN144" s="7"/>
      <c r="RCO144" s="7"/>
      <c r="RCP144" s="7"/>
      <c r="RCQ144" s="7"/>
      <c r="RCR144" s="7"/>
      <c r="RCS144" s="7"/>
      <c r="RCT144" s="7"/>
      <c r="RCU144" s="7"/>
      <c r="RCV144" s="7"/>
      <c r="RCW144" s="7"/>
      <c r="RCX144" s="7"/>
      <c r="RCY144" s="7"/>
      <c r="RCZ144" s="7"/>
      <c r="RDA144" s="7"/>
      <c r="RDB144" s="7"/>
      <c r="RDC144" s="7"/>
      <c r="RDD144" s="7"/>
      <c r="RDE144" s="7"/>
      <c r="RDF144" s="7"/>
      <c r="RDG144" s="7"/>
      <c r="RDH144" s="7"/>
      <c r="RDI144" s="7"/>
      <c r="RDJ144" s="7"/>
      <c r="RDK144" s="7"/>
      <c r="RDL144" s="7"/>
      <c r="RDM144" s="7"/>
      <c r="RDN144" s="7"/>
      <c r="RDO144" s="7"/>
      <c r="RDP144" s="7"/>
      <c r="RDQ144" s="7"/>
      <c r="RDR144" s="7"/>
      <c r="RDS144" s="7"/>
      <c r="RDT144" s="7"/>
      <c r="RDU144" s="7"/>
      <c r="RDV144" s="7"/>
      <c r="RDW144" s="7"/>
      <c r="RDX144" s="7"/>
      <c r="RDY144" s="7"/>
      <c r="RDZ144" s="7"/>
      <c r="REA144" s="7"/>
      <c r="REB144" s="7"/>
      <c r="REC144" s="7"/>
      <c r="RED144" s="7"/>
      <c r="REE144" s="7"/>
      <c r="REF144" s="7"/>
      <c r="REG144" s="7"/>
      <c r="REH144" s="7"/>
      <c r="REI144" s="7"/>
      <c r="REJ144" s="7"/>
      <c r="REK144" s="7"/>
      <c r="REL144" s="7"/>
      <c r="REM144" s="7"/>
      <c r="REN144" s="7"/>
      <c r="REO144" s="7"/>
      <c r="REP144" s="7"/>
      <c r="REQ144" s="7"/>
      <c r="RER144" s="7"/>
      <c r="RES144" s="7"/>
      <c r="RET144" s="7"/>
      <c r="REU144" s="7"/>
      <c r="REV144" s="7"/>
      <c r="REW144" s="7"/>
      <c r="REX144" s="7"/>
      <c r="REY144" s="7"/>
      <c r="REZ144" s="7"/>
      <c r="RFA144" s="7"/>
      <c r="RFB144" s="7"/>
      <c r="RFC144" s="7"/>
      <c r="RFD144" s="7"/>
      <c r="RFE144" s="7"/>
      <c r="RFF144" s="7"/>
      <c r="RFG144" s="7"/>
      <c r="RFH144" s="7"/>
      <c r="RFI144" s="7"/>
      <c r="RFJ144" s="7"/>
      <c r="RFK144" s="7"/>
      <c r="RFL144" s="7"/>
      <c r="RFM144" s="7"/>
      <c r="RFN144" s="7"/>
      <c r="RFO144" s="7"/>
      <c r="RFP144" s="7"/>
      <c r="RFQ144" s="7"/>
      <c r="RFR144" s="7"/>
      <c r="RFS144" s="7"/>
      <c r="RFT144" s="7"/>
      <c r="RFU144" s="7"/>
      <c r="RFV144" s="7"/>
      <c r="RFW144" s="7"/>
      <c r="RFX144" s="7"/>
      <c r="RFY144" s="7"/>
      <c r="RFZ144" s="7"/>
      <c r="RGA144" s="7"/>
      <c r="RGB144" s="7"/>
      <c r="RGC144" s="7"/>
      <c r="RGD144" s="7"/>
      <c r="RGE144" s="7"/>
      <c r="RGF144" s="7"/>
      <c r="RGG144" s="7"/>
      <c r="RGH144" s="7"/>
      <c r="RGI144" s="7"/>
      <c r="RGJ144" s="7"/>
      <c r="RGK144" s="7"/>
      <c r="RGL144" s="7"/>
      <c r="RGM144" s="7"/>
      <c r="RGN144" s="7"/>
      <c r="RGO144" s="7"/>
      <c r="RGP144" s="7"/>
      <c r="RGQ144" s="7"/>
      <c r="RGR144" s="7"/>
      <c r="RGS144" s="7"/>
      <c r="RGT144" s="7"/>
      <c r="RGU144" s="7"/>
      <c r="RGV144" s="7"/>
      <c r="RGW144" s="7"/>
      <c r="RGX144" s="7"/>
      <c r="RGY144" s="7"/>
      <c r="RGZ144" s="7"/>
      <c r="RHA144" s="7"/>
      <c r="RHB144" s="7"/>
      <c r="RHC144" s="7"/>
      <c r="RHD144" s="7"/>
      <c r="RHE144" s="7"/>
      <c r="RHF144" s="7"/>
      <c r="RHG144" s="7"/>
      <c r="RHH144" s="7"/>
      <c r="RHI144" s="7"/>
      <c r="RHJ144" s="7"/>
      <c r="RHK144" s="7"/>
      <c r="RHL144" s="7"/>
      <c r="RHM144" s="7"/>
      <c r="RHN144" s="7"/>
      <c r="RHO144" s="7"/>
      <c r="RHP144" s="7"/>
      <c r="RHQ144" s="7"/>
      <c r="RHR144" s="7"/>
      <c r="RHS144" s="7"/>
      <c r="RHT144" s="7"/>
      <c r="RHU144" s="7"/>
      <c r="RHV144" s="7"/>
      <c r="RHW144" s="7"/>
      <c r="RHX144" s="7"/>
      <c r="RHY144" s="7"/>
      <c r="RHZ144" s="7"/>
      <c r="RIA144" s="7"/>
      <c r="RIB144" s="7"/>
      <c r="RIC144" s="7"/>
      <c r="RID144" s="7"/>
      <c r="RIE144" s="7"/>
      <c r="RIF144" s="7"/>
      <c r="RIG144" s="7"/>
      <c r="RIH144" s="7"/>
      <c r="RII144" s="7"/>
      <c r="RIJ144" s="7"/>
      <c r="RIK144" s="7"/>
      <c r="RIL144" s="7"/>
      <c r="RIM144" s="7"/>
      <c r="RIN144" s="7"/>
      <c r="RIO144" s="7"/>
      <c r="RIP144" s="7"/>
      <c r="RIQ144" s="7"/>
      <c r="RIR144" s="7"/>
      <c r="RIS144" s="7"/>
      <c r="RIT144" s="7"/>
      <c r="RIU144" s="7"/>
      <c r="RIV144" s="7"/>
      <c r="RIW144" s="7"/>
      <c r="RIX144" s="7"/>
      <c r="RIY144" s="7"/>
      <c r="RIZ144" s="7"/>
      <c r="RJA144" s="7"/>
      <c r="RJB144" s="7"/>
      <c r="RJC144" s="7"/>
      <c r="RJD144" s="7"/>
      <c r="RJE144" s="7"/>
      <c r="RJF144" s="7"/>
      <c r="RJG144" s="7"/>
      <c r="RJH144" s="7"/>
      <c r="RJI144" s="7"/>
      <c r="RJJ144" s="7"/>
      <c r="RJK144" s="7"/>
      <c r="RJL144" s="7"/>
      <c r="RJM144" s="7"/>
      <c r="RJN144" s="7"/>
      <c r="RJO144" s="7"/>
      <c r="RJP144" s="7"/>
      <c r="RJQ144" s="7"/>
      <c r="RJR144" s="7"/>
      <c r="RJS144" s="7"/>
      <c r="RJT144" s="7"/>
      <c r="RJU144" s="7"/>
      <c r="RJV144" s="7"/>
      <c r="RJW144" s="7"/>
      <c r="RJX144" s="7"/>
      <c r="RJY144" s="7"/>
      <c r="RJZ144" s="7"/>
      <c r="RKA144" s="7"/>
      <c r="RKB144" s="7"/>
      <c r="RKC144" s="7"/>
      <c r="RKD144" s="7"/>
      <c r="RKE144" s="7"/>
      <c r="RKF144" s="7"/>
      <c r="RKG144" s="7"/>
      <c r="RKH144" s="7"/>
      <c r="RKI144" s="7"/>
      <c r="RKJ144" s="7"/>
      <c r="RKK144" s="7"/>
      <c r="RKL144" s="7"/>
      <c r="RKM144" s="7"/>
      <c r="RKN144" s="7"/>
      <c r="RKO144" s="7"/>
      <c r="RKP144" s="7"/>
      <c r="RKQ144" s="7"/>
      <c r="RKR144" s="7"/>
      <c r="RKS144" s="7"/>
      <c r="RKT144" s="7"/>
      <c r="RKU144" s="7"/>
      <c r="RKV144" s="7"/>
      <c r="RKW144" s="7"/>
      <c r="RKX144" s="7"/>
      <c r="RKY144" s="7"/>
      <c r="RKZ144" s="7"/>
      <c r="RLA144" s="7"/>
      <c r="RLB144" s="7"/>
      <c r="RLC144" s="7"/>
      <c r="RLD144" s="7"/>
      <c r="RLE144" s="7"/>
      <c r="RLF144" s="7"/>
      <c r="RLG144" s="7"/>
      <c r="RLH144" s="7"/>
      <c r="RLI144" s="7"/>
      <c r="RLJ144" s="7"/>
      <c r="RLK144" s="7"/>
      <c r="RLL144" s="7"/>
      <c r="RLM144" s="7"/>
      <c r="RLN144" s="7"/>
      <c r="RLO144" s="7"/>
      <c r="RLP144" s="7"/>
      <c r="RLQ144" s="7"/>
      <c r="RLR144" s="7"/>
      <c r="RLS144" s="7"/>
      <c r="RLT144" s="7"/>
      <c r="RLU144" s="7"/>
      <c r="RLV144" s="7"/>
      <c r="RLW144" s="7"/>
      <c r="RLX144" s="7"/>
      <c r="RLY144" s="7"/>
      <c r="RLZ144" s="7"/>
      <c r="RMA144" s="7"/>
      <c r="RMB144" s="7"/>
      <c r="RMC144" s="7"/>
      <c r="RMD144" s="7"/>
      <c r="RME144" s="7"/>
      <c r="RMF144" s="7"/>
      <c r="RMG144" s="7"/>
      <c r="RMH144" s="7"/>
      <c r="RMI144" s="7"/>
      <c r="RMJ144" s="7"/>
      <c r="RMK144" s="7"/>
      <c r="RML144" s="7"/>
      <c r="RMM144" s="7"/>
      <c r="RMN144" s="7"/>
      <c r="RMO144" s="7"/>
      <c r="RMP144" s="7"/>
      <c r="RMQ144" s="7"/>
      <c r="RMR144" s="7"/>
      <c r="RMS144" s="7"/>
      <c r="RMT144" s="7"/>
      <c r="RMU144" s="7"/>
      <c r="RMV144" s="7"/>
      <c r="RMW144" s="7"/>
      <c r="RMX144" s="7"/>
      <c r="RMY144" s="7"/>
      <c r="RMZ144" s="7"/>
      <c r="RNA144" s="7"/>
      <c r="RNB144" s="7"/>
      <c r="RNC144" s="7"/>
      <c r="RND144" s="7"/>
      <c r="RNE144" s="7"/>
      <c r="RNF144" s="7"/>
      <c r="RNG144" s="7"/>
      <c r="RNH144" s="7"/>
      <c r="RNI144" s="7"/>
      <c r="RNJ144" s="7"/>
      <c r="RNK144" s="7"/>
      <c r="RNL144" s="7"/>
      <c r="RNM144" s="7"/>
      <c r="RNN144" s="7"/>
      <c r="RNO144" s="7"/>
      <c r="RNP144" s="7"/>
      <c r="RNQ144" s="7"/>
      <c r="RNR144" s="7"/>
      <c r="RNS144" s="7"/>
      <c r="RNT144" s="7"/>
      <c r="RNU144" s="7"/>
      <c r="RNV144" s="7"/>
      <c r="RNW144" s="7"/>
      <c r="RNX144" s="7"/>
      <c r="RNY144" s="7"/>
      <c r="RNZ144" s="7"/>
      <c r="ROA144" s="7"/>
      <c r="ROB144" s="7"/>
      <c r="ROC144" s="7"/>
      <c r="ROD144" s="7"/>
      <c r="ROE144" s="7"/>
      <c r="ROF144" s="7"/>
      <c r="ROG144" s="7"/>
      <c r="ROH144" s="7"/>
      <c r="ROI144" s="7"/>
      <c r="ROJ144" s="7"/>
      <c r="ROK144" s="7"/>
      <c r="ROL144" s="7"/>
      <c r="ROM144" s="7"/>
      <c r="RON144" s="7"/>
      <c r="ROO144" s="7"/>
      <c r="ROP144" s="7"/>
      <c r="ROQ144" s="7"/>
      <c r="ROR144" s="7"/>
      <c r="ROS144" s="7"/>
      <c r="ROT144" s="7"/>
      <c r="ROU144" s="7"/>
      <c r="ROV144" s="7"/>
      <c r="ROW144" s="7"/>
      <c r="ROX144" s="7"/>
      <c r="ROY144" s="7"/>
      <c r="ROZ144" s="7"/>
      <c r="RPA144" s="7"/>
      <c r="RPB144" s="7"/>
      <c r="RPC144" s="7"/>
      <c r="RPD144" s="7"/>
      <c r="RPE144" s="7"/>
      <c r="RPF144" s="7"/>
      <c r="RPG144" s="7"/>
      <c r="RPH144" s="7"/>
      <c r="RPI144" s="7"/>
      <c r="RPJ144" s="7"/>
      <c r="RPK144" s="7"/>
      <c r="RPL144" s="7"/>
      <c r="RPM144" s="7"/>
      <c r="RPN144" s="7"/>
      <c r="RPO144" s="7"/>
      <c r="RPP144" s="7"/>
      <c r="RPQ144" s="7"/>
      <c r="RPR144" s="7"/>
      <c r="RPS144" s="7"/>
      <c r="RPT144" s="7"/>
      <c r="RPU144" s="7"/>
      <c r="RPV144" s="7"/>
      <c r="RPW144" s="7"/>
      <c r="RPX144" s="7"/>
      <c r="RPY144" s="7"/>
      <c r="RPZ144" s="7"/>
      <c r="RQA144" s="7"/>
      <c r="RQB144" s="7"/>
      <c r="RQC144" s="7"/>
      <c r="RQD144" s="7"/>
      <c r="RQE144" s="7"/>
      <c r="RQF144" s="7"/>
      <c r="RQG144" s="7"/>
      <c r="RQH144" s="7"/>
      <c r="RQI144" s="7"/>
      <c r="RQJ144" s="7"/>
      <c r="RQK144" s="7"/>
      <c r="RQL144" s="7"/>
      <c r="RQM144" s="7"/>
      <c r="RQN144" s="7"/>
      <c r="RQO144" s="7"/>
      <c r="RQP144" s="7"/>
      <c r="RQQ144" s="7"/>
      <c r="RQR144" s="7"/>
      <c r="RQS144" s="7"/>
      <c r="RQT144" s="7"/>
      <c r="RQU144" s="7"/>
      <c r="RQV144" s="7"/>
      <c r="RQW144" s="7"/>
      <c r="RQX144" s="7"/>
      <c r="RQY144" s="7"/>
      <c r="RQZ144" s="7"/>
      <c r="RRA144" s="7"/>
      <c r="RRB144" s="7"/>
      <c r="RRC144" s="7"/>
      <c r="RRD144" s="7"/>
      <c r="RRE144" s="7"/>
      <c r="RRF144" s="7"/>
      <c r="RRG144" s="7"/>
      <c r="RRH144" s="7"/>
      <c r="RRI144" s="7"/>
      <c r="RRJ144" s="7"/>
      <c r="RRK144" s="7"/>
      <c r="RRL144" s="7"/>
      <c r="RRM144" s="7"/>
      <c r="RRN144" s="7"/>
      <c r="RRO144" s="7"/>
      <c r="RRP144" s="7"/>
      <c r="RRQ144" s="7"/>
      <c r="RRR144" s="7"/>
      <c r="RRS144" s="7"/>
      <c r="RRT144" s="7"/>
      <c r="RRU144" s="7"/>
      <c r="RRV144" s="7"/>
      <c r="RRW144" s="7"/>
      <c r="RRX144" s="7"/>
      <c r="RRY144" s="7"/>
      <c r="RRZ144" s="7"/>
      <c r="RSA144" s="7"/>
      <c r="RSB144" s="7"/>
      <c r="RSC144" s="7"/>
      <c r="RSD144" s="7"/>
      <c r="RSE144" s="7"/>
      <c r="RSF144" s="7"/>
      <c r="RSG144" s="7"/>
      <c r="RSH144" s="7"/>
      <c r="RSI144" s="7"/>
      <c r="RSJ144" s="7"/>
      <c r="RSK144" s="7"/>
      <c r="RSL144" s="7"/>
      <c r="RSM144" s="7"/>
      <c r="RSN144" s="7"/>
      <c r="RSO144" s="7"/>
      <c r="RSP144" s="7"/>
      <c r="RSQ144" s="7"/>
      <c r="RSR144" s="7"/>
      <c r="RSS144" s="7"/>
      <c r="RST144" s="7"/>
      <c r="RSU144" s="7"/>
      <c r="RSV144" s="7"/>
      <c r="RSW144" s="7"/>
      <c r="RSX144" s="7"/>
      <c r="RSY144" s="7"/>
      <c r="RSZ144" s="7"/>
      <c r="RTA144" s="7"/>
      <c r="RTB144" s="7"/>
      <c r="RTC144" s="7"/>
      <c r="RTD144" s="7"/>
      <c r="RTE144" s="7"/>
      <c r="RTF144" s="7"/>
      <c r="RTG144" s="7"/>
      <c r="RTH144" s="7"/>
      <c r="RTI144" s="7"/>
      <c r="RTJ144" s="7"/>
      <c r="RTK144" s="7"/>
      <c r="RTL144" s="7"/>
      <c r="RTM144" s="7"/>
      <c r="RTN144" s="7"/>
      <c r="RTO144" s="7"/>
      <c r="RTP144" s="7"/>
      <c r="RTQ144" s="7"/>
      <c r="RTR144" s="7"/>
      <c r="RTS144" s="7"/>
      <c r="RTT144" s="7"/>
      <c r="RTU144" s="7"/>
      <c r="RTV144" s="7"/>
      <c r="RTW144" s="7"/>
      <c r="RTX144" s="7"/>
      <c r="RTY144" s="7"/>
      <c r="RTZ144" s="7"/>
      <c r="RUA144" s="7"/>
      <c r="RUB144" s="7"/>
      <c r="RUC144" s="7"/>
      <c r="RUD144" s="7"/>
      <c r="RUE144" s="7"/>
      <c r="RUF144" s="7"/>
      <c r="RUG144" s="7"/>
      <c r="RUH144" s="7"/>
      <c r="RUI144" s="7"/>
      <c r="RUJ144" s="7"/>
      <c r="RUK144" s="7"/>
      <c r="RUL144" s="7"/>
      <c r="RUM144" s="7"/>
      <c r="RUN144" s="7"/>
      <c r="RUO144" s="7"/>
      <c r="RUP144" s="7"/>
      <c r="RUQ144" s="7"/>
      <c r="RUR144" s="7"/>
      <c r="RUS144" s="7"/>
      <c r="RUT144" s="7"/>
      <c r="RUU144" s="7"/>
      <c r="RUV144" s="7"/>
      <c r="RUW144" s="7"/>
      <c r="RUX144" s="7"/>
      <c r="RUY144" s="7"/>
      <c r="RUZ144" s="7"/>
      <c r="RVA144" s="7"/>
      <c r="RVB144" s="7"/>
      <c r="RVC144" s="7"/>
      <c r="RVD144" s="7"/>
      <c r="RVE144" s="7"/>
      <c r="RVF144" s="7"/>
      <c r="RVG144" s="7"/>
      <c r="RVH144" s="7"/>
      <c r="RVI144" s="7"/>
      <c r="RVJ144" s="7"/>
      <c r="RVK144" s="7"/>
      <c r="RVL144" s="7"/>
      <c r="RVM144" s="7"/>
      <c r="RVN144" s="7"/>
      <c r="RVO144" s="7"/>
      <c r="RVP144" s="7"/>
      <c r="RVQ144" s="7"/>
      <c r="RVR144" s="7"/>
      <c r="RVS144" s="7"/>
      <c r="RVT144" s="7"/>
      <c r="RVU144" s="7"/>
      <c r="RVV144" s="7"/>
      <c r="RVW144" s="7"/>
      <c r="RVX144" s="7"/>
      <c r="RVY144" s="7"/>
      <c r="RVZ144" s="7"/>
      <c r="RWA144" s="7"/>
      <c r="RWB144" s="7"/>
      <c r="RWC144" s="7"/>
      <c r="RWD144" s="7"/>
      <c r="RWE144" s="7"/>
      <c r="RWF144" s="7"/>
      <c r="RWG144" s="7"/>
      <c r="RWH144" s="7"/>
      <c r="RWI144" s="7"/>
      <c r="RWJ144" s="7"/>
      <c r="RWK144" s="7"/>
      <c r="RWL144" s="7"/>
      <c r="RWM144" s="7"/>
      <c r="RWN144" s="7"/>
      <c r="RWO144" s="7"/>
      <c r="RWP144" s="7"/>
      <c r="RWQ144" s="7"/>
      <c r="RWR144" s="7"/>
      <c r="RWS144" s="7"/>
      <c r="RWT144" s="7"/>
      <c r="RWU144" s="7"/>
      <c r="RWV144" s="7"/>
      <c r="RWW144" s="7"/>
      <c r="RWX144" s="7"/>
      <c r="RWY144" s="7"/>
      <c r="RWZ144" s="7"/>
      <c r="RXA144" s="7"/>
      <c r="RXB144" s="7"/>
      <c r="RXC144" s="7"/>
      <c r="RXD144" s="7"/>
      <c r="RXE144" s="7"/>
      <c r="RXF144" s="7"/>
      <c r="RXG144" s="7"/>
      <c r="RXH144" s="7"/>
      <c r="RXI144" s="7"/>
      <c r="RXJ144" s="7"/>
      <c r="RXK144" s="7"/>
      <c r="RXL144" s="7"/>
      <c r="RXM144" s="7"/>
      <c r="RXN144" s="7"/>
      <c r="RXO144" s="7"/>
      <c r="RXP144" s="7"/>
      <c r="RXQ144" s="7"/>
      <c r="RXR144" s="7"/>
      <c r="RXS144" s="7"/>
      <c r="RXT144" s="7"/>
      <c r="RXU144" s="7"/>
      <c r="RXV144" s="7"/>
      <c r="RXW144" s="7"/>
      <c r="RXX144" s="7"/>
      <c r="RXY144" s="7"/>
      <c r="RXZ144" s="7"/>
      <c r="RYA144" s="7"/>
      <c r="RYB144" s="7"/>
      <c r="RYC144" s="7"/>
      <c r="RYD144" s="7"/>
      <c r="RYE144" s="7"/>
      <c r="RYF144" s="7"/>
      <c r="RYG144" s="7"/>
      <c r="RYH144" s="7"/>
      <c r="RYI144" s="7"/>
      <c r="RYJ144" s="7"/>
      <c r="RYK144" s="7"/>
      <c r="RYL144" s="7"/>
      <c r="RYM144" s="7"/>
      <c r="RYN144" s="7"/>
      <c r="RYO144" s="7"/>
      <c r="RYP144" s="7"/>
      <c r="RYQ144" s="7"/>
      <c r="RYR144" s="7"/>
      <c r="RYS144" s="7"/>
      <c r="RYT144" s="7"/>
      <c r="RYU144" s="7"/>
      <c r="RYV144" s="7"/>
      <c r="RYW144" s="7"/>
      <c r="RYX144" s="7"/>
      <c r="RYY144" s="7"/>
      <c r="RYZ144" s="7"/>
      <c r="RZA144" s="7"/>
      <c r="RZB144" s="7"/>
      <c r="RZC144" s="7"/>
      <c r="RZD144" s="7"/>
      <c r="RZE144" s="7"/>
      <c r="RZF144" s="7"/>
      <c r="RZG144" s="7"/>
      <c r="RZH144" s="7"/>
      <c r="RZI144" s="7"/>
      <c r="RZJ144" s="7"/>
      <c r="RZK144" s="7"/>
      <c r="RZL144" s="7"/>
      <c r="RZM144" s="7"/>
      <c r="RZN144" s="7"/>
      <c r="RZO144" s="7"/>
      <c r="RZP144" s="7"/>
      <c r="RZQ144" s="7"/>
      <c r="RZR144" s="7"/>
      <c r="RZS144" s="7"/>
      <c r="RZT144" s="7"/>
      <c r="RZU144" s="7"/>
      <c r="RZV144" s="7"/>
      <c r="RZW144" s="7"/>
      <c r="RZX144" s="7"/>
      <c r="RZY144" s="7"/>
      <c r="RZZ144" s="7"/>
      <c r="SAA144" s="7"/>
      <c r="SAB144" s="7"/>
      <c r="SAC144" s="7"/>
      <c r="SAD144" s="7"/>
      <c r="SAE144" s="7"/>
      <c r="SAF144" s="7"/>
      <c r="SAG144" s="7"/>
      <c r="SAH144" s="7"/>
      <c r="SAI144" s="7"/>
      <c r="SAJ144" s="7"/>
      <c r="SAK144" s="7"/>
      <c r="SAL144" s="7"/>
      <c r="SAM144" s="7"/>
      <c r="SAN144" s="7"/>
      <c r="SAO144" s="7"/>
      <c r="SAP144" s="7"/>
      <c r="SAQ144" s="7"/>
      <c r="SAR144" s="7"/>
      <c r="SAS144" s="7"/>
      <c r="SAT144" s="7"/>
      <c r="SAU144" s="7"/>
      <c r="SAV144" s="7"/>
      <c r="SAW144" s="7"/>
      <c r="SAX144" s="7"/>
      <c r="SAY144" s="7"/>
      <c r="SAZ144" s="7"/>
      <c r="SBA144" s="7"/>
      <c r="SBB144" s="7"/>
      <c r="SBC144" s="7"/>
      <c r="SBD144" s="7"/>
      <c r="SBE144" s="7"/>
      <c r="SBF144" s="7"/>
      <c r="SBG144" s="7"/>
      <c r="SBH144" s="7"/>
      <c r="SBI144" s="7"/>
      <c r="SBJ144" s="7"/>
      <c r="SBK144" s="7"/>
      <c r="SBL144" s="7"/>
      <c r="SBM144" s="7"/>
      <c r="SBN144" s="7"/>
      <c r="SBO144" s="7"/>
      <c r="SBP144" s="7"/>
      <c r="SBQ144" s="7"/>
      <c r="SBR144" s="7"/>
      <c r="SBS144" s="7"/>
      <c r="SBT144" s="7"/>
      <c r="SBU144" s="7"/>
      <c r="SBV144" s="7"/>
      <c r="SBW144" s="7"/>
      <c r="SBX144" s="7"/>
      <c r="SBY144" s="7"/>
      <c r="SBZ144" s="7"/>
      <c r="SCA144" s="7"/>
      <c r="SCB144" s="7"/>
      <c r="SCC144" s="7"/>
      <c r="SCD144" s="7"/>
      <c r="SCE144" s="7"/>
      <c r="SCF144" s="7"/>
      <c r="SCG144" s="7"/>
      <c r="SCH144" s="7"/>
      <c r="SCI144" s="7"/>
      <c r="SCJ144" s="7"/>
      <c r="SCK144" s="7"/>
      <c r="SCL144" s="7"/>
      <c r="SCM144" s="7"/>
      <c r="SCN144" s="7"/>
      <c r="SCO144" s="7"/>
      <c r="SCP144" s="7"/>
      <c r="SCQ144" s="7"/>
      <c r="SCR144" s="7"/>
      <c r="SCS144" s="7"/>
      <c r="SCT144" s="7"/>
      <c r="SCU144" s="7"/>
      <c r="SCV144" s="7"/>
      <c r="SCW144" s="7"/>
      <c r="SCX144" s="7"/>
      <c r="SCY144" s="7"/>
      <c r="SCZ144" s="7"/>
      <c r="SDA144" s="7"/>
      <c r="SDB144" s="7"/>
      <c r="SDC144" s="7"/>
      <c r="SDD144" s="7"/>
      <c r="SDE144" s="7"/>
      <c r="SDF144" s="7"/>
      <c r="SDG144" s="7"/>
      <c r="SDH144" s="7"/>
      <c r="SDI144" s="7"/>
      <c r="SDJ144" s="7"/>
      <c r="SDK144" s="7"/>
      <c r="SDL144" s="7"/>
      <c r="SDM144" s="7"/>
      <c r="SDN144" s="7"/>
      <c r="SDO144" s="7"/>
      <c r="SDP144" s="7"/>
      <c r="SDQ144" s="7"/>
      <c r="SDR144" s="7"/>
      <c r="SDS144" s="7"/>
      <c r="SDT144" s="7"/>
      <c r="SDU144" s="7"/>
      <c r="SDV144" s="7"/>
      <c r="SDW144" s="7"/>
      <c r="SDX144" s="7"/>
      <c r="SDY144" s="7"/>
      <c r="SDZ144" s="7"/>
      <c r="SEA144" s="7"/>
      <c r="SEB144" s="7"/>
      <c r="SEC144" s="7"/>
      <c r="SED144" s="7"/>
      <c r="SEE144" s="7"/>
      <c r="SEF144" s="7"/>
      <c r="SEG144" s="7"/>
      <c r="SEH144" s="7"/>
      <c r="SEI144" s="7"/>
      <c r="SEJ144" s="7"/>
      <c r="SEK144" s="7"/>
      <c r="SEL144" s="7"/>
      <c r="SEM144" s="7"/>
      <c r="SEN144" s="7"/>
      <c r="SEO144" s="7"/>
      <c r="SEP144" s="7"/>
      <c r="SEQ144" s="7"/>
      <c r="SER144" s="7"/>
      <c r="SES144" s="7"/>
      <c r="SET144" s="7"/>
      <c r="SEU144" s="7"/>
      <c r="SEV144" s="7"/>
      <c r="SEW144" s="7"/>
      <c r="SEX144" s="7"/>
      <c r="SEY144" s="7"/>
      <c r="SEZ144" s="7"/>
      <c r="SFA144" s="7"/>
      <c r="SFB144" s="7"/>
      <c r="SFC144" s="7"/>
      <c r="SFD144" s="7"/>
      <c r="SFE144" s="7"/>
      <c r="SFF144" s="7"/>
      <c r="SFG144" s="7"/>
      <c r="SFH144" s="7"/>
      <c r="SFI144" s="7"/>
      <c r="SFJ144" s="7"/>
      <c r="SFK144" s="7"/>
      <c r="SFL144" s="7"/>
      <c r="SFM144" s="7"/>
      <c r="SFN144" s="7"/>
      <c r="SFO144" s="7"/>
      <c r="SFP144" s="7"/>
      <c r="SFQ144" s="7"/>
      <c r="SFR144" s="7"/>
      <c r="SFS144" s="7"/>
      <c r="SFT144" s="7"/>
      <c r="SFU144" s="7"/>
      <c r="SFV144" s="7"/>
      <c r="SFW144" s="7"/>
      <c r="SFX144" s="7"/>
      <c r="SFY144" s="7"/>
      <c r="SFZ144" s="7"/>
      <c r="SGA144" s="7"/>
      <c r="SGB144" s="7"/>
      <c r="SGC144" s="7"/>
      <c r="SGD144" s="7"/>
      <c r="SGE144" s="7"/>
      <c r="SGF144" s="7"/>
      <c r="SGG144" s="7"/>
      <c r="SGH144" s="7"/>
      <c r="SGI144" s="7"/>
      <c r="SGJ144" s="7"/>
      <c r="SGK144" s="7"/>
      <c r="SGL144" s="7"/>
      <c r="SGM144" s="7"/>
      <c r="SGN144" s="7"/>
      <c r="SGO144" s="7"/>
      <c r="SGP144" s="7"/>
      <c r="SGQ144" s="7"/>
      <c r="SGR144" s="7"/>
      <c r="SGS144" s="7"/>
      <c r="SGT144" s="7"/>
      <c r="SGU144" s="7"/>
      <c r="SGV144" s="7"/>
      <c r="SGW144" s="7"/>
      <c r="SGX144" s="7"/>
      <c r="SGY144" s="7"/>
      <c r="SGZ144" s="7"/>
      <c r="SHA144" s="7"/>
      <c r="SHB144" s="7"/>
      <c r="SHC144" s="7"/>
      <c r="SHD144" s="7"/>
      <c r="SHE144" s="7"/>
      <c r="SHF144" s="7"/>
      <c r="SHG144" s="7"/>
      <c r="SHH144" s="7"/>
      <c r="SHI144" s="7"/>
      <c r="SHJ144" s="7"/>
      <c r="SHK144" s="7"/>
      <c r="SHL144" s="7"/>
      <c r="SHM144" s="7"/>
      <c r="SHN144" s="7"/>
      <c r="SHO144" s="7"/>
      <c r="SHP144" s="7"/>
      <c r="SHQ144" s="7"/>
      <c r="SHR144" s="7"/>
      <c r="SHS144" s="7"/>
      <c r="SHT144" s="7"/>
      <c r="SHU144" s="7"/>
      <c r="SHV144" s="7"/>
      <c r="SHW144" s="7"/>
      <c r="SHX144" s="7"/>
      <c r="SHY144" s="7"/>
      <c r="SHZ144" s="7"/>
      <c r="SIA144" s="7"/>
      <c r="SIB144" s="7"/>
      <c r="SIC144" s="7"/>
      <c r="SID144" s="7"/>
      <c r="SIE144" s="7"/>
      <c r="SIF144" s="7"/>
      <c r="SIG144" s="7"/>
      <c r="SIH144" s="7"/>
      <c r="SII144" s="7"/>
      <c r="SIJ144" s="7"/>
      <c r="SIK144" s="7"/>
      <c r="SIL144" s="7"/>
      <c r="SIM144" s="7"/>
      <c r="SIN144" s="7"/>
      <c r="SIO144" s="7"/>
      <c r="SIP144" s="7"/>
      <c r="SIQ144" s="7"/>
      <c r="SIR144" s="7"/>
      <c r="SIS144" s="7"/>
      <c r="SIT144" s="7"/>
      <c r="SIU144" s="7"/>
      <c r="SIV144" s="7"/>
      <c r="SIW144" s="7"/>
      <c r="SIX144" s="7"/>
      <c r="SIY144" s="7"/>
      <c r="SIZ144" s="7"/>
      <c r="SJA144" s="7"/>
      <c r="SJB144" s="7"/>
      <c r="SJC144" s="7"/>
      <c r="SJD144" s="7"/>
      <c r="SJE144" s="7"/>
      <c r="SJF144" s="7"/>
      <c r="SJG144" s="7"/>
      <c r="SJH144" s="7"/>
      <c r="SJI144" s="7"/>
      <c r="SJJ144" s="7"/>
      <c r="SJK144" s="7"/>
      <c r="SJL144" s="7"/>
      <c r="SJM144" s="7"/>
      <c r="SJN144" s="7"/>
      <c r="SJO144" s="7"/>
      <c r="SJP144" s="7"/>
      <c r="SJQ144" s="7"/>
      <c r="SJR144" s="7"/>
      <c r="SJS144" s="7"/>
      <c r="SJT144" s="7"/>
      <c r="SJU144" s="7"/>
      <c r="SJV144" s="7"/>
      <c r="SJW144" s="7"/>
      <c r="SJX144" s="7"/>
      <c r="SJY144" s="7"/>
      <c r="SJZ144" s="7"/>
      <c r="SKA144" s="7"/>
      <c r="SKB144" s="7"/>
      <c r="SKC144" s="7"/>
      <c r="SKD144" s="7"/>
      <c r="SKE144" s="7"/>
      <c r="SKF144" s="7"/>
      <c r="SKG144" s="7"/>
      <c r="SKH144" s="7"/>
      <c r="SKI144" s="7"/>
      <c r="SKJ144" s="7"/>
      <c r="SKK144" s="7"/>
      <c r="SKL144" s="7"/>
      <c r="SKM144" s="7"/>
      <c r="SKN144" s="7"/>
      <c r="SKO144" s="7"/>
      <c r="SKP144" s="7"/>
      <c r="SKQ144" s="7"/>
      <c r="SKR144" s="7"/>
      <c r="SKS144" s="7"/>
      <c r="SKT144" s="7"/>
      <c r="SKU144" s="7"/>
      <c r="SKV144" s="7"/>
      <c r="SKW144" s="7"/>
      <c r="SKX144" s="7"/>
      <c r="SKY144" s="7"/>
      <c r="SKZ144" s="7"/>
      <c r="SLA144" s="7"/>
      <c r="SLB144" s="7"/>
      <c r="SLC144" s="7"/>
      <c r="SLD144" s="7"/>
      <c r="SLE144" s="7"/>
      <c r="SLF144" s="7"/>
      <c r="SLG144" s="7"/>
      <c r="SLH144" s="7"/>
      <c r="SLI144" s="7"/>
      <c r="SLJ144" s="7"/>
      <c r="SLK144" s="7"/>
      <c r="SLL144" s="7"/>
      <c r="SLM144" s="7"/>
      <c r="SLN144" s="7"/>
      <c r="SLO144" s="7"/>
      <c r="SLP144" s="7"/>
      <c r="SLQ144" s="7"/>
      <c r="SLR144" s="7"/>
      <c r="SLS144" s="7"/>
      <c r="SLT144" s="7"/>
      <c r="SLU144" s="7"/>
      <c r="SLV144" s="7"/>
      <c r="SLW144" s="7"/>
      <c r="SLX144" s="7"/>
      <c r="SLY144" s="7"/>
      <c r="SLZ144" s="7"/>
      <c r="SMA144" s="7"/>
      <c r="SMB144" s="7"/>
      <c r="SMC144" s="7"/>
      <c r="SMD144" s="7"/>
      <c r="SME144" s="7"/>
      <c r="SMF144" s="7"/>
      <c r="SMG144" s="7"/>
      <c r="SMH144" s="7"/>
      <c r="SMI144" s="7"/>
      <c r="SMJ144" s="7"/>
      <c r="SMK144" s="7"/>
      <c r="SML144" s="7"/>
      <c r="SMM144" s="7"/>
      <c r="SMN144" s="7"/>
      <c r="SMO144" s="7"/>
      <c r="SMP144" s="7"/>
      <c r="SMQ144" s="7"/>
      <c r="SMR144" s="7"/>
      <c r="SMS144" s="7"/>
      <c r="SMT144" s="7"/>
      <c r="SMU144" s="7"/>
      <c r="SMV144" s="7"/>
      <c r="SMW144" s="7"/>
      <c r="SMX144" s="7"/>
      <c r="SMY144" s="7"/>
      <c r="SMZ144" s="7"/>
      <c r="SNA144" s="7"/>
      <c r="SNB144" s="7"/>
      <c r="SNC144" s="7"/>
      <c r="SND144" s="7"/>
      <c r="SNE144" s="7"/>
      <c r="SNF144" s="7"/>
      <c r="SNG144" s="7"/>
      <c r="SNH144" s="7"/>
      <c r="SNI144" s="7"/>
      <c r="SNJ144" s="7"/>
      <c r="SNK144" s="7"/>
      <c r="SNL144" s="7"/>
      <c r="SNM144" s="7"/>
      <c r="SNN144" s="7"/>
      <c r="SNO144" s="7"/>
      <c r="SNP144" s="7"/>
      <c r="SNQ144" s="7"/>
      <c r="SNR144" s="7"/>
      <c r="SNS144" s="7"/>
      <c r="SNT144" s="7"/>
      <c r="SNU144" s="7"/>
      <c r="SNV144" s="7"/>
      <c r="SNW144" s="7"/>
      <c r="SNX144" s="7"/>
      <c r="SNY144" s="7"/>
      <c r="SNZ144" s="7"/>
      <c r="SOA144" s="7"/>
      <c r="SOB144" s="7"/>
      <c r="SOC144" s="7"/>
      <c r="SOD144" s="7"/>
      <c r="SOE144" s="7"/>
      <c r="SOF144" s="7"/>
      <c r="SOG144" s="7"/>
      <c r="SOH144" s="7"/>
      <c r="SOI144" s="7"/>
      <c r="SOJ144" s="7"/>
      <c r="SOK144" s="7"/>
      <c r="SOL144" s="7"/>
      <c r="SOM144" s="7"/>
      <c r="SON144" s="7"/>
      <c r="SOO144" s="7"/>
      <c r="SOP144" s="7"/>
      <c r="SOQ144" s="7"/>
      <c r="SOR144" s="7"/>
      <c r="SOS144" s="7"/>
      <c r="SOT144" s="7"/>
      <c r="SOU144" s="7"/>
      <c r="SOV144" s="7"/>
      <c r="SOW144" s="7"/>
      <c r="SOX144" s="7"/>
      <c r="SOY144" s="7"/>
      <c r="SOZ144" s="7"/>
      <c r="SPA144" s="7"/>
      <c r="SPB144" s="7"/>
      <c r="SPC144" s="7"/>
      <c r="SPD144" s="7"/>
      <c r="SPE144" s="7"/>
      <c r="SPF144" s="7"/>
      <c r="SPG144" s="7"/>
      <c r="SPH144" s="7"/>
      <c r="SPI144" s="7"/>
      <c r="SPJ144" s="7"/>
      <c r="SPK144" s="7"/>
      <c r="SPL144" s="7"/>
      <c r="SPM144" s="7"/>
      <c r="SPN144" s="7"/>
      <c r="SPO144" s="7"/>
      <c r="SPP144" s="7"/>
      <c r="SPQ144" s="7"/>
      <c r="SPR144" s="7"/>
      <c r="SPS144" s="7"/>
      <c r="SPT144" s="7"/>
      <c r="SPU144" s="7"/>
      <c r="SPV144" s="7"/>
      <c r="SPW144" s="7"/>
      <c r="SPX144" s="7"/>
      <c r="SPY144" s="7"/>
      <c r="SPZ144" s="7"/>
      <c r="SQA144" s="7"/>
      <c r="SQB144" s="7"/>
      <c r="SQC144" s="7"/>
      <c r="SQD144" s="7"/>
      <c r="SQE144" s="7"/>
      <c r="SQF144" s="7"/>
      <c r="SQG144" s="7"/>
      <c r="SQH144" s="7"/>
      <c r="SQI144" s="7"/>
      <c r="SQJ144" s="7"/>
      <c r="SQK144" s="7"/>
      <c r="SQL144" s="7"/>
      <c r="SQM144" s="7"/>
      <c r="SQN144" s="7"/>
      <c r="SQO144" s="7"/>
      <c r="SQP144" s="7"/>
      <c r="SQQ144" s="7"/>
      <c r="SQR144" s="7"/>
      <c r="SQS144" s="7"/>
      <c r="SQT144" s="7"/>
      <c r="SQU144" s="7"/>
      <c r="SQV144" s="7"/>
      <c r="SQW144" s="7"/>
      <c r="SQX144" s="7"/>
      <c r="SQY144" s="7"/>
      <c r="SQZ144" s="7"/>
      <c r="SRA144" s="7"/>
      <c r="SRB144" s="7"/>
      <c r="SRC144" s="7"/>
      <c r="SRD144" s="7"/>
      <c r="SRE144" s="7"/>
      <c r="SRF144" s="7"/>
      <c r="SRG144" s="7"/>
      <c r="SRH144" s="7"/>
      <c r="SRI144" s="7"/>
      <c r="SRJ144" s="7"/>
      <c r="SRK144" s="7"/>
      <c r="SRL144" s="7"/>
      <c r="SRM144" s="7"/>
      <c r="SRN144" s="7"/>
      <c r="SRO144" s="7"/>
      <c r="SRP144" s="7"/>
      <c r="SRQ144" s="7"/>
      <c r="SRR144" s="7"/>
      <c r="SRS144" s="7"/>
      <c r="SRT144" s="7"/>
      <c r="SRU144" s="7"/>
      <c r="SRV144" s="7"/>
      <c r="SRW144" s="7"/>
      <c r="SRX144" s="7"/>
      <c r="SRY144" s="7"/>
      <c r="SRZ144" s="7"/>
      <c r="SSA144" s="7"/>
      <c r="SSB144" s="7"/>
      <c r="SSC144" s="7"/>
      <c r="SSD144" s="7"/>
      <c r="SSE144" s="7"/>
      <c r="SSF144" s="7"/>
      <c r="SSG144" s="7"/>
      <c r="SSH144" s="7"/>
      <c r="SSI144" s="7"/>
      <c r="SSJ144" s="7"/>
      <c r="SSK144" s="7"/>
      <c r="SSL144" s="7"/>
      <c r="SSM144" s="7"/>
      <c r="SSN144" s="7"/>
      <c r="SSO144" s="7"/>
      <c r="SSP144" s="7"/>
      <c r="SSQ144" s="7"/>
      <c r="SSR144" s="7"/>
      <c r="SSS144" s="7"/>
      <c r="SST144" s="7"/>
      <c r="SSU144" s="7"/>
      <c r="SSV144" s="7"/>
      <c r="SSW144" s="7"/>
      <c r="SSX144" s="7"/>
      <c r="SSY144" s="7"/>
      <c r="SSZ144" s="7"/>
      <c r="STA144" s="7"/>
      <c r="STB144" s="7"/>
      <c r="STC144" s="7"/>
      <c r="STD144" s="7"/>
      <c r="STE144" s="7"/>
      <c r="STF144" s="7"/>
      <c r="STG144" s="7"/>
      <c r="STH144" s="7"/>
      <c r="STI144" s="7"/>
      <c r="STJ144" s="7"/>
      <c r="STK144" s="7"/>
      <c r="STL144" s="7"/>
      <c r="STM144" s="7"/>
      <c r="STN144" s="7"/>
      <c r="STO144" s="7"/>
      <c r="STP144" s="7"/>
      <c r="STQ144" s="7"/>
      <c r="STR144" s="7"/>
      <c r="STS144" s="7"/>
      <c r="STT144" s="7"/>
      <c r="STU144" s="7"/>
      <c r="STV144" s="7"/>
      <c r="STW144" s="7"/>
      <c r="STX144" s="7"/>
      <c r="STY144" s="7"/>
      <c r="STZ144" s="7"/>
      <c r="SUA144" s="7"/>
      <c r="SUB144" s="7"/>
      <c r="SUC144" s="7"/>
      <c r="SUD144" s="7"/>
      <c r="SUE144" s="7"/>
      <c r="SUF144" s="7"/>
      <c r="SUG144" s="7"/>
      <c r="SUH144" s="7"/>
      <c r="SUI144" s="7"/>
      <c r="SUJ144" s="7"/>
      <c r="SUK144" s="7"/>
      <c r="SUL144" s="7"/>
      <c r="SUM144" s="7"/>
      <c r="SUN144" s="7"/>
      <c r="SUO144" s="7"/>
      <c r="SUP144" s="7"/>
      <c r="SUQ144" s="7"/>
      <c r="SUR144" s="7"/>
      <c r="SUS144" s="7"/>
      <c r="SUT144" s="7"/>
      <c r="SUU144" s="7"/>
      <c r="SUV144" s="7"/>
      <c r="SUW144" s="7"/>
      <c r="SUX144" s="7"/>
      <c r="SUY144" s="7"/>
      <c r="SUZ144" s="7"/>
      <c r="SVA144" s="7"/>
      <c r="SVB144" s="7"/>
      <c r="SVC144" s="7"/>
      <c r="SVD144" s="7"/>
      <c r="SVE144" s="7"/>
      <c r="SVF144" s="7"/>
      <c r="SVG144" s="7"/>
      <c r="SVH144" s="7"/>
      <c r="SVI144" s="7"/>
      <c r="SVJ144" s="7"/>
      <c r="SVK144" s="7"/>
      <c r="SVL144" s="7"/>
      <c r="SVM144" s="7"/>
      <c r="SVN144" s="7"/>
      <c r="SVO144" s="7"/>
      <c r="SVP144" s="7"/>
      <c r="SVQ144" s="7"/>
      <c r="SVR144" s="7"/>
      <c r="SVS144" s="7"/>
      <c r="SVT144" s="7"/>
      <c r="SVU144" s="7"/>
      <c r="SVV144" s="7"/>
      <c r="SVW144" s="7"/>
      <c r="SVX144" s="7"/>
      <c r="SVY144" s="7"/>
      <c r="SVZ144" s="7"/>
      <c r="SWA144" s="7"/>
      <c r="SWB144" s="7"/>
      <c r="SWC144" s="7"/>
      <c r="SWD144" s="7"/>
      <c r="SWE144" s="7"/>
      <c r="SWF144" s="7"/>
      <c r="SWG144" s="7"/>
      <c r="SWH144" s="7"/>
      <c r="SWI144" s="7"/>
      <c r="SWJ144" s="7"/>
      <c r="SWK144" s="7"/>
      <c r="SWL144" s="7"/>
      <c r="SWM144" s="7"/>
      <c r="SWN144" s="7"/>
      <c r="SWO144" s="7"/>
      <c r="SWP144" s="7"/>
      <c r="SWQ144" s="7"/>
      <c r="SWR144" s="7"/>
      <c r="SWS144" s="7"/>
      <c r="SWT144" s="7"/>
      <c r="SWU144" s="7"/>
      <c r="SWV144" s="7"/>
      <c r="SWW144" s="7"/>
      <c r="SWX144" s="7"/>
      <c r="SWY144" s="7"/>
      <c r="SWZ144" s="7"/>
      <c r="SXA144" s="7"/>
      <c r="SXB144" s="7"/>
      <c r="SXC144" s="7"/>
      <c r="SXD144" s="7"/>
      <c r="SXE144" s="7"/>
      <c r="SXF144" s="7"/>
      <c r="SXG144" s="7"/>
      <c r="SXH144" s="7"/>
      <c r="SXI144" s="7"/>
      <c r="SXJ144" s="7"/>
      <c r="SXK144" s="7"/>
      <c r="SXL144" s="7"/>
      <c r="SXM144" s="7"/>
      <c r="SXN144" s="7"/>
      <c r="SXO144" s="7"/>
      <c r="SXP144" s="7"/>
      <c r="SXQ144" s="7"/>
      <c r="SXR144" s="7"/>
      <c r="SXS144" s="7"/>
      <c r="SXT144" s="7"/>
      <c r="SXU144" s="7"/>
      <c r="SXV144" s="7"/>
      <c r="SXW144" s="7"/>
      <c r="SXX144" s="7"/>
      <c r="SXY144" s="7"/>
      <c r="SXZ144" s="7"/>
      <c r="SYA144" s="7"/>
      <c r="SYB144" s="7"/>
      <c r="SYC144" s="7"/>
      <c r="SYD144" s="7"/>
      <c r="SYE144" s="7"/>
      <c r="SYF144" s="7"/>
      <c r="SYG144" s="7"/>
      <c r="SYH144" s="7"/>
      <c r="SYI144" s="7"/>
      <c r="SYJ144" s="7"/>
      <c r="SYK144" s="7"/>
      <c r="SYL144" s="7"/>
      <c r="SYM144" s="7"/>
      <c r="SYN144" s="7"/>
      <c r="SYO144" s="7"/>
      <c r="SYP144" s="7"/>
      <c r="SYQ144" s="7"/>
      <c r="SYR144" s="7"/>
      <c r="SYS144" s="7"/>
      <c r="SYT144" s="7"/>
      <c r="SYU144" s="7"/>
      <c r="SYV144" s="7"/>
      <c r="SYW144" s="7"/>
      <c r="SYX144" s="7"/>
      <c r="SYY144" s="7"/>
      <c r="SYZ144" s="7"/>
      <c r="SZA144" s="7"/>
      <c r="SZB144" s="7"/>
      <c r="SZC144" s="7"/>
      <c r="SZD144" s="7"/>
      <c r="SZE144" s="7"/>
      <c r="SZF144" s="7"/>
      <c r="SZG144" s="7"/>
      <c r="SZH144" s="7"/>
      <c r="SZI144" s="7"/>
      <c r="SZJ144" s="7"/>
      <c r="SZK144" s="7"/>
      <c r="SZL144" s="7"/>
      <c r="SZM144" s="7"/>
      <c r="SZN144" s="7"/>
      <c r="SZO144" s="7"/>
      <c r="SZP144" s="7"/>
      <c r="SZQ144" s="7"/>
      <c r="SZR144" s="7"/>
      <c r="SZS144" s="7"/>
      <c r="SZT144" s="7"/>
      <c r="SZU144" s="7"/>
      <c r="SZV144" s="7"/>
      <c r="SZW144" s="7"/>
      <c r="SZX144" s="7"/>
      <c r="SZY144" s="7"/>
      <c r="SZZ144" s="7"/>
      <c r="TAA144" s="7"/>
      <c r="TAB144" s="7"/>
      <c r="TAC144" s="7"/>
      <c r="TAD144" s="7"/>
      <c r="TAE144" s="7"/>
      <c r="TAF144" s="7"/>
      <c r="TAG144" s="7"/>
      <c r="TAH144" s="7"/>
      <c r="TAI144" s="7"/>
      <c r="TAJ144" s="7"/>
      <c r="TAK144" s="7"/>
      <c r="TAL144" s="7"/>
      <c r="TAM144" s="7"/>
      <c r="TAN144" s="7"/>
      <c r="TAO144" s="7"/>
      <c r="TAP144" s="7"/>
      <c r="TAQ144" s="7"/>
      <c r="TAR144" s="7"/>
      <c r="TAS144" s="7"/>
      <c r="TAT144" s="7"/>
      <c r="TAU144" s="7"/>
      <c r="TAV144" s="7"/>
      <c r="TAW144" s="7"/>
      <c r="TAX144" s="7"/>
      <c r="TAY144" s="7"/>
      <c r="TAZ144" s="7"/>
      <c r="TBA144" s="7"/>
      <c r="TBB144" s="7"/>
      <c r="TBC144" s="7"/>
      <c r="TBD144" s="7"/>
      <c r="TBE144" s="7"/>
      <c r="TBF144" s="7"/>
      <c r="TBG144" s="7"/>
      <c r="TBH144" s="7"/>
      <c r="TBI144" s="7"/>
      <c r="TBJ144" s="7"/>
      <c r="TBK144" s="7"/>
      <c r="TBL144" s="7"/>
      <c r="TBM144" s="7"/>
      <c r="TBN144" s="7"/>
      <c r="TBO144" s="7"/>
      <c r="TBP144" s="7"/>
      <c r="TBQ144" s="7"/>
      <c r="TBR144" s="7"/>
      <c r="TBS144" s="7"/>
      <c r="TBT144" s="7"/>
      <c r="TBU144" s="7"/>
      <c r="TBV144" s="7"/>
      <c r="TBW144" s="7"/>
      <c r="TBX144" s="7"/>
      <c r="TBY144" s="7"/>
      <c r="TBZ144" s="7"/>
      <c r="TCA144" s="7"/>
      <c r="TCB144" s="7"/>
      <c r="TCC144" s="7"/>
      <c r="TCD144" s="7"/>
      <c r="TCE144" s="7"/>
      <c r="TCF144" s="7"/>
      <c r="TCG144" s="7"/>
      <c r="TCH144" s="7"/>
      <c r="TCI144" s="7"/>
      <c r="TCJ144" s="7"/>
      <c r="TCK144" s="7"/>
      <c r="TCL144" s="7"/>
      <c r="TCM144" s="7"/>
      <c r="TCN144" s="7"/>
      <c r="TCO144" s="7"/>
      <c r="TCP144" s="7"/>
      <c r="TCQ144" s="7"/>
      <c r="TCR144" s="7"/>
      <c r="TCS144" s="7"/>
      <c r="TCT144" s="7"/>
      <c r="TCU144" s="7"/>
      <c r="TCV144" s="7"/>
      <c r="TCW144" s="7"/>
      <c r="TCX144" s="7"/>
      <c r="TCY144" s="7"/>
      <c r="TCZ144" s="7"/>
      <c r="TDA144" s="7"/>
      <c r="TDB144" s="7"/>
      <c r="TDC144" s="7"/>
      <c r="TDD144" s="7"/>
      <c r="TDE144" s="7"/>
      <c r="TDF144" s="7"/>
      <c r="TDG144" s="7"/>
      <c r="TDH144" s="7"/>
      <c r="TDI144" s="7"/>
      <c r="TDJ144" s="7"/>
      <c r="TDK144" s="7"/>
      <c r="TDL144" s="7"/>
      <c r="TDM144" s="7"/>
      <c r="TDN144" s="7"/>
      <c r="TDO144" s="7"/>
      <c r="TDP144" s="7"/>
      <c r="TDQ144" s="7"/>
      <c r="TDR144" s="7"/>
      <c r="TDS144" s="7"/>
      <c r="TDT144" s="7"/>
      <c r="TDU144" s="7"/>
      <c r="TDV144" s="7"/>
      <c r="TDW144" s="7"/>
      <c r="TDX144" s="7"/>
      <c r="TDY144" s="7"/>
      <c r="TDZ144" s="7"/>
      <c r="TEA144" s="7"/>
      <c r="TEB144" s="7"/>
      <c r="TEC144" s="7"/>
      <c r="TED144" s="7"/>
      <c r="TEE144" s="7"/>
      <c r="TEF144" s="7"/>
      <c r="TEG144" s="7"/>
      <c r="TEH144" s="7"/>
      <c r="TEI144" s="7"/>
      <c r="TEJ144" s="7"/>
      <c r="TEK144" s="7"/>
      <c r="TEL144" s="7"/>
      <c r="TEM144" s="7"/>
      <c r="TEN144" s="7"/>
      <c r="TEO144" s="7"/>
      <c r="TEP144" s="7"/>
      <c r="TEQ144" s="7"/>
      <c r="TER144" s="7"/>
      <c r="TES144" s="7"/>
      <c r="TET144" s="7"/>
      <c r="TEU144" s="7"/>
      <c r="TEV144" s="7"/>
      <c r="TEW144" s="7"/>
      <c r="TEX144" s="7"/>
      <c r="TEY144" s="7"/>
      <c r="TEZ144" s="7"/>
      <c r="TFA144" s="7"/>
      <c r="TFB144" s="7"/>
      <c r="TFC144" s="7"/>
      <c r="TFD144" s="7"/>
      <c r="TFE144" s="7"/>
      <c r="TFF144" s="7"/>
      <c r="TFG144" s="7"/>
      <c r="TFH144" s="7"/>
      <c r="TFI144" s="7"/>
      <c r="TFJ144" s="7"/>
      <c r="TFK144" s="7"/>
      <c r="TFL144" s="7"/>
      <c r="TFM144" s="7"/>
      <c r="TFN144" s="7"/>
      <c r="TFO144" s="7"/>
      <c r="TFP144" s="7"/>
      <c r="TFQ144" s="7"/>
      <c r="TFR144" s="7"/>
      <c r="TFS144" s="7"/>
      <c r="TFT144" s="7"/>
      <c r="TFU144" s="7"/>
      <c r="TFV144" s="7"/>
      <c r="TFW144" s="7"/>
      <c r="TFX144" s="7"/>
      <c r="TFY144" s="7"/>
      <c r="TFZ144" s="7"/>
      <c r="TGA144" s="7"/>
      <c r="TGB144" s="7"/>
      <c r="TGC144" s="7"/>
      <c r="TGD144" s="7"/>
      <c r="TGE144" s="7"/>
      <c r="TGF144" s="7"/>
      <c r="TGG144" s="7"/>
      <c r="TGH144" s="7"/>
      <c r="TGI144" s="7"/>
      <c r="TGJ144" s="7"/>
      <c r="TGK144" s="7"/>
      <c r="TGL144" s="7"/>
      <c r="TGM144" s="7"/>
      <c r="TGN144" s="7"/>
      <c r="TGO144" s="7"/>
      <c r="TGP144" s="7"/>
      <c r="TGQ144" s="7"/>
      <c r="TGR144" s="7"/>
      <c r="TGS144" s="7"/>
      <c r="TGT144" s="7"/>
      <c r="TGU144" s="7"/>
      <c r="TGV144" s="7"/>
      <c r="TGW144" s="7"/>
      <c r="TGX144" s="7"/>
      <c r="TGY144" s="7"/>
      <c r="TGZ144" s="7"/>
      <c r="THA144" s="7"/>
      <c r="THB144" s="7"/>
      <c r="THC144" s="7"/>
      <c r="THD144" s="7"/>
      <c r="THE144" s="7"/>
      <c r="THF144" s="7"/>
      <c r="THG144" s="7"/>
      <c r="THH144" s="7"/>
      <c r="THI144" s="7"/>
      <c r="THJ144" s="7"/>
      <c r="THK144" s="7"/>
      <c r="THL144" s="7"/>
      <c r="THM144" s="7"/>
      <c r="THN144" s="7"/>
      <c r="THO144" s="7"/>
      <c r="THP144" s="7"/>
      <c r="THQ144" s="7"/>
      <c r="THR144" s="7"/>
      <c r="THS144" s="7"/>
      <c r="THT144" s="7"/>
      <c r="THU144" s="7"/>
      <c r="THV144" s="7"/>
      <c r="THW144" s="7"/>
      <c r="THX144" s="7"/>
      <c r="THY144" s="7"/>
      <c r="THZ144" s="7"/>
      <c r="TIA144" s="7"/>
      <c r="TIB144" s="7"/>
      <c r="TIC144" s="7"/>
      <c r="TID144" s="7"/>
      <c r="TIE144" s="7"/>
      <c r="TIF144" s="7"/>
      <c r="TIG144" s="7"/>
      <c r="TIH144" s="7"/>
      <c r="TII144" s="7"/>
      <c r="TIJ144" s="7"/>
      <c r="TIK144" s="7"/>
      <c r="TIL144" s="7"/>
      <c r="TIM144" s="7"/>
      <c r="TIN144" s="7"/>
      <c r="TIO144" s="7"/>
      <c r="TIP144" s="7"/>
      <c r="TIQ144" s="7"/>
      <c r="TIR144" s="7"/>
      <c r="TIS144" s="7"/>
      <c r="TIT144" s="7"/>
      <c r="TIU144" s="7"/>
      <c r="TIV144" s="7"/>
      <c r="TIW144" s="7"/>
      <c r="TIX144" s="7"/>
      <c r="TIY144" s="7"/>
      <c r="TIZ144" s="7"/>
      <c r="TJA144" s="7"/>
      <c r="TJB144" s="7"/>
      <c r="TJC144" s="7"/>
      <c r="TJD144" s="7"/>
      <c r="TJE144" s="7"/>
      <c r="TJF144" s="7"/>
      <c r="TJG144" s="7"/>
      <c r="TJH144" s="7"/>
      <c r="TJI144" s="7"/>
      <c r="TJJ144" s="7"/>
      <c r="TJK144" s="7"/>
      <c r="TJL144" s="7"/>
      <c r="TJM144" s="7"/>
      <c r="TJN144" s="7"/>
      <c r="TJO144" s="7"/>
      <c r="TJP144" s="7"/>
      <c r="TJQ144" s="7"/>
      <c r="TJR144" s="7"/>
      <c r="TJS144" s="7"/>
      <c r="TJT144" s="7"/>
      <c r="TJU144" s="7"/>
      <c r="TJV144" s="7"/>
      <c r="TJW144" s="7"/>
      <c r="TJX144" s="7"/>
      <c r="TJY144" s="7"/>
      <c r="TJZ144" s="7"/>
      <c r="TKA144" s="7"/>
      <c r="TKB144" s="7"/>
      <c r="TKC144" s="7"/>
      <c r="TKD144" s="7"/>
      <c r="TKE144" s="7"/>
      <c r="TKF144" s="7"/>
      <c r="TKG144" s="7"/>
      <c r="TKH144" s="7"/>
      <c r="TKI144" s="7"/>
      <c r="TKJ144" s="7"/>
      <c r="TKK144" s="7"/>
      <c r="TKL144" s="7"/>
      <c r="TKM144" s="7"/>
      <c r="TKN144" s="7"/>
      <c r="TKO144" s="7"/>
      <c r="TKP144" s="7"/>
      <c r="TKQ144" s="7"/>
      <c r="TKR144" s="7"/>
      <c r="TKS144" s="7"/>
      <c r="TKT144" s="7"/>
      <c r="TKU144" s="7"/>
      <c r="TKV144" s="7"/>
      <c r="TKW144" s="7"/>
      <c r="TKX144" s="7"/>
      <c r="TKY144" s="7"/>
      <c r="TKZ144" s="7"/>
      <c r="TLA144" s="7"/>
      <c r="TLB144" s="7"/>
      <c r="TLC144" s="7"/>
      <c r="TLD144" s="7"/>
      <c r="TLE144" s="7"/>
      <c r="TLF144" s="7"/>
      <c r="TLG144" s="7"/>
      <c r="TLH144" s="7"/>
      <c r="TLI144" s="7"/>
      <c r="TLJ144" s="7"/>
      <c r="TLK144" s="7"/>
      <c r="TLL144" s="7"/>
      <c r="TLM144" s="7"/>
      <c r="TLN144" s="7"/>
      <c r="TLO144" s="7"/>
      <c r="TLP144" s="7"/>
      <c r="TLQ144" s="7"/>
      <c r="TLR144" s="7"/>
      <c r="TLS144" s="7"/>
      <c r="TLT144" s="7"/>
      <c r="TLU144" s="7"/>
      <c r="TLV144" s="7"/>
      <c r="TLW144" s="7"/>
      <c r="TLX144" s="7"/>
      <c r="TLY144" s="7"/>
      <c r="TLZ144" s="7"/>
      <c r="TMA144" s="7"/>
      <c r="TMB144" s="7"/>
      <c r="TMC144" s="7"/>
      <c r="TMD144" s="7"/>
      <c r="TME144" s="7"/>
      <c r="TMF144" s="7"/>
      <c r="TMG144" s="7"/>
      <c r="TMH144" s="7"/>
      <c r="TMI144" s="7"/>
      <c r="TMJ144" s="7"/>
      <c r="TMK144" s="7"/>
      <c r="TML144" s="7"/>
      <c r="TMM144" s="7"/>
      <c r="TMN144" s="7"/>
      <c r="TMO144" s="7"/>
      <c r="TMP144" s="7"/>
      <c r="TMQ144" s="7"/>
      <c r="TMR144" s="7"/>
      <c r="TMS144" s="7"/>
      <c r="TMT144" s="7"/>
      <c r="TMU144" s="7"/>
      <c r="TMV144" s="7"/>
      <c r="TMW144" s="7"/>
      <c r="TMX144" s="7"/>
      <c r="TMY144" s="7"/>
      <c r="TMZ144" s="7"/>
      <c r="TNA144" s="7"/>
      <c r="TNB144" s="7"/>
      <c r="TNC144" s="7"/>
      <c r="TND144" s="7"/>
      <c r="TNE144" s="7"/>
      <c r="TNF144" s="7"/>
      <c r="TNG144" s="7"/>
      <c r="TNH144" s="7"/>
      <c r="TNI144" s="7"/>
      <c r="TNJ144" s="7"/>
      <c r="TNK144" s="7"/>
      <c r="TNL144" s="7"/>
      <c r="TNM144" s="7"/>
      <c r="TNN144" s="7"/>
      <c r="TNO144" s="7"/>
      <c r="TNP144" s="7"/>
      <c r="TNQ144" s="7"/>
      <c r="TNR144" s="7"/>
      <c r="TNS144" s="7"/>
      <c r="TNT144" s="7"/>
      <c r="TNU144" s="7"/>
      <c r="TNV144" s="7"/>
      <c r="TNW144" s="7"/>
      <c r="TNX144" s="7"/>
      <c r="TNY144" s="7"/>
      <c r="TNZ144" s="7"/>
      <c r="TOA144" s="7"/>
      <c r="TOB144" s="7"/>
      <c r="TOC144" s="7"/>
      <c r="TOD144" s="7"/>
      <c r="TOE144" s="7"/>
      <c r="TOF144" s="7"/>
      <c r="TOG144" s="7"/>
      <c r="TOH144" s="7"/>
      <c r="TOI144" s="7"/>
      <c r="TOJ144" s="7"/>
      <c r="TOK144" s="7"/>
      <c r="TOL144" s="7"/>
      <c r="TOM144" s="7"/>
      <c r="TON144" s="7"/>
      <c r="TOO144" s="7"/>
      <c r="TOP144" s="7"/>
      <c r="TOQ144" s="7"/>
      <c r="TOR144" s="7"/>
      <c r="TOS144" s="7"/>
      <c r="TOT144" s="7"/>
      <c r="TOU144" s="7"/>
      <c r="TOV144" s="7"/>
      <c r="TOW144" s="7"/>
      <c r="TOX144" s="7"/>
      <c r="TOY144" s="7"/>
      <c r="TOZ144" s="7"/>
      <c r="TPA144" s="7"/>
      <c r="TPB144" s="7"/>
      <c r="TPC144" s="7"/>
      <c r="TPD144" s="7"/>
      <c r="TPE144" s="7"/>
      <c r="TPF144" s="7"/>
      <c r="TPG144" s="7"/>
      <c r="TPH144" s="7"/>
      <c r="TPI144" s="7"/>
      <c r="TPJ144" s="7"/>
      <c r="TPK144" s="7"/>
      <c r="TPL144" s="7"/>
      <c r="TPM144" s="7"/>
      <c r="TPN144" s="7"/>
      <c r="TPO144" s="7"/>
      <c r="TPP144" s="7"/>
      <c r="TPQ144" s="7"/>
      <c r="TPR144" s="7"/>
      <c r="TPS144" s="7"/>
      <c r="TPT144" s="7"/>
      <c r="TPU144" s="7"/>
      <c r="TPV144" s="7"/>
      <c r="TPW144" s="7"/>
      <c r="TPX144" s="7"/>
      <c r="TPY144" s="7"/>
      <c r="TPZ144" s="7"/>
      <c r="TQA144" s="7"/>
      <c r="TQB144" s="7"/>
      <c r="TQC144" s="7"/>
      <c r="TQD144" s="7"/>
      <c r="TQE144" s="7"/>
      <c r="TQF144" s="7"/>
      <c r="TQG144" s="7"/>
      <c r="TQH144" s="7"/>
      <c r="TQI144" s="7"/>
      <c r="TQJ144" s="7"/>
      <c r="TQK144" s="7"/>
      <c r="TQL144" s="7"/>
      <c r="TQM144" s="7"/>
      <c r="TQN144" s="7"/>
      <c r="TQO144" s="7"/>
      <c r="TQP144" s="7"/>
      <c r="TQQ144" s="7"/>
      <c r="TQR144" s="7"/>
      <c r="TQS144" s="7"/>
      <c r="TQT144" s="7"/>
      <c r="TQU144" s="7"/>
      <c r="TQV144" s="7"/>
      <c r="TQW144" s="7"/>
      <c r="TQX144" s="7"/>
      <c r="TQY144" s="7"/>
      <c r="TQZ144" s="7"/>
      <c r="TRA144" s="7"/>
      <c r="TRB144" s="7"/>
      <c r="TRC144" s="7"/>
      <c r="TRD144" s="7"/>
      <c r="TRE144" s="7"/>
      <c r="TRF144" s="7"/>
      <c r="TRG144" s="7"/>
      <c r="TRH144" s="7"/>
      <c r="TRI144" s="7"/>
      <c r="TRJ144" s="7"/>
      <c r="TRK144" s="7"/>
      <c r="TRL144" s="7"/>
      <c r="TRM144" s="7"/>
      <c r="TRN144" s="7"/>
      <c r="TRO144" s="7"/>
      <c r="TRP144" s="7"/>
      <c r="TRQ144" s="7"/>
      <c r="TRR144" s="7"/>
      <c r="TRS144" s="7"/>
      <c r="TRT144" s="7"/>
      <c r="TRU144" s="7"/>
      <c r="TRV144" s="7"/>
      <c r="TRW144" s="7"/>
      <c r="TRX144" s="7"/>
      <c r="TRY144" s="7"/>
      <c r="TRZ144" s="7"/>
      <c r="TSA144" s="7"/>
      <c r="TSB144" s="7"/>
      <c r="TSC144" s="7"/>
      <c r="TSD144" s="7"/>
      <c r="TSE144" s="7"/>
      <c r="TSF144" s="7"/>
      <c r="TSG144" s="7"/>
      <c r="TSH144" s="7"/>
      <c r="TSI144" s="7"/>
      <c r="TSJ144" s="7"/>
      <c r="TSK144" s="7"/>
      <c r="TSL144" s="7"/>
      <c r="TSM144" s="7"/>
      <c r="TSN144" s="7"/>
      <c r="TSO144" s="7"/>
      <c r="TSP144" s="7"/>
      <c r="TSQ144" s="7"/>
      <c r="TSR144" s="7"/>
      <c r="TSS144" s="7"/>
      <c r="TST144" s="7"/>
      <c r="TSU144" s="7"/>
      <c r="TSV144" s="7"/>
      <c r="TSW144" s="7"/>
      <c r="TSX144" s="7"/>
      <c r="TSY144" s="7"/>
      <c r="TSZ144" s="7"/>
      <c r="TTA144" s="7"/>
      <c r="TTB144" s="7"/>
      <c r="TTC144" s="7"/>
      <c r="TTD144" s="7"/>
      <c r="TTE144" s="7"/>
      <c r="TTF144" s="7"/>
      <c r="TTG144" s="7"/>
      <c r="TTH144" s="7"/>
      <c r="TTI144" s="7"/>
      <c r="TTJ144" s="7"/>
      <c r="TTK144" s="7"/>
      <c r="TTL144" s="7"/>
      <c r="TTM144" s="7"/>
      <c r="TTN144" s="7"/>
      <c r="TTO144" s="7"/>
      <c r="TTP144" s="7"/>
      <c r="TTQ144" s="7"/>
      <c r="TTR144" s="7"/>
      <c r="TTS144" s="7"/>
      <c r="TTT144" s="7"/>
      <c r="TTU144" s="7"/>
      <c r="TTV144" s="7"/>
      <c r="TTW144" s="7"/>
      <c r="TTX144" s="7"/>
      <c r="TTY144" s="7"/>
      <c r="TTZ144" s="7"/>
      <c r="TUA144" s="7"/>
      <c r="TUB144" s="7"/>
      <c r="TUC144" s="7"/>
      <c r="TUD144" s="7"/>
      <c r="TUE144" s="7"/>
      <c r="TUF144" s="7"/>
      <c r="TUG144" s="7"/>
      <c r="TUH144" s="7"/>
      <c r="TUI144" s="7"/>
      <c r="TUJ144" s="7"/>
      <c r="TUK144" s="7"/>
      <c r="TUL144" s="7"/>
      <c r="TUM144" s="7"/>
      <c r="TUN144" s="7"/>
      <c r="TUO144" s="7"/>
      <c r="TUP144" s="7"/>
      <c r="TUQ144" s="7"/>
      <c r="TUR144" s="7"/>
      <c r="TUS144" s="7"/>
      <c r="TUT144" s="7"/>
      <c r="TUU144" s="7"/>
      <c r="TUV144" s="7"/>
      <c r="TUW144" s="7"/>
      <c r="TUX144" s="7"/>
      <c r="TUY144" s="7"/>
      <c r="TUZ144" s="7"/>
      <c r="TVA144" s="7"/>
      <c r="TVB144" s="7"/>
      <c r="TVC144" s="7"/>
      <c r="TVD144" s="7"/>
      <c r="TVE144" s="7"/>
      <c r="TVF144" s="7"/>
      <c r="TVG144" s="7"/>
      <c r="TVH144" s="7"/>
      <c r="TVI144" s="7"/>
      <c r="TVJ144" s="7"/>
      <c r="TVK144" s="7"/>
      <c r="TVL144" s="7"/>
      <c r="TVM144" s="7"/>
      <c r="TVN144" s="7"/>
      <c r="TVO144" s="7"/>
      <c r="TVP144" s="7"/>
      <c r="TVQ144" s="7"/>
      <c r="TVR144" s="7"/>
      <c r="TVS144" s="7"/>
      <c r="TVT144" s="7"/>
      <c r="TVU144" s="7"/>
      <c r="TVV144" s="7"/>
      <c r="TVW144" s="7"/>
      <c r="TVX144" s="7"/>
      <c r="TVY144" s="7"/>
      <c r="TVZ144" s="7"/>
      <c r="TWA144" s="7"/>
      <c r="TWB144" s="7"/>
      <c r="TWC144" s="7"/>
      <c r="TWD144" s="7"/>
      <c r="TWE144" s="7"/>
      <c r="TWF144" s="7"/>
      <c r="TWG144" s="7"/>
      <c r="TWH144" s="7"/>
      <c r="TWI144" s="7"/>
      <c r="TWJ144" s="7"/>
      <c r="TWK144" s="7"/>
      <c r="TWL144" s="7"/>
      <c r="TWM144" s="7"/>
      <c r="TWN144" s="7"/>
      <c r="TWO144" s="7"/>
      <c r="TWP144" s="7"/>
      <c r="TWQ144" s="7"/>
      <c r="TWR144" s="7"/>
      <c r="TWS144" s="7"/>
      <c r="TWT144" s="7"/>
      <c r="TWU144" s="7"/>
      <c r="TWV144" s="7"/>
      <c r="TWW144" s="7"/>
      <c r="TWX144" s="7"/>
      <c r="TWY144" s="7"/>
      <c r="TWZ144" s="7"/>
      <c r="TXA144" s="7"/>
      <c r="TXB144" s="7"/>
      <c r="TXC144" s="7"/>
      <c r="TXD144" s="7"/>
      <c r="TXE144" s="7"/>
      <c r="TXF144" s="7"/>
      <c r="TXG144" s="7"/>
      <c r="TXH144" s="7"/>
      <c r="TXI144" s="7"/>
      <c r="TXJ144" s="7"/>
      <c r="TXK144" s="7"/>
      <c r="TXL144" s="7"/>
      <c r="TXM144" s="7"/>
      <c r="TXN144" s="7"/>
      <c r="TXO144" s="7"/>
      <c r="TXP144" s="7"/>
      <c r="TXQ144" s="7"/>
      <c r="TXR144" s="7"/>
      <c r="TXS144" s="7"/>
      <c r="TXT144" s="7"/>
      <c r="TXU144" s="7"/>
      <c r="TXV144" s="7"/>
      <c r="TXW144" s="7"/>
      <c r="TXX144" s="7"/>
      <c r="TXY144" s="7"/>
      <c r="TXZ144" s="7"/>
      <c r="TYA144" s="7"/>
      <c r="TYB144" s="7"/>
      <c r="TYC144" s="7"/>
      <c r="TYD144" s="7"/>
      <c r="TYE144" s="7"/>
      <c r="TYF144" s="7"/>
      <c r="TYG144" s="7"/>
      <c r="TYH144" s="7"/>
      <c r="TYI144" s="7"/>
      <c r="TYJ144" s="7"/>
      <c r="TYK144" s="7"/>
      <c r="TYL144" s="7"/>
      <c r="TYM144" s="7"/>
      <c r="TYN144" s="7"/>
      <c r="TYO144" s="7"/>
      <c r="TYP144" s="7"/>
      <c r="TYQ144" s="7"/>
      <c r="TYR144" s="7"/>
      <c r="TYS144" s="7"/>
      <c r="TYT144" s="7"/>
      <c r="TYU144" s="7"/>
      <c r="TYV144" s="7"/>
      <c r="TYW144" s="7"/>
      <c r="TYX144" s="7"/>
      <c r="TYY144" s="7"/>
      <c r="TYZ144" s="7"/>
      <c r="TZA144" s="7"/>
      <c r="TZB144" s="7"/>
      <c r="TZC144" s="7"/>
      <c r="TZD144" s="7"/>
      <c r="TZE144" s="7"/>
      <c r="TZF144" s="7"/>
      <c r="TZG144" s="7"/>
      <c r="TZH144" s="7"/>
      <c r="TZI144" s="7"/>
      <c r="TZJ144" s="7"/>
      <c r="TZK144" s="7"/>
      <c r="TZL144" s="7"/>
      <c r="TZM144" s="7"/>
      <c r="TZN144" s="7"/>
      <c r="TZO144" s="7"/>
      <c r="TZP144" s="7"/>
      <c r="TZQ144" s="7"/>
      <c r="TZR144" s="7"/>
      <c r="TZS144" s="7"/>
      <c r="TZT144" s="7"/>
      <c r="TZU144" s="7"/>
      <c r="TZV144" s="7"/>
      <c r="TZW144" s="7"/>
      <c r="TZX144" s="7"/>
      <c r="TZY144" s="7"/>
      <c r="TZZ144" s="7"/>
      <c r="UAA144" s="7"/>
      <c r="UAB144" s="7"/>
      <c r="UAC144" s="7"/>
      <c r="UAD144" s="7"/>
      <c r="UAE144" s="7"/>
      <c r="UAF144" s="7"/>
      <c r="UAG144" s="7"/>
      <c r="UAH144" s="7"/>
      <c r="UAI144" s="7"/>
      <c r="UAJ144" s="7"/>
      <c r="UAK144" s="7"/>
      <c r="UAL144" s="7"/>
      <c r="UAM144" s="7"/>
      <c r="UAN144" s="7"/>
      <c r="UAO144" s="7"/>
      <c r="UAP144" s="7"/>
      <c r="UAQ144" s="7"/>
      <c r="UAR144" s="7"/>
      <c r="UAS144" s="7"/>
      <c r="UAT144" s="7"/>
      <c r="UAU144" s="7"/>
      <c r="UAV144" s="7"/>
      <c r="UAW144" s="7"/>
      <c r="UAX144" s="7"/>
      <c r="UAY144" s="7"/>
      <c r="UAZ144" s="7"/>
      <c r="UBA144" s="7"/>
      <c r="UBB144" s="7"/>
      <c r="UBC144" s="7"/>
      <c r="UBD144" s="7"/>
      <c r="UBE144" s="7"/>
      <c r="UBF144" s="7"/>
      <c r="UBG144" s="7"/>
      <c r="UBH144" s="7"/>
      <c r="UBI144" s="7"/>
      <c r="UBJ144" s="7"/>
      <c r="UBK144" s="7"/>
      <c r="UBL144" s="7"/>
      <c r="UBM144" s="7"/>
      <c r="UBN144" s="7"/>
      <c r="UBO144" s="7"/>
      <c r="UBP144" s="7"/>
      <c r="UBQ144" s="7"/>
      <c r="UBR144" s="7"/>
      <c r="UBS144" s="7"/>
      <c r="UBT144" s="7"/>
      <c r="UBU144" s="7"/>
      <c r="UBV144" s="7"/>
      <c r="UBW144" s="7"/>
      <c r="UBX144" s="7"/>
      <c r="UBY144" s="7"/>
      <c r="UBZ144" s="7"/>
      <c r="UCA144" s="7"/>
      <c r="UCB144" s="7"/>
      <c r="UCC144" s="7"/>
      <c r="UCD144" s="7"/>
      <c r="UCE144" s="7"/>
      <c r="UCF144" s="7"/>
      <c r="UCG144" s="7"/>
      <c r="UCH144" s="7"/>
      <c r="UCI144" s="7"/>
      <c r="UCJ144" s="7"/>
      <c r="UCK144" s="7"/>
      <c r="UCL144" s="7"/>
      <c r="UCM144" s="7"/>
      <c r="UCN144" s="7"/>
      <c r="UCO144" s="7"/>
      <c r="UCP144" s="7"/>
      <c r="UCQ144" s="7"/>
      <c r="UCR144" s="7"/>
      <c r="UCS144" s="7"/>
      <c r="UCT144" s="7"/>
      <c r="UCU144" s="7"/>
      <c r="UCV144" s="7"/>
      <c r="UCW144" s="7"/>
      <c r="UCX144" s="7"/>
      <c r="UCY144" s="7"/>
      <c r="UCZ144" s="7"/>
      <c r="UDA144" s="7"/>
      <c r="UDB144" s="7"/>
      <c r="UDC144" s="7"/>
      <c r="UDD144" s="7"/>
      <c r="UDE144" s="7"/>
      <c r="UDF144" s="7"/>
      <c r="UDG144" s="7"/>
      <c r="UDH144" s="7"/>
      <c r="UDI144" s="7"/>
      <c r="UDJ144" s="7"/>
      <c r="UDK144" s="7"/>
      <c r="UDL144" s="7"/>
      <c r="UDM144" s="7"/>
      <c r="UDN144" s="7"/>
      <c r="UDO144" s="7"/>
      <c r="UDP144" s="7"/>
      <c r="UDQ144" s="7"/>
      <c r="UDR144" s="7"/>
      <c r="UDS144" s="7"/>
      <c r="UDT144" s="7"/>
      <c r="UDU144" s="7"/>
      <c r="UDV144" s="7"/>
      <c r="UDW144" s="7"/>
      <c r="UDX144" s="7"/>
      <c r="UDY144" s="7"/>
      <c r="UDZ144" s="7"/>
      <c r="UEA144" s="7"/>
      <c r="UEB144" s="7"/>
      <c r="UEC144" s="7"/>
      <c r="UED144" s="7"/>
      <c r="UEE144" s="7"/>
      <c r="UEF144" s="7"/>
      <c r="UEG144" s="7"/>
      <c r="UEH144" s="7"/>
      <c r="UEI144" s="7"/>
      <c r="UEJ144" s="7"/>
      <c r="UEK144" s="7"/>
      <c r="UEL144" s="7"/>
      <c r="UEM144" s="7"/>
      <c r="UEN144" s="7"/>
      <c r="UEO144" s="7"/>
      <c r="UEP144" s="7"/>
      <c r="UEQ144" s="7"/>
      <c r="UER144" s="7"/>
      <c r="UES144" s="7"/>
      <c r="UET144" s="7"/>
      <c r="UEU144" s="7"/>
      <c r="UEV144" s="7"/>
      <c r="UEW144" s="7"/>
      <c r="UEX144" s="7"/>
      <c r="UEY144" s="7"/>
      <c r="UEZ144" s="7"/>
      <c r="UFA144" s="7"/>
      <c r="UFB144" s="7"/>
      <c r="UFC144" s="7"/>
      <c r="UFD144" s="7"/>
      <c r="UFE144" s="7"/>
      <c r="UFF144" s="7"/>
      <c r="UFG144" s="7"/>
      <c r="UFH144" s="7"/>
      <c r="UFI144" s="7"/>
      <c r="UFJ144" s="7"/>
      <c r="UFK144" s="7"/>
      <c r="UFL144" s="7"/>
      <c r="UFM144" s="7"/>
      <c r="UFN144" s="7"/>
      <c r="UFO144" s="7"/>
      <c r="UFP144" s="7"/>
      <c r="UFQ144" s="7"/>
      <c r="UFR144" s="7"/>
      <c r="UFS144" s="7"/>
      <c r="UFT144" s="7"/>
      <c r="UFU144" s="7"/>
      <c r="UFV144" s="7"/>
      <c r="UFW144" s="7"/>
      <c r="UFX144" s="7"/>
      <c r="UFY144" s="7"/>
      <c r="UFZ144" s="7"/>
      <c r="UGA144" s="7"/>
      <c r="UGB144" s="7"/>
      <c r="UGC144" s="7"/>
      <c r="UGD144" s="7"/>
      <c r="UGE144" s="7"/>
      <c r="UGF144" s="7"/>
      <c r="UGG144" s="7"/>
      <c r="UGH144" s="7"/>
      <c r="UGI144" s="7"/>
      <c r="UGJ144" s="7"/>
      <c r="UGK144" s="7"/>
      <c r="UGL144" s="7"/>
      <c r="UGM144" s="7"/>
      <c r="UGN144" s="7"/>
      <c r="UGO144" s="7"/>
      <c r="UGP144" s="7"/>
      <c r="UGQ144" s="7"/>
      <c r="UGR144" s="7"/>
      <c r="UGS144" s="7"/>
      <c r="UGT144" s="7"/>
      <c r="UGU144" s="7"/>
      <c r="UGV144" s="7"/>
      <c r="UGW144" s="7"/>
      <c r="UGX144" s="7"/>
      <c r="UGY144" s="7"/>
      <c r="UGZ144" s="7"/>
      <c r="UHA144" s="7"/>
      <c r="UHB144" s="7"/>
      <c r="UHC144" s="7"/>
      <c r="UHD144" s="7"/>
      <c r="UHE144" s="7"/>
      <c r="UHF144" s="7"/>
      <c r="UHG144" s="7"/>
      <c r="UHH144" s="7"/>
      <c r="UHI144" s="7"/>
      <c r="UHJ144" s="7"/>
      <c r="UHK144" s="7"/>
      <c r="UHL144" s="7"/>
      <c r="UHM144" s="7"/>
      <c r="UHN144" s="7"/>
      <c r="UHO144" s="7"/>
      <c r="UHP144" s="7"/>
      <c r="UHQ144" s="7"/>
      <c r="UHR144" s="7"/>
      <c r="UHS144" s="7"/>
      <c r="UHT144" s="7"/>
      <c r="UHU144" s="7"/>
      <c r="UHV144" s="7"/>
      <c r="UHW144" s="7"/>
      <c r="UHX144" s="7"/>
      <c r="UHY144" s="7"/>
      <c r="UHZ144" s="7"/>
      <c r="UIA144" s="7"/>
      <c r="UIB144" s="7"/>
      <c r="UIC144" s="7"/>
      <c r="UID144" s="7"/>
      <c r="UIE144" s="7"/>
      <c r="UIF144" s="7"/>
      <c r="UIG144" s="7"/>
      <c r="UIH144" s="7"/>
      <c r="UII144" s="7"/>
      <c r="UIJ144" s="7"/>
      <c r="UIK144" s="7"/>
      <c r="UIL144" s="7"/>
      <c r="UIM144" s="7"/>
      <c r="UIN144" s="7"/>
      <c r="UIO144" s="7"/>
      <c r="UIP144" s="7"/>
      <c r="UIQ144" s="7"/>
      <c r="UIR144" s="7"/>
      <c r="UIS144" s="7"/>
      <c r="UIT144" s="7"/>
      <c r="UIU144" s="7"/>
      <c r="UIV144" s="7"/>
      <c r="UIW144" s="7"/>
      <c r="UIX144" s="7"/>
      <c r="UIY144" s="7"/>
      <c r="UIZ144" s="7"/>
      <c r="UJA144" s="7"/>
      <c r="UJB144" s="7"/>
      <c r="UJC144" s="7"/>
      <c r="UJD144" s="7"/>
      <c r="UJE144" s="7"/>
      <c r="UJF144" s="7"/>
      <c r="UJG144" s="7"/>
      <c r="UJH144" s="7"/>
      <c r="UJI144" s="7"/>
      <c r="UJJ144" s="7"/>
      <c r="UJK144" s="7"/>
      <c r="UJL144" s="7"/>
      <c r="UJM144" s="7"/>
      <c r="UJN144" s="7"/>
      <c r="UJO144" s="7"/>
      <c r="UJP144" s="7"/>
      <c r="UJQ144" s="7"/>
      <c r="UJR144" s="7"/>
      <c r="UJS144" s="7"/>
      <c r="UJT144" s="7"/>
      <c r="UJU144" s="7"/>
      <c r="UJV144" s="7"/>
      <c r="UJW144" s="7"/>
      <c r="UJX144" s="7"/>
      <c r="UJY144" s="7"/>
      <c r="UJZ144" s="7"/>
      <c r="UKA144" s="7"/>
      <c r="UKB144" s="7"/>
      <c r="UKC144" s="7"/>
      <c r="UKD144" s="7"/>
      <c r="UKE144" s="7"/>
      <c r="UKF144" s="7"/>
      <c r="UKG144" s="7"/>
      <c r="UKH144" s="7"/>
      <c r="UKI144" s="7"/>
      <c r="UKJ144" s="7"/>
      <c r="UKK144" s="7"/>
      <c r="UKL144" s="7"/>
      <c r="UKM144" s="7"/>
      <c r="UKN144" s="7"/>
      <c r="UKO144" s="7"/>
      <c r="UKP144" s="7"/>
      <c r="UKQ144" s="7"/>
      <c r="UKR144" s="7"/>
      <c r="UKS144" s="7"/>
      <c r="UKT144" s="7"/>
      <c r="UKU144" s="7"/>
      <c r="UKV144" s="7"/>
      <c r="UKW144" s="7"/>
      <c r="UKX144" s="7"/>
      <c r="UKY144" s="7"/>
      <c r="UKZ144" s="7"/>
      <c r="ULA144" s="7"/>
      <c r="ULB144" s="7"/>
      <c r="ULC144" s="7"/>
      <c r="ULD144" s="7"/>
      <c r="ULE144" s="7"/>
      <c r="ULF144" s="7"/>
      <c r="ULG144" s="7"/>
      <c r="ULH144" s="7"/>
      <c r="ULI144" s="7"/>
      <c r="ULJ144" s="7"/>
      <c r="ULK144" s="7"/>
      <c r="ULL144" s="7"/>
      <c r="ULM144" s="7"/>
      <c r="ULN144" s="7"/>
      <c r="ULO144" s="7"/>
      <c r="ULP144" s="7"/>
      <c r="ULQ144" s="7"/>
      <c r="ULR144" s="7"/>
      <c r="ULS144" s="7"/>
      <c r="ULT144" s="7"/>
      <c r="ULU144" s="7"/>
      <c r="ULV144" s="7"/>
      <c r="ULW144" s="7"/>
      <c r="ULX144" s="7"/>
      <c r="ULY144" s="7"/>
      <c r="ULZ144" s="7"/>
      <c r="UMA144" s="7"/>
      <c r="UMB144" s="7"/>
      <c r="UMC144" s="7"/>
      <c r="UMD144" s="7"/>
      <c r="UME144" s="7"/>
      <c r="UMF144" s="7"/>
      <c r="UMG144" s="7"/>
      <c r="UMH144" s="7"/>
      <c r="UMI144" s="7"/>
      <c r="UMJ144" s="7"/>
      <c r="UMK144" s="7"/>
      <c r="UML144" s="7"/>
      <c r="UMM144" s="7"/>
      <c r="UMN144" s="7"/>
      <c r="UMO144" s="7"/>
      <c r="UMP144" s="7"/>
      <c r="UMQ144" s="7"/>
      <c r="UMR144" s="7"/>
      <c r="UMS144" s="7"/>
      <c r="UMT144" s="7"/>
      <c r="UMU144" s="7"/>
      <c r="UMV144" s="7"/>
      <c r="UMW144" s="7"/>
      <c r="UMX144" s="7"/>
      <c r="UMY144" s="7"/>
      <c r="UMZ144" s="7"/>
      <c r="UNA144" s="7"/>
      <c r="UNB144" s="7"/>
      <c r="UNC144" s="7"/>
      <c r="UND144" s="7"/>
      <c r="UNE144" s="7"/>
      <c r="UNF144" s="7"/>
      <c r="UNG144" s="7"/>
      <c r="UNH144" s="7"/>
      <c r="UNI144" s="7"/>
      <c r="UNJ144" s="7"/>
      <c r="UNK144" s="7"/>
      <c r="UNL144" s="7"/>
      <c r="UNM144" s="7"/>
      <c r="UNN144" s="7"/>
      <c r="UNO144" s="7"/>
      <c r="UNP144" s="7"/>
      <c r="UNQ144" s="7"/>
      <c r="UNR144" s="7"/>
      <c r="UNS144" s="7"/>
      <c r="UNT144" s="7"/>
      <c r="UNU144" s="7"/>
      <c r="UNV144" s="7"/>
      <c r="UNW144" s="7"/>
      <c r="UNX144" s="7"/>
      <c r="UNY144" s="7"/>
      <c r="UNZ144" s="7"/>
      <c r="UOA144" s="7"/>
      <c r="UOB144" s="7"/>
      <c r="UOC144" s="7"/>
      <c r="UOD144" s="7"/>
      <c r="UOE144" s="7"/>
      <c r="UOF144" s="7"/>
      <c r="UOG144" s="7"/>
      <c r="UOH144" s="7"/>
      <c r="UOI144" s="7"/>
      <c r="UOJ144" s="7"/>
      <c r="UOK144" s="7"/>
      <c r="UOL144" s="7"/>
      <c r="UOM144" s="7"/>
      <c r="UON144" s="7"/>
      <c r="UOO144" s="7"/>
      <c r="UOP144" s="7"/>
      <c r="UOQ144" s="7"/>
      <c r="UOR144" s="7"/>
      <c r="UOS144" s="7"/>
      <c r="UOT144" s="7"/>
      <c r="UOU144" s="7"/>
      <c r="UOV144" s="7"/>
      <c r="UOW144" s="7"/>
      <c r="UOX144" s="7"/>
      <c r="UOY144" s="7"/>
      <c r="UOZ144" s="7"/>
      <c r="UPA144" s="7"/>
      <c r="UPB144" s="7"/>
      <c r="UPC144" s="7"/>
      <c r="UPD144" s="7"/>
      <c r="UPE144" s="7"/>
      <c r="UPF144" s="7"/>
      <c r="UPG144" s="7"/>
      <c r="UPH144" s="7"/>
      <c r="UPI144" s="7"/>
      <c r="UPJ144" s="7"/>
      <c r="UPK144" s="7"/>
      <c r="UPL144" s="7"/>
      <c r="UPM144" s="7"/>
      <c r="UPN144" s="7"/>
      <c r="UPO144" s="7"/>
      <c r="UPP144" s="7"/>
      <c r="UPQ144" s="7"/>
      <c r="UPR144" s="7"/>
      <c r="UPS144" s="7"/>
      <c r="UPT144" s="7"/>
      <c r="UPU144" s="7"/>
      <c r="UPV144" s="7"/>
      <c r="UPW144" s="7"/>
      <c r="UPX144" s="7"/>
      <c r="UPY144" s="7"/>
      <c r="UPZ144" s="7"/>
      <c r="UQA144" s="7"/>
      <c r="UQB144" s="7"/>
      <c r="UQC144" s="7"/>
      <c r="UQD144" s="7"/>
      <c r="UQE144" s="7"/>
      <c r="UQF144" s="7"/>
      <c r="UQG144" s="7"/>
      <c r="UQH144" s="7"/>
      <c r="UQI144" s="7"/>
      <c r="UQJ144" s="7"/>
      <c r="UQK144" s="7"/>
      <c r="UQL144" s="7"/>
      <c r="UQM144" s="7"/>
      <c r="UQN144" s="7"/>
      <c r="UQO144" s="7"/>
      <c r="UQP144" s="7"/>
      <c r="UQQ144" s="7"/>
      <c r="UQR144" s="7"/>
      <c r="UQS144" s="7"/>
      <c r="UQT144" s="7"/>
      <c r="UQU144" s="7"/>
      <c r="UQV144" s="7"/>
      <c r="UQW144" s="7"/>
      <c r="UQX144" s="7"/>
      <c r="UQY144" s="7"/>
      <c r="UQZ144" s="7"/>
      <c r="URA144" s="7"/>
      <c r="URB144" s="7"/>
      <c r="URC144" s="7"/>
      <c r="URD144" s="7"/>
      <c r="URE144" s="7"/>
      <c r="URF144" s="7"/>
      <c r="URG144" s="7"/>
      <c r="URH144" s="7"/>
      <c r="URI144" s="7"/>
      <c r="URJ144" s="7"/>
      <c r="URK144" s="7"/>
      <c r="URL144" s="7"/>
      <c r="URM144" s="7"/>
      <c r="URN144" s="7"/>
      <c r="URO144" s="7"/>
      <c r="URP144" s="7"/>
      <c r="URQ144" s="7"/>
      <c r="URR144" s="7"/>
      <c r="URS144" s="7"/>
      <c r="URT144" s="7"/>
      <c r="URU144" s="7"/>
      <c r="URV144" s="7"/>
      <c r="URW144" s="7"/>
      <c r="URX144" s="7"/>
      <c r="URY144" s="7"/>
      <c r="URZ144" s="7"/>
      <c r="USA144" s="7"/>
      <c r="USB144" s="7"/>
      <c r="USC144" s="7"/>
      <c r="USD144" s="7"/>
      <c r="USE144" s="7"/>
      <c r="USF144" s="7"/>
      <c r="USG144" s="7"/>
      <c r="USH144" s="7"/>
      <c r="USI144" s="7"/>
      <c r="USJ144" s="7"/>
      <c r="USK144" s="7"/>
      <c r="USL144" s="7"/>
      <c r="USM144" s="7"/>
      <c r="USN144" s="7"/>
      <c r="USO144" s="7"/>
      <c r="USP144" s="7"/>
      <c r="USQ144" s="7"/>
      <c r="USR144" s="7"/>
      <c r="USS144" s="7"/>
      <c r="UST144" s="7"/>
      <c r="USU144" s="7"/>
      <c r="USV144" s="7"/>
      <c r="USW144" s="7"/>
      <c r="USX144" s="7"/>
      <c r="USY144" s="7"/>
      <c r="USZ144" s="7"/>
      <c r="UTA144" s="7"/>
      <c r="UTB144" s="7"/>
      <c r="UTC144" s="7"/>
      <c r="UTD144" s="7"/>
      <c r="UTE144" s="7"/>
      <c r="UTF144" s="7"/>
      <c r="UTG144" s="7"/>
      <c r="UTH144" s="7"/>
      <c r="UTI144" s="7"/>
      <c r="UTJ144" s="7"/>
      <c r="UTK144" s="7"/>
      <c r="UTL144" s="7"/>
      <c r="UTM144" s="7"/>
      <c r="UTN144" s="7"/>
      <c r="UTO144" s="7"/>
      <c r="UTP144" s="7"/>
      <c r="UTQ144" s="7"/>
      <c r="UTR144" s="7"/>
      <c r="UTS144" s="7"/>
      <c r="UTT144" s="7"/>
      <c r="UTU144" s="7"/>
      <c r="UTV144" s="7"/>
      <c r="UTW144" s="7"/>
      <c r="UTX144" s="7"/>
      <c r="UTY144" s="7"/>
      <c r="UTZ144" s="7"/>
      <c r="UUA144" s="7"/>
      <c r="UUB144" s="7"/>
      <c r="UUC144" s="7"/>
      <c r="UUD144" s="7"/>
      <c r="UUE144" s="7"/>
      <c r="UUF144" s="7"/>
      <c r="UUG144" s="7"/>
      <c r="UUH144" s="7"/>
      <c r="UUI144" s="7"/>
      <c r="UUJ144" s="7"/>
      <c r="UUK144" s="7"/>
      <c r="UUL144" s="7"/>
      <c r="UUM144" s="7"/>
      <c r="UUN144" s="7"/>
      <c r="UUO144" s="7"/>
      <c r="UUP144" s="7"/>
      <c r="UUQ144" s="7"/>
      <c r="UUR144" s="7"/>
      <c r="UUS144" s="7"/>
      <c r="UUT144" s="7"/>
      <c r="UUU144" s="7"/>
      <c r="UUV144" s="7"/>
      <c r="UUW144" s="7"/>
      <c r="UUX144" s="7"/>
      <c r="UUY144" s="7"/>
      <c r="UUZ144" s="7"/>
      <c r="UVA144" s="7"/>
      <c r="UVB144" s="7"/>
      <c r="UVC144" s="7"/>
      <c r="UVD144" s="7"/>
      <c r="UVE144" s="7"/>
      <c r="UVF144" s="7"/>
      <c r="UVG144" s="7"/>
      <c r="UVH144" s="7"/>
      <c r="UVI144" s="7"/>
      <c r="UVJ144" s="7"/>
      <c r="UVK144" s="7"/>
      <c r="UVL144" s="7"/>
      <c r="UVM144" s="7"/>
      <c r="UVN144" s="7"/>
      <c r="UVO144" s="7"/>
      <c r="UVP144" s="7"/>
      <c r="UVQ144" s="7"/>
      <c r="UVR144" s="7"/>
      <c r="UVS144" s="7"/>
      <c r="UVT144" s="7"/>
      <c r="UVU144" s="7"/>
      <c r="UVV144" s="7"/>
      <c r="UVW144" s="7"/>
      <c r="UVX144" s="7"/>
      <c r="UVY144" s="7"/>
      <c r="UVZ144" s="7"/>
      <c r="UWA144" s="7"/>
      <c r="UWB144" s="7"/>
      <c r="UWC144" s="7"/>
      <c r="UWD144" s="7"/>
      <c r="UWE144" s="7"/>
      <c r="UWF144" s="7"/>
      <c r="UWG144" s="7"/>
      <c r="UWH144" s="7"/>
      <c r="UWI144" s="7"/>
      <c r="UWJ144" s="7"/>
      <c r="UWK144" s="7"/>
      <c r="UWL144" s="7"/>
      <c r="UWM144" s="7"/>
      <c r="UWN144" s="7"/>
      <c r="UWO144" s="7"/>
      <c r="UWP144" s="7"/>
      <c r="UWQ144" s="7"/>
      <c r="UWR144" s="7"/>
      <c r="UWS144" s="7"/>
      <c r="UWT144" s="7"/>
      <c r="UWU144" s="7"/>
      <c r="UWV144" s="7"/>
      <c r="UWW144" s="7"/>
      <c r="UWX144" s="7"/>
      <c r="UWY144" s="7"/>
      <c r="UWZ144" s="7"/>
      <c r="UXA144" s="7"/>
      <c r="UXB144" s="7"/>
      <c r="UXC144" s="7"/>
      <c r="UXD144" s="7"/>
      <c r="UXE144" s="7"/>
      <c r="UXF144" s="7"/>
      <c r="UXG144" s="7"/>
      <c r="UXH144" s="7"/>
      <c r="UXI144" s="7"/>
      <c r="UXJ144" s="7"/>
      <c r="UXK144" s="7"/>
      <c r="UXL144" s="7"/>
      <c r="UXM144" s="7"/>
      <c r="UXN144" s="7"/>
      <c r="UXO144" s="7"/>
      <c r="UXP144" s="7"/>
      <c r="UXQ144" s="7"/>
      <c r="UXR144" s="7"/>
      <c r="UXS144" s="7"/>
      <c r="UXT144" s="7"/>
      <c r="UXU144" s="7"/>
      <c r="UXV144" s="7"/>
      <c r="UXW144" s="7"/>
      <c r="UXX144" s="7"/>
      <c r="UXY144" s="7"/>
      <c r="UXZ144" s="7"/>
      <c r="UYA144" s="7"/>
      <c r="UYB144" s="7"/>
      <c r="UYC144" s="7"/>
      <c r="UYD144" s="7"/>
      <c r="UYE144" s="7"/>
      <c r="UYF144" s="7"/>
      <c r="UYG144" s="7"/>
      <c r="UYH144" s="7"/>
      <c r="UYI144" s="7"/>
      <c r="UYJ144" s="7"/>
      <c r="UYK144" s="7"/>
      <c r="UYL144" s="7"/>
      <c r="UYM144" s="7"/>
      <c r="UYN144" s="7"/>
      <c r="UYO144" s="7"/>
      <c r="UYP144" s="7"/>
      <c r="UYQ144" s="7"/>
      <c r="UYR144" s="7"/>
      <c r="UYS144" s="7"/>
      <c r="UYT144" s="7"/>
      <c r="UYU144" s="7"/>
      <c r="UYV144" s="7"/>
      <c r="UYW144" s="7"/>
      <c r="UYX144" s="7"/>
      <c r="UYY144" s="7"/>
      <c r="UYZ144" s="7"/>
      <c r="UZA144" s="7"/>
      <c r="UZB144" s="7"/>
      <c r="UZC144" s="7"/>
      <c r="UZD144" s="7"/>
      <c r="UZE144" s="7"/>
      <c r="UZF144" s="7"/>
      <c r="UZG144" s="7"/>
      <c r="UZH144" s="7"/>
      <c r="UZI144" s="7"/>
      <c r="UZJ144" s="7"/>
      <c r="UZK144" s="7"/>
      <c r="UZL144" s="7"/>
      <c r="UZM144" s="7"/>
      <c r="UZN144" s="7"/>
      <c r="UZO144" s="7"/>
      <c r="UZP144" s="7"/>
      <c r="UZQ144" s="7"/>
      <c r="UZR144" s="7"/>
      <c r="UZS144" s="7"/>
      <c r="UZT144" s="7"/>
      <c r="UZU144" s="7"/>
      <c r="UZV144" s="7"/>
      <c r="UZW144" s="7"/>
      <c r="UZX144" s="7"/>
      <c r="UZY144" s="7"/>
      <c r="UZZ144" s="7"/>
      <c r="VAA144" s="7"/>
      <c r="VAB144" s="7"/>
      <c r="VAC144" s="7"/>
      <c r="VAD144" s="7"/>
      <c r="VAE144" s="7"/>
      <c r="VAF144" s="7"/>
      <c r="VAG144" s="7"/>
      <c r="VAH144" s="7"/>
      <c r="VAI144" s="7"/>
      <c r="VAJ144" s="7"/>
      <c r="VAK144" s="7"/>
      <c r="VAL144" s="7"/>
      <c r="VAM144" s="7"/>
      <c r="VAN144" s="7"/>
      <c r="VAO144" s="7"/>
      <c r="VAP144" s="7"/>
      <c r="VAQ144" s="7"/>
      <c r="VAR144" s="7"/>
      <c r="VAS144" s="7"/>
      <c r="VAT144" s="7"/>
      <c r="VAU144" s="7"/>
      <c r="VAV144" s="7"/>
      <c r="VAW144" s="7"/>
      <c r="VAX144" s="7"/>
      <c r="VAY144" s="7"/>
      <c r="VAZ144" s="7"/>
      <c r="VBA144" s="7"/>
      <c r="VBB144" s="7"/>
      <c r="VBC144" s="7"/>
      <c r="VBD144" s="7"/>
      <c r="VBE144" s="7"/>
      <c r="VBF144" s="7"/>
      <c r="VBG144" s="7"/>
      <c r="VBH144" s="7"/>
      <c r="VBI144" s="7"/>
      <c r="VBJ144" s="7"/>
      <c r="VBK144" s="7"/>
      <c r="VBL144" s="7"/>
      <c r="VBM144" s="7"/>
      <c r="VBN144" s="7"/>
      <c r="VBO144" s="7"/>
      <c r="VBP144" s="7"/>
      <c r="VBQ144" s="7"/>
      <c r="VBR144" s="7"/>
      <c r="VBS144" s="7"/>
      <c r="VBT144" s="7"/>
      <c r="VBU144" s="7"/>
      <c r="VBV144" s="7"/>
      <c r="VBW144" s="7"/>
      <c r="VBX144" s="7"/>
      <c r="VBY144" s="7"/>
      <c r="VBZ144" s="7"/>
      <c r="VCA144" s="7"/>
      <c r="VCB144" s="7"/>
      <c r="VCC144" s="7"/>
      <c r="VCD144" s="7"/>
      <c r="VCE144" s="7"/>
      <c r="VCF144" s="7"/>
      <c r="VCG144" s="7"/>
      <c r="VCH144" s="7"/>
      <c r="VCI144" s="7"/>
      <c r="VCJ144" s="7"/>
      <c r="VCK144" s="7"/>
      <c r="VCL144" s="7"/>
      <c r="VCM144" s="7"/>
      <c r="VCN144" s="7"/>
      <c r="VCO144" s="7"/>
      <c r="VCP144" s="7"/>
      <c r="VCQ144" s="7"/>
      <c r="VCR144" s="7"/>
      <c r="VCS144" s="7"/>
      <c r="VCT144" s="7"/>
      <c r="VCU144" s="7"/>
      <c r="VCV144" s="7"/>
      <c r="VCW144" s="7"/>
      <c r="VCX144" s="7"/>
      <c r="VCY144" s="7"/>
      <c r="VCZ144" s="7"/>
      <c r="VDA144" s="7"/>
      <c r="VDB144" s="7"/>
      <c r="VDC144" s="7"/>
      <c r="VDD144" s="7"/>
      <c r="VDE144" s="7"/>
      <c r="VDF144" s="7"/>
      <c r="VDG144" s="7"/>
      <c r="VDH144" s="7"/>
      <c r="VDI144" s="7"/>
      <c r="VDJ144" s="7"/>
      <c r="VDK144" s="7"/>
      <c r="VDL144" s="7"/>
      <c r="VDM144" s="7"/>
      <c r="VDN144" s="7"/>
      <c r="VDO144" s="7"/>
      <c r="VDP144" s="7"/>
      <c r="VDQ144" s="7"/>
      <c r="VDR144" s="7"/>
      <c r="VDS144" s="7"/>
      <c r="VDT144" s="7"/>
      <c r="VDU144" s="7"/>
      <c r="VDV144" s="7"/>
      <c r="VDW144" s="7"/>
      <c r="VDX144" s="7"/>
      <c r="VDY144" s="7"/>
      <c r="VDZ144" s="7"/>
      <c r="VEA144" s="7"/>
      <c r="VEB144" s="7"/>
      <c r="VEC144" s="7"/>
      <c r="VED144" s="7"/>
      <c r="VEE144" s="7"/>
      <c r="VEF144" s="7"/>
      <c r="VEG144" s="7"/>
      <c r="VEH144" s="7"/>
      <c r="VEI144" s="7"/>
      <c r="VEJ144" s="7"/>
      <c r="VEK144" s="7"/>
      <c r="VEL144" s="7"/>
      <c r="VEM144" s="7"/>
      <c r="VEN144" s="7"/>
      <c r="VEO144" s="7"/>
      <c r="VEP144" s="7"/>
      <c r="VEQ144" s="7"/>
      <c r="VER144" s="7"/>
      <c r="VES144" s="7"/>
      <c r="VET144" s="7"/>
      <c r="VEU144" s="7"/>
      <c r="VEV144" s="7"/>
      <c r="VEW144" s="7"/>
      <c r="VEX144" s="7"/>
      <c r="VEY144" s="7"/>
      <c r="VEZ144" s="7"/>
      <c r="VFA144" s="7"/>
      <c r="VFB144" s="7"/>
      <c r="VFC144" s="7"/>
      <c r="VFD144" s="7"/>
      <c r="VFE144" s="7"/>
      <c r="VFF144" s="7"/>
      <c r="VFG144" s="7"/>
      <c r="VFH144" s="7"/>
      <c r="VFI144" s="7"/>
      <c r="VFJ144" s="7"/>
      <c r="VFK144" s="7"/>
      <c r="VFL144" s="7"/>
      <c r="VFM144" s="7"/>
      <c r="VFN144" s="7"/>
      <c r="VFO144" s="7"/>
      <c r="VFP144" s="7"/>
      <c r="VFQ144" s="7"/>
      <c r="VFR144" s="7"/>
      <c r="VFS144" s="7"/>
      <c r="VFT144" s="7"/>
      <c r="VFU144" s="7"/>
      <c r="VFV144" s="7"/>
      <c r="VFW144" s="7"/>
      <c r="VFX144" s="7"/>
      <c r="VFY144" s="7"/>
      <c r="VFZ144" s="7"/>
      <c r="VGA144" s="7"/>
      <c r="VGB144" s="7"/>
      <c r="VGC144" s="7"/>
      <c r="VGD144" s="7"/>
      <c r="VGE144" s="7"/>
      <c r="VGF144" s="7"/>
      <c r="VGG144" s="7"/>
      <c r="VGH144" s="7"/>
      <c r="VGI144" s="7"/>
      <c r="VGJ144" s="7"/>
      <c r="VGK144" s="7"/>
      <c r="VGL144" s="7"/>
      <c r="VGM144" s="7"/>
      <c r="VGN144" s="7"/>
      <c r="VGO144" s="7"/>
      <c r="VGP144" s="7"/>
      <c r="VGQ144" s="7"/>
      <c r="VGR144" s="7"/>
      <c r="VGS144" s="7"/>
      <c r="VGT144" s="7"/>
      <c r="VGU144" s="7"/>
      <c r="VGV144" s="7"/>
      <c r="VGW144" s="7"/>
      <c r="VGX144" s="7"/>
      <c r="VGY144" s="7"/>
      <c r="VGZ144" s="7"/>
      <c r="VHA144" s="7"/>
      <c r="VHB144" s="7"/>
      <c r="VHC144" s="7"/>
      <c r="VHD144" s="7"/>
      <c r="VHE144" s="7"/>
      <c r="VHF144" s="7"/>
      <c r="VHG144" s="7"/>
      <c r="VHH144" s="7"/>
      <c r="VHI144" s="7"/>
      <c r="VHJ144" s="7"/>
      <c r="VHK144" s="7"/>
      <c r="VHL144" s="7"/>
      <c r="VHM144" s="7"/>
      <c r="VHN144" s="7"/>
      <c r="VHO144" s="7"/>
      <c r="VHP144" s="7"/>
      <c r="VHQ144" s="7"/>
      <c r="VHR144" s="7"/>
      <c r="VHS144" s="7"/>
      <c r="VHT144" s="7"/>
      <c r="VHU144" s="7"/>
      <c r="VHV144" s="7"/>
      <c r="VHW144" s="7"/>
      <c r="VHX144" s="7"/>
      <c r="VHY144" s="7"/>
      <c r="VHZ144" s="7"/>
      <c r="VIA144" s="7"/>
      <c r="VIB144" s="7"/>
      <c r="VIC144" s="7"/>
      <c r="VID144" s="7"/>
      <c r="VIE144" s="7"/>
      <c r="VIF144" s="7"/>
      <c r="VIG144" s="7"/>
      <c r="VIH144" s="7"/>
      <c r="VII144" s="7"/>
      <c r="VIJ144" s="7"/>
      <c r="VIK144" s="7"/>
      <c r="VIL144" s="7"/>
      <c r="VIM144" s="7"/>
      <c r="VIN144" s="7"/>
      <c r="VIO144" s="7"/>
      <c r="VIP144" s="7"/>
      <c r="VIQ144" s="7"/>
      <c r="VIR144" s="7"/>
      <c r="VIS144" s="7"/>
      <c r="VIT144" s="7"/>
      <c r="VIU144" s="7"/>
      <c r="VIV144" s="7"/>
      <c r="VIW144" s="7"/>
      <c r="VIX144" s="7"/>
      <c r="VIY144" s="7"/>
      <c r="VIZ144" s="7"/>
      <c r="VJA144" s="7"/>
      <c r="VJB144" s="7"/>
      <c r="VJC144" s="7"/>
      <c r="VJD144" s="7"/>
      <c r="VJE144" s="7"/>
      <c r="VJF144" s="7"/>
      <c r="VJG144" s="7"/>
      <c r="VJH144" s="7"/>
      <c r="VJI144" s="7"/>
      <c r="VJJ144" s="7"/>
      <c r="VJK144" s="7"/>
      <c r="VJL144" s="7"/>
      <c r="VJM144" s="7"/>
      <c r="VJN144" s="7"/>
      <c r="VJO144" s="7"/>
      <c r="VJP144" s="7"/>
      <c r="VJQ144" s="7"/>
      <c r="VJR144" s="7"/>
      <c r="VJS144" s="7"/>
      <c r="VJT144" s="7"/>
      <c r="VJU144" s="7"/>
      <c r="VJV144" s="7"/>
      <c r="VJW144" s="7"/>
      <c r="VJX144" s="7"/>
      <c r="VJY144" s="7"/>
      <c r="VJZ144" s="7"/>
      <c r="VKA144" s="7"/>
      <c r="VKB144" s="7"/>
      <c r="VKC144" s="7"/>
      <c r="VKD144" s="7"/>
      <c r="VKE144" s="7"/>
      <c r="VKF144" s="7"/>
      <c r="VKG144" s="7"/>
      <c r="VKH144" s="7"/>
      <c r="VKI144" s="7"/>
      <c r="VKJ144" s="7"/>
      <c r="VKK144" s="7"/>
      <c r="VKL144" s="7"/>
      <c r="VKM144" s="7"/>
      <c r="VKN144" s="7"/>
      <c r="VKO144" s="7"/>
      <c r="VKP144" s="7"/>
      <c r="VKQ144" s="7"/>
      <c r="VKR144" s="7"/>
      <c r="VKS144" s="7"/>
      <c r="VKT144" s="7"/>
      <c r="VKU144" s="7"/>
      <c r="VKV144" s="7"/>
      <c r="VKW144" s="7"/>
      <c r="VKX144" s="7"/>
      <c r="VKY144" s="7"/>
      <c r="VKZ144" s="7"/>
      <c r="VLA144" s="7"/>
      <c r="VLB144" s="7"/>
      <c r="VLC144" s="7"/>
      <c r="VLD144" s="7"/>
      <c r="VLE144" s="7"/>
      <c r="VLF144" s="7"/>
      <c r="VLG144" s="7"/>
      <c r="VLH144" s="7"/>
      <c r="VLI144" s="7"/>
      <c r="VLJ144" s="7"/>
      <c r="VLK144" s="7"/>
      <c r="VLL144" s="7"/>
      <c r="VLM144" s="7"/>
      <c r="VLN144" s="7"/>
      <c r="VLO144" s="7"/>
      <c r="VLP144" s="7"/>
      <c r="VLQ144" s="7"/>
      <c r="VLR144" s="7"/>
      <c r="VLS144" s="7"/>
      <c r="VLT144" s="7"/>
      <c r="VLU144" s="7"/>
      <c r="VLV144" s="7"/>
      <c r="VLW144" s="7"/>
      <c r="VLX144" s="7"/>
      <c r="VLY144" s="7"/>
      <c r="VLZ144" s="7"/>
      <c r="VMA144" s="7"/>
      <c r="VMB144" s="7"/>
      <c r="VMC144" s="7"/>
      <c r="VMD144" s="7"/>
      <c r="VME144" s="7"/>
      <c r="VMF144" s="7"/>
      <c r="VMG144" s="7"/>
      <c r="VMH144" s="7"/>
      <c r="VMI144" s="7"/>
      <c r="VMJ144" s="7"/>
      <c r="VMK144" s="7"/>
      <c r="VML144" s="7"/>
      <c r="VMM144" s="7"/>
      <c r="VMN144" s="7"/>
      <c r="VMO144" s="7"/>
      <c r="VMP144" s="7"/>
      <c r="VMQ144" s="7"/>
      <c r="VMR144" s="7"/>
      <c r="VMS144" s="7"/>
      <c r="VMT144" s="7"/>
      <c r="VMU144" s="7"/>
      <c r="VMV144" s="7"/>
      <c r="VMW144" s="7"/>
      <c r="VMX144" s="7"/>
      <c r="VMY144" s="7"/>
      <c r="VMZ144" s="7"/>
      <c r="VNA144" s="7"/>
      <c r="VNB144" s="7"/>
      <c r="VNC144" s="7"/>
      <c r="VND144" s="7"/>
      <c r="VNE144" s="7"/>
      <c r="VNF144" s="7"/>
      <c r="VNG144" s="7"/>
      <c r="VNH144" s="7"/>
      <c r="VNI144" s="7"/>
      <c r="VNJ144" s="7"/>
      <c r="VNK144" s="7"/>
      <c r="VNL144" s="7"/>
      <c r="VNM144" s="7"/>
      <c r="VNN144" s="7"/>
      <c r="VNO144" s="7"/>
      <c r="VNP144" s="7"/>
      <c r="VNQ144" s="7"/>
      <c r="VNR144" s="7"/>
      <c r="VNS144" s="7"/>
      <c r="VNT144" s="7"/>
      <c r="VNU144" s="7"/>
      <c r="VNV144" s="7"/>
      <c r="VNW144" s="7"/>
      <c r="VNX144" s="7"/>
      <c r="VNY144" s="7"/>
      <c r="VNZ144" s="7"/>
      <c r="VOA144" s="7"/>
      <c r="VOB144" s="7"/>
      <c r="VOC144" s="7"/>
      <c r="VOD144" s="7"/>
      <c r="VOE144" s="7"/>
      <c r="VOF144" s="7"/>
      <c r="VOG144" s="7"/>
      <c r="VOH144" s="7"/>
      <c r="VOI144" s="7"/>
      <c r="VOJ144" s="7"/>
      <c r="VOK144" s="7"/>
      <c r="VOL144" s="7"/>
      <c r="VOM144" s="7"/>
      <c r="VON144" s="7"/>
      <c r="VOO144" s="7"/>
      <c r="VOP144" s="7"/>
      <c r="VOQ144" s="7"/>
      <c r="VOR144" s="7"/>
      <c r="VOS144" s="7"/>
      <c r="VOT144" s="7"/>
      <c r="VOU144" s="7"/>
      <c r="VOV144" s="7"/>
      <c r="VOW144" s="7"/>
      <c r="VOX144" s="7"/>
      <c r="VOY144" s="7"/>
      <c r="VOZ144" s="7"/>
      <c r="VPA144" s="7"/>
      <c r="VPB144" s="7"/>
      <c r="VPC144" s="7"/>
      <c r="VPD144" s="7"/>
      <c r="VPE144" s="7"/>
      <c r="VPF144" s="7"/>
      <c r="VPG144" s="7"/>
      <c r="VPH144" s="7"/>
      <c r="VPI144" s="7"/>
      <c r="VPJ144" s="7"/>
      <c r="VPK144" s="7"/>
      <c r="VPL144" s="7"/>
      <c r="VPM144" s="7"/>
      <c r="VPN144" s="7"/>
      <c r="VPO144" s="7"/>
      <c r="VPP144" s="7"/>
      <c r="VPQ144" s="7"/>
      <c r="VPR144" s="7"/>
      <c r="VPS144" s="7"/>
      <c r="VPT144" s="7"/>
      <c r="VPU144" s="7"/>
      <c r="VPV144" s="7"/>
      <c r="VPW144" s="7"/>
      <c r="VPX144" s="7"/>
      <c r="VPY144" s="7"/>
      <c r="VPZ144" s="7"/>
      <c r="VQA144" s="7"/>
      <c r="VQB144" s="7"/>
      <c r="VQC144" s="7"/>
      <c r="VQD144" s="7"/>
      <c r="VQE144" s="7"/>
      <c r="VQF144" s="7"/>
      <c r="VQG144" s="7"/>
      <c r="VQH144" s="7"/>
      <c r="VQI144" s="7"/>
      <c r="VQJ144" s="7"/>
      <c r="VQK144" s="7"/>
      <c r="VQL144" s="7"/>
      <c r="VQM144" s="7"/>
      <c r="VQN144" s="7"/>
      <c r="VQO144" s="7"/>
      <c r="VQP144" s="7"/>
      <c r="VQQ144" s="7"/>
      <c r="VQR144" s="7"/>
      <c r="VQS144" s="7"/>
      <c r="VQT144" s="7"/>
      <c r="VQU144" s="7"/>
      <c r="VQV144" s="7"/>
      <c r="VQW144" s="7"/>
      <c r="VQX144" s="7"/>
      <c r="VQY144" s="7"/>
      <c r="VQZ144" s="7"/>
      <c r="VRA144" s="7"/>
      <c r="VRB144" s="7"/>
      <c r="VRC144" s="7"/>
      <c r="VRD144" s="7"/>
      <c r="VRE144" s="7"/>
      <c r="VRF144" s="7"/>
      <c r="VRG144" s="7"/>
      <c r="VRH144" s="7"/>
      <c r="VRI144" s="7"/>
      <c r="VRJ144" s="7"/>
      <c r="VRK144" s="7"/>
      <c r="VRL144" s="7"/>
      <c r="VRM144" s="7"/>
      <c r="VRN144" s="7"/>
      <c r="VRO144" s="7"/>
      <c r="VRP144" s="7"/>
      <c r="VRQ144" s="7"/>
      <c r="VRR144" s="7"/>
      <c r="VRS144" s="7"/>
      <c r="VRT144" s="7"/>
      <c r="VRU144" s="7"/>
      <c r="VRV144" s="7"/>
      <c r="VRW144" s="7"/>
      <c r="VRX144" s="7"/>
      <c r="VRY144" s="7"/>
      <c r="VRZ144" s="7"/>
      <c r="VSA144" s="7"/>
      <c r="VSB144" s="7"/>
      <c r="VSC144" s="7"/>
      <c r="VSD144" s="7"/>
      <c r="VSE144" s="7"/>
      <c r="VSF144" s="7"/>
      <c r="VSG144" s="7"/>
      <c r="VSH144" s="7"/>
      <c r="VSI144" s="7"/>
      <c r="VSJ144" s="7"/>
      <c r="VSK144" s="7"/>
      <c r="VSL144" s="7"/>
      <c r="VSM144" s="7"/>
      <c r="VSN144" s="7"/>
      <c r="VSO144" s="7"/>
      <c r="VSP144" s="7"/>
      <c r="VSQ144" s="7"/>
      <c r="VSR144" s="7"/>
      <c r="VSS144" s="7"/>
      <c r="VST144" s="7"/>
      <c r="VSU144" s="7"/>
      <c r="VSV144" s="7"/>
      <c r="VSW144" s="7"/>
      <c r="VSX144" s="7"/>
      <c r="VSY144" s="7"/>
      <c r="VSZ144" s="7"/>
      <c r="VTA144" s="7"/>
      <c r="VTB144" s="7"/>
      <c r="VTC144" s="7"/>
      <c r="VTD144" s="7"/>
      <c r="VTE144" s="7"/>
      <c r="VTF144" s="7"/>
      <c r="VTG144" s="7"/>
      <c r="VTH144" s="7"/>
      <c r="VTI144" s="7"/>
      <c r="VTJ144" s="7"/>
      <c r="VTK144" s="7"/>
      <c r="VTL144" s="7"/>
      <c r="VTM144" s="7"/>
      <c r="VTN144" s="7"/>
      <c r="VTO144" s="7"/>
      <c r="VTP144" s="7"/>
      <c r="VTQ144" s="7"/>
      <c r="VTR144" s="7"/>
      <c r="VTS144" s="7"/>
      <c r="VTT144" s="7"/>
      <c r="VTU144" s="7"/>
      <c r="VTV144" s="7"/>
      <c r="VTW144" s="7"/>
      <c r="VTX144" s="7"/>
      <c r="VTY144" s="7"/>
      <c r="VTZ144" s="7"/>
      <c r="VUA144" s="7"/>
      <c r="VUB144" s="7"/>
      <c r="VUC144" s="7"/>
      <c r="VUD144" s="7"/>
      <c r="VUE144" s="7"/>
      <c r="VUF144" s="7"/>
      <c r="VUG144" s="7"/>
      <c r="VUH144" s="7"/>
      <c r="VUI144" s="7"/>
      <c r="VUJ144" s="7"/>
      <c r="VUK144" s="7"/>
      <c r="VUL144" s="7"/>
      <c r="VUM144" s="7"/>
      <c r="VUN144" s="7"/>
      <c r="VUO144" s="7"/>
      <c r="VUP144" s="7"/>
      <c r="VUQ144" s="7"/>
      <c r="VUR144" s="7"/>
      <c r="VUS144" s="7"/>
      <c r="VUT144" s="7"/>
      <c r="VUU144" s="7"/>
      <c r="VUV144" s="7"/>
      <c r="VUW144" s="7"/>
      <c r="VUX144" s="7"/>
      <c r="VUY144" s="7"/>
      <c r="VUZ144" s="7"/>
      <c r="VVA144" s="7"/>
      <c r="VVB144" s="7"/>
      <c r="VVC144" s="7"/>
      <c r="VVD144" s="7"/>
      <c r="VVE144" s="7"/>
      <c r="VVF144" s="7"/>
      <c r="VVG144" s="7"/>
      <c r="VVH144" s="7"/>
      <c r="VVI144" s="7"/>
      <c r="VVJ144" s="7"/>
      <c r="VVK144" s="7"/>
      <c r="VVL144" s="7"/>
      <c r="VVM144" s="7"/>
      <c r="VVN144" s="7"/>
      <c r="VVO144" s="7"/>
      <c r="VVP144" s="7"/>
      <c r="VVQ144" s="7"/>
      <c r="VVR144" s="7"/>
      <c r="VVS144" s="7"/>
      <c r="VVT144" s="7"/>
      <c r="VVU144" s="7"/>
      <c r="VVV144" s="7"/>
      <c r="VVW144" s="7"/>
      <c r="VVX144" s="7"/>
      <c r="VVY144" s="7"/>
      <c r="VVZ144" s="7"/>
      <c r="VWA144" s="7"/>
      <c r="VWB144" s="7"/>
      <c r="VWC144" s="7"/>
      <c r="VWD144" s="7"/>
      <c r="VWE144" s="7"/>
      <c r="VWF144" s="7"/>
      <c r="VWG144" s="7"/>
      <c r="VWH144" s="7"/>
      <c r="VWI144" s="7"/>
      <c r="VWJ144" s="7"/>
      <c r="VWK144" s="7"/>
      <c r="VWL144" s="7"/>
      <c r="VWM144" s="7"/>
      <c r="VWN144" s="7"/>
      <c r="VWO144" s="7"/>
      <c r="VWP144" s="7"/>
      <c r="VWQ144" s="7"/>
      <c r="VWR144" s="7"/>
      <c r="VWS144" s="7"/>
      <c r="VWT144" s="7"/>
      <c r="VWU144" s="7"/>
      <c r="VWV144" s="7"/>
      <c r="VWW144" s="7"/>
      <c r="VWX144" s="7"/>
      <c r="VWY144" s="7"/>
      <c r="VWZ144" s="7"/>
      <c r="VXA144" s="7"/>
      <c r="VXB144" s="7"/>
      <c r="VXC144" s="7"/>
      <c r="VXD144" s="7"/>
      <c r="VXE144" s="7"/>
      <c r="VXF144" s="7"/>
      <c r="VXG144" s="7"/>
      <c r="VXH144" s="7"/>
      <c r="VXI144" s="7"/>
      <c r="VXJ144" s="7"/>
      <c r="VXK144" s="7"/>
      <c r="VXL144" s="7"/>
      <c r="VXM144" s="7"/>
      <c r="VXN144" s="7"/>
      <c r="VXO144" s="7"/>
      <c r="VXP144" s="7"/>
      <c r="VXQ144" s="7"/>
      <c r="VXR144" s="7"/>
      <c r="VXS144" s="7"/>
      <c r="VXT144" s="7"/>
      <c r="VXU144" s="7"/>
      <c r="VXV144" s="7"/>
      <c r="VXW144" s="7"/>
      <c r="VXX144" s="7"/>
      <c r="VXY144" s="7"/>
      <c r="VXZ144" s="7"/>
      <c r="VYA144" s="7"/>
      <c r="VYB144" s="7"/>
      <c r="VYC144" s="7"/>
      <c r="VYD144" s="7"/>
      <c r="VYE144" s="7"/>
      <c r="VYF144" s="7"/>
      <c r="VYG144" s="7"/>
      <c r="VYH144" s="7"/>
      <c r="VYI144" s="7"/>
      <c r="VYJ144" s="7"/>
      <c r="VYK144" s="7"/>
      <c r="VYL144" s="7"/>
      <c r="VYM144" s="7"/>
      <c r="VYN144" s="7"/>
      <c r="VYO144" s="7"/>
      <c r="VYP144" s="7"/>
      <c r="VYQ144" s="7"/>
      <c r="VYR144" s="7"/>
      <c r="VYS144" s="7"/>
      <c r="VYT144" s="7"/>
      <c r="VYU144" s="7"/>
      <c r="VYV144" s="7"/>
      <c r="VYW144" s="7"/>
      <c r="VYX144" s="7"/>
      <c r="VYY144" s="7"/>
      <c r="VYZ144" s="7"/>
      <c r="VZA144" s="7"/>
      <c r="VZB144" s="7"/>
      <c r="VZC144" s="7"/>
      <c r="VZD144" s="7"/>
      <c r="VZE144" s="7"/>
      <c r="VZF144" s="7"/>
      <c r="VZG144" s="7"/>
      <c r="VZH144" s="7"/>
      <c r="VZI144" s="7"/>
      <c r="VZJ144" s="7"/>
      <c r="VZK144" s="7"/>
      <c r="VZL144" s="7"/>
      <c r="VZM144" s="7"/>
      <c r="VZN144" s="7"/>
      <c r="VZO144" s="7"/>
      <c r="VZP144" s="7"/>
      <c r="VZQ144" s="7"/>
      <c r="VZR144" s="7"/>
      <c r="VZS144" s="7"/>
      <c r="VZT144" s="7"/>
      <c r="VZU144" s="7"/>
      <c r="VZV144" s="7"/>
      <c r="VZW144" s="7"/>
      <c r="VZX144" s="7"/>
      <c r="VZY144" s="7"/>
      <c r="VZZ144" s="7"/>
      <c r="WAA144" s="7"/>
      <c r="WAB144" s="7"/>
      <c r="WAC144" s="7"/>
      <c r="WAD144" s="7"/>
      <c r="WAE144" s="7"/>
      <c r="WAF144" s="7"/>
      <c r="WAG144" s="7"/>
      <c r="WAH144" s="7"/>
      <c r="WAI144" s="7"/>
      <c r="WAJ144" s="7"/>
      <c r="WAK144" s="7"/>
      <c r="WAL144" s="7"/>
      <c r="WAM144" s="7"/>
      <c r="WAN144" s="7"/>
      <c r="WAO144" s="7"/>
      <c r="WAP144" s="7"/>
      <c r="WAQ144" s="7"/>
      <c r="WAR144" s="7"/>
      <c r="WAS144" s="7"/>
      <c r="WAT144" s="7"/>
      <c r="WAU144" s="7"/>
      <c r="WAV144" s="7"/>
      <c r="WAW144" s="7"/>
      <c r="WAX144" s="7"/>
      <c r="WAY144" s="7"/>
      <c r="WAZ144" s="7"/>
      <c r="WBA144" s="7"/>
      <c r="WBB144" s="7"/>
      <c r="WBC144" s="7"/>
      <c r="WBD144" s="7"/>
      <c r="WBE144" s="7"/>
      <c r="WBF144" s="7"/>
      <c r="WBG144" s="7"/>
      <c r="WBH144" s="7"/>
      <c r="WBI144" s="7"/>
      <c r="WBJ144" s="7"/>
      <c r="WBK144" s="7"/>
      <c r="WBL144" s="7"/>
      <c r="WBM144" s="7"/>
      <c r="WBN144" s="7"/>
      <c r="WBO144" s="7"/>
      <c r="WBP144" s="7"/>
      <c r="WBQ144" s="7"/>
      <c r="WBR144" s="7"/>
      <c r="WBS144" s="7"/>
      <c r="WBT144" s="7"/>
      <c r="WBU144" s="7"/>
      <c r="WBV144" s="7"/>
      <c r="WBW144" s="7"/>
      <c r="WBX144" s="7"/>
      <c r="WBY144" s="7"/>
      <c r="WBZ144" s="7"/>
      <c r="WCA144" s="7"/>
      <c r="WCB144" s="7"/>
      <c r="WCC144" s="7"/>
      <c r="WCD144" s="7"/>
      <c r="WCE144" s="7"/>
      <c r="WCF144" s="7"/>
      <c r="WCG144" s="7"/>
      <c r="WCH144" s="7"/>
      <c r="WCI144" s="7"/>
      <c r="WCJ144" s="7"/>
      <c r="WCK144" s="7"/>
      <c r="WCL144" s="7"/>
      <c r="WCM144" s="7"/>
      <c r="WCN144" s="7"/>
      <c r="WCO144" s="7"/>
      <c r="WCP144" s="7"/>
      <c r="WCQ144" s="7"/>
      <c r="WCR144" s="7"/>
      <c r="WCS144" s="7"/>
      <c r="WCT144" s="7"/>
      <c r="WCU144" s="7"/>
      <c r="WCV144" s="7"/>
      <c r="WCW144" s="7"/>
      <c r="WCX144" s="7"/>
      <c r="WCY144" s="7"/>
      <c r="WCZ144" s="7"/>
      <c r="WDA144" s="7"/>
      <c r="WDB144" s="7"/>
      <c r="WDC144" s="7"/>
      <c r="WDD144" s="7"/>
      <c r="WDE144" s="7"/>
      <c r="WDF144" s="7"/>
      <c r="WDG144" s="7"/>
      <c r="WDH144" s="7"/>
      <c r="WDI144" s="7"/>
      <c r="WDJ144" s="7"/>
      <c r="WDK144" s="7"/>
      <c r="WDL144" s="7"/>
      <c r="WDM144" s="7"/>
      <c r="WDN144" s="7"/>
      <c r="WDO144" s="7"/>
      <c r="WDP144" s="7"/>
      <c r="WDQ144" s="7"/>
      <c r="WDR144" s="7"/>
      <c r="WDS144" s="7"/>
      <c r="WDT144" s="7"/>
      <c r="WDU144" s="7"/>
      <c r="WDV144" s="7"/>
      <c r="WDW144" s="7"/>
      <c r="WDX144" s="7"/>
      <c r="WDY144" s="7"/>
      <c r="WDZ144" s="7"/>
      <c r="WEA144" s="7"/>
      <c r="WEB144" s="7"/>
      <c r="WEC144" s="7"/>
      <c r="WED144" s="7"/>
      <c r="WEE144" s="7"/>
      <c r="WEF144" s="7"/>
      <c r="WEG144" s="7"/>
      <c r="WEH144" s="7"/>
      <c r="WEI144" s="7"/>
      <c r="WEJ144" s="7"/>
      <c r="WEK144" s="7"/>
      <c r="WEL144" s="7"/>
      <c r="WEM144" s="7"/>
      <c r="WEN144" s="7"/>
      <c r="WEO144" s="7"/>
      <c r="WEP144" s="7"/>
      <c r="WEQ144" s="7"/>
      <c r="WER144" s="7"/>
      <c r="WES144" s="7"/>
      <c r="WET144" s="7"/>
      <c r="WEU144" s="7"/>
      <c r="WEV144" s="7"/>
      <c r="WEW144" s="7"/>
      <c r="WEX144" s="7"/>
      <c r="WEY144" s="7"/>
      <c r="WEZ144" s="7"/>
      <c r="WFA144" s="7"/>
      <c r="WFB144" s="7"/>
      <c r="WFC144" s="7"/>
      <c r="WFD144" s="7"/>
      <c r="WFE144" s="7"/>
      <c r="WFF144" s="7"/>
      <c r="WFG144" s="7"/>
      <c r="WFH144" s="7"/>
      <c r="WFI144" s="7"/>
      <c r="WFJ144" s="7"/>
      <c r="WFK144" s="7"/>
      <c r="WFL144" s="7"/>
      <c r="WFM144" s="7"/>
      <c r="WFN144" s="7"/>
      <c r="WFO144" s="7"/>
      <c r="WFP144" s="7"/>
      <c r="WFQ144" s="7"/>
      <c r="WFR144" s="7"/>
      <c r="WFS144" s="7"/>
      <c r="WFT144" s="7"/>
      <c r="WFU144" s="7"/>
      <c r="WFV144" s="7"/>
      <c r="WFW144" s="7"/>
      <c r="WFX144" s="7"/>
      <c r="WFY144" s="7"/>
      <c r="WFZ144" s="7"/>
      <c r="WGA144" s="7"/>
      <c r="WGB144" s="7"/>
      <c r="WGC144" s="7"/>
      <c r="WGD144" s="7"/>
      <c r="WGE144" s="7"/>
      <c r="WGF144" s="7"/>
      <c r="WGG144" s="7"/>
      <c r="WGH144" s="7"/>
      <c r="WGI144" s="7"/>
      <c r="WGJ144" s="7"/>
      <c r="WGK144" s="7"/>
      <c r="WGL144" s="7"/>
      <c r="WGM144" s="7"/>
      <c r="WGN144" s="7"/>
      <c r="WGO144" s="7"/>
      <c r="WGP144" s="7"/>
      <c r="WGQ144" s="7"/>
      <c r="WGR144" s="7"/>
      <c r="WGS144" s="7"/>
      <c r="WGT144" s="7"/>
      <c r="WGU144" s="7"/>
      <c r="WGV144" s="7"/>
      <c r="WGW144" s="7"/>
      <c r="WGX144" s="7"/>
      <c r="WGY144" s="7"/>
      <c r="WGZ144" s="7"/>
      <c r="WHA144" s="7"/>
      <c r="WHB144" s="7"/>
      <c r="WHC144" s="7"/>
      <c r="WHD144" s="7"/>
      <c r="WHE144" s="7"/>
      <c r="WHF144" s="7"/>
      <c r="WHG144" s="7"/>
      <c r="WHH144" s="7"/>
      <c r="WHI144" s="7"/>
      <c r="WHJ144" s="7"/>
      <c r="WHK144" s="7"/>
      <c r="WHL144" s="7"/>
      <c r="WHM144" s="7"/>
      <c r="WHN144" s="7"/>
      <c r="WHO144" s="7"/>
      <c r="WHP144" s="7"/>
      <c r="WHQ144" s="7"/>
      <c r="WHR144" s="7"/>
      <c r="WHS144" s="7"/>
      <c r="WHT144" s="7"/>
      <c r="WHU144" s="7"/>
      <c r="WHV144" s="7"/>
      <c r="WHW144" s="7"/>
      <c r="WHX144" s="7"/>
      <c r="WHY144" s="7"/>
      <c r="WHZ144" s="7"/>
      <c r="WIA144" s="7"/>
      <c r="WIB144" s="7"/>
      <c r="WIC144" s="7"/>
      <c r="WID144" s="7"/>
      <c r="WIE144" s="7"/>
      <c r="WIF144" s="7"/>
      <c r="WIG144" s="7"/>
      <c r="WIH144" s="7"/>
      <c r="WII144" s="7"/>
      <c r="WIJ144" s="7"/>
      <c r="WIK144" s="7"/>
      <c r="WIL144" s="7"/>
      <c r="WIM144" s="7"/>
      <c r="WIN144" s="7"/>
      <c r="WIO144" s="7"/>
      <c r="WIP144" s="7"/>
      <c r="WIQ144" s="7"/>
      <c r="WIR144" s="7"/>
      <c r="WIS144" s="7"/>
      <c r="WIT144" s="7"/>
      <c r="WIU144" s="7"/>
      <c r="WIV144" s="7"/>
      <c r="WIW144" s="7"/>
      <c r="WIX144" s="7"/>
      <c r="WIY144" s="7"/>
      <c r="WIZ144" s="7"/>
      <c r="WJA144" s="7"/>
      <c r="WJB144" s="7"/>
      <c r="WJC144" s="7"/>
      <c r="WJD144" s="7"/>
      <c r="WJE144" s="7"/>
      <c r="WJF144" s="7"/>
      <c r="WJG144" s="7"/>
      <c r="WJH144" s="7"/>
      <c r="WJI144" s="7"/>
      <c r="WJJ144" s="7"/>
      <c r="WJK144" s="7"/>
      <c r="WJL144" s="7"/>
      <c r="WJM144" s="7"/>
      <c r="WJN144" s="7"/>
      <c r="WJO144" s="7"/>
      <c r="WJP144" s="7"/>
      <c r="WJQ144" s="7"/>
      <c r="WJR144" s="7"/>
      <c r="WJS144" s="7"/>
      <c r="WJT144" s="7"/>
      <c r="WJU144" s="7"/>
      <c r="WJV144" s="7"/>
      <c r="WJW144" s="7"/>
      <c r="WJX144" s="7"/>
      <c r="WJY144" s="7"/>
      <c r="WJZ144" s="7"/>
      <c r="WKA144" s="7"/>
      <c r="WKB144" s="7"/>
      <c r="WKC144" s="7"/>
      <c r="WKD144" s="7"/>
      <c r="WKE144" s="7"/>
      <c r="WKF144" s="7"/>
      <c r="WKG144" s="7"/>
      <c r="WKH144" s="7"/>
      <c r="WKI144" s="7"/>
      <c r="WKJ144" s="7"/>
      <c r="WKK144" s="7"/>
      <c r="WKL144" s="7"/>
      <c r="WKM144" s="7"/>
      <c r="WKN144" s="7"/>
      <c r="WKO144" s="7"/>
      <c r="WKP144" s="7"/>
      <c r="WKQ144" s="7"/>
      <c r="WKR144" s="7"/>
      <c r="WKS144" s="7"/>
      <c r="WKT144" s="7"/>
      <c r="WKU144" s="7"/>
      <c r="WKV144" s="7"/>
      <c r="WKW144" s="7"/>
      <c r="WKX144" s="7"/>
      <c r="WKY144" s="7"/>
      <c r="WKZ144" s="7"/>
      <c r="WLA144" s="7"/>
      <c r="WLB144" s="7"/>
      <c r="WLC144" s="7"/>
      <c r="WLD144" s="7"/>
      <c r="WLE144" s="7"/>
      <c r="WLF144" s="7"/>
      <c r="WLG144" s="7"/>
      <c r="WLH144" s="7"/>
      <c r="WLI144" s="7"/>
      <c r="WLJ144" s="7"/>
      <c r="WLK144" s="7"/>
      <c r="WLL144" s="7"/>
      <c r="WLM144" s="7"/>
      <c r="WLN144" s="7"/>
      <c r="WLO144" s="7"/>
      <c r="WLP144" s="7"/>
      <c r="WLQ144" s="7"/>
      <c r="WLR144" s="7"/>
      <c r="WLS144" s="7"/>
      <c r="WLT144" s="7"/>
      <c r="WLU144" s="7"/>
      <c r="WLV144" s="7"/>
      <c r="WLW144" s="7"/>
      <c r="WLX144" s="7"/>
      <c r="WLY144" s="7"/>
      <c r="WLZ144" s="7"/>
      <c r="WMA144" s="7"/>
      <c r="WMB144" s="7"/>
      <c r="WMC144" s="7"/>
      <c r="WMD144" s="7"/>
      <c r="WME144" s="7"/>
      <c r="WMF144" s="7"/>
      <c r="WMG144" s="7"/>
      <c r="WMH144" s="7"/>
      <c r="WMI144" s="7"/>
      <c r="WMJ144" s="7"/>
      <c r="WMK144" s="7"/>
      <c r="WML144" s="7"/>
      <c r="WMM144" s="7"/>
      <c r="WMN144" s="7"/>
      <c r="WMO144" s="7"/>
      <c r="WMP144" s="7"/>
      <c r="WMQ144" s="7"/>
      <c r="WMR144" s="7"/>
      <c r="WMS144" s="7"/>
      <c r="WMT144" s="7"/>
      <c r="WMU144" s="7"/>
      <c r="WMV144" s="7"/>
      <c r="WMW144" s="7"/>
      <c r="WMX144" s="7"/>
      <c r="WMY144" s="7"/>
      <c r="WMZ144" s="7"/>
      <c r="WNA144" s="7"/>
      <c r="WNB144" s="7"/>
      <c r="WNC144" s="7"/>
      <c r="WND144" s="7"/>
      <c r="WNE144" s="7"/>
      <c r="WNF144" s="7"/>
      <c r="WNG144" s="7"/>
      <c r="WNH144" s="7"/>
      <c r="WNI144" s="7"/>
      <c r="WNJ144" s="7"/>
      <c r="WNK144" s="7"/>
      <c r="WNL144" s="7"/>
      <c r="WNM144" s="7"/>
      <c r="WNN144" s="7"/>
      <c r="WNO144" s="7"/>
      <c r="WNP144" s="7"/>
      <c r="WNQ144" s="7"/>
      <c r="WNR144" s="7"/>
      <c r="WNS144" s="7"/>
      <c r="WNT144" s="7"/>
      <c r="WNU144" s="7"/>
      <c r="WNV144" s="7"/>
      <c r="WNW144" s="7"/>
      <c r="WNX144" s="7"/>
      <c r="WNY144" s="7"/>
      <c r="WNZ144" s="7"/>
      <c r="WOA144" s="7"/>
      <c r="WOB144" s="7"/>
      <c r="WOC144" s="7"/>
      <c r="WOD144" s="7"/>
      <c r="WOE144" s="7"/>
      <c r="WOF144" s="7"/>
      <c r="WOG144" s="7"/>
      <c r="WOH144" s="7"/>
      <c r="WOI144" s="7"/>
      <c r="WOJ144" s="7"/>
      <c r="WOK144" s="7"/>
      <c r="WOL144" s="7"/>
      <c r="WOM144" s="7"/>
      <c r="WON144" s="7"/>
      <c r="WOO144" s="7"/>
      <c r="WOP144" s="7"/>
      <c r="WOQ144" s="7"/>
      <c r="WOR144" s="7"/>
      <c r="WOS144" s="7"/>
      <c r="WOT144" s="7"/>
      <c r="WOU144" s="7"/>
      <c r="WOV144" s="7"/>
      <c r="WOW144" s="7"/>
      <c r="WOX144" s="7"/>
      <c r="WOY144" s="7"/>
      <c r="WOZ144" s="7"/>
      <c r="WPA144" s="7"/>
      <c r="WPB144" s="7"/>
      <c r="WPC144" s="7"/>
      <c r="WPD144" s="7"/>
      <c r="WPE144" s="7"/>
      <c r="WPF144" s="7"/>
      <c r="WPG144" s="7"/>
      <c r="WPH144" s="7"/>
      <c r="WPI144" s="7"/>
      <c r="WPJ144" s="7"/>
      <c r="WPK144" s="7"/>
      <c r="WPL144" s="7"/>
      <c r="WPM144" s="7"/>
      <c r="WPN144" s="7"/>
      <c r="WPO144" s="7"/>
      <c r="WPP144" s="7"/>
      <c r="WPQ144" s="7"/>
      <c r="WPR144" s="7"/>
      <c r="WPS144" s="7"/>
      <c r="WPT144" s="7"/>
      <c r="WPU144" s="7"/>
      <c r="WPV144" s="7"/>
      <c r="WPW144" s="7"/>
      <c r="WPX144" s="7"/>
      <c r="WPY144" s="7"/>
      <c r="WPZ144" s="7"/>
      <c r="WQA144" s="7"/>
      <c r="WQB144" s="7"/>
      <c r="WQC144" s="7"/>
      <c r="WQD144" s="7"/>
      <c r="WQE144" s="7"/>
      <c r="WQF144" s="7"/>
      <c r="WQG144" s="7"/>
      <c r="WQH144" s="7"/>
      <c r="WQI144" s="7"/>
      <c r="WQJ144" s="7"/>
      <c r="WQK144" s="7"/>
      <c r="WQL144" s="7"/>
      <c r="WQM144" s="7"/>
      <c r="WQN144" s="7"/>
      <c r="WQO144" s="7"/>
      <c r="WQP144" s="7"/>
      <c r="WQQ144" s="7"/>
      <c r="WQR144" s="7"/>
      <c r="WQS144" s="7"/>
      <c r="WQT144" s="7"/>
      <c r="WQU144" s="7"/>
      <c r="WQV144" s="7"/>
      <c r="WQW144" s="7"/>
      <c r="WQX144" s="7"/>
      <c r="WQY144" s="7"/>
      <c r="WQZ144" s="7"/>
      <c r="WRA144" s="7"/>
      <c r="WRB144" s="7"/>
      <c r="WRC144" s="7"/>
      <c r="WRD144" s="7"/>
      <c r="WRE144" s="7"/>
      <c r="WRF144" s="7"/>
      <c r="WRG144" s="7"/>
      <c r="WRH144" s="7"/>
      <c r="WRI144" s="7"/>
      <c r="WRJ144" s="7"/>
      <c r="WRK144" s="7"/>
      <c r="WRL144" s="7"/>
      <c r="WRM144" s="7"/>
      <c r="WRN144" s="7"/>
      <c r="WRO144" s="7"/>
      <c r="WRP144" s="7"/>
      <c r="WRQ144" s="7"/>
      <c r="WRR144" s="7"/>
      <c r="WRS144" s="7"/>
      <c r="WRT144" s="7"/>
      <c r="WRU144" s="7"/>
      <c r="WRV144" s="7"/>
      <c r="WRW144" s="7"/>
      <c r="WRX144" s="7"/>
      <c r="WRY144" s="7"/>
      <c r="WRZ144" s="7"/>
      <c r="WSA144" s="7"/>
      <c r="WSB144" s="7"/>
      <c r="WSC144" s="7"/>
      <c r="WSD144" s="7"/>
      <c r="WSE144" s="7"/>
      <c r="WSF144" s="7"/>
      <c r="WSG144" s="7"/>
      <c r="WSH144" s="7"/>
      <c r="WSI144" s="7"/>
      <c r="WSJ144" s="7"/>
      <c r="WSK144" s="7"/>
      <c r="WSL144" s="7"/>
      <c r="WSM144" s="7"/>
      <c r="WSN144" s="7"/>
      <c r="WSO144" s="7"/>
      <c r="WSP144" s="7"/>
      <c r="WSQ144" s="7"/>
      <c r="WSR144" s="7"/>
      <c r="WSS144" s="7"/>
      <c r="WST144" s="7"/>
      <c r="WSU144" s="7"/>
      <c r="WSV144" s="7"/>
      <c r="WSW144" s="7"/>
      <c r="WSX144" s="7"/>
      <c r="WSY144" s="7"/>
      <c r="WSZ144" s="7"/>
      <c r="WTA144" s="7"/>
      <c r="WTB144" s="7"/>
      <c r="WTC144" s="7"/>
      <c r="WTD144" s="7"/>
      <c r="WTE144" s="7"/>
      <c r="WTF144" s="7"/>
      <c r="WTG144" s="7"/>
      <c r="WTH144" s="7"/>
      <c r="WTI144" s="7"/>
      <c r="WTJ144" s="7"/>
      <c r="WTK144" s="7"/>
      <c r="WTL144" s="7"/>
      <c r="WTM144" s="7"/>
      <c r="WTN144" s="7"/>
      <c r="WTO144" s="7"/>
      <c r="WTP144" s="7"/>
      <c r="WTQ144" s="7"/>
      <c r="WTR144" s="7"/>
      <c r="WTS144" s="7"/>
      <c r="WTT144" s="7"/>
      <c r="WTU144" s="7"/>
      <c r="WTV144" s="7"/>
      <c r="WTW144" s="7"/>
      <c r="WTX144" s="7"/>
      <c r="WTY144" s="7"/>
      <c r="WTZ144" s="7"/>
      <c r="WUA144" s="7"/>
      <c r="WUB144" s="7"/>
      <c r="WUC144" s="7"/>
      <c r="WUD144" s="7"/>
      <c r="WUE144" s="7"/>
      <c r="WUF144" s="7"/>
      <c r="WUG144" s="7"/>
      <c r="WUH144" s="7"/>
      <c r="WUI144" s="7"/>
      <c r="WUJ144" s="7"/>
      <c r="WUK144" s="7"/>
      <c r="WUL144" s="7"/>
      <c r="WUM144" s="7"/>
      <c r="WUN144" s="7"/>
      <c r="WUO144" s="7"/>
      <c r="WUP144" s="7"/>
      <c r="WUQ144" s="7"/>
      <c r="WUR144" s="7"/>
      <c r="WUS144" s="7"/>
      <c r="WUT144" s="7"/>
      <c r="WUU144" s="7"/>
      <c r="WUV144" s="7"/>
      <c r="WUW144" s="7"/>
      <c r="WUX144" s="7"/>
      <c r="WUY144" s="7"/>
      <c r="WUZ144" s="7"/>
      <c r="WVA144" s="7"/>
      <c r="WVB144" s="7"/>
      <c r="WVC144" s="7"/>
      <c r="WVD144" s="7"/>
      <c r="WVE144" s="7"/>
      <c r="WVF144" s="7"/>
      <c r="WVG144" s="7"/>
      <c r="WVH144" s="7"/>
      <c r="WVI144" s="7"/>
      <c r="WVJ144" s="7"/>
      <c r="WVK144" s="7"/>
      <c r="WVL144" s="7"/>
      <c r="WVM144" s="7"/>
      <c r="WVN144" s="7"/>
      <c r="WVO144" s="7"/>
      <c r="WVP144" s="7"/>
      <c r="WVQ144" s="7"/>
      <c r="WVR144" s="7"/>
      <c r="WVS144" s="7"/>
      <c r="WVT144" s="7"/>
      <c r="WVU144" s="7"/>
      <c r="WVV144" s="7"/>
      <c r="WVW144" s="7"/>
      <c r="WVX144" s="7"/>
      <c r="WVY144" s="7"/>
      <c r="WVZ144" s="7"/>
      <c r="WWA144" s="7"/>
      <c r="WWB144" s="7"/>
      <c r="WWC144" s="7"/>
      <c r="WWD144" s="7"/>
      <c r="WWE144" s="7"/>
      <c r="WWF144" s="7"/>
      <c r="WWG144" s="7"/>
      <c r="WWH144" s="7"/>
      <c r="WWI144" s="7"/>
      <c r="WWJ144" s="7"/>
      <c r="WWK144" s="7"/>
      <c r="WWL144" s="7"/>
      <c r="WWM144" s="7"/>
      <c r="WWN144" s="7"/>
      <c r="WWO144" s="7"/>
      <c r="WWP144" s="7"/>
      <c r="WWQ144" s="7"/>
      <c r="WWR144" s="7"/>
      <c r="WWS144" s="7"/>
      <c r="WWT144" s="7"/>
      <c r="WWU144" s="7"/>
      <c r="WWV144" s="7"/>
      <c r="WWW144" s="7"/>
      <c r="WWX144" s="7"/>
      <c r="WWY144" s="7"/>
      <c r="WWZ144" s="7"/>
      <c r="WXA144" s="7"/>
      <c r="WXB144" s="7"/>
      <c r="WXC144" s="7"/>
      <c r="WXD144" s="7"/>
      <c r="WXE144" s="7"/>
      <c r="WXF144" s="7"/>
      <c r="WXG144" s="7"/>
      <c r="WXH144" s="7"/>
      <c r="WXI144" s="7"/>
      <c r="WXJ144" s="7"/>
      <c r="WXK144" s="7"/>
      <c r="WXL144" s="7"/>
      <c r="WXM144" s="7"/>
      <c r="WXN144" s="7"/>
      <c r="WXO144" s="7"/>
      <c r="WXP144" s="7"/>
      <c r="WXQ144" s="7"/>
      <c r="WXR144" s="7"/>
      <c r="WXS144" s="7"/>
      <c r="WXT144" s="7"/>
      <c r="WXU144" s="7"/>
      <c r="WXV144" s="7"/>
      <c r="WXW144" s="7"/>
      <c r="WXX144" s="7"/>
      <c r="WXY144" s="7"/>
      <c r="WXZ144" s="7"/>
      <c r="WYA144" s="7"/>
      <c r="WYB144" s="7"/>
      <c r="WYC144" s="7"/>
      <c r="WYD144" s="7"/>
      <c r="WYE144" s="7"/>
      <c r="WYF144" s="7"/>
      <c r="WYG144" s="7"/>
      <c r="WYH144" s="7"/>
      <c r="WYI144" s="7"/>
      <c r="WYJ144" s="7"/>
      <c r="WYK144" s="7"/>
      <c r="WYL144" s="7"/>
      <c r="WYM144" s="7"/>
      <c r="WYN144" s="7"/>
      <c r="WYO144" s="7"/>
      <c r="WYP144" s="7"/>
      <c r="WYQ144" s="7"/>
      <c r="WYR144" s="7"/>
      <c r="WYS144" s="7"/>
      <c r="WYT144" s="7"/>
      <c r="WYU144" s="7"/>
      <c r="WYV144" s="7"/>
      <c r="WYW144" s="7"/>
      <c r="WYX144" s="7"/>
      <c r="WYY144" s="7"/>
      <c r="WYZ144" s="7"/>
      <c r="WZA144" s="7"/>
      <c r="WZB144" s="7"/>
      <c r="WZC144" s="7"/>
      <c r="WZD144" s="7"/>
      <c r="WZE144" s="7"/>
      <c r="WZF144" s="7"/>
      <c r="WZG144" s="7"/>
      <c r="WZH144" s="7"/>
      <c r="WZI144" s="7"/>
      <c r="WZJ144" s="7"/>
      <c r="WZK144" s="7"/>
      <c r="WZL144" s="7"/>
      <c r="WZM144" s="7"/>
      <c r="WZN144" s="7"/>
      <c r="WZO144" s="7"/>
      <c r="WZP144" s="7"/>
      <c r="WZQ144" s="7"/>
      <c r="WZR144" s="7"/>
      <c r="WZS144" s="7"/>
      <c r="WZT144" s="7"/>
      <c r="WZU144" s="7"/>
      <c r="WZV144" s="7"/>
      <c r="WZW144" s="7"/>
      <c r="WZX144" s="7"/>
      <c r="WZY144" s="7"/>
      <c r="WZZ144" s="7"/>
      <c r="XAA144" s="7"/>
      <c r="XAB144" s="7"/>
      <c r="XAC144" s="7"/>
      <c r="XAD144" s="7"/>
      <c r="XAE144" s="7"/>
      <c r="XAF144" s="7"/>
      <c r="XAG144" s="7"/>
      <c r="XAH144" s="7"/>
      <c r="XAI144" s="7"/>
      <c r="XAJ144" s="7"/>
      <c r="XAK144" s="7"/>
      <c r="XAL144" s="7"/>
      <c r="XAM144" s="7"/>
      <c r="XAN144" s="7"/>
      <c r="XAO144" s="7"/>
      <c r="XAP144" s="7"/>
      <c r="XAQ144" s="7"/>
      <c r="XAR144" s="7"/>
      <c r="XAS144" s="7"/>
      <c r="XAT144" s="7"/>
      <c r="XAU144" s="7"/>
      <c r="XAV144" s="7"/>
      <c r="XAW144" s="7"/>
      <c r="XAX144" s="7"/>
      <c r="XAY144" s="7"/>
      <c r="XAZ144" s="7"/>
      <c r="XBA144" s="7"/>
      <c r="XBB144" s="7"/>
      <c r="XBC144" s="7"/>
      <c r="XBD144" s="7"/>
      <c r="XBE144" s="7"/>
      <c r="XBF144" s="7"/>
      <c r="XBG144" s="7"/>
      <c r="XBH144" s="7"/>
      <c r="XBI144" s="7"/>
      <c r="XBJ144" s="7"/>
      <c r="XBK144" s="7"/>
      <c r="XBL144" s="7"/>
      <c r="XBM144" s="7"/>
      <c r="XBN144" s="7"/>
      <c r="XBO144" s="7"/>
      <c r="XBP144" s="7"/>
      <c r="XBQ144" s="7"/>
      <c r="XBR144" s="7"/>
      <c r="XBS144" s="7"/>
      <c r="XBT144" s="7"/>
      <c r="XBU144" s="7"/>
      <c r="XBV144" s="7"/>
      <c r="XBW144" s="7"/>
      <c r="XBX144" s="7"/>
      <c r="XBY144" s="7"/>
      <c r="XBZ144" s="7"/>
      <c r="XCA144" s="7"/>
      <c r="XCB144" s="7"/>
      <c r="XCC144" s="7"/>
      <c r="XCD144" s="7"/>
      <c r="XCE144" s="7"/>
      <c r="XCF144" s="7"/>
      <c r="XCG144" s="7"/>
      <c r="XCH144" s="7"/>
      <c r="XCI144" s="7"/>
      <c r="XCJ144" s="7"/>
      <c r="XCK144" s="7"/>
      <c r="XCL144" s="7"/>
      <c r="XCM144" s="7"/>
      <c r="XCN144" s="7"/>
      <c r="XCO144" s="7"/>
      <c r="XCP144" s="7"/>
      <c r="XCQ144" s="7"/>
      <c r="XCR144" s="7"/>
      <c r="XCS144" s="7"/>
      <c r="XCT144" s="7"/>
      <c r="XCU144" s="7"/>
      <c r="XCV144" s="7"/>
      <c r="XCW144" s="7"/>
      <c r="XCX144" s="7"/>
      <c r="XCY144" s="7"/>
      <c r="XCZ144" s="7"/>
      <c r="XDA144" s="7"/>
      <c r="XDB144" s="7"/>
      <c r="XDC144" s="7"/>
      <c r="XDD144" s="7"/>
      <c r="XDE144" s="7"/>
      <c r="XDF144" s="7"/>
      <c r="XDG144" s="7"/>
      <c r="XDH144" s="7"/>
      <c r="XDI144" s="7"/>
      <c r="XDJ144" s="7"/>
      <c r="XDK144" s="7"/>
      <c r="XDL144" s="7"/>
      <c r="XDM144" s="7"/>
      <c r="XDN144" s="7"/>
      <c r="XDO144" s="7"/>
      <c r="XDP144" s="7"/>
      <c r="XDQ144" s="7"/>
      <c r="XDR144" s="7"/>
      <c r="XDS144" s="7"/>
      <c r="XDT144" s="7"/>
      <c r="XDU144" s="7"/>
      <c r="XDV144" s="7"/>
      <c r="XDW144" s="7"/>
      <c r="XDX144" s="7"/>
      <c r="XDY144" s="7"/>
      <c r="XDZ144" s="7"/>
      <c r="XEA144" s="7"/>
      <c r="XEB144" s="7"/>
      <c r="XEC144" s="7"/>
      <c r="XED144" s="7"/>
      <c r="XEE144" s="7"/>
      <c r="XEF144" s="7"/>
      <c r="XEG144" s="7"/>
      <c r="XEH144" s="7"/>
      <c r="XEI144" s="7"/>
      <c r="XEJ144" s="7"/>
      <c r="XEK144" s="7"/>
      <c r="XEL144" s="7"/>
      <c r="XEM144" s="7"/>
      <c r="XEN144" s="7"/>
      <c r="XEO144" s="7"/>
      <c r="XEP144" s="7"/>
      <c r="XEQ144" s="7"/>
      <c r="XER144" s="7"/>
      <c r="XES144" s="7"/>
      <c r="XET144" s="7"/>
      <c r="XEU144" s="7"/>
      <c r="XEV144" s="7"/>
      <c r="XEW144" s="7"/>
      <c r="XEX144" s="7"/>
      <c r="XEY144" s="7"/>
      <c r="XEZ144" s="7"/>
      <c r="XFA144" s="7"/>
      <c r="XFB144" s="7"/>
      <c r="XFC144" s="7"/>
      <c r="XFD144" s="7"/>
    </row>
    <row r="145" spans="1:16384" s="22" customFormat="1" ht="12.75" x14ac:dyDescent="0.25">
      <c r="A145" s="137"/>
      <c r="B145" s="139"/>
      <c r="C145" s="139"/>
      <c r="D145" s="139"/>
      <c r="E145" s="139"/>
      <c r="F145" s="139"/>
      <c r="G145" s="139"/>
      <c r="H145" s="139"/>
      <c r="I145" s="139"/>
      <c r="J145" s="142"/>
      <c r="K145" s="142"/>
      <c r="L145" s="142"/>
      <c r="M145" s="142"/>
      <c r="N145" s="142"/>
      <c r="O145" s="139"/>
      <c r="P145" s="139"/>
      <c r="Q145" s="139"/>
      <c r="R145" s="139"/>
      <c r="S145" s="139"/>
      <c r="T145" s="139"/>
      <c r="U145" s="139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  <c r="KT145" s="7"/>
      <c r="KU145" s="7"/>
      <c r="KV145" s="7"/>
      <c r="KW145" s="7"/>
      <c r="KX145" s="7"/>
      <c r="KY145" s="7"/>
      <c r="KZ145" s="7"/>
      <c r="LA145" s="7"/>
      <c r="LB145" s="7"/>
      <c r="LC145" s="7"/>
      <c r="LD145" s="7"/>
      <c r="LE145" s="7"/>
      <c r="LF145" s="7"/>
      <c r="LG145" s="7"/>
      <c r="LH145" s="7"/>
      <c r="LI145" s="7"/>
      <c r="LJ145" s="7"/>
      <c r="LK145" s="7"/>
      <c r="LL145" s="7"/>
      <c r="LM145" s="7"/>
      <c r="LN145" s="7"/>
      <c r="LO145" s="7"/>
      <c r="LP145" s="7"/>
      <c r="LQ145" s="7"/>
      <c r="LR145" s="7"/>
      <c r="LS145" s="7"/>
      <c r="LT145" s="7"/>
      <c r="LU145" s="7"/>
      <c r="LV145" s="7"/>
      <c r="LW145" s="7"/>
      <c r="LX145" s="7"/>
      <c r="LY145" s="7"/>
      <c r="LZ145" s="7"/>
      <c r="MA145" s="7"/>
      <c r="MB145" s="7"/>
      <c r="MC145" s="7"/>
      <c r="MD145" s="7"/>
      <c r="ME145" s="7"/>
      <c r="MF145" s="7"/>
      <c r="MG145" s="7"/>
      <c r="MH145" s="7"/>
      <c r="MI145" s="7"/>
      <c r="MJ145" s="7"/>
      <c r="MK145" s="7"/>
      <c r="ML145" s="7"/>
      <c r="MM145" s="7"/>
      <c r="MN145" s="7"/>
      <c r="MO145" s="7"/>
      <c r="MP145" s="7"/>
      <c r="MQ145" s="7"/>
      <c r="MR145" s="7"/>
      <c r="MS145" s="7"/>
      <c r="MT145" s="7"/>
      <c r="MU145" s="7"/>
      <c r="MV145" s="7"/>
      <c r="MW145" s="7"/>
      <c r="MX145" s="7"/>
      <c r="MY145" s="7"/>
      <c r="MZ145" s="7"/>
      <c r="NA145" s="7"/>
      <c r="NB145" s="7"/>
      <c r="NC145" s="7"/>
      <c r="ND145" s="7"/>
      <c r="NE145" s="7"/>
      <c r="NF145" s="7"/>
      <c r="NG145" s="7"/>
      <c r="NH145" s="7"/>
      <c r="NI145" s="7"/>
      <c r="NJ145" s="7"/>
      <c r="NK145" s="7"/>
      <c r="NL145" s="7"/>
      <c r="NM145" s="7"/>
      <c r="NN145" s="7"/>
      <c r="NO145" s="7"/>
      <c r="NP145" s="7"/>
      <c r="NQ145" s="7"/>
      <c r="NR145" s="7"/>
      <c r="NS145" s="7"/>
      <c r="NT145" s="7"/>
      <c r="NU145" s="7"/>
      <c r="NV145" s="7"/>
      <c r="NW145" s="7"/>
      <c r="NX145" s="7"/>
      <c r="NY145" s="7"/>
      <c r="NZ145" s="7"/>
      <c r="OA145" s="7"/>
      <c r="OB145" s="7"/>
      <c r="OC145" s="7"/>
      <c r="OD145" s="7"/>
      <c r="OE145" s="7"/>
      <c r="OF145" s="7"/>
      <c r="OG145" s="7"/>
      <c r="OH145" s="7"/>
      <c r="OI145" s="7"/>
      <c r="OJ145" s="7"/>
      <c r="OK145" s="7"/>
      <c r="OL145" s="7"/>
      <c r="OM145" s="7"/>
      <c r="ON145" s="7"/>
      <c r="OO145" s="7"/>
      <c r="OP145" s="7"/>
      <c r="OQ145" s="7"/>
      <c r="OR145" s="7"/>
      <c r="OS145" s="7"/>
      <c r="OT145" s="7"/>
      <c r="OU145" s="7"/>
      <c r="OV145" s="7"/>
      <c r="OW145" s="7"/>
      <c r="OX145" s="7"/>
      <c r="OY145" s="7"/>
      <c r="OZ145" s="7"/>
      <c r="PA145" s="7"/>
      <c r="PB145" s="7"/>
      <c r="PC145" s="7"/>
      <c r="PD145" s="7"/>
      <c r="PE145" s="7"/>
      <c r="PF145" s="7"/>
      <c r="PG145" s="7"/>
      <c r="PH145" s="7"/>
      <c r="PI145" s="7"/>
      <c r="PJ145" s="7"/>
      <c r="PK145" s="7"/>
      <c r="PL145" s="7"/>
      <c r="PM145" s="7"/>
      <c r="PN145" s="7"/>
      <c r="PO145" s="7"/>
      <c r="PP145" s="7"/>
      <c r="PQ145" s="7"/>
      <c r="PR145" s="7"/>
      <c r="PS145" s="7"/>
      <c r="PT145" s="7"/>
      <c r="PU145" s="7"/>
      <c r="PV145" s="7"/>
      <c r="PW145" s="7"/>
      <c r="PX145" s="7"/>
      <c r="PY145" s="7"/>
      <c r="PZ145" s="7"/>
      <c r="QA145" s="7"/>
      <c r="QB145" s="7"/>
      <c r="QC145" s="7"/>
      <c r="QD145" s="7"/>
      <c r="QE145" s="7"/>
      <c r="QF145" s="7"/>
      <c r="QG145" s="7"/>
      <c r="QH145" s="7"/>
      <c r="QI145" s="7"/>
      <c r="QJ145" s="7"/>
      <c r="QK145" s="7"/>
      <c r="QL145" s="7"/>
      <c r="QM145" s="7"/>
      <c r="QN145" s="7"/>
      <c r="QO145" s="7"/>
      <c r="QP145" s="7"/>
      <c r="QQ145" s="7"/>
      <c r="QR145" s="7"/>
      <c r="QS145" s="7"/>
      <c r="QT145" s="7"/>
      <c r="QU145" s="7"/>
      <c r="QV145" s="7"/>
      <c r="QW145" s="7"/>
      <c r="QX145" s="7"/>
      <c r="QY145" s="7"/>
      <c r="QZ145" s="7"/>
      <c r="RA145" s="7"/>
      <c r="RB145" s="7"/>
      <c r="RC145" s="7"/>
      <c r="RD145" s="7"/>
      <c r="RE145" s="7"/>
      <c r="RF145" s="7"/>
      <c r="RG145" s="7"/>
      <c r="RH145" s="7"/>
      <c r="RI145" s="7"/>
      <c r="RJ145" s="7"/>
      <c r="RK145" s="7"/>
      <c r="RL145" s="7"/>
      <c r="RM145" s="7"/>
      <c r="RN145" s="7"/>
      <c r="RO145" s="7"/>
      <c r="RP145" s="7"/>
      <c r="RQ145" s="7"/>
      <c r="RR145" s="7"/>
      <c r="RS145" s="7"/>
      <c r="RT145" s="7"/>
      <c r="RU145" s="7"/>
      <c r="RV145" s="7"/>
      <c r="RW145" s="7"/>
      <c r="RX145" s="7"/>
      <c r="RY145" s="7"/>
      <c r="RZ145" s="7"/>
      <c r="SA145" s="7"/>
      <c r="SB145" s="7"/>
      <c r="SC145" s="7"/>
      <c r="SD145" s="7"/>
      <c r="SE145" s="7"/>
      <c r="SF145" s="7"/>
      <c r="SG145" s="7"/>
      <c r="SH145" s="7"/>
      <c r="SI145" s="7"/>
      <c r="SJ145" s="7"/>
      <c r="SK145" s="7"/>
      <c r="SL145" s="7"/>
      <c r="SM145" s="7"/>
      <c r="SN145" s="7"/>
      <c r="SO145" s="7"/>
      <c r="SP145" s="7"/>
      <c r="SQ145" s="7"/>
      <c r="SR145" s="7"/>
      <c r="SS145" s="7"/>
      <c r="ST145" s="7"/>
      <c r="SU145" s="7"/>
      <c r="SV145" s="7"/>
      <c r="SW145" s="7"/>
      <c r="SX145" s="7"/>
      <c r="SY145" s="7"/>
      <c r="SZ145" s="7"/>
      <c r="TA145" s="7"/>
      <c r="TB145" s="7"/>
      <c r="TC145" s="7"/>
      <c r="TD145" s="7"/>
      <c r="TE145" s="7"/>
      <c r="TF145" s="7"/>
      <c r="TG145" s="7"/>
      <c r="TH145" s="7"/>
      <c r="TI145" s="7"/>
      <c r="TJ145" s="7"/>
      <c r="TK145" s="7"/>
      <c r="TL145" s="7"/>
      <c r="TM145" s="7"/>
      <c r="TN145" s="7"/>
      <c r="TO145" s="7"/>
      <c r="TP145" s="7"/>
      <c r="TQ145" s="7"/>
      <c r="TR145" s="7"/>
      <c r="TS145" s="7"/>
      <c r="TT145" s="7"/>
      <c r="TU145" s="7"/>
      <c r="TV145" s="7"/>
      <c r="TW145" s="7"/>
      <c r="TX145" s="7"/>
      <c r="TY145" s="7"/>
      <c r="TZ145" s="7"/>
      <c r="UA145" s="7"/>
      <c r="UB145" s="7"/>
      <c r="UC145" s="7"/>
      <c r="UD145" s="7"/>
      <c r="UE145" s="7"/>
      <c r="UF145" s="7"/>
      <c r="UG145" s="7"/>
      <c r="UH145" s="7"/>
      <c r="UI145" s="7"/>
      <c r="UJ145" s="7"/>
      <c r="UK145" s="7"/>
      <c r="UL145" s="7"/>
      <c r="UM145" s="7"/>
      <c r="UN145" s="7"/>
      <c r="UO145" s="7"/>
      <c r="UP145" s="7"/>
      <c r="UQ145" s="7"/>
      <c r="UR145" s="7"/>
      <c r="US145" s="7"/>
      <c r="UT145" s="7"/>
      <c r="UU145" s="7"/>
      <c r="UV145" s="7"/>
      <c r="UW145" s="7"/>
      <c r="UX145" s="7"/>
      <c r="UY145" s="7"/>
      <c r="UZ145" s="7"/>
      <c r="VA145" s="7"/>
      <c r="VB145" s="7"/>
      <c r="VC145" s="7"/>
      <c r="VD145" s="7"/>
      <c r="VE145" s="7"/>
      <c r="VF145" s="7"/>
      <c r="VG145" s="7"/>
      <c r="VH145" s="7"/>
      <c r="VI145" s="7"/>
      <c r="VJ145" s="7"/>
      <c r="VK145" s="7"/>
      <c r="VL145" s="7"/>
      <c r="VM145" s="7"/>
      <c r="VN145" s="7"/>
      <c r="VO145" s="7"/>
      <c r="VP145" s="7"/>
      <c r="VQ145" s="7"/>
      <c r="VR145" s="7"/>
      <c r="VS145" s="7"/>
      <c r="VT145" s="7"/>
      <c r="VU145" s="7"/>
      <c r="VV145" s="7"/>
      <c r="VW145" s="7"/>
      <c r="VX145" s="7"/>
      <c r="VY145" s="7"/>
      <c r="VZ145" s="7"/>
      <c r="WA145" s="7"/>
      <c r="WB145" s="7"/>
      <c r="WC145" s="7"/>
      <c r="WD145" s="7"/>
      <c r="WE145" s="7"/>
      <c r="WF145" s="7"/>
      <c r="WG145" s="7"/>
      <c r="WH145" s="7"/>
      <c r="WI145" s="7"/>
      <c r="WJ145" s="7"/>
      <c r="WK145" s="7"/>
      <c r="WL145" s="7"/>
      <c r="WM145" s="7"/>
      <c r="WN145" s="7"/>
      <c r="WO145" s="7"/>
      <c r="WP145" s="7"/>
      <c r="WQ145" s="7"/>
      <c r="WR145" s="7"/>
      <c r="WS145" s="7"/>
      <c r="WT145" s="7"/>
      <c r="WU145" s="7"/>
      <c r="WV145" s="7"/>
      <c r="WW145" s="7"/>
      <c r="WX145" s="7"/>
      <c r="WY145" s="7"/>
      <c r="WZ145" s="7"/>
      <c r="XA145" s="7"/>
      <c r="XB145" s="7"/>
      <c r="XC145" s="7"/>
      <c r="XD145" s="7"/>
      <c r="XE145" s="7"/>
      <c r="XF145" s="7"/>
      <c r="XG145" s="7"/>
      <c r="XH145" s="7"/>
      <c r="XI145" s="7"/>
      <c r="XJ145" s="7"/>
      <c r="XK145" s="7"/>
      <c r="XL145" s="7"/>
      <c r="XM145" s="7"/>
      <c r="XN145" s="7"/>
      <c r="XO145" s="7"/>
      <c r="XP145" s="7"/>
      <c r="XQ145" s="7"/>
      <c r="XR145" s="7"/>
      <c r="XS145" s="7"/>
      <c r="XT145" s="7"/>
      <c r="XU145" s="7"/>
      <c r="XV145" s="7"/>
      <c r="XW145" s="7"/>
      <c r="XX145" s="7"/>
      <c r="XY145" s="7"/>
      <c r="XZ145" s="7"/>
      <c r="YA145" s="7"/>
      <c r="YB145" s="7"/>
      <c r="YC145" s="7"/>
      <c r="YD145" s="7"/>
      <c r="YE145" s="7"/>
      <c r="YF145" s="7"/>
      <c r="YG145" s="7"/>
      <c r="YH145" s="7"/>
      <c r="YI145" s="7"/>
      <c r="YJ145" s="7"/>
      <c r="YK145" s="7"/>
      <c r="YL145" s="7"/>
      <c r="YM145" s="7"/>
      <c r="YN145" s="7"/>
      <c r="YO145" s="7"/>
      <c r="YP145" s="7"/>
      <c r="YQ145" s="7"/>
      <c r="YR145" s="7"/>
      <c r="YS145" s="7"/>
      <c r="YT145" s="7"/>
      <c r="YU145" s="7"/>
      <c r="YV145" s="7"/>
      <c r="YW145" s="7"/>
      <c r="YX145" s="7"/>
      <c r="YY145" s="7"/>
      <c r="YZ145" s="7"/>
      <c r="ZA145" s="7"/>
      <c r="ZB145" s="7"/>
      <c r="ZC145" s="7"/>
      <c r="ZD145" s="7"/>
      <c r="ZE145" s="7"/>
      <c r="ZF145" s="7"/>
      <c r="ZG145" s="7"/>
      <c r="ZH145" s="7"/>
      <c r="ZI145" s="7"/>
      <c r="ZJ145" s="7"/>
      <c r="ZK145" s="7"/>
      <c r="ZL145" s="7"/>
      <c r="ZM145" s="7"/>
      <c r="ZN145" s="7"/>
      <c r="ZO145" s="7"/>
      <c r="ZP145" s="7"/>
      <c r="ZQ145" s="7"/>
      <c r="ZR145" s="7"/>
      <c r="ZS145" s="7"/>
      <c r="ZT145" s="7"/>
      <c r="ZU145" s="7"/>
      <c r="ZV145" s="7"/>
      <c r="ZW145" s="7"/>
      <c r="ZX145" s="7"/>
      <c r="ZY145" s="7"/>
      <c r="ZZ145" s="7"/>
      <c r="AAA145" s="7"/>
      <c r="AAB145" s="7"/>
      <c r="AAC145" s="7"/>
      <c r="AAD145" s="7"/>
      <c r="AAE145" s="7"/>
      <c r="AAF145" s="7"/>
      <c r="AAG145" s="7"/>
      <c r="AAH145" s="7"/>
      <c r="AAI145" s="7"/>
      <c r="AAJ145" s="7"/>
      <c r="AAK145" s="7"/>
      <c r="AAL145" s="7"/>
      <c r="AAM145" s="7"/>
      <c r="AAN145" s="7"/>
      <c r="AAO145" s="7"/>
      <c r="AAP145" s="7"/>
      <c r="AAQ145" s="7"/>
      <c r="AAR145" s="7"/>
      <c r="AAS145" s="7"/>
      <c r="AAT145" s="7"/>
      <c r="AAU145" s="7"/>
      <c r="AAV145" s="7"/>
      <c r="AAW145" s="7"/>
      <c r="AAX145" s="7"/>
      <c r="AAY145" s="7"/>
      <c r="AAZ145" s="7"/>
      <c r="ABA145" s="7"/>
      <c r="ABB145" s="7"/>
      <c r="ABC145" s="7"/>
      <c r="ABD145" s="7"/>
      <c r="ABE145" s="7"/>
      <c r="ABF145" s="7"/>
      <c r="ABG145" s="7"/>
      <c r="ABH145" s="7"/>
      <c r="ABI145" s="7"/>
      <c r="ABJ145" s="7"/>
      <c r="ABK145" s="7"/>
      <c r="ABL145" s="7"/>
      <c r="ABM145" s="7"/>
      <c r="ABN145" s="7"/>
      <c r="ABO145" s="7"/>
      <c r="ABP145" s="7"/>
      <c r="ABQ145" s="7"/>
      <c r="ABR145" s="7"/>
      <c r="ABS145" s="7"/>
      <c r="ABT145" s="7"/>
      <c r="ABU145" s="7"/>
      <c r="ABV145" s="7"/>
      <c r="ABW145" s="7"/>
      <c r="ABX145" s="7"/>
      <c r="ABY145" s="7"/>
      <c r="ABZ145" s="7"/>
      <c r="ACA145" s="7"/>
      <c r="ACB145" s="7"/>
      <c r="ACC145" s="7"/>
      <c r="ACD145" s="7"/>
      <c r="ACE145" s="7"/>
      <c r="ACF145" s="7"/>
      <c r="ACG145" s="7"/>
      <c r="ACH145" s="7"/>
      <c r="ACI145" s="7"/>
      <c r="ACJ145" s="7"/>
      <c r="ACK145" s="7"/>
      <c r="ACL145" s="7"/>
      <c r="ACM145" s="7"/>
      <c r="ACN145" s="7"/>
      <c r="ACO145" s="7"/>
      <c r="ACP145" s="7"/>
      <c r="ACQ145" s="7"/>
      <c r="ACR145" s="7"/>
      <c r="ACS145" s="7"/>
      <c r="ACT145" s="7"/>
      <c r="ACU145" s="7"/>
      <c r="ACV145" s="7"/>
      <c r="ACW145" s="7"/>
      <c r="ACX145" s="7"/>
      <c r="ACY145" s="7"/>
      <c r="ACZ145" s="7"/>
      <c r="ADA145" s="7"/>
      <c r="ADB145" s="7"/>
      <c r="ADC145" s="7"/>
      <c r="ADD145" s="7"/>
      <c r="ADE145" s="7"/>
      <c r="ADF145" s="7"/>
      <c r="ADG145" s="7"/>
      <c r="ADH145" s="7"/>
      <c r="ADI145" s="7"/>
      <c r="ADJ145" s="7"/>
      <c r="ADK145" s="7"/>
      <c r="ADL145" s="7"/>
      <c r="ADM145" s="7"/>
      <c r="ADN145" s="7"/>
      <c r="ADO145" s="7"/>
      <c r="ADP145" s="7"/>
      <c r="ADQ145" s="7"/>
      <c r="ADR145" s="7"/>
      <c r="ADS145" s="7"/>
      <c r="ADT145" s="7"/>
      <c r="ADU145" s="7"/>
      <c r="ADV145" s="7"/>
      <c r="ADW145" s="7"/>
      <c r="ADX145" s="7"/>
      <c r="ADY145" s="7"/>
      <c r="ADZ145" s="7"/>
      <c r="AEA145" s="7"/>
      <c r="AEB145" s="7"/>
      <c r="AEC145" s="7"/>
      <c r="AED145" s="7"/>
      <c r="AEE145" s="7"/>
      <c r="AEF145" s="7"/>
      <c r="AEG145" s="7"/>
      <c r="AEH145" s="7"/>
      <c r="AEI145" s="7"/>
      <c r="AEJ145" s="7"/>
      <c r="AEK145" s="7"/>
      <c r="AEL145" s="7"/>
      <c r="AEM145" s="7"/>
      <c r="AEN145" s="7"/>
      <c r="AEO145" s="7"/>
      <c r="AEP145" s="7"/>
      <c r="AEQ145" s="7"/>
      <c r="AER145" s="7"/>
      <c r="AES145" s="7"/>
      <c r="AET145" s="7"/>
      <c r="AEU145" s="7"/>
      <c r="AEV145" s="7"/>
      <c r="AEW145" s="7"/>
      <c r="AEX145" s="7"/>
      <c r="AEY145" s="7"/>
      <c r="AEZ145" s="7"/>
      <c r="AFA145" s="7"/>
      <c r="AFB145" s="7"/>
      <c r="AFC145" s="7"/>
      <c r="AFD145" s="7"/>
      <c r="AFE145" s="7"/>
      <c r="AFF145" s="7"/>
      <c r="AFG145" s="7"/>
      <c r="AFH145" s="7"/>
      <c r="AFI145" s="7"/>
      <c r="AFJ145" s="7"/>
      <c r="AFK145" s="7"/>
      <c r="AFL145" s="7"/>
      <c r="AFM145" s="7"/>
      <c r="AFN145" s="7"/>
      <c r="AFO145" s="7"/>
      <c r="AFP145" s="7"/>
      <c r="AFQ145" s="7"/>
      <c r="AFR145" s="7"/>
      <c r="AFS145" s="7"/>
      <c r="AFT145" s="7"/>
      <c r="AFU145" s="7"/>
      <c r="AFV145" s="7"/>
      <c r="AFW145" s="7"/>
      <c r="AFX145" s="7"/>
      <c r="AFY145" s="7"/>
      <c r="AFZ145" s="7"/>
      <c r="AGA145" s="7"/>
      <c r="AGB145" s="7"/>
      <c r="AGC145" s="7"/>
      <c r="AGD145" s="7"/>
      <c r="AGE145" s="7"/>
      <c r="AGF145" s="7"/>
      <c r="AGG145" s="7"/>
      <c r="AGH145" s="7"/>
      <c r="AGI145" s="7"/>
      <c r="AGJ145" s="7"/>
      <c r="AGK145" s="7"/>
      <c r="AGL145" s="7"/>
      <c r="AGM145" s="7"/>
      <c r="AGN145" s="7"/>
      <c r="AGO145" s="7"/>
      <c r="AGP145" s="7"/>
      <c r="AGQ145" s="7"/>
      <c r="AGR145" s="7"/>
      <c r="AGS145" s="7"/>
      <c r="AGT145" s="7"/>
      <c r="AGU145" s="7"/>
      <c r="AGV145" s="7"/>
      <c r="AGW145" s="7"/>
      <c r="AGX145" s="7"/>
      <c r="AGY145" s="7"/>
      <c r="AGZ145" s="7"/>
      <c r="AHA145" s="7"/>
      <c r="AHB145" s="7"/>
      <c r="AHC145" s="7"/>
      <c r="AHD145" s="7"/>
      <c r="AHE145" s="7"/>
      <c r="AHF145" s="7"/>
      <c r="AHG145" s="7"/>
      <c r="AHH145" s="7"/>
      <c r="AHI145" s="7"/>
      <c r="AHJ145" s="7"/>
      <c r="AHK145" s="7"/>
      <c r="AHL145" s="7"/>
      <c r="AHM145" s="7"/>
      <c r="AHN145" s="7"/>
      <c r="AHO145" s="7"/>
      <c r="AHP145" s="7"/>
      <c r="AHQ145" s="7"/>
      <c r="AHR145" s="7"/>
      <c r="AHS145" s="7"/>
      <c r="AHT145" s="7"/>
      <c r="AHU145" s="7"/>
      <c r="AHV145" s="7"/>
      <c r="AHW145" s="7"/>
      <c r="AHX145" s="7"/>
      <c r="AHY145" s="7"/>
      <c r="AHZ145" s="7"/>
      <c r="AIA145" s="7"/>
      <c r="AIB145" s="7"/>
      <c r="AIC145" s="7"/>
      <c r="AID145" s="7"/>
      <c r="AIE145" s="7"/>
      <c r="AIF145" s="7"/>
      <c r="AIG145" s="7"/>
      <c r="AIH145" s="7"/>
      <c r="AII145" s="7"/>
      <c r="AIJ145" s="7"/>
      <c r="AIK145" s="7"/>
      <c r="AIL145" s="7"/>
      <c r="AIM145" s="7"/>
      <c r="AIN145" s="7"/>
      <c r="AIO145" s="7"/>
      <c r="AIP145" s="7"/>
      <c r="AIQ145" s="7"/>
      <c r="AIR145" s="7"/>
      <c r="AIS145" s="7"/>
      <c r="AIT145" s="7"/>
      <c r="AIU145" s="7"/>
      <c r="AIV145" s="7"/>
      <c r="AIW145" s="7"/>
      <c r="AIX145" s="7"/>
      <c r="AIY145" s="7"/>
      <c r="AIZ145" s="7"/>
      <c r="AJA145" s="7"/>
      <c r="AJB145" s="7"/>
      <c r="AJC145" s="7"/>
      <c r="AJD145" s="7"/>
      <c r="AJE145" s="7"/>
      <c r="AJF145" s="7"/>
      <c r="AJG145" s="7"/>
      <c r="AJH145" s="7"/>
      <c r="AJI145" s="7"/>
      <c r="AJJ145" s="7"/>
      <c r="AJK145" s="7"/>
      <c r="AJL145" s="7"/>
      <c r="AJM145" s="7"/>
      <c r="AJN145" s="7"/>
      <c r="AJO145" s="7"/>
      <c r="AJP145" s="7"/>
      <c r="AJQ145" s="7"/>
      <c r="AJR145" s="7"/>
      <c r="AJS145" s="7"/>
      <c r="AJT145" s="7"/>
      <c r="AJU145" s="7"/>
      <c r="AJV145" s="7"/>
      <c r="AJW145" s="7"/>
      <c r="AJX145" s="7"/>
      <c r="AJY145" s="7"/>
      <c r="AJZ145" s="7"/>
      <c r="AKA145" s="7"/>
      <c r="AKB145" s="7"/>
      <c r="AKC145" s="7"/>
      <c r="AKD145" s="7"/>
      <c r="AKE145" s="7"/>
      <c r="AKF145" s="7"/>
      <c r="AKG145" s="7"/>
      <c r="AKH145" s="7"/>
      <c r="AKI145" s="7"/>
      <c r="AKJ145" s="7"/>
      <c r="AKK145" s="7"/>
      <c r="AKL145" s="7"/>
      <c r="AKM145" s="7"/>
      <c r="AKN145" s="7"/>
      <c r="AKO145" s="7"/>
      <c r="AKP145" s="7"/>
      <c r="AKQ145" s="7"/>
      <c r="AKR145" s="7"/>
      <c r="AKS145" s="7"/>
      <c r="AKT145" s="7"/>
      <c r="AKU145" s="7"/>
      <c r="AKV145" s="7"/>
      <c r="AKW145" s="7"/>
      <c r="AKX145" s="7"/>
      <c r="AKY145" s="7"/>
      <c r="AKZ145" s="7"/>
      <c r="ALA145" s="7"/>
      <c r="ALB145" s="7"/>
      <c r="ALC145" s="7"/>
      <c r="ALD145" s="7"/>
      <c r="ALE145" s="7"/>
      <c r="ALF145" s="7"/>
      <c r="ALG145" s="7"/>
      <c r="ALH145" s="7"/>
      <c r="ALI145" s="7"/>
      <c r="ALJ145" s="7"/>
      <c r="ALK145" s="7"/>
      <c r="ALL145" s="7"/>
      <c r="ALM145" s="7"/>
      <c r="ALN145" s="7"/>
      <c r="ALO145" s="7"/>
      <c r="ALP145" s="7"/>
      <c r="ALQ145" s="7"/>
      <c r="ALR145" s="7"/>
      <c r="ALS145" s="7"/>
      <c r="ALT145" s="7"/>
      <c r="ALU145" s="7"/>
      <c r="ALV145" s="7"/>
      <c r="ALW145" s="7"/>
      <c r="ALX145" s="7"/>
      <c r="ALY145" s="7"/>
      <c r="ALZ145" s="7"/>
      <c r="AMA145" s="7"/>
      <c r="AMB145" s="7"/>
      <c r="AMC145" s="7"/>
      <c r="AMD145" s="7"/>
      <c r="AME145" s="7"/>
      <c r="AMF145" s="7"/>
      <c r="AMG145" s="7"/>
      <c r="AMH145" s="7"/>
      <c r="AMI145" s="7"/>
      <c r="AMJ145" s="7"/>
      <c r="AMK145" s="7"/>
      <c r="AML145" s="7"/>
      <c r="AMM145" s="7"/>
      <c r="AMN145" s="7"/>
      <c r="AMO145" s="7"/>
      <c r="AMP145" s="7"/>
      <c r="AMQ145" s="7"/>
      <c r="AMR145" s="7"/>
      <c r="AMS145" s="7"/>
      <c r="AMT145" s="7"/>
      <c r="AMU145" s="7"/>
      <c r="AMV145" s="7"/>
      <c r="AMW145" s="7"/>
      <c r="AMX145" s="7"/>
      <c r="AMY145" s="7"/>
      <c r="AMZ145" s="7"/>
      <c r="ANA145" s="7"/>
      <c r="ANB145" s="7"/>
      <c r="ANC145" s="7"/>
      <c r="AND145" s="7"/>
      <c r="ANE145" s="7"/>
      <c r="ANF145" s="7"/>
      <c r="ANG145" s="7"/>
      <c r="ANH145" s="7"/>
      <c r="ANI145" s="7"/>
      <c r="ANJ145" s="7"/>
      <c r="ANK145" s="7"/>
      <c r="ANL145" s="7"/>
      <c r="ANM145" s="7"/>
      <c r="ANN145" s="7"/>
      <c r="ANO145" s="7"/>
      <c r="ANP145" s="7"/>
      <c r="ANQ145" s="7"/>
      <c r="ANR145" s="7"/>
      <c r="ANS145" s="7"/>
      <c r="ANT145" s="7"/>
      <c r="ANU145" s="7"/>
      <c r="ANV145" s="7"/>
      <c r="ANW145" s="7"/>
      <c r="ANX145" s="7"/>
      <c r="ANY145" s="7"/>
      <c r="ANZ145" s="7"/>
      <c r="AOA145" s="7"/>
      <c r="AOB145" s="7"/>
      <c r="AOC145" s="7"/>
      <c r="AOD145" s="7"/>
      <c r="AOE145" s="7"/>
      <c r="AOF145" s="7"/>
      <c r="AOG145" s="7"/>
      <c r="AOH145" s="7"/>
      <c r="AOI145" s="7"/>
      <c r="AOJ145" s="7"/>
      <c r="AOK145" s="7"/>
      <c r="AOL145" s="7"/>
      <c r="AOM145" s="7"/>
      <c r="AON145" s="7"/>
      <c r="AOO145" s="7"/>
      <c r="AOP145" s="7"/>
      <c r="AOQ145" s="7"/>
      <c r="AOR145" s="7"/>
      <c r="AOS145" s="7"/>
      <c r="AOT145" s="7"/>
      <c r="AOU145" s="7"/>
      <c r="AOV145" s="7"/>
      <c r="AOW145" s="7"/>
      <c r="AOX145" s="7"/>
      <c r="AOY145" s="7"/>
      <c r="AOZ145" s="7"/>
      <c r="APA145" s="7"/>
      <c r="APB145" s="7"/>
      <c r="APC145" s="7"/>
      <c r="APD145" s="7"/>
      <c r="APE145" s="7"/>
      <c r="APF145" s="7"/>
      <c r="APG145" s="7"/>
      <c r="APH145" s="7"/>
      <c r="API145" s="7"/>
      <c r="APJ145" s="7"/>
      <c r="APK145" s="7"/>
      <c r="APL145" s="7"/>
      <c r="APM145" s="7"/>
      <c r="APN145" s="7"/>
      <c r="APO145" s="7"/>
      <c r="APP145" s="7"/>
      <c r="APQ145" s="7"/>
      <c r="APR145" s="7"/>
      <c r="APS145" s="7"/>
      <c r="APT145" s="7"/>
      <c r="APU145" s="7"/>
      <c r="APV145" s="7"/>
      <c r="APW145" s="7"/>
      <c r="APX145" s="7"/>
      <c r="APY145" s="7"/>
      <c r="APZ145" s="7"/>
      <c r="AQA145" s="7"/>
      <c r="AQB145" s="7"/>
      <c r="AQC145" s="7"/>
      <c r="AQD145" s="7"/>
      <c r="AQE145" s="7"/>
      <c r="AQF145" s="7"/>
      <c r="AQG145" s="7"/>
      <c r="AQH145" s="7"/>
      <c r="AQI145" s="7"/>
      <c r="AQJ145" s="7"/>
      <c r="AQK145" s="7"/>
      <c r="AQL145" s="7"/>
      <c r="AQM145" s="7"/>
      <c r="AQN145" s="7"/>
      <c r="AQO145" s="7"/>
      <c r="AQP145" s="7"/>
      <c r="AQQ145" s="7"/>
      <c r="AQR145" s="7"/>
      <c r="AQS145" s="7"/>
      <c r="AQT145" s="7"/>
      <c r="AQU145" s="7"/>
      <c r="AQV145" s="7"/>
      <c r="AQW145" s="7"/>
      <c r="AQX145" s="7"/>
      <c r="AQY145" s="7"/>
      <c r="AQZ145" s="7"/>
      <c r="ARA145" s="7"/>
      <c r="ARB145" s="7"/>
      <c r="ARC145" s="7"/>
      <c r="ARD145" s="7"/>
      <c r="ARE145" s="7"/>
      <c r="ARF145" s="7"/>
      <c r="ARG145" s="7"/>
      <c r="ARH145" s="7"/>
      <c r="ARI145" s="7"/>
      <c r="ARJ145" s="7"/>
      <c r="ARK145" s="7"/>
      <c r="ARL145" s="7"/>
      <c r="ARM145" s="7"/>
      <c r="ARN145" s="7"/>
      <c r="ARO145" s="7"/>
      <c r="ARP145" s="7"/>
      <c r="ARQ145" s="7"/>
      <c r="ARR145" s="7"/>
      <c r="ARS145" s="7"/>
      <c r="ART145" s="7"/>
      <c r="ARU145" s="7"/>
      <c r="ARV145" s="7"/>
      <c r="ARW145" s="7"/>
      <c r="ARX145" s="7"/>
      <c r="ARY145" s="7"/>
      <c r="ARZ145" s="7"/>
      <c r="ASA145" s="7"/>
      <c r="ASB145" s="7"/>
      <c r="ASC145" s="7"/>
      <c r="ASD145" s="7"/>
      <c r="ASE145" s="7"/>
      <c r="ASF145" s="7"/>
      <c r="ASG145" s="7"/>
      <c r="ASH145" s="7"/>
      <c r="ASI145" s="7"/>
      <c r="ASJ145" s="7"/>
      <c r="ASK145" s="7"/>
      <c r="ASL145" s="7"/>
      <c r="ASM145" s="7"/>
      <c r="ASN145" s="7"/>
      <c r="ASO145" s="7"/>
      <c r="ASP145" s="7"/>
      <c r="ASQ145" s="7"/>
      <c r="ASR145" s="7"/>
      <c r="ASS145" s="7"/>
      <c r="AST145" s="7"/>
      <c r="ASU145" s="7"/>
      <c r="ASV145" s="7"/>
      <c r="ASW145" s="7"/>
      <c r="ASX145" s="7"/>
      <c r="ASY145" s="7"/>
      <c r="ASZ145" s="7"/>
      <c r="ATA145" s="7"/>
      <c r="ATB145" s="7"/>
      <c r="ATC145" s="7"/>
      <c r="ATD145" s="7"/>
      <c r="ATE145" s="7"/>
      <c r="ATF145" s="7"/>
      <c r="ATG145" s="7"/>
      <c r="ATH145" s="7"/>
      <c r="ATI145" s="7"/>
      <c r="ATJ145" s="7"/>
      <c r="ATK145" s="7"/>
      <c r="ATL145" s="7"/>
      <c r="ATM145" s="7"/>
      <c r="ATN145" s="7"/>
      <c r="ATO145" s="7"/>
      <c r="ATP145" s="7"/>
      <c r="ATQ145" s="7"/>
      <c r="ATR145" s="7"/>
      <c r="ATS145" s="7"/>
      <c r="ATT145" s="7"/>
      <c r="ATU145" s="7"/>
      <c r="ATV145" s="7"/>
      <c r="ATW145" s="7"/>
      <c r="ATX145" s="7"/>
      <c r="ATY145" s="7"/>
      <c r="ATZ145" s="7"/>
      <c r="AUA145" s="7"/>
      <c r="AUB145" s="7"/>
      <c r="AUC145" s="7"/>
      <c r="AUD145" s="7"/>
      <c r="AUE145" s="7"/>
      <c r="AUF145" s="7"/>
      <c r="AUG145" s="7"/>
      <c r="AUH145" s="7"/>
      <c r="AUI145" s="7"/>
      <c r="AUJ145" s="7"/>
      <c r="AUK145" s="7"/>
      <c r="AUL145" s="7"/>
      <c r="AUM145" s="7"/>
      <c r="AUN145" s="7"/>
      <c r="AUO145" s="7"/>
      <c r="AUP145" s="7"/>
      <c r="AUQ145" s="7"/>
      <c r="AUR145" s="7"/>
      <c r="AUS145" s="7"/>
      <c r="AUT145" s="7"/>
      <c r="AUU145" s="7"/>
      <c r="AUV145" s="7"/>
      <c r="AUW145" s="7"/>
      <c r="AUX145" s="7"/>
      <c r="AUY145" s="7"/>
      <c r="AUZ145" s="7"/>
      <c r="AVA145" s="7"/>
      <c r="AVB145" s="7"/>
      <c r="AVC145" s="7"/>
      <c r="AVD145" s="7"/>
      <c r="AVE145" s="7"/>
      <c r="AVF145" s="7"/>
      <c r="AVG145" s="7"/>
      <c r="AVH145" s="7"/>
      <c r="AVI145" s="7"/>
      <c r="AVJ145" s="7"/>
      <c r="AVK145" s="7"/>
      <c r="AVL145" s="7"/>
      <c r="AVM145" s="7"/>
      <c r="AVN145" s="7"/>
      <c r="AVO145" s="7"/>
      <c r="AVP145" s="7"/>
      <c r="AVQ145" s="7"/>
      <c r="AVR145" s="7"/>
      <c r="AVS145" s="7"/>
      <c r="AVT145" s="7"/>
      <c r="AVU145" s="7"/>
      <c r="AVV145" s="7"/>
      <c r="AVW145" s="7"/>
      <c r="AVX145" s="7"/>
      <c r="AVY145" s="7"/>
      <c r="AVZ145" s="7"/>
      <c r="AWA145" s="7"/>
      <c r="AWB145" s="7"/>
      <c r="AWC145" s="7"/>
      <c r="AWD145" s="7"/>
      <c r="AWE145" s="7"/>
      <c r="AWF145" s="7"/>
      <c r="AWG145" s="7"/>
      <c r="AWH145" s="7"/>
      <c r="AWI145" s="7"/>
      <c r="AWJ145" s="7"/>
      <c r="AWK145" s="7"/>
      <c r="AWL145" s="7"/>
      <c r="AWM145" s="7"/>
      <c r="AWN145" s="7"/>
      <c r="AWO145" s="7"/>
      <c r="AWP145" s="7"/>
      <c r="AWQ145" s="7"/>
      <c r="AWR145" s="7"/>
      <c r="AWS145" s="7"/>
      <c r="AWT145" s="7"/>
      <c r="AWU145" s="7"/>
      <c r="AWV145" s="7"/>
      <c r="AWW145" s="7"/>
      <c r="AWX145" s="7"/>
      <c r="AWY145" s="7"/>
      <c r="AWZ145" s="7"/>
      <c r="AXA145" s="7"/>
      <c r="AXB145" s="7"/>
      <c r="AXC145" s="7"/>
      <c r="AXD145" s="7"/>
      <c r="AXE145" s="7"/>
      <c r="AXF145" s="7"/>
      <c r="AXG145" s="7"/>
      <c r="AXH145" s="7"/>
      <c r="AXI145" s="7"/>
      <c r="AXJ145" s="7"/>
      <c r="AXK145" s="7"/>
      <c r="AXL145" s="7"/>
      <c r="AXM145" s="7"/>
      <c r="AXN145" s="7"/>
      <c r="AXO145" s="7"/>
      <c r="AXP145" s="7"/>
      <c r="AXQ145" s="7"/>
      <c r="AXR145" s="7"/>
      <c r="AXS145" s="7"/>
      <c r="AXT145" s="7"/>
      <c r="AXU145" s="7"/>
      <c r="AXV145" s="7"/>
      <c r="AXW145" s="7"/>
      <c r="AXX145" s="7"/>
      <c r="AXY145" s="7"/>
      <c r="AXZ145" s="7"/>
      <c r="AYA145" s="7"/>
      <c r="AYB145" s="7"/>
      <c r="AYC145" s="7"/>
      <c r="AYD145" s="7"/>
      <c r="AYE145" s="7"/>
      <c r="AYF145" s="7"/>
      <c r="AYG145" s="7"/>
      <c r="AYH145" s="7"/>
      <c r="AYI145" s="7"/>
      <c r="AYJ145" s="7"/>
      <c r="AYK145" s="7"/>
      <c r="AYL145" s="7"/>
      <c r="AYM145" s="7"/>
      <c r="AYN145" s="7"/>
      <c r="AYO145" s="7"/>
      <c r="AYP145" s="7"/>
      <c r="AYQ145" s="7"/>
      <c r="AYR145" s="7"/>
      <c r="AYS145" s="7"/>
      <c r="AYT145" s="7"/>
      <c r="AYU145" s="7"/>
      <c r="AYV145" s="7"/>
      <c r="AYW145" s="7"/>
      <c r="AYX145" s="7"/>
      <c r="AYY145" s="7"/>
      <c r="AYZ145" s="7"/>
      <c r="AZA145" s="7"/>
      <c r="AZB145" s="7"/>
      <c r="AZC145" s="7"/>
      <c r="AZD145" s="7"/>
      <c r="AZE145" s="7"/>
      <c r="AZF145" s="7"/>
      <c r="AZG145" s="7"/>
      <c r="AZH145" s="7"/>
      <c r="AZI145" s="7"/>
      <c r="AZJ145" s="7"/>
      <c r="AZK145" s="7"/>
      <c r="AZL145" s="7"/>
      <c r="AZM145" s="7"/>
      <c r="AZN145" s="7"/>
      <c r="AZO145" s="7"/>
      <c r="AZP145" s="7"/>
      <c r="AZQ145" s="7"/>
      <c r="AZR145" s="7"/>
      <c r="AZS145" s="7"/>
      <c r="AZT145" s="7"/>
      <c r="AZU145" s="7"/>
      <c r="AZV145" s="7"/>
      <c r="AZW145" s="7"/>
      <c r="AZX145" s="7"/>
      <c r="AZY145" s="7"/>
      <c r="AZZ145" s="7"/>
      <c r="BAA145" s="7"/>
      <c r="BAB145" s="7"/>
      <c r="BAC145" s="7"/>
      <c r="BAD145" s="7"/>
      <c r="BAE145" s="7"/>
      <c r="BAF145" s="7"/>
      <c r="BAG145" s="7"/>
      <c r="BAH145" s="7"/>
      <c r="BAI145" s="7"/>
      <c r="BAJ145" s="7"/>
      <c r="BAK145" s="7"/>
      <c r="BAL145" s="7"/>
      <c r="BAM145" s="7"/>
      <c r="BAN145" s="7"/>
      <c r="BAO145" s="7"/>
      <c r="BAP145" s="7"/>
      <c r="BAQ145" s="7"/>
      <c r="BAR145" s="7"/>
      <c r="BAS145" s="7"/>
      <c r="BAT145" s="7"/>
      <c r="BAU145" s="7"/>
      <c r="BAV145" s="7"/>
      <c r="BAW145" s="7"/>
      <c r="BAX145" s="7"/>
      <c r="BAY145" s="7"/>
      <c r="BAZ145" s="7"/>
      <c r="BBA145" s="7"/>
      <c r="BBB145" s="7"/>
      <c r="BBC145" s="7"/>
      <c r="BBD145" s="7"/>
      <c r="BBE145" s="7"/>
      <c r="BBF145" s="7"/>
      <c r="BBG145" s="7"/>
      <c r="BBH145" s="7"/>
      <c r="BBI145" s="7"/>
      <c r="BBJ145" s="7"/>
      <c r="BBK145" s="7"/>
      <c r="BBL145" s="7"/>
      <c r="BBM145" s="7"/>
      <c r="BBN145" s="7"/>
      <c r="BBO145" s="7"/>
      <c r="BBP145" s="7"/>
      <c r="BBQ145" s="7"/>
      <c r="BBR145" s="7"/>
      <c r="BBS145" s="7"/>
      <c r="BBT145" s="7"/>
      <c r="BBU145" s="7"/>
      <c r="BBV145" s="7"/>
      <c r="BBW145" s="7"/>
      <c r="BBX145" s="7"/>
      <c r="BBY145" s="7"/>
      <c r="BBZ145" s="7"/>
      <c r="BCA145" s="7"/>
      <c r="BCB145" s="7"/>
      <c r="BCC145" s="7"/>
      <c r="BCD145" s="7"/>
      <c r="BCE145" s="7"/>
      <c r="BCF145" s="7"/>
      <c r="BCG145" s="7"/>
      <c r="BCH145" s="7"/>
      <c r="BCI145" s="7"/>
      <c r="BCJ145" s="7"/>
      <c r="BCK145" s="7"/>
      <c r="BCL145" s="7"/>
      <c r="BCM145" s="7"/>
      <c r="BCN145" s="7"/>
      <c r="BCO145" s="7"/>
      <c r="BCP145" s="7"/>
      <c r="BCQ145" s="7"/>
      <c r="BCR145" s="7"/>
      <c r="BCS145" s="7"/>
      <c r="BCT145" s="7"/>
      <c r="BCU145" s="7"/>
      <c r="BCV145" s="7"/>
      <c r="BCW145" s="7"/>
      <c r="BCX145" s="7"/>
      <c r="BCY145" s="7"/>
      <c r="BCZ145" s="7"/>
      <c r="BDA145" s="7"/>
      <c r="BDB145" s="7"/>
      <c r="BDC145" s="7"/>
      <c r="BDD145" s="7"/>
      <c r="BDE145" s="7"/>
      <c r="BDF145" s="7"/>
      <c r="BDG145" s="7"/>
      <c r="BDH145" s="7"/>
      <c r="BDI145" s="7"/>
      <c r="BDJ145" s="7"/>
      <c r="BDK145" s="7"/>
      <c r="BDL145" s="7"/>
      <c r="BDM145" s="7"/>
      <c r="BDN145" s="7"/>
      <c r="BDO145" s="7"/>
      <c r="BDP145" s="7"/>
      <c r="BDQ145" s="7"/>
      <c r="BDR145" s="7"/>
      <c r="BDS145" s="7"/>
      <c r="BDT145" s="7"/>
      <c r="BDU145" s="7"/>
      <c r="BDV145" s="7"/>
      <c r="BDW145" s="7"/>
      <c r="BDX145" s="7"/>
      <c r="BDY145" s="7"/>
      <c r="BDZ145" s="7"/>
      <c r="BEA145" s="7"/>
      <c r="BEB145" s="7"/>
      <c r="BEC145" s="7"/>
      <c r="BED145" s="7"/>
      <c r="BEE145" s="7"/>
      <c r="BEF145" s="7"/>
      <c r="BEG145" s="7"/>
      <c r="BEH145" s="7"/>
      <c r="BEI145" s="7"/>
      <c r="BEJ145" s="7"/>
      <c r="BEK145" s="7"/>
      <c r="BEL145" s="7"/>
      <c r="BEM145" s="7"/>
      <c r="BEN145" s="7"/>
      <c r="BEO145" s="7"/>
      <c r="BEP145" s="7"/>
      <c r="BEQ145" s="7"/>
      <c r="BER145" s="7"/>
      <c r="BES145" s="7"/>
      <c r="BET145" s="7"/>
      <c r="BEU145" s="7"/>
      <c r="BEV145" s="7"/>
      <c r="BEW145" s="7"/>
      <c r="BEX145" s="7"/>
      <c r="BEY145" s="7"/>
      <c r="BEZ145" s="7"/>
      <c r="BFA145" s="7"/>
      <c r="BFB145" s="7"/>
      <c r="BFC145" s="7"/>
      <c r="BFD145" s="7"/>
      <c r="BFE145" s="7"/>
      <c r="BFF145" s="7"/>
      <c r="BFG145" s="7"/>
      <c r="BFH145" s="7"/>
      <c r="BFI145" s="7"/>
      <c r="BFJ145" s="7"/>
      <c r="BFK145" s="7"/>
      <c r="BFL145" s="7"/>
      <c r="BFM145" s="7"/>
      <c r="BFN145" s="7"/>
      <c r="BFO145" s="7"/>
      <c r="BFP145" s="7"/>
      <c r="BFQ145" s="7"/>
      <c r="BFR145" s="7"/>
      <c r="BFS145" s="7"/>
      <c r="BFT145" s="7"/>
      <c r="BFU145" s="7"/>
      <c r="BFV145" s="7"/>
      <c r="BFW145" s="7"/>
      <c r="BFX145" s="7"/>
      <c r="BFY145" s="7"/>
      <c r="BFZ145" s="7"/>
      <c r="BGA145" s="7"/>
      <c r="BGB145" s="7"/>
      <c r="BGC145" s="7"/>
      <c r="BGD145" s="7"/>
      <c r="BGE145" s="7"/>
      <c r="BGF145" s="7"/>
      <c r="BGG145" s="7"/>
      <c r="BGH145" s="7"/>
      <c r="BGI145" s="7"/>
      <c r="BGJ145" s="7"/>
      <c r="BGK145" s="7"/>
      <c r="BGL145" s="7"/>
      <c r="BGM145" s="7"/>
      <c r="BGN145" s="7"/>
      <c r="BGO145" s="7"/>
      <c r="BGP145" s="7"/>
      <c r="BGQ145" s="7"/>
      <c r="BGR145" s="7"/>
      <c r="BGS145" s="7"/>
      <c r="BGT145" s="7"/>
      <c r="BGU145" s="7"/>
      <c r="BGV145" s="7"/>
      <c r="BGW145" s="7"/>
      <c r="BGX145" s="7"/>
      <c r="BGY145" s="7"/>
      <c r="BGZ145" s="7"/>
      <c r="BHA145" s="7"/>
      <c r="BHB145" s="7"/>
      <c r="BHC145" s="7"/>
      <c r="BHD145" s="7"/>
      <c r="BHE145" s="7"/>
      <c r="BHF145" s="7"/>
      <c r="BHG145" s="7"/>
      <c r="BHH145" s="7"/>
      <c r="BHI145" s="7"/>
      <c r="BHJ145" s="7"/>
      <c r="BHK145" s="7"/>
      <c r="BHL145" s="7"/>
      <c r="BHM145" s="7"/>
      <c r="BHN145" s="7"/>
      <c r="BHO145" s="7"/>
      <c r="BHP145" s="7"/>
      <c r="BHQ145" s="7"/>
      <c r="BHR145" s="7"/>
      <c r="BHS145" s="7"/>
      <c r="BHT145" s="7"/>
      <c r="BHU145" s="7"/>
      <c r="BHV145" s="7"/>
      <c r="BHW145" s="7"/>
      <c r="BHX145" s="7"/>
      <c r="BHY145" s="7"/>
      <c r="BHZ145" s="7"/>
      <c r="BIA145" s="7"/>
      <c r="BIB145" s="7"/>
      <c r="BIC145" s="7"/>
      <c r="BID145" s="7"/>
      <c r="BIE145" s="7"/>
      <c r="BIF145" s="7"/>
      <c r="BIG145" s="7"/>
      <c r="BIH145" s="7"/>
      <c r="BII145" s="7"/>
      <c r="BIJ145" s="7"/>
      <c r="BIK145" s="7"/>
      <c r="BIL145" s="7"/>
      <c r="BIM145" s="7"/>
      <c r="BIN145" s="7"/>
      <c r="BIO145" s="7"/>
      <c r="BIP145" s="7"/>
      <c r="BIQ145" s="7"/>
      <c r="BIR145" s="7"/>
      <c r="BIS145" s="7"/>
      <c r="BIT145" s="7"/>
      <c r="BIU145" s="7"/>
      <c r="BIV145" s="7"/>
      <c r="BIW145" s="7"/>
      <c r="BIX145" s="7"/>
      <c r="BIY145" s="7"/>
      <c r="BIZ145" s="7"/>
      <c r="BJA145" s="7"/>
      <c r="BJB145" s="7"/>
      <c r="BJC145" s="7"/>
      <c r="BJD145" s="7"/>
      <c r="BJE145" s="7"/>
      <c r="BJF145" s="7"/>
      <c r="BJG145" s="7"/>
      <c r="BJH145" s="7"/>
      <c r="BJI145" s="7"/>
      <c r="BJJ145" s="7"/>
      <c r="BJK145" s="7"/>
      <c r="BJL145" s="7"/>
      <c r="BJM145" s="7"/>
      <c r="BJN145" s="7"/>
      <c r="BJO145" s="7"/>
      <c r="BJP145" s="7"/>
      <c r="BJQ145" s="7"/>
      <c r="BJR145" s="7"/>
      <c r="BJS145" s="7"/>
      <c r="BJT145" s="7"/>
      <c r="BJU145" s="7"/>
      <c r="BJV145" s="7"/>
      <c r="BJW145" s="7"/>
      <c r="BJX145" s="7"/>
      <c r="BJY145" s="7"/>
      <c r="BJZ145" s="7"/>
      <c r="BKA145" s="7"/>
      <c r="BKB145" s="7"/>
      <c r="BKC145" s="7"/>
      <c r="BKD145" s="7"/>
      <c r="BKE145" s="7"/>
      <c r="BKF145" s="7"/>
      <c r="BKG145" s="7"/>
      <c r="BKH145" s="7"/>
      <c r="BKI145" s="7"/>
      <c r="BKJ145" s="7"/>
      <c r="BKK145" s="7"/>
      <c r="BKL145" s="7"/>
      <c r="BKM145" s="7"/>
      <c r="BKN145" s="7"/>
      <c r="BKO145" s="7"/>
      <c r="BKP145" s="7"/>
      <c r="BKQ145" s="7"/>
      <c r="BKR145" s="7"/>
      <c r="BKS145" s="7"/>
      <c r="BKT145" s="7"/>
      <c r="BKU145" s="7"/>
      <c r="BKV145" s="7"/>
      <c r="BKW145" s="7"/>
      <c r="BKX145" s="7"/>
      <c r="BKY145" s="7"/>
      <c r="BKZ145" s="7"/>
      <c r="BLA145" s="7"/>
      <c r="BLB145" s="7"/>
      <c r="BLC145" s="7"/>
      <c r="BLD145" s="7"/>
      <c r="BLE145" s="7"/>
      <c r="BLF145" s="7"/>
      <c r="BLG145" s="7"/>
      <c r="BLH145" s="7"/>
      <c r="BLI145" s="7"/>
      <c r="BLJ145" s="7"/>
      <c r="BLK145" s="7"/>
      <c r="BLL145" s="7"/>
      <c r="BLM145" s="7"/>
      <c r="BLN145" s="7"/>
      <c r="BLO145" s="7"/>
      <c r="BLP145" s="7"/>
      <c r="BLQ145" s="7"/>
      <c r="BLR145" s="7"/>
      <c r="BLS145" s="7"/>
      <c r="BLT145" s="7"/>
      <c r="BLU145" s="7"/>
      <c r="BLV145" s="7"/>
      <c r="BLW145" s="7"/>
      <c r="BLX145" s="7"/>
      <c r="BLY145" s="7"/>
      <c r="BLZ145" s="7"/>
      <c r="BMA145" s="7"/>
      <c r="BMB145" s="7"/>
      <c r="BMC145" s="7"/>
      <c r="BMD145" s="7"/>
      <c r="BME145" s="7"/>
      <c r="BMF145" s="7"/>
      <c r="BMG145" s="7"/>
      <c r="BMH145" s="7"/>
      <c r="BMI145" s="7"/>
      <c r="BMJ145" s="7"/>
      <c r="BMK145" s="7"/>
      <c r="BML145" s="7"/>
      <c r="BMM145" s="7"/>
      <c r="BMN145" s="7"/>
      <c r="BMO145" s="7"/>
      <c r="BMP145" s="7"/>
      <c r="BMQ145" s="7"/>
      <c r="BMR145" s="7"/>
      <c r="BMS145" s="7"/>
      <c r="BMT145" s="7"/>
      <c r="BMU145" s="7"/>
      <c r="BMV145" s="7"/>
      <c r="BMW145" s="7"/>
      <c r="BMX145" s="7"/>
      <c r="BMY145" s="7"/>
      <c r="BMZ145" s="7"/>
      <c r="BNA145" s="7"/>
      <c r="BNB145" s="7"/>
      <c r="BNC145" s="7"/>
      <c r="BND145" s="7"/>
      <c r="BNE145" s="7"/>
      <c r="BNF145" s="7"/>
      <c r="BNG145" s="7"/>
      <c r="BNH145" s="7"/>
      <c r="BNI145" s="7"/>
      <c r="BNJ145" s="7"/>
      <c r="BNK145" s="7"/>
      <c r="BNL145" s="7"/>
      <c r="BNM145" s="7"/>
      <c r="BNN145" s="7"/>
      <c r="BNO145" s="7"/>
      <c r="BNP145" s="7"/>
      <c r="BNQ145" s="7"/>
      <c r="BNR145" s="7"/>
      <c r="BNS145" s="7"/>
      <c r="BNT145" s="7"/>
      <c r="BNU145" s="7"/>
      <c r="BNV145" s="7"/>
      <c r="BNW145" s="7"/>
      <c r="BNX145" s="7"/>
      <c r="BNY145" s="7"/>
      <c r="BNZ145" s="7"/>
      <c r="BOA145" s="7"/>
      <c r="BOB145" s="7"/>
      <c r="BOC145" s="7"/>
      <c r="BOD145" s="7"/>
      <c r="BOE145" s="7"/>
      <c r="BOF145" s="7"/>
      <c r="BOG145" s="7"/>
      <c r="BOH145" s="7"/>
      <c r="BOI145" s="7"/>
      <c r="BOJ145" s="7"/>
      <c r="BOK145" s="7"/>
      <c r="BOL145" s="7"/>
      <c r="BOM145" s="7"/>
      <c r="BON145" s="7"/>
      <c r="BOO145" s="7"/>
      <c r="BOP145" s="7"/>
      <c r="BOQ145" s="7"/>
      <c r="BOR145" s="7"/>
      <c r="BOS145" s="7"/>
      <c r="BOT145" s="7"/>
      <c r="BOU145" s="7"/>
      <c r="BOV145" s="7"/>
      <c r="BOW145" s="7"/>
      <c r="BOX145" s="7"/>
      <c r="BOY145" s="7"/>
      <c r="BOZ145" s="7"/>
      <c r="BPA145" s="7"/>
      <c r="BPB145" s="7"/>
      <c r="BPC145" s="7"/>
      <c r="BPD145" s="7"/>
      <c r="BPE145" s="7"/>
      <c r="BPF145" s="7"/>
      <c r="BPG145" s="7"/>
      <c r="BPH145" s="7"/>
      <c r="BPI145" s="7"/>
      <c r="BPJ145" s="7"/>
      <c r="BPK145" s="7"/>
      <c r="BPL145" s="7"/>
      <c r="BPM145" s="7"/>
      <c r="BPN145" s="7"/>
      <c r="BPO145" s="7"/>
      <c r="BPP145" s="7"/>
      <c r="BPQ145" s="7"/>
      <c r="BPR145" s="7"/>
      <c r="BPS145" s="7"/>
      <c r="BPT145" s="7"/>
      <c r="BPU145" s="7"/>
      <c r="BPV145" s="7"/>
      <c r="BPW145" s="7"/>
      <c r="BPX145" s="7"/>
      <c r="BPY145" s="7"/>
      <c r="BPZ145" s="7"/>
      <c r="BQA145" s="7"/>
      <c r="BQB145" s="7"/>
      <c r="BQC145" s="7"/>
      <c r="BQD145" s="7"/>
      <c r="BQE145" s="7"/>
      <c r="BQF145" s="7"/>
      <c r="BQG145" s="7"/>
      <c r="BQH145" s="7"/>
      <c r="BQI145" s="7"/>
      <c r="BQJ145" s="7"/>
      <c r="BQK145" s="7"/>
      <c r="BQL145" s="7"/>
      <c r="BQM145" s="7"/>
      <c r="BQN145" s="7"/>
      <c r="BQO145" s="7"/>
      <c r="BQP145" s="7"/>
      <c r="BQQ145" s="7"/>
      <c r="BQR145" s="7"/>
      <c r="BQS145" s="7"/>
      <c r="BQT145" s="7"/>
      <c r="BQU145" s="7"/>
      <c r="BQV145" s="7"/>
      <c r="BQW145" s="7"/>
      <c r="BQX145" s="7"/>
      <c r="BQY145" s="7"/>
      <c r="BQZ145" s="7"/>
      <c r="BRA145" s="7"/>
      <c r="BRB145" s="7"/>
      <c r="BRC145" s="7"/>
      <c r="BRD145" s="7"/>
      <c r="BRE145" s="7"/>
      <c r="BRF145" s="7"/>
      <c r="BRG145" s="7"/>
      <c r="BRH145" s="7"/>
      <c r="BRI145" s="7"/>
      <c r="BRJ145" s="7"/>
      <c r="BRK145" s="7"/>
      <c r="BRL145" s="7"/>
      <c r="BRM145" s="7"/>
      <c r="BRN145" s="7"/>
      <c r="BRO145" s="7"/>
      <c r="BRP145" s="7"/>
      <c r="BRQ145" s="7"/>
      <c r="BRR145" s="7"/>
      <c r="BRS145" s="7"/>
      <c r="BRT145" s="7"/>
      <c r="BRU145" s="7"/>
      <c r="BRV145" s="7"/>
      <c r="BRW145" s="7"/>
      <c r="BRX145" s="7"/>
      <c r="BRY145" s="7"/>
      <c r="BRZ145" s="7"/>
      <c r="BSA145" s="7"/>
      <c r="BSB145" s="7"/>
      <c r="BSC145" s="7"/>
      <c r="BSD145" s="7"/>
      <c r="BSE145" s="7"/>
      <c r="BSF145" s="7"/>
      <c r="BSG145" s="7"/>
      <c r="BSH145" s="7"/>
      <c r="BSI145" s="7"/>
      <c r="BSJ145" s="7"/>
      <c r="BSK145" s="7"/>
      <c r="BSL145" s="7"/>
      <c r="BSM145" s="7"/>
      <c r="BSN145" s="7"/>
      <c r="BSO145" s="7"/>
      <c r="BSP145" s="7"/>
      <c r="BSQ145" s="7"/>
      <c r="BSR145" s="7"/>
      <c r="BSS145" s="7"/>
      <c r="BST145" s="7"/>
      <c r="BSU145" s="7"/>
      <c r="BSV145" s="7"/>
      <c r="BSW145" s="7"/>
      <c r="BSX145" s="7"/>
      <c r="BSY145" s="7"/>
      <c r="BSZ145" s="7"/>
      <c r="BTA145" s="7"/>
      <c r="BTB145" s="7"/>
      <c r="BTC145" s="7"/>
      <c r="BTD145" s="7"/>
      <c r="BTE145" s="7"/>
      <c r="BTF145" s="7"/>
      <c r="BTG145" s="7"/>
      <c r="BTH145" s="7"/>
      <c r="BTI145" s="7"/>
      <c r="BTJ145" s="7"/>
      <c r="BTK145" s="7"/>
      <c r="BTL145" s="7"/>
      <c r="BTM145" s="7"/>
      <c r="BTN145" s="7"/>
      <c r="BTO145" s="7"/>
      <c r="BTP145" s="7"/>
      <c r="BTQ145" s="7"/>
      <c r="BTR145" s="7"/>
      <c r="BTS145" s="7"/>
      <c r="BTT145" s="7"/>
      <c r="BTU145" s="7"/>
      <c r="BTV145" s="7"/>
      <c r="BTW145" s="7"/>
      <c r="BTX145" s="7"/>
      <c r="BTY145" s="7"/>
      <c r="BTZ145" s="7"/>
      <c r="BUA145" s="7"/>
      <c r="BUB145" s="7"/>
      <c r="BUC145" s="7"/>
      <c r="BUD145" s="7"/>
      <c r="BUE145" s="7"/>
      <c r="BUF145" s="7"/>
      <c r="BUG145" s="7"/>
      <c r="BUH145" s="7"/>
      <c r="BUI145" s="7"/>
      <c r="BUJ145" s="7"/>
      <c r="BUK145" s="7"/>
      <c r="BUL145" s="7"/>
      <c r="BUM145" s="7"/>
      <c r="BUN145" s="7"/>
      <c r="BUO145" s="7"/>
      <c r="BUP145" s="7"/>
      <c r="BUQ145" s="7"/>
      <c r="BUR145" s="7"/>
      <c r="BUS145" s="7"/>
      <c r="BUT145" s="7"/>
      <c r="BUU145" s="7"/>
      <c r="BUV145" s="7"/>
      <c r="BUW145" s="7"/>
      <c r="BUX145" s="7"/>
      <c r="BUY145" s="7"/>
      <c r="BUZ145" s="7"/>
      <c r="BVA145" s="7"/>
      <c r="BVB145" s="7"/>
      <c r="BVC145" s="7"/>
      <c r="BVD145" s="7"/>
      <c r="BVE145" s="7"/>
      <c r="BVF145" s="7"/>
      <c r="BVG145" s="7"/>
      <c r="BVH145" s="7"/>
      <c r="BVI145" s="7"/>
      <c r="BVJ145" s="7"/>
      <c r="BVK145" s="7"/>
      <c r="BVL145" s="7"/>
      <c r="BVM145" s="7"/>
      <c r="BVN145" s="7"/>
      <c r="BVO145" s="7"/>
      <c r="BVP145" s="7"/>
      <c r="BVQ145" s="7"/>
      <c r="BVR145" s="7"/>
      <c r="BVS145" s="7"/>
      <c r="BVT145" s="7"/>
      <c r="BVU145" s="7"/>
      <c r="BVV145" s="7"/>
      <c r="BVW145" s="7"/>
      <c r="BVX145" s="7"/>
      <c r="BVY145" s="7"/>
      <c r="BVZ145" s="7"/>
      <c r="BWA145" s="7"/>
      <c r="BWB145" s="7"/>
      <c r="BWC145" s="7"/>
      <c r="BWD145" s="7"/>
      <c r="BWE145" s="7"/>
      <c r="BWF145" s="7"/>
      <c r="BWG145" s="7"/>
      <c r="BWH145" s="7"/>
      <c r="BWI145" s="7"/>
      <c r="BWJ145" s="7"/>
      <c r="BWK145" s="7"/>
      <c r="BWL145" s="7"/>
      <c r="BWM145" s="7"/>
      <c r="BWN145" s="7"/>
      <c r="BWO145" s="7"/>
      <c r="BWP145" s="7"/>
      <c r="BWQ145" s="7"/>
      <c r="BWR145" s="7"/>
      <c r="BWS145" s="7"/>
      <c r="BWT145" s="7"/>
      <c r="BWU145" s="7"/>
      <c r="BWV145" s="7"/>
      <c r="BWW145" s="7"/>
      <c r="BWX145" s="7"/>
      <c r="BWY145" s="7"/>
      <c r="BWZ145" s="7"/>
      <c r="BXA145" s="7"/>
      <c r="BXB145" s="7"/>
      <c r="BXC145" s="7"/>
      <c r="BXD145" s="7"/>
      <c r="BXE145" s="7"/>
      <c r="BXF145" s="7"/>
      <c r="BXG145" s="7"/>
      <c r="BXH145" s="7"/>
      <c r="BXI145" s="7"/>
      <c r="BXJ145" s="7"/>
      <c r="BXK145" s="7"/>
      <c r="BXL145" s="7"/>
      <c r="BXM145" s="7"/>
      <c r="BXN145" s="7"/>
      <c r="BXO145" s="7"/>
      <c r="BXP145" s="7"/>
      <c r="BXQ145" s="7"/>
      <c r="BXR145" s="7"/>
      <c r="BXS145" s="7"/>
      <c r="BXT145" s="7"/>
      <c r="BXU145" s="7"/>
      <c r="BXV145" s="7"/>
      <c r="BXW145" s="7"/>
      <c r="BXX145" s="7"/>
      <c r="BXY145" s="7"/>
      <c r="BXZ145" s="7"/>
      <c r="BYA145" s="7"/>
      <c r="BYB145" s="7"/>
      <c r="BYC145" s="7"/>
      <c r="BYD145" s="7"/>
      <c r="BYE145" s="7"/>
      <c r="BYF145" s="7"/>
      <c r="BYG145" s="7"/>
      <c r="BYH145" s="7"/>
      <c r="BYI145" s="7"/>
      <c r="BYJ145" s="7"/>
      <c r="BYK145" s="7"/>
      <c r="BYL145" s="7"/>
      <c r="BYM145" s="7"/>
      <c r="BYN145" s="7"/>
      <c r="BYO145" s="7"/>
      <c r="BYP145" s="7"/>
      <c r="BYQ145" s="7"/>
      <c r="BYR145" s="7"/>
      <c r="BYS145" s="7"/>
      <c r="BYT145" s="7"/>
      <c r="BYU145" s="7"/>
      <c r="BYV145" s="7"/>
      <c r="BYW145" s="7"/>
      <c r="BYX145" s="7"/>
      <c r="BYY145" s="7"/>
      <c r="BYZ145" s="7"/>
      <c r="BZA145" s="7"/>
      <c r="BZB145" s="7"/>
      <c r="BZC145" s="7"/>
      <c r="BZD145" s="7"/>
      <c r="BZE145" s="7"/>
      <c r="BZF145" s="7"/>
      <c r="BZG145" s="7"/>
      <c r="BZH145" s="7"/>
      <c r="BZI145" s="7"/>
      <c r="BZJ145" s="7"/>
      <c r="BZK145" s="7"/>
      <c r="BZL145" s="7"/>
      <c r="BZM145" s="7"/>
      <c r="BZN145" s="7"/>
      <c r="BZO145" s="7"/>
      <c r="BZP145" s="7"/>
      <c r="BZQ145" s="7"/>
      <c r="BZR145" s="7"/>
      <c r="BZS145" s="7"/>
      <c r="BZT145" s="7"/>
      <c r="BZU145" s="7"/>
      <c r="BZV145" s="7"/>
      <c r="BZW145" s="7"/>
      <c r="BZX145" s="7"/>
      <c r="BZY145" s="7"/>
      <c r="BZZ145" s="7"/>
      <c r="CAA145" s="7"/>
      <c r="CAB145" s="7"/>
      <c r="CAC145" s="7"/>
      <c r="CAD145" s="7"/>
      <c r="CAE145" s="7"/>
      <c r="CAF145" s="7"/>
      <c r="CAG145" s="7"/>
      <c r="CAH145" s="7"/>
      <c r="CAI145" s="7"/>
      <c r="CAJ145" s="7"/>
      <c r="CAK145" s="7"/>
      <c r="CAL145" s="7"/>
      <c r="CAM145" s="7"/>
      <c r="CAN145" s="7"/>
      <c r="CAO145" s="7"/>
      <c r="CAP145" s="7"/>
      <c r="CAQ145" s="7"/>
      <c r="CAR145" s="7"/>
      <c r="CAS145" s="7"/>
      <c r="CAT145" s="7"/>
      <c r="CAU145" s="7"/>
      <c r="CAV145" s="7"/>
      <c r="CAW145" s="7"/>
      <c r="CAX145" s="7"/>
      <c r="CAY145" s="7"/>
      <c r="CAZ145" s="7"/>
      <c r="CBA145" s="7"/>
      <c r="CBB145" s="7"/>
      <c r="CBC145" s="7"/>
      <c r="CBD145" s="7"/>
      <c r="CBE145" s="7"/>
      <c r="CBF145" s="7"/>
      <c r="CBG145" s="7"/>
      <c r="CBH145" s="7"/>
      <c r="CBI145" s="7"/>
      <c r="CBJ145" s="7"/>
      <c r="CBK145" s="7"/>
      <c r="CBL145" s="7"/>
      <c r="CBM145" s="7"/>
      <c r="CBN145" s="7"/>
      <c r="CBO145" s="7"/>
      <c r="CBP145" s="7"/>
      <c r="CBQ145" s="7"/>
      <c r="CBR145" s="7"/>
      <c r="CBS145" s="7"/>
      <c r="CBT145" s="7"/>
      <c r="CBU145" s="7"/>
      <c r="CBV145" s="7"/>
      <c r="CBW145" s="7"/>
      <c r="CBX145" s="7"/>
      <c r="CBY145" s="7"/>
      <c r="CBZ145" s="7"/>
      <c r="CCA145" s="7"/>
      <c r="CCB145" s="7"/>
      <c r="CCC145" s="7"/>
      <c r="CCD145" s="7"/>
      <c r="CCE145" s="7"/>
      <c r="CCF145" s="7"/>
      <c r="CCG145" s="7"/>
      <c r="CCH145" s="7"/>
      <c r="CCI145" s="7"/>
      <c r="CCJ145" s="7"/>
      <c r="CCK145" s="7"/>
      <c r="CCL145" s="7"/>
      <c r="CCM145" s="7"/>
      <c r="CCN145" s="7"/>
      <c r="CCO145" s="7"/>
      <c r="CCP145" s="7"/>
      <c r="CCQ145" s="7"/>
      <c r="CCR145" s="7"/>
      <c r="CCS145" s="7"/>
      <c r="CCT145" s="7"/>
      <c r="CCU145" s="7"/>
      <c r="CCV145" s="7"/>
      <c r="CCW145" s="7"/>
      <c r="CCX145" s="7"/>
      <c r="CCY145" s="7"/>
      <c r="CCZ145" s="7"/>
      <c r="CDA145" s="7"/>
      <c r="CDB145" s="7"/>
      <c r="CDC145" s="7"/>
      <c r="CDD145" s="7"/>
      <c r="CDE145" s="7"/>
      <c r="CDF145" s="7"/>
      <c r="CDG145" s="7"/>
      <c r="CDH145" s="7"/>
      <c r="CDI145" s="7"/>
      <c r="CDJ145" s="7"/>
      <c r="CDK145" s="7"/>
      <c r="CDL145" s="7"/>
      <c r="CDM145" s="7"/>
      <c r="CDN145" s="7"/>
      <c r="CDO145" s="7"/>
      <c r="CDP145" s="7"/>
      <c r="CDQ145" s="7"/>
      <c r="CDR145" s="7"/>
      <c r="CDS145" s="7"/>
      <c r="CDT145" s="7"/>
      <c r="CDU145" s="7"/>
      <c r="CDV145" s="7"/>
      <c r="CDW145" s="7"/>
      <c r="CDX145" s="7"/>
      <c r="CDY145" s="7"/>
      <c r="CDZ145" s="7"/>
      <c r="CEA145" s="7"/>
      <c r="CEB145" s="7"/>
      <c r="CEC145" s="7"/>
      <c r="CED145" s="7"/>
      <c r="CEE145" s="7"/>
      <c r="CEF145" s="7"/>
      <c r="CEG145" s="7"/>
      <c r="CEH145" s="7"/>
      <c r="CEI145" s="7"/>
      <c r="CEJ145" s="7"/>
      <c r="CEK145" s="7"/>
      <c r="CEL145" s="7"/>
      <c r="CEM145" s="7"/>
      <c r="CEN145" s="7"/>
      <c r="CEO145" s="7"/>
      <c r="CEP145" s="7"/>
      <c r="CEQ145" s="7"/>
      <c r="CER145" s="7"/>
      <c r="CES145" s="7"/>
      <c r="CET145" s="7"/>
      <c r="CEU145" s="7"/>
      <c r="CEV145" s="7"/>
      <c r="CEW145" s="7"/>
      <c r="CEX145" s="7"/>
      <c r="CEY145" s="7"/>
      <c r="CEZ145" s="7"/>
      <c r="CFA145" s="7"/>
      <c r="CFB145" s="7"/>
      <c r="CFC145" s="7"/>
      <c r="CFD145" s="7"/>
      <c r="CFE145" s="7"/>
      <c r="CFF145" s="7"/>
      <c r="CFG145" s="7"/>
      <c r="CFH145" s="7"/>
      <c r="CFI145" s="7"/>
      <c r="CFJ145" s="7"/>
      <c r="CFK145" s="7"/>
      <c r="CFL145" s="7"/>
      <c r="CFM145" s="7"/>
      <c r="CFN145" s="7"/>
      <c r="CFO145" s="7"/>
      <c r="CFP145" s="7"/>
      <c r="CFQ145" s="7"/>
      <c r="CFR145" s="7"/>
      <c r="CFS145" s="7"/>
      <c r="CFT145" s="7"/>
      <c r="CFU145" s="7"/>
      <c r="CFV145" s="7"/>
      <c r="CFW145" s="7"/>
      <c r="CFX145" s="7"/>
      <c r="CFY145" s="7"/>
      <c r="CFZ145" s="7"/>
      <c r="CGA145" s="7"/>
      <c r="CGB145" s="7"/>
      <c r="CGC145" s="7"/>
      <c r="CGD145" s="7"/>
      <c r="CGE145" s="7"/>
      <c r="CGF145" s="7"/>
      <c r="CGG145" s="7"/>
      <c r="CGH145" s="7"/>
      <c r="CGI145" s="7"/>
      <c r="CGJ145" s="7"/>
      <c r="CGK145" s="7"/>
      <c r="CGL145" s="7"/>
      <c r="CGM145" s="7"/>
      <c r="CGN145" s="7"/>
      <c r="CGO145" s="7"/>
      <c r="CGP145" s="7"/>
      <c r="CGQ145" s="7"/>
      <c r="CGR145" s="7"/>
      <c r="CGS145" s="7"/>
      <c r="CGT145" s="7"/>
      <c r="CGU145" s="7"/>
      <c r="CGV145" s="7"/>
      <c r="CGW145" s="7"/>
      <c r="CGX145" s="7"/>
      <c r="CGY145" s="7"/>
      <c r="CGZ145" s="7"/>
      <c r="CHA145" s="7"/>
      <c r="CHB145" s="7"/>
      <c r="CHC145" s="7"/>
      <c r="CHD145" s="7"/>
      <c r="CHE145" s="7"/>
      <c r="CHF145" s="7"/>
      <c r="CHG145" s="7"/>
      <c r="CHH145" s="7"/>
      <c r="CHI145" s="7"/>
      <c r="CHJ145" s="7"/>
      <c r="CHK145" s="7"/>
      <c r="CHL145" s="7"/>
      <c r="CHM145" s="7"/>
      <c r="CHN145" s="7"/>
      <c r="CHO145" s="7"/>
      <c r="CHP145" s="7"/>
      <c r="CHQ145" s="7"/>
      <c r="CHR145" s="7"/>
      <c r="CHS145" s="7"/>
      <c r="CHT145" s="7"/>
      <c r="CHU145" s="7"/>
      <c r="CHV145" s="7"/>
      <c r="CHW145" s="7"/>
      <c r="CHX145" s="7"/>
      <c r="CHY145" s="7"/>
      <c r="CHZ145" s="7"/>
      <c r="CIA145" s="7"/>
      <c r="CIB145" s="7"/>
      <c r="CIC145" s="7"/>
      <c r="CID145" s="7"/>
      <c r="CIE145" s="7"/>
      <c r="CIF145" s="7"/>
      <c r="CIG145" s="7"/>
      <c r="CIH145" s="7"/>
      <c r="CII145" s="7"/>
      <c r="CIJ145" s="7"/>
      <c r="CIK145" s="7"/>
      <c r="CIL145" s="7"/>
      <c r="CIM145" s="7"/>
      <c r="CIN145" s="7"/>
      <c r="CIO145" s="7"/>
      <c r="CIP145" s="7"/>
      <c r="CIQ145" s="7"/>
      <c r="CIR145" s="7"/>
      <c r="CIS145" s="7"/>
      <c r="CIT145" s="7"/>
      <c r="CIU145" s="7"/>
      <c r="CIV145" s="7"/>
      <c r="CIW145" s="7"/>
      <c r="CIX145" s="7"/>
      <c r="CIY145" s="7"/>
      <c r="CIZ145" s="7"/>
      <c r="CJA145" s="7"/>
      <c r="CJB145" s="7"/>
      <c r="CJC145" s="7"/>
      <c r="CJD145" s="7"/>
      <c r="CJE145" s="7"/>
      <c r="CJF145" s="7"/>
      <c r="CJG145" s="7"/>
      <c r="CJH145" s="7"/>
      <c r="CJI145" s="7"/>
      <c r="CJJ145" s="7"/>
      <c r="CJK145" s="7"/>
      <c r="CJL145" s="7"/>
      <c r="CJM145" s="7"/>
      <c r="CJN145" s="7"/>
      <c r="CJO145" s="7"/>
      <c r="CJP145" s="7"/>
      <c r="CJQ145" s="7"/>
      <c r="CJR145" s="7"/>
      <c r="CJS145" s="7"/>
      <c r="CJT145" s="7"/>
      <c r="CJU145" s="7"/>
      <c r="CJV145" s="7"/>
      <c r="CJW145" s="7"/>
      <c r="CJX145" s="7"/>
      <c r="CJY145" s="7"/>
      <c r="CJZ145" s="7"/>
      <c r="CKA145" s="7"/>
      <c r="CKB145" s="7"/>
      <c r="CKC145" s="7"/>
      <c r="CKD145" s="7"/>
      <c r="CKE145" s="7"/>
      <c r="CKF145" s="7"/>
      <c r="CKG145" s="7"/>
      <c r="CKH145" s="7"/>
      <c r="CKI145" s="7"/>
      <c r="CKJ145" s="7"/>
      <c r="CKK145" s="7"/>
      <c r="CKL145" s="7"/>
      <c r="CKM145" s="7"/>
      <c r="CKN145" s="7"/>
      <c r="CKO145" s="7"/>
      <c r="CKP145" s="7"/>
      <c r="CKQ145" s="7"/>
      <c r="CKR145" s="7"/>
      <c r="CKS145" s="7"/>
      <c r="CKT145" s="7"/>
      <c r="CKU145" s="7"/>
      <c r="CKV145" s="7"/>
      <c r="CKW145" s="7"/>
      <c r="CKX145" s="7"/>
      <c r="CKY145" s="7"/>
      <c r="CKZ145" s="7"/>
      <c r="CLA145" s="7"/>
      <c r="CLB145" s="7"/>
      <c r="CLC145" s="7"/>
      <c r="CLD145" s="7"/>
      <c r="CLE145" s="7"/>
      <c r="CLF145" s="7"/>
      <c r="CLG145" s="7"/>
      <c r="CLH145" s="7"/>
      <c r="CLI145" s="7"/>
      <c r="CLJ145" s="7"/>
      <c r="CLK145" s="7"/>
      <c r="CLL145" s="7"/>
      <c r="CLM145" s="7"/>
      <c r="CLN145" s="7"/>
      <c r="CLO145" s="7"/>
      <c r="CLP145" s="7"/>
      <c r="CLQ145" s="7"/>
      <c r="CLR145" s="7"/>
      <c r="CLS145" s="7"/>
      <c r="CLT145" s="7"/>
      <c r="CLU145" s="7"/>
      <c r="CLV145" s="7"/>
      <c r="CLW145" s="7"/>
      <c r="CLX145" s="7"/>
      <c r="CLY145" s="7"/>
      <c r="CLZ145" s="7"/>
      <c r="CMA145" s="7"/>
      <c r="CMB145" s="7"/>
      <c r="CMC145" s="7"/>
      <c r="CMD145" s="7"/>
      <c r="CME145" s="7"/>
      <c r="CMF145" s="7"/>
      <c r="CMG145" s="7"/>
      <c r="CMH145" s="7"/>
      <c r="CMI145" s="7"/>
      <c r="CMJ145" s="7"/>
      <c r="CMK145" s="7"/>
      <c r="CML145" s="7"/>
      <c r="CMM145" s="7"/>
      <c r="CMN145" s="7"/>
      <c r="CMO145" s="7"/>
      <c r="CMP145" s="7"/>
      <c r="CMQ145" s="7"/>
      <c r="CMR145" s="7"/>
      <c r="CMS145" s="7"/>
      <c r="CMT145" s="7"/>
      <c r="CMU145" s="7"/>
      <c r="CMV145" s="7"/>
      <c r="CMW145" s="7"/>
      <c r="CMX145" s="7"/>
      <c r="CMY145" s="7"/>
      <c r="CMZ145" s="7"/>
      <c r="CNA145" s="7"/>
      <c r="CNB145" s="7"/>
      <c r="CNC145" s="7"/>
      <c r="CND145" s="7"/>
      <c r="CNE145" s="7"/>
      <c r="CNF145" s="7"/>
      <c r="CNG145" s="7"/>
      <c r="CNH145" s="7"/>
      <c r="CNI145" s="7"/>
      <c r="CNJ145" s="7"/>
      <c r="CNK145" s="7"/>
      <c r="CNL145" s="7"/>
      <c r="CNM145" s="7"/>
      <c r="CNN145" s="7"/>
      <c r="CNO145" s="7"/>
      <c r="CNP145" s="7"/>
      <c r="CNQ145" s="7"/>
      <c r="CNR145" s="7"/>
      <c r="CNS145" s="7"/>
      <c r="CNT145" s="7"/>
      <c r="CNU145" s="7"/>
      <c r="CNV145" s="7"/>
      <c r="CNW145" s="7"/>
      <c r="CNX145" s="7"/>
      <c r="CNY145" s="7"/>
      <c r="CNZ145" s="7"/>
      <c r="COA145" s="7"/>
      <c r="COB145" s="7"/>
      <c r="COC145" s="7"/>
      <c r="COD145" s="7"/>
      <c r="COE145" s="7"/>
      <c r="COF145" s="7"/>
      <c r="COG145" s="7"/>
      <c r="COH145" s="7"/>
      <c r="COI145" s="7"/>
      <c r="COJ145" s="7"/>
      <c r="COK145" s="7"/>
      <c r="COL145" s="7"/>
      <c r="COM145" s="7"/>
      <c r="CON145" s="7"/>
      <c r="COO145" s="7"/>
      <c r="COP145" s="7"/>
      <c r="COQ145" s="7"/>
      <c r="COR145" s="7"/>
      <c r="COS145" s="7"/>
      <c r="COT145" s="7"/>
      <c r="COU145" s="7"/>
      <c r="COV145" s="7"/>
      <c r="COW145" s="7"/>
      <c r="COX145" s="7"/>
      <c r="COY145" s="7"/>
      <c r="COZ145" s="7"/>
      <c r="CPA145" s="7"/>
      <c r="CPB145" s="7"/>
      <c r="CPC145" s="7"/>
      <c r="CPD145" s="7"/>
      <c r="CPE145" s="7"/>
      <c r="CPF145" s="7"/>
      <c r="CPG145" s="7"/>
      <c r="CPH145" s="7"/>
      <c r="CPI145" s="7"/>
      <c r="CPJ145" s="7"/>
      <c r="CPK145" s="7"/>
      <c r="CPL145" s="7"/>
      <c r="CPM145" s="7"/>
      <c r="CPN145" s="7"/>
      <c r="CPO145" s="7"/>
      <c r="CPP145" s="7"/>
      <c r="CPQ145" s="7"/>
      <c r="CPR145" s="7"/>
      <c r="CPS145" s="7"/>
      <c r="CPT145" s="7"/>
      <c r="CPU145" s="7"/>
      <c r="CPV145" s="7"/>
      <c r="CPW145" s="7"/>
      <c r="CPX145" s="7"/>
      <c r="CPY145" s="7"/>
      <c r="CPZ145" s="7"/>
      <c r="CQA145" s="7"/>
      <c r="CQB145" s="7"/>
      <c r="CQC145" s="7"/>
      <c r="CQD145" s="7"/>
      <c r="CQE145" s="7"/>
      <c r="CQF145" s="7"/>
      <c r="CQG145" s="7"/>
      <c r="CQH145" s="7"/>
      <c r="CQI145" s="7"/>
      <c r="CQJ145" s="7"/>
      <c r="CQK145" s="7"/>
      <c r="CQL145" s="7"/>
      <c r="CQM145" s="7"/>
      <c r="CQN145" s="7"/>
      <c r="CQO145" s="7"/>
      <c r="CQP145" s="7"/>
      <c r="CQQ145" s="7"/>
      <c r="CQR145" s="7"/>
      <c r="CQS145" s="7"/>
      <c r="CQT145" s="7"/>
      <c r="CQU145" s="7"/>
      <c r="CQV145" s="7"/>
      <c r="CQW145" s="7"/>
      <c r="CQX145" s="7"/>
      <c r="CQY145" s="7"/>
      <c r="CQZ145" s="7"/>
      <c r="CRA145" s="7"/>
      <c r="CRB145" s="7"/>
      <c r="CRC145" s="7"/>
      <c r="CRD145" s="7"/>
      <c r="CRE145" s="7"/>
      <c r="CRF145" s="7"/>
      <c r="CRG145" s="7"/>
      <c r="CRH145" s="7"/>
      <c r="CRI145" s="7"/>
      <c r="CRJ145" s="7"/>
      <c r="CRK145" s="7"/>
      <c r="CRL145" s="7"/>
      <c r="CRM145" s="7"/>
      <c r="CRN145" s="7"/>
      <c r="CRO145" s="7"/>
      <c r="CRP145" s="7"/>
      <c r="CRQ145" s="7"/>
      <c r="CRR145" s="7"/>
      <c r="CRS145" s="7"/>
      <c r="CRT145" s="7"/>
      <c r="CRU145" s="7"/>
      <c r="CRV145" s="7"/>
      <c r="CRW145" s="7"/>
      <c r="CRX145" s="7"/>
      <c r="CRY145" s="7"/>
      <c r="CRZ145" s="7"/>
      <c r="CSA145" s="7"/>
      <c r="CSB145" s="7"/>
      <c r="CSC145" s="7"/>
      <c r="CSD145" s="7"/>
      <c r="CSE145" s="7"/>
      <c r="CSF145" s="7"/>
      <c r="CSG145" s="7"/>
      <c r="CSH145" s="7"/>
      <c r="CSI145" s="7"/>
      <c r="CSJ145" s="7"/>
      <c r="CSK145" s="7"/>
      <c r="CSL145" s="7"/>
      <c r="CSM145" s="7"/>
      <c r="CSN145" s="7"/>
      <c r="CSO145" s="7"/>
      <c r="CSP145" s="7"/>
      <c r="CSQ145" s="7"/>
      <c r="CSR145" s="7"/>
      <c r="CSS145" s="7"/>
      <c r="CST145" s="7"/>
      <c r="CSU145" s="7"/>
      <c r="CSV145" s="7"/>
      <c r="CSW145" s="7"/>
      <c r="CSX145" s="7"/>
      <c r="CSY145" s="7"/>
      <c r="CSZ145" s="7"/>
      <c r="CTA145" s="7"/>
      <c r="CTB145" s="7"/>
      <c r="CTC145" s="7"/>
      <c r="CTD145" s="7"/>
      <c r="CTE145" s="7"/>
      <c r="CTF145" s="7"/>
      <c r="CTG145" s="7"/>
      <c r="CTH145" s="7"/>
      <c r="CTI145" s="7"/>
      <c r="CTJ145" s="7"/>
      <c r="CTK145" s="7"/>
      <c r="CTL145" s="7"/>
      <c r="CTM145" s="7"/>
      <c r="CTN145" s="7"/>
      <c r="CTO145" s="7"/>
      <c r="CTP145" s="7"/>
      <c r="CTQ145" s="7"/>
      <c r="CTR145" s="7"/>
      <c r="CTS145" s="7"/>
      <c r="CTT145" s="7"/>
      <c r="CTU145" s="7"/>
      <c r="CTV145" s="7"/>
      <c r="CTW145" s="7"/>
      <c r="CTX145" s="7"/>
      <c r="CTY145" s="7"/>
      <c r="CTZ145" s="7"/>
      <c r="CUA145" s="7"/>
      <c r="CUB145" s="7"/>
      <c r="CUC145" s="7"/>
      <c r="CUD145" s="7"/>
      <c r="CUE145" s="7"/>
      <c r="CUF145" s="7"/>
      <c r="CUG145" s="7"/>
      <c r="CUH145" s="7"/>
      <c r="CUI145" s="7"/>
      <c r="CUJ145" s="7"/>
      <c r="CUK145" s="7"/>
      <c r="CUL145" s="7"/>
      <c r="CUM145" s="7"/>
      <c r="CUN145" s="7"/>
      <c r="CUO145" s="7"/>
      <c r="CUP145" s="7"/>
      <c r="CUQ145" s="7"/>
      <c r="CUR145" s="7"/>
      <c r="CUS145" s="7"/>
      <c r="CUT145" s="7"/>
      <c r="CUU145" s="7"/>
      <c r="CUV145" s="7"/>
      <c r="CUW145" s="7"/>
      <c r="CUX145" s="7"/>
      <c r="CUY145" s="7"/>
      <c r="CUZ145" s="7"/>
      <c r="CVA145" s="7"/>
      <c r="CVB145" s="7"/>
      <c r="CVC145" s="7"/>
      <c r="CVD145" s="7"/>
      <c r="CVE145" s="7"/>
      <c r="CVF145" s="7"/>
      <c r="CVG145" s="7"/>
      <c r="CVH145" s="7"/>
      <c r="CVI145" s="7"/>
      <c r="CVJ145" s="7"/>
      <c r="CVK145" s="7"/>
      <c r="CVL145" s="7"/>
      <c r="CVM145" s="7"/>
      <c r="CVN145" s="7"/>
      <c r="CVO145" s="7"/>
      <c r="CVP145" s="7"/>
      <c r="CVQ145" s="7"/>
      <c r="CVR145" s="7"/>
      <c r="CVS145" s="7"/>
      <c r="CVT145" s="7"/>
      <c r="CVU145" s="7"/>
      <c r="CVV145" s="7"/>
      <c r="CVW145" s="7"/>
      <c r="CVX145" s="7"/>
      <c r="CVY145" s="7"/>
      <c r="CVZ145" s="7"/>
      <c r="CWA145" s="7"/>
      <c r="CWB145" s="7"/>
      <c r="CWC145" s="7"/>
      <c r="CWD145" s="7"/>
      <c r="CWE145" s="7"/>
      <c r="CWF145" s="7"/>
      <c r="CWG145" s="7"/>
      <c r="CWH145" s="7"/>
      <c r="CWI145" s="7"/>
      <c r="CWJ145" s="7"/>
      <c r="CWK145" s="7"/>
      <c r="CWL145" s="7"/>
      <c r="CWM145" s="7"/>
      <c r="CWN145" s="7"/>
      <c r="CWO145" s="7"/>
      <c r="CWP145" s="7"/>
      <c r="CWQ145" s="7"/>
      <c r="CWR145" s="7"/>
      <c r="CWS145" s="7"/>
      <c r="CWT145" s="7"/>
      <c r="CWU145" s="7"/>
      <c r="CWV145" s="7"/>
      <c r="CWW145" s="7"/>
      <c r="CWX145" s="7"/>
      <c r="CWY145" s="7"/>
      <c r="CWZ145" s="7"/>
      <c r="CXA145" s="7"/>
      <c r="CXB145" s="7"/>
      <c r="CXC145" s="7"/>
      <c r="CXD145" s="7"/>
      <c r="CXE145" s="7"/>
      <c r="CXF145" s="7"/>
      <c r="CXG145" s="7"/>
      <c r="CXH145" s="7"/>
      <c r="CXI145" s="7"/>
      <c r="CXJ145" s="7"/>
      <c r="CXK145" s="7"/>
      <c r="CXL145" s="7"/>
      <c r="CXM145" s="7"/>
      <c r="CXN145" s="7"/>
      <c r="CXO145" s="7"/>
      <c r="CXP145" s="7"/>
      <c r="CXQ145" s="7"/>
      <c r="CXR145" s="7"/>
      <c r="CXS145" s="7"/>
      <c r="CXT145" s="7"/>
      <c r="CXU145" s="7"/>
      <c r="CXV145" s="7"/>
      <c r="CXW145" s="7"/>
      <c r="CXX145" s="7"/>
      <c r="CXY145" s="7"/>
      <c r="CXZ145" s="7"/>
      <c r="CYA145" s="7"/>
      <c r="CYB145" s="7"/>
      <c r="CYC145" s="7"/>
      <c r="CYD145" s="7"/>
      <c r="CYE145" s="7"/>
      <c r="CYF145" s="7"/>
      <c r="CYG145" s="7"/>
      <c r="CYH145" s="7"/>
      <c r="CYI145" s="7"/>
      <c r="CYJ145" s="7"/>
      <c r="CYK145" s="7"/>
      <c r="CYL145" s="7"/>
      <c r="CYM145" s="7"/>
      <c r="CYN145" s="7"/>
      <c r="CYO145" s="7"/>
      <c r="CYP145" s="7"/>
      <c r="CYQ145" s="7"/>
      <c r="CYR145" s="7"/>
      <c r="CYS145" s="7"/>
      <c r="CYT145" s="7"/>
      <c r="CYU145" s="7"/>
      <c r="CYV145" s="7"/>
      <c r="CYW145" s="7"/>
      <c r="CYX145" s="7"/>
      <c r="CYY145" s="7"/>
      <c r="CYZ145" s="7"/>
      <c r="CZA145" s="7"/>
      <c r="CZB145" s="7"/>
      <c r="CZC145" s="7"/>
      <c r="CZD145" s="7"/>
      <c r="CZE145" s="7"/>
      <c r="CZF145" s="7"/>
      <c r="CZG145" s="7"/>
      <c r="CZH145" s="7"/>
      <c r="CZI145" s="7"/>
      <c r="CZJ145" s="7"/>
      <c r="CZK145" s="7"/>
      <c r="CZL145" s="7"/>
      <c r="CZM145" s="7"/>
      <c r="CZN145" s="7"/>
      <c r="CZO145" s="7"/>
      <c r="CZP145" s="7"/>
      <c r="CZQ145" s="7"/>
      <c r="CZR145" s="7"/>
      <c r="CZS145" s="7"/>
      <c r="CZT145" s="7"/>
      <c r="CZU145" s="7"/>
      <c r="CZV145" s="7"/>
      <c r="CZW145" s="7"/>
      <c r="CZX145" s="7"/>
      <c r="CZY145" s="7"/>
      <c r="CZZ145" s="7"/>
      <c r="DAA145" s="7"/>
      <c r="DAB145" s="7"/>
      <c r="DAC145" s="7"/>
      <c r="DAD145" s="7"/>
      <c r="DAE145" s="7"/>
      <c r="DAF145" s="7"/>
      <c r="DAG145" s="7"/>
      <c r="DAH145" s="7"/>
      <c r="DAI145" s="7"/>
      <c r="DAJ145" s="7"/>
      <c r="DAK145" s="7"/>
      <c r="DAL145" s="7"/>
      <c r="DAM145" s="7"/>
      <c r="DAN145" s="7"/>
      <c r="DAO145" s="7"/>
      <c r="DAP145" s="7"/>
      <c r="DAQ145" s="7"/>
      <c r="DAR145" s="7"/>
      <c r="DAS145" s="7"/>
      <c r="DAT145" s="7"/>
      <c r="DAU145" s="7"/>
      <c r="DAV145" s="7"/>
      <c r="DAW145" s="7"/>
      <c r="DAX145" s="7"/>
      <c r="DAY145" s="7"/>
      <c r="DAZ145" s="7"/>
      <c r="DBA145" s="7"/>
      <c r="DBB145" s="7"/>
      <c r="DBC145" s="7"/>
      <c r="DBD145" s="7"/>
      <c r="DBE145" s="7"/>
      <c r="DBF145" s="7"/>
      <c r="DBG145" s="7"/>
      <c r="DBH145" s="7"/>
      <c r="DBI145" s="7"/>
      <c r="DBJ145" s="7"/>
      <c r="DBK145" s="7"/>
      <c r="DBL145" s="7"/>
      <c r="DBM145" s="7"/>
      <c r="DBN145" s="7"/>
      <c r="DBO145" s="7"/>
      <c r="DBP145" s="7"/>
      <c r="DBQ145" s="7"/>
      <c r="DBR145" s="7"/>
      <c r="DBS145" s="7"/>
      <c r="DBT145" s="7"/>
      <c r="DBU145" s="7"/>
      <c r="DBV145" s="7"/>
      <c r="DBW145" s="7"/>
      <c r="DBX145" s="7"/>
      <c r="DBY145" s="7"/>
      <c r="DBZ145" s="7"/>
      <c r="DCA145" s="7"/>
      <c r="DCB145" s="7"/>
      <c r="DCC145" s="7"/>
      <c r="DCD145" s="7"/>
      <c r="DCE145" s="7"/>
      <c r="DCF145" s="7"/>
      <c r="DCG145" s="7"/>
      <c r="DCH145" s="7"/>
      <c r="DCI145" s="7"/>
      <c r="DCJ145" s="7"/>
      <c r="DCK145" s="7"/>
      <c r="DCL145" s="7"/>
      <c r="DCM145" s="7"/>
      <c r="DCN145" s="7"/>
      <c r="DCO145" s="7"/>
      <c r="DCP145" s="7"/>
      <c r="DCQ145" s="7"/>
      <c r="DCR145" s="7"/>
      <c r="DCS145" s="7"/>
      <c r="DCT145" s="7"/>
      <c r="DCU145" s="7"/>
      <c r="DCV145" s="7"/>
      <c r="DCW145" s="7"/>
      <c r="DCX145" s="7"/>
      <c r="DCY145" s="7"/>
      <c r="DCZ145" s="7"/>
      <c r="DDA145" s="7"/>
      <c r="DDB145" s="7"/>
      <c r="DDC145" s="7"/>
      <c r="DDD145" s="7"/>
      <c r="DDE145" s="7"/>
      <c r="DDF145" s="7"/>
      <c r="DDG145" s="7"/>
      <c r="DDH145" s="7"/>
      <c r="DDI145" s="7"/>
      <c r="DDJ145" s="7"/>
      <c r="DDK145" s="7"/>
      <c r="DDL145" s="7"/>
      <c r="DDM145" s="7"/>
      <c r="DDN145" s="7"/>
      <c r="DDO145" s="7"/>
      <c r="DDP145" s="7"/>
      <c r="DDQ145" s="7"/>
      <c r="DDR145" s="7"/>
      <c r="DDS145" s="7"/>
      <c r="DDT145" s="7"/>
      <c r="DDU145" s="7"/>
      <c r="DDV145" s="7"/>
      <c r="DDW145" s="7"/>
      <c r="DDX145" s="7"/>
      <c r="DDY145" s="7"/>
      <c r="DDZ145" s="7"/>
      <c r="DEA145" s="7"/>
      <c r="DEB145" s="7"/>
      <c r="DEC145" s="7"/>
      <c r="DED145" s="7"/>
      <c r="DEE145" s="7"/>
      <c r="DEF145" s="7"/>
      <c r="DEG145" s="7"/>
      <c r="DEH145" s="7"/>
      <c r="DEI145" s="7"/>
      <c r="DEJ145" s="7"/>
      <c r="DEK145" s="7"/>
      <c r="DEL145" s="7"/>
      <c r="DEM145" s="7"/>
      <c r="DEN145" s="7"/>
      <c r="DEO145" s="7"/>
      <c r="DEP145" s="7"/>
      <c r="DEQ145" s="7"/>
      <c r="DER145" s="7"/>
      <c r="DES145" s="7"/>
      <c r="DET145" s="7"/>
      <c r="DEU145" s="7"/>
      <c r="DEV145" s="7"/>
      <c r="DEW145" s="7"/>
      <c r="DEX145" s="7"/>
      <c r="DEY145" s="7"/>
      <c r="DEZ145" s="7"/>
      <c r="DFA145" s="7"/>
      <c r="DFB145" s="7"/>
      <c r="DFC145" s="7"/>
      <c r="DFD145" s="7"/>
      <c r="DFE145" s="7"/>
      <c r="DFF145" s="7"/>
      <c r="DFG145" s="7"/>
      <c r="DFH145" s="7"/>
      <c r="DFI145" s="7"/>
      <c r="DFJ145" s="7"/>
      <c r="DFK145" s="7"/>
      <c r="DFL145" s="7"/>
      <c r="DFM145" s="7"/>
      <c r="DFN145" s="7"/>
      <c r="DFO145" s="7"/>
      <c r="DFP145" s="7"/>
      <c r="DFQ145" s="7"/>
      <c r="DFR145" s="7"/>
      <c r="DFS145" s="7"/>
      <c r="DFT145" s="7"/>
      <c r="DFU145" s="7"/>
      <c r="DFV145" s="7"/>
      <c r="DFW145" s="7"/>
      <c r="DFX145" s="7"/>
      <c r="DFY145" s="7"/>
      <c r="DFZ145" s="7"/>
      <c r="DGA145" s="7"/>
      <c r="DGB145" s="7"/>
      <c r="DGC145" s="7"/>
      <c r="DGD145" s="7"/>
      <c r="DGE145" s="7"/>
      <c r="DGF145" s="7"/>
      <c r="DGG145" s="7"/>
      <c r="DGH145" s="7"/>
      <c r="DGI145" s="7"/>
      <c r="DGJ145" s="7"/>
      <c r="DGK145" s="7"/>
      <c r="DGL145" s="7"/>
      <c r="DGM145" s="7"/>
      <c r="DGN145" s="7"/>
      <c r="DGO145" s="7"/>
      <c r="DGP145" s="7"/>
      <c r="DGQ145" s="7"/>
      <c r="DGR145" s="7"/>
      <c r="DGS145" s="7"/>
      <c r="DGT145" s="7"/>
      <c r="DGU145" s="7"/>
      <c r="DGV145" s="7"/>
      <c r="DGW145" s="7"/>
      <c r="DGX145" s="7"/>
      <c r="DGY145" s="7"/>
      <c r="DGZ145" s="7"/>
      <c r="DHA145" s="7"/>
      <c r="DHB145" s="7"/>
      <c r="DHC145" s="7"/>
      <c r="DHD145" s="7"/>
      <c r="DHE145" s="7"/>
      <c r="DHF145" s="7"/>
      <c r="DHG145" s="7"/>
      <c r="DHH145" s="7"/>
      <c r="DHI145" s="7"/>
      <c r="DHJ145" s="7"/>
      <c r="DHK145" s="7"/>
      <c r="DHL145" s="7"/>
      <c r="DHM145" s="7"/>
      <c r="DHN145" s="7"/>
      <c r="DHO145" s="7"/>
      <c r="DHP145" s="7"/>
      <c r="DHQ145" s="7"/>
      <c r="DHR145" s="7"/>
      <c r="DHS145" s="7"/>
      <c r="DHT145" s="7"/>
      <c r="DHU145" s="7"/>
      <c r="DHV145" s="7"/>
      <c r="DHW145" s="7"/>
      <c r="DHX145" s="7"/>
      <c r="DHY145" s="7"/>
      <c r="DHZ145" s="7"/>
      <c r="DIA145" s="7"/>
      <c r="DIB145" s="7"/>
      <c r="DIC145" s="7"/>
      <c r="DID145" s="7"/>
      <c r="DIE145" s="7"/>
      <c r="DIF145" s="7"/>
      <c r="DIG145" s="7"/>
      <c r="DIH145" s="7"/>
      <c r="DII145" s="7"/>
      <c r="DIJ145" s="7"/>
      <c r="DIK145" s="7"/>
      <c r="DIL145" s="7"/>
      <c r="DIM145" s="7"/>
      <c r="DIN145" s="7"/>
      <c r="DIO145" s="7"/>
      <c r="DIP145" s="7"/>
      <c r="DIQ145" s="7"/>
      <c r="DIR145" s="7"/>
      <c r="DIS145" s="7"/>
      <c r="DIT145" s="7"/>
      <c r="DIU145" s="7"/>
      <c r="DIV145" s="7"/>
      <c r="DIW145" s="7"/>
      <c r="DIX145" s="7"/>
      <c r="DIY145" s="7"/>
      <c r="DIZ145" s="7"/>
      <c r="DJA145" s="7"/>
      <c r="DJB145" s="7"/>
      <c r="DJC145" s="7"/>
      <c r="DJD145" s="7"/>
      <c r="DJE145" s="7"/>
      <c r="DJF145" s="7"/>
      <c r="DJG145" s="7"/>
      <c r="DJH145" s="7"/>
      <c r="DJI145" s="7"/>
      <c r="DJJ145" s="7"/>
      <c r="DJK145" s="7"/>
      <c r="DJL145" s="7"/>
      <c r="DJM145" s="7"/>
      <c r="DJN145" s="7"/>
      <c r="DJO145" s="7"/>
      <c r="DJP145" s="7"/>
      <c r="DJQ145" s="7"/>
      <c r="DJR145" s="7"/>
      <c r="DJS145" s="7"/>
      <c r="DJT145" s="7"/>
      <c r="DJU145" s="7"/>
      <c r="DJV145" s="7"/>
      <c r="DJW145" s="7"/>
      <c r="DJX145" s="7"/>
      <c r="DJY145" s="7"/>
      <c r="DJZ145" s="7"/>
      <c r="DKA145" s="7"/>
      <c r="DKB145" s="7"/>
      <c r="DKC145" s="7"/>
      <c r="DKD145" s="7"/>
      <c r="DKE145" s="7"/>
      <c r="DKF145" s="7"/>
      <c r="DKG145" s="7"/>
      <c r="DKH145" s="7"/>
      <c r="DKI145" s="7"/>
      <c r="DKJ145" s="7"/>
      <c r="DKK145" s="7"/>
      <c r="DKL145" s="7"/>
      <c r="DKM145" s="7"/>
      <c r="DKN145" s="7"/>
      <c r="DKO145" s="7"/>
      <c r="DKP145" s="7"/>
      <c r="DKQ145" s="7"/>
      <c r="DKR145" s="7"/>
      <c r="DKS145" s="7"/>
      <c r="DKT145" s="7"/>
      <c r="DKU145" s="7"/>
      <c r="DKV145" s="7"/>
      <c r="DKW145" s="7"/>
      <c r="DKX145" s="7"/>
      <c r="DKY145" s="7"/>
      <c r="DKZ145" s="7"/>
      <c r="DLA145" s="7"/>
      <c r="DLB145" s="7"/>
      <c r="DLC145" s="7"/>
      <c r="DLD145" s="7"/>
      <c r="DLE145" s="7"/>
      <c r="DLF145" s="7"/>
      <c r="DLG145" s="7"/>
      <c r="DLH145" s="7"/>
      <c r="DLI145" s="7"/>
      <c r="DLJ145" s="7"/>
      <c r="DLK145" s="7"/>
      <c r="DLL145" s="7"/>
      <c r="DLM145" s="7"/>
      <c r="DLN145" s="7"/>
      <c r="DLO145" s="7"/>
      <c r="DLP145" s="7"/>
      <c r="DLQ145" s="7"/>
      <c r="DLR145" s="7"/>
      <c r="DLS145" s="7"/>
      <c r="DLT145" s="7"/>
      <c r="DLU145" s="7"/>
      <c r="DLV145" s="7"/>
      <c r="DLW145" s="7"/>
      <c r="DLX145" s="7"/>
      <c r="DLY145" s="7"/>
      <c r="DLZ145" s="7"/>
      <c r="DMA145" s="7"/>
      <c r="DMB145" s="7"/>
      <c r="DMC145" s="7"/>
      <c r="DMD145" s="7"/>
      <c r="DME145" s="7"/>
      <c r="DMF145" s="7"/>
      <c r="DMG145" s="7"/>
      <c r="DMH145" s="7"/>
      <c r="DMI145" s="7"/>
      <c r="DMJ145" s="7"/>
      <c r="DMK145" s="7"/>
      <c r="DML145" s="7"/>
      <c r="DMM145" s="7"/>
      <c r="DMN145" s="7"/>
      <c r="DMO145" s="7"/>
      <c r="DMP145" s="7"/>
      <c r="DMQ145" s="7"/>
      <c r="DMR145" s="7"/>
      <c r="DMS145" s="7"/>
      <c r="DMT145" s="7"/>
      <c r="DMU145" s="7"/>
      <c r="DMV145" s="7"/>
      <c r="DMW145" s="7"/>
      <c r="DMX145" s="7"/>
      <c r="DMY145" s="7"/>
      <c r="DMZ145" s="7"/>
      <c r="DNA145" s="7"/>
      <c r="DNB145" s="7"/>
      <c r="DNC145" s="7"/>
      <c r="DND145" s="7"/>
      <c r="DNE145" s="7"/>
      <c r="DNF145" s="7"/>
      <c r="DNG145" s="7"/>
      <c r="DNH145" s="7"/>
      <c r="DNI145" s="7"/>
      <c r="DNJ145" s="7"/>
      <c r="DNK145" s="7"/>
      <c r="DNL145" s="7"/>
      <c r="DNM145" s="7"/>
      <c r="DNN145" s="7"/>
      <c r="DNO145" s="7"/>
      <c r="DNP145" s="7"/>
      <c r="DNQ145" s="7"/>
      <c r="DNR145" s="7"/>
      <c r="DNS145" s="7"/>
      <c r="DNT145" s="7"/>
      <c r="DNU145" s="7"/>
      <c r="DNV145" s="7"/>
      <c r="DNW145" s="7"/>
      <c r="DNX145" s="7"/>
      <c r="DNY145" s="7"/>
      <c r="DNZ145" s="7"/>
      <c r="DOA145" s="7"/>
      <c r="DOB145" s="7"/>
      <c r="DOC145" s="7"/>
      <c r="DOD145" s="7"/>
      <c r="DOE145" s="7"/>
      <c r="DOF145" s="7"/>
      <c r="DOG145" s="7"/>
      <c r="DOH145" s="7"/>
      <c r="DOI145" s="7"/>
      <c r="DOJ145" s="7"/>
      <c r="DOK145" s="7"/>
      <c r="DOL145" s="7"/>
      <c r="DOM145" s="7"/>
      <c r="DON145" s="7"/>
      <c r="DOO145" s="7"/>
      <c r="DOP145" s="7"/>
      <c r="DOQ145" s="7"/>
      <c r="DOR145" s="7"/>
      <c r="DOS145" s="7"/>
      <c r="DOT145" s="7"/>
      <c r="DOU145" s="7"/>
      <c r="DOV145" s="7"/>
      <c r="DOW145" s="7"/>
      <c r="DOX145" s="7"/>
      <c r="DOY145" s="7"/>
      <c r="DOZ145" s="7"/>
      <c r="DPA145" s="7"/>
      <c r="DPB145" s="7"/>
      <c r="DPC145" s="7"/>
      <c r="DPD145" s="7"/>
      <c r="DPE145" s="7"/>
      <c r="DPF145" s="7"/>
      <c r="DPG145" s="7"/>
      <c r="DPH145" s="7"/>
      <c r="DPI145" s="7"/>
      <c r="DPJ145" s="7"/>
      <c r="DPK145" s="7"/>
      <c r="DPL145" s="7"/>
      <c r="DPM145" s="7"/>
      <c r="DPN145" s="7"/>
      <c r="DPO145" s="7"/>
      <c r="DPP145" s="7"/>
      <c r="DPQ145" s="7"/>
      <c r="DPR145" s="7"/>
      <c r="DPS145" s="7"/>
      <c r="DPT145" s="7"/>
      <c r="DPU145" s="7"/>
      <c r="DPV145" s="7"/>
      <c r="DPW145" s="7"/>
      <c r="DPX145" s="7"/>
      <c r="DPY145" s="7"/>
      <c r="DPZ145" s="7"/>
      <c r="DQA145" s="7"/>
      <c r="DQB145" s="7"/>
      <c r="DQC145" s="7"/>
      <c r="DQD145" s="7"/>
      <c r="DQE145" s="7"/>
      <c r="DQF145" s="7"/>
      <c r="DQG145" s="7"/>
      <c r="DQH145" s="7"/>
      <c r="DQI145" s="7"/>
      <c r="DQJ145" s="7"/>
      <c r="DQK145" s="7"/>
      <c r="DQL145" s="7"/>
      <c r="DQM145" s="7"/>
      <c r="DQN145" s="7"/>
      <c r="DQO145" s="7"/>
      <c r="DQP145" s="7"/>
      <c r="DQQ145" s="7"/>
      <c r="DQR145" s="7"/>
      <c r="DQS145" s="7"/>
      <c r="DQT145" s="7"/>
      <c r="DQU145" s="7"/>
      <c r="DQV145" s="7"/>
      <c r="DQW145" s="7"/>
      <c r="DQX145" s="7"/>
      <c r="DQY145" s="7"/>
      <c r="DQZ145" s="7"/>
      <c r="DRA145" s="7"/>
      <c r="DRB145" s="7"/>
      <c r="DRC145" s="7"/>
      <c r="DRD145" s="7"/>
      <c r="DRE145" s="7"/>
      <c r="DRF145" s="7"/>
      <c r="DRG145" s="7"/>
      <c r="DRH145" s="7"/>
      <c r="DRI145" s="7"/>
      <c r="DRJ145" s="7"/>
      <c r="DRK145" s="7"/>
      <c r="DRL145" s="7"/>
      <c r="DRM145" s="7"/>
      <c r="DRN145" s="7"/>
      <c r="DRO145" s="7"/>
      <c r="DRP145" s="7"/>
      <c r="DRQ145" s="7"/>
      <c r="DRR145" s="7"/>
      <c r="DRS145" s="7"/>
      <c r="DRT145" s="7"/>
      <c r="DRU145" s="7"/>
      <c r="DRV145" s="7"/>
      <c r="DRW145" s="7"/>
      <c r="DRX145" s="7"/>
      <c r="DRY145" s="7"/>
      <c r="DRZ145" s="7"/>
      <c r="DSA145" s="7"/>
      <c r="DSB145" s="7"/>
      <c r="DSC145" s="7"/>
      <c r="DSD145" s="7"/>
      <c r="DSE145" s="7"/>
      <c r="DSF145" s="7"/>
      <c r="DSG145" s="7"/>
      <c r="DSH145" s="7"/>
      <c r="DSI145" s="7"/>
      <c r="DSJ145" s="7"/>
      <c r="DSK145" s="7"/>
      <c r="DSL145" s="7"/>
      <c r="DSM145" s="7"/>
      <c r="DSN145" s="7"/>
      <c r="DSO145" s="7"/>
      <c r="DSP145" s="7"/>
      <c r="DSQ145" s="7"/>
      <c r="DSR145" s="7"/>
      <c r="DSS145" s="7"/>
      <c r="DST145" s="7"/>
      <c r="DSU145" s="7"/>
      <c r="DSV145" s="7"/>
      <c r="DSW145" s="7"/>
      <c r="DSX145" s="7"/>
      <c r="DSY145" s="7"/>
      <c r="DSZ145" s="7"/>
      <c r="DTA145" s="7"/>
      <c r="DTB145" s="7"/>
      <c r="DTC145" s="7"/>
      <c r="DTD145" s="7"/>
      <c r="DTE145" s="7"/>
      <c r="DTF145" s="7"/>
      <c r="DTG145" s="7"/>
      <c r="DTH145" s="7"/>
      <c r="DTI145" s="7"/>
      <c r="DTJ145" s="7"/>
      <c r="DTK145" s="7"/>
      <c r="DTL145" s="7"/>
      <c r="DTM145" s="7"/>
      <c r="DTN145" s="7"/>
      <c r="DTO145" s="7"/>
      <c r="DTP145" s="7"/>
      <c r="DTQ145" s="7"/>
      <c r="DTR145" s="7"/>
      <c r="DTS145" s="7"/>
      <c r="DTT145" s="7"/>
      <c r="DTU145" s="7"/>
      <c r="DTV145" s="7"/>
      <c r="DTW145" s="7"/>
      <c r="DTX145" s="7"/>
      <c r="DTY145" s="7"/>
      <c r="DTZ145" s="7"/>
      <c r="DUA145" s="7"/>
      <c r="DUB145" s="7"/>
      <c r="DUC145" s="7"/>
      <c r="DUD145" s="7"/>
      <c r="DUE145" s="7"/>
      <c r="DUF145" s="7"/>
      <c r="DUG145" s="7"/>
      <c r="DUH145" s="7"/>
      <c r="DUI145" s="7"/>
      <c r="DUJ145" s="7"/>
      <c r="DUK145" s="7"/>
      <c r="DUL145" s="7"/>
      <c r="DUM145" s="7"/>
      <c r="DUN145" s="7"/>
      <c r="DUO145" s="7"/>
      <c r="DUP145" s="7"/>
      <c r="DUQ145" s="7"/>
      <c r="DUR145" s="7"/>
      <c r="DUS145" s="7"/>
      <c r="DUT145" s="7"/>
      <c r="DUU145" s="7"/>
      <c r="DUV145" s="7"/>
      <c r="DUW145" s="7"/>
      <c r="DUX145" s="7"/>
      <c r="DUY145" s="7"/>
      <c r="DUZ145" s="7"/>
      <c r="DVA145" s="7"/>
      <c r="DVB145" s="7"/>
      <c r="DVC145" s="7"/>
      <c r="DVD145" s="7"/>
      <c r="DVE145" s="7"/>
      <c r="DVF145" s="7"/>
      <c r="DVG145" s="7"/>
      <c r="DVH145" s="7"/>
      <c r="DVI145" s="7"/>
      <c r="DVJ145" s="7"/>
      <c r="DVK145" s="7"/>
      <c r="DVL145" s="7"/>
      <c r="DVM145" s="7"/>
      <c r="DVN145" s="7"/>
      <c r="DVO145" s="7"/>
      <c r="DVP145" s="7"/>
      <c r="DVQ145" s="7"/>
      <c r="DVR145" s="7"/>
      <c r="DVS145" s="7"/>
      <c r="DVT145" s="7"/>
      <c r="DVU145" s="7"/>
      <c r="DVV145" s="7"/>
      <c r="DVW145" s="7"/>
      <c r="DVX145" s="7"/>
      <c r="DVY145" s="7"/>
      <c r="DVZ145" s="7"/>
      <c r="DWA145" s="7"/>
      <c r="DWB145" s="7"/>
      <c r="DWC145" s="7"/>
      <c r="DWD145" s="7"/>
      <c r="DWE145" s="7"/>
      <c r="DWF145" s="7"/>
      <c r="DWG145" s="7"/>
      <c r="DWH145" s="7"/>
      <c r="DWI145" s="7"/>
      <c r="DWJ145" s="7"/>
      <c r="DWK145" s="7"/>
      <c r="DWL145" s="7"/>
      <c r="DWM145" s="7"/>
      <c r="DWN145" s="7"/>
      <c r="DWO145" s="7"/>
      <c r="DWP145" s="7"/>
      <c r="DWQ145" s="7"/>
      <c r="DWR145" s="7"/>
      <c r="DWS145" s="7"/>
      <c r="DWT145" s="7"/>
      <c r="DWU145" s="7"/>
      <c r="DWV145" s="7"/>
      <c r="DWW145" s="7"/>
      <c r="DWX145" s="7"/>
      <c r="DWY145" s="7"/>
      <c r="DWZ145" s="7"/>
      <c r="DXA145" s="7"/>
      <c r="DXB145" s="7"/>
      <c r="DXC145" s="7"/>
      <c r="DXD145" s="7"/>
      <c r="DXE145" s="7"/>
      <c r="DXF145" s="7"/>
      <c r="DXG145" s="7"/>
      <c r="DXH145" s="7"/>
      <c r="DXI145" s="7"/>
      <c r="DXJ145" s="7"/>
      <c r="DXK145" s="7"/>
      <c r="DXL145" s="7"/>
      <c r="DXM145" s="7"/>
      <c r="DXN145" s="7"/>
      <c r="DXO145" s="7"/>
      <c r="DXP145" s="7"/>
      <c r="DXQ145" s="7"/>
      <c r="DXR145" s="7"/>
      <c r="DXS145" s="7"/>
      <c r="DXT145" s="7"/>
      <c r="DXU145" s="7"/>
      <c r="DXV145" s="7"/>
      <c r="DXW145" s="7"/>
      <c r="DXX145" s="7"/>
      <c r="DXY145" s="7"/>
      <c r="DXZ145" s="7"/>
      <c r="DYA145" s="7"/>
      <c r="DYB145" s="7"/>
      <c r="DYC145" s="7"/>
      <c r="DYD145" s="7"/>
      <c r="DYE145" s="7"/>
      <c r="DYF145" s="7"/>
      <c r="DYG145" s="7"/>
      <c r="DYH145" s="7"/>
      <c r="DYI145" s="7"/>
      <c r="DYJ145" s="7"/>
      <c r="DYK145" s="7"/>
      <c r="DYL145" s="7"/>
      <c r="DYM145" s="7"/>
      <c r="DYN145" s="7"/>
      <c r="DYO145" s="7"/>
      <c r="DYP145" s="7"/>
      <c r="DYQ145" s="7"/>
      <c r="DYR145" s="7"/>
      <c r="DYS145" s="7"/>
      <c r="DYT145" s="7"/>
      <c r="DYU145" s="7"/>
      <c r="DYV145" s="7"/>
      <c r="DYW145" s="7"/>
      <c r="DYX145" s="7"/>
      <c r="DYY145" s="7"/>
      <c r="DYZ145" s="7"/>
      <c r="DZA145" s="7"/>
      <c r="DZB145" s="7"/>
      <c r="DZC145" s="7"/>
      <c r="DZD145" s="7"/>
      <c r="DZE145" s="7"/>
      <c r="DZF145" s="7"/>
      <c r="DZG145" s="7"/>
      <c r="DZH145" s="7"/>
      <c r="DZI145" s="7"/>
      <c r="DZJ145" s="7"/>
      <c r="DZK145" s="7"/>
      <c r="DZL145" s="7"/>
      <c r="DZM145" s="7"/>
      <c r="DZN145" s="7"/>
      <c r="DZO145" s="7"/>
      <c r="DZP145" s="7"/>
      <c r="DZQ145" s="7"/>
      <c r="DZR145" s="7"/>
      <c r="DZS145" s="7"/>
      <c r="DZT145" s="7"/>
      <c r="DZU145" s="7"/>
      <c r="DZV145" s="7"/>
      <c r="DZW145" s="7"/>
      <c r="DZX145" s="7"/>
      <c r="DZY145" s="7"/>
      <c r="DZZ145" s="7"/>
      <c r="EAA145" s="7"/>
      <c r="EAB145" s="7"/>
      <c r="EAC145" s="7"/>
      <c r="EAD145" s="7"/>
      <c r="EAE145" s="7"/>
      <c r="EAF145" s="7"/>
      <c r="EAG145" s="7"/>
      <c r="EAH145" s="7"/>
      <c r="EAI145" s="7"/>
      <c r="EAJ145" s="7"/>
      <c r="EAK145" s="7"/>
      <c r="EAL145" s="7"/>
      <c r="EAM145" s="7"/>
      <c r="EAN145" s="7"/>
      <c r="EAO145" s="7"/>
      <c r="EAP145" s="7"/>
      <c r="EAQ145" s="7"/>
      <c r="EAR145" s="7"/>
      <c r="EAS145" s="7"/>
      <c r="EAT145" s="7"/>
      <c r="EAU145" s="7"/>
      <c r="EAV145" s="7"/>
      <c r="EAW145" s="7"/>
      <c r="EAX145" s="7"/>
      <c r="EAY145" s="7"/>
      <c r="EAZ145" s="7"/>
      <c r="EBA145" s="7"/>
      <c r="EBB145" s="7"/>
      <c r="EBC145" s="7"/>
      <c r="EBD145" s="7"/>
      <c r="EBE145" s="7"/>
      <c r="EBF145" s="7"/>
      <c r="EBG145" s="7"/>
      <c r="EBH145" s="7"/>
      <c r="EBI145" s="7"/>
      <c r="EBJ145" s="7"/>
      <c r="EBK145" s="7"/>
      <c r="EBL145" s="7"/>
      <c r="EBM145" s="7"/>
      <c r="EBN145" s="7"/>
      <c r="EBO145" s="7"/>
      <c r="EBP145" s="7"/>
      <c r="EBQ145" s="7"/>
      <c r="EBR145" s="7"/>
      <c r="EBS145" s="7"/>
      <c r="EBT145" s="7"/>
      <c r="EBU145" s="7"/>
      <c r="EBV145" s="7"/>
      <c r="EBW145" s="7"/>
      <c r="EBX145" s="7"/>
      <c r="EBY145" s="7"/>
      <c r="EBZ145" s="7"/>
      <c r="ECA145" s="7"/>
      <c r="ECB145" s="7"/>
      <c r="ECC145" s="7"/>
      <c r="ECD145" s="7"/>
      <c r="ECE145" s="7"/>
      <c r="ECF145" s="7"/>
      <c r="ECG145" s="7"/>
      <c r="ECH145" s="7"/>
      <c r="ECI145" s="7"/>
      <c r="ECJ145" s="7"/>
      <c r="ECK145" s="7"/>
      <c r="ECL145" s="7"/>
      <c r="ECM145" s="7"/>
      <c r="ECN145" s="7"/>
      <c r="ECO145" s="7"/>
      <c r="ECP145" s="7"/>
      <c r="ECQ145" s="7"/>
      <c r="ECR145" s="7"/>
      <c r="ECS145" s="7"/>
      <c r="ECT145" s="7"/>
      <c r="ECU145" s="7"/>
      <c r="ECV145" s="7"/>
      <c r="ECW145" s="7"/>
      <c r="ECX145" s="7"/>
      <c r="ECY145" s="7"/>
      <c r="ECZ145" s="7"/>
      <c r="EDA145" s="7"/>
      <c r="EDB145" s="7"/>
      <c r="EDC145" s="7"/>
      <c r="EDD145" s="7"/>
      <c r="EDE145" s="7"/>
      <c r="EDF145" s="7"/>
      <c r="EDG145" s="7"/>
      <c r="EDH145" s="7"/>
      <c r="EDI145" s="7"/>
      <c r="EDJ145" s="7"/>
      <c r="EDK145" s="7"/>
      <c r="EDL145" s="7"/>
      <c r="EDM145" s="7"/>
      <c r="EDN145" s="7"/>
      <c r="EDO145" s="7"/>
      <c r="EDP145" s="7"/>
      <c r="EDQ145" s="7"/>
      <c r="EDR145" s="7"/>
      <c r="EDS145" s="7"/>
      <c r="EDT145" s="7"/>
      <c r="EDU145" s="7"/>
      <c r="EDV145" s="7"/>
      <c r="EDW145" s="7"/>
      <c r="EDX145" s="7"/>
      <c r="EDY145" s="7"/>
      <c r="EDZ145" s="7"/>
      <c r="EEA145" s="7"/>
      <c r="EEB145" s="7"/>
      <c r="EEC145" s="7"/>
      <c r="EED145" s="7"/>
      <c r="EEE145" s="7"/>
      <c r="EEF145" s="7"/>
      <c r="EEG145" s="7"/>
      <c r="EEH145" s="7"/>
      <c r="EEI145" s="7"/>
      <c r="EEJ145" s="7"/>
      <c r="EEK145" s="7"/>
      <c r="EEL145" s="7"/>
      <c r="EEM145" s="7"/>
      <c r="EEN145" s="7"/>
      <c r="EEO145" s="7"/>
      <c r="EEP145" s="7"/>
      <c r="EEQ145" s="7"/>
      <c r="EER145" s="7"/>
      <c r="EES145" s="7"/>
      <c r="EET145" s="7"/>
      <c r="EEU145" s="7"/>
      <c r="EEV145" s="7"/>
      <c r="EEW145" s="7"/>
      <c r="EEX145" s="7"/>
      <c r="EEY145" s="7"/>
      <c r="EEZ145" s="7"/>
      <c r="EFA145" s="7"/>
      <c r="EFB145" s="7"/>
      <c r="EFC145" s="7"/>
      <c r="EFD145" s="7"/>
      <c r="EFE145" s="7"/>
      <c r="EFF145" s="7"/>
      <c r="EFG145" s="7"/>
      <c r="EFH145" s="7"/>
      <c r="EFI145" s="7"/>
      <c r="EFJ145" s="7"/>
      <c r="EFK145" s="7"/>
      <c r="EFL145" s="7"/>
      <c r="EFM145" s="7"/>
      <c r="EFN145" s="7"/>
      <c r="EFO145" s="7"/>
      <c r="EFP145" s="7"/>
      <c r="EFQ145" s="7"/>
      <c r="EFR145" s="7"/>
      <c r="EFS145" s="7"/>
      <c r="EFT145" s="7"/>
      <c r="EFU145" s="7"/>
      <c r="EFV145" s="7"/>
      <c r="EFW145" s="7"/>
      <c r="EFX145" s="7"/>
      <c r="EFY145" s="7"/>
      <c r="EFZ145" s="7"/>
      <c r="EGA145" s="7"/>
      <c r="EGB145" s="7"/>
      <c r="EGC145" s="7"/>
      <c r="EGD145" s="7"/>
      <c r="EGE145" s="7"/>
      <c r="EGF145" s="7"/>
      <c r="EGG145" s="7"/>
      <c r="EGH145" s="7"/>
      <c r="EGI145" s="7"/>
      <c r="EGJ145" s="7"/>
      <c r="EGK145" s="7"/>
      <c r="EGL145" s="7"/>
      <c r="EGM145" s="7"/>
      <c r="EGN145" s="7"/>
      <c r="EGO145" s="7"/>
      <c r="EGP145" s="7"/>
      <c r="EGQ145" s="7"/>
      <c r="EGR145" s="7"/>
      <c r="EGS145" s="7"/>
      <c r="EGT145" s="7"/>
      <c r="EGU145" s="7"/>
      <c r="EGV145" s="7"/>
      <c r="EGW145" s="7"/>
      <c r="EGX145" s="7"/>
      <c r="EGY145" s="7"/>
      <c r="EGZ145" s="7"/>
      <c r="EHA145" s="7"/>
      <c r="EHB145" s="7"/>
      <c r="EHC145" s="7"/>
      <c r="EHD145" s="7"/>
      <c r="EHE145" s="7"/>
      <c r="EHF145" s="7"/>
      <c r="EHG145" s="7"/>
      <c r="EHH145" s="7"/>
      <c r="EHI145" s="7"/>
      <c r="EHJ145" s="7"/>
      <c r="EHK145" s="7"/>
      <c r="EHL145" s="7"/>
      <c r="EHM145" s="7"/>
      <c r="EHN145" s="7"/>
      <c r="EHO145" s="7"/>
      <c r="EHP145" s="7"/>
      <c r="EHQ145" s="7"/>
      <c r="EHR145" s="7"/>
      <c r="EHS145" s="7"/>
      <c r="EHT145" s="7"/>
      <c r="EHU145" s="7"/>
      <c r="EHV145" s="7"/>
      <c r="EHW145" s="7"/>
      <c r="EHX145" s="7"/>
      <c r="EHY145" s="7"/>
      <c r="EHZ145" s="7"/>
      <c r="EIA145" s="7"/>
      <c r="EIB145" s="7"/>
      <c r="EIC145" s="7"/>
      <c r="EID145" s="7"/>
      <c r="EIE145" s="7"/>
      <c r="EIF145" s="7"/>
      <c r="EIG145" s="7"/>
      <c r="EIH145" s="7"/>
      <c r="EII145" s="7"/>
      <c r="EIJ145" s="7"/>
      <c r="EIK145" s="7"/>
      <c r="EIL145" s="7"/>
      <c r="EIM145" s="7"/>
      <c r="EIN145" s="7"/>
      <c r="EIO145" s="7"/>
      <c r="EIP145" s="7"/>
      <c r="EIQ145" s="7"/>
      <c r="EIR145" s="7"/>
      <c r="EIS145" s="7"/>
      <c r="EIT145" s="7"/>
      <c r="EIU145" s="7"/>
      <c r="EIV145" s="7"/>
      <c r="EIW145" s="7"/>
      <c r="EIX145" s="7"/>
      <c r="EIY145" s="7"/>
      <c r="EIZ145" s="7"/>
      <c r="EJA145" s="7"/>
      <c r="EJB145" s="7"/>
      <c r="EJC145" s="7"/>
      <c r="EJD145" s="7"/>
      <c r="EJE145" s="7"/>
      <c r="EJF145" s="7"/>
      <c r="EJG145" s="7"/>
      <c r="EJH145" s="7"/>
      <c r="EJI145" s="7"/>
      <c r="EJJ145" s="7"/>
      <c r="EJK145" s="7"/>
      <c r="EJL145" s="7"/>
      <c r="EJM145" s="7"/>
      <c r="EJN145" s="7"/>
      <c r="EJO145" s="7"/>
      <c r="EJP145" s="7"/>
      <c r="EJQ145" s="7"/>
      <c r="EJR145" s="7"/>
      <c r="EJS145" s="7"/>
      <c r="EJT145" s="7"/>
      <c r="EJU145" s="7"/>
      <c r="EJV145" s="7"/>
      <c r="EJW145" s="7"/>
      <c r="EJX145" s="7"/>
      <c r="EJY145" s="7"/>
      <c r="EJZ145" s="7"/>
      <c r="EKA145" s="7"/>
      <c r="EKB145" s="7"/>
      <c r="EKC145" s="7"/>
      <c r="EKD145" s="7"/>
      <c r="EKE145" s="7"/>
      <c r="EKF145" s="7"/>
      <c r="EKG145" s="7"/>
      <c r="EKH145" s="7"/>
      <c r="EKI145" s="7"/>
      <c r="EKJ145" s="7"/>
      <c r="EKK145" s="7"/>
      <c r="EKL145" s="7"/>
      <c r="EKM145" s="7"/>
      <c r="EKN145" s="7"/>
      <c r="EKO145" s="7"/>
      <c r="EKP145" s="7"/>
      <c r="EKQ145" s="7"/>
      <c r="EKR145" s="7"/>
      <c r="EKS145" s="7"/>
      <c r="EKT145" s="7"/>
      <c r="EKU145" s="7"/>
      <c r="EKV145" s="7"/>
      <c r="EKW145" s="7"/>
      <c r="EKX145" s="7"/>
      <c r="EKY145" s="7"/>
      <c r="EKZ145" s="7"/>
      <c r="ELA145" s="7"/>
      <c r="ELB145" s="7"/>
      <c r="ELC145" s="7"/>
      <c r="ELD145" s="7"/>
      <c r="ELE145" s="7"/>
      <c r="ELF145" s="7"/>
      <c r="ELG145" s="7"/>
      <c r="ELH145" s="7"/>
      <c r="ELI145" s="7"/>
      <c r="ELJ145" s="7"/>
      <c r="ELK145" s="7"/>
      <c r="ELL145" s="7"/>
      <c r="ELM145" s="7"/>
      <c r="ELN145" s="7"/>
      <c r="ELO145" s="7"/>
      <c r="ELP145" s="7"/>
      <c r="ELQ145" s="7"/>
      <c r="ELR145" s="7"/>
      <c r="ELS145" s="7"/>
      <c r="ELT145" s="7"/>
      <c r="ELU145" s="7"/>
      <c r="ELV145" s="7"/>
      <c r="ELW145" s="7"/>
      <c r="ELX145" s="7"/>
      <c r="ELY145" s="7"/>
      <c r="ELZ145" s="7"/>
      <c r="EMA145" s="7"/>
      <c r="EMB145" s="7"/>
      <c r="EMC145" s="7"/>
      <c r="EMD145" s="7"/>
      <c r="EME145" s="7"/>
      <c r="EMF145" s="7"/>
      <c r="EMG145" s="7"/>
      <c r="EMH145" s="7"/>
      <c r="EMI145" s="7"/>
      <c r="EMJ145" s="7"/>
      <c r="EMK145" s="7"/>
      <c r="EML145" s="7"/>
      <c r="EMM145" s="7"/>
      <c r="EMN145" s="7"/>
      <c r="EMO145" s="7"/>
      <c r="EMP145" s="7"/>
      <c r="EMQ145" s="7"/>
      <c r="EMR145" s="7"/>
      <c r="EMS145" s="7"/>
      <c r="EMT145" s="7"/>
      <c r="EMU145" s="7"/>
      <c r="EMV145" s="7"/>
      <c r="EMW145" s="7"/>
      <c r="EMX145" s="7"/>
      <c r="EMY145" s="7"/>
      <c r="EMZ145" s="7"/>
      <c r="ENA145" s="7"/>
      <c r="ENB145" s="7"/>
      <c r="ENC145" s="7"/>
      <c r="END145" s="7"/>
      <c r="ENE145" s="7"/>
      <c r="ENF145" s="7"/>
      <c r="ENG145" s="7"/>
      <c r="ENH145" s="7"/>
      <c r="ENI145" s="7"/>
      <c r="ENJ145" s="7"/>
      <c r="ENK145" s="7"/>
      <c r="ENL145" s="7"/>
      <c r="ENM145" s="7"/>
      <c r="ENN145" s="7"/>
      <c r="ENO145" s="7"/>
      <c r="ENP145" s="7"/>
      <c r="ENQ145" s="7"/>
      <c r="ENR145" s="7"/>
      <c r="ENS145" s="7"/>
      <c r="ENT145" s="7"/>
      <c r="ENU145" s="7"/>
      <c r="ENV145" s="7"/>
      <c r="ENW145" s="7"/>
      <c r="ENX145" s="7"/>
      <c r="ENY145" s="7"/>
      <c r="ENZ145" s="7"/>
      <c r="EOA145" s="7"/>
      <c r="EOB145" s="7"/>
      <c r="EOC145" s="7"/>
      <c r="EOD145" s="7"/>
      <c r="EOE145" s="7"/>
      <c r="EOF145" s="7"/>
      <c r="EOG145" s="7"/>
      <c r="EOH145" s="7"/>
      <c r="EOI145" s="7"/>
      <c r="EOJ145" s="7"/>
      <c r="EOK145" s="7"/>
      <c r="EOL145" s="7"/>
      <c r="EOM145" s="7"/>
      <c r="EON145" s="7"/>
      <c r="EOO145" s="7"/>
      <c r="EOP145" s="7"/>
      <c r="EOQ145" s="7"/>
      <c r="EOR145" s="7"/>
      <c r="EOS145" s="7"/>
      <c r="EOT145" s="7"/>
      <c r="EOU145" s="7"/>
      <c r="EOV145" s="7"/>
      <c r="EOW145" s="7"/>
      <c r="EOX145" s="7"/>
      <c r="EOY145" s="7"/>
      <c r="EOZ145" s="7"/>
      <c r="EPA145" s="7"/>
      <c r="EPB145" s="7"/>
      <c r="EPC145" s="7"/>
      <c r="EPD145" s="7"/>
      <c r="EPE145" s="7"/>
      <c r="EPF145" s="7"/>
      <c r="EPG145" s="7"/>
      <c r="EPH145" s="7"/>
      <c r="EPI145" s="7"/>
      <c r="EPJ145" s="7"/>
      <c r="EPK145" s="7"/>
      <c r="EPL145" s="7"/>
      <c r="EPM145" s="7"/>
      <c r="EPN145" s="7"/>
      <c r="EPO145" s="7"/>
      <c r="EPP145" s="7"/>
      <c r="EPQ145" s="7"/>
      <c r="EPR145" s="7"/>
      <c r="EPS145" s="7"/>
      <c r="EPT145" s="7"/>
      <c r="EPU145" s="7"/>
      <c r="EPV145" s="7"/>
      <c r="EPW145" s="7"/>
      <c r="EPX145" s="7"/>
      <c r="EPY145" s="7"/>
      <c r="EPZ145" s="7"/>
      <c r="EQA145" s="7"/>
      <c r="EQB145" s="7"/>
      <c r="EQC145" s="7"/>
      <c r="EQD145" s="7"/>
      <c r="EQE145" s="7"/>
      <c r="EQF145" s="7"/>
      <c r="EQG145" s="7"/>
      <c r="EQH145" s="7"/>
      <c r="EQI145" s="7"/>
      <c r="EQJ145" s="7"/>
      <c r="EQK145" s="7"/>
      <c r="EQL145" s="7"/>
      <c r="EQM145" s="7"/>
      <c r="EQN145" s="7"/>
      <c r="EQO145" s="7"/>
      <c r="EQP145" s="7"/>
      <c r="EQQ145" s="7"/>
      <c r="EQR145" s="7"/>
      <c r="EQS145" s="7"/>
      <c r="EQT145" s="7"/>
      <c r="EQU145" s="7"/>
      <c r="EQV145" s="7"/>
      <c r="EQW145" s="7"/>
      <c r="EQX145" s="7"/>
      <c r="EQY145" s="7"/>
      <c r="EQZ145" s="7"/>
      <c r="ERA145" s="7"/>
      <c r="ERB145" s="7"/>
      <c r="ERC145" s="7"/>
      <c r="ERD145" s="7"/>
      <c r="ERE145" s="7"/>
      <c r="ERF145" s="7"/>
      <c r="ERG145" s="7"/>
      <c r="ERH145" s="7"/>
      <c r="ERI145" s="7"/>
      <c r="ERJ145" s="7"/>
      <c r="ERK145" s="7"/>
      <c r="ERL145" s="7"/>
      <c r="ERM145" s="7"/>
      <c r="ERN145" s="7"/>
      <c r="ERO145" s="7"/>
      <c r="ERP145" s="7"/>
      <c r="ERQ145" s="7"/>
      <c r="ERR145" s="7"/>
      <c r="ERS145" s="7"/>
      <c r="ERT145" s="7"/>
      <c r="ERU145" s="7"/>
      <c r="ERV145" s="7"/>
      <c r="ERW145" s="7"/>
      <c r="ERX145" s="7"/>
      <c r="ERY145" s="7"/>
      <c r="ERZ145" s="7"/>
      <c r="ESA145" s="7"/>
      <c r="ESB145" s="7"/>
      <c r="ESC145" s="7"/>
      <c r="ESD145" s="7"/>
      <c r="ESE145" s="7"/>
      <c r="ESF145" s="7"/>
      <c r="ESG145" s="7"/>
      <c r="ESH145" s="7"/>
      <c r="ESI145" s="7"/>
      <c r="ESJ145" s="7"/>
      <c r="ESK145" s="7"/>
      <c r="ESL145" s="7"/>
      <c r="ESM145" s="7"/>
      <c r="ESN145" s="7"/>
      <c r="ESO145" s="7"/>
      <c r="ESP145" s="7"/>
      <c r="ESQ145" s="7"/>
      <c r="ESR145" s="7"/>
      <c r="ESS145" s="7"/>
      <c r="EST145" s="7"/>
      <c r="ESU145" s="7"/>
      <c r="ESV145" s="7"/>
      <c r="ESW145" s="7"/>
      <c r="ESX145" s="7"/>
      <c r="ESY145" s="7"/>
      <c r="ESZ145" s="7"/>
      <c r="ETA145" s="7"/>
      <c r="ETB145" s="7"/>
      <c r="ETC145" s="7"/>
      <c r="ETD145" s="7"/>
      <c r="ETE145" s="7"/>
      <c r="ETF145" s="7"/>
      <c r="ETG145" s="7"/>
      <c r="ETH145" s="7"/>
      <c r="ETI145" s="7"/>
      <c r="ETJ145" s="7"/>
      <c r="ETK145" s="7"/>
      <c r="ETL145" s="7"/>
      <c r="ETM145" s="7"/>
      <c r="ETN145" s="7"/>
      <c r="ETO145" s="7"/>
      <c r="ETP145" s="7"/>
      <c r="ETQ145" s="7"/>
      <c r="ETR145" s="7"/>
      <c r="ETS145" s="7"/>
      <c r="ETT145" s="7"/>
      <c r="ETU145" s="7"/>
      <c r="ETV145" s="7"/>
      <c r="ETW145" s="7"/>
      <c r="ETX145" s="7"/>
      <c r="ETY145" s="7"/>
      <c r="ETZ145" s="7"/>
      <c r="EUA145" s="7"/>
      <c r="EUB145" s="7"/>
      <c r="EUC145" s="7"/>
      <c r="EUD145" s="7"/>
      <c r="EUE145" s="7"/>
      <c r="EUF145" s="7"/>
      <c r="EUG145" s="7"/>
      <c r="EUH145" s="7"/>
      <c r="EUI145" s="7"/>
      <c r="EUJ145" s="7"/>
      <c r="EUK145" s="7"/>
      <c r="EUL145" s="7"/>
      <c r="EUM145" s="7"/>
      <c r="EUN145" s="7"/>
      <c r="EUO145" s="7"/>
      <c r="EUP145" s="7"/>
      <c r="EUQ145" s="7"/>
      <c r="EUR145" s="7"/>
      <c r="EUS145" s="7"/>
      <c r="EUT145" s="7"/>
      <c r="EUU145" s="7"/>
      <c r="EUV145" s="7"/>
      <c r="EUW145" s="7"/>
      <c r="EUX145" s="7"/>
      <c r="EUY145" s="7"/>
      <c r="EUZ145" s="7"/>
      <c r="EVA145" s="7"/>
      <c r="EVB145" s="7"/>
      <c r="EVC145" s="7"/>
      <c r="EVD145" s="7"/>
      <c r="EVE145" s="7"/>
      <c r="EVF145" s="7"/>
      <c r="EVG145" s="7"/>
      <c r="EVH145" s="7"/>
      <c r="EVI145" s="7"/>
      <c r="EVJ145" s="7"/>
      <c r="EVK145" s="7"/>
      <c r="EVL145" s="7"/>
      <c r="EVM145" s="7"/>
      <c r="EVN145" s="7"/>
      <c r="EVO145" s="7"/>
      <c r="EVP145" s="7"/>
      <c r="EVQ145" s="7"/>
      <c r="EVR145" s="7"/>
      <c r="EVS145" s="7"/>
      <c r="EVT145" s="7"/>
      <c r="EVU145" s="7"/>
      <c r="EVV145" s="7"/>
      <c r="EVW145" s="7"/>
      <c r="EVX145" s="7"/>
      <c r="EVY145" s="7"/>
      <c r="EVZ145" s="7"/>
      <c r="EWA145" s="7"/>
      <c r="EWB145" s="7"/>
      <c r="EWC145" s="7"/>
      <c r="EWD145" s="7"/>
      <c r="EWE145" s="7"/>
      <c r="EWF145" s="7"/>
      <c r="EWG145" s="7"/>
      <c r="EWH145" s="7"/>
      <c r="EWI145" s="7"/>
      <c r="EWJ145" s="7"/>
      <c r="EWK145" s="7"/>
      <c r="EWL145" s="7"/>
      <c r="EWM145" s="7"/>
      <c r="EWN145" s="7"/>
      <c r="EWO145" s="7"/>
      <c r="EWP145" s="7"/>
      <c r="EWQ145" s="7"/>
      <c r="EWR145" s="7"/>
      <c r="EWS145" s="7"/>
      <c r="EWT145" s="7"/>
      <c r="EWU145" s="7"/>
      <c r="EWV145" s="7"/>
      <c r="EWW145" s="7"/>
      <c r="EWX145" s="7"/>
      <c r="EWY145" s="7"/>
      <c r="EWZ145" s="7"/>
      <c r="EXA145" s="7"/>
      <c r="EXB145" s="7"/>
      <c r="EXC145" s="7"/>
      <c r="EXD145" s="7"/>
      <c r="EXE145" s="7"/>
      <c r="EXF145" s="7"/>
      <c r="EXG145" s="7"/>
      <c r="EXH145" s="7"/>
      <c r="EXI145" s="7"/>
      <c r="EXJ145" s="7"/>
      <c r="EXK145" s="7"/>
      <c r="EXL145" s="7"/>
      <c r="EXM145" s="7"/>
      <c r="EXN145" s="7"/>
      <c r="EXO145" s="7"/>
      <c r="EXP145" s="7"/>
      <c r="EXQ145" s="7"/>
      <c r="EXR145" s="7"/>
      <c r="EXS145" s="7"/>
      <c r="EXT145" s="7"/>
      <c r="EXU145" s="7"/>
      <c r="EXV145" s="7"/>
      <c r="EXW145" s="7"/>
      <c r="EXX145" s="7"/>
      <c r="EXY145" s="7"/>
      <c r="EXZ145" s="7"/>
      <c r="EYA145" s="7"/>
      <c r="EYB145" s="7"/>
      <c r="EYC145" s="7"/>
      <c r="EYD145" s="7"/>
      <c r="EYE145" s="7"/>
      <c r="EYF145" s="7"/>
      <c r="EYG145" s="7"/>
      <c r="EYH145" s="7"/>
      <c r="EYI145" s="7"/>
      <c r="EYJ145" s="7"/>
      <c r="EYK145" s="7"/>
      <c r="EYL145" s="7"/>
      <c r="EYM145" s="7"/>
      <c r="EYN145" s="7"/>
      <c r="EYO145" s="7"/>
      <c r="EYP145" s="7"/>
      <c r="EYQ145" s="7"/>
      <c r="EYR145" s="7"/>
      <c r="EYS145" s="7"/>
      <c r="EYT145" s="7"/>
      <c r="EYU145" s="7"/>
      <c r="EYV145" s="7"/>
      <c r="EYW145" s="7"/>
      <c r="EYX145" s="7"/>
      <c r="EYY145" s="7"/>
      <c r="EYZ145" s="7"/>
      <c r="EZA145" s="7"/>
      <c r="EZB145" s="7"/>
      <c r="EZC145" s="7"/>
      <c r="EZD145" s="7"/>
      <c r="EZE145" s="7"/>
      <c r="EZF145" s="7"/>
      <c r="EZG145" s="7"/>
      <c r="EZH145" s="7"/>
      <c r="EZI145" s="7"/>
      <c r="EZJ145" s="7"/>
      <c r="EZK145" s="7"/>
      <c r="EZL145" s="7"/>
      <c r="EZM145" s="7"/>
      <c r="EZN145" s="7"/>
      <c r="EZO145" s="7"/>
      <c r="EZP145" s="7"/>
      <c r="EZQ145" s="7"/>
      <c r="EZR145" s="7"/>
      <c r="EZS145" s="7"/>
      <c r="EZT145" s="7"/>
      <c r="EZU145" s="7"/>
      <c r="EZV145" s="7"/>
      <c r="EZW145" s="7"/>
      <c r="EZX145" s="7"/>
      <c r="EZY145" s="7"/>
      <c r="EZZ145" s="7"/>
      <c r="FAA145" s="7"/>
      <c r="FAB145" s="7"/>
      <c r="FAC145" s="7"/>
      <c r="FAD145" s="7"/>
      <c r="FAE145" s="7"/>
      <c r="FAF145" s="7"/>
      <c r="FAG145" s="7"/>
      <c r="FAH145" s="7"/>
      <c r="FAI145" s="7"/>
      <c r="FAJ145" s="7"/>
      <c r="FAK145" s="7"/>
      <c r="FAL145" s="7"/>
      <c r="FAM145" s="7"/>
      <c r="FAN145" s="7"/>
      <c r="FAO145" s="7"/>
      <c r="FAP145" s="7"/>
      <c r="FAQ145" s="7"/>
      <c r="FAR145" s="7"/>
      <c r="FAS145" s="7"/>
      <c r="FAT145" s="7"/>
      <c r="FAU145" s="7"/>
      <c r="FAV145" s="7"/>
      <c r="FAW145" s="7"/>
      <c r="FAX145" s="7"/>
      <c r="FAY145" s="7"/>
      <c r="FAZ145" s="7"/>
      <c r="FBA145" s="7"/>
      <c r="FBB145" s="7"/>
      <c r="FBC145" s="7"/>
      <c r="FBD145" s="7"/>
      <c r="FBE145" s="7"/>
      <c r="FBF145" s="7"/>
      <c r="FBG145" s="7"/>
      <c r="FBH145" s="7"/>
      <c r="FBI145" s="7"/>
      <c r="FBJ145" s="7"/>
      <c r="FBK145" s="7"/>
      <c r="FBL145" s="7"/>
      <c r="FBM145" s="7"/>
      <c r="FBN145" s="7"/>
      <c r="FBO145" s="7"/>
      <c r="FBP145" s="7"/>
      <c r="FBQ145" s="7"/>
      <c r="FBR145" s="7"/>
      <c r="FBS145" s="7"/>
      <c r="FBT145" s="7"/>
      <c r="FBU145" s="7"/>
      <c r="FBV145" s="7"/>
      <c r="FBW145" s="7"/>
      <c r="FBX145" s="7"/>
      <c r="FBY145" s="7"/>
      <c r="FBZ145" s="7"/>
      <c r="FCA145" s="7"/>
      <c r="FCB145" s="7"/>
      <c r="FCC145" s="7"/>
      <c r="FCD145" s="7"/>
      <c r="FCE145" s="7"/>
      <c r="FCF145" s="7"/>
      <c r="FCG145" s="7"/>
      <c r="FCH145" s="7"/>
      <c r="FCI145" s="7"/>
      <c r="FCJ145" s="7"/>
      <c r="FCK145" s="7"/>
      <c r="FCL145" s="7"/>
      <c r="FCM145" s="7"/>
      <c r="FCN145" s="7"/>
      <c r="FCO145" s="7"/>
      <c r="FCP145" s="7"/>
      <c r="FCQ145" s="7"/>
      <c r="FCR145" s="7"/>
      <c r="FCS145" s="7"/>
      <c r="FCT145" s="7"/>
      <c r="FCU145" s="7"/>
      <c r="FCV145" s="7"/>
      <c r="FCW145" s="7"/>
      <c r="FCX145" s="7"/>
      <c r="FCY145" s="7"/>
      <c r="FCZ145" s="7"/>
      <c r="FDA145" s="7"/>
      <c r="FDB145" s="7"/>
      <c r="FDC145" s="7"/>
      <c r="FDD145" s="7"/>
      <c r="FDE145" s="7"/>
      <c r="FDF145" s="7"/>
      <c r="FDG145" s="7"/>
      <c r="FDH145" s="7"/>
      <c r="FDI145" s="7"/>
      <c r="FDJ145" s="7"/>
      <c r="FDK145" s="7"/>
      <c r="FDL145" s="7"/>
      <c r="FDM145" s="7"/>
      <c r="FDN145" s="7"/>
      <c r="FDO145" s="7"/>
      <c r="FDP145" s="7"/>
      <c r="FDQ145" s="7"/>
      <c r="FDR145" s="7"/>
      <c r="FDS145" s="7"/>
      <c r="FDT145" s="7"/>
      <c r="FDU145" s="7"/>
      <c r="FDV145" s="7"/>
      <c r="FDW145" s="7"/>
      <c r="FDX145" s="7"/>
      <c r="FDY145" s="7"/>
      <c r="FDZ145" s="7"/>
      <c r="FEA145" s="7"/>
      <c r="FEB145" s="7"/>
      <c r="FEC145" s="7"/>
      <c r="FED145" s="7"/>
      <c r="FEE145" s="7"/>
      <c r="FEF145" s="7"/>
      <c r="FEG145" s="7"/>
      <c r="FEH145" s="7"/>
      <c r="FEI145" s="7"/>
      <c r="FEJ145" s="7"/>
      <c r="FEK145" s="7"/>
      <c r="FEL145" s="7"/>
      <c r="FEM145" s="7"/>
      <c r="FEN145" s="7"/>
      <c r="FEO145" s="7"/>
      <c r="FEP145" s="7"/>
      <c r="FEQ145" s="7"/>
      <c r="FER145" s="7"/>
      <c r="FES145" s="7"/>
      <c r="FET145" s="7"/>
      <c r="FEU145" s="7"/>
      <c r="FEV145" s="7"/>
      <c r="FEW145" s="7"/>
      <c r="FEX145" s="7"/>
      <c r="FEY145" s="7"/>
      <c r="FEZ145" s="7"/>
      <c r="FFA145" s="7"/>
      <c r="FFB145" s="7"/>
      <c r="FFC145" s="7"/>
      <c r="FFD145" s="7"/>
      <c r="FFE145" s="7"/>
      <c r="FFF145" s="7"/>
      <c r="FFG145" s="7"/>
      <c r="FFH145" s="7"/>
      <c r="FFI145" s="7"/>
      <c r="FFJ145" s="7"/>
      <c r="FFK145" s="7"/>
      <c r="FFL145" s="7"/>
      <c r="FFM145" s="7"/>
      <c r="FFN145" s="7"/>
      <c r="FFO145" s="7"/>
      <c r="FFP145" s="7"/>
      <c r="FFQ145" s="7"/>
      <c r="FFR145" s="7"/>
      <c r="FFS145" s="7"/>
      <c r="FFT145" s="7"/>
      <c r="FFU145" s="7"/>
      <c r="FFV145" s="7"/>
      <c r="FFW145" s="7"/>
      <c r="FFX145" s="7"/>
      <c r="FFY145" s="7"/>
      <c r="FFZ145" s="7"/>
      <c r="FGA145" s="7"/>
      <c r="FGB145" s="7"/>
      <c r="FGC145" s="7"/>
      <c r="FGD145" s="7"/>
      <c r="FGE145" s="7"/>
      <c r="FGF145" s="7"/>
      <c r="FGG145" s="7"/>
      <c r="FGH145" s="7"/>
      <c r="FGI145" s="7"/>
      <c r="FGJ145" s="7"/>
      <c r="FGK145" s="7"/>
      <c r="FGL145" s="7"/>
      <c r="FGM145" s="7"/>
      <c r="FGN145" s="7"/>
      <c r="FGO145" s="7"/>
      <c r="FGP145" s="7"/>
      <c r="FGQ145" s="7"/>
      <c r="FGR145" s="7"/>
      <c r="FGS145" s="7"/>
      <c r="FGT145" s="7"/>
      <c r="FGU145" s="7"/>
      <c r="FGV145" s="7"/>
      <c r="FGW145" s="7"/>
      <c r="FGX145" s="7"/>
      <c r="FGY145" s="7"/>
      <c r="FGZ145" s="7"/>
      <c r="FHA145" s="7"/>
      <c r="FHB145" s="7"/>
      <c r="FHC145" s="7"/>
      <c r="FHD145" s="7"/>
      <c r="FHE145" s="7"/>
      <c r="FHF145" s="7"/>
      <c r="FHG145" s="7"/>
      <c r="FHH145" s="7"/>
      <c r="FHI145" s="7"/>
      <c r="FHJ145" s="7"/>
      <c r="FHK145" s="7"/>
      <c r="FHL145" s="7"/>
      <c r="FHM145" s="7"/>
      <c r="FHN145" s="7"/>
      <c r="FHO145" s="7"/>
      <c r="FHP145" s="7"/>
      <c r="FHQ145" s="7"/>
      <c r="FHR145" s="7"/>
      <c r="FHS145" s="7"/>
      <c r="FHT145" s="7"/>
      <c r="FHU145" s="7"/>
      <c r="FHV145" s="7"/>
      <c r="FHW145" s="7"/>
      <c r="FHX145" s="7"/>
      <c r="FHY145" s="7"/>
      <c r="FHZ145" s="7"/>
      <c r="FIA145" s="7"/>
      <c r="FIB145" s="7"/>
      <c r="FIC145" s="7"/>
      <c r="FID145" s="7"/>
      <c r="FIE145" s="7"/>
      <c r="FIF145" s="7"/>
      <c r="FIG145" s="7"/>
      <c r="FIH145" s="7"/>
      <c r="FII145" s="7"/>
      <c r="FIJ145" s="7"/>
      <c r="FIK145" s="7"/>
      <c r="FIL145" s="7"/>
      <c r="FIM145" s="7"/>
      <c r="FIN145" s="7"/>
      <c r="FIO145" s="7"/>
      <c r="FIP145" s="7"/>
      <c r="FIQ145" s="7"/>
      <c r="FIR145" s="7"/>
      <c r="FIS145" s="7"/>
      <c r="FIT145" s="7"/>
      <c r="FIU145" s="7"/>
      <c r="FIV145" s="7"/>
      <c r="FIW145" s="7"/>
      <c r="FIX145" s="7"/>
      <c r="FIY145" s="7"/>
      <c r="FIZ145" s="7"/>
      <c r="FJA145" s="7"/>
      <c r="FJB145" s="7"/>
      <c r="FJC145" s="7"/>
      <c r="FJD145" s="7"/>
      <c r="FJE145" s="7"/>
      <c r="FJF145" s="7"/>
      <c r="FJG145" s="7"/>
      <c r="FJH145" s="7"/>
      <c r="FJI145" s="7"/>
      <c r="FJJ145" s="7"/>
      <c r="FJK145" s="7"/>
      <c r="FJL145" s="7"/>
      <c r="FJM145" s="7"/>
      <c r="FJN145" s="7"/>
      <c r="FJO145" s="7"/>
      <c r="FJP145" s="7"/>
      <c r="FJQ145" s="7"/>
      <c r="FJR145" s="7"/>
      <c r="FJS145" s="7"/>
      <c r="FJT145" s="7"/>
      <c r="FJU145" s="7"/>
      <c r="FJV145" s="7"/>
      <c r="FJW145" s="7"/>
      <c r="FJX145" s="7"/>
      <c r="FJY145" s="7"/>
      <c r="FJZ145" s="7"/>
      <c r="FKA145" s="7"/>
      <c r="FKB145" s="7"/>
      <c r="FKC145" s="7"/>
      <c r="FKD145" s="7"/>
      <c r="FKE145" s="7"/>
      <c r="FKF145" s="7"/>
      <c r="FKG145" s="7"/>
      <c r="FKH145" s="7"/>
      <c r="FKI145" s="7"/>
      <c r="FKJ145" s="7"/>
      <c r="FKK145" s="7"/>
      <c r="FKL145" s="7"/>
      <c r="FKM145" s="7"/>
      <c r="FKN145" s="7"/>
      <c r="FKO145" s="7"/>
      <c r="FKP145" s="7"/>
      <c r="FKQ145" s="7"/>
      <c r="FKR145" s="7"/>
      <c r="FKS145" s="7"/>
      <c r="FKT145" s="7"/>
      <c r="FKU145" s="7"/>
      <c r="FKV145" s="7"/>
      <c r="FKW145" s="7"/>
      <c r="FKX145" s="7"/>
      <c r="FKY145" s="7"/>
      <c r="FKZ145" s="7"/>
      <c r="FLA145" s="7"/>
      <c r="FLB145" s="7"/>
      <c r="FLC145" s="7"/>
      <c r="FLD145" s="7"/>
      <c r="FLE145" s="7"/>
      <c r="FLF145" s="7"/>
      <c r="FLG145" s="7"/>
      <c r="FLH145" s="7"/>
      <c r="FLI145" s="7"/>
      <c r="FLJ145" s="7"/>
      <c r="FLK145" s="7"/>
      <c r="FLL145" s="7"/>
      <c r="FLM145" s="7"/>
      <c r="FLN145" s="7"/>
      <c r="FLO145" s="7"/>
      <c r="FLP145" s="7"/>
      <c r="FLQ145" s="7"/>
      <c r="FLR145" s="7"/>
      <c r="FLS145" s="7"/>
      <c r="FLT145" s="7"/>
      <c r="FLU145" s="7"/>
      <c r="FLV145" s="7"/>
      <c r="FLW145" s="7"/>
      <c r="FLX145" s="7"/>
      <c r="FLY145" s="7"/>
      <c r="FLZ145" s="7"/>
      <c r="FMA145" s="7"/>
      <c r="FMB145" s="7"/>
      <c r="FMC145" s="7"/>
      <c r="FMD145" s="7"/>
      <c r="FME145" s="7"/>
      <c r="FMF145" s="7"/>
      <c r="FMG145" s="7"/>
      <c r="FMH145" s="7"/>
      <c r="FMI145" s="7"/>
      <c r="FMJ145" s="7"/>
      <c r="FMK145" s="7"/>
      <c r="FML145" s="7"/>
      <c r="FMM145" s="7"/>
      <c r="FMN145" s="7"/>
      <c r="FMO145" s="7"/>
      <c r="FMP145" s="7"/>
      <c r="FMQ145" s="7"/>
      <c r="FMR145" s="7"/>
      <c r="FMS145" s="7"/>
      <c r="FMT145" s="7"/>
      <c r="FMU145" s="7"/>
      <c r="FMV145" s="7"/>
      <c r="FMW145" s="7"/>
      <c r="FMX145" s="7"/>
      <c r="FMY145" s="7"/>
      <c r="FMZ145" s="7"/>
      <c r="FNA145" s="7"/>
      <c r="FNB145" s="7"/>
      <c r="FNC145" s="7"/>
      <c r="FND145" s="7"/>
      <c r="FNE145" s="7"/>
      <c r="FNF145" s="7"/>
      <c r="FNG145" s="7"/>
      <c r="FNH145" s="7"/>
      <c r="FNI145" s="7"/>
      <c r="FNJ145" s="7"/>
      <c r="FNK145" s="7"/>
      <c r="FNL145" s="7"/>
      <c r="FNM145" s="7"/>
      <c r="FNN145" s="7"/>
      <c r="FNO145" s="7"/>
      <c r="FNP145" s="7"/>
      <c r="FNQ145" s="7"/>
      <c r="FNR145" s="7"/>
      <c r="FNS145" s="7"/>
      <c r="FNT145" s="7"/>
      <c r="FNU145" s="7"/>
      <c r="FNV145" s="7"/>
      <c r="FNW145" s="7"/>
      <c r="FNX145" s="7"/>
      <c r="FNY145" s="7"/>
      <c r="FNZ145" s="7"/>
      <c r="FOA145" s="7"/>
      <c r="FOB145" s="7"/>
      <c r="FOC145" s="7"/>
      <c r="FOD145" s="7"/>
      <c r="FOE145" s="7"/>
      <c r="FOF145" s="7"/>
      <c r="FOG145" s="7"/>
      <c r="FOH145" s="7"/>
      <c r="FOI145" s="7"/>
      <c r="FOJ145" s="7"/>
      <c r="FOK145" s="7"/>
      <c r="FOL145" s="7"/>
      <c r="FOM145" s="7"/>
      <c r="FON145" s="7"/>
      <c r="FOO145" s="7"/>
      <c r="FOP145" s="7"/>
      <c r="FOQ145" s="7"/>
      <c r="FOR145" s="7"/>
      <c r="FOS145" s="7"/>
      <c r="FOT145" s="7"/>
      <c r="FOU145" s="7"/>
      <c r="FOV145" s="7"/>
      <c r="FOW145" s="7"/>
      <c r="FOX145" s="7"/>
      <c r="FOY145" s="7"/>
      <c r="FOZ145" s="7"/>
      <c r="FPA145" s="7"/>
      <c r="FPB145" s="7"/>
      <c r="FPC145" s="7"/>
      <c r="FPD145" s="7"/>
      <c r="FPE145" s="7"/>
      <c r="FPF145" s="7"/>
      <c r="FPG145" s="7"/>
      <c r="FPH145" s="7"/>
      <c r="FPI145" s="7"/>
      <c r="FPJ145" s="7"/>
      <c r="FPK145" s="7"/>
      <c r="FPL145" s="7"/>
      <c r="FPM145" s="7"/>
      <c r="FPN145" s="7"/>
      <c r="FPO145" s="7"/>
      <c r="FPP145" s="7"/>
      <c r="FPQ145" s="7"/>
      <c r="FPR145" s="7"/>
      <c r="FPS145" s="7"/>
      <c r="FPT145" s="7"/>
      <c r="FPU145" s="7"/>
      <c r="FPV145" s="7"/>
      <c r="FPW145" s="7"/>
      <c r="FPX145" s="7"/>
      <c r="FPY145" s="7"/>
      <c r="FPZ145" s="7"/>
      <c r="FQA145" s="7"/>
      <c r="FQB145" s="7"/>
      <c r="FQC145" s="7"/>
      <c r="FQD145" s="7"/>
      <c r="FQE145" s="7"/>
      <c r="FQF145" s="7"/>
      <c r="FQG145" s="7"/>
      <c r="FQH145" s="7"/>
      <c r="FQI145" s="7"/>
      <c r="FQJ145" s="7"/>
      <c r="FQK145" s="7"/>
      <c r="FQL145" s="7"/>
      <c r="FQM145" s="7"/>
      <c r="FQN145" s="7"/>
      <c r="FQO145" s="7"/>
      <c r="FQP145" s="7"/>
      <c r="FQQ145" s="7"/>
      <c r="FQR145" s="7"/>
      <c r="FQS145" s="7"/>
      <c r="FQT145" s="7"/>
      <c r="FQU145" s="7"/>
      <c r="FQV145" s="7"/>
      <c r="FQW145" s="7"/>
      <c r="FQX145" s="7"/>
      <c r="FQY145" s="7"/>
      <c r="FQZ145" s="7"/>
      <c r="FRA145" s="7"/>
      <c r="FRB145" s="7"/>
      <c r="FRC145" s="7"/>
      <c r="FRD145" s="7"/>
      <c r="FRE145" s="7"/>
      <c r="FRF145" s="7"/>
      <c r="FRG145" s="7"/>
      <c r="FRH145" s="7"/>
      <c r="FRI145" s="7"/>
      <c r="FRJ145" s="7"/>
      <c r="FRK145" s="7"/>
      <c r="FRL145" s="7"/>
      <c r="FRM145" s="7"/>
      <c r="FRN145" s="7"/>
      <c r="FRO145" s="7"/>
      <c r="FRP145" s="7"/>
      <c r="FRQ145" s="7"/>
      <c r="FRR145" s="7"/>
      <c r="FRS145" s="7"/>
      <c r="FRT145" s="7"/>
      <c r="FRU145" s="7"/>
      <c r="FRV145" s="7"/>
      <c r="FRW145" s="7"/>
      <c r="FRX145" s="7"/>
      <c r="FRY145" s="7"/>
      <c r="FRZ145" s="7"/>
      <c r="FSA145" s="7"/>
      <c r="FSB145" s="7"/>
      <c r="FSC145" s="7"/>
      <c r="FSD145" s="7"/>
      <c r="FSE145" s="7"/>
      <c r="FSF145" s="7"/>
      <c r="FSG145" s="7"/>
      <c r="FSH145" s="7"/>
      <c r="FSI145" s="7"/>
      <c r="FSJ145" s="7"/>
      <c r="FSK145" s="7"/>
      <c r="FSL145" s="7"/>
      <c r="FSM145" s="7"/>
      <c r="FSN145" s="7"/>
      <c r="FSO145" s="7"/>
      <c r="FSP145" s="7"/>
      <c r="FSQ145" s="7"/>
      <c r="FSR145" s="7"/>
      <c r="FSS145" s="7"/>
      <c r="FST145" s="7"/>
      <c r="FSU145" s="7"/>
      <c r="FSV145" s="7"/>
      <c r="FSW145" s="7"/>
      <c r="FSX145" s="7"/>
      <c r="FSY145" s="7"/>
      <c r="FSZ145" s="7"/>
      <c r="FTA145" s="7"/>
      <c r="FTB145" s="7"/>
      <c r="FTC145" s="7"/>
      <c r="FTD145" s="7"/>
      <c r="FTE145" s="7"/>
      <c r="FTF145" s="7"/>
      <c r="FTG145" s="7"/>
      <c r="FTH145" s="7"/>
      <c r="FTI145" s="7"/>
      <c r="FTJ145" s="7"/>
      <c r="FTK145" s="7"/>
      <c r="FTL145" s="7"/>
      <c r="FTM145" s="7"/>
      <c r="FTN145" s="7"/>
      <c r="FTO145" s="7"/>
      <c r="FTP145" s="7"/>
      <c r="FTQ145" s="7"/>
      <c r="FTR145" s="7"/>
      <c r="FTS145" s="7"/>
      <c r="FTT145" s="7"/>
      <c r="FTU145" s="7"/>
      <c r="FTV145" s="7"/>
      <c r="FTW145" s="7"/>
      <c r="FTX145" s="7"/>
      <c r="FTY145" s="7"/>
      <c r="FTZ145" s="7"/>
      <c r="FUA145" s="7"/>
      <c r="FUB145" s="7"/>
      <c r="FUC145" s="7"/>
      <c r="FUD145" s="7"/>
      <c r="FUE145" s="7"/>
      <c r="FUF145" s="7"/>
      <c r="FUG145" s="7"/>
      <c r="FUH145" s="7"/>
      <c r="FUI145" s="7"/>
      <c r="FUJ145" s="7"/>
      <c r="FUK145" s="7"/>
      <c r="FUL145" s="7"/>
      <c r="FUM145" s="7"/>
      <c r="FUN145" s="7"/>
      <c r="FUO145" s="7"/>
      <c r="FUP145" s="7"/>
      <c r="FUQ145" s="7"/>
      <c r="FUR145" s="7"/>
      <c r="FUS145" s="7"/>
      <c r="FUT145" s="7"/>
      <c r="FUU145" s="7"/>
      <c r="FUV145" s="7"/>
      <c r="FUW145" s="7"/>
      <c r="FUX145" s="7"/>
      <c r="FUY145" s="7"/>
      <c r="FUZ145" s="7"/>
      <c r="FVA145" s="7"/>
      <c r="FVB145" s="7"/>
      <c r="FVC145" s="7"/>
      <c r="FVD145" s="7"/>
      <c r="FVE145" s="7"/>
      <c r="FVF145" s="7"/>
      <c r="FVG145" s="7"/>
      <c r="FVH145" s="7"/>
      <c r="FVI145" s="7"/>
      <c r="FVJ145" s="7"/>
      <c r="FVK145" s="7"/>
      <c r="FVL145" s="7"/>
      <c r="FVM145" s="7"/>
      <c r="FVN145" s="7"/>
      <c r="FVO145" s="7"/>
      <c r="FVP145" s="7"/>
      <c r="FVQ145" s="7"/>
      <c r="FVR145" s="7"/>
      <c r="FVS145" s="7"/>
      <c r="FVT145" s="7"/>
      <c r="FVU145" s="7"/>
      <c r="FVV145" s="7"/>
      <c r="FVW145" s="7"/>
      <c r="FVX145" s="7"/>
      <c r="FVY145" s="7"/>
      <c r="FVZ145" s="7"/>
      <c r="FWA145" s="7"/>
      <c r="FWB145" s="7"/>
      <c r="FWC145" s="7"/>
      <c r="FWD145" s="7"/>
      <c r="FWE145" s="7"/>
      <c r="FWF145" s="7"/>
      <c r="FWG145" s="7"/>
      <c r="FWH145" s="7"/>
      <c r="FWI145" s="7"/>
      <c r="FWJ145" s="7"/>
      <c r="FWK145" s="7"/>
      <c r="FWL145" s="7"/>
      <c r="FWM145" s="7"/>
      <c r="FWN145" s="7"/>
      <c r="FWO145" s="7"/>
      <c r="FWP145" s="7"/>
      <c r="FWQ145" s="7"/>
      <c r="FWR145" s="7"/>
      <c r="FWS145" s="7"/>
      <c r="FWT145" s="7"/>
      <c r="FWU145" s="7"/>
      <c r="FWV145" s="7"/>
      <c r="FWW145" s="7"/>
      <c r="FWX145" s="7"/>
      <c r="FWY145" s="7"/>
      <c r="FWZ145" s="7"/>
      <c r="FXA145" s="7"/>
      <c r="FXB145" s="7"/>
      <c r="FXC145" s="7"/>
      <c r="FXD145" s="7"/>
      <c r="FXE145" s="7"/>
      <c r="FXF145" s="7"/>
      <c r="FXG145" s="7"/>
      <c r="FXH145" s="7"/>
      <c r="FXI145" s="7"/>
      <c r="FXJ145" s="7"/>
      <c r="FXK145" s="7"/>
      <c r="FXL145" s="7"/>
      <c r="FXM145" s="7"/>
      <c r="FXN145" s="7"/>
      <c r="FXO145" s="7"/>
      <c r="FXP145" s="7"/>
      <c r="FXQ145" s="7"/>
      <c r="FXR145" s="7"/>
      <c r="FXS145" s="7"/>
      <c r="FXT145" s="7"/>
      <c r="FXU145" s="7"/>
      <c r="FXV145" s="7"/>
      <c r="FXW145" s="7"/>
      <c r="FXX145" s="7"/>
      <c r="FXY145" s="7"/>
      <c r="FXZ145" s="7"/>
      <c r="FYA145" s="7"/>
      <c r="FYB145" s="7"/>
      <c r="FYC145" s="7"/>
      <c r="FYD145" s="7"/>
      <c r="FYE145" s="7"/>
      <c r="FYF145" s="7"/>
      <c r="FYG145" s="7"/>
      <c r="FYH145" s="7"/>
      <c r="FYI145" s="7"/>
      <c r="FYJ145" s="7"/>
      <c r="FYK145" s="7"/>
      <c r="FYL145" s="7"/>
      <c r="FYM145" s="7"/>
      <c r="FYN145" s="7"/>
      <c r="FYO145" s="7"/>
      <c r="FYP145" s="7"/>
      <c r="FYQ145" s="7"/>
      <c r="FYR145" s="7"/>
      <c r="FYS145" s="7"/>
      <c r="FYT145" s="7"/>
      <c r="FYU145" s="7"/>
      <c r="FYV145" s="7"/>
      <c r="FYW145" s="7"/>
      <c r="FYX145" s="7"/>
      <c r="FYY145" s="7"/>
      <c r="FYZ145" s="7"/>
      <c r="FZA145" s="7"/>
      <c r="FZB145" s="7"/>
      <c r="FZC145" s="7"/>
      <c r="FZD145" s="7"/>
      <c r="FZE145" s="7"/>
      <c r="FZF145" s="7"/>
      <c r="FZG145" s="7"/>
      <c r="FZH145" s="7"/>
      <c r="FZI145" s="7"/>
      <c r="FZJ145" s="7"/>
      <c r="FZK145" s="7"/>
      <c r="FZL145" s="7"/>
      <c r="FZM145" s="7"/>
      <c r="FZN145" s="7"/>
      <c r="FZO145" s="7"/>
      <c r="FZP145" s="7"/>
      <c r="FZQ145" s="7"/>
      <c r="FZR145" s="7"/>
      <c r="FZS145" s="7"/>
      <c r="FZT145" s="7"/>
      <c r="FZU145" s="7"/>
      <c r="FZV145" s="7"/>
      <c r="FZW145" s="7"/>
      <c r="FZX145" s="7"/>
      <c r="FZY145" s="7"/>
      <c r="FZZ145" s="7"/>
      <c r="GAA145" s="7"/>
      <c r="GAB145" s="7"/>
      <c r="GAC145" s="7"/>
      <c r="GAD145" s="7"/>
      <c r="GAE145" s="7"/>
      <c r="GAF145" s="7"/>
      <c r="GAG145" s="7"/>
      <c r="GAH145" s="7"/>
      <c r="GAI145" s="7"/>
      <c r="GAJ145" s="7"/>
      <c r="GAK145" s="7"/>
      <c r="GAL145" s="7"/>
      <c r="GAM145" s="7"/>
      <c r="GAN145" s="7"/>
      <c r="GAO145" s="7"/>
      <c r="GAP145" s="7"/>
      <c r="GAQ145" s="7"/>
      <c r="GAR145" s="7"/>
      <c r="GAS145" s="7"/>
      <c r="GAT145" s="7"/>
      <c r="GAU145" s="7"/>
      <c r="GAV145" s="7"/>
      <c r="GAW145" s="7"/>
      <c r="GAX145" s="7"/>
      <c r="GAY145" s="7"/>
      <c r="GAZ145" s="7"/>
      <c r="GBA145" s="7"/>
      <c r="GBB145" s="7"/>
      <c r="GBC145" s="7"/>
      <c r="GBD145" s="7"/>
      <c r="GBE145" s="7"/>
      <c r="GBF145" s="7"/>
      <c r="GBG145" s="7"/>
      <c r="GBH145" s="7"/>
      <c r="GBI145" s="7"/>
      <c r="GBJ145" s="7"/>
      <c r="GBK145" s="7"/>
      <c r="GBL145" s="7"/>
      <c r="GBM145" s="7"/>
      <c r="GBN145" s="7"/>
      <c r="GBO145" s="7"/>
      <c r="GBP145" s="7"/>
      <c r="GBQ145" s="7"/>
      <c r="GBR145" s="7"/>
      <c r="GBS145" s="7"/>
      <c r="GBT145" s="7"/>
      <c r="GBU145" s="7"/>
      <c r="GBV145" s="7"/>
      <c r="GBW145" s="7"/>
      <c r="GBX145" s="7"/>
      <c r="GBY145" s="7"/>
      <c r="GBZ145" s="7"/>
      <c r="GCA145" s="7"/>
      <c r="GCB145" s="7"/>
      <c r="GCC145" s="7"/>
      <c r="GCD145" s="7"/>
      <c r="GCE145" s="7"/>
      <c r="GCF145" s="7"/>
      <c r="GCG145" s="7"/>
      <c r="GCH145" s="7"/>
      <c r="GCI145" s="7"/>
      <c r="GCJ145" s="7"/>
      <c r="GCK145" s="7"/>
      <c r="GCL145" s="7"/>
      <c r="GCM145" s="7"/>
      <c r="GCN145" s="7"/>
      <c r="GCO145" s="7"/>
      <c r="GCP145" s="7"/>
      <c r="GCQ145" s="7"/>
      <c r="GCR145" s="7"/>
      <c r="GCS145" s="7"/>
      <c r="GCT145" s="7"/>
      <c r="GCU145" s="7"/>
      <c r="GCV145" s="7"/>
      <c r="GCW145" s="7"/>
      <c r="GCX145" s="7"/>
      <c r="GCY145" s="7"/>
      <c r="GCZ145" s="7"/>
      <c r="GDA145" s="7"/>
      <c r="GDB145" s="7"/>
      <c r="GDC145" s="7"/>
      <c r="GDD145" s="7"/>
      <c r="GDE145" s="7"/>
      <c r="GDF145" s="7"/>
      <c r="GDG145" s="7"/>
      <c r="GDH145" s="7"/>
      <c r="GDI145" s="7"/>
      <c r="GDJ145" s="7"/>
      <c r="GDK145" s="7"/>
      <c r="GDL145" s="7"/>
      <c r="GDM145" s="7"/>
      <c r="GDN145" s="7"/>
      <c r="GDO145" s="7"/>
      <c r="GDP145" s="7"/>
      <c r="GDQ145" s="7"/>
      <c r="GDR145" s="7"/>
      <c r="GDS145" s="7"/>
      <c r="GDT145" s="7"/>
      <c r="GDU145" s="7"/>
      <c r="GDV145" s="7"/>
      <c r="GDW145" s="7"/>
      <c r="GDX145" s="7"/>
      <c r="GDY145" s="7"/>
      <c r="GDZ145" s="7"/>
      <c r="GEA145" s="7"/>
      <c r="GEB145" s="7"/>
      <c r="GEC145" s="7"/>
      <c r="GED145" s="7"/>
      <c r="GEE145" s="7"/>
      <c r="GEF145" s="7"/>
      <c r="GEG145" s="7"/>
      <c r="GEH145" s="7"/>
      <c r="GEI145" s="7"/>
      <c r="GEJ145" s="7"/>
      <c r="GEK145" s="7"/>
      <c r="GEL145" s="7"/>
      <c r="GEM145" s="7"/>
      <c r="GEN145" s="7"/>
      <c r="GEO145" s="7"/>
      <c r="GEP145" s="7"/>
      <c r="GEQ145" s="7"/>
      <c r="GER145" s="7"/>
      <c r="GES145" s="7"/>
      <c r="GET145" s="7"/>
      <c r="GEU145" s="7"/>
      <c r="GEV145" s="7"/>
      <c r="GEW145" s="7"/>
      <c r="GEX145" s="7"/>
      <c r="GEY145" s="7"/>
      <c r="GEZ145" s="7"/>
      <c r="GFA145" s="7"/>
      <c r="GFB145" s="7"/>
      <c r="GFC145" s="7"/>
      <c r="GFD145" s="7"/>
      <c r="GFE145" s="7"/>
      <c r="GFF145" s="7"/>
      <c r="GFG145" s="7"/>
      <c r="GFH145" s="7"/>
      <c r="GFI145" s="7"/>
      <c r="GFJ145" s="7"/>
      <c r="GFK145" s="7"/>
      <c r="GFL145" s="7"/>
      <c r="GFM145" s="7"/>
      <c r="GFN145" s="7"/>
      <c r="GFO145" s="7"/>
      <c r="GFP145" s="7"/>
      <c r="GFQ145" s="7"/>
      <c r="GFR145" s="7"/>
      <c r="GFS145" s="7"/>
      <c r="GFT145" s="7"/>
      <c r="GFU145" s="7"/>
      <c r="GFV145" s="7"/>
      <c r="GFW145" s="7"/>
      <c r="GFX145" s="7"/>
      <c r="GFY145" s="7"/>
      <c r="GFZ145" s="7"/>
      <c r="GGA145" s="7"/>
      <c r="GGB145" s="7"/>
      <c r="GGC145" s="7"/>
      <c r="GGD145" s="7"/>
      <c r="GGE145" s="7"/>
      <c r="GGF145" s="7"/>
      <c r="GGG145" s="7"/>
      <c r="GGH145" s="7"/>
      <c r="GGI145" s="7"/>
      <c r="GGJ145" s="7"/>
      <c r="GGK145" s="7"/>
      <c r="GGL145" s="7"/>
      <c r="GGM145" s="7"/>
      <c r="GGN145" s="7"/>
      <c r="GGO145" s="7"/>
      <c r="GGP145" s="7"/>
      <c r="GGQ145" s="7"/>
      <c r="GGR145" s="7"/>
      <c r="GGS145" s="7"/>
      <c r="GGT145" s="7"/>
      <c r="GGU145" s="7"/>
      <c r="GGV145" s="7"/>
      <c r="GGW145" s="7"/>
      <c r="GGX145" s="7"/>
      <c r="GGY145" s="7"/>
      <c r="GGZ145" s="7"/>
      <c r="GHA145" s="7"/>
      <c r="GHB145" s="7"/>
      <c r="GHC145" s="7"/>
      <c r="GHD145" s="7"/>
      <c r="GHE145" s="7"/>
      <c r="GHF145" s="7"/>
      <c r="GHG145" s="7"/>
      <c r="GHH145" s="7"/>
      <c r="GHI145" s="7"/>
      <c r="GHJ145" s="7"/>
      <c r="GHK145" s="7"/>
      <c r="GHL145" s="7"/>
      <c r="GHM145" s="7"/>
      <c r="GHN145" s="7"/>
      <c r="GHO145" s="7"/>
      <c r="GHP145" s="7"/>
      <c r="GHQ145" s="7"/>
      <c r="GHR145" s="7"/>
      <c r="GHS145" s="7"/>
      <c r="GHT145" s="7"/>
      <c r="GHU145" s="7"/>
      <c r="GHV145" s="7"/>
      <c r="GHW145" s="7"/>
      <c r="GHX145" s="7"/>
      <c r="GHY145" s="7"/>
      <c r="GHZ145" s="7"/>
      <c r="GIA145" s="7"/>
      <c r="GIB145" s="7"/>
      <c r="GIC145" s="7"/>
      <c r="GID145" s="7"/>
      <c r="GIE145" s="7"/>
      <c r="GIF145" s="7"/>
      <c r="GIG145" s="7"/>
      <c r="GIH145" s="7"/>
      <c r="GII145" s="7"/>
      <c r="GIJ145" s="7"/>
      <c r="GIK145" s="7"/>
      <c r="GIL145" s="7"/>
      <c r="GIM145" s="7"/>
      <c r="GIN145" s="7"/>
      <c r="GIO145" s="7"/>
      <c r="GIP145" s="7"/>
      <c r="GIQ145" s="7"/>
      <c r="GIR145" s="7"/>
      <c r="GIS145" s="7"/>
      <c r="GIT145" s="7"/>
      <c r="GIU145" s="7"/>
      <c r="GIV145" s="7"/>
      <c r="GIW145" s="7"/>
      <c r="GIX145" s="7"/>
      <c r="GIY145" s="7"/>
      <c r="GIZ145" s="7"/>
      <c r="GJA145" s="7"/>
      <c r="GJB145" s="7"/>
      <c r="GJC145" s="7"/>
      <c r="GJD145" s="7"/>
      <c r="GJE145" s="7"/>
      <c r="GJF145" s="7"/>
      <c r="GJG145" s="7"/>
      <c r="GJH145" s="7"/>
      <c r="GJI145" s="7"/>
      <c r="GJJ145" s="7"/>
      <c r="GJK145" s="7"/>
      <c r="GJL145" s="7"/>
      <c r="GJM145" s="7"/>
      <c r="GJN145" s="7"/>
      <c r="GJO145" s="7"/>
      <c r="GJP145" s="7"/>
      <c r="GJQ145" s="7"/>
      <c r="GJR145" s="7"/>
      <c r="GJS145" s="7"/>
      <c r="GJT145" s="7"/>
      <c r="GJU145" s="7"/>
      <c r="GJV145" s="7"/>
      <c r="GJW145" s="7"/>
      <c r="GJX145" s="7"/>
      <c r="GJY145" s="7"/>
      <c r="GJZ145" s="7"/>
      <c r="GKA145" s="7"/>
      <c r="GKB145" s="7"/>
      <c r="GKC145" s="7"/>
      <c r="GKD145" s="7"/>
      <c r="GKE145" s="7"/>
      <c r="GKF145" s="7"/>
      <c r="GKG145" s="7"/>
      <c r="GKH145" s="7"/>
      <c r="GKI145" s="7"/>
      <c r="GKJ145" s="7"/>
      <c r="GKK145" s="7"/>
      <c r="GKL145" s="7"/>
      <c r="GKM145" s="7"/>
      <c r="GKN145" s="7"/>
      <c r="GKO145" s="7"/>
      <c r="GKP145" s="7"/>
      <c r="GKQ145" s="7"/>
      <c r="GKR145" s="7"/>
      <c r="GKS145" s="7"/>
      <c r="GKT145" s="7"/>
      <c r="GKU145" s="7"/>
      <c r="GKV145" s="7"/>
      <c r="GKW145" s="7"/>
      <c r="GKX145" s="7"/>
      <c r="GKY145" s="7"/>
      <c r="GKZ145" s="7"/>
      <c r="GLA145" s="7"/>
      <c r="GLB145" s="7"/>
      <c r="GLC145" s="7"/>
      <c r="GLD145" s="7"/>
      <c r="GLE145" s="7"/>
      <c r="GLF145" s="7"/>
      <c r="GLG145" s="7"/>
      <c r="GLH145" s="7"/>
      <c r="GLI145" s="7"/>
      <c r="GLJ145" s="7"/>
      <c r="GLK145" s="7"/>
      <c r="GLL145" s="7"/>
      <c r="GLM145" s="7"/>
      <c r="GLN145" s="7"/>
      <c r="GLO145" s="7"/>
      <c r="GLP145" s="7"/>
      <c r="GLQ145" s="7"/>
      <c r="GLR145" s="7"/>
      <c r="GLS145" s="7"/>
      <c r="GLT145" s="7"/>
      <c r="GLU145" s="7"/>
      <c r="GLV145" s="7"/>
      <c r="GLW145" s="7"/>
      <c r="GLX145" s="7"/>
      <c r="GLY145" s="7"/>
      <c r="GLZ145" s="7"/>
      <c r="GMA145" s="7"/>
      <c r="GMB145" s="7"/>
      <c r="GMC145" s="7"/>
      <c r="GMD145" s="7"/>
      <c r="GME145" s="7"/>
      <c r="GMF145" s="7"/>
      <c r="GMG145" s="7"/>
      <c r="GMH145" s="7"/>
      <c r="GMI145" s="7"/>
      <c r="GMJ145" s="7"/>
      <c r="GMK145" s="7"/>
      <c r="GML145" s="7"/>
      <c r="GMM145" s="7"/>
      <c r="GMN145" s="7"/>
      <c r="GMO145" s="7"/>
      <c r="GMP145" s="7"/>
      <c r="GMQ145" s="7"/>
      <c r="GMR145" s="7"/>
      <c r="GMS145" s="7"/>
      <c r="GMT145" s="7"/>
      <c r="GMU145" s="7"/>
      <c r="GMV145" s="7"/>
      <c r="GMW145" s="7"/>
      <c r="GMX145" s="7"/>
      <c r="GMY145" s="7"/>
      <c r="GMZ145" s="7"/>
      <c r="GNA145" s="7"/>
      <c r="GNB145" s="7"/>
      <c r="GNC145" s="7"/>
      <c r="GND145" s="7"/>
      <c r="GNE145" s="7"/>
      <c r="GNF145" s="7"/>
      <c r="GNG145" s="7"/>
      <c r="GNH145" s="7"/>
      <c r="GNI145" s="7"/>
      <c r="GNJ145" s="7"/>
      <c r="GNK145" s="7"/>
      <c r="GNL145" s="7"/>
      <c r="GNM145" s="7"/>
      <c r="GNN145" s="7"/>
      <c r="GNO145" s="7"/>
      <c r="GNP145" s="7"/>
      <c r="GNQ145" s="7"/>
      <c r="GNR145" s="7"/>
      <c r="GNS145" s="7"/>
      <c r="GNT145" s="7"/>
      <c r="GNU145" s="7"/>
      <c r="GNV145" s="7"/>
      <c r="GNW145" s="7"/>
      <c r="GNX145" s="7"/>
      <c r="GNY145" s="7"/>
      <c r="GNZ145" s="7"/>
      <c r="GOA145" s="7"/>
      <c r="GOB145" s="7"/>
      <c r="GOC145" s="7"/>
      <c r="GOD145" s="7"/>
      <c r="GOE145" s="7"/>
      <c r="GOF145" s="7"/>
      <c r="GOG145" s="7"/>
      <c r="GOH145" s="7"/>
      <c r="GOI145" s="7"/>
      <c r="GOJ145" s="7"/>
      <c r="GOK145" s="7"/>
      <c r="GOL145" s="7"/>
      <c r="GOM145" s="7"/>
      <c r="GON145" s="7"/>
      <c r="GOO145" s="7"/>
      <c r="GOP145" s="7"/>
      <c r="GOQ145" s="7"/>
      <c r="GOR145" s="7"/>
      <c r="GOS145" s="7"/>
      <c r="GOT145" s="7"/>
      <c r="GOU145" s="7"/>
      <c r="GOV145" s="7"/>
      <c r="GOW145" s="7"/>
      <c r="GOX145" s="7"/>
      <c r="GOY145" s="7"/>
      <c r="GOZ145" s="7"/>
      <c r="GPA145" s="7"/>
      <c r="GPB145" s="7"/>
      <c r="GPC145" s="7"/>
      <c r="GPD145" s="7"/>
      <c r="GPE145" s="7"/>
      <c r="GPF145" s="7"/>
      <c r="GPG145" s="7"/>
      <c r="GPH145" s="7"/>
      <c r="GPI145" s="7"/>
      <c r="GPJ145" s="7"/>
      <c r="GPK145" s="7"/>
      <c r="GPL145" s="7"/>
      <c r="GPM145" s="7"/>
      <c r="GPN145" s="7"/>
      <c r="GPO145" s="7"/>
      <c r="GPP145" s="7"/>
      <c r="GPQ145" s="7"/>
      <c r="GPR145" s="7"/>
      <c r="GPS145" s="7"/>
      <c r="GPT145" s="7"/>
      <c r="GPU145" s="7"/>
      <c r="GPV145" s="7"/>
      <c r="GPW145" s="7"/>
      <c r="GPX145" s="7"/>
      <c r="GPY145" s="7"/>
      <c r="GPZ145" s="7"/>
      <c r="GQA145" s="7"/>
      <c r="GQB145" s="7"/>
      <c r="GQC145" s="7"/>
      <c r="GQD145" s="7"/>
      <c r="GQE145" s="7"/>
      <c r="GQF145" s="7"/>
      <c r="GQG145" s="7"/>
      <c r="GQH145" s="7"/>
      <c r="GQI145" s="7"/>
      <c r="GQJ145" s="7"/>
      <c r="GQK145" s="7"/>
      <c r="GQL145" s="7"/>
      <c r="GQM145" s="7"/>
      <c r="GQN145" s="7"/>
      <c r="GQO145" s="7"/>
      <c r="GQP145" s="7"/>
      <c r="GQQ145" s="7"/>
      <c r="GQR145" s="7"/>
      <c r="GQS145" s="7"/>
      <c r="GQT145" s="7"/>
      <c r="GQU145" s="7"/>
      <c r="GQV145" s="7"/>
      <c r="GQW145" s="7"/>
      <c r="GQX145" s="7"/>
      <c r="GQY145" s="7"/>
      <c r="GQZ145" s="7"/>
      <c r="GRA145" s="7"/>
      <c r="GRB145" s="7"/>
      <c r="GRC145" s="7"/>
      <c r="GRD145" s="7"/>
      <c r="GRE145" s="7"/>
      <c r="GRF145" s="7"/>
      <c r="GRG145" s="7"/>
      <c r="GRH145" s="7"/>
      <c r="GRI145" s="7"/>
      <c r="GRJ145" s="7"/>
      <c r="GRK145" s="7"/>
      <c r="GRL145" s="7"/>
      <c r="GRM145" s="7"/>
      <c r="GRN145" s="7"/>
      <c r="GRO145" s="7"/>
      <c r="GRP145" s="7"/>
      <c r="GRQ145" s="7"/>
      <c r="GRR145" s="7"/>
      <c r="GRS145" s="7"/>
      <c r="GRT145" s="7"/>
      <c r="GRU145" s="7"/>
      <c r="GRV145" s="7"/>
      <c r="GRW145" s="7"/>
      <c r="GRX145" s="7"/>
      <c r="GRY145" s="7"/>
      <c r="GRZ145" s="7"/>
      <c r="GSA145" s="7"/>
      <c r="GSB145" s="7"/>
      <c r="GSC145" s="7"/>
      <c r="GSD145" s="7"/>
      <c r="GSE145" s="7"/>
      <c r="GSF145" s="7"/>
      <c r="GSG145" s="7"/>
      <c r="GSH145" s="7"/>
      <c r="GSI145" s="7"/>
      <c r="GSJ145" s="7"/>
      <c r="GSK145" s="7"/>
      <c r="GSL145" s="7"/>
      <c r="GSM145" s="7"/>
      <c r="GSN145" s="7"/>
      <c r="GSO145" s="7"/>
      <c r="GSP145" s="7"/>
      <c r="GSQ145" s="7"/>
      <c r="GSR145" s="7"/>
      <c r="GSS145" s="7"/>
      <c r="GST145" s="7"/>
      <c r="GSU145" s="7"/>
      <c r="GSV145" s="7"/>
      <c r="GSW145" s="7"/>
      <c r="GSX145" s="7"/>
      <c r="GSY145" s="7"/>
      <c r="GSZ145" s="7"/>
      <c r="GTA145" s="7"/>
      <c r="GTB145" s="7"/>
      <c r="GTC145" s="7"/>
      <c r="GTD145" s="7"/>
      <c r="GTE145" s="7"/>
      <c r="GTF145" s="7"/>
      <c r="GTG145" s="7"/>
      <c r="GTH145" s="7"/>
      <c r="GTI145" s="7"/>
      <c r="GTJ145" s="7"/>
      <c r="GTK145" s="7"/>
      <c r="GTL145" s="7"/>
      <c r="GTM145" s="7"/>
      <c r="GTN145" s="7"/>
      <c r="GTO145" s="7"/>
      <c r="GTP145" s="7"/>
      <c r="GTQ145" s="7"/>
      <c r="GTR145" s="7"/>
      <c r="GTS145" s="7"/>
      <c r="GTT145" s="7"/>
      <c r="GTU145" s="7"/>
      <c r="GTV145" s="7"/>
      <c r="GTW145" s="7"/>
      <c r="GTX145" s="7"/>
      <c r="GTY145" s="7"/>
      <c r="GTZ145" s="7"/>
      <c r="GUA145" s="7"/>
      <c r="GUB145" s="7"/>
      <c r="GUC145" s="7"/>
      <c r="GUD145" s="7"/>
      <c r="GUE145" s="7"/>
      <c r="GUF145" s="7"/>
      <c r="GUG145" s="7"/>
      <c r="GUH145" s="7"/>
      <c r="GUI145" s="7"/>
      <c r="GUJ145" s="7"/>
      <c r="GUK145" s="7"/>
      <c r="GUL145" s="7"/>
      <c r="GUM145" s="7"/>
      <c r="GUN145" s="7"/>
      <c r="GUO145" s="7"/>
      <c r="GUP145" s="7"/>
      <c r="GUQ145" s="7"/>
      <c r="GUR145" s="7"/>
      <c r="GUS145" s="7"/>
      <c r="GUT145" s="7"/>
      <c r="GUU145" s="7"/>
      <c r="GUV145" s="7"/>
      <c r="GUW145" s="7"/>
      <c r="GUX145" s="7"/>
      <c r="GUY145" s="7"/>
      <c r="GUZ145" s="7"/>
      <c r="GVA145" s="7"/>
      <c r="GVB145" s="7"/>
      <c r="GVC145" s="7"/>
      <c r="GVD145" s="7"/>
      <c r="GVE145" s="7"/>
      <c r="GVF145" s="7"/>
      <c r="GVG145" s="7"/>
      <c r="GVH145" s="7"/>
      <c r="GVI145" s="7"/>
      <c r="GVJ145" s="7"/>
      <c r="GVK145" s="7"/>
      <c r="GVL145" s="7"/>
      <c r="GVM145" s="7"/>
      <c r="GVN145" s="7"/>
      <c r="GVO145" s="7"/>
      <c r="GVP145" s="7"/>
      <c r="GVQ145" s="7"/>
      <c r="GVR145" s="7"/>
      <c r="GVS145" s="7"/>
      <c r="GVT145" s="7"/>
      <c r="GVU145" s="7"/>
      <c r="GVV145" s="7"/>
      <c r="GVW145" s="7"/>
      <c r="GVX145" s="7"/>
      <c r="GVY145" s="7"/>
      <c r="GVZ145" s="7"/>
      <c r="GWA145" s="7"/>
      <c r="GWB145" s="7"/>
      <c r="GWC145" s="7"/>
      <c r="GWD145" s="7"/>
      <c r="GWE145" s="7"/>
      <c r="GWF145" s="7"/>
      <c r="GWG145" s="7"/>
      <c r="GWH145" s="7"/>
      <c r="GWI145" s="7"/>
      <c r="GWJ145" s="7"/>
      <c r="GWK145" s="7"/>
      <c r="GWL145" s="7"/>
      <c r="GWM145" s="7"/>
      <c r="GWN145" s="7"/>
      <c r="GWO145" s="7"/>
      <c r="GWP145" s="7"/>
      <c r="GWQ145" s="7"/>
      <c r="GWR145" s="7"/>
      <c r="GWS145" s="7"/>
      <c r="GWT145" s="7"/>
      <c r="GWU145" s="7"/>
      <c r="GWV145" s="7"/>
      <c r="GWW145" s="7"/>
      <c r="GWX145" s="7"/>
      <c r="GWY145" s="7"/>
      <c r="GWZ145" s="7"/>
      <c r="GXA145" s="7"/>
      <c r="GXB145" s="7"/>
      <c r="GXC145" s="7"/>
      <c r="GXD145" s="7"/>
      <c r="GXE145" s="7"/>
      <c r="GXF145" s="7"/>
      <c r="GXG145" s="7"/>
      <c r="GXH145" s="7"/>
      <c r="GXI145" s="7"/>
      <c r="GXJ145" s="7"/>
      <c r="GXK145" s="7"/>
      <c r="GXL145" s="7"/>
      <c r="GXM145" s="7"/>
      <c r="GXN145" s="7"/>
      <c r="GXO145" s="7"/>
      <c r="GXP145" s="7"/>
      <c r="GXQ145" s="7"/>
      <c r="GXR145" s="7"/>
      <c r="GXS145" s="7"/>
      <c r="GXT145" s="7"/>
      <c r="GXU145" s="7"/>
      <c r="GXV145" s="7"/>
      <c r="GXW145" s="7"/>
      <c r="GXX145" s="7"/>
      <c r="GXY145" s="7"/>
      <c r="GXZ145" s="7"/>
      <c r="GYA145" s="7"/>
      <c r="GYB145" s="7"/>
      <c r="GYC145" s="7"/>
      <c r="GYD145" s="7"/>
      <c r="GYE145" s="7"/>
      <c r="GYF145" s="7"/>
      <c r="GYG145" s="7"/>
      <c r="GYH145" s="7"/>
      <c r="GYI145" s="7"/>
      <c r="GYJ145" s="7"/>
      <c r="GYK145" s="7"/>
      <c r="GYL145" s="7"/>
      <c r="GYM145" s="7"/>
      <c r="GYN145" s="7"/>
      <c r="GYO145" s="7"/>
      <c r="GYP145" s="7"/>
      <c r="GYQ145" s="7"/>
      <c r="GYR145" s="7"/>
      <c r="GYS145" s="7"/>
      <c r="GYT145" s="7"/>
      <c r="GYU145" s="7"/>
      <c r="GYV145" s="7"/>
      <c r="GYW145" s="7"/>
      <c r="GYX145" s="7"/>
      <c r="GYY145" s="7"/>
      <c r="GYZ145" s="7"/>
      <c r="GZA145" s="7"/>
      <c r="GZB145" s="7"/>
      <c r="GZC145" s="7"/>
      <c r="GZD145" s="7"/>
      <c r="GZE145" s="7"/>
      <c r="GZF145" s="7"/>
      <c r="GZG145" s="7"/>
      <c r="GZH145" s="7"/>
      <c r="GZI145" s="7"/>
      <c r="GZJ145" s="7"/>
      <c r="GZK145" s="7"/>
      <c r="GZL145" s="7"/>
      <c r="GZM145" s="7"/>
      <c r="GZN145" s="7"/>
      <c r="GZO145" s="7"/>
      <c r="GZP145" s="7"/>
      <c r="GZQ145" s="7"/>
      <c r="GZR145" s="7"/>
      <c r="GZS145" s="7"/>
      <c r="GZT145" s="7"/>
      <c r="GZU145" s="7"/>
      <c r="GZV145" s="7"/>
      <c r="GZW145" s="7"/>
      <c r="GZX145" s="7"/>
      <c r="GZY145" s="7"/>
      <c r="GZZ145" s="7"/>
      <c r="HAA145" s="7"/>
      <c r="HAB145" s="7"/>
      <c r="HAC145" s="7"/>
      <c r="HAD145" s="7"/>
      <c r="HAE145" s="7"/>
      <c r="HAF145" s="7"/>
      <c r="HAG145" s="7"/>
      <c r="HAH145" s="7"/>
      <c r="HAI145" s="7"/>
      <c r="HAJ145" s="7"/>
      <c r="HAK145" s="7"/>
      <c r="HAL145" s="7"/>
      <c r="HAM145" s="7"/>
      <c r="HAN145" s="7"/>
      <c r="HAO145" s="7"/>
      <c r="HAP145" s="7"/>
      <c r="HAQ145" s="7"/>
      <c r="HAR145" s="7"/>
      <c r="HAS145" s="7"/>
      <c r="HAT145" s="7"/>
      <c r="HAU145" s="7"/>
      <c r="HAV145" s="7"/>
      <c r="HAW145" s="7"/>
      <c r="HAX145" s="7"/>
      <c r="HAY145" s="7"/>
      <c r="HAZ145" s="7"/>
      <c r="HBA145" s="7"/>
      <c r="HBB145" s="7"/>
      <c r="HBC145" s="7"/>
      <c r="HBD145" s="7"/>
      <c r="HBE145" s="7"/>
      <c r="HBF145" s="7"/>
      <c r="HBG145" s="7"/>
      <c r="HBH145" s="7"/>
      <c r="HBI145" s="7"/>
      <c r="HBJ145" s="7"/>
      <c r="HBK145" s="7"/>
      <c r="HBL145" s="7"/>
      <c r="HBM145" s="7"/>
      <c r="HBN145" s="7"/>
      <c r="HBO145" s="7"/>
      <c r="HBP145" s="7"/>
      <c r="HBQ145" s="7"/>
      <c r="HBR145" s="7"/>
      <c r="HBS145" s="7"/>
      <c r="HBT145" s="7"/>
      <c r="HBU145" s="7"/>
      <c r="HBV145" s="7"/>
      <c r="HBW145" s="7"/>
      <c r="HBX145" s="7"/>
      <c r="HBY145" s="7"/>
      <c r="HBZ145" s="7"/>
      <c r="HCA145" s="7"/>
      <c r="HCB145" s="7"/>
      <c r="HCC145" s="7"/>
      <c r="HCD145" s="7"/>
      <c r="HCE145" s="7"/>
      <c r="HCF145" s="7"/>
      <c r="HCG145" s="7"/>
      <c r="HCH145" s="7"/>
      <c r="HCI145" s="7"/>
      <c r="HCJ145" s="7"/>
      <c r="HCK145" s="7"/>
      <c r="HCL145" s="7"/>
      <c r="HCM145" s="7"/>
      <c r="HCN145" s="7"/>
      <c r="HCO145" s="7"/>
      <c r="HCP145" s="7"/>
      <c r="HCQ145" s="7"/>
      <c r="HCR145" s="7"/>
      <c r="HCS145" s="7"/>
      <c r="HCT145" s="7"/>
      <c r="HCU145" s="7"/>
      <c r="HCV145" s="7"/>
      <c r="HCW145" s="7"/>
      <c r="HCX145" s="7"/>
      <c r="HCY145" s="7"/>
      <c r="HCZ145" s="7"/>
      <c r="HDA145" s="7"/>
      <c r="HDB145" s="7"/>
      <c r="HDC145" s="7"/>
      <c r="HDD145" s="7"/>
      <c r="HDE145" s="7"/>
      <c r="HDF145" s="7"/>
      <c r="HDG145" s="7"/>
      <c r="HDH145" s="7"/>
      <c r="HDI145" s="7"/>
      <c r="HDJ145" s="7"/>
      <c r="HDK145" s="7"/>
      <c r="HDL145" s="7"/>
      <c r="HDM145" s="7"/>
      <c r="HDN145" s="7"/>
      <c r="HDO145" s="7"/>
      <c r="HDP145" s="7"/>
      <c r="HDQ145" s="7"/>
      <c r="HDR145" s="7"/>
      <c r="HDS145" s="7"/>
      <c r="HDT145" s="7"/>
      <c r="HDU145" s="7"/>
      <c r="HDV145" s="7"/>
      <c r="HDW145" s="7"/>
      <c r="HDX145" s="7"/>
      <c r="HDY145" s="7"/>
      <c r="HDZ145" s="7"/>
      <c r="HEA145" s="7"/>
      <c r="HEB145" s="7"/>
      <c r="HEC145" s="7"/>
      <c r="HED145" s="7"/>
      <c r="HEE145" s="7"/>
      <c r="HEF145" s="7"/>
      <c r="HEG145" s="7"/>
      <c r="HEH145" s="7"/>
      <c r="HEI145" s="7"/>
      <c r="HEJ145" s="7"/>
      <c r="HEK145" s="7"/>
      <c r="HEL145" s="7"/>
      <c r="HEM145" s="7"/>
      <c r="HEN145" s="7"/>
      <c r="HEO145" s="7"/>
      <c r="HEP145" s="7"/>
      <c r="HEQ145" s="7"/>
      <c r="HER145" s="7"/>
      <c r="HES145" s="7"/>
      <c r="HET145" s="7"/>
      <c r="HEU145" s="7"/>
      <c r="HEV145" s="7"/>
      <c r="HEW145" s="7"/>
      <c r="HEX145" s="7"/>
      <c r="HEY145" s="7"/>
      <c r="HEZ145" s="7"/>
      <c r="HFA145" s="7"/>
      <c r="HFB145" s="7"/>
      <c r="HFC145" s="7"/>
      <c r="HFD145" s="7"/>
      <c r="HFE145" s="7"/>
      <c r="HFF145" s="7"/>
      <c r="HFG145" s="7"/>
      <c r="HFH145" s="7"/>
      <c r="HFI145" s="7"/>
      <c r="HFJ145" s="7"/>
      <c r="HFK145" s="7"/>
      <c r="HFL145" s="7"/>
      <c r="HFM145" s="7"/>
      <c r="HFN145" s="7"/>
      <c r="HFO145" s="7"/>
      <c r="HFP145" s="7"/>
      <c r="HFQ145" s="7"/>
      <c r="HFR145" s="7"/>
      <c r="HFS145" s="7"/>
      <c r="HFT145" s="7"/>
      <c r="HFU145" s="7"/>
      <c r="HFV145" s="7"/>
      <c r="HFW145" s="7"/>
      <c r="HFX145" s="7"/>
      <c r="HFY145" s="7"/>
      <c r="HFZ145" s="7"/>
      <c r="HGA145" s="7"/>
      <c r="HGB145" s="7"/>
      <c r="HGC145" s="7"/>
      <c r="HGD145" s="7"/>
      <c r="HGE145" s="7"/>
      <c r="HGF145" s="7"/>
      <c r="HGG145" s="7"/>
      <c r="HGH145" s="7"/>
      <c r="HGI145" s="7"/>
      <c r="HGJ145" s="7"/>
      <c r="HGK145" s="7"/>
      <c r="HGL145" s="7"/>
      <c r="HGM145" s="7"/>
      <c r="HGN145" s="7"/>
      <c r="HGO145" s="7"/>
      <c r="HGP145" s="7"/>
      <c r="HGQ145" s="7"/>
      <c r="HGR145" s="7"/>
      <c r="HGS145" s="7"/>
      <c r="HGT145" s="7"/>
      <c r="HGU145" s="7"/>
      <c r="HGV145" s="7"/>
      <c r="HGW145" s="7"/>
      <c r="HGX145" s="7"/>
      <c r="HGY145" s="7"/>
      <c r="HGZ145" s="7"/>
      <c r="HHA145" s="7"/>
      <c r="HHB145" s="7"/>
      <c r="HHC145" s="7"/>
      <c r="HHD145" s="7"/>
      <c r="HHE145" s="7"/>
      <c r="HHF145" s="7"/>
      <c r="HHG145" s="7"/>
      <c r="HHH145" s="7"/>
      <c r="HHI145" s="7"/>
      <c r="HHJ145" s="7"/>
      <c r="HHK145" s="7"/>
      <c r="HHL145" s="7"/>
      <c r="HHM145" s="7"/>
      <c r="HHN145" s="7"/>
      <c r="HHO145" s="7"/>
      <c r="HHP145" s="7"/>
      <c r="HHQ145" s="7"/>
      <c r="HHR145" s="7"/>
      <c r="HHS145" s="7"/>
      <c r="HHT145" s="7"/>
      <c r="HHU145" s="7"/>
      <c r="HHV145" s="7"/>
      <c r="HHW145" s="7"/>
      <c r="HHX145" s="7"/>
      <c r="HHY145" s="7"/>
      <c r="HHZ145" s="7"/>
      <c r="HIA145" s="7"/>
      <c r="HIB145" s="7"/>
      <c r="HIC145" s="7"/>
      <c r="HID145" s="7"/>
      <c r="HIE145" s="7"/>
      <c r="HIF145" s="7"/>
      <c r="HIG145" s="7"/>
      <c r="HIH145" s="7"/>
      <c r="HII145" s="7"/>
      <c r="HIJ145" s="7"/>
      <c r="HIK145" s="7"/>
      <c r="HIL145" s="7"/>
      <c r="HIM145" s="7"/>
      <c r="HIN145" s="7"/>
      <c r="HIO145" s="7"/>
      <c r="HIP145" s="7"/>
      <c r="HIQ145" s="7"/>
      <c r="HIR145" s="7"/>
      <c r="HIS145" s="7"/>
      <c r="HIT145" s="7"/>
      <c r="HIU145" s="7"/>
      <c r="HIV145" s="7"/>
      <c r="HIW145" s="7"/>
      <c r="HIX145" s="7"/>
      <c r="HIY145" s="7"/>
      <c r="HIZ145" s="7"/>
      <c r="HJA145" s="7"/>
      <c r="HJB145" s="7"/>
      <c r="HJC145" s="7"/>
      <c r="HJD145" s="7"/>
      <c r="HJE145" s="7"/>
      <c r="HJF145" s="7"/>
      <c r="HJG145" s="7"/>
      <c r="HJH145" s="7"/>
      <c r="HJI145" s="7"/>
      <c r="HJJ145" s="7"/>
      <c r="HJK145" s="7"/>
      <c r="HJL145" s="7"/>
      <c r="HJM145" s="7"/>
      <c r="HJN145" s="7"/>
      <c r="HJO145" s="7"/>
      <c r="HJP145" s="7"/>
      <c r="HJQ145" s="7"/>
      <c r="HJR145" s="7"/>
      <c r="HJS145" s="7"/>
      <c r="HJT145" s="7"/>
      <c r="HJU145" s="7"/>
      <c r="HJV145" s="7"/>
      <c r="HJW145" s="7"/>
      <c r="HJX145" s="7"/>
      <c r="HJY145" s="7"/>
      <c r="HJZ145" s="7"/>
      <c r="HKA145" s="7"/>
      <c r="HKB145" s="7"/>
      <c r="HKC145" s="7"/>
      <c r="HKD145" s="7"/>
      <c r="HKE145" s="7"/>
      <c r="HKF145" s="7"/>
      <c r="HKG145" s="7"/>
      <c r="HKH145" s="7"/>
      <c r="HKI145" s="7"/>
      <c r="HKJ145" s="7"/>
      <c r="HKK145" s="7"/>
      <c r="HKL145" s="7"/>
      <c r="HKM145" s="7"/>
      <c r="HKN145" s="7"/>
      <c r="HKO145" s="7"/>
      <c r="HKP145" s="7"/>
      <c r="HKQ145" s="7"/>
      <c r="HKR145" s="7"/>
      <c r="HKS145" s="7"/>
      <c r="HKT145" s="7"/>
      <c r="HKU145" s="7"/>
      <c r="HKV145" s="7"/>
      <c r="HKW145" s="7"/>
      <c r="HKX145" s="7"/>
      <c r="HKY145" s="7"/>
      <c r="HKZ145" s="7"/>
      <c r="HLA145" s="7"/>
      <c r="HLB145" s="7"/>
      <c r="HLC145" s="7"/>
      <c r="HLD145" s="7"/>
      <c r="HLE145" s="7"/>
      <c r="HLF145" s="7"/>
      <c r="HLG145" s="7"/>
      <c r="HLH145" s="7"/>
      <c r="HLI145" s="7"/>
      <c r="HLJ145" s="7"/>
      <c r="HLK145" s="7"/>
      <c r="HLL145" s="7"/>
      <c r="HLM145" s="7"/>
      <c r="HLN145" s="7"/>
      <c r="HLO145" s="7"/>
      <c r="HLP145" s="7"/>
      <c r="HLQ145" s="7"/>
      <c r="HLR145" s="7"/>
      <c r="HLS145" s="7"/>
      <c r="HLT145" s="7"/>
      <c r="HLU145" s="7"/>
      <c r="HLV145" s="7"/>
      <c r="HLW145" s="7"/>
      <c r="HLX145" s="7"/>
      <c r="HLY145" s="7"/>
      <c r="HLZ145" s="7"/>
      <c r="HMA145" s="7"/>
      <c r="HMB145" s="7"/>
      <c r="HMC145" s="7"/>
      <c r="HMD145" s="7"/>
      <c r="HME145" s="7"/>
      <c r="HMF145" s="7"/>
      <c r="HMG145" s="7"/>
      <c r="HMH145" s="7"/>
      <c r="HMI145" s="7"/>
      <c r="HMJ145" s="7"/>
      <c r="HMK145" s="7"/>
      <c r="HML145" s="7"/>
      <c r="HMM145" s="7"/>
      <c r="HMN145" s="7"/>
      <c r="HMO145" s="7"/>
      <c r="HMP145" s="7"/>
      <c r="HMQ145" s="7"/>
      <c r="HMR145" s="7"/>
      <c r="HMS145" s="7"/>
      <c r="HMT145" s="7"/>
      <c r="HMU145" s="7"/>
      <c r="HMV145" s="7"/>
      <c r="HMW145" s="7"/>
      <c r="HMX145" s="7"/>
      <c r="HMY145" s="7"/>
      <c r="HMZ145" s="7"/>
      <c r="HNA145" s="7"/>
      <c r="HNB145" s="7"/>
      <c r="HNC145" s="7"/>
      <c r="HND145" s="7"/>
      <c r="HNE145" s="7"/>
      <c r="HNF145" s="7"/>
      <c r="HNG145" s="7"/>
      <c r="HNH145" s="7"/>
      <c r="HNI145" s="7"/>
      <c r="HNJ145" s="7"/>
      <c r="HNK145" s="7"/>
      <c r="HNL145" s="7"/>
      <c r="HNM145" s="7"/>
      <c r="HNN145" s="7"/>
      <c r="HNO145" s="7"/>
      <c r="HNP145" s="7"/>
      <c r="HNQ145" s="7"/>
      <c r="HNR145" s="7"/>
      <c r="HNS145" s="7"/>
      <c r="HNT145" s="7"/>
      <c r="HNU145" s="7"/>
      <c r="HNV145" s="7"/>
      <c r="HNW145" s="7"/>
      <c r="HNX145" s="7"/>
      <c r="HNY145" s="7"/>
      <c r="HNZ145" s="7"/>
      <c r="HOA145" s="7"/>
      <c r="HOB145" s="7"/>
      <c r="HOC145" s="7"/>
      <c r="HOD145" s="7"/>
      <c r="HOE145" s="7"/>
      <c r="HOF145" s="7"/>
      <c r="HOG145" s="7"/>
      <c r="HOH145" s="7"/>
      <c r="HOI145" s="7"/>
      <c r="HOJ145" s="7"/>
      <c r="HOK145" s="7"/>
      <c r="HOL145" s="7"/>
      <c r="HOM145" s="7"/>
      <c r="HON145" s="7"/>
      <c r="HOO145" s="7"/>
      <c r="HOP145" s="7"/>
      <c r="HOQ145" s="7"/>
      <c r="HOR145" s="7"/>
      <c r="HOS145" s="7"/>
      <c r="HOT145" s="7"/>
      <c r="HOU145" s="7"/>
      <c r="HOV145" s="7"/>
      <c r="HOW145" s="7"/>
      <c r="HOX145" s="7"/>
      <c r="HOY145" s="7"/>
      <c r="HOZ145" s="7"/>
      <c r="HPA145" s="7"/>
      <c r="HPB145" s="7"/>
      <c r="HPC145" s="7"/>
      <c r="HPD145" s="7"/>
      <c r="HPE145" s="7"/>
      <c r="HPF145" s="7"/>
      <c r="HPG145" s="7"/>
      <c r="HPH145" s="7"/>
      <c r="HPI145" s="7"/>
      <c r="HPJ145" s="7"/>
      <c r="HPK145" s="7"/>
      <c r="HPL145" s="7"/>
      <c r="HPM145" s="7"/>
      <c r="HPN145" s="7"/>
      <c r="HPO145" s="7"/>
      <c r="HPP145" s="7"/>
      <c r="HPQ145" s="7"/>
      <c r="HPR145" s="7"/>
      <c r="HPS145" s="7"/>
      <c r="HPT145" s="7"/>
      <c r="HPU145" s="7"/>
      <c r="HPV145" s="7"/>
      <c r="HPW145" s="7"/>
      <c r="HPX145" s="7"/>
      <c r="HPY145" s="7"/>
      <c r="HPZ145" s="7"/>
      <c r="HQA145" s="7"/>
      <c r="HQB145" s="7"/>
      <c r="HQC145" s="7"/>
      <c r="HQD145" s="7"/>
      <c r="HQE145" s="7"/>
      <c r="HQF145" s="7"/>
      <c r="HQG145" s="7"/>
      <c r="HQH145" s="7"/>
      <c r="HQI145" s="7"/>
      <c r="HQJ145" s="7"/>
      <c r="HQK145" s="7"/>
      <c r="HQL145" s="7"/>
      <c r="HQM145" s="7"/>
      <c r="HQN145" s="7"/>
      <c r="HQO145" s="7"/>
      <c r="HQP145" s="7"/>
      <c r="HQQ145" s="7"/>
      <c r="HQR145" s="7"/>
      <c r="HQS145" s="7"/>
      <c r="HQT145" s="7"/>
      <c r="HQU145" s="7"/>
      <c r="HQV145" s="7"/>
      <c r="HQW145" s="7"/>
      <c r="HQX145" s="7"/>
      <c r="HQY145" s="7"/>
      <c r="HQZ145" s="7"/>
      <c r="HRA145" s="7"/>
      <c r="HRB145" s="7"/>
      <c r="HRC145" s="7"/>
      <c r="HRD145" s="7"/>
      <c r="HRE145" s="7"/>
      <c r="HRF145" s="7"/>
      <c r="HRG145" s="7"/>
      <c r="HRH145" s="7"/>
      <c r="HRI145" s="7"/>
      <c r="HRJ145" s="7"/>
      <c r="HRK145" s="7"/>
      <c r="HRL145" s="7"/>
      <c r="HRM145" s="7"/>
      <c r="HRN145" s="7"/>
      <c r="HRO145" s="7"/>
      <c r="HRP145" s="7"/>
      <c r="HRQ145" s="7"/>
      <c r="HRR145" s="7"/>
      <c r="HRS145" s="7"/>
      <c r="HRT145" s="7"/>
      <c r="HRU145" s="7"/>
      <c r="HRV145" s="7"/>
      <c r="HRW145" s="7"/>
      <c r="HRX145" s="7"/>
      <c r="HRY145" s="7"/>
      <c r="HRZ145" s="7"/>
      <c r="HSA145" s="7"/>
      <c r="HSB145" s="7"/>
      <c r="HSC145" s="7"/>
      <c r="HSD145" s="7"/>
      <c r="HSE145" s="7"/>
      <c r="HSF145" s="7"/>
      <c r="HSG145" s="7"/>
      <c r="HSH145" s="7"/>
      <c r="HSI145" s="7"/>
      <c r="HSJ145" s="7"/>
      <c r="HSK145" s="7"/>
      <c r="HSL145" s="7"/>
      <c r="HSM145" s="7"/>
      <c r="HSN145" s="7"/>
      <c r="HSO145" s="7"/>
      <c r="HSP145" s="7"/>
      <c r="HSQ145" s="7"/>
      <c r="HSR145" s="7"/>
      <c r="HSS145" s="7"/>
      <c r="HST145" s="7"/>
      <c r="HSU145" s="7"/>
      <c r="HSV145" s="7"/>
      <c r="HSW145" s="7"/>
      <c r="HSX145" s="7"/>
      <c r="HSY145" s="7"/>
      <c r="HSZ145" s="7"/>
      <c r="HTA145" s="7"/>
      <c r="HTB145" s="7"/>
      <c r="HTC145" s="7"/>
      <c r="HTD145" s="7"/>
      <c r="HTE145" s="7"/>
      <c r="HTF145" s="7"/>
      <c r="HTG145" s="7"/>
      <c r="HTH145" s="7"/>
      <c r="HTI145" s="7"/>
      <c r="HTJ145" s="7"/>
      <c r="HTK145" s="7"/>
      <c r="HTL145" s="7"/>
      <c r="HTM145" s="7"/>
      <c r="HTN145" s="7"/>
      <c r="HTO145" s="7"/>
      <c r="HTP145" s="7"/>
      <c r="HTQ145" s="7"/>
      <c r="HTR145" s="7"/>
      <c r="HTS145" s="7"/>
      <c r="HTT145" s="7"/>
      <c r="HTU145" s="7"/>
      <c r="HTV145" s="7"/>
      <c r="HTW145" s="7"/>
      <c r="HTX145" s="7"/>
      <c r="HTY145" s="7"/>
      <c r="HTZ145" s="7"/>
      <c r="HUA145" s="7"/>
      <c r="HUB145" s="7"/>
      <c r="HUC145" s="7"/>
      <c r="HUD145" s="7"/>
      <c r="HUE145" s="7"/>
      <c r="HUF145" s="7"/>
      <c r="HUG145" s="7"/>
      <c r="HUH145" s="7"/>
      <c r="HUI145" s="7"/>
      <c r="HUJ145" s="7"/>
      <c r="HUK145" s="7"/>
      <c r="HUL145" s="7"/>
      <c r="HUM145" s="7"/>
      <c r="HUN145" s="7"/>
      <c r="HUO145" s="7"/>
      <c r="HUP145" s="7"/>
      <c r="HUQ145" s="7"/>
      <c r="HUR145" s="7"/>
      <c r="HUS145" s="7"/>
      <c r="HUT145" s="7"/>
      <c r="HUU145" s="7"/>
      <c r="HUV145" s="7"/>
      <c r="HUW145" s="7"/>
      <c r="HUX145" s="7"/>
      <c r="HUY145" s="7"/>
      <c r="HUZ145" s="7"/>
      <c r="HVA145" s="7"/>
      <c r="HVB145" s="7"/>
      <c r="HVC145" s="7"/>
      <c r="HVD145" s="7"/>
      <c r="HVE145" s="7"/>
      <c r="HVF145" s="7"/>
      <c r="HVG145" s="7"/>
      <c r="HVH145" s="7"/>
      <c r="HVI145" s="7"/>
      <c r="HVJ145" s="7"/>
      <c r="HVK145" s="7"/>
      <c r="HVL145" s="7"/>
      <c r="HVM145" s="7"/>
      <c r="HVN145" s="7"/>
      <c r="HVO145" s="7"/>
      <c r="HVP145" s="7"/>
      <c r="HVQ145" s="7"/>
      <c r="HVR145" s="7"/>
      <c r="HVS145" s="7"/>
      <c r="HVT145" s="7"/>
      <c r="HVU145" s="7"/>
      <c r="HVV145" s="7"/>
      <c r="HVW145" s="7"/>
      <c r="HVX145" s="7"/>
      <c r="HVY145" s="7"/>
      <c r="HVZ145" s="7"/>
      <c r="HWA145" s="7"/>
      <c r="HWB145" s="7"/>
      <c r="HWC145" s="7"/>
      <c r="HWD145" s="7"/>
      <c r="HWE145" s="7"/>
      <c r="HWF145" s="7"/>
      <c r="HWG145" s="7"/>
      <c r="HWH145" s="7"/>
      <c r="HWI145" s="7"/>
      <c r="HWJ145" s="7"/>
      <c r="HWK145" s="7"/>
      <c r="HWL145" s="7"/>
      <c r="HWM145" s="7"/>
      <c r="HWN145" s="7"/>
      <c r="HWO145" s="7"/>
      <c r="HWP145" s="7"/>
      <c r="HWQ145" s="7"/>
      <c r="HWR145" s="7"/>
      <c r="HWS145" s="7"/>
      <c r="HWT145" s="7"/>
      <c r="HWU145" s="7"/>
      <c r="HWV145" s="7"/>
      <c r="HWW145" s="7"/>
      <c r="HWX145" s="7"/>
      <c r="HWY145" s="7"/>
      <c r="HWZ145" s="7"/>
      <c r="HXA145" s="7"/>
      <c r="HXB145" s="7"/>
      <c r="HXC145" s="7"/>
      <c r="HXD145" s="7"/>
      <c r="HXE145" s="7"/>
      <c r="HXF145" s="7"/>
      <c r="HXG145" s="7"/>
      <c r="HXH145" s="7"/>
      <c r="HXI145" s="7"/>
      <c r="HXJ145" s="7"/>
      <c r="HXK145" s="7"/>
      <c r="HXL145" s="7"/>
      <c r="HXM145" s="7"/>
      <c r="HXN145" s="7"/>
      <c r="HXO145" s="7"/>
      <c r="HXP145" s="7"/>
      <c r="HXQ145" s="7"/>
      <c r="HXR145" s="7"/>
      <c r="HXS145" s="7"/>
      <c r="HXT145" s="7"/>
      <c r="HXU145" s="7"/>
      <c r="HXV145" s="7"/>
      <c r="HXW145" s="7"/>
      <c r="HXX145" s="7"/>
      <c r="HXY145" s="7"/>
      <c r="HXZ145" s="7"/>
      <c r="HYA145" s="7"/>
      <c r="HYB145" s="7"/>
      <c r="HYC145" s="7"/>
      <c r="HYD145" s="7"/>
      <c r="HYE145" s="7"/>
      <c r="HYF145" s="7"/>
      <c r="HYG145" s="7"/>
      <c r="HYH145" s="7"/>
      <c r="HYI145" s="7"/>
      <c r="HYJ145" s="7"/>
      <c r="HYK145" s="7"/>
      <c r="HYL145" s="7"/>
      <c r="HYM145" s="7"/>
      <c r="HYN145" s="7"/>
      <c r="HYO145" s="7"/>
      <c r="HYP145" s="7"/>
      <c r="HYQ145" s="7"/>
      <c r="HYR145" s="7"/>
      <c r="HYS145" s="7"/>
      <c r="HYT145" s="7"/>
      <c r="HYU145" s="7"/>
      <c r="HYV145" s="7"/>
      <c r="HYW145" s="7"/>
      <c r="HYX145" s="7"/>
      <c r="HYY145" s="7"/>
      <c r="HYZ145" s="7"/>
      <c r="HZA145" s="7"/>
      <c r="HZB145" s="7"/>
      <c r="HZC145" s="7"/>
      <c r="HZD145" s="7"/>
      <c r="HZE145" s="7"/>
      <c r="HZF145" s="7"/>
      <c r="HZG145" s="7"/>
      <c r="HZH145" s="7"/>
      <c r="HZI145" s="7"/>
      <c r="HZJ145" s="7"/>
      <c r="HZK145" s="7"/>
      <c r="HZL145" s="7"/>
      <c r="HZM145" s="7"/>
      <c r="HZN145" s="7"/>
      <c r="HZO145" s="7"/>
      <c r="HZP145" s="7"/>
      <c r="HZQ145" s="7"/>
      <c r="HZR145" s="7"/>
      <c r="HZS145" s="7"/>
      <c r="HZT145" s="7"/>
      <c r="HZU145" s="7"/>
      <c r="HZV145" s="7"/>
      <c r="HZW145" s="7"/>
      <c r="HZX145" s="7"/>
      <c r="HZY145" s="7"/>
      <c r="HZZ145" s="7"/>
      <c r="IAA145" s="7"/>
      <c r="IAB145" s="7"/>
      <c r="IAC145" s="7"/>
      <c r="IAD145" s="7"/>
      <c r="IAE145" s="7"/>
      <c r="IAF145" s="7"/>
      <c r="IAG145" s="7"/>
      <c r="IAH145" s="7"/>
      <c r="IAI145" s="7"/>
      <c r="IAJ145" s="7"/>
      <c r="IAK145" s="7"/>
      <c r="IAL145" s="7"/>
      <c r="IAM145" s="7"/>
      <c r="IAN145" s="7"/>
      <c r="IAO145" s="7"/>
      <c r="IAP145" s="7"/>
      <c r="IAQ145" s="7"/>
      <c r="IAR145" s="7"/>
      <c r="IAS145" s="7"/>
      <c r="IAT145" s="7"/>
      <c r="IAU145" s="7"/>
      <c r="IAV145" s="7"/>
      <c r="IAW145" s="7"/>
      <c r="IAX145" s="7"/>
      <c r="IAY145" s="7"/>
      <c r="IAZ145" s="7"/>
      <c r="IBA145" s="7"/>
      <c r="IBB145" s="7"/>
      <c r="IBC145" s="7"/>
      <c r="IBD145" s="7"/>
      <c r="IBE145" s="7"/>
      <c r="IBF145" s="7"/>
      <c r="IBG145" s="7"/>
      <c r="IBH145" s="7"/>
      <c r="IBI145" s="7"/>
      <c r="IBJ145" s="7"/>
      <c r="IBK145" s="7"/>
      <c r="IBL145" s="7"/>
      <c r="IBM145" s="7"/>
      <c r="IBN145" s="7"/>
      <c r="IBO145" s="7"/>
      <c r="IBP145" s="7"/>
      <c r="IBQ145" s="7"/>
      <c r="IBR145" s="7"/>
      <c r="IBS145" s="7"/>
      <c r="IBT145" s="7"/>
      <c r="IBU145" s="7"/>
      <c r="IBV145" s="7"/>
      <c r="IBW145" s="7"/>
      <c r="IBX145" s="7"/>
      <c r="IBY145" s="7"/>
      <c r="IBZ145" s="7"/>
      <c r="ICA145" s="7"/>
      <c r="ICB145" s="7"/>
      <c r="ICC145" s="7"/>
      <c r="ICD145" s="7"/>
      <c r="ICE145" s="7"/>
      <c r="ICF145" s="7"/>
      <c r="ICG145" s="7"/>
      <c r="ICH145" s="7"/>
      <c r="ICI145" s="7"/>
      <c r="ICJ145" s="7"/>
      <c r="ICK145" s="7"/>
      <c r="ICL145" s="7"/>
      <c r="ICM145" s="7"/>
      <c r="ICN145" s="7"/>
      <c r="ICO145" s="7"/>
      <c r="ICP145" s="7"/>
      <c r="ICQ145" s="7"/>
      <c r="ICR145" s="7"/>
      <c r="ICS145" s="7"/>
      <c r="ICT145" s="7"/>
      <c r="ICU145" s="7"/>
      <c r="ICV145" s="7"/>
      <c r="ICW145" s="7"/>
      <c r="ICX145" s="7"/>
      <c r="ICY145" s="7"/>
      <c r="ICZ145" s="7"/>
      <c r="IDA145" s="7"/>
      <c r="IDB145" s="7"/>
      <c r="IDC145" s="7"/>
      <c r="IDD145" s="7"/>
      <c r="IDE145" s="7"/>
      <c r="IDF145" s="7"/>
      <c r="IDG145" s="7"/>
      <c r="IDH145" s="7"/>
      <c r="IDI145" s="7"/>
      <c r="IDJ145" s="7"/>
      <c r="IDK145" s="7"/>
      <c r="IDL145" s="7"/>
      <c r="IDM145" s="7"/>
      <c r="IDN145" s="7"/>
      <c r="IDO145" s="7"/>
      <c r="IDP145" s="7"/>
      <c r="IDQ145" s="7"/>
      <c r="IDR145" s="7"/>
      <c r="IDS145" s="7"/>
      <c r="IDT145" s="7"/>
      <c r="IDU145" s="7"/>
      <c r="IDV145" s="7"/>
      <c r="IDW145" s="7"/>
      <c r="IDX145" s="7"/>
      <c r="IDY145" s="7"/>
      <c r="IDZ145" s="7"/>
      <c r="IEA145" s="7"/>
      <c r="IEB145" s="7"/>
      <c r="IEC145" s="7"/>
      <c r="IED145" s="7"/>
      <c r="IEE145" s="7"/>
      <c r="IEF145" s="7"/>
      <c r="IEG145" s="7"/>
      <c r="IEH145" s="7"/>
      <c r="IEI145" s="7"/>
      <c r="IEJ145" s="7"/>
      <c r="IEK145" s="7"/>
      <c r="IEL145" s="7"/>
      <c r="IEM145" s="7"/>
      <c r="IEN145" s="7"/>
      <c r="IEO145" s="7"/>
      <c r="IEP145" s="7"/>
      <c r="IEQ145" s="7"/>
      <c r="IER145" s="7"/>
      <c r="IES145" s="7"/>
      <c r="IET145" s="7"/>
      <c r="IEU145" s="7"/>
      <c r="IEV145" s="7"/>
      <c r="IEW145" s="7"/>
      <c r="IEX145" s="7"/>
      <c r="IEY145" s="7"/>
      <c r="IEZ145" s="7"/>
      <c r="IFA145" s="7"/>
      <c r="IFB145" s="7"/>
      <c r="IFC145" s="7"/>
      <c r="IFD145" s="7"/>
      <c r="IFE145" s="7"/>
      <c r="IFF145" s="7"/>
      <c r="IFG145" s="7"/>
      <c r="IFH145" s="7"/>
      <c r="IFI145" s="7"/>
      <c r="IFJ145" s="7"/>
      <c r="IFK145" s="7"/>
      <c r="IFL145" s="7"/>
      <c r="IFM145" s="7"/>
      <c r="IFN145" s="7"/>
      <c r="IFO145" s="7"/>
      <c r="IFP145" s="7"/>
      <c r="IFQ145" s="7"/>
      <c r="IFR145" s="7"/>
      <c r="IFS145" s="7"/>
      <c r="IFT145" s="7"/>
      <c r="IFU145" s="7"/>
      <c r="IFV145" s="7"/>
      <c r="IFW145" s="7"/>
      <c r="IFX145" s="7"/>
      <c r="IFY145" s="7"/>
      <c r="IFZ145" s="7"/>
      <c r="IGA145" s="7"/>
      <c r="IGB145" s="7"/>
      <c r="IGC145" s="7"/>
      <c r="IGD145" s="7"/>
      <c r="IGE145" s="7"/>
      <c r="IGF145" s="7"/>
      <c r="IGG145" s="7"/>
      <c r="IGH145" s="7"/>
      <c r="IGI145" s="7"/>
      <c r="IGJ145" s="7"/>
      <c r="IGK145" s="7"/>
      <c r="IGL145" s="7"/>
      <c r="IGM145" s="7"/>
      <c r="IGN145" s="7"/>
      <c r="IGO145" s="7"/>
      <c r="IGP145" s="7"/>
      <c r="IGQ145" s="7"/>
      <c r="IGR145" s="7"/>
      <c r="IGS145" s="7"/>
      <c r="IGT145" s="7"/>
      <c r="IGU145" s="7"/>
      <c r="IGV145" s="7"/>
      <c r="IGW145" s="7"/>
      <c r="IGX145" s="7"/>
      <c r="IGY145" s="7"/>
      <c r="IGZ145" s="7"/>
      <c r="IHA145" s="7"/>
      <c r="IHB145" s="7"/>
      <c r="IHC145" s="7"/>
      <c r="IHD145" s="7"/>
      <c r="IHE145" s="7"/>
      <c r="IHF145" s="7"/>
      <c r="IHG145" s="7"/>
      <c r="IHH145" s="7"/>
      <c r="IHI145" s="7"/>
      <c r="IHJ145" s="7"/>
      <c r="IHK145" s="7"/>
      <c r="IHL145" s="7"/>
      <c r="IHM145" s="7"/>
      <c r="IHN145" s="7"/>
      <c r="IHO145" s="7"/>
      <c r="IHP145" s="7"/>
      <c r="IHQ145" s="7"/>
      <c r="IHR145" s="7"/>
      <c r="IHS145" s="7"/>
      <c r="IHT145" s="7"/>
      <c r="IHU145" s="7"/>
      <c r="IHV145" s="7"/>
      <c r="IHW145" s="7"/>
      <c r="IHX145" s="7"/>
      <c r="IHY145" s="7"/>
      <c r="IHZ145" s="7"/>
      <c r="IIA145" s="7"/>
      <c r="IIB145" s="7"/>
      <c r="IIC145" s="7"/>
      <c r="IID145" s="7"/>
      <c r="IIE145" s="7"/>
      <c r="IIF145" s="7"/>
      <c r="IIG145" s="7"/>
      <c r="IIH145" s="7"/>
      <c r="III145" s="7"/>
      <c r="IIJ145" s="7"/>
      <c r="IIK145" s="7"/>
      <c r="IIL145" s="7"/>
      <c r="IIM145" s="7"/>
      <c r="IIN145" s="7"/>
      <c r="IIO145" s="7"/>
      <c r="IIP145" s="7"/>
      <c r="IIQ145" s="7"/>
      <c r="IIR145" s="7"/>
      <c r="IIS145" s="7"/>
      <c r="IIT145" s="7"/>
      <c r="IIU145" s="7"/>
      <c r="IIV145" s="7"/>
      <c r="IIW145" s="7"/>
      <c r="IIX145" s="7"/>
      <c r="IIY145" s="7"/>
      <c r="IIZ145" s="7"/>
      <c r="IJA145" s="7"/>
      <c r="IJB145" s="7"/>
      <c r="IJC145" s="7"/>
      <c r="IJD145" s="7"/>
      <c r="IJE145" s="7"/>
      <c r="IJF145" s="7"/>
      <c r="IJG145" s="7"/>
      <c r="IJH145" s="7"/>
      <c r="IJI145" s="7"/>
      <c r="IJJ145" s="7"/>
      <c r="IJK145" s="7"/>
      <c r="IJL145" s="7"/>
      <c r="IJM145" s="7"/>
      <c r="IJN145" s="7"/>
      <c r="IJO145" s="7"/>
      <c r="IJP145" s="7"/>
      <c r="IJQ145" s="7"/>
      <c r="IJR145" s="7"/>
      <c r="IJS145" s="7"/>
      <c r="IJT145" s="7"/>
      <c r="IJU145" s="7"/>
      <c r="IJV145" s="7"/>
      <c r="IJW145" s="7"/>
      <c r="IJX145" s="7"/>
      <c r="IJY145" s="7"/>
      <c r="IJZ145" s="7"/>
      <c r="IKA145" s="7"/>
      <c r="IKB145" s="7"/>
      <c r="IKC145" s="7"/>
      <c r="IKD145" s="7"/>
      <c r="IKE145" s="7"/>
      <c r="IKF145" s="7"/>
      <c r="IKG145" s="7"/>
      <c r="IKH145" s="7"/>
      <c r="IKI145" s="7"/>
      <c r="IKJ145" s="7"/>
      <c r="IKK145" s="7"/>
      <c r="IKL145" s="7"/>
      <c r="IKM145" s="7"/>
      <c r="IKN145" s="7"/>
      <c r="IKO145" s="7"/>
      <c r="IKP145" s="7"/>
      <c r="IKQ145" s="7"/>
      <c r="IKR145" s="7"/>
      <c r="IKS145" s="7"/>
      <c r="IKT145" s="7"/>
      <c r="IKU145" s="7"/>
      <c r="IKV145" s="7"/>
      <c r="IKW145" s="7"/>
      <c r="IKX145" s="7"/>
      <c r="IKY145" s="7"/>
      <c r="IKZ145" s="7"/>
      <c r="ILA145" s="7"/>
      <c r="ILB145" s="7"/>
      <c r="ILC145" s="7"/>
      <c r="ILD145" s="7"/>
      <c r="ILE145" s="7"/>
      <c r="ILF145" s="7"/>
      <c r="ILG145" s="7"/>
      <c r="ILH145" s="7"/>
      <c r="ILI145" s="7"/>
      <c r="ILJ145" s="7"/>
      <c r="ILK145" s="7"/>
      <c r="ILL145" s="7"/>
      <c r="ILM145" s="7"/>
      <c r="ILN145" s="7"/>
      <c r="ILO145" s="7"/>
      <c r="ILP145" s="7"/>
      <c r="ILQ145" s="7"/>
      <c r="ILR145" s="7"/>
      <c r="ILS145" s="7"/>
      <c r="ILT145" s="7"/>
      <c r="ILU145" s="7"/>
      <c r="ILV145" s="7"/>
      <c r="ILW145" s="7"/>
      <c r="ILX145" s="7"/>
      <c r="ILY145" s="7"/>
      <c r="ILZ145" s="7"/>
      <c r="IMA145" s="7"/>
      <c r="IMB145" s="7"/>
      <c r="IMC145" s="7"/>
      <c r="IMD145" s="7"/>
      <c r="IME145" s="7"/>
      <c r="IMF145" s="7"/>
      <c r="IMG145" s="7"/>
      <c r="IMH145" s="7"/>
      <c r="IMI145" s="7"/>
      <c r="IMJ145" s="7"/>
      <c r="IMK145" s="7"/>
      <c r="IML145" s="7"/>
      <c r="IMM145" s="7"/>
      <c r="IMN145" s="7"/>
      <c r="IMO145" s="7"/>
      <c r="IMP145" s="7"/>
      <c r="IMQ145" s="7"/>
      <c r="IMR145" s="7"/>
      <c r="IMS145" s="7"/>
      <c r="IMT145" s="7"/>
      <c r="IMU145" s="7"/>
      <c r="IMV145" s="7"/>
      <c r="IMW145" s="7"/>
      <c r="IMX145" s="7"/>
      <c r="IMY145" s="7"/>
      <c r="IMZ145" s="7"/>
      <c r="INA145" s="7"/>
      <c r="INB145" s="7"/>
      <c r="INC145" s="7"/>
      <c r="IND145" s="7"/>
      <c r="INE145" s="7"/>
      <c r="INF145" s="7"/>
      <c r="ING145" s="7"/>
      <c r="INH145" s="7"/>
      <c r="INI145" s="7"/>
      <c r="INJ145" s="7"/>
      <c r="INK145" s="7"/>
      <c r="INL145" s="7"/>
      <c r="INM145" s="7"/>
      <c r="INN145" s="7"/>
      <c r="INO145" s="7"/>
      <c r="INP145" s="7"/>
      <c r="INQ145" s="7"/>
      <c r="INR145" s="7"/>
      <c r="INS145" s="7"/>
      <c r="INT145" s="7"/>
      <c r="INU145" s="7"/>
      <c r="INV145" s="7"/>
      <c r="INW145" s="7"/>
      <c r="INX145" s="7"/>
      <c r="INY145" s="7"/>
      <c r="INZ145" s="7"/>
      <c r="IOA145" s="7"/>
      <c r="IOB145" s="7"/>
      <c r="IOC145" s="7"/>
      <c r="IOD145" s="7"/>
      <c r="IOE145" s="7"/>
      <c r="IOF145" s="7"/>
      <c r="IOG145" s="7"/>
      <c r="IOH145" s="7"/>
      <c r="IOI145" s="7"/>
      <c r="IOJ145" s="7"/>
      <c r="IOK145" s="7"/>
      <c r="IOL145" s="7"/>
      <c r="IOM145" s="7"/>
      <c r="ION145" s="7"/>
      <c r="IOO145" s="7"/>
      <c r="IOP145" s="7"/>
      <c r="IOQ145" s="7"/>
      <c r="IOR145" s="7"/>
      <c r="IOS145" s="7"/>
      <c r="IOT145" s="7"/>
      <c r="IOU145" s="7"/>
      <c r="IOV145" s="7"/>
      <c r="IOW145" s="7"/>
      <c r="IOX145" s="7"/>
      <c r="IOY145" s="7"/>
      <c r="IOZ145" s="7"/>
      <c r="IPA145" s="7"/>
      <c r="IPB145" s="7"/>
      <c r="IPC145" s="7"/>
      <c r="IPD145" s="7"/>
      <c r="IPE145" s="7"/>
      <c r="IPF145" s="7"/>
      <c r="IPG145" s="7"/>
      <c r="IPH145" s="7"/>
      <c r="IPI145" s="7"/>
      <c r="IPJ145" s="7"/>
      <c r="IPK145" s="7"/>
      <c r="IPL145" s="7"/>
      <c r="IPM145" s="7"/>
      <c r="IPN145" s="7"/>
      <c r="IPO145" s="7"/>
      <c r="IPP145" s="7"/>
      <c r="IPQ145" s="7"/>
      <c r="IPR145" s="7"/>
      <c r="IPS145" s="7"/>
      <c r="IPT145" s="7"/>
      <c r="IPU145" s="7"/>
      <c r="IPV145" s="7"/>
      <c r="IPW145" s="7"/>
      <c r="IPX145" s="7"/>
      <c r="IPY145" s="7"/>
      <c r="IPZ145" s="7"/>
      <c r="IQA145" s="7"/>
      <c r="IQB145" s="7"/>
      <c r="IQC145" s="7"/>
      <c r="IQD145" s="7"/>
      <c r="IQE145" s="7"/>
      <c r="IQF145" s="7"/>
      <c r="IQG145" s="7"/>
      <c r="IQH145" s="7"/>
      <c r="IQI145" s="7"/>
      <c r="IQJ145" s="7"/>
      <c r="IQK145" s="7"/>
      <c r="IQL145" s="7"/>
      <c r="IQM145" s="7"/>
      <c r="IQN145" s="7"/>
      <c r="IQO145" s="7"/>
      <c r="IQP145" s="7"/>
      <c r="IQQ145" s="7"/>
      <c r="IQR145" s="7"/>
      <c r="IQS145" s="7"/>
      <c r="IQT145" s="7"/>
      <c r="IQU145" s="7"/>
      <c r="IQV145" s="7"/>
      <c r="IQW145" s="7"/>
      <c r="IQX145" s="7"/>
      <c r="IQY145" s="7"/>
      <c r="IQZ145" s="7"/>
      <c r="IRA145" s="7"/>
      <c r="IRB145" s="7"/>
      <c r="IRC145" s="7"/>
      <c r="IRD145" s="7"/>
      <c r="IRE145" s="7"/>
      <c r="IRF145" s="7"/>
      <c r="IRG145" s="7"/>
      <c r="IRH145" s="7"/>
      <c r="IRI145" s="7"/>
      <c r="IRJ145" s="7"/>
      <c r="IRK145" s="7"/>
      <c r="IRL145" s="7"/>
      <c r="IRM145" s="7"/>
      <c r="IRN145" s="7"/>
      <c r="IRO145" s="7"/>
      <c r="IRP145" s="7"/>
      <c r="IRQ145" s="7"/>
      <c r="IRR145" s="7"/>
      <c r="IRS145" s="7"/>
      <c r="IRT145" s="7"/>
      <c r="IRU145" s="7"/>
      <c r="IRV145" s="7"/>
      <c r="IRW145" s="7"/>
      <c r="IRX145" s="7"/>
      <c r="IRY145" s="7"/>
      <c r="IRZ145" s="7"/>
      <c r="ISA145" s="7"/>
      <c r="ISB145" s="7"/>
      <c r="ISC145" s="7"/>
      <c r="ISD145" s="7"/>
      <c r="ISE145" s="7"/>
      <c r="ISF145" s="7"/>
      <c r="ISG145" s="7"/>
      <c r="ISH145" s="7"/>
      <c r="ISI145" s="7"/>
      <c r="ISJ145" s="7"/>
      <c r="ISK145" s="7"/>
      <c r="ISL145" s="7"/>
      <c r="ISM145" s="7"/>
      <c r="ISN145" s="7"/>
      <c r="ISO145" s="7"/>
      <c r="ISP145" s="7"/>
      <c r="ISQ145" s="7"/>
      <c r="ISR145" s="7"/>
      <c r="ISS145" s="7"/>
      <c r="IST145" s="7"/>
      <c r="ISU145" s="7"/>
      <c r="ISV145" s="7"/>
      <c r="ISW145" s="7"/>
      <c r="ISX145" s="7"/>
      <c r="ISY145" s="7"/>
      <c r="ISZ145" s="7"/>
      <c r="ITA145" s="7"/>
      <c r="ITB145" s="7"/>
      <c r="ITC145" s="7"/>
      <c r="ITD145" s="7"/>
      <c r="ITE145" s="7"/>
      <c r="ITF145" s="7"/>
      <c r="ITG145" s="7"/>
      <c r="ITH145" s="7"/>
      <c r="ITI145" s="7"/>
      <c r="ITJ145" s="7"/>
      <c r="ITK145" s="7"/>
      <c r="ITL145" s="7"/>
      <c r="ITM145" s="7"/>
      <c r="ITN145" s="7"/>
      <c r="ITO145" s="7"/>
      <c r="ITP145" s="7"/>
      <c r="ITQ145" s="7"/>
      <c r="ITR145" s="7"/>
      <c r="ITS145" s="7"/>
      <c r="ITT145" s="7"/>
      <c r="ITU145" s="7"/>
      <c r="ITV145" s="7"/>
      <c r="ITW145" s="7"/>
      <c r="ITX145" s="7"/>
      <c r="ITY145" s="7"/>
      <c r="ITZ145" s="7"/>
      <c r="IUA145" s="7"/>
      <c r="IUB145" s="7"/>
      <c r="IUC145" s="7"/>
      <c r="IUD145" s="7"/>
      <c r="IUE145" s="7"/>
      <c r="IUF145" s="7"/>
      <c r="IUG145" s="7"/>
      <c r="IUH145" s="7"/>
      <c r="IUI145" s="7"/>
      <c r="IUJ145" s="7"/>
      <c r="IUK145" s="7"/>
      <c r="IUL145" s="7"/>
      <c r="IUM145" s="7"/>
      <c r="IUN145" s="7"/>
      <c r="IUO145" s="7"/>
      <c r="IUP145" s="7"/>
      <c r="IUQ145" s="7"/>
      <c r="IUR145" s="7"/>
      <c r="IUS145" s="7"/>
      <c r="IUT145" s="7"/>
      <c r="IUU145" s="7"/>
      <c r="IUV145" s="7"/>
      <c r="IUW145" s="7"/>
      <c r="IUX145" s="7"/>
      <c r="IUY145" s="7"/>
      <c r="IUZ145" s="7"/>
      <c r="IVA145" s="7"/>
      <c r="IVB145" s="7"/>
      <c r="IVC145" s="7"/>
      <c r="IVD145" s="7"/>
      <c r="IVE145" s="7"/>
      <c r="IVF145" s="7"/>
      <c r="IVG145" s="7"/>
      <c r="IVH145" s="7"/>
      <c r="IVI145" s="7"/>
      <c r="IVJ145" s="7"/>
      <c r="IVK145" s="7"/>
      <c r="IVL145" s="7"/>
      <c r="IVM145" s="7"/>
      <c r="IVN145" s="7"/>
      <c r="IVO145" s="7"/>
      <c r="IVP145" s="7"/>
      <c r="IVQ145" s="7"/>
      <c r="IVR145" s="7"/>
      <c r="IVS145" s="7"/>
      <c r="IVT145" s="7"/>
      <c r="IVU145" s="7"/>
      <c r="IVV145" s="7"/>
      <c r="IVW145" s="7"/>
      <c r="IVX145" s="7"/>
      <c r="IVY145" s="7"/>
      <c r="IVZ145" s="7"/>
      <c r="IWA145" s="7"/>
      <c r="IWB145" s="7"/>
      <c r="IWC145" s="7"/>
      <c r="IWD145" s="7"/>
      <c r="IWE145" s="7"/>
      <c r="IWF145" s="7"/>
      <c r="IWG145" s="7"/>
      <c r="IWH145" s="7"/>
      <c r="IWI145" s="7"/>
      <c r="IWJ145" s="7"/>
      <c r="IWK145" s="7"/>
      <c r="IWL145" s="7"/>
      <c r="IWM145" s="7"/>
      <c r="IWN145" s="7"/>
      <c r="IWO145" s="7"/>
      <c r="IWP145" s="7"/>
      <c r="IWQ145" s="7"/>
      <c r="IWR145" s="7"/>
      <c r="IWS145" s="7"/>
      <c r="IWT145" s="7"/>
      <c r="IWU145" s="7"/>
      <c r="IWV145" s="7"/>
      <c r="IWW145" s="7"/>
      <c r="IWX145" s="7"/>
      <c r="IWY145" s="7"/>
      <c r="IWZ145" s="7"/>
      <c r="IXA145" s="7"/>
      <c r="IXB145" s="7"/>
      <c r="IXC145" s="7"/>
      <c r="IXD145" s="7"/>
      <c r="IXE145" s="7"/>
      <c r="IXF145" s="7"/>
      <c r="IXG145" s="7"/>
      <c r="IXH145" s="7"/>
      <c r="IXI145" s="7"/>
      <c r="IXJ145" s="7"/>
      <c r="IXK145" s="7"/>
      <c r="IXL145" s="7"/>
      <c r="IXM145" s="7"/>
      <c r="IXN145" s="7"/>
      <c r="IXO145" s="7"/>
      <c r="IXP145" s="7"/>
      <c r="IXQ145" s="7"/>
      <c r="IXR145" s="7"/>
      <c r="IXS145" s="7"/>
      <c r="IXT145" s="7"/>
      <c r="IXU145" s="7"/>
      <c r="IXV145" s="7"/>
      <c r="IXW145" s="7"/>
      <c r="IXX145" s="7"/>
      <c r="IXY145" s="7"/>
      <c r="IXZ145" s="7"/>
      <c r="IYA145" s="7"/>
      <c r="IYB145" s="7"/>
      <c r="IYC145" s="7"/>
      <c r="IYD145" s="7"/>
      <c r="IYE145" s="7"/>
      <c r="IYF145" s="7"/>
      <c r="IYG145" s="7"/>
      <c r="IYH145" s="7"/>
      <c r="IYI145" s="7"/>
      <c r="IYJ145" s="7"/>
      <c r="IYK145" s="7"/>
      <c r="IYL145" s="7"/>
      <c r="IYM145" s="7"/>
      <c r="IYN145" s="7"/>
      <c r="IYO145" s="7"/>
      <c r="IYP145" s="7"/>
      <c r="IYQ145" s="7"/>
      <c r="IYR145" s="7"/>
      <c r="IYS145" s="7"/>
      <c r="IYT145" s="7"/>
      <c r="IYU145" s="7"/>
      <c r="IYV145" s="7"/>
      <c r="IYW145" s="7"/>
      <c r="IYX145" s="7"/>
      <c r="IYY145" s="7"/>
      <c r="IYZ145" s="7"/>
      <c r="IZA145" s="7"/>
      <c r="IZB145" s="7"/>
      <c r="IZC145" s="7"/>
      <c r="IZD145" s="7"/>
      <c r="IZE145" s="7"/>
      <c r="IZF145" s="7"/>
      <c r="IZG145" s="7"/>
      <c r="IZH145" s="7"/>
      <c r="IZI145" s="7"/>
      <c r="IZJ145" s="7"/>
      <c r="IZK145" s="7"/>
      <c r="IZL145" s="7"/>
      <c r="IZM145" s="7"/>
      <c r="IZN145" s="7"/>
      <c r="IZO145" s="7"/>
      <c r="IZP145" s="7"/>
      <c r="IZQ145" s="7"/>
      <c r="IZR145" s="7"/>
      <c r="IZS145" s="7"/>
      <c r="IZT145" s="7"/>
      <c r="IZU145" s="7"/>
      <c r="IZV145" s="7"/>
      <c r="IZW145" s="7"/>
      <c r="IZX145" s="7"/>
      <c r="IZY145" s="7"/>
      <c r="IZZ145" s="7"/>
      <c r="JAA145" s="7"/>
      <c r="JAB145" s="7"/>
      <c r="JAC145" s="7"/>
      <c r="JAD145" s="7"/>
      <c r="JAE145" s="7"/>
      <c r="JAF145" s="7"/>
      <c r="JAG145" s="7"/>
      <c r="JAH145" s="7"/>
      <c r="JAI145" s="7"/>
      <c r="JAJ145" s="7"/>
      <c r="JAK145" s="7"/>
      <c r="JAL145" s="7"/>
      <c r="JAM145" s="7"/>
      <c r="JAN145" s="7"/>
      <c r="JAO145" s="7"/>
      <c r="JAP145" s="7"/>
      <c r="JAQ145" s="7"/>
      <c r="JAR145" s="7"/>
      <c r="JAS145" s="7"/>
      <c r="JAT145" s="7"/>
      <c r="JAU145" s="7"/>
      <c r="JAV145" s="7"/>
      <c r="JAW145" s="7"/>
      <c r="JAX145" s="7"/>
      <c r="JAY145" s="7"/>
      <c r="JAZ145" s="7"/>
      <c r="JBA145" s="7"/>
      <c r="JBB145" s="7"/>
      <c r="JBC145" s="7"/>
      <c r="JBD145" s="7"/>
      <c r="JBE145" s="7"/>
      <c r="JBF145" s="7"/>
      <c r="JBG145" s="7"/>
      <c r="JBH145" s="7"/>
      <c r="JBI145" s="7"/>
      <c r="JBJ145" s="7"/>
      <c r="JBK145" s="7"/>
      <c r="JBL145" s="7"/>
      <c r="JBM145" s="7"/>
      <c r="JBN145" s="7"/>
      <c r="JBO145" s="7"/>
      <c r="JBP145" s="7"/>
      <c r="JBQ145" s="7"/>
      <c r="JBR145" s="7"/>
      <c r="JBS145" s="7"/>
      <c r="JBT145" s="7"/>
      <c r="JBU145" s="7"/>
      <c r="JBV145" s="7"/>
      <c r="JBW145" s="7"/>
      <c r="JBX145" s="7"/>
      <c r="JBY145" s="7"/>
      <c r="JBZ145" s="7"/>
      <c r="JCA145" s="7"/>
      <c r="JCB145" s="7"/>
      <c r="JCC145" s="7"/>
      <c r="JCD145" s="7"/>
      <c r="JCE145" s="7"/>
      <c r="JCF145" s="7"/>
      <c r="JCG145" s="7"/>
      <c r="JCH145" s="7"/>
      <c r="JCI145" s="7"/>
      <c r="JCJ145" s="7"/>
      <c r="JCK145" s="7"/>
      <c r="JCL145" s="7"/>
      <c r="JCM145" s="7"/>
      <c r="JCN145" s="7"/>
      <c r="JCO145" s="7"/>
      <c r="JCP145" s="7"/>
      <c r="JCQ145" s="7"/>
      <c r="JCR145" s="7"/>
      <c r="JCS145" s="7"/>
      <c r="JCT145" s="7"/>
      <c r="JCU145" s="7"/>
      <c r="JCV145" s="7"/>
      <c r="JCW145" s="7"/>
      <c r="JCX145" s="7"/>
      <c r="JCY145" s="7"/>
      <c r="JCZ145" s="7"/>
      <c r="JDA145" s="7"/>
      <c r="JDB145" s="7"/>
      <c r="JDC145" s="7"/>
      <c r="JDD145" s="7"/>
      <c r="JDE145" s="7"/>
      <c r="JDF145" s="7"/>
      <c r="JDG145" s="7"/>
      <c r="JDH145" s="7"/>
      <c r="JDI145" s="7"/>
      <c r="JDJ145" s="7"/>
      <c r="JDK145" s="7"/>
      <c r="JDL145" s="7"/>
      <c r="JDM145" s="7"/>
      <c r="JDN145" s="7"/>
      <c r="JDO145" s="7"/>
      <c r="JDP145" s="7"/>
      <c r="JDQ145" s="7"/>
      <c r="JDR145" s="7"/>
      <c r="JDS145" s="7"/>
      <c r="JDT145" s="7"/>
      <c r="JDU145" s="7"/>
      <c r="JDV145" s="7"/>
      <c r="JDW145" s="7"/>
      <c r="JDX145" s="7"/>
      <c r="JDY145" s="7"/>
      <c r="JDZ145" s="7"/>
      <c r="JEA145" s="7"/>
      <c r="JEB145" s="7"/>
      <c r="JEC145" s="7"/>
      <c r="JED145" s="7"/>
      <c r="JEE145" s="7"/>
      <c r="JEF145" s="7"/>
      <c r="JEG145" s="7"/>
      <c r="JEH145" s="7"/>
      <c r="JEI145" s="7"/>
      <c r="JEJ145" s="7"/>
      <c r="JEK145" s="7"/>
      <c r="JEL145" s="7"/>
      <c r="JEM145" s="7"/>
      <c r="JEN145" s="7"/>
      <c r="JEO145" s="7"/>
      <c r="JEP145" s="7"/>
      <c r="JEQ145" s="7"/>
      <c r="JER145" s="7"/>
      <c r="JES145" s="7"/>
      <c r="JET145" s="7"/>
      <c r="JEU145" s="7"/>
      <c r="JEV145" s="7"/>
      <c r="JEW145" s="7"/>
      <c r="JEX145" s="7"/>
      <c r="JEY145" s="7"/>
      <c r="JEZ145" s="7"/>
      <c r="JFA145" s="7"/>
      <c r="JFB145" s="7"/>
      <c r="JFC145" s="7"/>
      <c r="JFD145" s="7"/>
      <c r="JFE145" s="7"/>
      <c r="JFF145" s="7"/>
      <c r="JFG145" s="7"/>
      <c r="JFH145" s="7"/>
      <c r="JFI145" s="7"/>
      <c r="JFJ145" s="7"/>
      <c r="JFK145" s="7"/>
      <c r="JFL145" s="7"/>
      <c r="JFM145" s="7"/>
      <c r="JFN145" s="7"/>
      <c r="JFO145" s="7"/>
      <c r="JFP145" s="7"/>
      <c r="JFQ145" s="7"/>
      <c r="JFR145" s="7"/>
      <c r="JFS145" s="7"/>
      <c r="JFT145" s="7"/>
      <c r="JFU145" s="7"/>
      <c r="JFV145" s="7"/>
      <c r="JFW145" s="7"/>
      <c r="JFX145" s="7"/>
      <c r="JFY145" s="7"/>
      <c r="JFZ145" s="7"/>
      <c r="JGA145" s="7"/>
      <c r="JGB145" s="7"/>
      <c r="JGC145" s="7"/>
      <c r="JGD145" s="7"/>
      <c r="JGE145" s="7"/>
      <c r="JGF145" s="7"/>
      <c r="JGG145" s="7"/>
      <c r="JGH145" s="7"/>
      <c r="JGI145" s="7"/>
      <c r="JGJ145" s="7"/>
      <c r="JGK145" s="7"/>
      <c r="JGL145" s="7"/>
      <c r="JGM145" s="7"/>
      <c r="JGN145" s="7"/>
      <c r="JGO145" s="7"/>
      <c r="JGP145" s="7"/>
      <c r="JGQ145" s="7"/>
      <c r="JGR145" s="7"/>
      <c r="JGS145" s="7"/>
      <c r="JGT145" s="7"/>
      <c r="JGU145" s="7"/>
      <c r="JGV145" s="7"/>
      <c r="JGW145" s="7"/>
      <c r="JGX145" s="7"/>
      <c r="JGY145" s="7"/>
      <c r="JGZ145" s="7"/>
      <c r="JHA145" s="7"/>
      <c r="JHB145" s="7"/>
      <c r="JHC145" s="7"/>
      <c r="JHD145" s="7"/>
      <c r="JHE145" s="7"/>
      <c r="JHF145" s="7"/>
      <c r="JHG145" s="7"/>
      <c r="JHH145" s="7"/>
      <c r="JHI145" s="7"/>
      <c r="JHJ145" s="7"/>
      <c r="JHK145" s="7"/>
      <c r="JHL145" s="7"/>
      <c r="JHM145" s="7"/>
      <c r="JHN145" s="7"/>
      <c r="JHO145" s="7"/>
      <c r="JHP145" s="7"/>
      <c r="JHQ145" s="7"/>
      <c r="JHR145" s="7"/>
      <c r="JHS145" s="7"/>
      <c r="JHT145" s="7"/>
      <c r="JHU145" s="7"/>
      <c r="JHV145" s="7"/>
      <c r="JHW145" s="7"/>
      <c r="JHX145" s="7"/>
      <c r="JHY145" s="7"/>
      <c r="JHZ145" s="7"/>
      <c r="JIA145" s="7"/>
      <c r="JIB145" s="7"/>
      <c r="JIC145" s="7"/>
      <c r="JID145" s="7"/>
      <c r="JIE145" s="7"/>
      <c r="JIF145" s="7"/>
      <c r="JIG145" s="7"/>
      <c r="JIH145" s="7"/>
      <c r="JII145" s="7"/>
      <c r="JIJ145" s="7"/>
      <c r="JIK145" s="7"/>
      <c r="JIL145" s="7"/>
      <c r="JIM145" s="7"/>
      <c r="JIN145" s="7"/>
      <c r="JIO145" s="7"/>
      <c r="JIP145" s="7"/>
      <c r="JIQ145" s="7"/>
      <c r="JIR145" s="7"/>
      <c r="JIS145" s="7"/>
      <c r="JIT145" s="7"/>
      <c r="JIU145" s="7"/>
      <c r="JIV145" s="7"/>
      <c r="JIW145" s="7"/>
      <c r="JIX145" s="7"/>
      <c r="JIY145" s="7"/>
      <c r="JIZ145" s="7"/>
      <c r="JJA145" s="7"/>
      <c r="JJB145" s="7"/>
      <c r="JJC145" s="7"/>
      <c r="JJD145" s="7"/>
      <c r="JJE145" s="7"/>
      <c r="JJF145" s="7"/>
      <c r="JJG145" s="7"/>
      <c r="JJH145" s="7"/>
      <c r="JJI145" s="7"/>
      <c r="JJJ145" s="7"/>
      <c r="JJK145" s="7"/>
      <c r="JJL145" s="7"/>
      <c r="JJM145" s="7"/>
      <c r="JJN145" s="7"/>
      <c r="JJO145" s="7"/>
      <c r="JJP145" s="7"/>
      <c r="JJQ145" s="7"/>
      <c r="JJR145" s="7"/>
      <c r="JJS145" s="7"/>
      <c r="JJT145" s="7"/>
      <c r="JJU145" s="7"/>
      <c r="JJV145" s="7"/>
      <c r="JJW145" s="7"/>
      <c r="JJX145" s="7"/>
      <c r="JJY145" s="7"/>
      <c r="JJZ145" s="7"/>
      <c r="JKA145" s="7"/>
      <c r="JKB145" s="7"/>
      <c r="JKC145" s="7"/>
      <c r="JKD145" s="7"/>
      <c r="JKE145" s="7"/>
      <c r="JKF145" s="7"/>
      <c r="JKG145" s="7"/>
      <c r="JKH145" s="7"/>
      <c r="JKI145" s="7"/>
      <c r="JKJ145" s="7"/>
      <c r="JKK145" s="7"/>
      <c r="JKL145" s="7"/>
      <c r="JKM145" s="7"/>
      <c r="JKN145" s="7"/>
      <c r="JKO145" s="7"/>
      <c r="JKP145" s="7"/>
      <c r="JKQ145" s="7"/>
      <c r="JKR145" s="7"/>
      <c r="JKS145" s="7"/>
      <c r="JKT145" s="7"/>
      <c r="JKU145" s="7"/>
      <c r="JKV145" s="7"/>
      <c r="JKW145" s="7"/>
      <c r="JKX145" s="7"/>
      <c r="JKY145" s="7"/>
      <c r="JKZ145" s="7"/>
      <c r="JLA145" s="7"/>
      <c r="JLB145" s="7"/>
      <c r="JLC145" s="7"/>
      <c r="JLD145" s="7"/>
      <c r="JLE145" s="7"/>
      <c r="JLF145" s="7"/>
      <c r="JLG145" s="7"/>
      <c r="JLH145" s="7"/>
      <c r="JLI145" s="7"/>
      <c r="JLJ145" s="7"/>
      <c r="JLK145" s="7"/>
      <c r="JLL145" s="7"/>
      <c r="JLM145" s="7"/>
      <c r="JLN145" s="7"/>
      <c r="JLO145" s="7"/>
      <c r="JLP145" s="7"/>
      <c r="JLQ145" s="7"/>
      <c r="JLR145" s="7"/>
      <c r="JLS145" s="7"/>
      <c r="JLT145" s="7"/>
      <c r="JLU145" s="7"/>
      <c r="JLV145" s="7"/>
      <c r="JLW145" s="7"/>
      <c r="JLX145" s="7"/>
      <c r="JLY145" s="7"/>
      <c r="JLZ145" s="7"/>
      <c r="JMA145" s="7"/>
      <c r="JMB145" s="7"/>
      <c r="JMC145" s="7"/>
      <c r="JMD145" s="7"/>
      <c r="JME145" s="7"/>
      <c r="JMF145" s="7"/>
      <c r="JMG145" s="7"/>
      <c r="JMH145" s="7"/>
      <c r="JMI145" s="7"/>
      <c r="JMJ145" s="7"/>
      <c r="JMK145" s="7"/>
      <c r="JML145" s="7"/>
      <c r="JMM145" s="7"/>
      <c r="JMN145" s="7"/>
      <c r="JMO145" s="7"/>
      <c r="JMP145" s="7"/>
      <c r="JMQ145" s="7"/>
      <c r="JMR145" s="7"/>
      <c r="JMS145" s="7"/>
      <c r="JMT145" s="7"/>
      <c r="JMU145" s="7"/>
      <c r="JMV145" s="7"/>
      <c r="JMW145" s="7"/>
      <c r="JMX145" s="7"/>
      <c r="JMY145" s="7"/>
      <c r="JMZ145" s="7"/>
      <c r="JNA145" s="7"/>
      <c r="JNB145" s="7"/>
      <c r="JNC145" s="7"/>
      <c r="JND145" s="7"/>
      <c r="JNE145" s="7"/>
      <c r="JNF145" s="7"/>
      <c r="JNG145" s="7"/>
      <c r="JNH145" s="7"/>
      <c r="JNI145" s="7"/>
      <c r="JNJ145" s="7"/>
      <c r="JNK145" s="7"/>
      <c r="JNL145" s="7"/>
      <c r="JNM145" s="7"/>
      <c r="JNN145" s="7"/>
      <c r="JNO145" s="7"/>
      <c r="JNP145" s="7"/>
      <c r="JNQ145" s="7"/>
      <c r="JNR145" s="7"/>
      <c r="JNS145" s="7"/>
      <c r="JNT145" s="7"/>
      <c r="JNU145" s="7"/>
      <c r="JNV145" s="7"/>
      <c r="JNW145" s="7"/>
      <c r="JNX145" s="7"/>
      <c r="JNY145" s="7"/>
      <c r="JNZ145" s="7"/>
      <c r="JOA145" s="7"/>
      <c r="JOB145" s="7"/>
      <c r="JOC145" s="7"/>
      <c r="JOD145" s="7"/>
      <c r="JOE145" s="7"/>
      <c r="JOF145" s="7"/>
      <c r="JOG145" s="7"/>
      <c r="JOH145" s="7"/>
      <c r="JOI145" s="7"/>
      <c r="JOJ145" s="7"/>
      <c r="JOK145" s="7"/>
      <c r="JOL145" s="7"/>
      <c r="JOM145" s="7"/>
      <c r="JON145" s="7"/>
      <c r="JOO145" s="7"/>
      <c r="JOP145" s="7"/>
      <c r="JOQ145" s="7"/>
      <c r="JOR145" s="7"/>
      <c r="JOS145" s="7"/>
      <c r="JOT145" s="7"/>
      <c r="JOU145" s="7"/>
      <c r="JOV145" s="7"/>
      <c r="JOW145" s="7"/>
      <c r="JOX145" s="7"/>
      <c r="JOY145" s="7"/>
      <c r="JOZ145" s="7"/>
      <c r="JPA145" s="7"/>
      <c r="JPB145" s="7"/>
      <c r="JPC145" s="7"/>
      <c r="JPD145" s="7"/>
      <c r="JPE145" s="7"/>
      <c r="JPF145" s="7"/>
      <c r="JPG145" s="7"/>
      <c r="JPH145" s="7"/>
      <c r="JPI145" s="7"/>
      <c r="JPJ145" s="7"/>
      <c r="JPK145" s="7"/>
      <c r="JPL145" s="7"/>
      <c r="JPM145" s="7"/>
      <c r="JPN145" s="7"/>
      <c r="JPO145" s="7"/>
      <c r="JPP145" s="7"/>
      <c r="JPQ145" s="7"/>
      <c r="JPR145" s="7"/>
      <c r="JPS145" s="7"/>
      <c r="JPT145" s="7"/>
      <c r="JPU145" s="7"/>
      <c r="JPV145" s="7"/>
      <c r="JPW145" s="7"/>
      <c r="JPX145" s="7"/>
      <c r="JPY145" s="7"/>
      <c r="JPZ145" s="7"/>
      <c r="JQA145" s="7"/>
      <c r="JQB145" s="7"/>
      <c r="JQC145" s="7"/>
      <c r="JQD145" s="7"/>
      <c r="JQE145" s="7"/>
      <c r="JQF145" s="7"/>
      <c r="JQG145" s="7"/>
      <c r="JQH145" s="7"/>
      <c r="JQI145" s="7"/>
      <c r="JQJ145" s="7"/>
      <c r="JQK145" s="7"/>
      <c r="JQL145" s="7"/>
      <c r="JQM145" s="7"/>
      <c r="JQN145" s="7"/>
      <c r="JQO145" s="7"/>
      <c r="JQP145" s="7"/>
      <c r="JQQ145" s="7"/>
      <c r="JQR145" s="7"/>
      <c r="JQS145" s="7"/>
      <c r="JQT145" s="7"/>
      <c r="JQU145" s="7"/>
      <c r="JQV145" s="7"/>
      <c r="JQW145" s="7"/>
      <c r="JQX145" s="7"/>
      <c r="JQY145" s="7"/>
      <c r="JQZ145" s="7"/>
      <c r="JRA145" s="7"/>
      <c r="JRB145" s="7"/>
      <c r="JRC145" s="7"/>
      <c r="JRD145" s="7"/>
      <c r="JRE145" s="7"/>
      <c r="JRF145" s="7"/>
      <c r="JRG145" s="7"/>
      <c r="JRH145" s="7"/>
      <c r="JRI145" s="7"/>
      <c r="JRJ145" s="7"/>
      <c r="JRK145" s="7"/>
      <c r="JRL145" s="7"/>
      <c r="JRM145" s="7"/>
      <c r="JRN145" s="7"/>
      <c r="JRO145" s="7"/>
      <c r="JRP145" s="7"/>
      <c r="JRQ145" s="7"/>
      <c r="JRR145" s="7"/>
      <c r="JRS145" s="7"/>
      <c r="JRT145" s="7"/>
      <c r="JRU145" s="7"/>
      <c r="JRV145" s="7"/>
      <c r="JRW145" s="7"/>
      <c r="JRX145" s="7"/>
      <c r="JRY145" s="7"/>
      <c r="JRZ145" s="7"/>
      <c r="JSA145" s="7"/>
      <c r="JSB145" s="7"/>
      <c r="JSC145" s="7"/>
      <c r="JSD145" s="7"/>
      <c r="JSE145" s="7"/>
      <c r="JSF145" s="7"/>
      <c r="JSG145" s="7"/>
      <c r="JSH145" s="7"/>
      <c r="JSI145" s="7"/>
      <c r="JSJ145" s="7"/>
      <c r="JSK145" s="7"/>
      <c r="JSL145" s="7"/>
      <c r="JSM145" s="7"/>
      <c r="JSN145" s="7"/>
      <c r="JSO145" s="7"/>
      <c r="JSP145" s="7"/>
      <c r="JSQ145" s="7"/>
      <c r="JSR145" s="7"/>
      <c r="JSS145" s="7"/>
      <c r="JST145" s="7"/>
      <c r="JSU145" s="7"/>
      <c r="JSV145" s="7"/>
      <c r="JSW145" s="7"/>
      <c r="JSX145" s="7"/>
      <c r="JSY145" s="7"/>
      <c r="JSZ145" s="7"/>
      <c r="JTA145" s="7"/>
      <c r="JTB145" s="7"/>
      <c r="JTC145" s="7"/>
      <c r="JTD145" s="7"/>
      <c r="JTE145" s="7"/>
      <c r="JTF145" s="7"/>
      <c r="JTG145" s="7"/>
      <c r="JTH145" s="7"/>
      <c r="JTI145" s="7"/>
      <c r="JTJ145" s="7"/>
      <c r="JTK145" s="7"/>
      <c r="JTL145" s="7"/>
      <c r="JTM145" s="7"/>
      <c r="JTN145" s="7"/>
      <c r="JTO145" s="7"/>
      <c r="JTP145" s="7"/>
      <c r="JTQ145" s="7"/>
      <c r="JTR145" s="7"/>
      <c r="JTS145" s="7"/>
      <c r="JTT145" s="7"/>
      <c r="JTU145" s="7"/>
      <c r="JTV145" s="7"/>
      <c r="JTW145" s="7"/>
      <c r="JTX145" s="7"/>
      <c r="JTY145" s="7"/>
      <c r="JTZ145" s="7"/>
      <c r="JUA145" s="7"/>
      <c r="JUB145" s="7"/>
      <c r="JUC145" s="7"/>
      <c r="JUD145" s="7"/>
      <c r="JUE145" s="7"/>
      <c r="JUF145" s="7"/>
      <c r="JUG145" s="7"/>
      <c r="JUH145" s="7"/>
      <c r="JUI145" s="7"/>
      <c r="JUJ145" s="7"/>
      <c r="JUK145" s="7"/>
      <c r="JUL145" s="7"/>
      <c r="JUM145" s="7"/>
      <c r="JUN145" s="7"/>
      <c r="JUO145" s="7"/>
      <c r="JUP145" s="7"/>
      <c r="JUQ145" s="7"/>
      <c r="JUR145" s="7"/>
      <c r="JUS145" s="7"/>
      <c r="JUT145" s="7"/>
      <c r="JUU145" s="7"/>
      <c r="JUV145" s="7"/>
      <c r="JUW145" s="7"/>
      <c r="JUX145" s="7"/>
      <c r="JUY145" s="7"/>
      <c r="JUZ145" s="7"/>
      <c r="JVA145" s="7"/>
      <c r="JVB145" s="7"/>
      <c r="JVC145" s="7"/>
      <c r="JVD145" s="7"/>
      <c r="JVE145" s="7"/>
      <c r="JVF145" s="7"/>
      <c r="JVG145" s="7"/>
      <c r="JVH145" s="7"/>
      <c r="JVI145" s="7"/>
      <c r="JVJ145" s="7"/>
      <c r="JVK145" s="7"/>
      <c r="JVL145" s="7"/>
      <c r="JVM145" s="7"/>
      <c r="JVN145" s="7"/>
      <c r="JVO145" s="7"/>
      <c r="JVP145" s="7"/>
      <c r="JVQ145" s="7"/>
      <c r="JVR145" s="7"/>
      <c r="JVS145" s="7"/>
      <c r="JVT145" s="7"/>
      <c r="JVU145" s="7"/>
      <c r="JVV145" s="7"/>
      <c r="JVW145" s="7"/>
      <c r="JVX145" s="7"/>
      <c r="JVY145" s="7"/>
      <c r="JVZ145" s="7"/>
      <c r="JWA145" s="7"/>
      <c r="JWB145" s="7"/>
      <c r="JWC145" s="7"/>
      <c r="JWD145" s="7"/>
      <c r="JWE145" s="7"/>
      <c r="JWF145" s="7"/>
      <c r="JWG145" s="7"/>
      <c r="JWH145" s="7"/>
      <c r="JWI145" s="7"/>
      <c r="JWJ145" s="7"/>
      <c r="JWK145" s="7"/>
      <c r="JWL145" s="7"/>
      <c r="JWM145" s="7"/>
      <c r="JWN145" s="7"/>
      <c r="JWO145" s="7"/>
      <c r="JWP145" s="7"/>
      <c r="JWQ145" s="7"/>
      <c r="JWR145" s="7"/>
      <c r="JWS145" s="7"/>
      <c r="JWT145" s="7"/>
      <c r="JWU145" s="7"/>
      <c r="JWV145" s="7"/>
      <c r="JWW145" s="7"/>
      <c r="JWX145" s="7"/>
      <c r="JWY145" s="7"/>
      <c r="JWZ145" s="7"/>
      <c r="JXA145" s="7"/>
      <c r="JXB145" s="7"/>
      <c r="JXC145" s="7"/>
      <c r="JXD145" s="7"/>
      <c r="JXE145" s="7"/>
      <c r="JXF145" s="7"/>
      <c r="JXG145" s="7"/>
      <c r="JXH145" s="7"/>
      <c r="JXI145" s="7"/>
      <c r="JXJ145" s="7"/>
      <c r="JXK145" s="7"/>
      <c r="JXL145" s="7"/>
      <c r="JXM145" s="7"/>
      <c r="JXN145" s="7"/>
      <c r="JXO145" s="7"/>
      <c r="JXP145" s="7"/>
      <c r="JXQ145" s="7"/>
      <c r="JXR145" s="7"/>
      <c r="JXS145" s="7"/>
      <c r="JXT145" s="7"/>
      <c r="JXU145" s="7"/>
      <c r="JXV145" s="7"/>
      <c r="JXW145" s="7"/>
      <c r="JXX145" s="7"/>
      <c r="JXY145" s="7"/>
      <c r="JXZ145" s="7"/>
      <c r="JYA145" s="7"/>
      <c r="JYB145" s="7"/>
      <c r="JYC145" s="7"/>
      <c r="JYD145" s="7"/>
      <c r="JYE145" s="7"/>
      <c r="JYF145" s="7"/>
      <c r="JYG145" s="7"/>
      <c r="JYH145" s="7"/>
      <c r="JYI145" s="7"/>
      <c r="JYJ145" s="7"/>
      <c r="JYK145" s="7"/>
      <c r="JYL145" s="7"/>
      <c r="JYM145" s="7"/>
      <c r="JYN145" s="7"/>
      <c r="JYO145" s="7"/>
      <c r="JYP145" s="7"/>
      <c r="JYQ145" s="7"/>
      <c r="JYR145" s="7"/>
      <c r="JYS145" s="7"/>
      <c r="JYT145" s="7"/>
      <c r="JYU145" s="7"/>
      <c r="JYV145" s="7"/>
      <c r="JYW145" s="7"/>
      <c r="JYX145" s="7"/>
      <c r="JYY145" s="7"/>
      <c r="JYZ145" s="7"/>
      <c r="JZA145" s="7"/>
      <c r="JZB145" s="7"/>
      <c r="JZC145" s="7"/>
      <c r="JZD145" s="7"/>
      <c r="JZE145" s="7"/>
      <c r="JZF145" s="7"/>
      <c r="JZG145" s="7"/>
      <c r="JZH145" s="7"/>
      <c r="JZI145" s="7"/>
      <c r="JZJ145" s="7"/>
      <c r="JZK145" s="7"/>
      <c r="JZL145" s="7"/>
      <c r="JZM145" s="7"/>
      <c r="JZN145" s="7"/>
      <c r="JZO145" s="7"/>
      <c r="JZP145" s="7"/>
      <c r="JZQ145" s="7"/>
      <c r="JZR145" s="7"/>
      <c r="JZS145" s="7"/>
      <c r="JZT145" s="7"/>
      <c r="JZU145" s="7"/>
      <c r="JZV145" s="7"/>
      <c r="JZW145" s="7"/>
      <c r="JZX145" s="7"/>
      <c r="JZY145" s="7"/>
      <c r="JZZ145" s="7"/>
      <c r="KAA145" s="7"/>
      <c r="KAB145" s="7"/>
      <c r="KAC145" s="7"/>
      <c r="KAD145" s="7"/>
      <c r="KAE145" s="7"/>
      <c r="KAF145" s="7"/>
      <c r="KAG145" s="7"/>
      <c r="KAH145" s="7"/>
      <c r="KAI145" s="7"/>
      <c r="KAJ145" s="7"/>
      <c r="KAK145" s="7"/>
      <c r="KAL145" s="7"/>
      <c r="KAM145" s="7"/>
      <c r="KAN145" s="7"/>
      <c r="KAO145" s="7"/>
      <c r="KAP145" s="7"/>
      <c r="KAQ145" s="7"/>
      <c r="KAR145" s="7"/>
      <c r="KAS145" s="7"/>
      <c r="KAT145" s="7"/>
      <c r="KAU145" s="7"/>
      <c r="KAV145" s="7"/>
      <c r="KAW145" s="7"/>
      <c r="KAX145" s="7"/>
      <c r="KAY145" s="7"/>
      <c r="KAZ145" s="7"/>
      <c r="KBA145" s="7"/>
      <c r="KBB145" s="7"/>
      <c r="KBC145" s="7"/>
      <c r="KBD145" s="7"/>
      <c r="KBE145" s="7"/>
      <c r="KBF145" s="7"/>
      <c r="KBG145" s="7"/>
      <c r="KBH145" s="7"/>
      <c r="KBI145" s="7"/>
      <c r="KBJ145" s="7"/>
      <c r="KBK145" s="7"/>
      <c r="KBL145" s="7"/>
      <c r="KBM145" s="7"/>
      <c r="KBN145" s="7"/>
      <c r="KBO145" s="7"/>
      <c r="KBP145" s="7"/>
      <c r="KBQ145" s="7"/>
      <c r="KBR145" s="7"/>
      <c r="KBS145" s="7"/>
      <c r="KBT145" s="7"/>
      <c r="KBU145" s="7"/>
      <c r="KBV145" s="7"/>
      <c r="KBW145" s="7"/>
      <c r="KBX145" s="7"/>
      <c r="KBY145" s="7"/>
      <c r="KBZ145" s="7"/>
      <c r="KCA145" s="7"/>
      <c r="KCB145" s="7"/>
      <c r="KCC145" s="7"/>
      <c r="KCD145" s="7"/>
      <c r="KCE145" s="7"/>
      <c r="KCF145" s="7"/>
      <c r="KCG145" s="7"/>
      <c r="KCH145" s="7"/>
      <c r="KCI145" s="7"/>
      <c r="KCJ145" s="7"/>
      <c r="KCK145" s="7"/>
      <c r="KCL145" s="7"/>
      <c r="KCM145" s="7"/>
      <c r="KCN145" s="7"/>
      <c r="KCO145" s="7"/>
      <c r="KCP145" s="7"/>
      <c r="KCQ145" s="7"/>
      <c r="KCR145" s="7"/>
      <c r="KCS145" s="7"/>
      <c r="KCT145" s="7"/>
      <c r="KCU145" s="7"/>
      <c r="KCV145" s="7"/>
      <c r="KCW145" s="7"/>
      <c r="KCX145" s="7"/>
      <c r="KCY145" s="7"/>
      <c r="KCZ145" s="7"/>
      <c r="KDA145" s="7"/>
      <c r="KDB145" s="7"/>
      <c r="KDC145" s="7"/>
      <c r="KDD145" s="7"/>
      <c r="KDE145" s="7"/>
      <c r="KDF145" s="7"/>
      <c r="KDG145" s="7"/>
      <c r="KDH145" s="7"/>
      <c r="KDI145" s="7"/>
      <c r="KDJ145" s="7"/>
      <c r="KDK145" s="7"/>
      <c r="KDL145" s="7"/>
      <c r="KDM145" s="7"/>
      <c r="KDN145" s="7"/>
      <c r="KDO145" s="7"/>
      <c r="KDP145" s="7"/>
      <c r="KDQ145" s="7"/>
      <c r="KDR145" s="7"/>
      <c r="KDS145" s="7"/>
      <c r="KDT145" s="7"/>
      <c r="KDU145" s="7"/>
      <c r="KDV145" s="7"/>
      <c r="KDW145" s="7"/>
      <c r="KDX145" s="7"/>
      <c r="KDY145" s="7"/>
      <c r="KDZ145" s="7"/>
      <c r="KEA145" s="7"/>
      <c r="KEB145" s="7"/>
      <c r="KEC145" s="7"/>
      <c r="KED145" s="7"/>
      <c r="KEE145" s="7"/>
      <c r="KEF145" s="7"/>
      <c r="KEG145" s="7"/>
      <c r="KEH145" s="7"/>
      <c r="KEI145" s="7"/>
      <c r="KEJ145" s="7"/>
      <c r="KEK145" s="7"/>
      <c r="KEL145" s="7"/>
      <c r="KEM145" s="7"/>
      <c r="KEN145" s="7"/>
      <c r="KEO145" s="7"/>
      <c r="KEP145" s="7"/>
      <c r="KEQ145" s="7"/>
      <c r="KER145" s="7"/>
      <c r="KES145" s="7"/>
      <c r="KET145" s="7"/>
      <c r="KEU145" s="7"/>
      <c r="KEV145" s="7"/>
      <c r="KEW145" s="7"/>
      <c r="KEX145" s="7"/>
      <c r="KEY145" s="7"/>
      <c r="KEZ145" s="7"/>
      <c r="KFA145" s="7"/>
      <c r="KFB145" s="7"/>
      <c r="KFC145" s="7"/>
      <c r="KFD145" s="7"/>
      <c r="KFE145" s="7"/>
      <c r="KFF145" s="7"/>
      <c r="KFG145" s="7"/>
      <c r="KFH145" s="7"/>
      <c r="KFI145" s="7"/>
      <c r="KFJ145" s="7"/>
      <c r="KFK145" s="7"/>
      <c r="KFL145" s="7"/>
      <c r="KFM145" s="7"/>
      <c r="KFN145" s="7"/>
      <c r="KFO145" s="7"/>
      <c r="KFP145" s="7"/>
      <c r="KFQ145" s="7"/>
      <c r="KFR145" s="7"/>
      <c r="KFS145" s="7"/>
      <c r="KFT145" s="7"/>
      <c r="KFU145" s="7"/>
      <c r="KFV145" s="7"/>
      <c r="KFW145" s="7"/>
      <c r="KFX145" s="7"/>
      <c r="KFY145" s="7"/>
      <c r="KFZ145" s="7"/>
      <c r="KGA145" s="7"/>
      <c r="KGB145" s="7"/>
      <c r="KGC145" s="7"/>
      <c r="KGD145" s="7"/>
      <c r="KGE145" s="7"/>
      <c r="KGF145" s="7"/>
      <c r="KGG145" s="7"/>
      <c r="KGH145" s="7"/>
      <c r="KGI145" s="7"/>
      <c r="KGJ145" s="7"/>
      <c r="KGK145" s="7"/>
      <c r="KGL145" s="7"/>
      <c r="KGM145" s="7"/>
      <c r="KGN145" s="7"/>
      <c r="KGO145" s="7"/>
      <c r="KGP145" s="7"/>
      <c r="KGQ145" s="7"/>
      <c r="KGR145" s="7"/>
      <c r="KGS145" s="7"/>
      <c r="KGT145" s="7"/>
      <c r="KGU145" s="7"/>
      <c r="KGV145" s="7"/>
      <c r="KGW145" s="7"/>
      <c r="KGX145" s="7"/>
      <c r="KGY145" s="7"/>
      <c r="KGZ145" s="7"/>
      <c r="KHA145" s="7"/>
      <c r="KHB145" s="7"/>
      <c r="KHC145" s="7"/>
      <c r="KHD145" s="7"/>
      <c r="KHE145" s="7"/>
      <c r="KHF145" s="7"/>
      <c r="KHG145" s="7"/>
      <c r="KHH145" s="7"/>
      <c r="KHI145" s="7"/>
      <c r="KHJ145" s="7"/>
      <c r="KHK145" s="7"/>
      <c r="KHL145" s="7"/>
      <c r="KHM145" s="7"/>
      <c r="KHN145" s="7"/>
      <c r="KHO145" s="7"/>
      <c r="KHP145" s="7"/>
      <c r="KHQ145" s="7"/>
      <c r="KHR145" s="7"/>
      <c r="KHS145" s="7"/>
      <c r="KHT145" s="7"/>
      <c r="KHU145" s="7"/>
      <c r="KHV145" s="7"/>
      <c r="KHW145" s="7"/>
      <c r="KHX145" s="7"/>
      <c r="KHY145" s="7"/>
      <c r="KHZ145" s="7"/>
      <c r="KIA145" s="7"/>
      <c r="KIB145" s="7"/>
      <c r="KIC145" s="7"/>
      <c r="KID145" s="7"/>
      <c r="KIE145" s="7"/>
      <c r="KIF145" s="7"/>
      <c r="KIG145" s="7"/>
      <c r="KIH145" s="7"/>
      <c r="KII145" s="7"/>
      <c r="KIJ145" s="7"/>
      <c r="KIK145" s="7"/>
      <c r="KIL145" s="7"/>
      <c r="KIM145" s="7"/>
      <c r="KIN145" s="7"/>
      <c r="KIO145" s="7"/>
      <c r="KIP145" s="7"/>
      <c r="KIQ145" s="7"/>
      <c r="KIR145" s="7"/>
      <c r="KIS145" s="7"/>
      <c r="KIT145" s="7"/>
      <c r="KIU145" s="7"/>
      <c r="KIV145" s="7"/>
      <c r="KIW145" s="7"/>
      <c r="KIX145" s="7"/>
      <c r="KIY145" s="7"/>
      <c r="KIZ145" s="7"/>
      <c r="KJA145" s="7"/>
      <c r="KJB145" s="7"/>
      <c r="KJC145" s="7"/>
      <c r="KJD145" s="7"/>
      <c r="KJE145" s="7"/>
      <c r="KJF145" s="7"/>
      <c r="KJG145" s="7"/>
      <c r="KJH145" s="7"/>
      <c r="KJI145" s="7"/>
      <c r="KJJ145" s="7"/>
      <c r="KJK145" s="7"/>
      <c r="KJL145" s="7"/>
      <c r="KJM145" s="7"/>
      <c r="KJN145" s="7"/>
      <c r="KJO145" s="7"/>
      <c r="KJP145" s="7"/>
      <c r="KJQ145" s="7"/>
      <c r="KJR145" s="7"/>
      <c r="KJS145" s="7"/>
      <c r="KJT145" s="7"/>
      <c r="KJU145" s="7"/>
      <c r="KJV145" s="7"/>
      <c r="KJW145" s="7"/>
      <c r="KJX145" s="7"/>
      <c r="KJY145" s="7"/>
      <c r="KJZ145" s="7"/>
      <c r="KKA145" s="7"/>
      <c r="KKB145" s="7"/>
      <c r="KKC145" s="7"/>
      <c r="KKD145" s="7"/>
      <c r="KKE145" s="7"/>
      <c r="KKF145" s="7"/>
      <c r="KKG145" s="7"/>
      <c r="KKH145" s="7"/>
      <c r="KKI145" s="7"/>
      <c r="KKJ145" s="7"/>
      <c r="KKK145" s="7"/>
      <c r="KKL145" s="7"/>
      <c r="KKM145" s="7"/>
      <c r="KKN145" s="7"/>
      <c r="KKO145" s="7"/>
      <c r="KKP145" s="7"/>
      <c r="KKQ145" s="7"/>
      <c r="KKR145" s="7"/>
      <c r="KKS145" s="7"/>
      <c r="KKT145" s="7"/>
      <c r="KKU145" s="7"/>
      <c r="KKV145" s="7"/>
      <c r="KKW145" s="7"/>
      <c r="KKX145" s="7"/>
      <c r="KKY145" s="7"/>
      <c r="KKZ145" s="7"/>
      <c r="KLA145" s="7"/>
      <c r="KLB145" s="7"/>
      <c r="KLC145" s="7"/>
      <c r="KLD145" s="7"/>
      <c r="KLE145" s="7"/>
      <c r="KLF145" s="7"/>
      <c r="KLG145" s="7"/>
      <c r="KLH145" s="7"/>
      <c r="KLI145" s="7"/>
      <c r="KLJ145" s="7"/>
      <c r="KLK145" s="7"/>
      <c r="KLL145" s="7"/>
      <c r="KLM145" s="7"/>
      <c r="KLN145" s="7"/>
      <c r="KLO145" s="7"/>
      <c r="KLP145" s="7"/>
      <c r="KLQ145" s="7"/>
      <c r="KLR145" s="7"/>
      <c r="KLS145" s="7"/>
      <c r="KLT145" s="7"/>
      <c r="KLU145" s="7"/>
      <c r="KLV145" s="7"/>
      <c r="KLW145" s="7"/>
      <c r="KLX145" s="7"/>
      <c r="KLY145" s="7"/>
      <c r="KLZ145" s="7"/>
      <c r="KMA145" s="7"/>
      <c r="KMB145" s="7"/>
      <c r="KMC145" s="7"/>
      <c r="KMD145" s="7"/>
      <c r="KME145" s="7"/>
      <c r="KMF145" s="7"/>
      <c r="KMG145" s="7"/>
      <c r="KMH145" s="7"/>
      <c r="KMI145" s="7"/>
      <c r="KMJ145" s="7"/>
      <c r="KMK145" s="7"/>
      <c r="KML145" s="7"/>
      <c r="KMM145" s="7"/>
      <c r="KMN145" s="7"/>
      <c r="KMO145" s="7"/>
      <c r="KMP145" s="7"/>
      <c r="KMQ145" s="7"/>
      <c r="KMR145" s="7"/>
      <c r="KMS145" s="7"/>
      <c r="KMT145" s="7"/>
      <c r="KMU145" s="7"/>
      <c r="KMV145" s="7"/>
      <c r="KMW145" s="7"/>
      <c r="KMX145" s="7"/>
      <c r="KMY145" s="7"/>
      <c r="KMZ145" s="7"/>
      <c r="KNA145" s="7"/>
      <c r="KNB145" s="7"/>
      <c r="KNC145" s="7"/>
      <c r="KND145" s="7"/>
      <c r="KNE145" s="7"/>
      <c r="KNF145" s="7"/>
      <c r="KNG145" s="7"/>
      <c r="KNH145" s="7"/>
      <c r="KNI145" s="7"/>
      <c r="KNJ145" s="7"/>
      <c r="KNK145" s="7"/>
      <c r="KNL145" s="7"/>
      <c r="KNM145" s="7"/>
      <c r="KNN145" s="7"/>
      <c r="KNO145" s="7"/>
      <c r="KNP145" s="7"/>
      <c r="KNQ145" s="7"/>
      <c r="KNR145" s="7"/>
      <c r="KNS145" s="7"/>
      <c r="KNT145" s="7"/>
      <c r="KNU145" s="7"/>
      <c r="KNV145" s="7"/>
      <c r="KNW145" s="7"/>
      <c r="KNX145" s="7"/>
      <c r="KNY145" s="7"/>
      <c r="KNZ145" s="7"/>
      <c r="KOA145" s="7"/>
      <c r="KOB145" s="7"/>
      <c r="KOC145" s="7"/>
      <c r="KOD145" s="7"/>
      <c r="KOE145" s="7"/>
      <c r="KOF145" s="7"/>
      <c r="KOG145" s="7"/>
      <c r="KOH145" s="7"/>
      <c r="KOI145" s="7"/>
      <c r="KOJ145" s="7"/>
      <c r="KOK145" s="7"/>
      <c r="KOL145" s="7"/>
      <c r="KOM145" s="7"/>
      <c r="KON145" s="7"/>
      <c r="KOO145" s="7"/>
      <c r="KOP145" s="7"/>
      <c r="KOQ145" s="7"/>
      <c r="KOR145" s="7"/>
      <c r="KOS145" s="7"/>
      <c r="KOT145" s="7"/>
      <c r="KOU145" s="7"/>
      <c r="KOV145" s="7"/>
      <c r="KOW145" s="7"/>
      <c r="KOX145" s="7"/>
      <c r="KOY145" s="7"/>
      <c r="KOZ145" s="7"/>
      <c r="KPA145" s="7"/>
      <c r="KPB145" s="7"/>
      <c r="KPC145" s="7"/>
      <c r="KPD145" s="7"/>
      <c r="KPE145" s="7"/>
      <c r="KPF145" s="7"/>
      <c r="KPG145" s="7"/>
      <c r="KPH145" s="7"/>
      <c r="KPI145" s="7"/>
      <c r="KPJ145" s="7"/>
      <c r="KPK145" s="7"/>
      <c r="KPL145" s="7"/>
      <c r="KPM145" s="7"/>
      <c r="KPN145" s="7"/>
      <c r="KPO145" s="7"/>
      <c r="KPP145" s="7"/>
      <c r="KPQ145" s="7"/>
      <c r="KPR145" s="7"/>
      <c r="KPS145" s="7"/>
      <c r="KPT145" s="7"/>
      <c r="KPU145" s="7"/>
      <c r="KPV145" s="7"/>
      <c r="KPW145" s="7"/>
      <c r="KPX145" s="7"/>
      <c r="KPY145" s="7"/>
      <c r="KPZ145" s="7"/>
      <c r="KQA145" s="7"/>
      <c r="KQB145" s="7"/>
      <c r="KQC145" s="7"/>
      <c r="KQD145" s="7"/>
      <c r="KQE145" s="7"/>
      <c r="KQF145" s="7"/>
      <c r="KQG145" s="7"/>
      <c r="KQH145" s="7"/>
      <c r="KQI145" s="7"/>
      <c r="KQJ145" s="7"/>
      <c r="KQK145" s="7"/>
      <c r="KQL145" s="7"/>
      <c r="KQM145" s="7"/>
      <c r="KQN145" s="7"/>
      <c r="KQO145" s="7"/>
      <c r="KQP145" s="7"/>
      <c r="KQQ145" s="7"/>
      <c r="KQR145" s="7"/>
      <c r="KQS145" s="7"/>
      <c r="KQT145" s="7"/>
      <c r="KQU145" s="7"/>
      <c r="KQV145" s="7"/>
      <c r="KQW145" s="7"/>
      <c r="KQX145" s="7"/>
      <c r="KQY145" s="7"/>
      <c r="KQZ145" s="7"/>
      <c r="KRA145" s="7"/>
      <c r="KRB145" s="7"/>
      <c r="KRC145" s="7"/>
      <c r="KRD145" s="7"/>
      <c r="KRE145" s="7"/>
      <c r="KRF145" s="7"/>
      <c r="KRG145" s="7"/>
      <c r="KRH145" s="7"/>
      <c r="KRI145" s="7"/>
      <c r="KRJ145" s="7"/>
      <c r="KRK145" s="7"/>
      <c r="KRL145" s="7"/>
      <c r="KRM145" s="7"/>
      <c r="KRN145" s="7"/>
      <c r="KRO145" s="7"/>
      <c r="KRP145" s="7"/>
      <c r="KRQ145" s="7"/>
      <c r="KRR145" s="7"/>
      <c r="KRS145" s="7"/>
      <c r="KRT145" s="7"/>
      <c r="KRU145" s="7"/>
      <c r="KRV145" s="7"/>
      <c r="KRW145" s="7"/>
      <c r="KRX145" s="7"/>
      <c r="KRY145" s="7"/>
      <c r="KRZ145" s="7"/>
      <c r="KSA145" s="7"/>
      <c r="KSB145" s="7"/>
      <c r="KSC145" s="7"/>
      <c r="KSD145" s="7"/>
      <c r="KSE145" s="7"/>
      <c r="KSF145" s="7"/>
      <c r="KSG145" s="7"/>
      <c r="KSH145" s="7"/>
      <c r="KSI145" s="7"/>
      <c r="KSJ145" s="7"/>
      <c r="KSK145" s="7"/>
      <c r="KSL145" s="7"/>
      <c r="KSM145" s="7"/>
      <c r="KSN145" s="7"/>
      <c r="KSO145" s="7"/>
      <c r="KSP145" s="7"/>
      <c r="KSQ145" s="7"/>
      <c r="KSR145" s="7"/>
      <c r="KSS145" s="7"/>
      <c r="KST145" s="7"/>
      <c r="KSU145" s="7"/>
      <c r="KSV145" s="7"/>
      <c r="KSW145" s="7"/>
      <c r="KSX145" s="7"/>
      <c r="KSY145" s="7"/>
      <c r="KSZ145" s="7"/>
      <c r="KTA145" s="7"/>
      <c r="KTB145" s="7"/>
      <c r="KTC145" s="7"/>
      <c r="KTD145" s="7"/>
      <c r="KTE145" s="7"/>
      <c r="KTF145" s="7"/>
      <c r="KTG145" s="7"/>
      <c r="KTH145" s="7"/>
      <c r="KTI145" s="7"/>
      <c r="KTJ145" s="7"/>
      <c r="KTK145" s="7"/>
      <c r="KTL145" s="7"/>
      <c r="KTM145" s="7"/>
      <c r="KTN145" s="7"/>
      <c r="KTO145" s="7"/>
      <c r="KTP145" s="7"/>
      <c r="KTQ145" s="7"/>
      <c r="KTR145" s="7"/>
      <c r="KTS145" s="7"/>
      <c r="KTT145" s="7"/>
      <c r="KTU145" s="7"/>
      <c r="KTV145" s="7"/>
      <c r="KTW145" s="7"/>
      <c r="KTX145" s="7"/>
      <c r="KTY145" s="7"/>
      <c r="KTZ145" s="7"/>
      <c r="KUA145" s="7"/>
      <c r="KUB145" s="7"/>
      <c r="KUC145" s="7"/>
      <c r="KUD145" s="7"/>
      <c r="KUE145" s="7"/>
      <c r="KUF145" s="7"/>
      <c r="KUG145" s="7"/>
      <c r="KUH145" s="7"/>
      <c r="KUI145" s="7"/>
      <c r="KUJ145" s="7"/>
      <c r="KUK145" s="7"/>
      <c r="KUL145" s="7"/>
      <c r="KUM145" s="7"/>
      <c r="KUN145" s="7"/>
      <c r="KUO145" s="7"/>
      <c r="KUP145" s="7"/>
      <c r="KUQ145" s="7"/>
      <c r="KUR145" s="7"/>
      <c r="KUS145" s="7"/>
      <c r="KUT145" s="7"/>
      <c r="KUU145" s="7"/>
      <c r="KUV145" s="7"/>
      <c r="KUW145" s="7"/>
      <c r="KUX145" s="7"/>
      <c r="KUY145" s="7"/>
      <c r="KUZ145" s="7"/>
      <c r="KVA145" s="7"/>
      <c r="KVB145" s="7"/>
      <c r="KVC145" s="7"/>
      <c r="KVD145" s="7"/>
      <c r="KVE145" s="7"/>
      <c r="KVF145" s="7"/>
      <c r="KVG145" s="7"/>
      <c r="KVH145" s="7"/>
      <c r="KVI145" s="7"/>
      <c r="KVJ145" s="7"/>
      <c r="KVK145" s="7"/>
      <c r="KVL145" s="7"/>
      <c r="KVM145" s="7"/>
      <c r="KVN145" s="7"/>
      <c r="KVO145" s="7"/>
      <c r="KVP145" s="7"/>
      <c r="KVQ145" s="7"/>
      <c r="KVR145" s="7"/>
      <c r="KVS145" s="7"/>
      <c r="KVT145" s="7"/>
      <c r="KVU145" s="7"/>
      <c r="KVV145" s="7"/>
      <c r="KVW145" s="7"/>
      <c r="KVX145" s="7"/>
      <c r="KVY145" s="7"/>
      <c r="KVZ145" s="7"/>
      <c r="KWA145" s="7"/>
      <c r="KWB145" s="7"/>
      <c r="KWC145" s="7"/>
      <c r="KWD145" s="7"/>
      <c r="KWE145" s="7"/>
      <c r="KWF145" s="7"/>
      <c r="KWG145" s="7"/>
      <c r="KWH145" s="7"/>
      <c r="KWI145" s="7"/>
      <c r="KWJ145" s="7"/>
      <c r="KWK145" s="7"/>
      <c r="KWL145" s="7"/>
      <c r="KWM145" s="7"/>
      <c r="KWN145" s="7"/>
      <c r="KWO145" s="7"/>
      <c r="KWP145" s="7"/>
      <c r="KWQ145" s="7"/>
      <c r="KWR145" s="7"/>
      <c r="KWS145" s="7"/>
      <c r="KWT145" s="7"/>
      <c r="KWU145" s="7"/>
      <c r="KWV145" s="7"/>
      <c r="KWW145" s="7"/>
      <c r="KWX145" s="7"/>
      <c r="KWY145" s="7"/>
      <c r="KWZ145" s="7"/>
      <c r="KXA145" s="7"/>
      <c r="KXB145" s="7"/>
      <c r="KXC145" s="7"/>
      <c r="KXD145" s="7"/>
      <c r="KXE145" s="7"/>
      <c r="KXF145" s="7"/>
      <c r="KXG145" s="7"/>
      <c r="KXH145" s="7"/>
      <c r="KXI145" s="7"/>
      <c r="KXJ145" s="7"/>
      <c r="KXK145" s="7"/>
      <c r="KXL145" s="7"/>
      <c r="KXM145" s="7"/>
      <c r="KXN145" s="7"/>
      <c r="KXO145" s="7"/>
      <c r="KXP145" s="7"/>
      <c r="KXQ145" s="7"/>
      <c r="KXR145" s="7"/>
      <c r="KXS145" s="7"/>
      <c r="KXT145" s="7"/>
      <c r="KXU145" s="7"/>
      <c r="KXV145" s="7"/>
      <c r="KXW145" s="7"/>
      <c r="KXX145" s="7"/>
      <c r="KXY145" s="7"/>
      <c r="KXZ145" s="7"/>
      <c r="KYA145" s="7"/>
      <c r="KYB145" s="7"/>
      <c r="KYC145" s="7"/>
      <c r="KYD145" s="7"/>
      <c r="KYE145" s="7"/>
      <c r="KYF145" s="7"/>
      <c r="KYG145" s="7"/>
      <c r="KYH145" s="7"/>
      <c r="KYI145" s="7"/>
      <c r="KYJ145" s="7"/>
      <c r="KYK145" s="7"/>
      <c r="KYL145" s="7"/>
      <c r="KYM145" s="7"/>
      <c r="KYN145" s="7"/>
      <c r="KYO145" s="7"/>
      <c r="KYP145" s="7"/>
      <c r="KYQ145" s="7"/>
      <c r="KYR145" s="7"/>
      <c r="KYS145" s="7"/>
      <c r="KYT145" s="7"/>
      <c r="KYU145" s="7"/>
      <c r="KYV145" s="7"/>
      <c r="KYW145" s="7"/>
      <c r="KYX145" s="7"/>
      <c r="KYY145" s="7"/>
      <c r="KYZ145" s="7"/>
      <c r="KZA145" s="7"/>
      <c r="KZB145" s="7"/>
      <c r="KZC145" s="7"/>
      <c r="KZD145" s="7"/>
      <c r="KZE145" s="7"/>
      <c r="KZF145" s="7"/>
      <c r="KZG145" s="7"/>
      <c r="KZH145" s="7"/>
      <c r="KZI145" s="7"/>
      <c r="KZJ145" s="7"/>
      <c r="KZK145" s="7"/>
      <c r="KZL145" s="7"/>
      <c r="KZM145" s="7"/>
      <c r="KZN145" s="7"/>
      <c r="KZO145" s="7"/>
      <c r="KZP145" s="7"/>
      <c r="KZQ145" s="7"/>
      <c r="KZR145" s="7"/>
      <c r="KZS145" s="7"/>
      <c r="KZT145" s="7"/>
      <c r="KZU145" s="7"/>
      <c r="KZV145" s="7"/>
      <c r="KZW145" s="7"/>
      <c r="KZX145" s="7"/>
      <c r="KZY145" s="7"/>
      <c r="KZZ145" s="7"/>
      <c r="LAA145" s="7"/>
      <c r="LAB145" s="7"/>
      <c r="LAC145" s="7"/>
      <c r="LAD145" s="7"/>
      <c r="LAE145" s="7"/>
      <c r="LAF145" s="7"/>
      <c r="LAG145" s="7"/>
      <c r="LAH145" s="7"/>
      <c r="LAI145" s="7"/>
      <c r="LAJ145" s="7"/>
      <c r="LAK145" s="7"/>
      <c r="LAL145" s="7"/>
      <c r="LAM145" s="7"/>
      <c r="LAN145" s="7"/>
      <c r="LAO145" s="7"/>
      <c r="LAP145" s="7"/>
      <c r="LAQ145" s="7"/>
      <c r="LAR145" s="7"/>
      <c r="LAS145" s="7"/>
      <c r="LAT145" s="7"/>
      <c r="LAU145" s="7"/>
      <c r="LAV145" s="7"/>
      <c r="LAW145" s="7"/>
      <c r="LAX145" s="7"/>
      <c r="LAY145" s="7"/>
      <c r="LAZ145" s="7"/>
      <c r="LBA145" s="7"/>
      <c r="LBB145" s="7"/>
      <c r="LBC145" s="7"/>
      <c r="LBD145" s="7"/>
      <c r="LBE145" s="7"/>
      <c r="LBF145" s="7"/>
      <c r="LBG145" s="7"/>
      <c r="LBH145" s="7"/>
      <c r="LBI145" s="7"/>
      <c r="LBJ145" s="7"/>
      <c r="LBK145" s="7"/>
      <c r="LBL145" s="7"/>
      <c r="LBM145" s="7"/>
      <c r="LBN145" s="7"/>
      <c r="LBO145" s="7"/>
      <c r="LBP145" s="7"/>
      <c r="LBQ145" s="7"/>
      <c r="LBR145" s="7"/>
      <c r="LBS145" s="7"/>
      <c r="LBT145" s="7"/>
      <c r="LBU145" s="7"/>
      <c r="LBV145" s="7"/>
      <c r="LBW145" s="7"/>
      <c r="LBX145" s="7"/>
      <c r="LBY145" s="7"/>
      <c r="LBZ145" s="7"/>
      <c r="LCA145" s="7"/>
      <c r="LCB145" s="7"/>
      <c r="LCC145" s="7"/>
      <c r="LCD145" s="7"/>
      <c r="LCE145" s="7"/>
      <c r="LCF145" s="7"/>
      <c r="LCG145" s="7"/>
      <c r="LCH145" s="7"/>
      <c r="LCI145" s="7"/>
      <c r="LCJ145" s="7"/>
      <c r="LCK145" s="7"/>
      <c r="LCL145" s="7"/>
      <c r="LCM145" s="7"/>
      <c r="LCN145" s="7"/>
      <c r="LCO145" s="7"/>
      <c r="LCP145" s="7"/>
      <c r="LCQ145" s="7"/>
      <c r="LCR145" s="7"/>
      <c r="LCS145" s="7"/>
      <c r="LCT145" s="7"/>
      <c r="LCU145" s="7"/>
      <c r="LCV145" s="7"/>
      <c r="LCW145" s="7"/>
      <c r="LCX145" s="7"/>
      <c r="LCY145" s="7"/>
      <c r="LCZ145" s="7"/>
      <c r="LDA145" s="7"/>
      <c r="LDB145" s="7"/>
      <c r="LDC145" s="7"/>
      <c r="LDD145" s="7"/>
      <c r="LDE145" s="7"/>
      <c r="LDF145" s="7"/>
      <c r="LDG145" s="7"/>
      <c r="LDH145" s="7"/>
      <c r="LDI145" s="7"/>
      <c r="LDJ145" s="7"/>
      <c r="LDK145" s="7"/>
      <c r="LDL145" s="7"/>
      <c r="LDM145" s="7"/>
      <c r="LDN145" s="7"/>
      <c r="LDO145" s="7"/>
      <c r="LDP145" s="7"/>
      <c r="LDQ145" s="7"/>
      <c r="LDR145" s="7"/>
      <c r="LDS145" s="7"/>
      <c r="LDT145" s="7"/>
      <c r="LDU145" s="7"/>
      <c r="LDV145" s="7"/>
      <c r="LDW145" s="7"/>
      <c r="LDX145" s="7"/>
      <c r="LDY145" s="7"/>
      <c r="LDZ145" s="7"/>
      <c r="LEA145" s="7"/>
      <c r="LEB145" s="7"/>
      <c r="LEC145" s="7"/>
      <c r="LED145" s="7"/>
      <c r="LEE145" s="7"/>
      <c r="LEF145" s="7"/>
      <c r="LEG145" s="7"/>
      <c r="LEH145" s="7"/>
      <c r="LEI145" s="7"/>
      <c r="LEJ145" s="7"/>
      <c r="LEK145" s="7"/>
      <c r="LEL145" s="7"/>
      <c r="LEM145" s="7"/>
      <c r="LEN145" s="7"/>
      <c r="LEO145" s="7"/>
      <c r="LEP145" s="7"/>
      <c r="LEQ145" s="7"/>
      <c r="LER145" s="7"/>
      <c r="LES145" s="7"/>
      <c r="LET145" s="7"/>
      <c r="LEU145" s="7"/>
      <c r="LEV145" s="7"/>
      <c r="LEW145" s="7"/>
      <c r="LEX145" s="7"/>
      <c r="LEY145" s="7"/>
      <c r="LEZ145" s="7"/>
      <c r="LFA145" s="7"/>
      <c r="LFB145" s="7"/>
      <c r="LFC145" s="7"/>
      <c r="LFD145" s="7"/>
      <c r="LFE145" s="7"/>
      <c r="LFF145" s="7"/>
      <c r="LFG145" s="7"/>
      <c r="LFH145" s="7"/>
      <c r="LFI145" s="7"/>
      <c r="LFJ145" s="7"/>
      <c r="LFK145" s="7"/>
      <c r="LFL145" s="7"/>
      <c r="LFM145" s="7"/>
      <c r="LFN145" s="7"/>
      <c r="LFO145" s="7"/>
      <c r="LFP145" s="7"/>
      <c r="LFQ145" s="7"/>
      <c r="LFR145" s="7"/>
      <c r="LFS145" s="7"/>
      <c r="LFT145" s="7"/>
      <c r="LFU145" s="7"/>
      <c r="LFV145" s="7"/>
      <c r="LFW145" s="7"/>
      <c r="LFX145" s="7"/>
      <c r="LFY145" s="7"/>
      <c r="LFZ145" s="7"/>
      <c r="LGA145" s="7"/>
      <c r="LGB145" s="7"/>
      <c r="LGC145" s="7"/>
      <c r="LGD145" s="7"/>
      <c r="LGE145" s="7"/>
      <c r="LGF145" s="7"/>
      <c r="LGG145" s="7"/>
      <c r="LGH145" s="7"/>
      <c r="LGI145" s="7"/>
      <c r="LGJ145" s="7"/>
      <c r="LGK145" s="7"/>
      <c r="LGL145" s="7"/>
      <c r="LGM145" s="7"/>
      <c r="LGN145" s="7"/>
      <c r="LGO145" s="7"/>
      <c r="LGP145" s="7"/>
      <c r="LGQ145" s="7"/>
      <c r="LGR145" s="7"/>
      <c r="LGS145" s="7"/>
      <c r="LGT145" s="7"/>
      <c r="LGU145" s="7"/>
      <c r="LGV145" s="7"/>
      <c r="LGW145" s="7"/>
      <c r="LGX145" s="7"/>
      <c r="LGY145" s="7"/>
      <c r="LGZ145" s="7"/>
      <c r="LHA145" s="7"/>
      <c r="LHB145" s="7"/>
      <c r="LHC145" s="7"/>
      <c r="LHD145" s="7"/>
      <c r="LHE145" s="7"/>
      <c r="LHF145" s="7"/>
      <c r="LHG145" s="7"/>
      <c r="LHH145" s="7"/>
      <c r="LHI145" s="7"/>
      <c r="LHJ145" s="7"/>
      <c r="LHK145" s="7"/>
      <c r="LHL145" s="7"/>
      <c r="LHM145" s="7"/>
      <c r="LHN145" s="7"/>
      <c r="LHO145" s="7"/>
      <c r="LHP145" s="7"/>
      <c r="LHQ145" s="7"/>
      <c r="LHR145" s="7"/>
      <c r="LHS145" s="7"/>
      <c r="LHT145" s="7"/>
      <c r="LHU145" s="7"/>
      <c r="LHV145" s="7"/>
      <c r="LHW145" s="7"/>
      <c r="LHX145" s="7"/>
      <c r="LHY145" s="7"/>
      <c r="LHZ145" s="7"/>
      <c r="LIA145" s="7"/>
      <c r="LIB145" s="7"/>
      <c r="LIC145" s="7"/>
      <c r="LID145" s="7"/>
      <c r="LIE145" s="7"/>
      <c r="LIF145" s="7"/>
      <c r="LIG145" s="7"/>
      <c r="LIH145" s="7"/>
      <c r="LII145" s="7"/>
      <c r="LIJ145" s="7"/>
      <c r="LIK145" s="7"/>
      <c r="LIL145" s="7"/>
      <c r="LIM145" s="7"/>
      <c r="LIN145" s="7"/>
      <c r="LIO145" s="7"/>
      <c r="LIP145" s="7"/>
      <c r="LIQ145" s="7"/>
      <c r="LIR145" s="7"/>
      <c r="LIS145" s="7"/>
      <c r="LIT145" s="7"/>
      <c r="LIU145" s="7"/>
      <c r="LIV145" s="7"/>
      <c r="LIW145" s="7"/>
      <c r="LIX145" s="7"/>
      <c r="LIY145" s="7"/>
      <c r="LIZ145" s="7"/>
      <c r="LJA145" s="7"/>
      <c r="LJB145" s="7"/>
      <c r="LJC145" s="7"/>
      <c r="LJD145" s="7"/>
      <c r="LJE145" s="7"/>
      <c r="LJF145" s="7"/>
      <c r="LJG145" s="7"/>
      <c r="LJH145" s="7"/>
      <c r="LJI145" s="7"/>
      <c r="LJJ145" s="7"/>
      <c r="LJK145" s="7"/>
      <c r="LJL145" s="7"/>
      <c r="LJM145" s="7"/>
      <c r="LJN145" s="7"/>
      <c r="LJO145" s="7"/>
      <c r="LJP145" s="7"/>
      <c r="LJQ145" s="7"/>
      <c r="LJR145" s="7"/>
      <c r="LJS145" s="7"/>
      <c r="LJT145" s="7"/>
      <c r="LJU145" s="7"/>
      <c r="LJV145" s="7"/>
      <c r="LJW145" s="7"/>
      <c r="LJX145" s="7"/>
      <c r="LJY145" s="7"/>
      <c r="LJZ145" s="7"/>
      <c r="LKA145" s="7"/>
      <c r="LKB145" s="7"/>
      <c r="LKC145" s="7"/>
      <c r="LKD145" s="7"/>
      <c r="LKE145" s="7"/>
      <c r="LKF145" s="7"/>
      <c r="LKG145" s="7"/>
      <c r="LKH145" s="7"/>
      <c r="LKI145" s="7"/>
      <c r="LKJ145" s="7"/>
      <c r="LKK145" s="7"/>
      <c r="LKL145" s="7"/>
      <c r="LKM145" s="7"/>
      <c r="LKN145" s="7"/>
      <c r="LKO145" s="7"/>
      <c r="LKP145" s="7"/>
      <c r="LKQ145" s="7"/>
      <c r="LKR145" s="7"/>
      <c r="LKS145" s="7"/>
      <c r="LKT145" s="7"/>
      <c r="LKU145" s="7"/>
      <c r="LKV145" s="7"/>
      <c r="LKW145" s="7"/>
      <c r="LKX145" s="7"/>
      <c r="LKY145" s="7"/>
      <c r="LKZ145" s="7"/>
      <c r="LLA145" s="7"/>
      <c r="LLB145" s="7"/>
      <c r="LLC145" s="7"/>
      <c r="LLD145" s="7"/>
      <c r="LLE145" s="7"/>
      <c r="LLF145" s="7"/>
      <c r="LLG145" s="7"/>
      <c r="LLH145" s="7"/>
      <c r="LLI145" s="7"/>
      <c r="LLJ145" s="7"/>
      <c r="LLK145" s="7"/>
      <c r="LLL145" s="7"/>
      <c r="LLM145" s="7"/>
      <c r="LLN145" s="7"/>
      <c r="LLO145" s="7"/>
      <c r="LLP145" s="7"/>
      <c r="LLQ145" s="7"/>
      <c r="LLR145" s="7"/>
      <c r="LLS145" s="7"/>
      <c r="LLT145" s="7"/>
      <c r="LLU145" s="7"/>
      <c r="LLV145" s="7"/>
      <c r="LLW145" s="7"/>
      <c r="LLX145" s="7"/>
      <c r="LLY145" s="7"/>
      <c r="LLZ145" s="7"/>
      <c r="LMA145" s="7"/>
      <c r="LMB145" s="7"/>
      <c r="LMC145" s="7"/>
      <c r="LMD145" s="7"/>
      <c r="LME145" s="7"/>
      <c r="LMF145" s="7"/>
      <c r="LMG145" s="7"/>
      <c r="LMH145" s="7"/>
      <c r="LMI145" s="7"/>
      <c r="LMJ145" s="7"/>
      <c r="LMK145" s="7"/>
      <c r="LML145" s="7"/>
      <c r="LMM145" s="7"/>
      <c r="LMN145" s="7"/>
      <c r="LMO145" s="7"/>
      <c r="LMP145" s="7"/>
      <c r="LMQ145" s="7"/>
      <c r="LMR145" s="7"/>
      <c r="LMS145" s="7"/>
      <c r="LMT145" s="7"/>
      <c r="LMU145" s="7"/>
      <c r="LMV145" s="7"/>
      <c r="LMW145" s="7"/>
      <c r="LMX145" s="7"/>
      <c r="LMY145" s="7"/>
      <c r="LMZ145" s="7"/>
      <c r="LNA145" s="7"/>
      <c r="LNB145" s="7"/>
      <c r="LNC145" s="7"/>
      <c r="LND145" s="7"/>
      <c r="LNE145" s="7"/>
      <c r="LNF145" s="7"/>
      <c r="LNG145" s="7"/>
      <c r="LNH145" s="7"/>
      <c r="LNI145" s="7"/>
      <c r="LNJ145" s="7"/>
      <c r="LNK145" s="7"/>
      <c r="LNL145" s="7"/>
      <c r="LNM145" s="7"/>
      <c r="LNN145" s="7"/>
      <c r="LNO145" s="7"/>
      <c r="LNP145" s="7"/>
      <c r="LNQ145" s="7"/>
      <c r="LNR145" s="7"/>
      <c r="LNS145" s="7"/>
      <c r="LNT145" s="7"/>
      <c r="LNU145" s="7"/>
      <c r="LNV145" s="7"/>
      <c r="LNW145" s="7"/>
      <c r="LNX145" s="7"/>
      <c r="LNY145" s="7"/>
      <c r="LNZ145" s="7"/>
      <c r="LOA145" s="7"/>
      <c r="LOB145" s="7"/>
      <c r="LOC145" s="7"/>
      <c r="LOD145" s="7"/>
      <c r="LOE145" s="7"/>
      <c r="LOF145" s="7"/>
      <c r="LOG145" s="7"/>
      <c r="LOH145" s="7"/>
      <c r="LOI145" s="7"/>
      <c r="LOJ145" s="7"/>
      <c r="LOK145" s="7"/>
      <c r="LOL145" s="7"/>
      <c r="LOM145" s="7"/>
      <c r="LON145" s="7"/>
      <c r="LOO145" s="7"/>
      <c r="LOP145" s="7"/>
      <c r="LOQ145" s="7"/>
      <c r="LOR145" s="7"/>
      <c r="LOS145" s="7"/>
      <c r="LOT145" s="7"/>
      <c r="LOU145" s="7"/>
      <c r="LOV145" s="7"/>
      <c r="LOW145" s="7"/>
      <c r="LOX145" s="7"/>
      <c r="LOY145" s="7"/>
      <c r="LOZ145" s="7"/>
      <c r="LPA145" s="7"/>
      <c r="LPB145" s="7"/>
      <c r="LPC145" s="7"/>
      <c r="LPD145" s="7"/>
      <c r="LPE145" s="7"/>
      <c r="LPF145" s="7"/>
      <c r="LPG145" s="7"/>
      <c r="LPH145" s="7"/>
      <c r="LPI145" s="7"/>
      <c r="LPJ145" s="7"/>
      <c r="LPK145" s="7"/>
      <c r="LPL145" s="7"/>
      <c r="LPM145" s="7"/>
      <c r="LPN145" s="7"/>
      <c r="LPO145" s="7"/>
      <c r="LPP145" s="7"/>
      <c r="LPQ145" s="7"/>
      <c r="LPR145" s="7"/>
      <c r="LPS145" s="7"/>
      <c r="LPT145" s="7"/>
      <c r="LPU145" s="7"/>
      <c r="LPV145" s="7"/>
      <c r="LPW145" s="7"/>
      <c r="LPX145" s="7"/>
      <c r="LPY145" s="7"/>
      <c r="LPZ145" s="7"/>
      <c r="LQA145" s="7"/>
      <c r="LQB145" s="7"/>
      <c r="LQC145" s="7"/>
      <c r="LQD145" s="7"/>
      <c r="LQE145" s="7"/>
      <c r="LQF145" s="7"/>
      <c r="LQG145" s="7"/>
      <c r="LQH145" s="7"/>
      <c r="LQI145" s="7"/>
      <c r="LQJ145" s="7"/>
      <c r="LQK145" s="7"/>
      <c r="LQL145" s="7"/>
      <c r="LQM145" s="7"/>
      <c r="LQN145" s="7"/>
      <c r="LQO145" s="7"/>
      <c r="LQP145" s="7"/>
      <c r="LQQ145" s="7"/>
      <c r="LQR145" s="7"/>
      <c r="LQS145" s="7"/>
      <c r="LQT145" s="7"/>
      <c r="LQU145" s="7"/>
      <c r="LQV145" s="7"/>
      <c r="LQW145" s="7"/>
      <c r="LQX145" s="7"/>
      <c r="LQY145" s="7"/>
      <c r="LQZ145" s="7"/>
      <c r="LRA145" s="7"/>
      <c r="LRB145" s="7"/>
      <c r="LRC145" s="7"/>
      <c r="LRD145" s="7"/>
      <c r="LRE145" s="7"/>
      <c r="LRF145" s="7"/>
      <c r="LRG145" s="7"/>
      <c r="LRH145" s="7"/>
      <c r="LRI145" s="7"/>
      <c r="LRJ145" s="7"/>
      <c r="LRK145" s="7"/>
      <c r="LRL145" s="7"/>
      <c r="LRM145" s="7"/>
      <c r="LRN145" s="7"/>
      <c r="LRO145" s="7"/>
      <c r="LRP145" s="7"/>
      <c r="LRQ145" s="7"/>
      <c r="LRR145" s="7"/>
      <c r="LRS145" s="7"/>
      <c r="LRT145" s="7"/>
      <c r="LRU145" s="7"/>
      <c r="LRV145" s="7"/>
      <c r="LRW145" s="7"/>
      <c r="LRX145" s="7"/>
      <c r="LRY145" s="7"/>
      <c r="LRZ145" s="7"/>
      <c r="LSA145" s="7"/>
      <c r="LSB145" s="7"/>
      <c r="LSC145" s="7"/>
      <c r="LSD145" s="7"/>
      <c r="LSE145" s="7"/>
      <c r="LSF145" s="7"/>
      <c r="LSG145" s="7"/>
      <c r="LSH145" s="7"/>
      <c r="LSI145" s="7"/>
      <c r="LSJ145" s="7"/>
      <c r="LSK145" s="7"/>
      <c r="LSL145" s="7"/>
      <c r="LSM145" s="7"/>
      <c r="LSN145" s="7"/>
      <c r="LSO145" s="7"/>
      <c r="LSP145" s="7"/>
      <c r="LSQ145" s="7"/>
      <c r="LSR145" s="7"/>
      <c r="LSS145" s="7"/>
      <c r="LST145" s="7"/>
      <c r="LSU145" s="7"/>
      <c r="LSV145" s="7"/>
      <c r="LSW145" s="7"/>
      <c r="LSX145" s="7"/>
      <c r="LSY145" s="7"/>
      <c r="LSZ145" s="7"/>
      <c r="LTA145" s="7"/>
      <c r="LTB145" s="7"/>
      <c r="LTC145" s="7"/>
      <c r="LTD145" s="7"/>
      <c r="LTE145" s="7"/>
      <c r="LTF145" s="7"/>
      <c r="LTG145" s="7"/>
      <c r="LTH145" s="7"/>
      <c r="LTI145" s="7"/>
      <c r="LTJ145" s="7"/>
      <c r="LTK145" s="7"/>
      <c r="LTL145" s="7"/>
      <c r="LTM145" s="7"/>
      <c r="LTN145" s="7"/>
      <c r="LTO145" s="7"/>
      <c r="LTP145" s="7"/>
      <c r="LTQ145" s="7"/>
      <c r="LTR145" s="7"/>
      <c r="LTS145" s="7"/>
      <c r="LTT145" s="7"/>
      <c r="LTU145" s="7"/>
      <c r="LTV145" s="7"/>
      <c r="LTW145" s="7"/>
      <c r="LTX145" s="7"/>
      <c r="LTY145" s="7"/>
      <c r="LTZ145" s="7"/>
      <c r="LUA145" s="7"/>
      <c r="LUB145" s="7"/>
      <c r="LUC145" s="7"/>
      <c r="LUD145" s="7"/>
      <c r="LUE145" s="7"/>
      <c r="LUF145" s="7"/>
      <c r="LUG145" s="7"/>
      <c r="LUH145" s="7"/>
      <c r="LUI145" s="7"/>
      <c r="LUJ145" s="7"/>
      <c r="LUK145" s="7"/>
      <c r="LUL145" s="7"/>
      <c r="LUM145" s="7"/>
      <c r="LUN145" s="7"/>
      <c r="LUO145" s="7"/>
      <c r="LUP145" s="7"/>
      <c r="LUQ145" s="7"/>
      <c r="LUR145" s="7"/>
      <c r="LUS145" s="7"/>
      <c r="LUT145" s="7"/>
      <c r="LUU145" s="7"/>
      <c r="LUV145" s="7"/>
      <c r="LUW145" s="7"/>
      <c r="LUX145" s="7"/>
      <c r="LUY145" s="7"/>
      <c r="LUZ145" s="7"/>
      <c r="LVA145" s="7"/>
      <c r="LVB145" s="7"/>
      <c r="LVC145" s="7"/>
      <c r="LVD145" s="7"/>
      <c r="LVE145" s="7"/>
      <c r="LVF145" s="7"/>
      <c r="LVG145" s="7"/>
      <c r="LVH145" s="7"/>
      <c r="LVI145" s="7"/>
      <c r="LVJ145" s="7"/>
      <c r="LVK145" s="7"/>
      <c r="LVL145" s="7"/>
      <c r="LVM145" s="7"/>
      <c r="LVN145" s="7"/>
      <c r="LVO145" s="7"/>
      <c r="LVP145" s="7"/>
      <c r="LVQ145" s="7"/>
      <c r="LVR145" s="7"/>
      <c r="LVS145" s="7"/>
      <c r="LVT145" s="7"/>
      <c r="LVU145" s="7"/>
      <c r="LVV145" s="7"/>
      <c r="LVW145" s="7"/>
      <c r="LVX145" s="7"/>
      <c r="LVY145" s="7"/>
      <c r="LVZ145" s="7"/>
      <c r="LWA145" s="7"/>
      <c r="LWB145" s="7"/>
      <c r="LWC145" s="7"/>
      <c r="LWD145" s="7"/>
      <c r="LWE145" s="7"/>
      <c r="LWF145" s="7"/>
      <c r="LWG145" s="7"/>
      <c r="LWH145" s="7"/>
      <c r="LWI145" s="7"/>
      <c r="LWJ145" s="7"/>
      <c r="LWK145" s="7"/>
      <c r="LWL145" s="7"/>
      <c r="LWM145" s="7"/>
      <c r="LWN145" s="7"/>
      <c r="LWO145" s="7"/>
      <c r="LWP145" s="7"/>
      <c r="LWQ145" s="7"/>
      <c r="LWR145" s="7"/>
      <c r="LWS145" s="7"/>
      <c r="LWT145" s="7"/>
      <c r="LWU145" s="7"/>
      <c r="LWV145" s="7"/>
      <c r="LWW145" s="7"/>
      <c r="LWX145" s="7"/>
      <c r="LWY145" s="7"/>
      <c r="LWZ145" s="7"/>
      <c r="LXA145" s="7"/>
      <c r="LXB145" s="7"/>
      <c r="LXC145" s="7"/>
      <c r="LXD145" s="7"/>
      <c r="LXE145" s="7"/>
      <c r="LXF145" s="7"/>
      <c r="LXG145" s="7"/>
      <c r="LXH145" s="7"/>
      <c r="LXI145" s="7"/>
      <c r="LXJ145" s="7"/>
      <c r="LXK145" s="7"/>
      <c r="LXL145" s="7"/>
      <c r="LXM145" s="7"/>
      <c r="LXN145" s="7"/>
      <c r="LXO145" s="7"/>
      <c r="LXP145" s="7"/>
      <c r="LXQ145" s="7"/>
      <c r="LXR145" s="7"/>
      <c r="LXS145" s="7"/>
      <c r="LXT145" s="7"/>
      <c r="LXU145" s="7"/>
      <c r="LXV145" s="7"/>
      <c r="LXW145" s="7"/>
      <c r="LXX145" s="7"/>
      <c r="LXY145" s="7"/>
      <c r="LXZ145" s="7"/>
      <c r="LYA145" s="7"/>
      <c r="LYB145" s="7"/>
      <c r="LYC145" s="7"/>
      <c r="LYD145" s="7"/>
      <c r="LYE145" s="7"/>
      <c r="LYF145" s="7"/>
      <c r="LYG145" s="7"/>
      <c r="LYH145" s="7"/>
      <c r="LYI145" s="7"/>
      <c r="LYJ145" s="7"/>
      <c r="LYK145" s="7"/>
      <c r="LYL145" s="7"/>
      <c r="LYM145" s="7"/>
      <c r="LYN145" s="7"/>
      <c r="LYO145" s="7"/>
      <c r="LYP145" s="7"/>
      <c r="LYQ145" s="7"/>
      <c r="LYR145" s="7"/>
      <c r="LYS145" s="7"/>
      <c r="LYT145" s="7"/>
      <c r="LYU145" s="7"/>
      <c r="LYV145" s="7"/>
      <c r="LYW145" s="7"/>
      <c r="LYX145" s="7"/>
      <c r="LYY145" s="7"/>
      <c r="LYZ145" s="7"/>
      <c r="LZA145" s="7"/>
      <c r="LZB145" s="7"/>
      <c r="LZC145" s="7"/>
      <c r="LZD145" s="7"/>
      <c r="LZE145" s="7"/>
      <c r="LZF145" s="7"/>
      <c r="LZG145" s="7"/>
      <c r="LZH145" s="7"/>
      <c r="LZI145" s="7"/>
      <c r="LZJ145" s="7"/>
      <c r="LZK145" s="7"/>
      <c r="LZL145" s="7"/>
      <c r="LZM145" s="7"/>
      <c r="LZN145" s="7"/>
      <c r="LZO145" s="7"/>
      <c r="LZP145" s="7"/>
      <c r="LZQ145" s="7"/>
      <c r="LZR145" s="7"/>
      <c r="LZS145" s="7"/>
      <c r="LZT145" s="7"/>
      <c r="LZU145" s="7"/>
      <c r="LZV145" s="7"/>
      <c r="LZW145" s="7"/>
      <c r="LZX145" s="7"/>
      <c r="LZY145" s="7"/>
      <c r="LZZ145" s="7"/>
      <c r="MAA145" s="7"/>
      <c r="MAB145" s="7"/>
      <c r="MAC145" s="7"/>
      <c r="MAD145" s="7"/>
      <c r="MAE145" s="7"/>
      <c r="MAF145" s="7"/>
      <c r="MAG145" s="7"/>
      <c r="MAH145" s="7"/>
      <c r="MAI145" s="7"/>
      <c r="MAJ145" s="7"/>
      <c r="MAK145" s="7"/>
      <c r="MAL145" s="7"/>
      <c r="MAM145" s="7"/>
      <c r="MAN145" s="7"/>
      <c r="MAO145" s="7"/>
      <c r="MAP145" s="7"/>
      <c r="MAQ145" s="7"/>
      <c r="MAR145" s="7"/>
      <c r="MAS145" s="7"/>
      <c r="MAT145" s="7"/>
      <c r="MAU145" s="7"/>
      <c r="MAV145" s="7"/>
      <c r="MAW145" s="7"/>
      <c r="MAX145" s="7"/>
      <c r="MAY145" s="7"/>
      <c r="MAZ145" s="7"/>
      <c r="MBA145" s="7"/>
      <c r="MBB145" s="7"/>
      <c r="MBC145" s="7"/>
      <c r="MBD145" s="7"/>
      <c r="MBE145" s="7"/>
      <c r="MBF145" s="7"/>
      <c r="MBG145" s="7"/>
      <c r="MBH145" s="7"/>
      <c r="MBI145" s="7"/>
      <c r="MBJ145" s="7"/>
      <c r="MBK145" s="7"/>
      <c r="MBL145" s="7"/>
      <c r="MBM145" s="7"/>
      <c r="MBN145" s="7"/>
      <c r="MBO145" s="7"/>
      <c r="MBP145" s="7"/>
      <c r="MBQ145" s="7"/>
      <c r="MBR145" s="7"/>
      <c r="MBS145" s="7"/>
      <c r="MBT145" s="7"/>
      <c r="MBU145" s="7"/>
      <c r="MBV145" s="7"/>
      <c r="MBW145" s="7"/>
      <c r="MBX145" s="7"/>
      <c r="MBY145" s="7"/>
      <c r="MBZ145" s="7"/>
      <c r="MCA145" s="7"/>
      <c r="MCB145" s="7"/>
      <c r="MCC145" s="7"/>
      <c r="MCD145" s="7"/>
      <c r="MCE145" s="7"/>
      <c r="MCF145" s="7"/>
      <c r="MCG145" s="7"/>
      <c r="MCH145" s="7"/>
      <c r="MCI145" s="7"/>
      <c r="MCJ145" s="7"/>
      <c r="MCK145" s="7"/>
      <c r="MCL145" s="7"/>
      <c r="MCM145" s="7"/>
      <c r="MCN145" s="7"/>
      <c r="MCO145" s="7"/>
      <c r="MCP145" s="7"/>
      <c r="MCQ145" s="7"/>
      <c r="MCR145" s="7"/>
      <c r="MCS145" s="7"/>
      <c r="MCT145" s="7"/>
      <c r="MCU145" s="7"/>
      <c r="MCV145" s="7"/>
      <c r="MCW145" s="7"/>
      <c r="MCX145" s="7"/>
      <c r="MCY145" s="7"/>
      <c r="MCZ145" s="7"/>
      <c r="MDA145" s="7"/>
      <c r="MDB145" s="7"/>
      <c r="MDC145" s="7"/>
      <c r="MDD145" s="7"/>
      <c r="MDE145" s="7"/>
      <c r="MDF145" s="7"/>
      <c r="MDG145" s="7"/>
      <c r="MDH145" s="7"/>
      <c r="MDI145" s="7"/>
      <c r="MDJ145" s="7"/>
      <c r="MDK145" s="7"/>
      <c r="MDL145" s="7"/>
      <c r="MDM145" s="7"/>
      <c r="MDN145" s="7"/>
      <c r="MDO145" s="7"/>
      <c r="MDP145" s="7"/>
      <c r="MDQ145" s="7"/>
      <c r="MDR145" s="7"/>
      <c r="MDS145" s="7"/>
      <c r="MDT145" s="7"/>
      <c r="MDU145" s="7"/>
      <c r="MDV145" s="7"/>
      <c r="MDW145" s="7"/>
      <c r="MDX145" s="7"/>
      <c r="MDY145" s="7"/>
      <c r="MDZ145" s="7"/>
      <c r="MEA145" s="7"/>
      <c r="MEB145" s="7"/>
      <c r="MEC145" s="7"/>
      <c r="MED145" s="7"/>
      <c r="MEE145" s="7"/>
      <c r="MEF145" s="7"/>
      <c r="MEG145" s="7"/>
      <c r="MEH145" s="7"/>
      <c r="MEI145" s="7"/>
      <c r="MEJ145" s="7"/>
      <c r="MEK145" s="7"/>
      <c r="MEL145" s="7"/>
      <c r="MEM145" s="7"/>
      <c r="MEN145" s="7"/>
      <c r="MEO145" s="7"/>
      <c r="MEP145" s="7"/>
      <c r="MEQ145" s="7"/>
      <c r="MER145" s="7"/>
      <c r="MES145" s="7"/>
      <c r="MET145" s="7"/>
      <c r="MEU145" s="7"/>
      <c r="MEV145" s="7"/>
      <c r="MEW145" s="7"/>
      <c r="MEX145" s="7"/>
      <c r="MEY145" s="7"/>
      <c r="MEZ145" s="7"/>
      <c r="MFA145" s="7"/>
      <c r="MFB145" s="7"/>
      <c r="MFC145" s="7"/>
      <c r="MFD145" s="7"/>
      <c r="MFE145" s="7"/>
      <c r="MFF145" s="7"/>
      <c r="MFG145" s="7"/>
      <c r="MFH145" s="7"/>
      <c r="MFI145" s="7"/>
      <c r="MFJ145" s="7"/>
      <c r="MFK145" s="7"/>
      <c r="MFL145" s="7"/>
      <c r="MFM145" s="7"/>
      <c r="MFN145" s="7"/>
      <c r="MFO145" s="7"/>
      <c r="MFP145" s="7"/>
      <c r="MFQ145" s="7"/>
      <c r="MFR145" s="7"/>
      <c r="MFS145" s="7"/>
      <c r="MFT145" s="7"/>
      <c r="MFU145" s="7"/>
      <c r="MFV145" s="7"/>
      <c r="MFW145" s="7"/>
      <c r="MFX145" s="7"/>
      <c r="MFY145" s="7"/>
      <c r="MFZ145" s="7"/>
      <c r="MGA145" s="7"/>
      <c r="MGB145" s="7"/>
      <c r="MGC145" s="7"/>
      <c r="MGD145" s="7"/>
      <c r="MGE145" s="7"/>
      <c r="MGF145" s="7"/>
      <c r="MGG145" s="7"/>
      <c r="MGH145" s="7"/>
      <c r="MGI145" s="7"/>
      <c r="MGJ145" s="7"/>
      <c r="MGK145" s="7"/>
      <c r="MGL145" s="7"/>
      <c r="MGM145" s="7"/>
      <c r="MGN145" s="7"/>
      <c r="MGO145" s="7"/>
      <c r="MGP145" s="7"/>
      <c r="MGQ145" s="7"/>
      <c r="MGR145" s="7"/>
      <c r="MGS145" s="7"/>
      <c r="MGT145" s="7"/>
      <c r="MGU145" s="7"/>
      <c r="MGV145" s="7"/>
      <c r="MGW145" s="7"/>
      <c r="MGX145" s="7"/>
      <c r="MGY145" s="7"/>
      <c r="MGZ145" s="7"/>
      <c r="MHA145" s="7"/>
      <c r="MHB145" s="7"/>
      <c r="MHC145" s="7"/>
      <c r="MHD145" s="7"/>
      <c r="MHE145" s="7"/>
      <c r="MHF145" s="7"/>
      <c r="MHG145" s="7"/>
      <c r="MHH145" s="7"/>
      <c r="MHI145" s="7"/>
      <c r="MHJ145" s="7"/>
      <c r="MHK145" s="7"/>
      <c r="MHL145" s="7"/>
      <c r="MHM145" s="7"/>
      <c r="MHN145" s="7"/>
      <c r="MHO145" s="7"/>
      <c r="MHP145" s="7"/>
      <c r="MHQ145" s="7"/>
      <c r="MHR145" s="7"/>
      <c r="MHS145" s="7"/>
      <c r="MHT145" s="7"/>
      <c r="MHU145" s="7"/>
      <c r="MHV145" s="7"/>
      <c r="MHW145" s="7"/>
      <c r="MHX145" s="7"/>
      <c r="MHY145" s="7"/>
      <c r="MHZ145" s="7"/>
      <c r="MIA145" s="7"/>
      <c r="MIB145" s="7"/>
      <c r="MIC145" s="7"/>
      <c r="MID145" s="7"/>
      <c r="MIE145" s="7"/>
      <c r="MIF145" s="7"/>
      <c r="MIG145" s="7"/>
      <c r="MIH145" s="7"/>
      <c r="MII145" s="7"/>
      <c r="MIJ145" s="7"/>
      <c r="MIK145" s="7"/>
      <c r="MIL145" s="7"/>
      <c r="MIM145" s="7"/>
      <c r="MIN145" s="7"/>
      <c r="MIO145" s="7"/>
      <c r="MIP145" s="7"/>
      <c r="MIQ145" s="7"/>
      <c r="MIR145" s="7"/>
      <c r="MIS145" s="7"/>
      <c r="MIT145" s="7"/>
      <c r="MIU145" s="7"/>
      <c r="MIV145" s="7"/>
      <c r="MIW145" s="7"/>
      <c r="MIX145" s="7"/>
      <c r="MIY145" s="7"/>
      <c r="MIZ145" s="7"/>
      <c r="MJA145" s="7"/>
      <c r="MJB145" s="7"/>
      <c r="MJC145" s="7"/>
      <c r="MJD145" s="7"/>
      <c r="MJE145" s="7"/>
      <c r="MJF145" s="7"/>
      <c r="MJG145" s="7"/>
      <c r="MJH145" s="7"/>
      <c r="MJI145" s="7"/>
      <c r="MJJ145" s="7"/>
      <c r="MJK145" s="7"/>
      <c r="MJL145" s="7"/>
      <c r="MJM145" s="7"/>
      <c r="MJN145" s="7"/>
      <c r="MJO145" s="7"/>
      <c r="MJP145" s="7"/>
      <c r="MJQ145" s="7"/>
      <c r="MJR145" s="7"/>
      <c r="MJS145" s="7"/>
      <c r="MJT145" s="7"/>
      <c r="MJU145" s="7"/>
      <c r="MJV145" s="7"/>
      <c r="MJW145" s="7"/>
      <c r="MJX145" s="7"/>
      <c r="MJY145" s="7"/>
      <c r="MJZ145" s="7"/>
      <c r="MKA145" s="7"/>
      <c r="MKB145" s="7"/>
      <c r="MKC145" s="7"/>
      <c r="MKD145" s="7"/>
      <c r="MKE145" s="7"/>
      <c r="MKF145" s="7"/>
      <c r="MKG145" s="7"/>
      <c r="MKH145" s="7"/>
      <c r="MKI145" s="7"/>
      <c r="MKJ145" s="7"/>
      <c r="MKK145" s="7"/>
      <c r="MKL145" s="7"/>
      <c r="MKM145" s="7"/>
      <c r="MKN145" s="7"/>
      <c r="MKO145" s="7"/>
      <c r="MKP145" s="7"/>
      <c r="MKQ145" s="7"/>
      <c r="MKR145" s="7"/>
      <c r="MKS145" s="7"/>
      <c r="MKT145" s="7"/>
      <c r="MKU145" s="7"/>
      <c r="MKV145" s="7"/>
      <c r="MKW145" s="7"/>
      <c r="MKX145" s="7"/>
      <c r="MKY145" s="7"/>
      <c r="MKZ145" s="7"/>
      <c r="MLA145" s="7"/>
      <c r="MLB145" s="7"/>
      <c r="MLC145" s="7"/>
      <c r="MLD145" s="7"/>
      <c r="MLE145" s="7"/>
      <c r="MLF145" s="7"/>
      <c r="MLG145" s="7"/>
      <c r="MLH145" s="7"/>
      <c r="MLI145" s="7"/>
      <c r="MLJ145" s="7"/>
      <c r="MLK145" s="7"/>
      <c r="MLL145" s="7"/>
      <c r="MLM145" s="7"/>
      <c r="MLN145" s="7"/>
      <c r="MLO145" s="7"/>
      <c r="MLP145" s="7"/>
      <c r="MLQ145" s="7"/>
      <c r="MLR145" s="7"/>
      <c r="MLS145" s="7"/>
      <c r="MLT145" s="7"/>
      <c r="MLU145" s="7"/>
      <c r="MLV145" s="7"/>
      <c r="MLW145" s="7"/>
      <c r="MLX145" s="7"/>
      <c r="MLY145" s="7"/>
      <c r="MLZ145" s="7"/>
      <c r="MMA145" s="7"/>
      <c r="MMB145" s="7"/>
      <c r="MMC145" s="7"/>
      <c r="MMD145" s="7"/>
      <c r="MME145" s="7"/>
      <c r="MMF145" s="7"/>
      <c r="MMG145" s="7"/>
      <c r="MMH145" s="7"/>
      <c r="MMI145" s="7"/>
      <c r="MMJ145" s="7"/>
      <c r="MMK145" s="7"/>
      <c r="MML145" s="7"/>
      <c r="MMM145" s="7"/>
      <c r="MMN145" s="7"/>
      <c r="MMO145" s="7"/>
      <c r="MMP145" s="7"/>
      <c r="MMQ145" s="7"/>
      <c r="MMR145" s="7"/>
      <c r="MMS145" s="7"/>
      <c r="MMT145" s="7"/>
      <c r="MMU145" s="7"/>
      <c r="MMV145" s="7"/>
      <c r="MMW145" s="7"/>
      <c r="MMX145" s="7"/>
      <c r="MMY145" s="7"/>
      <c r="MMZ145" s="7"/>
      <c r="MNA145" s="7"/>
      <c r="MNB145" s="7"/>
      <c r="MNC145" s="7"/>
      <c r="MND145" s="7"/>
      <c r="MNE145" s="7"/>
      <c r="MNF145" s="7"/>
      <c r="MNG145" s="7"/>
      <c r="MNH145" s="7"/>
      <c r="MNI145" s="7"/>
      <c r="MNJ145" s="7"/>
      <c r="MNK145" s="7"/>
      <c r="MNL145" s="7"/>
      <c r="MNM145" s="7"/>
      <c r="MNN145" s="7"/>
      <c r="MNO145" s="7"/>
      <c r="MNP145" s="7"/>
      <c r="MNQ145" s="7"/>
      <c r="MNR145" s="7"/>
      <c r="MNS145" s="7"/>
      <c r="MNT145" s="7"/>
      <c r="MNU145" s="7"/>
      <c r="MNV145" s="7"/>
      <c r="MNW145" s="7"/>
      <c r="MNX145" s="7"/>
      <c r="MNY145" s="7"/>
      <c r="MNZ145" s="7"/>
      <c r="MOA145" s="7"/>
      <c r="MOB145" s="7"/>
      <c r="MOC145" s="7"/>
      <c r="MOD145" s="7"/>
      <c r="MOE145" s="7"/>
      <c r="MOF145" s="7"/>
      <c r="MOG145" s="7"/>
      <c r="MOH145" s="7"/>
      <c r="MOI145" s="7"/>
      <c r="MOJ145" s="7"/>
      <c r="MOK145" s="7"/>
      <c r="MOL145" s="7"/>
      <c r="MOM145" s="7"/>
      <c r="MON145" s="7"/>
      <c r="MOO145" s="7"/>
      <c r="MOP145" s="7"/>
      <c r="MOQ145" s="7"/>
      <c r="MOR145" s="7"/>
      <c r="MOS145" s="7"/>
      <c r="MOT145" s="7"/>
      <c r="MOU145" s="7"/>
      <c r="MOV145" s="7"/>
      <c r="MOW145" s="7"/>
      <c r="MOX145" s="7"/>
      <c r="MOY145" s="7"/>
      <c r="MOZ145" s="7"/>
      <c r="MPA145" s="7"/>
      <c r="MPB145" s="7"/>
      <c r="MPC145" s="7"/>
      <c r="MPD145" s="7"/>
      <c r="MPE145" s="7"/>
      <c r="MPF145" s="7"/>
      <c r="MPG145" s="7"/>
      <c r="MPH145" s="7"/>
      <c r="MPI145" s="7"/>
      <c r="MPJ145" s="7"/>
      <c r="MPK145" s="7"/>
      <c r="MPL145" s="7"/>
      <c r="MPM145" s="7"/>
      <c r="MPN145" s="7"/>
      <c r="MPO145" s="7"/>
      <c r="MPP145" s="7"/>
      <c r="MPQ145" s="7"/>
      <c r="MPR145" s="7"/>
      <c r="MPS145" s="7"/>
      <c r="MPT145" s="7"/>
      <c r="MPU145" s="7"/>
      <c r="MPV145" s="7"/>
      <c r="MPW145" s="7"/>
      <c r="MPX145" s="7"/>
      <c r="MPY145" s="7"/>
      <c r="MPZ145" s="7"/>
      <c r="MQA145" s="7"/>
      <c r="MQB145" s="7"/>
      <c r="MQC145" s="7"/>
      <c r="MQD145" s="7"/>
      <c r="MQE145" s="7"/>
      <c r="MQF145" s="7"/>
      <c r="MQG145" s="7"/>
      <c r="MQH145" s="7"/>
      <c r="MQI145" s="7"/>
      <c r="MQJ145" s="7"/>
      <c r="MQK145" s="7"/>
      <c r="MQL145" s="7"/>
      <c r="MQM145" s="7"/>
      <c r="MQN145" s="7"/>
      <c r="MQO145" s="7"/>
      <c r="MQP145" s="7"/>
      <c r="MQQ145" s="7"/>
      <c r="MQR145" s="7"/>
      <c r="MQS145" s="7"/>
      <c r="MQT145" s="7"/>
      <c r="MQU145" s="7"/>
      <c r="MQV145" s="7"/>
      <c r="MQW145" s="7"/>
      <c r="MQX145" s="7"/>
      <c r="MQY145" s="7"/>
      <c r="MQZ145" s="7"/>
      <c r="MRA145" s="7"/>
      <c r="MRB145" s="7"/>
      <c r="MRC145" s="7"/>
      <c r="MRD145" s="7"/>
      <c r="MRE145" s="7"/>
      <c r="MRF145" s="7"/>
      <c r="MRG145" s="7"/>
      <c r="MRH145" s="7"/>
      <c r="MRI145" s="7"/>
      <c r="MRJ145" s="7"/>
      <c r="MRK145" s="7"/>
      <c r="MRL145" s="7"/>
      <c r="MRM145" s="7"/>
      <c r="MRN145" s="7"/>
      <c r="MRO145" s="7"/>
      <c r="MRP145" s="7"/>
      <c r="MRQ145" s="7"/>
      <c r="MRR145" s="7"/>
      <c r="MRS145" s="7"/>
      <c r="MRT145" s="7"/>
      <c r="MRU145" s="7"/>
      <c r="MRV145" s="7"/>
      <c r="MRW145" s="7"/>
      <c r="MRX145" s="7"/>
      <c r="MRY145" s="7"/>
      <c r="MRZ145" s="7"/>
      <c r="MSA145" s="7"/>
      <c r="MSB145" s="7"/>
      <c r="MSC145" s="7"/>
      <c r="MSD145" s="7"/>
      <c r="MSE145" s="7"/>
      <c r="MSF145" s="7"/>
      <c r="MSG145" s="7"/>
      <c r="MSH145" s="7"/>
      <c r="MSI145" s="7"/>
      <c r="MSJ145" s="7"/>
      <c r="MSK145" s="7"/>
      <c r="MSL145" s="7"/>
      <c r="MSM145" s="7"/>
      <c r="MSN145" s="7"/>
      <c r="MSO145" s="7"/>
      <c r="MSP145" s="7"/>
      <c r="MSQ145" s="7"/>
      <c r="MSR145" s="7"/>
      <c r="MSS145" s="7"/>
      <c r="MST145" s="7"/>
      <c r="MSU145" s="7"/>
      <c r="MSV145" s="7"/>
      <c r="MSW145" s="7"/>
      <c r="MSX145" s="7"/>
      <c r="MSY145" s="7"/>
      <c r="MSZ145" s="7"/>
      <c r="MTA145" s="7"/>
      <c r="MTB145" s="7"/>
      <c r="MTC145" s="7"/>
      <c r="MTD145" s="7"/>
      <c r="MTE145" s="7"/>
      <c r="MTF145" s="7"/>
      <c r="MTG145" s="7"/>
      <c r="MTH145" s="7"/>
      <c r="MTI145" s="7"/>
      <c r="MTJ145" s="7"/>
      <c r="MTK145" s="7"/>
      <c r="MTL145" s="7"/>
      <c r="MTM145" s="7"/>
      <c r="MTN145" s="7"/>
      <c r="MTO145" s="7"/>
      <c r="MTP145" s="7"/>
      <c r="MTQ145" s="7"/>
      <c r="MTR145" s="7"/>
      <c r="MTS145" s="7"/>
      <c r="MTT145" s="7"/>
      <c r="MTU145" s="7"/>
      <c r="MTV145" s="7"/>
      <c r="MTW145" s="7"/>
      <c r="MTX145" s="7"/>
      <c r="MTY145" s="7"/>
      <c r="MTZ145" s="7"/>
      <c r="MUA145" s="7"/>
      <c r="MUB145" s="7"/>
      <c r="MUC145" s="7"/>
      <c r="MUD145" s="7"/>
      <c r="MUE145" s="7"/>
      <c r="MUF145" s="7"/>
      <c r="MUG145" s="7"/>
      <c r="MUH145" s="7"/>
      <c r="MUI145" s="7"/>
      <c r="MUJ145" s="7"/>
      <c r="MUK145" s="7"/>
      <c r="MUL145" s="7"/>
      <c r="MUM145" s="7"/>
      <c r="MUN145" s="7"/>
      <c r="MUO145" s="7"/>
      <c r="MUP145" s="7"/>
      <c r="MUQ145" s="7"/>
      <c r="MUR145" s="7"/>
      <c r="MUS145" s="7"/>
      <c r="MUT145" s="7"/>
      <c r="MUU145" s="7"/>
      <c r="MUV145" s="7"/>
      <c r="MUW145" s="7"/>
      <c r="MUX145" s="7"/>
      <c r="MUY145" s="7"/>
      <c r="MUZ145" s="7"/>
      <c r="MVA145" s="7"/>
      <c r="MVB145" s="7"/>
      <c r="MVC145" s="7"/>
      <c r="MVD145" s="7"/>
      <c r="MVE145" s="7"/>
      <c r="MVF145" s="7"/>
      <c r="MVG145" s="7"/>
      <c r="MVH145" s="7"/>
      <c r="MVI145" s="7"/>
      <c r="MVJ145" s="7"/>
      <c r="MVK145" s="7"/>
      <c r="MVL145" s="7"/>
      <c r="MVM145" s="7"/>
      <c r="MVN145" s="7"/>
      <c r="MVO145" s="7"/>
      <c r="MVP145" s="7"/>
      <c r="MVQ145" s="7"/>
      <c r="MVR145" s="7"/>
      <c r="MVS145" s="7"/>
      <c r="MVT145" s="7"/>
      <c r="MVU145" s="7"/>
      <c r="MVV145" s="7"/>
      <c r="MVW145" s="7"/>
      <c r="MVX145" s="7"/>
      <c r="MVY145" s="7"/>
      <c r="MVZ145" s="7"/>
      <c r="MWA145" s="7"/>
      <c r="MWB145" s="7"/>
      <c r="MWC145" s="7"/>
      <c r="MWD145" s="7"/>
      <c r="MWE145" s="7"/>
      <c r="MWF145" s="7"/>
      <c r="MWG145" s="7"/>
      <c r="MWH145" s="7"/>
      <c r="MWI145" s="7"/>
      <c r="MWJ145" s="7"/>
      <c r="MWK145" s="7"/>
      <c r="MWL145" s="7"/>
      <c r="MWM145" s="7"/>
      <c r="MWN145" s="7"/>
      <c r="MWO145" s="7"/>
      <c r="MWP145" s="7"/>
      <c r="MWQ145" s="7"/>
      <c r="MWR145" s="7"/>
      <c r="MWS145" s="7"/>
      <c r="MWT145" s="7"/>
      <c r="MWU145" s="7"/>
      <c r="MWV145" s="7"/>
      <c r="MWW145" s="7"/>
      <c r="MWX145" s="7"/>
      <c r="MWY145" s="7"/>
      <c r="MWZ145" s="7"/>
      <c r="MXA145" s="7"/>
      <c r="MXB145" s="7"/>
      <c r="MXC145" s="7"/>
      <c r="MXD145" s="7"/>
      <c r="MXE145" s="7"/>
      <c r="MXF145" s="7"/>
      <c r="MXG145" s="7"/>
      <c r="MXH145" s="7"/>
      <c r="MXI145" s="7"/>
      <c r="MXJ145" s="7"/>
      <c r="MXK145" s="7"/>
      <c r="MXL145" s="7"/>
      <c r="MXM145" s="7"/>
      <c r="MXN145" s="7"/>
      <c r="MXO145" s="7"/>
      <c r="MXP145" s="7"/>
      <c r="MXQ145" s="7"/>
      <c r="MXR145" s="7"/>
      <c r="MXS145" s="7"/>
      <c r="MXT145" s="7"/>
      <c r="MXU145" s="7"/>
      <c r="MXV145" s="7"/>
      <c r="MXW145" s="7"/>
      <c r="MXX145" s="7"/>
      <c r="MXY145" s="7"/>
      <c r="MXZ145" s="7"/>
      <c r="MYA145" s="7"/>
      <c r="MYB145" s="7"/>
      <c r="MYC145" s="7"/>
      <c r="MYD145" s="7"/>
      <c r="MYE145" s="7"/>
      <c r="MYF145" s="7"/>
      <c r="MYG145" s="7"/>
      <c r="MYH145" s="7"/>
      <c r="MYI145" s="7"/>
      <c r="MYJ145" s="7"/>
      <c r="MYK145" s="7"/>
      <c r="MYL145" s="7"/>
      <c r="MYM145" s="7"/>
      <c r="MYN145" s="7"/>
      <c r="MYO145" s="7"/>
      <c r="MYP145" s="7"/>
      <c r="MYQ145" s="7"/>
      <c r="MYR145" s="7"/>
      <c r="MYS145" s="7"/>
      <c r="MYT145" s="7"/>
      <c r="MYU145" s="7"/>
      <c r="MYV145" s="7"/>
      <c r="MYW145" s="7"/>
      <c r="MYX145" s="7"/>
      <c r="MYY145" s="7"/>
      <c r="MYZ145" s="7"/>
      <c r="MZA145" s="7"/>
      <c r="MZB145" s="7"/>
      <c r="MZC145" s="7"/>
      <c r="MZD145" s="7"/>
      <c r="MZE145" s="7"/>
      <c r="MZF145" s="7"/>
      <c r="MZG145" s="7"/>
      <c r="MZH145" s="7"/>
      <c r="MZI145" s="7"/>
      <c r="MZJ145" s="7"/>
      <c r="MZK145" s="7"/>
      <c r="MZL145" s="7"/>
      <c r="MZM145" s="7"/>
      <c r="MZN145" s="7"/>
      <c r="MZO145" s="7"/>
      <c r="MZP145" s="7"/>
      <c r="MZQ145" s="7"/>
      <c r="MZR145" s="7"/>
      <c r="MZS145" s="7"/>
      <c r="MZT145" s="7"/>
      <c r="MZU145" s="7"/>
      <c r="MZV145" s="7"/>
      <c r="MZW145" s="7"/>
      <c r="MZX145" s="7"/>
      <c r="MZY145" s="7"/>
      <c r="MZZ145" s="7"/>
      <c r="NAA145" s="7"/>
      <c r="NAB145" s="7"/>
      <c r="NAC145" s="7"/>
      <c r="NAD145" s="7"/>
      <c r="NAE145" s="7"/>
      <c r="NAF145" s="7"/>
      <c r="NAG145" s="7"/>
      <c r="NAH145" s="7"/>
      <c r="NAI145" s="7"/>
      <c r="NAJ145" s="7"/>
      <c r="NAK145" s="7"/>
      <c r="NAL145" s="7"/>
      <c r="NAM145" s="7"/>
      <c r="NAN145" s="7"/>
      <c r="NAO145" s="7"/>
      <c r="NAP145" s="7"/>
      <c r="NAQ145" s="7"/>
      <c r="NAR145" s="7"/>
      <c r="NAS145" s="7"/>
      <c r="NAT145" s="7"/>
      <c r="NAU145" s="7"/>
      <c r="NAV145" s="7"/>
      <c r="NAW145" s="7"/>
      <c r="NAX145" s="7"/>
      <c r="NAY145" s="7"/>
      <c r="NAZ145" s="7"/>
      <c r="NBA145" s="7"/>
      <c r="NBB145" s="7"/>
      <c r="NBC145" s="7"/>
      <c r="NBD145" s="7"/>
      <c r="NBE145" s="7"/>
      <c r="NBF145" s="7"/>
      <c r="NBG145" s="7"/>
      <c r="NBH145" s="7"/>
      <c r="NBI145" s="7"/>
      <c r="NBJ145" s="7"/>
      <c r="NBK145" s="7"/>
      <c r="NBL145" s="7"/>
      <c r="NBM145" s="7"/>
      <c r="NBN145" s="7"/>
      <c r="NBO145" s="7"/>
      <c r="NBP145" s="7"/>
      <c r="NBQ145" s="7"/>
      <c r="NBR145" s="7"/>
      <c r="NBS145" s="7"/>
      <c r="NBT145" s="7"/>
      <c r="NBU145" s="7"/>
      <c r="NBV145" s="7"/>
      <c r="NBW145" s="7"/>
      <c r="NBX145" s="7"/>
      <c r="NBY145" s="7"/>
      <c r="NBZ145" s="7"/>
      <c r="NCA145" s="7"/>
      <c r="NCB145" s="7"/>
      <c r="NCC145" s="7"/>
      <c r="NCD145" s="7"/>
      <c r="NCE145" s="7"/>
      <c r="NCF145" s="7"/>
      <c r="NCG145" s="7"/>
      <c r="NCH145" s="7"/>
      <c r="NCI145" s="7"/>
      <c r="NCJ145" s="7"/>
      <c r="NCK145" s="7"/>
      <c r="NCL145" s="7"/>
      <c r="NCM145" s="7"/>
      <c r="NCN145" s="7"/>
      <c r="NCO145" s="7"/>
      <c r="NCP145" s="7"/>
      <c r="NCQ145" s="7"/>
      <c r="NCR145" s="7"/>
      <c r="NCS145" s="7"/>
      <c r="NCT145" s="7"/>
      <c r="NCU145" s="7"/>
      <c r="NCV145" s="7"/>
      <c r="NCW145" s="7"/>
      <c r="NCX145" s="7"/>
      <c r="NCY145" s="7"/>
      <c r="NCZ145" s="7"/>
      <c r="NDA145" s="7"/>
      <c r="NDB145" s="7"/>
      <c r="NDC145" s="7"/>
      <c r="NDD145" s="7"/>
      <c r="NDE145" s="7"/>
      <c r="NDF145" s="7"/>
      <c r="NDG145" s="7"/>
      <c r="NDH145" s="7"/>
      <c r="NDI145" s="7"/>
      <c r="NDJ145" s="7"/>
      <c r="NDK145" s="7"/>
      <c r="NDL145" s="7"/>
      <c r="NDM145" s="7"/>
      <c r="NDN145" s="7"/>
      <c r="NDO145" s="7"/>
      <c r="NDP145" s="7"/>
      <c r="NDQ145" s="7"/>
      <c r="NDR145" s="7"/>
      <c r="NDS145" s="7"/>
      <c r="NDT145" s="7"/>
      <c r="NDU145" s="7"/>
      <c r="NDV145" s="7"/>
      <c r="NDW145" s="7"/>
      <c r="NDX145" s="7"/>
      <c r="NDY145" s="7"/>
      <c r="NDZ145" s="7"/>
      <c r="NEA145" s="7"/>
      <c r="NEB145" s="7"/>
      <c r="NEC145" s="7"/>
      <c r="NED145" s="7"/>
      <c r="NEE145" s="7"/>
      <c r="NEF145" s="7"/>
      <c r="NEG145" s="7"/>
      <c r="NEH145" s="7"/>
      <c r="NEI145" s="7"/>
      <c r="NEJ145" s="7"/>
      <c r="NEK145" s="7"/>
      <c r="NEL145" s="7"/>
      <c r="NEM145" s="7"/>
      <c r="NEN145" s="7"/>
      <c r="NEO145" s="7"/>
      <c r="NEP145" s="7"/>
      <c r="NEQ145" s="7"/>
      <c r="NER145" s="7"/>
      <c r="NES145" s="7"/>
      <c r="NET145" s="7"/>
      <c r="NEU145" s="7"/>
      <c r="NEV145" s="7"/>
      <c r="NEW145" s="7"/>
      <c r="NEX145" s="7"/>
      <c r="NEY145" s="7"/>
      <c r="NEZ145" s="7"/>
      <c r="NFA145" s="7"/>
      <c r="NFB145" s="7"/>
      <c r="NFC145" s="7"/>
      <c r="NFD145" s="7"/>
      <c r="NFE145" s="7"/>
      <c r="NFF145" s="7"/>
      <c r="NFG145" s="7"/>
      <c r="NFH145" s="7"/>
      <c r="NFI145" s="7"/>
      <c r="NFJ145" s="7"/>
      <c r="NFK145" s="7"/>
      <c r="NFL145" s="7"/>
      <c r="NFM145" s="7"/>
      <c r="NFN145" s="7"/>
      <c r="NFO145" s="7"/>
      <c r="NFP145" s="7"/>
      <c r="NFQ145" s="7"/>
      <c r="NFR145" s="7"/>
      <c r="NFS145" s="7"/>
      <c r="NFT145" s="7"/>
      <c r="NFU145" s="7"/>
      <c r="NFV145" s="7"/>
      <c r="NFW145" s="7"/>
      <c r="NFX145" s="7"/>
      <c r="NFY145" s="7"/>
      <c r="NFZ145" s="7"/>
      <c r="NGA145" s="7"/>
      <c r="NGB145" s="7"/>
      <c r="NGC145" s="7"/>
      <c r="NGD145" s="7"/>
      <c r="NGE145" s="7"/>
      <c r="NGF145" s="7"/>
      <c r="NGG145" s="7"/>
      <c r="NGH145" s="7"/>
      <c r="NGI145" s="7"/>
      <c r="NGJ145" s="7"/>
      <c r="NGK145" s="7"/>
      <c r="NGL145" s="7"/>
      <c r="NGM145" s="7"/>
      <c r="NGN145" s="7"/>
      <c r="NGO145" s="7"/>
      <c r="NGP145" s="7"/>
      <c r="NGQ145" s="7"/>
      <c r="NGR145" s="7"/>
      <c r="NGS145" s="7"/>
      <c r="NGT145" s="7"/>
      <c r="NGU145" s="7"/>
      <c r="NGV145" s="7"/>
      <c r="NGW145" s="7"/>
      <c r="NGX145" s="7"/>
      <c r="NGY145" s="7"/>
      <c r="NGZ145" s="7"/>
      <c r="NHA145" s="7"/>
      <c r="NHB145" s="7"/>
      <c r="NHC145" s="7"/>
      <c r="NHD145" s="7"/>
      <c r="NHE145" s="7"/>
      <c r="NHF145" s="7"/>
      <c r="NHG145" s="7"/>
      <c r="NHH145" s="7"/>
      <c r="NHI145" s="7"/>
      <c r="NHJ145" s="7"/>
      <c r="NHK145" s="7"/>
      <c r="NHL145" s="7"/>
      <c r="NHM145" s="7"/>
      <c r="NHN145" s="7"/>
      <c r="NHO145" s="7"/>
      <c r="NHP145" s="7"/>
      <c r="NHQ145" s="7"/>
      <c r="NHR145" s="7"/>
      <c r="NHS145" s="7"/>
      <c r="NHT145" s="7"/>
      <c r="NHU145" s="7"/>
      <c r="NHV145" s="7"/>
      <c r="NHW145" s="7"/>
      <c r="NHX145" s="7"/>
      <c r="NHY145" s="7"/>
      <c r="NHZ145" s="7"/>
      <c r="NIA145" s="7"/>
      <c r="NIB145" s="7"/>
      <c r="NIC145" s="7"/>
      <c r="NID145" s="7"/>
      <c r="NIE145" s="7"/>
      <c r="NIF145" s="7"/>
      <c r="NIG145" s="7"/>
      <c r="NIH145" s="7"/>
      <c r="NII145" s="7"/>
      <c r="NIJ145" s="7"/>
      <c r="NIK145" s="7"/>
      <c r="NIL145" s="7"/>
      <c r="NIM145" s="7"/>
      <c r="NIN145" s="7"/>
      <c r="NIO145" s="7"/>
      <c r="NIP145" s="7"/>
      <c r="NIQ145" s="7"/>
      <c r="NIR145" s="7"/>
      <c r="NIS145" s="7"/>
      <c r="NIT145" s="7"/>
      <c r="NIU145" s="7"/>
      <c r="NIV145" s="7"/>
      <c r="NIW145" s="7"/>
      <c r="NIX145" s="7"/>
      <c r="NIY145" s="7"/>
      <c r="NIZ145" s="7"/>
      <c r="NJA145" s="7"/>
      <c r="NJB145" s="7"/>
      <c r="NJC145" s="7"/>
      <c r="NJD145" s="7"/>
      <c r="NJE145" s="7"/>
      <c r="NJF145" s="7"/>
      <c r="NJG145" s="7"/>
      <c r="NJH145" s="7"/>
      <c r="NJI145" s="7"/>
      <c r="NJJ145" s="7"/>
      <c r="NJK145" s="7"/>
      <c r="NJL145" s="7"/>
      <c r="NJM145" s="7"/>
      <c r="NJN145" s="7"/>
      <c r="NJO145" s="7"/>
      <c r="NJP145" s="7"/>
      <c r="NJQ145" s="7"/>
      <c r="NJR145" s="7"/>
      <c r="NJS145" s="7"/>
      <c r="NJT145" s="7"/>
      <c r="NJU145" s="7"/>
      <c r="NJV145" s="7"/>
      <c r="NJW145" s="7"/>
      <c r="NJX145" s="7"/>
      <c r="NJY145" s="7"/>
      <c r="NJZ145" s="7"/>
      <c r="NKA145" s="7"/>
      <c r="NKB145" s="7"/>
      <c r="NKC145" s="7"/>
      <c r="NKD145" s="7"/>
      <c r="NKE145" s="7"/>
      <c r="NKF145" s="7"/>
      <c r="NKG145" s="7"/>
      <c r="NKH145" s="7"/>
      <c r="NKI145" s="7"/>
      <c r="NKJ145" s="7"/>
      <c r="NKK145" s="7"/>
      <c r="NKL145" s="7"/>
      <c r="NKM145" s="7"/>
      <c r="NKN145" s="7"/>
      <c r="NKO145" s="7"/>
      <c r="NKP145" s="7"/>
      <c r="NKQ145" s="7"/>
      <c r="NKR145" s="7"/>
      <c r="NKS145" s="7"/>
      <c r="NKT145" s="7"/>
      <c r="NKU145" s="7"/>
      <c r="NKV145" s="7"/>
      <c r="NKW145" s="7"/>
      <c r="NKX145" s="7"/>
      <c r="NKY145" s="7"/>
      <c r="NKZ145" s="7"/>
      <c r="NLA145" s="7"/>
      <c r="NLB145" s="7"/>
      <c r="NLC145" s="7"/>
      <c r="NLD145" s="7"/>
      <c r="NLE145" s="7"/>
      <c r="NLF145" s="7"/>
      <c r="NLG145" s="7"/>
      <c r="NLH145" s="7"/>
      <c r="NLI145" s="7"/>
      <c r="NLJ145" s="7"/>
      <c r="NLK145" s="7"/>
      <c r="NLL145" s="7"/>
      <c r="NLM145" s="7"/>
      <c r="NLN145" s="7"/>
      <c r="NLO145" s="7"/>
      <c r="NLP145" s="7"/>
      <c r="NLQ145" s="7"/>
      <c r="NLR145" s="7"/>
      <c r="NLS145" s="7"/>
      <c r="NLT145" s="7"/>
      <c r="NLU145" s="7"/>
      <c r="NLV145" s="7"/>
      <c r="NLW145" s="7"/>
      <c r="NLX145" s="7"/>
      <c r="NLY145" s="7"/>
      <c r="NLZ145" s="7"/>
      <c r="NMA145" s="7"/>
      <c r="NMB145" s="7"/>
      <c r="NMC145" s="7"/>
      <c r="NMD145" s="7"/>
      <c r="NME145" s="7"/>
      <c r="NMF145" s="7"/>
      <c r="NMG145" s="7"/>
      <c r="NMH145" s="7"/>
      <c r="NMI145" s="7"/>
      <c r="NMJ145" s="7"/>
      <c r="NMK145" s="7"/>
      <c r="NML145" s="7"/>
      <c r="NMM145" s="7"/>
      <c r="NMN145" s="7"/>
      <c r="NMO145" s="7"/>
      <c r="NMP145" s="7"/>
      <c r="NMQ145" s="7"/>
      <c r="NMR145" s="7"/>
      <c r="NMS145" s="7"/>
      <c r="NMT145" s="7"/>
      <c r="NMU145" s="7"/>
      <c r="NMV145" s="7"/>
      <c r="NMW145" s="7"/>
      <c r="NMX145" s="7"/>
      <c r="NMY145" s="7"/>
      <c r="NMZ145" s="7"/>
      <c r="NNA145" s="7"/>
      <c r="NNB145" s="7"/>
      <c r="NNC145" s="7"/>
      <c r="NND145" s="7"/>
      <c r="NNE145" s="7"/>
      <c r="NNF145" s="7"/>
      <c r="NNG145" s="7"/>
      <c r="NNH145" s="7"/>
      <c r="NNI145" s="7"/>
      <c r="NNJ145" s="7"/>
      <c r="NNK145" s="7"/>
      <c r="NNL145" s="7"/>
      <c r="NNM145" s="7"/>
      <c r="NNN145" s="7"/>
      <c r="NNO145" s="7"/>
      <c r="NNP145" s="7"/>
      <c r="NNQ145" s="7"/>
      <c r="NNR145" s="7"/>
      <c r="NNS145" s="7"/>
      <c r="NNT145" s="7"/>
      <c r="NNU145" s="7"/>
      <c r="NNV145" s="7"/>
      <c r="NNW145" s="7"/>
      <c r="NNX145" s="7"/>
      <c r="NNY145" s="7"/>
      <c r="NNZ145" s="7"/>
      <c r="NOA145" s="7"/>
      <c r="NOB145" s="7"/>
      <c r="NOC145" s="7"/>
      <c r="NOD145" s="7"/>
      <c r="NOE145" s="7"/>
      <c r="NOF145" s="7"/>
      <c r="NOG145" s="7"/>
      <c r="NOH145" s="7"/>
      <c r="NOI145" s="7"/>
      <c r="NOJ145" s="7"/>
      <c r="NOK145" s="7"/>
      <c r="NOL145" s="7"/>
      <c r="NOM145" s="7"/>
      <c r="NON145" s="7"/>
      <c r="NOO145" s="7"/>
      <c r="NOP145" s="7"/>
      <c r="NOQ145" s="7"/>
      <c r="NOR145" s="7"/>
      <c r="NOS145" s="7"/>
      <c r="NOT145" s="7"/>
      <c r="NOU145" s="7"/>
      <c r="NOV145" s="7"/>
      <c r="NOW145" s="7"/>
      <c r="NOX145" s="7"/>
      <c r="NOY145" s="7"/>
      <c r="NOZ145" s="7"/>
      <c r="NPA145" s="7"/>
      <c r="NPB145" s="7"/>
      <c r="NPC145" s="7"/>
      <c r="NPD145" s="7"/>
      <c r="NPE145" s="7"/>
      <c r="NPF145" s="7"/>
      <c r="NPG145" s="7"/>
      <c r="NPH145" s="7"/>
      <c r="NPI145" s="7"/>
      <c r="NPJ145" s="7"/>
      <c r="NPK145" s="7"/>
      <c r="NPL145" s="7"/>
      <c r="NPM145" s="7"/>
      <c r="NPN145" s="7"/>
      <c r="NPO145" s="7"/>
      <c r="NPP145" s="7"/>
      <c r="NPQ145" s="7"/>
      <c r="NPR145" s="7"/>
      <c r="NPS145" s="7"/>
      <c r="NPT145" s="7"/>
      <c r="NPU145" s="7"/>
      <c r="NPV145" s="7"/>
      <c r="NPW145" s="7"/>
      <c r="NPX145" s="7"/>
      <c r="NPY145" s="7"/>
      <c r="NPZ145" s="7"/>
      <c r="NQA145" s="7"/>
      <c r="NQB145" s="7"/>
      <c r="NQC145" s="7"/>
      <c r="NQD145" s="7"/>
      <c r="NQE145" s="7"/>
      <c r="NQF145" s="7"/>
      <c r="NQG145" s="7"/>
      <c r="NQH145" s="7"/>
      <c r="NQI145" s="7"/>
      <c r="NQJ145" s="7"/>
      <c r="NQK145" s="7"/>
      <c r="NQL145" s="7"/>
      <c r="NQM145" s="7"/>
      <c r="NQN145" s="7"/>
      <c r="NQO145" s="7"/>
      <c r="NQP145" s="7"/>
      <c r="NQQ145" s="7"/>
      <c r="NQR145" s="7"/>
      <c r="NQS145" s="7"/>
      <c r="NQT145" s="7"/>
      <c r="NQU145" s="7"/>
      <c r="NQV145" s="7"/>
      <c r="NQW145" s="7"/>
      <c r="NQX145" s="7"/>
      <c r="NQY145" s="7"/>
      <c r="NQZ145" s="7"/>
      <c r="NRA145" s="7"/>
      <c r="NRB145" s="7"/>
      <c r="NRC145" s="7"/>
      <c r="NRD145" s="7"/>
      <c r="NRE145" s="7"/>
      <c r="NRF145" s="7"/>
      <c r="NRG145" s="7"/>
      <c r="NRH145" s="7"/>
      <c r="NRI145" s="7"/>
      <c r="NRJ145" s="7"/>
      <c r="NRK145" s="7"/>
      <c r="NRL145" s="7"/>
      <c r="NRM145" s="7"/>
      <c r="NRN145" s="7"/>
      <c r="NRO145" s="7"/>
      <c r="NRP145" s="7"/>
      <c r="NRQ145" s="7"/>
      <c r="NRR145" s="7"/>
      <c r="NRS145" s="7"/>
      <c r="NRT145" s="7"/>
      <c r="NRU145" s="7"/>
      <c r="NRV145" s="7"/>
      <c r="NRW145" s="7"/>
      <c r="NRX145" s="7"/>
      <c r="NRY145" s="7"/>
      <c r="NRZ145" s="7"/>
      <c r="NSA145" s="7"/>
      <c r="NSB145" s="7"/>
      <c r="NSC145" s="7"/>
      <c r="NSD145" s="7"/>
      <c r="NSE145" s="7"/>
      <c r="NSF145" s="7"/>
      <c r="NSG145" s="7"/>
      <c r="NSH145" s="7"/>
      <c r="NSI145" s="7"/>
      <c r="NSJ145" s="7"/>
      <c r="NSK145" s="7"/>
      <c r="NSL145" s="7"/>
      <c r="NSM145" s="7"/>
      <c r="NSN145" s="7"/>
      <c r="NSO145" s="7"/>
      <c r="NSP145" s="7"/>
      <c r="NSQ145" s="7"/>
      <c r="NSR145" s="7"/>
      <c r="NSS145" s="7"/>
      <c r="NST145" s="7"/>
      <c r="NSU145" s="7"/>
      <c r="NSV145" s="7"/>
      <c r="NSW145" s="7"/>
      <c r="NSX145" s="7"/>
      <c r="NSY145" s="7"/>
      <c r="NSZ145" s="7"/>
      <c r="NTA145" s="7"/>
      <c r="NTB145" s="7"/>
      <c r="NTC145" s="7"/>
      <c r="NTD145" s="7"/>
      <c r="NTE145" s="7"/>
      <c r="NTF145" s="7"/>
      <c r="NTG145" s="7"/>
      <c r="NTH145" s="7"/>
      <c r="NTI145" s="7"/>
      <c r="NTJ145" s="7"/>
      <c r="NTK145" s="7"/>
      <c r="NTL145" s="7"/>
      <c r="NTM145" s="7"/>
      <c r="NTN145" s="7"/>
      <c r="NTO145" s="7"/>
      <c r="NTP145" s="7"/>
      <c r="NTQ145" s="7"/>
      <c r="NTR145" s="7"/>
      <c r="NTS145" s="7"/>
      <c r="NTT145" s="7"/>
      <c r="NTU145" s="7"/>
      <c r="NTV145" s="7"/>
      <c r="NTW145" s="7"/>
      <c r="NTX145" s="7"/>
      <c r="NTY145" s="7"/>
      <c r="NTZ145" s="7"/>
      <c r="NUA145" s="7"/>
      <c r="NUB145" s="7"/>
      <c r="NUC145" s="7"/>
      <c r="NUD145" s="7"/>
      <c r="NUE145" s="7"/>
      <c r="NUF145" s="7"/>
      <c r="NUG145" s="7"/>
      <c r="NUH145" s="7"/>
      <c r="NUI145" s="7"/>
      <c r="NUJ145" s="7"/>
      <c r="NUK145" s="7"/>
      <c r="NUL145" s="7"/>
      <c r="NUM145" s="7"/>
      <c r="NUN145" s="7"/>
      <c r="NUO145" s="7"/>
      <c r="NUP145" s="7"/>
      <c r="NUQ145" s="7"/>
      <c r="NUR145" s="7"/>
      <c r="NUS145" s="7"/>
      <c r="NUT145" s="7"/>
      <c r="NUU145" s="7"/>
      <c r="NUV145" s="7"/>
      <c r="NUW145" s="7"/>
      <c r="NUX145" s="7"/>
      <c r="NUY145" s="7"/>
      <c r="NUZ145" s="7"/>
      <c r="NVA145" s="7"/>
      <c r="NVB145" s="7"/>
      <c r="NVC145" s="7"/>
      <c r="NVD145" s="7"/>
      <c r="NVE145" s="7"/>
      <c r="NVF145" s="7"/>
      <c r="NVG145" s="7"/>
      <c r="NVH145" s="7"/>
      <c r="NVI145" s="7"/>
      <c r="NVJ145" s="7"/>
      <c r="NVK145" s="7"/>
      <c r="NVL145" s="7"/>
      <c r="NVM145" s="7"/>
      <c r="NVN145" s="7"/>
      <c r="NVO145" s="7"/>
      <c r="NVP145" s="7"/>
      <c r="NVQ145" s="7"/>
      <c r="NVR145" s="7"/>
      <c r="NVS145" s="7"/>
      <c r="NVT145" s="7"/>
      <c r="NVU145" s="7"/>
      <c r="NVV145" s="7"/>
      <c r="NVW145" s="7"/>
      <c r="NVX145" s="7"/>
      <c r="NVY145" s="7"/>
      <c r="NVZ145" s="7"/>
      <c r="NWA145" s="7"/>
      <c r="NWB145" s="7"/>
      <c r="NWC145" s="7"/>
      <c r="NWD145" s="7"/>
      <c r="NWE145" s="7"/>
      <c r="NWF145" s="7"/>
      <c r="NWG145" s="7"/>
      <c r="NWH145" s="7"/>
      <c r="NWI145" s="7"/>
      <c r="NWJ145" s="7"/>
      <c r="NWK145" s="7"/>
      <c r="NWL145" s="7"/>
      <c r="NWM145" s="7"/>
      <c r="NWN145" s="7"/>
      <c r="NWO145" s="7"/>
      <c r="NWP145" s="7"/>
      <c r="NWQ145" s="7"/>
      <c r="NWR145" s="7"/>
      <c r="NWS145" s="7"/>
      <c r="NWT145" s="7"/>
      <c r="NWU145" s="7"/>
      <c r="NWV145" s="7"/>
      <c r="NWW145" s="7"/>
      <c r="NWX145" s="7"/>
      <c r="NWY145" s="7"/>
      <c r="NWZ145" s="7"/>
      <c r="NXA145" s="7"/>
      <c r="NXB145" s="7"/>
      <c r="NXC145" s="7"/>
      <c r="NXD145" s="7"/>
      <c r="NXE145" s="7"/>
      <c r="NXF145" s="7"/>
      <c r="NXG145" s="7"/>
      <c r="NXH145" s="7"/>
      <c r="NXI145" s="7"/>
      <c r="NXJ145" s="7"/>
      <c r="NXK145" s="7"/>
      <c r="NXL145" s="7"/>
      <c r="NXM145" s="7"/>
      <c r="NXN145" s="7"/>
      <c r="NXO145" s="7"/>
      <c r="NXP145" s="7"/>
      <c r="NXQ145" s="7"/>
      <c r="NXR145" s="7"/>
      <c r="NXS145" s="7"/>
      <c r="NXT145" s="7"/>
      <c r="NXU145" s="7"/>
      <c r="NXV145" s="7"/>
      <c r="NXW145" s="7"/>
      <c r="NXX145" s="7"/>
      <c r="NXY145" s="7"/>
      <c r="NXZ145" s="7"/>
      <c r="NYA145" s="7"/>
      <c r="NYB145" s="7"/>
      <c r="NYC145" s="7"/>
      <c r="NYD145" s="7"/>
      <c r="NYE145" s="7"/>
      <c r="NYF145" s="7"/>
      <c r="NYG145" s="7"/>
      <c r="NYH145" s="7"/>
      <c r="NYI145" s="7"/>
      <c r="NYJ145" s="7"/>
      <c r="NYK145" s="7"/>
      <c r="NYL145" s="7"/>
      <c r="NYM145" s="7"/>
      <c r="NYN145" s="7"/>
      <c r="NYO145" s="7"/>
      <c r="NYP145" s="7"/>
      <c r="NYQ145" s="7"/>
      <c r="NYR145" s="7"/>
      <c r="NYS145" s="7"/>
      <c r="NYT145" s="7"/>
      <c r="NYU145" s="7"/>
      <c r="NYV145" s="7"/>
      <c r="NYW145" s="7"/>
      <c r="NYX145" s="7"/>
      <c r="NYY145" s="7"/>
      <c r="NYZ145" s="7"/>
      <c r="NZA145" s="7"/>
      <c r="NZB145" s="7"/>
      <c r="NZC145" s="7"/>
      <c r="NZD145" s="7"/>
      <c r="NZE145" s="7"/>
      <c r="NZF145" s="7"/>
      <c r="NZG145" s="7"/>
      <c r="NZH145" s="7"/>
      <c r="NZI145" s="7"/>
      <c r="NZJ145" s="7"/>
      <c r="NZK145" s="7"/>
      <c r="NZL145" s="7"/>
      <c r="NZM145" s="7"/>
      <c r="NZN145" s="7"/>
      <c r="NZO145" s="7"/>
      <c r="NZP145" s="7"/>
      <c r="NZQ145" s="7"/>
      <c r="NZR145" s="7"/>
      <c r="NZS145" s="7"/>
      <c r="NZT145" s="7"/>
      <c r="NZU145" s="7"/>
      <c r="NZV145" s="7"/>
      <c r="NZW145" s="7"/>
      <c r="NZX145" s="7"/>
      <c r="NZY145" s="7"/>
      <c r="NZZ145" s="7"/>
      <c r="OAA145" s="7"/>
      <c r="OAB145" s="7"/>
      <c r="OAC145" s="7"/>
      <c r="OAD145" s="7"/>
      <c r="OAE145" s="7"/>
      <c r="OAF145" s="7"/>
      <c r="OAG145" s="7"/>
      <c r="OAH145" s="7"/>
      <c r="OAI145" s="7"/>
      <c r="OAJ145" s="7"/>
      <c r="OAK145" s="7"/>
      <c r="OAL145" s="7"/>
      <c r="OAM145" s="7"/>
      <c r="OAN145" s="7"/>
      <c r="OAO145" s="7"/>
      <c r="OAP145" s="7"/>
      <c r="OAQ145" s="7"/>
      <c r="OAR145" s="7"/>
      <c r="OAS145" s="7"/>
      <c r="OAT145" s="7"/>
      <c r="OAU145" s="7"/>
      <c r="OAV145" s="7"/>
      <c r="OAW145" s="7"/>
      <c r="OAX145" s="7"/>
      <c r="OAY145" s="7"/>
      <c r="OAZ145" s="7"/>
      <c r="OBA145" s="7"/>
      <c r="OBB145" s="7"/>
      <c r="OBC145" s="7"/>
      <c r="OBD145" s="7"/>
      <c r="OBE145" s="7"/>
      <c r="OBF145" s="7"/>
      <c r="OBG145" s="7"/>
      <c r="OBH145" s="7"/>
      <c r="OBI145" s="7"/>
      <c r="OBJ145" s="7"/>
      <c r="OBK145" s="7"/>
      <c r="OBL145" s="7"/>
      <c r="OBM145" s="7"/>
      <c r="OBN145" s="7"/>
      <c r="OBO145" s="7"/>
      <c r="OBP145" s="7"/>
      <c r="OBQ145" s="7"/>
      <c r="OBR145" s="7"/>
      <c r="OBS145" s="7"/>
      <c r="OBT145" s="7"/>
      <c r="OBU145" s="7"/>
      <c r="OBV145" s="7"/>
      <c r="OBW145" s="7"/>
      <c r="OBX145" s="7"/>
      <c r="OBY145" s="7"/>
      <c r="OBZ145" s="7"/>
      <c r="OCA145" s="7"/>
      <c r="OCB145" s="7"/>
      <c r="OCC145" s="7"/>
      <c r="OCD145" s="7"/>
      <c r="OCE145" s="7"/>
      <c r="OCF145" s="7"/>
      <c r="OCG145" s="7"/>
      <c r="OCH145" s="7"/>
      <c r="OCI145" s="7"/>
      <c r="OCJ145" s="7"/>
      <c r="OCK145" s="7"/>
      <c r="OCL145" s="7"/>
      <c r="OCM145" s="7"/>
      <c r="OCN145" s="7"/>
      <c r="OCO145" s="7"/>
      <c r="OCP145" s="7"/>
      <c r="OCQ145" s="7"/>
      <c r="OCR145" s="7"/>
      <c r="OCS145" s="7"/>
      <c r="OCT145" s="7"/>
      <c r="OCU145" s="7"/>
      <c r="OCV145" s="7"/>
      <c r="OCW145" s="7"/>
      <c r="OCX145" s="7"/>
      <c r="OCY145" s="7"/>
      <c r="OCZ145" s="7"/>
      <c r="ODA145" s="7"/>
      <c r="ODB145" s="7"/>
      <c r="ODC145" s="7"/>
      <c r="ODD145" s="7"/>
      <c r="ODE145" s="7"/>
      <c r="ODF145" s="7"/>
      <c r="ODG145" s="7"/>
      <c r="ODH145" s="7"/>
      <c r="ODI145" s="7"/>
      <c r="ODJ145" s="7"/>
      <c r="ODK145" s="7"/>
      <c r="ODL145" s="7"/>
      <c r="ODM145" s="7"/>
      <c r="ODN145" s="7"/>
      <c r="ODO145" s="7"/>
      <c r="ODP145" s="7"/>
      <c r="ODQ145" s="7"/>
      <c r="ODR145" s="7"/>
      <c r="ODS145" s="7"/>
      <c r="ODT145" s="7"/>
      <c r="ODU145" s="7"/>
      <c r="ODV145" s="7"/>
      <c r="ODW145" s="7"/>
      <c r="ODX145" s="7"/>
      <c r="ODY145" s="7"/>
      <c r="ODZ145" s="7"/>
      <c r="OEA145" s="7"/>
      <c r="OEB145" s="7"/>
      <c r="OEC145" s="7"/>
      <c r="OED145" s="7"/>
      <c r="OEE145" s="7"/>
      <c r="OEF145" s="7"/>
      <c r="OEG145" s="7"/>
      <c r="OEH145" s="7"/>
      <c r="OEI145" s="7"/>
      <c r="OEJ145" s="7"/>
      <c r="OEK145" s="7"/>
      <c r="OEL145" s="7"/>
      <c r="OEM145" s="7"/>
      <c r="OEN145" s="7"/>
      <c r="OEO145" s="7"/>
      <c r="OEP145" s="7"/>
      <c r="OEQ145" s="7"/>
      <c r="OER145" s="7"/>
      <c r="OES145" s="7"/>
      <c r="OET145" s="7"/>
      <c r="OEU145" s="7"/>
      <c r="OEV145" s="7"/>
      <c r="OEW145" s="7"/>
      <c r="OEX145" s="7"/>
      <c r="OEY145" s="7"/>
      <c r="OEZ145" s="7"/>
      <c r="OFA145" s="7"/>
      <c r="OFB145" s="7"/>
      <c r="OFC145" s="7"/>
      <c r="OFD145" s="7"/>
      <c r="OFE145" s="7"/>
      <c r="OFF145" s="7"/>
      <c r="OFG145" s="7"/>
      <c r="OFH145" s="7"/>
      <c r="OFI145" s="7"/>
      <c r="OFJ145" s="7"/>
      <c r="OFK145" s="7"/>
      <c r="OFL145" s="7"/>
      <c r="OFM145" s="7"/>
      <c r="OFN145" s="7"/>
      <c r="OFO145" s="7"/>
      <c r="OFP145" s="7"/>
      <c r="OFQ145" s="7"/>
      <c r="OFR145" s="7"/>
      <c r="OFS145" s="7"/>
      <c r="OFT145" s="7"/>
      <c r="OFU145" s="7"/>
      <c r="OFV145" s="7"/>
      <c r="OFW145" s="7"/>
      <c r="OFX145" s="7"/>
      <c r="OFY145" s="7"/>
      <c r="OFZ145" s="7"/>
      <c r="OGA145" s="7"/>
      <c r="OGB145" s="7"/>
      <c r="OGC145" s="7"/>
      <c r="OGD145" s="7"/>
      <c r="OGE145" s="7"/>
      <c r="OGF145" s="7"/>
      <c r="OGG145" s="7"/>
      <c r="OGH145" s="7"/>
      <c r="OGI145" s="7"/>
      <c r="OGJ145" s="7"/>
      <c r="OGK145" s="7"/>
      <c r="OGL145" s="7"/>
      <c r="OGM145" s="7"/>
      <c r="OGN145" s="7"/>
      <c r="OGO145" s="7"/>
      <c r="OGP145" s="7"/>
      <c r="OGQ145" s="7"/>
      <c r="OGR145" s="7"/>
      <c r="OGS145" s="7"/>
      <c r="OGT145" s="7"/>
      <c r="OGU145" s="7"/>
      <c r="OGV145" s="7"/>
      <c r="OGW145" s="7"/>
      <c r="OGX145" s="7"/>
      <c r="OGY145" s="7"/>
      <c r="OGZ145" s="7"/>
      <c r="OHA145" s="7"/>
      <c r="OHB145" s="7"/>
      <c r="OHC145" s="7"/>
      <c r="OHD145" s="7"/>
      <c r="OHE145" s="7"/>
      <c r="OHF145" s="7"/>
      <c r="OHG145" s="7"/>
      <c r="OHH145" s="7"/>
      <c r="OHI145" s="7"/>
      <c r="OHJ145" s="7"/>
      <c r="OHK145" s="7"/>
      <c r="OHL145" s="7"/>
      <c r="OHM145" s="7"/>
      <c r="OHN145" s="7"/>
      <c r="OHO145" s="7"/>
      <c r="OHP145" s="7"/>
      <c r="OHQ145" s="7"/>
      <c r="OHR145" s="7"/>
      <c r="OHS145" s="7"/>
      <c r="OHT145" s="7"/>
      <c r="OHU145" s="7"/>
      <c r="OHV145" s="7"/>
      <c r="OHW145" s="7"/>
      <c r="OHX145" s="7"/>
      <c r="OHY145" s="7"/>
      <c r="OHZ145" s="7"/>
      <c r="OIA145" s="7"/>
      <c r="OIB145" s="7"/>
      <c r="OIC145" s="7"/>
      <c r="OID145" s="7"/>
      <c r="OIE145" s="7"/>
      <c r="OIF145" s="7"/>
      <c r="OIG145" s="7"/>
      <c r="OIH145" s="7"/>
      <c r="OII145" s="7"/>
      <c r="OIJ145" s="7"/>
      <c r="OIK145" s="7"/>
      <c r="OIL145" s="7"/>
      <c r="OIM145" s="7"/>
      <c r="OIN145" s="7"/>
      <c r="OIO145" s="7"/>
      <c r="OIP145" s="7"/>
      <c r="OIQ145" s="7"/>
      <c r="OIR145" s="7"/>
      <c r="OIS145" s="7"/>
      <c r="OIT145" s="7"/>
      <c r="OIU145" s="7"/>
      <c r="OIV145" s="7"/>
      <c r="OIW145" s="7"/>
      <c r="OIX145" s="7"/>
      <c r="OIY145" s="7"/>
      <c r="OIZ145" s="7"/>
      <c r="OJA145" s="7"/>
      <c r="OJB145" s="7"/>
      <c r="OJC145" s="7"/>
      <c r="OJD145" s="7"/>
      <c r="OJE145" s="7"/>
      <c r="OJF145" s="7"/>
      <c r="OJG145" s="7"/>
      <c r="OJH145" s="7"/>
      <c r="OJI145" s="7"/>
      <c r="OJJ145" s="7"/>
      <c r="OJK145" s="7"/>
      <c r="OJL145" s="7"/>
      <c r="OJM145" s="7"/>
      <c r="OJN145" s="7"/>
      <c r="OJO145" s="7"/>
      <c r="OJP145" s="7"/>
      <c r="OJQ145" s="7"/>
      <c r="OJR145" s="7"/>
      <c r="OJS145" s="7"/>
      <c r="OJT145" s="7"/>
      <c r="OJU145" s="7"/>
      <c r="OJV145" s="7"/>
      <c r="OJW145" s="7"/>
      <c r="OJX145" s="7"/>
      <c r="OJY145" s="7"/>
      <c r="OJZ145" s="7"/>
      <c r="OKA145" s="7"/>
      <c r="OKB145" s="7"/>
      <c r="OKC145" s="7"/>
      <c r="OKD145" s="7"/>
      <c r="OKE145" s="7"/>
      <c r="OKF145" s="7"/>
      <c r="OKG145" s="7"/>
      <c r="OKH145" s="7"/>
      <c r="OKI145" s="7"/>
      <c r="OKJ145" s="7"/>
      <c r="OKK145" s="7"/>
      <c r="OKL145" s="7"/>
      <c r="OKM145" s="7"/>
      <c r="OKN145" s="7"/>
      <c r="OKO145" s="7"/>
      <c r="OKP145" s="7"/>
      <c r="OKQ145" s="7"/>
      <c r="OKR145" s="7"/>
      <c r="OKS145" s="7"/>
      <c r="OKT145" s="7"/>
      <c r="OKU145" s="7"/>
      <c r="OKV145" s="7"/>
      <c r="OKW145" s="7"/>
      <c r="OKX145" s="7"/>
      <c r="OKY145" s="7"/>
      <c r="OKZ145" s="7"/>
      <c r="OLA145" s="7"/>
      <c r="OLB145" s="7"/>
      <c r="OLC145" s="7"/>
      <c r="OLD145" s="7"/>
      <c r="OLE145" s="7"/>
      <c r="OLF145" s="7"/>
      <c r="OLG145" s="7"/>
      <c r="OLH145" s="7"/>
      <c r="OLI145" s="7"/>
      <c r="OLJ145" s="7"/>
      <c r="OLK145" s="7"/>
      <c r="OLL145" s="7"/>
      <c r="OLM145" s="7"/>
      <c r="OLN145" s="7"/>
      <c r="OLO145" s="7"/>
      <c r="OLP145" s="7"/>
      <c r="OLQ145" s="7"/>
      <c r="OLR145" s="7"/>
      <c r="OLS145" s="7"/>
      <c r="OLT145" s="7"/>
      <c r="OLU145" s="7"/>
      <c r="OLV145" s="7"/>
      <c r="OLW145" s="7"/>
      <c r="OLX145" s="7"/>
      <c r="OLY145" s="7"/>
      <c r="OLZ145" s="7"/>
      <c r="OMA145" s="7"/>
      <c r="OMB145" s="7"/>
      <c r="OMC145" s="7"/>
      <c r="OMD145" s="7"/>
      <c r="OME145" s="7"/>
      <c r="OMF145" s="7"/>
      <c r="OMG145" s="7"/>
      <c r="OMH145" s="7"/>
      <c r="OMI145" s="7"/>
      <c r="OMJ145" s="7"/>
      <c r="OMK145" s="7"/>
      <c r="OML145" s="7"/>
      <c r="OMM145" s="7"/>
      <c r="OMN145" s="7"/>
      <c r="OMO145" s="7"/>
      <c r="OMP145" s="7"/>
      <c r="OMQ145" s="7"/>
      <c r="OMR145" s="7"/>
      <c r="OMS145" s="7"/>
      <c r="OMT145" s="7"/>
      <c r="OMU145" s="7"/>
      <c r="OMV145" s="7"/>
      <c r="OMW145" s="7"/>
      <c r="OMX145" s="7"/>
      <c r="OMY145" s="7"/>
      <c r="OMZ145" s="7"/>
      <c r="ONA145" s="7"/>
      <c r="ONB145" s="7"/>
      <c r="ONC145" s="7"/>
      <c r="OND145" s="7"/>
      <c r="ONE145" s="7"/>
      <c r="ONF145" s="7"/>
      <c r="ONG145" s="7"/>
      <c r="ONH145" s="7"/>
      <c r="ONI145" s="7"/>
      <c r="ONJ145" s="7"/>
      <c r="ONK145" s="7"/>
      <c r="ONL145" s="7"/>
      <c r="ONM145" s="7"/>
      <c r="ONN145" s="7"/>
      <c r="ONO145" s="7"/>
      <c r="ONP145" s="7"/>
      <c r="ONQ145" s="7"/>
      <c r="ONR145" s="7"/>
      <c r="ONS145" s="7"/>
      <c r="ONT145" s="7"/>
      <c r="ONU145" s="7"/>
      <c r="ONV145" s="7"/>
      <c r="ONW145" s="7"/>
      <c r="ONX145" s="7"/>
      <c r="ONY145" s="7"/>
      <c r="ONZ145" s="7"/>
      <c r="OOA145" s="7"/>
      <c r="OOB145" s="7"/>
      <c r="OOC145" s="7"/>
      <c r="OOD145" s="7"/>
      <c r="OOE145" s="7"/>
      <c r="OOF145" s="7"/>
      <c r="OOG145" s="7"/>
      <c r="OOH145" s="7"/>
      <c r="OOI145" s="7"/>
      <c r="OOJ145" s="7"/>
      <c r="OOK145" s="7"/>
      <c r="OOL145" s="7"/>
      <c r="OOM145" s="7"/>
      <c r="OON145" s="7"/>
      <c r="OOO145" s="7"/>
      <c r="OOP145" s="7"/>
      <c r="OOQ145" s="7"/>
      <c r="OOR145" s="7"/>
      <c r="OOS145" s="7"/>
      <c r="OOT145" s="7"/>
      <c r="OOU145" s="7"/>
      <c r="OOV145" s="7"/>
      <c r="OOW145" s="7"/>
      <c r="OOX145" s="7"/>
      <c r="OOY145" s="7"/>
      <c r="OOZ145" s="7"/>
      <c r="OPA145" s="7"/>
      <c r="OPB145" s="7"/>
      <c r="OPC145" s="7"/>
      <c r="OPD145" s="7"/>
      <c r="OPE145" s="7"/>
      <c r="OPF145" s="7"/>
      <c r="OPG145" s="7"/>
      <c r="OPH145" s="7"/>
      <c r="OPI145" s="7"/>
      <c r="OPJ145" s="7"/>
      <c r="OPK145" s="7"/>
      <c r="OPL145" s="7"/>
      <c r="OPM145" s="7"/>
      <c r="OPN145" s="7"/>
      <c r="OPO145" s="7"/>
      <c r="OPP145" s="7"/>
      <c r="OPQ145" s="7"/>
      <c r="OPR145" s="7"/>
      <c r="OPS145" s="7"/>
      <c r="OPT145" s="7"/>
      <c r="OPU145" s="7"/>
      <c r="OPV145" s="7"/>
      <c r="OPW145" s="7"/>
      <c r="OPX145" s="7"/>
      <c r="OPY145" s="7"/>
      <c r="OPZ145" s="7"/>
      <c r="OQA145" s="7"/>
      <c r="OQB145" s="7"/>
      <c r="OQC145" s="7"/>
      <c r="OQD145" s="7"/>
      <c r="OQE145" s="7"/>
      <c r="OQF145" s="7"/>
      <c r="OQG145" s="7"/>
      <c r="OQH145" s="7"/>
      <c r="OQI145" s="7"/>
      <c r="OQJ145" s="7"/>
      <c r="OQK145" s="7"/>
      <c r="OQL145" s="7"/>
      <c r="OQM145" s="7"/>
      <c r="OQN145" s="7"/>
      <c r="OQO145" s="7"/>
      <c r="OQP145" s="7"/>
      <c r="OQQ145" s="7"/>
      <c r="OQR145" s="7"/>
      <c r="OQS145" s="7"/>
      <c r="OQT145" s="7"/>
      <c r="OQU145" s="7"/>
      <c r="OQV145" s="7"/>
      <c r="OQW145" s="7"/>
      <c r="OQX145" s="7"/>
      <c r="OQY145" s="7"/>
      <c r="OQZ145" s="7"/>
      <c r="ORA145" s="7"/>
      <c r="ORB145" s="7"/>
      <c r="ORC145" s="7"/>
      <c r="ORD145" s="7"/>
      <c r="ORE145" s="7"/>
      <c r="ORF145" s="7"/>
      <c r="ORG145" s="7"/>
      <c r="ORH145" s="7"/>
      <c r="ORI145" s="7"/>
      <c r="ORJ145" s="7"/>
      <c r="ORK145" s="7"/>
      <c r="ORL145" s="7"/>
      <c r="ORM145" s="7"/>
      <c r="ORN145" s="7"/>
      <c r="ORO145" s="7"/>
      <c r="ORP145" s="7"/>
      <c r="ORQ145" s="7"/>
      <c r="ORR145" s="7"/>
      <c r="ORS145" s="7"/>
      <c r="ORT145" s="7"/>
      <c r="ORU145" s="7"/>
      <c r="ORV145" s="7"/>
      <c r="ORW145" s="7"/>
      <c r="ORX145" s="7"/>
      <c r="ORY145" s="7"/>
      <c r="ORZ145" s="7"/>
      <c r="OSA145" s="7"/>
      <c r="OSB145" s="7"/>
      <c r="OSC145" s="7"/>
      <c r="OSD145" s="7"/>
      <c r="OSE145" s="7"/>
      <c r="OSF145" s="7"/>
      <c r="OSG145" s="7"/>
      <c r="OSH145" s="7"/>
      <c r="OSI145" s="7"/>
      <c r="OSJ145" s="7"/>
      <c r="OSK145" s="7"/>
      <c r="OSL145" s="7"/>
      <c r="OSM145" s="7"/>
      <c r="OSN145" s="7"/>
      <c r="OSO145" s="7"/>
      <c r="OSP145" s="7"/>
      <c r="OSQ145" s="7"/>
      <c r="OSR145" s="7"/>
      <c r="OSS145" s="7"/>
      <c r="OST145" s="7"/>
      <c r="OSU145" s="7"/>
      <c r="OSV145" s="7"/>
      <c r="OSW145" s="7"/>
      <c r="OSX145" s="7"/>
      <c r="OSY145" s="7"/>
      <c r="OSZ145" s="7"/>
      <c r="OTA145" s="7"/>
      <c r="OTB145" s="7"/>
      <c r="OTC145" s="7"/>
      <c r="OTD145" s="7"/>
      <c r="OTE145" s="7"/>
      <c r="OTF145" s="7"/>
      <c r="OTG145" s="7"/>
      <c r="OTH145" s="7"/>
      <c r="OTI145" s="7"/>
      <c r="OTJ145" s="7"/>
      <c r="OTK145" s="7"/>
      <c r="OTL145" s="7"/>
      <c r="OTM145" s="7"/>
      <c r="OTN145" s="7"/>
      <c r="OTO145" s="7"/>
      <c r="OTP145" s="7"/>
      <c r="OTQ145" s="7"/>
      <c r="OTR145" s="7"/>
      <c r="OTS145" s="7"/>
      <c r="OTT145" s="7"/>
      <c r="OTU145" s="7"/>
      <c r="OTV145" s="7"/>
      <c r="OTW145" s="7"/>
      <c r="OTX145" s="7"/>
      <c r="OTY145" s="7"/>
      <c r="OTZ145" s="7"/>
      <c r="OUA145" s="7"/>
      <c r="OUB145" s="7"/>
      <c r="OUC145" s="7"/>
      <c r="OUD145" s="7"/>
      <c r="OUE145" s="7"/>
      <c r="OUF145" s="7"/>
      <c r="OUG145" s="7"/>
      <c r="OUH145" s="7"/>
      <c r="OUI145" s="7"/>
      <c r="OUJ145" s="7"/>
      <c r="OUK145" s="7"/>
      <c r="OUL145" s="7"/>
      <c r="OUM145" s="7"/>
      <c r="OUN145" s="7"/>
      <c r="OUO145" s="7"/>
      <c r="OUP145" s="7"/>
      <c r="OUQ145" s="7"/>
      <c r="OUR145" s="7"/>
      <c r="OUS145" s="7"/>
      <c r="OUT145" s="7"/>
      <c r="OUU145" s="7"/>
      <c r="OUV145" s="7"/>
      <c r="OUW145" s="7"/>
      <c r="OUX145" s="7"/>
      <c r="OUY145" s="7"/>
      <c r="OUZ145" s="7"/>
      <c r="OVA145" s="7"/>
      <c r="OVB145" s="7"/>
      <c r="OVC145" s="7"/>
      <c r="OVD145" s="7"/>
      <c r="OVE145" s="7"/>
      <c r="OVF145" s="7"/>
      <c r="OVG145" s="7"/>
      <c r="OVH145" s="7"/>
      <c r="OVI145" s="7"/>
      <c r="OVJ145" s="7"/>
      <c r="OVK145" s="7"/>
      <c r="OVL145" s="7"/>
      <c r="OVM145" s="7"/>
      <c r="OVN145" s="7"/>
      <c r="OVO145" s="7"/>
      <c r="OVP145" s="7"/>
      <c r="OVQ145" s="7"/>
      <c r="OVR145" s="7"/>
      <c r="OVS145" s="7"/>
      <c r="OVT145" s="7"/>
      <c r="OVU145" s="7"/>
      <c r="OVV145" s="7"/>
      <c r="OVW145" s="7"/>
      <c r="OVX145" s="7"/>
      <c r="OVY145" s="7"/>
      <c r="OVZ145" s="7"/>
      <c r="OWA145" s="7"/>
      <c r="OWB145" s="7"/>
      <c r="OWC145" s="7"/>
      <c r="OWD145" s="7"/>
      <c r="OWE145" s="7"/>
      <c r="OWF145" s="7"/>
      <c r="OWG145" s="7"/>
      <c r="OWH145" s="7"/>
      <c r="OWI145" s="7"/>
      <c r="OWJ145" s="7"/>
      <c r="OWK145" s="7"/>
      <c r="OWL145" s="7"/>
      <c r="OWM145" s="7"/>
      <c r="OWN145" s="7"/>
      <c r="OWO145" s="7"/>
      <c r="OWP145" s="7"/>
      <c r="OWQ145" s="7"/>
      <c r="OWR145" s="7"/>
      <c r="OWS145" s="7"/>
      <c r="OWT145" s="7"/>
      <c r="OWU145" s="7"/>
      <c r="OWV145" s="7"/>
      <c r="OWW145" s="7"/>
      <c r="OWX145" s="7"/>
      <c r="OWY145" s="7"/>
      <c r="OWZ145" s="7"/>
      <c r="OXA145" s="7"/>
      <c r="OXB145" s="7"/>
      <c r="OXC145" s="7"/>
      <c r="OXD145" s="7"/>
      <c r="OXE145" s="7"/>
      <c r="OXF145" s="7"/>
      <c r="OXG145" s="7"/>
      <c r="OXH145" s="7"/>
      <c r="OXI145" s="7"/>
      <c r="OXJ145" s="7"/>
      <c r="OXK145" s="7"/>
      <c r="OXL145" s="7"/>
      <c r="OXM145" s="7"/>
      <c r="OXN145" s="7"/>
      <c r="OXO145" s="7"/>
      <c r="OXP145" s="7"/>
      <c r="OXQ145" s="7"/>
      <c r="OXR145" s="7"/>
      <c r="OXS145" s="7"/>
      <c r="OXT145" s="7"/>
      <c r="OXU145" s="7"/>
      <c r="OXV145" s="7"/>
      <c r="OXW145" s="7"/>
      <c r="OXX145" s="7"/>
      <c r="OXY145" s="7"/>
      <c r="OXZ145" s="7"/>
      <c r="OYA145" s="7"/>
      <c r="OYB145" s="7"/>
      <c r="OYC145" s="7"/>
      <c r="OYD145" s="7"/>
      <c r="OYE145" s="7"/>
      <c r="OYF145" s="7"/>
      <c r="OYG145" s="7"/>
      <c r="OYH145" s="7"/>
      <c r="OYI145" s="7"/>
      <c r="OYJ145" s="7"/>
      <c r="OYK145" s="7"/>
      <c r="OYL145" s="7"/>
      <c r="OYM145" s="7"/>
      <c r="OYN145" s="7"/>
      <c r="OYO145" s="7"/>
      <c r="OYP145" s="7"/>
      <c r="OYQ145" s="7"/>
      <c r="OYR145" s="7"/>
      <c r="OYS145" s="7"/>
      <c r="OYT145" s="7"/>
      <c r="OYU145" s="7"/>
      <c r="OYV145" s="7"/>
      <c r="OYW145" s="7"/>
      <c r="OYX145" s="7"/>
      <c r="OYY145" s="7"/>
      <c r="OYZ145" s="7"/>
      <c r="OZA145" s="7"/>
      <c r="OZB145" s="7"/>
      <c r="OZC145" s="7"/>
      <c r="OZD145" s="7"/>
      <c r="OZE145" s="7"/>
      <c r="OZF145" s="7"/>
      <c r="OZG145" s="7"/>
      <c r="OZH145" s="7"/>
      <c r="OZI145" s="7"/>
      <c r="OZJ145" s="7"/>
      <c r="OZK145" s="7"/>
      <c r="OZL145" s="7"/>
      <c r="OZM145" s="7"/>
      <c r="OZN145" s="7"/>
      <c r="OZO145" s="7"/>
      <c r="OZP145" s="7"/>
      <c r="OZQ145" s="7"/>
      <c r="OZR145" s="7"/>
      <c r="OZS145" s="7"/>
      <c r="OZT145" s="7"/>
      <c r="OZU145" s="7"/>
      <c r="OZV145" s="7"/>
      <c r="OZW145" s="7"/>
      <c r="OZX145" s="7"/>
      <c r="OZY145" s="7"/>
      <c r="OZZ145" s="7"/>
      <c r="PAA145" s="7"/>
      <c r="PAB145" s="7"/>
      <c r="PAC145" s="7"/>
      <c r="PAD145" s="7"/>
      <c r="PAE145" s="7"/>
      <c r="PAF145" s="7"/>
      <c r="PAG145" s="7"/>
      <c r="PAH145" s="7"/>
      <c r="PAI145" s="7"/>
      <c r="PAJ145" s="7"/>
      <c r="PAK145" s="7"/>
      <c r="PAL145" s="7"/>
      <c r="PAM145" s="7"/>
      <c r="PAN145" s="7"/>
      <c r="PAO145" s="7"/>
      <c r="PAP145" s="7"/>
      <c r="PAQ145" s="7"/>
      <c r="PAR145" s="7"/>
      <c r="PAS145" s="7"/>
      <c r="PAT145" s="7"/>
      <c r="PAU145" s="7"/>
      <c r="PAV145" s="7"/>
      <c r="PAW145" s="7"/>
      <c r="PAX145" s="7"/>
      <c r="PAY145" s="7"/>
      <c r="PAZ145" s="7"/>
      <c r="PBA145" s="7"/>
      <c r="PBB145" s="7"/>
      <c r="PBC145" s="7"/>
      <c r="PBD145" s="7"/>
      <c r="PBE145" s="7"/>
      <c r="PBF145" s="7"/>
      <c r="PBG145" s="7"/>
      <c r="PBH145" s="7"/>
      <c r="PBI145" s="7"/>
      <c r="PBJ145" s="7"/>
      <c r="PBK145" s="7"/>
      <c r="PBL145" s="7"/>
      <c r="PBM145" s="7"/>
      <c r="PBN145" s="7"/>
      <c r="PBO145" s="7"/>
      <c r="PBP145" s="7"/>
      <c r="PBQ145" s="7"/>
      <c r="PBR145" s="7"/>
      <c r="PBS145" s="7"/>
      <c r="PBT145" s="7"/>
      <c r="PBU145" s="7"/>
      <c r="PBV145" s="7"/>
      <c r="PBW145" s="7"/>
      <c r="PBX145" s="7"/>
      <c r="PBY145" s="7"/>
      <c r="PBZ145" s="7"/>
      <c r="PCA145" s="7"/>
      <c r="PCB145" s="7"/>
      <c r="PCC145" s="7"/>
      <c r="PCD145" s="7"/>
      <c r="PCE145" s="7"/>
      <c r="PCF145" s="7"/>
      <c r="PCG145" s="7"/>
      <c r="PCH145" s="7"/>
      <c r="PCI145" s="7"/>
      <c r="PCJ145" s="7"/>
      <c r="PCK145" s="7"/>
      <c r="PCL145" s="7"/>
      <c r="PCM145" s="7"/>
      <c r="PCN145" s="7"/>
      <c r="PCO145" s="7"/>
      <c r="PCP145" s="7"/>
      <c r="PCQ145" s="7"/>
      <c r="PCR145" s="7"/>
      <c r="PCS145" s="7"/>
      <c r="PCT145" s="7"/>
      <c r="PCU145" s="7"/>
      <c r="PCV145" s="7"/>
      <c r="PCW145" s="7"/>
      <c r="PCX145" s="7"/>
      <c r="PCY145" s="7"/>
      <c r="PCZ145" s="7"/>
      <c r="PDA145" s="7"/>
      <c r="PDB145" s="7"/>
      <c r="PDC145" s="7"/>
      <c r="PDD145" s="7"/>
      <c r="PDE145" s="7"/>
      <c r="PDF145" s="7"/>
      <c r="PDG145" s="7"/>
      <c r="PDH145" s="7"/>
      <c r="PDI145" s="7"/>
      <c r="PDJ145" s="7"/>
      <c r="PDK145" s="7"/>
      <c r="PDL145" s="7"/>
      <c r="PDM145" s="7"/>
      <c r="PDN145" s="7"/>
      <c r="PDO145" s="7"/>
      <c r="PDP145" s="7"/>
      <c r="PDQ145" s="7"/>
      <c r="PDR145" s="7"/>
      <c r="PDS145" s="7"/>
      <c r="PDT145" s="7"/>
      <c r="PDU145" s="7"/>
      <c r="PDV145" s="7"/>
      <c r="PDW145" s="7"/>
      <c r="PDX145" s="7"/>
      <c r="PDY145" s="7"/>
      <c r="PDZ145" s="7"/>
      <c r="PEA145" s="7"/>
      <c r="PEB145" s="7"/>
      <c r="PEC145" s="7"/>
      <c r="PED145" s="7"/>
      <c r="PEE145" s="7"/>
      <c r="PEF145" s="7"/>
      <c r="PEG145" s="7"/>
      <c r="PEH145" s="7"/>
      <c r="PEI145" s="7"/>
      <c r="PEJ145" s="7"/>
      <c r="PEK145" s="7"/>
      <c r="PEL145" s="7"/>
      <c r="PEM145" s="7"/>
      <c r="PEN145" s="7"/>
      <c r="PEO145" s="7"/>
      <c r="PEP145" s="7"/>
      <c r="PEQ145" s="7"/>
      <c r="PER145" s="7"/>
      <c r="PES145" s="7"/>
      <c r="PET145" s="7"/>
      <c r="PEU145" s="7"/>
      <c r="PEV145" s="7"/>
      <c r="PEW145" s="7"/>
      <c r="PEX145" s="7"/>
      <c r="PEY145" s="7"/>
      <c r="PEZ145" s="7"/>
      <c r="PFA145" s="7"/>
      <c r="PFB145" s="7"/>
      <c r="PFC145" s="7"/>
      <c r="PFD145" s="7"/>
      <c r="PFE145" s="7"/>
      <c r="PFF145" s="7"/>
      <c r="PFG145" s="7"/>
      <c r="PFH145" s="7"/>
      <c r="PFI145" s="7"/>
      <c r="PFJ145" s="7"/>
      <c r="PFK145" s="7"/>
      <c r="PFL145" s="7"/>
      <c r="PFM145" s="7"/>
      <c r="PFN145" s="7"/>
      <c r="PFO145" s="7"/>
      <c r="PFP145" s="7"/>
      <c r="PFQ145" s="7"/>
      <c r="PFR145" s="7"/>
      <c r="PFS145" s="7"/>
      <c r="PFT145" s="7"/>
      <c r="PFU145" s="7"/>
      <c r="PFV145" s="7"/>
      <c r="PFW145" s="7"/>
      <c r="PFX145" s="7"/>
      <c r="PFY145" s="7"/>
      <c r="PFZ145" s="7"/>
      <c r="PGA145" s="7"/>
      <c r="PGB145" s="7"/>
      <c r="PGC145" s="7"/>
      <c r="PGD145" s="7"/>
      <c r="PGE145" s="7"/>
      <c r="PGF145" s="7"/>
      <c r="PGG145" s="7"/>
      <c r="PGH145" s="7"/>
      <c r="PGI145" s="7"/>
      <c r="PGJ145" s="7"/>
      <c r="PGK145" s="7"/>
      <c r="PGL145" s="7"/>
      <c r="PGM145" s="7"/>
      <c r="PGN145" s="7"/>
      <c r="PGO145" s="7"/>
      <c r="PGP145" s="7"/>
      <c r="PGQ145" s="7"/>
      <c r="PGR145" s="7"/>
      <c r="PGS145" s="7"/>
      <c r="PGT145" s="7"/>
      <c r="PGU145" s="7"/>
      <c r="PGV145" s="7"/>
      <c r="PGW145" s="7"/>
      <c r="PGX145" s="7"/>
      <c r="PGY145" s="7"/>
      <c r="PGZ145" s="7"/>
      <c r="PHA145" s="7"/>
      <c r="PHB145" s="7"/>
      <c r="PHC145" s="7"/>
      <c r="PHD145" s="7"/>
      <c r="PHE145" s="7"/>
      <c r="PHF145" s="7"/>
      <c r="PHG145" s="7"/>
      <c r="PHH145" s="7"/>
      <c r="PHI145" s="7"/>
      <c r="PHJ145" s="7"/>
      <c r="PHK145" s="7"/>
      <c r="PHL145" s="7"/>
      <c r="PHM145" s="7"/>
      <c r="PHN145" s="7"/>
      <c r="PHO145" s="7"/>
      <c r="PHP145" s="7"/>
      <c r="PHQ145" s="7"/>
      <c r="PHR145" s="7"/>
      <c r="PHS145" s="7"/>
      <c r="PHT145" s="7"/>
      <c r="PHU145" s="7"/>
      <c r="PHV145" s="7"/>
      <c r="PHW145" s="7"/>
      <c r="PHX145" s="7"/>
      <c r="PHY145" s="7"/>
      <c r="PHZ145" s="7"/>
      <c r="PIA145" s="7"/>
      <c r="PIB145" s="7"/>
      <c r="PIC145" s="7"/>
      <c r="PID145" s="7"/>
      <c r="PIE145" s="7"/>
      <c r="PIF145" s="7"/>
      <c r="PIG145" s="7"/>
      <c r="PIH145" s="7"/>
      <c r="PII145" s="7"/>
      <c r="PIJ145" s="7"/>
      <c r="PIK145" s="7"/>
      <c r="PIL145" s="7"/>
      <c r="PIM145" s="7"/>
      <c r="PIN145" s="7"/>
      <c r="PIO145" s="7"/>
      <c r="PIP145" s="7"/>
      <c r="PIQ145" s="7"/>
      <c r="PIR145" s="7"/>
      <c r="PIS145" s="7"/>
      <c r="PIT145" s="7"/>
      <c r="PIU145" s="7"/>
      <c r="PIV145" s="7"/>
      <c r="PIW145" s="7"/>
      <c r="PIX145" s="7"/>
      <c r="PIY145" s="7"/>
      <c r="PIZ145" s="7"/>
      <c r="PJA145" s="7"/>
      <c r="PJB145" s="7"/>
      <c r="PJC145" s="7"/>
      <c r="PJD145" s="7"/>
      <c r="PJE145" s="7"/>
      <c r="PJF145" s="7"/>
      <c r="PJG145" s="7"/>
      <c r="PJH145" s="7"/>
      <c r="PJI145" s="7"/>
      <c r="PJJ145" s="7"/>
      <c r="PJK145" s="7"/>
      <c r="PJL145" s="7"/>
      <c r="PJM145" s="7"/>
      <c r="PJN145" s="7"/>
      <c r="PJO145" s="7"/>
      <c r="PJP145" s="7"/>
      <c r="PJQ145" s="7"/>
      <c r="PJR145" s="7"/>
      <c r="PJS145" s="7"/>
      <c r="PJT145" s="7"/>
      <c r="PJU145" s="7"/>
      <c r="PJV145" s="7"/>
      <c r="PJW145" s="7"/>
      <c r="PJX145" s="7"/>
      <c r="PJY145" s="7"/>
      <c r="PJZ145" s="7"/>
      <c r="PKA145" s="7"/>
      <c r="PKB145" s="7"/>
      <c r="PKC145" s="7"/>
      <c r="PKD145" s="7"/>
      <c r="PKE145" s="7"/>
      <c r="PKF145" s="7"/>
      <c r="PKG145" s="7"/>
      <c r="PKH145" s="7"/>
      <c r="PKI145" s="7"/>
      <c r="PKJ145" s="7"/>
      <c r="PKK145" s="7"/>
      <c r="PKL145" s="7"/>
      <c r="PKM145" s="7"/>
      <c r="PKN145" s="7"/>
      <c r="PKO145" s="7"/>
      <c r="PKP145" s="7"/>
      <c r="PKQ145" s="7"/>
      <c r="PKR145" s="7"/>
      <c r="PKS145" s="7"/>
      <c r="PKT145" s="7"/>
      <c r="PKU145" s="7"/>
      <c r="PKV145" s="7"/>
      <c r="PKW145" s="7"/>
      <c r="PKX145" s="7"/>
      <c r="PKY145" s="7"/>
      <c r="PKZ145" s="7"/>
      <c r="PLA145" s="7"/>
      <c r="PLB145" s="7"/>
      <c r="PLC145" s="7"/>
      <c r="PLD145" s="7"/>
      <c r="PLE145" s="7"/>
      <c r="PLF145" s="7"/>
      <c r="PLG145" s="7"/>
      <c r="PLH145" s="7"/>
      <c r="PLI145" s="7"/>
      <c r="PLJ145" s="7"/>
      <c r="PLK145" s="7"/>
      <c r="PLL145" s="7"/>
      <c r="PLM145" s="7"/>
      <c r="PLN145" s="7"/>
      <c r="PLO145" s="7"/>
      <c r="PLP145" s="7"/>
      <c r="PLQ145" s="7"/>
      <c r="PLR145" s="7"/>
      <c r="PLS145" s="7"/>
      <c r="PLT145" s="7"/>
      <c r="PLU145" s="7"/>
      <c r="PLV145" s="7"/>
      <c r="PLW145" s="7"/>
      <c r="PLX145" s="7"/>
      <c r="PLY145" s="7"/>
      <c r="PLZ145" s="7"/>
      <c r="PMA145" s="7"/>
      <c r="PMB145" s="7"/>
      <c r="PMC145" s="7"/>
      <c r="PMD145" s="7"/>
      <c r="PME145" s="7"/>
      <c r="PMF145" s="7"/>
      <c r="PMG145" s="7"/>
      <c r="PMH145" s="7"/>
      <c r="PMI145" s="7"/>
      <c r="PMJ145" s="7"/>
      <c r="PMK145" s="7"/>
      <c r="PML145" s="7"/>
      <c r="PMM145" s="7"/>
      <c r="PMN145" s="7"/>
      <c r="PMO145" s="7"/>
      <c r="PMP145" s="7"/>
      <c r="PMQ145" s="7"/>
      <c r="PMR145" s="7"/>
      <c r="PMS145" s="7"/>
      <c r="PMT145" s="7"/>
      <c r="PMU145" s="7"/>
      <c r="PMV145" s="7"/>
      <c r="PMW145" s="7"/>
      <c r="PMX145" s="7"/>
      <c r="PMY145" s="7"/>
      <c r="PMZ145" s="7"/>
      <c r="PNA145" s="7"/>
      <c r="PNB145" s="7"/>
      <c r="PNC145" s="7"/>
      <c r="PND145" s="7"/>
      <c r="PNE145" s="7"/>
      <c r="PNF145" s="7"/>
      <c r="PNG145" s="7"/>
      <c r="PNH145" s="7"/>
      <c r="PNI145" s="7"/>
      <c r="PNJ145" s="7"/>
      <c r="PNK145" s="7"/>
      <c r="PNL145" s="7"/>
      <c r="PNM145" s="7"/>
      <c r="PNN145" s="7"/>
      <c r="PNO145" s="7"/>
      <c r="PNP145" s="7"/>
      <c r="PNQ145" s="7"/>
      <c r="PNR145" s="7"/>
      <c r="PNS145" s="7"/>
      <c r="PNT145" s="7"/>
      <c r="PNU145" s="7"/>
      <c r="PNV145" s="7"/>
      <c r="PNW145" s="7"/>
      <c r="PNX145" s="7"/>
      <c r="PNY145" s="7"/>
      <c r="PNZ145" s="7"/>
      <c r="POA145" s="7"/>
      <c r="POB145" s="7"/>
      <c r="POC145" s="7"/>
      <c r="POD145" s="7"/>
      <c r="POE145" s="7"/>
      <c r="POF145" s="7"/>
      <c r="POG145" s="7"/>
      <c r="POH145" s="7"/>
      <c r="POI145" s="7"/>
      <c r="POJ145" s="7"/>
      <c r="POK145" s="7"/>
      <c r="POL145" s="7"/>
      <c r="POM145" s="7"/>
      <c r="PON145" s="7"/>
      <c r="POO145" s="7"/>
      <c r="POP145" s="7"/>
      <c r="POQ145" s="7"/>
      <c r="POR145" s="7"/>
      <c r="POS145" s="7"/>
      <c r="POT145" s="7"/>
      <c r="POU145" s="7"/>
      <c r="POV145" s="7"/>
      <c r="POW145" s="7"/>
      <c r="POX145" s="7"/>
      <c r="POY145" s="7"/>
      <c r="POZ145" s="7"/>
      <c r="PPA145" s="7"/>
      <c r="PPB145" s="7"/>
      <c r="PPC145" s="7"/>
      <c r="PPD145" s="7"/>
      <c r="PPE145" s="7"/>
      <c r="PPF145" s="7"/>
      <c r="PPG145" s="7"/>
      <c r="PPH145" s="7"/>
      <c r="PPI145" s="7"/>
      <c r="PPJ145" s="7"/>
      <c r="PPK145" s="7"/>
      <c r="PPL145" s="7"/>
      <c r="PPM145" s="7"/>
      <c r="PPN145" s="7"/>
      <c r="PPO145" s="7"/>
      <c r="PPP145" s="7"/>
      <c r="PPQ145" s="7"/>
      <c r="PPR145" s="7"/>
      <c r="PPS145" s="7"/>
      <c r="PPT145" s="7"/>
      <c r="PPU145" s="7"/>
      <c r="PPV145" s="7"/>
      <c r="PPW145" s="7"/>
      <c r="PPX145" s="7"/>
      <c r="PPY145" s="7"/>
      <c r="PPZ145" s="7"/>
      <c r="PQA145" s="7"/>
      <c r="PQB145" s="7"/>
      <c r="PQC145" s="7"/>
      <c r="PQD145" s="7"/>
      <c r="PQE145" s="7"/>
      <c r="PQF145" s="7"/>
      <c r="PQG145" s="7"/>
      <c r="PQH145" s="7"/>
      <c r="PQI145" s="7"/>
      <c r="PQJ145" s="7"/>
      <c r="PQK145" s="7"/>
      <c r="PQL145" s="7"/>
      <c r="PQM145" s="7"/>
      <c r="PQN145" s="7"/>
      <c r="PQO145" s="7"/>
      <c r="PQP145" s="7"/>
      <c r="PQQ145" s="7"/>
      <c r="PQR145" s="7"/>
      <c r="PQS145" s="7"/>
      <c r="PQT145" s="7"/>
      <c r="PQU145" s="7"/>
      <c r="PQV145" s="7"/>
      <c r="PQW145" s="7"/>
      <c r="PQX145" s="7"/>
      <c r="PQY145" s="7"/>
      <c r="PQZ145" s="7"/>
      <c r="PRA145" s="7"/>
      <c r="PRB145" s="7"/>
      <c r="PRC145" s="7"/>
      <c r="PRD145" s="7"/>
      <c r="PRE145" s="7"/>
      <c r="PRF145" s="7"/>
      <c r="PRG145" s="7"/>
      <c r="PRH145" s="7"/>
      <c r="PRI145" s="7"/>
      <c r="PRJ145" s="7"/>
      <c r="PRK145" s="7"/>
      <c r="PRL145" s="7"/>
      <c r="PRM145" s="7"/>
      <c r="PRN145" s="7"/>
      <c r="PRO145" s="7"/>
      <c r="PRP145" s="7"/>
      <c r="PRQ145" s="7"/>
      <c r="PRR145" s="7"/>
      <c r="PRS145" s="7"/>
      <c r="PRT145" s="7"/>
      <c r="PRU145" s="7"/>
      <c r="PRV145" s="7"/>
      <c r="PRW145" s="7"/>
      <c r="PRX145" s="7"/>
      <c r="PRY145" s="7"/>
      <c r="PRZ145" s="7"/>
      <c r="PSA145" s="7"/>
      <c r="PSB145" s="7"/>
      <c r="PSC145" s="7"/>
      <c r="PSD145" s="7"/>
      <c r="PSE145" s="7"/>
      <c r="PSF145" s="7"/>
      <c r="PSG145" s="7"/>
      <c r="PSH145" s="7"/>
      <c r="PSI145" s="7"/>
      <c r="PSJ145" s="7"/>
      <c r="PSK145" s="7"/>
      <c r="PSL145" s="7"/>
      <c r="PSM145" s="7"/>
      <c r="PSN145" s="7"/>
      <c r="PSO145" s="7"/>
      <c r="PSP145" s="7"/>
      <c r="PSQ145" s="7"/>
      <c r="PSR145" s="7"/>
      <c r="PSS145" s="7"/>
      <c r="PST145" s="7"/>
      <c r="PSU145" s="7"/>
      <c r="PSV145" s="7"/>
      <c r="PSW145" s="7"/>
      <c r="PSX145" s="7"/>
      <c r="PSY145" s="7"/>
      <c r="PSZ145" s="7"/>
      <c r="PTA145" s="7"/>
      <c r="PTB145" s="7"/>
      <c r="PTC145" s="7"/>
      <c r="PTD145" s="7"/>
      <c r="PTE145" s="7"/>
      <c r="PTF145" s="7"/>
      <c r="PTG145" s="7"/>
      <c r="PTH145" s="7"/>
      <c r="PTI145" s="7"/>
      <c r="PTJ145" s="7"/>
      <c r="PTK145" s="7"/>
      <c r="PTL145" s="7"/>
      <c r="PTM145" s="7"/>
      <c r="PTN145" s="7"/>
      <c r="PTO145" s="7"/>
      <c r="PTP145" s="7"/>
      <c r="PTQ145" s="7"/>
      <c r="PTR145" s="7"/>
      <c r="PTS145" s="7"/>
      <c r="PTT145" s="7"/>
      <c r="PTU145" s="7"/>
      <c r="PTV145" s="7"/>
      <c r="PTW145" s="7"/>
      <c r="PTX145" s="7"/>
      <c r="PTY145" s="7"/>
      <c r="PTZ145" s="7"/>
      <c r="PUA145" s="7"/>
      <c r="PUB145" s="7"/>
      <c r="PUC145" s="7"/>
      <c r="PUD145" s="7"/>
      <c r="PUE145" s="7"/>
      <c r="PUF145" s="7"/>
      <c r="PUG145" s="7"/>
      <c r="PUH145" s="7"/>
      <c r="PUI145" s="7"/>
      <c r="PUJ145" s="7"/>
      <c r="PUK145" s="7"/>
      <c r="PUL145" s="7"/>
      <c r="PUM145" s="7"/>
      <c r="PUN145" s="7"/>
      <c r="PUO145" s="7"/>
      <c r="PUP145" s="7"/>
      <c r="PUQ145" s="7"/>
      <c r="PUR145" s="7"/>
      <c r="PUS145" s="7"/>
      <c r="PUT145" s="7"/>
      <c r="PUU145" s="7"/>
      <c r="PUV145" s="7"/>
      <c r="PUW145" s="7"/>
      <c r="PUX145" s="7"/>
      <c r="PUY145" s="7"/>
      <c r="PUZ145" s="7"/>
      <c r="PVA145" s="7"/>
      <c r="PVB145" s="7"/>
      <c r="PVC145" s="7"/>
      <c r="PVD145" s="7"/>
      <c r="PVE145" s="7"/>
      <c r="PVF145" s="7"/>
      <c r="PVG145" s="7"/>
      <c r="PVH145" s="7"/>
      <c r="PVI145" s="7"/>
      <c r="PVJ145" s="7"/>
      <c r="PVK145" s="7"/>
      <c r="PVL145" s="7"/>
      <c r="PVM145" s="7"/>
      <c r="PVN145" s="7"/>
      <c r="PVO145" s="7"/>
      <c r="PVP145" s="7"/>
      <c r="PVQ145" s="7"/>
      <c r="PVR145" s="7"/>
      <c r="PVS145" s="7"/>
      <c r="PVT145" s="7"/>
      <c r="PVU145" s="7"/>
      <c r="PVV145" s="7"/>
      <c r="PVW145" s="7"/>
      <c r="PVX145" s="7"/>
      <c r="PVY145" s="7"/>
      <c r="PVZ145" s="7"/>
      <c r="PWA145" s="7"/>
      <c r="PWB145" s="7"/>
      <c r="PWC145" s="7"/>
      <c r="PWD145" s="7"/>
      <c r="PWE145" s="7"/>
      <c r="PWF145" s="7"/>
      <c r="PWG145" s="7"/>
      <c r="PWH145" s="7"/>
      <c r="PWI145" s="7"/>
      <c r="PWJ145" s="7"/>
      <c r="PWK145" s="7"/>
      <c r="PWL145" s="7"/>
      <c r="PWM145" s="7"/>
      <c r="PWN145" s="7"/>
      <c r="PWO145" s="7"/>
      <c r="PWP145" s="7"/>
      <c r="PWQ145" s="7"/>
      <c r="PWR145" s="7"/>
      <c r="PWS145" s="7"/>
      <c r="PWT145" s="7"/>
      <c r="PWU145" s="7"/>
      <c r="PWV145" s="7"/>
      <c r="PWW145" s="7"/>
      <c r="PWX145" s="7"/>
      <c r="PWY145" s="7"/>
      <c r="PWZ145" s="7"/>
      <c r="PXA145" s="7"/>
      <c r="PXB145" s="7"/>
      <c r="PXC145" s="7"/>
      <c r="PXD145" s="7"/>
      <c r="PXE145" s="7"/>
      <c r="PXF145" s="7"/>
      <c r="PXG145" s="7"/>
      <c r="PXH145" s="7"/>
      <c r="PXI145" s="7"/>
      <c r="PXJ145" s="7"/>
      <c r="PXK145" s="7"/>
      <c r="PXL145" s="7"/>
      <c r="PXM145" s="7"/>
      <c r="PXN145" s="7"/>
      <c r="PXO145" s="7"/>
      <c r="PXP145" s="7"/>
      <c r="PXQ145" s="7"/>
      <c r="PXR145" s="7"/>
      <c r="PXS145" s="7"/>
      <c r="PXT145" s="7"/>
      <c r="PXU145" s="7"/>
      <c r="PXV145" s="7"/>
      <c r="PXW145" s="7"/>
      <c r="PXX145" s="7"/>
      <c r="PXY145" s="7"/>
      <c r="PXZ145" s="7"/>
      <c r="PYA145" s="7"/>
      <c r="PYB145" s="7"/>
      <c r="PYC145" s="7"/>
      <c r="PYD145" s="7"/>
      <c r="PYE145" s="7"/>
      <c r="PYF145" s="7"/>
      <c r="PYG145" s="7"/>
      <c r="PYH145" s="7"/>
      <c r="PYI145" s="7"/>
      <c r="PYJ145" s="7"/>
      <c r="PYK145" s="7"/>
      <c r="PYL145" s="7"/>
      <c r="PYM145" s="7"/>
      <c r="PYN145" s="7"/>
      <c r="PYO145" s="7"/>
      <c r="PYP145" s="7"/>
      <c r="PYQ145" s="7"/>
      <c r="PYR145" s="7"/>
      <c r="PYS145" s="7"/>
      <c r="PYT145" s="7"/>
      <c r="PYU145" s="7"/>
      <c r="PYV145" s="7"/>
      <c r="PYW145" s="7"/>
      <c r="PYX145" s="7"/>
      <c r="PYY145" s="7"/>
      <c r="PYZ145" s="7"/>
      <c r="PZA145" s="7"/>
      <c r="PZB145" s="7"/>
      <c r="PZC145" s="7"/>
      <c r="PZD145" s="7"/>
      <c r="PZE145" s="7"/>
      <c r="PZF145" s="7"/>
      <c r="PZG145" s="7"/>
      <c r="PZH145" s="7"/>
      <c r="PZI145" s="7"/>
      <c r="PZJ145" s="7"/>
      <c r="PZK145" s="7"/>
      <c r="PZL145" s="7"/>
      <c r="PZM145" s="7"/>
      <c r="PZN145" s="7"/>
      <c r="PZO145" s="7"/>
      <c r="PZP145" s="7"/>
      <c r="PZQ145" s="7"/>
      <c r="PZR145" s="7"/>
      <c r="PZS145" s="7"/>
      <c r="PZT145" s="7"/>
      <c r="PZU145" s="7"/>
      <c r="PZV145" s="7"/>
      <c r="PZW145" s="7"/>
      <c r="PZX145" s="7"/>
      <c r="PZY145" s="7"/>
      <c r="PZZ145" s="7"/>
      <c r="QAA145" s="7"/>
      <c r="QAB145" s="7"/>
      <c r="QAC145" s="7"/>
      <c r="QAD145" s="7"/>
      <c r="QAE145" s="7"/>
      <c r="QAF145" s="7"/>
      <c r="QAG145" s="7"/>
      <c r="QAH145" s="7"/>
      <c r="QAI145" s="7"/>
      <c r="QAJ145" s="7"/>
      <c r="QAK145" s="7"/>
      <c r="QAL145" s="7"/>
      <c r="QAM145" s="7"/>
      <c r="QAN145" s="7"/>
      <c r="QAO145" s="7"/>
      <c r="QAP145" s="7"/>
      <c r="QAQ145" s="7"/>
      <c r="QAR145" s="7"/>
      <c r="QAS145" s="7"/>
      <c r="QAT145" s="7"/>
      <c r="QAU145" s="7"/>
      <c r="QAV145" s="7"/>
      <c r="QAW145" s="7"/>
      <c r="QAX145" s="7"/>
      <c r="QAY145" s="7"/>
      <c r="QAZ145" s="7"/>
      <c r="QBA145" s="7"/>
      <c r="QBB145" s="7"/>
      <c r="QBC145" s="7"/>
      <c r="QBD145" s="7"/>
      <c r="QBE145" s="7"/>
      <c r="QBF145" s="7"/>
      <c r="QBG145" s="7"/>
      <c r="QBH145" s="7"/>
      <c r="QBI145" s="7"/>
      <c r="QBJ145" s="7"/>
      <c r="QBK145" s="7"/>
      <c r="QBL145" s="7"/>
      <c r="QBM145" s="7"/>
      <c r="QBN145" s="7"/>
      <c r="QBO145" s="7"/>
      <c r="QBP145" s="7"/>
      <c r="QBQ145" s="7"/>
      <c r="QBR145" s="7"/>
      <c r="QBS145" s="7"/>
      <c r="QBT145" s="7"/>
      <c r="QBU145" s="7"/>
      <c r="QBV145" s="7"/>
      <c r="QBW145" s="7"/>
      <c r="QBX145" s="7"/>
      <c r="QBY145" s="7"/>
      <c r="QBZ145" s="7"/>
      <c r="QCA145" s="7"/>
      <c r="QCB145" s="7"/>
      <c r="QCC145" s="7"/>
      <c r="QCD145" s="7"/>
      <c r="QCE145" s="7"/>
      <c r="QCF145" s="7"/>
      <c r="QCG145" s="7"/>
      <c r="QCH145" s="7"/>
      <c r="QCI145" s="7"/>
      <c r="QCJ145" s="7"/>
      <c r="QCK145" s="7"/>
      <c r="QCL145" s="7"/>
      <c r="QCM145" s="7"/>
      <c r="QCN145" s="7"/>
      <c r="QCO145" s="7"/>
      <c r="QCP145" s="7"/>
      <c r="QCQ145" s="7"/>
      <c r="QCR145" s="7"/>
      <c r="QCS145" s="7"/>
      <c r="QCT145" s="7"/>
      <c r="QCU145" s="7"/>
      <c r="QCV145" s="7"/>
      <c r="QCW145" s="7"/>
      <c r="QCX145" s="7"/>
      <c r="QCY145" s="7"/>
      <c r="QCZ145" s="7"/>
      <c r="QDA145" s="7"/>
      <c r="QDB145" s="7"/>
      <c r="QDC145" s="7"/>
      <c r="QDD145" s="7"/>
      <c r="QDE145" s="7"/>
      <c r="QDF145" s="7"/>
      <c r="QDG145" s="7"/>
      <c r="QDH145" s="7"/>
      <c r="QDI145" s="7"/>
      <c r="QDJ145" s="7"/>
      <c r="QDK145" s="7"/>
      <c r="QDL145" s="7"/>
      <c r="QDM145" s="7"/>
      <c r="QDN145" s="7"/>
      <c r="QDO145" s="7"/>
      <c r="QDP145" s="7"/>
      <c r="QDQ145" s="7"/>
      <c r="QDR145" s="7"/>
      <c r="QDS145" s="7"/>
      <c r="QDT145" s="7"/>
      <c r="QDU145" s="7"/>
      <c r="QDV145" s="7"/>
      <c r="QDW145" s="7"/>
      <c r="QDX145" s="7"/>
      <c r="QDY145" s="7"/>
      <c r="QDZ145" s="7"/>
      <c r="QEA145" s="7"/>
      <c r="QEB145" s="7"/>
      <c r="QEC145" s="7"/>
      <c r="QED145" s="7"/>
      <c r="QEE145" s="7"/>
      <c r="QEF145" s="7"/>
      <c r="QEG145" s="7"/>
      <c r="QEH145" s="7"/>
      <c r="QEI145" s="7"/>
      <c r="QEJ145" s="7"/>
      <c r="QEK145" s="7"/>
      <c r="QEL145" s="7"/>
      <c r="QEM145" s="7"/>
      <c r="QEN145" s="7"/>
      <c r="QEO145" s="7"/>
      <c r="QEP145" s="7"/>
      <c r="QEQ145" s="7"/>
      <c r="QER145" s="7"/>
      <c r="QES145" s="7"/>
      <c r="QET145" s="7"/>
      <c r="QEU145" s="7"/>
      <c r="QEV145" s="7"/>
      <c r="QEW145" s="7"/>
      <c r="QEX145" s="7"/>
      <c r="QEY145" s="7"/>
      <c r="QEZ145" s="7"/>
      <c r="QFA145" s="7"/>
      <c r="QFB145" s="7"/>
      <c r="QFC145" s="7"/>
      <c r="QFD145" s="7"/>
      <c r="QFE145" s="7"/>
      <c r="QFF145" s="7"/>
      <c r="QFG145" s="7"/>
      <c r="QFH145" s="7"/>
      <c r="QFI145" s="7"/>
      <c r="QFJ145" s="7"/>
      <c r="QFK145" s="7"/>
      <c r="QFL145" s="7"/>
      <c r="QFM145" s="7"/>
      <c r="QFN145" s="7"/>
      <c r="QFO145" s="7"/>
      <c r="QFP145" s="7"/>
      <c r="QFQ145" s="7"/>
      <c r="QFR145" s="7"/>
      <c r="QFS145" s="7"/>
      <c r="QFT145" s="7"/>
      <c r="QFU145" s="7"/>
      <c r="QFV145" s="7"/>
      <c r="QFW145" s="7"/>
      <c r="QFX145" s="7"/>
      <c r="QFY145" s="7"/>
      <c r="QFZ145" s="7"/>
      <c r="QGA145" s="7"/>
      <c r="QGB145" s="7"/>
      <c r="QGC145" s="7"/>
      <c r="QGD145" s="7"/>
      <c r="QGE145" s="7"/>
      <c r="QGF145" s="7"/>
      <c r="QGG145" s="7"/>
      <c r="QGH145" s="7"/>
      <c r="QGI145" s="7"/>
      <c r="QGJ145" s="7"/>
      <c r="QGK145" s="7"/>
      <c r="QGL145" s="7"/>
      <c r="QGM145" s="7"/>
      <c r="QGN145" s="7"/>
      <c r="QGO145" s="7"/>
      <c r="QGP145" s="7"/>
      <c r="QGQ145" s="7"/>
      <c r="QGR145" s="7"/>
      <c r="QGS145" s="7"/>
      <c r="QGT145" s="7"/>
      <c r="QGU145" s="7"/>
      <c r="QGV145" s="7"/>
      <c r="QGW145" s="7"/>
      <c r="QGX145" s="7"/>
      <c r="QGY145" s="7"/>
      <c r="QGZ145" s="7"/>
      <c r="QHA145" s="7"/>
      <c r="QHB145" s="7"/>
      <c r="QHC145" s="7"/>
      <c r="QHD145" s="7"/>
      <c r="QHE145" s="7"/>
      <c r="QHF145" s="7"/>
      <c r="QHG145" s="7"/>
      <c r="QHH145" s="7"/>
      <c r="QHI145" s="7"/>
      <c r="QHJ145" s="7"/>
      <c r="QHK145" s="7"/>
      <c r="QHL145" s="7"/>
      <c r="QHM145" s="7"/>
      <c r="QHN145" s="7"/>
      <c r="QHO145" s="7"/>
      <c r="QHP145" s="7"/>
      <c r="QHQ145" s="7"/>
      <c r="QHR145" s="7"/>
      <c r="QHS145" s="7"/>
      <c r="QHT145" s="7"/>
      <c r="QHU145" s="7"/>
      <c r="QHV145" s="7"/>
      <c r="QHW145" s="7"/>
      <c r="QHX145" s="7"/>
      <c r="QHY145" s="7"/>
      <c r="QHZ145" s="7"/>
      <c r="QIA145" s="7"/>
      <c r="QIB145" s="7"/>
      <c r="QIC145" s="7"/>
      <c r="QID145" s="7"/>
      <c r="QIE145" s="7"/>
      <c r="QIF145" s="7"/>
      <c r="QIG145" s="7"/>
      <c r="QIH145" s="7"/>
      <c r="QII145" s="7"/>
      <c r="QIJ145" s="7"/>
      <c r="QIK145" s="7"/>
      <c r="QIL145" s="7"/>
      <c r="QIM145" s="7"/>
      <c r="QIN145" s="7"/>
      <c r="QIO145" s="7"/>
      <c r="QIP145" s="7"/>
      <c r="QIQ145" s="7"/>
      <c r="QIR145" s="7"/>
      <c r="QIS145" s="7"/>
      <c r="QIT145" s="7"/>
      <c r="QIU145" s="7"/>
      <c r="QIV145" s="7"/>
      <c r="QIW145" s="7"/>
      <c r="QIX145" s="7"/>
      <c r="QIY145" s="7"/>
      <c r="QIZ145" s="7"/>
      <c r="QJA145" s="7"/>
      <c r="QJB145" s="7"/>
      <c r="QJC145" s="7"/>
      <c r="QJD145" s="7"/>
      <c r="QJE145" s="7"/>
      <c r="QJF145" s="7"/>
      <c r="QJG145" s="7"/>
      <c r="QJH145" s="7"/>
      <c r="QJI145" s="7"/>
      <c r="QJJ145" s="7"/>
      <c r="QJK145" s="7"/>
      <c r="QJL145" s="7"/>
      <c r="QJM145" s="7"/>
      <c r="QJN145" s="7"/>
      <c r="QJO145" s="7"/>
      <c r="QJP145" s="7"/>
      <c r="QJQ145" s="7"/>
      <c r="QJR145" s="7"/>
      <c r="QJS145" s="7"/>
      <c r="QJT145" s="7"/>
      <c r="QJU145" s="7"/>
      <c r="QJV145" s="7"/>
      <c r="QJW145" s="7"/>
      <c r="QJX145" s="7"/>
      <c r="QJY145" s="7"/>
      <c r="QJZ145" s="7"/>
      <c r="QKA145" s="7"/>
      <c r="QKB145" s="7"/>
      <c r="QKC145" s="7"/>
      <c r="QKD145" s="7"/>
      <c r="QKE145" s="7"/>
      <c r="QKF145" s="7"/>
      <c r="QKG145" s="7"/>
      <c r="QKH145" s="7"/>
      <c r="QKI145" s="7"/>
      <c r="QKJ145" s="7"/>
      <c r="QKK145" s="7"/>
      <c r="QKL145" s="7"/>
      <c r="QKM145" s="7"/>
      <c r="QKN145" s="7"/>
      <c r="QKO145" s="7"/>
      <c r="QKP145" s="7"/>
      <c r="QKQ145" s="7"/>
      <c r="QKR145" s="7"/>
      <c r="QKS145" s="7"/>
      <c r="QKT145" s="7"/>
      <c r="QKU145" s="7"/>
      <c r="QKV145" s="7"/>
      <c r="QKW145" s="7"/>
      <c r="QKX145" s="7"/>
      <c r="QKY145" s="7"/>
      <c r="QKZ145" s="7"/>
      <c r="QLA145" s="7"/>
      <c r="QLB145" s="7"/>
      <c r="QLC145" s="7"/>
      <c r="QLD145" s="7"/>
      <c r="QLE145" s="7"/>
      <c r="QLF145" s="7"/>
      <c r="QLG145" s="7"/>
      <c r="QLH145" s="7"/>
      <c r="QLI145" s="7"/>
      <c r="QLJ145" s="7"/>
      <c r="QLK145" s="7"/>
      <c r="QLL145" s="7"/>
      <c r="QLM145" s="7"/>
      <c r="QLN145" s="7"/>
      <c r="QLO145" s="7"/>
      <c r="QLP145" s="7"/>
      <c r="QLQ145" s="7"/>
      <c r="QLR145" s="7"/>
      <c r="QLS145" s="7"/>
      <c r="QLT145" s="7"/>
      <c r="QLU145" s="7"/>
      <c r="QLV145" s="7"/>
      <c r="QLW145" s="7"/>
      <c r="QLX145" s="7"/>
      <c r="QLY145" s="7"/>
      <c r="QLZ145" s="7"/>
      <c r="QMA145" s="7"/>
      <c r="QMB145" s="7"/>
      <c r="QMC145" s="7"/>
      <c r="QMD145" s="7"/>
      <c r="QME145" s="7"/>
      <c r="QMF145" s="7"/>
      <c r="QMG145" s="7"/>
      <c r="QMH145" s="7"/>
      <c r="QMI145" s="7"/>
      <c r="QMJ145" s="7"/>
      <c r="QMK145" s="7"/>
      <c r="QML145" s="7"/>
      <c r="QMM145" s="7"/>
      <c r="QMN145" s="7"/>
      <c r="QMO145" s="7"/>
      <c r="QMP145" s="7"/>
      <c r="QMQ145" s="7"/>
      <c r="QMR145" s="7"/>
      <c r="QMS145" s="7"/>
      <c r="QMT145" s="7"/>
      <c r="QMU145" s="7"/>
      <c r="QMV145" s="7"/>
      <c r="QMW145" s="7"/>
      <c r="QMX145" s="7"/>
      <c r="QMY145" s="7"/>
      <c r="QMZ145" s="7"/>
      <c r="QNA145" s="7"/>
      <c r="QNB145" s="7"/>
      <c r="QNC145" s="7"/>
      <c r="QND145" s="7"/>
      <c r="QNE145" s="7"/>
      <c r="QNF145" s="7"/>
      <c r="QNG145" s="7"/>
      <c r="QNH145" s="7"/>
      <c r="QNI145" s="7"/>
      <c r="QNJ145" s="7"/>
      <c r="QNK145" s="7"/>
      <c r="QNL145" s="7"/>
      <c r="QNM145" s="7"/>
      <c r="QNN145" s="7"/>
      <c r="QNO145" s="7"/>
      <c r="QNP145" s="7"/>
      <c r="QNQ145" s="7"/>
      <c r="QNR145" s="7"/>
      <c r="QNS145" s="7"/>
      <c r="QNT145" s="7"/>
      <c r="QNU145" s="7"/>
      <c r="QNV145" s="7"/>
      <c r="QNW145" s="7"/>
      <c r="QNX145" s="7"/>
      <c r="QNY145" s="7"/>
      <c r="QNZ145" s="7"/>
      <c r="QOA145" s="7"/>
      <c r="QOB145" s="7"/>
      <c r="QOC145" s="7"/>
      <c r="QOD145" s="7"/>
      <c r="QOE145" s="7"/>
      <c r="QOF145" s="7"/>
      <c r="QOG145" s="7"/>
      <c r="QOH145" s="7"/>
      <c r="QOI145" s="7"/>
      <c r="QOJ145" s="7"/>
      <c r="QOK145" s="7"/>
      <c r="QOL145" s="7"/>
      <c r="QOM145" s="7"/>
      <c r="QON145" s="7"/>
      <c r="QOO145" s="7"/>
      <c r="QOP145" s="7"/>
      <c r="QOQ145" s="7"/>
      <c r="QOR145" s="7"/>
      <c r="QOS145" s="7"/>
      <c r="QOT145" s="7"/>
      <c r="QOU145" s="7"/>
      <c r="QOV145" s="7"/>
      <c r="QOW145" s="7"/>
      <c r="QOX145" s="7"/>
      <c r="QOY145" s="7"/>
      <c r="QOZ145" s="7"/>
      <c r="QPA145" s="7"/>
      <c r="QPB145" s="7"/>
      <c r="QPC145" s="7"/>
      <c r="QPD145" s="7"/>
      <c r="QPE145" s="7"/>
      <c r="QPF145" s="7"/>
      <c r="QPG145" s="7"/>
      <c r="QPH145" s="7"/>
      <c r="QPI145" s="7"/>
      <c r="QPJ145" s="7"/>
      <c r="QPK145" s="7"/>
      <c r="QPL145" s="7"/>
      <c r="QPM145" s="7"/>
      <c r="QPN145" s="7"/>
      <c r="QPO145" s="7"/>
      <c r="QPP145" s="7"/>
      <c r="QPQ145" s="7"/>
      <c r="QPR145" s="7"/>
      <c r="QPS145" s="7"/>
      <c r="QPT145" s="7"/>
      <c r="QPU145" s="7"/>
      <c r="QPV145" s="7"/>
      <c r="QPW145" s="7"/>
      <c r="QPX145" s="7"/>
      <c r="QPY145" s="7"/>
      <c r="QPZ145" s="7"/>
      <c r="QQA145" s="7"/>
      <c r="QQB145" s="7"/>
      <c r="QQC145" s="7"/>
      <c r="QQD145" s="7"/>
      <c r="QQE145" s="7"/>
      <c r="QQF145" s="7"/>
      <c r="QQG145" s="7"/>
      <c r="QQH145" s="7"/>
      <c r="QQI145" s="7"/>
      <c r="QQJ145" s="7"/>
      <c r="QQK145" s="7"/>
      <c r="QQL145" s="7"/>
      <c r="QQM145" s="7"/>
      <c r="QQN145" s="7"/>
      <c r="QQO145" s="7"/>
      <c r="QQP145" s="7"/>
      <c r="QQQ145" s="7"/>
      <c r="QQR145" s="7"/>
      <c r="QQS145" s="7"/>
      <c r="QQT145" s="7"/>
      <c r="QQU145" s="7"/>
      <c r="QQV145" s="7"/>
      <c r="QQW145" s="7"/>
      <c r="QQX145" s="7"/>
      <c r="QQY145" s="7"/>
      <c r="QQZ145" s="7"/>
      <c r="QRA145" s="7"/>
      <c r="QRB145" s="7"/>
      <c r="QRC145" s="7"/>
      <c r="QRD145" s="7"/>
      <c r="QRE145" s="7"/>
      <c r="QRF145" s="7"/>
      <c r="QRG145" s="7"/>
      <c r="QRH145" s="7"/>
      <c r="QRI145" s="7"/>
      <c r="QRJ145" s="7"/>
      <c r="QRK145" s="7"/>
      <c r="QRL145" s="7"/>
      <c r="QRM145" s="7"/>
      <c r="QRN145" s="7"/>
      <c r="QRO145" s="7"/>
      <c r="QRP145" s="7"/>
      <c r="QRQ145" s="7"/>
      <c r="QRR145" s="7"/>
      <c r="QRS145" s="7"/>
      <c r="QRT145" s="7"/>
      <c r="QRU145" s="7"/>
      <c r="QRV145" s="7"/>
      <c r="QRW145" s="7"/>
      <c r="QRX145" s="7"/>
      <c r="QRY145" s="7"/>
      <c r="QRZ145" s="7"/>
      <c r="QSA145" s="7"/>
      <c r="QSB145" s="7"/>
      <c r="QSC145" s="7"/>
      <c r="QSD145" s="7"/>
      <c r="QSE145" s="7"/>
      <c r="QSF145" s="7"/>
      <c r="QSG145" s="7"/>
      <c r="QSH145" s="7"/>
      <c r="QSI145" s="7"/>
      <c r="QSJ145" s="7"/>
      <c r="QSK145" s="7"/>
      <c r="QSL145" s="7"/>
      <c r="QSM145" s="7"/>
      <c r="QSN145" s="7"/>
      <c r="QSO145" s="7"/>
      <c r="QSP145" s="7"/>
      <c r="QSQ145" s="7"/>
      <c r="QSR145" s="7"/>
      <c r="QSS145" s="7"/>
      <c r="QST145" s="7"/>
      <c r="QSU145" s="7"/>
      <c r="QSV145" s="7"/>
      <c r="QSW145" s="7"/>
      <c r="QSX145" s="7"/>
      <c r="QSY145" s="7"/>
      <c r="QSZ145" s="7"/>
      <c r="QTA145" s="7"/>
      <c r="QTB145" s="7"/>
      <c r="QTC145" s="7"/>
      <c r="QTD145" s="7"/>
      <c r="QTE145" s="7"/>
      <c r="QTF145" s="7"/>
      <c r="QTG145" s="7"/>
      <c r="QTH145" s="7"/>
      <c r="QTI145" s="7"/>
      <c r="QTJ145" s="7"/>
      <c r="QTK145" s="7"/>
      <c r="QTL145" s="7"/>
      <c r="QTM145" s="7"/>
      <c r="QTN145" s="7"/>
      <c r="QTO145" s="7"/>
      <c r="QTP145" s="7"/>
      <c r="QTQ145" s="7"/>
      <c r="QTR145" s="7"/>
      <c r="QTS145" s="7"/>
      <c r="QTT145" s="7"/>
      <c r="QTU145" s="7"/>
      <c r="QTV145" s="7"/>
      <c r="QTW145" s="7"/>
      <c r="QTX145" s="7"/>
      <c r="QTY145" s="7"/>
      <c r="QTZ145" s="7"/>
      <c r="QUA145" s="7"/>
      <c r="QUB145" s="7"/>
      <c r="QUC145" s="7"/>
      <c r="QUD145" s="7"/>
      <c r="QUE145" s="7"/>
      <c r="QUF145" s="7"/>
      <c r="QUG145" s="7"/>
      <c r="QUH145" s="7"/>
      <c r="QUI145" s="7"/>
      <c r="QUJ145" s="7"/>
      <c r="QUK145" s="7"/>
      <c r="QUL145" s="7"/>
      <c r="QUM145" s="7"/>
      <c r="QUN145" s="7"/>
      <c r="QUO145" s="7"/>
      <c r="QUP145" s="7"/>
      <c r="QUQ145" s="7"/>
      <c r="QUR145" s="7"/>
      <c r="QUS145" s="7"/>
      <c r="QUT145" s="7"/>
      <c r="QUU145" s="7"/>
      <c r="QUV145" s="7"/>
      <c r="QUW145" s="7"/>
      <c r="QUX145" s="7"/>
      <c r="QUY145" s="7"/>
      <c r="QUZ145" s="7"/>
      <c r="QVA145" s="7"/>
      <c r="QVB145" s="7"/>
      <c r="QVC145" s="7"/>
      <c r="QVD145" s="7"/>
      <c r="QVE145" s="7"/>
      <c r="QVF145" s="7"/>
      <c r="QVG145" s="7"/>
      <c r="QVH145" s="7"/>
      <c r="QVI145" s="7"/>
      <c r="QVJ145" s="7"/>
      <c r="QVK145" s="7"/>
      <c r="QVL145" s="7"/>
      <c r="QVM145" s="7"/>
      <c r="QVN145" s="7"/>
      <c r="QVO145" s="7"/>
      <c r="QVP145" s="7"/>
      <c r="QVQ145" s="7"/>
      <c r="QVR145" s="7"/>
      <c r="QVS145" s="7"/>
      <c r="QVT145" s="7"/>
      <c r="QVU145" s="7"/>
      <c r="QVV145" s="7"/>
      <c r="QVW145" s="7"/>
      <c r="QVX145" s="7"/>
      <c r="QVY145" s="7"/>
      <c r="QVZ145" s="7"/>
      <c r="QWA145" s="7"/>
      <c r="QWB145" s="7"/>
      <c r="QWC145" s="7"/>
      <c r="QWD145" s="7"/>
      <c r="QWE145" s="7"/>
      <c r="QWF145" s="7"/>
      <c r="QWG145" s="7"/>
      <c r="QWH145" s="7"/>
      <c r="QWI145" s="7"/>
      <c r="QWJ145" s="7"/>
      <c r="QWK145" s="7"/>
      <c r="QWL145" s="7"/>
      <c r="QWM145" s="7"/>
      <c r="QWN145" s="7"/>
      <c r="QWO145" s="7"/>
      <c r="QWP145" s="7"/>
      <c r="QWQ145" s="7"/>
      <c r="QWR145" s="7"/>
      <c r="QWS145" s="7"/>
      <c r="QWT145" s="7"/>
      <c r="QWU145" s="7"/>
      <c r="QWV145" s="7"/>
      <c r="QWW145" s="7"/>
      <c r="QWX145" s="7"/>
      <c r="QWY145" s="7"/>
      <c r="QWZ145" s="7"/>
      <c r="QXA145" s="7"/>
      <c r="QXB145" s="7"/>
      <c r="QXC145" s="7"/>
      <c r="QXD145" s="7"/>
      <c r="QXE145" s="7"/>
      <c r="QXF145" s="7"/>
      <c r="QXG145" s="7"/>
      <c r="QXH145" s="7"/>
      <c r="QXI145" s="7"/>
      <c r="QXJ145" s="7"/>
      <c r="QXK145" s="7"/>
      <c r="QXL145" s="7"/>
      <c r="QXM145" s="7"/>
      <c r="QXN145" s="7"/>
      <c r="QXO145" s="7"/>
      <c r="QXP145" s="7"/>
      <c r="QXQ145" s="7"/>
      <c r="QXR145" s="7"/>
      <c r="QXS145" s="7"/>
      <c r="QXT145" s="7"/>
      <c r="QXU145" s="7"/>
      <c r="QXV145" s="7"/>
      <c r="QXW145" s="7"/>
      <c r="QXX145" s="7"/>
      <c r="QXY145" s="7"/>
      <c r="QXZ145" s="7"/>
      <c r="QYA145" s="7"/>
      <c r="QYB145" s="7"/>
      <c r="QYC145" s="7"/>
      <c r="QYD145" s="7"/>
      <c r="QYE145" s="7"/>
      <c r="QYF145" s="7"/>
      <c r="QYG145" s="7"/>
      <c r="QYH145" s="7"/>
      <c r="QYI145" s="7"/>
      <c r="QYJ145" s="7"/>
      <c r="QYK145" s="7"/>
      <c r="QYL145" s="7"/>
      <c r="QYM145" s="7"/>
      <c r="QYN145" s="7"/>
      <c r="QYO145" s="7"/>
      <c r="QYP145" s="7"/>
      <c r="QYQ145" s="7"/>
      <c r="QYR145" s="7"/>
      <c r="QYS145" s="7"/>
      <c r="QYT145" s="7"/>
      <c r="QYU145" s="7"/>
      <c r="QYV145" s="7"/>
      <c r="QYW145" s="7"/>
      <c r="QYX145" s="7"/>
      <c r="QYY145" s="7"/>
      <c r="QYZ145" s="7"/>
      <c r="QZA145" s="7"/>
      <c r="QZB145" s="7"/>
      <c r="QZC145" s="7"/>
      <c r="QZD145" s="7"/>
      <c r="QZE145" s="7"/>
      <c r="QZF145" s="7"/>
      <c r="QZG145" s="7"/>
      <c r="QZH145" s="7"/>
      <c r="QZI145" s="7"/>
      <c r="QZJ145" s="7"/>
      <c r="QZK145" s="7"/>
      <c r="QZL145" s="7"/>
      <c r="QZM145" s="7"/>
      <c r="QZN145" s="7"/>
      <c r="QZO145" s="7"/>
      <c r="QZP145" s="7"/>
      <c r="QZQ145" s="7"/>
      <c r="QZR145" s="7"/>
      <c r="QZS145" s="7"/>
      <c r="QZT145" s="7"/>
      <c r="QZU145" s="7"/>
      <c r="QZV145" s="7"/>
      <c r="QZW145" s="7"/>
      <c r="QZX145" s="7"/>
      <c r="QZY145" s="7"/>
      <c r="QZZ145" s="7"/>
      <c r="RAA145" s="7"/>
      <c r="RAB145" s="7"/>
      <c r="RAC145" s="7"/>
      <c r="RAD145" s="7"/>
      <c r="RAE145" s="7"/>
      <c r="RAF145" s="7"/>
      <c r="RAG145" s="7"/>
      <c r="RAH145" s="7"/>
      <c r="RAI145" s="7"/>
      <c r="RAJ145" s="7"/>
      <c r="RAK145" s="7"/>
      <c r="RAL145" s="7"/>
      <c r="RAM145" s="7"/>
      <c r="RAN145" s="7"/>
      <c r="RAO145" s="7"/>
      <c r="RAP145" s="7"/>
      <c r="RAQ145" s="7"/>
      <c r="RAR145" s="7"/>
      <c r="RAS145" s="7"/>
      <c r="RAT145" s="7"/>
      <c r="RAU145" s="7"/>
      <c r="RAV145" s="7"/>
      <c r="RAW145" s="7"/>
      <c r="RAX145" s="7"/>
      <c r="RAY145" s="7"/>
      <c r="RAZ145" s="7"/>
      <c r="RBA145" s="7"/>
      <c r="RBB145" s="7"/>
      <c r="RBC145" s="7"/>
      <c r="RBD145" s="7"/>
      <c r="RBE145" s="7"/>
      <c r="RBF145" s="7"/>
      <c r="RBG145" s="7"/>
      <c r="RBH145" s="7"/>
      <c r="RBI145" s="7"/>
      <c r="RBJ145" s="7"/>
      <c r="RBK145" s="7"/>
      <c r="RBL145" s="7"/>
      <c r="RBM145" s="7"/>
      <c r="RBN145" s="7"/>
      <c r="RBO145" s="7"/>
      <c r="RBP145" s="7"/>
      <c r="RBQ145" s="7"/>
      <c r="RBR145" s="7"/>
      <c r="RBS145" s="7"/>
      <c r="RBT145" s="7"/>
      <c r="RBU145" s="7"/>
      <c r="RBV145" s="7"/>
      <c r="RBW145" s="7"/>
      <c r="RBX145" s="7"/>
      <c r="RBY145" s="7"/>
      <c r="RBZ145" s="7"/>
      <c r="RCA145" s="7"/>
      <c r="RCB145" s="7"/>
      <c r="RCC145" s="7"/>
      <c r="RCD145" s="7"/>
      <c r="RCE145" s="7"/>
      <c r="RCF145" s="7"/>
      <c r="RCG145" s="7"/>
      <c r="RCH145" s="7"/>
      <c r="RCI145" s="7"/>
      <c r="RCJ145" s="7"/>
      <c r="RCK145" s="7"/>
      <c r="RCL145" s="7"/>
      <c r="RCM145" s="7"/>
      <c r="RCN145" s="7"/>
      <c r="RCO145" s="7"/>
      <c r="RCP145" s="7"/>
      <c r="RCQ145" s="7"/>
      <c r="RCR145" s="7"/>
      <c r="RCS145" s="7"/>
      <c r="RCT145" s="7"/>
      <c r="RCU145" s="7"/>
      <c r="RCV145" s="7"/>
      <c r="RCW145" s="7"/>
      <c r="RCX145" s="7"/>
      <c r="RCY145" s="7"/>
      <c r="RCZ145" s="7"/>
      <c r="RDA145" s="7"/>
      <c r="RDB145" s="7"/>
      <c r="RDC145" s="7"/>
      <c r="RDD145" s="7"/>
      <c r="RDE145" s="7"/>
      <c r="RDF145" s="7"/>
      <c r="RDG145" s="7"/>
      <c r="RDH145" s="7"/>
      <c r="RDI145" s="7"/>
      <c r="RDJ145" s="7"/>
      <c r="RDK145" s="7"/>
      <c r="RDL145" s="7"/>
      <c r="RDM145" s="7"/>
      <c r="RDN145" s="7"/>
      <c r="RDO145" s="7"/>
      <c r="RDP145" s="7"/>
      <c r="RDQ145" s="7"/>
      <c r="RDR145" s="7"/>
      <c r="RDS145" s="7"/>
      <c r="RDT145" s="7"/>
      <c r="RDU145" s="7"/>
      <c r="RDV145" s="7"/>
      <c r="RDW145" s="7"/>
      <c r="RDX145" s="7"/>
      <c r="RDY145" s="7"/>
      <c r="RDZ145" s="7"/>
      <c r="REA145" s="7"/>
      <c r="REB145" s="7"/>
      <c r="REC145" s="7"/>
      <c r="RED145" s="7"/>
      <c r="REE145" s="7"/>
      <c r="REF145" s="7"/>
      <c r="REG145" s="7"/>
      <c r="REH145" s="7"/>
      <c r="REI145" s="7"/>
      <c r="REJ145" s="7"/>
      <c r="REK145" s="7"/>
      <c r="REL145" s="7"/>
      <c r="REM145" s="7"/>
      <c r="REN145" s="7"/>
      <c r="REO145" s="7"/>
      <c r="REP145" s="7"/>
      <c r="REQ145" s="7"/>
      <c r="RER145" s="7"/>
      <c r="RES145" s="7"/>
      <c r="RET145" s="7"/>
      <c r="REU145" s="7"/>
      <c r="REV145" s="7"/>
      <c r="REW145" s="7"/>
      <c r="REX145" s="7"/>
      <c r="REY145" s="7"/>
      <c r="REZ145" s="7"/>
      <c r="RFA145" s="7"/>
      <c r="RFB145" s="7"/>
      <c r="RFC145" s="7"/>
      <c r="RFD145" s="7"/>
      <c r="RFE145" s="7"/>
      <c r="RFF145" s="7"/>
      <c r="RFG145" s="7"/>
      <c r="RFH145" s="7"/>
      <c r="RFI145" s="7"/>
      <c r="RFJ145" s="7"/>
      <c r="RFK145" s="7"/>
      <c r="RFL145" s="7"/>
      <c r="RFM145" s="7"/>
      <c r="RFN145" s="7"/>
      <c r="RFO145" s="7"/>
      <c r="RFP145" s="7"/>
      <c r="RFQ145" s="7"/>
      <c r="RFR145" s="7"/>
      <c r="RFS145" s="7"/>
      <c r="RFT145" s="7"/>
      <c r="RFU145" s="7"/>
      <c r="RFV145" s="7"/>
      <c r="RFW145" s="7"/>
      <c r="RFX145" s="7"/>
      <c r="RFY145" s="7"/>
      <c r="RFZ145" s="7"/>
      <c r="RGA145" s="7"/>
      <c r="RGB145" s="7"/>
      <c r="RGC145" s="7"/>
      <c r="RGD145" s="7"/>
      <c r="RGE145" s="7"/>
      <c r="RGF145" s="7"/>
      <c r="RGG145" s="7"/>
      <c r="RGH145" s="7"/>
      <c r="RGI145" s="7"/>
      <c r="RGJ145" s="7"/>
      <c r="RGK145" s="7"/>
      <c r="RGL145" s="7"/>
      <c r="RGM145" s="7"/>
      <c r="RGN145" s="7"/>
      <c r="RGO145" s="7"/>
      <c r="RGP145" s="7"/>
      <c r="RGQ145" s="7"/>
      <c r="RGR145" s="7"/>
      <c r="RGS145" s="7"/>
      <c r="RGT145" s="7"/>
      <c r="RGU145" s="7"/>
      <c r="RGV145" s="7"/>
      <c r="RGW145" s="7"/>
      <c r="RGX145" s="7"/>
      <c r="RGY145" s="7"/>
      <c r="RGZ145" s="7"/>
      <c r="RHA145" s="7"/>
      <c r="RHB145" s="7"/>
      <c r="RHC145" s="7"/>
      <c r="RHD145" s="7"/>
      <c r="RHE145" s="7"/>
      <c r="RHF145" s="7"/>
      <c r="RHG145" s="7"/>
      <c r="RHH145" s="7"/>
      <c r="RHI145" s="7"/>
      <c r="RHJ145" s="7"/>
      <c r="RHK145" s="7"/>
      <c r="RHL145" s="7"/>
      <c r="RHM145" s="7"/>
      <c r="RHN145" s="7"/>
      <c r="RHO145" s="7"/>
      <c r="RHP145" s="7"/>
      <c r="RHQ145" s="7"/>
      <c r="RHR145" s="7"/>
      <c r="RHS145" s="7"/>
      <c r="RHT145" s="7"/>
      <c r="RHU145" s="7"/>
      <c r="RHV145" s="7"/>
      <c r="RHW145" s="7"/>
      <c r="RHX145" s="7"/>
      <c r="RHY145" s="7"/>
      <c r="RHZ145" s="7"/>
      <c r="RIA145" s="7"/>
      <c r="RIB145" s="7"/>
      <c r="RIC145" s="7"/>
      <c r="RID145" s="7"/>
      <c r="RIE145" s="7"/>
      <c r="RIF145" s="7"/>
      <c r="RIG145" s="7"/>
      <c r="RIH145" s="7"/>
      <c r="RII145" s="7"/>
      <c r="RIJ145" s="7"/>
      <c r="RIK145" s="7"/>
      <c r="RIL145" s="7"/>
      <c r="RIM145" s="7"/>
      <c r="RIN145" s="7"/>
      <c r="RIO145" s="7"/>
      <c r="RIP145" s="7"/>
      <c r="RIQ145" s="7"/>
      <c r="RIR145" s="7"/>
      <c r="RIS145" s="7"/>
      <c r="RIT145" s="7"/>
      <c r="RIU145" s="7"/>
      <c r="RIV145" s="7"/>
      <c r="RIW145" s="7"/>
      <c r="RIX145" s="7"/>
      <c r="RIY145" s="7"/>
      <c r="RIZ145" s="7"/>
      <c r="RJA145" s="7"/>
      <c r="RJB145" s="7"/>
      <c r="RJC145" s="7"/>
      <c r="RJD145" s="7"/>
      <c r="RJE145" s="7"/>
      <c r="RJF145" s="7"/>
      <c r="RJG145" s="7"/>
      <c r="RJH145" s="7"/>
      <c r="RJI145" s="7"/>
      <c r="RJJ145" s="7"/>
      <c r="RJK145" s="7"/>
      <c r="RJL145" s="7"/>
      <c r="RJM145" s="7"/>
      <c r="RJN145" s="7"/>
      <c r="RJO145" s="7"/>
      <c r="RJP145" s="7"/>
      <c r="RJQ145" s="7"/>
      <c r="RJR145" s="7"/>
      <c r="RJS145" s="7"/>
      <c r="RJT145" s="7"/>
      <c r="RJU145" s="7"/>
      <c r="RJV145" s="7"/>
      <c r="RJW145" s="7"/>
      <c r="RJX145" s="7"/>
      <c r="RJY145" s="7"/>
      <c r="RJZ145" s="7"/>
      <c r="RKA145" s="7"/>
      <c r="RKB145" s="7"/>
      <c r="RKC145" s="7"/>
      <c r="RKD145" s="7"/>
      <c r="RKE145" s="7"/>
      <c r="RKF145" s="7"/>
      <c r="RKG145" s="7"/>
      <c r="RKH145" s="7"/>
      <c r="RKI145" s="7"/>
      <c r="RKJ145" s="7"/>
      <c r="RKK145" s="7"/>
      <c r="RKL145" s="7"/>
      <c r="RKM145" s="7"/>
      <c r="RKN145" s="7"/>
      <c r="RKO145" s="7"/>
      <c r="RKP145" s="7"/>
      <c r="RKQ145" s="7"/>
      <c r="RKR145" s="7"/>
      <c r="RKS145" s="7"/>
      <c r="RKT145" s="7"/>
      <c r="RKU145" s="7"/>
      <c r="RKV145" s="7"/>
      <c r="RKW145" s="7"/>
      <c r="RKX145" s="7"/>
      <c r="RKY145" s="7"/>
      <c r="RKZ145" s="7"/>
      <c r="RLA145" s="7"/>
      <c r="RLB145" s="7"/>
      <c r="RLC145" s="7"/>
      <c r="RLD145" s="7"/>
      <c r="RLE145" s="7"/>
      <c r="RLF145" s="7"/>
      <c r="RLG145" s="7"/>
      <c r="RLH145" s="7"/>
      <c r="RLI145" s="7"/>
      <c r="RLJ145" s="7"/>
      <c r="RLK145" s="7"/>
      <c r="RLL145" s="7"/>
      <c r="RLM145" s="7"/>
      <c r="RLN145" s="7"/>
      <c r="RLO145" s="7"/>
      <c r="RLP145" s="7"/>
      <c r="RLQ145" s="7"/>
      <c r="RLR145" s="7"/>
      <c r="RLS145" s="7"/>
      <c r="RLT145" s="7"/>
      <c r="RLU145" s="7"/>
      <c r="RLV145" s="7"/>
      <c r="RLW145" s="7"/>
      <c r="RLX145" s="7"/>
      <c r="RLY145" s="7"/>
      <c r="RLZ145" s="7"/>
      <c r="RMA145" s="7"/>
      <c r="RMB145" s="7"/>
      <c r="RMC145" s="7"/>
      <c r="RMD145" s="7"/>
      <c r="RME145" s="7"/>
      <c r="RMF145" s="7"/>
      <c r="RMG145" s="7"/>
      <c r="RMH145" s="7"/>
      <c r="RMI145" s="7"/>
      <c r="RMJ145" s="7"/>
      <c r="RMK145" s="7"/>
      <c r="RML145" s="7"/>
      <c r="RMM145" s="7"/>
      <c r="RMN145" s="7"/>
      <c r="RMO145" s="7"/>
      <c r="RMP145" s="7"/>
      <c r="RMQ145" s="7"/>
      <c r="RMR145" s="7"/>
      <c r="RMS145" s="7"/>
      <c r="RMT145" s="7"/>
      <c r="RMU145" s="7"/>
      <c r="RMV145" s="7"/>
      <c r="RMW145" s="7"/>
      <c r="RMX145" s="7"/>
      <c r="RMY145" s="7"/>
      <c r="RMZ145" s="7"/>
      <c r="RNA145" s="7"/>
      <c r="RNB145" s="7"/>
      <c r="RNC145" s="7"/>
      <c r="RND145" s="7"/>
      <c r="RNE145" s="7"/>
      <c r="RNF145" s="7"/>
      <c r="RNG145" s="7"/>
      <c r="RNH145" s="7"/>
      <c r="RNI145" s="7"/>
      <c r="RNJ145" s="7"/>
      <c r="RNK145" s="7"/>
      <c r="RNL145" s="7"/>
      <c r="RNM145" s="7"/>
      <c r="RNN145" s="7"/>
      <c r="RNO145" s="7"/>
      <c r="RNP145" s="7"/>
      <c r="RNQ145" s="7"/>
      <c r="RNR145" s="7"/>
      <c r="RNS145" s="7"/>
      <c r="RNT145" s="7"/>
      <c r="RNU145" s="7"/>
      <c r="RNV145" s="7"/>
      <c r="RNW145" s="7"/>
      <c r="RNX145" s="7"/>
      <c r="RNY145" s="7"/>
      <c r="RNZ145" s="7"/>
      <c r="ROA145" s="7"/>
      <c r="ROB145" s="7"/>
      <c r="ROC145" s="7"/>
      <c r="ROD145" s="7"/>
      <c r="ROE145" s="7"/>
      <c r="ROF145" s="7"/>
      <c r="ROG145" s="7"/>
      <c r="ROH145" s="7"/>
      <c r="ROI145" s="7"/>
      <c r="ROJ145" s="7"/>
      <c r="ROK145" s="7"/>
      <c r="ROL145" s="7"/>
      <c r="ROM145" s="7"/>
      <c r="RON145" s="7"/>
      <c r="ROO145" s="7"/>
      <c r="ROP145" s="7"/>
      <c r="ROQ145" s="7"/>
      <c r="ROR145" s="7"/>
      <c r="ROS145" s="7"/>
      <c r="ROT145" s="7"/>
      <c r="ROU145" s="7"/>
      <c r="ROV145" s="7"/>
      <c r="ROW145" s="7"/>
      <c r="ROX145" s="7"/>
      <c r="ROY145" s="7"/>
      <c r="ROZ145" s="7"/>
      <c r="RPA145" s="7"/>
      <c r="RPB145" s="7"/>
      <c r="RPC145" s="7"/>
      <c r="RPD145" s="7"/>
      <c r="RPE145" s="7"/>
      <c r="RPF145" s="7"/>
      <c r="RPG145" s="7"/>
      <c r="RPH145" s="7"/>
      <c r="RPI145" s="7"/>
      <c r="RPJ145" s="7"/>
      <c r="RPK145" s="7"/>
      <c r="RPL145" s="7"/>
      <c r="RPM145" s="7"/>
      <c r="RPN145" s="7"/>
      <c r="RPO145" s="7"/>
      <c r="RPP145" s="7"/>
      <c r="RPQ145" s="7"/>
      <c r="RPR145" s="7"/>
      <c r="RPS145" s="7"/>
      <c r="RPT145" s="7"/>
      <c r="RPU145" s="7"/>
      <c r="RPV145" s="7"/>
      <c r="RPW145" s="7"/>
      <c r="RPX145" s="7"/>
      <c r="RPY145" s="7"/>
      <c r="RPZ145" s="7"/>
      <c r="RQA145" s="7"/>
      <c r="RQB145" s="7"/>
      <c r="RQC145" s="7"/>
      <c r="RQD145" s="7"/>
      <c r="RQE145" s="7"/>
      <c r="RQF145" s="7"/>
      <c r="RQG145" s="7"/>
      <c r="RQH145" s="7"/>
      <c r="RQI145" s="7"/>
      <c r="RQJ145" s="7"/>
      <c r="RQK145" s="7"/>
      <c r="RQL145" s="7"/>
      <c r="RQM145" s="7"/>
      <c r="RQN145" s="7"/>
      <c r="RQO145" s="7"/>
      <c r="RQP145" s="7"/>
      <c r="RQQ145" s="7"/>
      <c r="RQR145" s="7"/>
      <c r="RQS145" s="7"/>
      <c r="RQT145" s="7"/>
      <c r="RQU145" s="7"/>
      <c r="RQV145" s="7"/>
      <c r="RQW145" s="7"/>
      <c r="RQX145" s="7"/>
      <c r="RQY145" s="7"/>
      <c r="RQZ145" s="7"/>
      <c r="RRA145" s="7"/>
      <c r="RRB145" s="7"/>
      <c r="RRC145" s="7"/>
      <c r="RRD145" s="7"/>
      <c r="RRE145" s="7"/>
      <c r="RRF145" s="7"/>
      <c r="RRG145" s="7"/>
      <c r="RRH145" s="7"/>
      <c r="RRI145" s="7"/>
      <c r="RRJ145" s="7"/>
      <c r="RRK145" s="7"/>
      <c r="RRL145" s="7"/>
      <c r="RRM145" s="7"/>
      <c r="RRN145" s="7"/>
      <c r="RRO145" s="7"/>
      <c r="RRP145" s="7"/>
      <c r="RRQ145" s="7"/>
      <c r="RRR145" s="7"/>
      <c r="RRS145" s="7"/>
      <c r="RRT145" s="7"/>
      <c r="RRU145" s="7"/>
      <c r="RRV145" s="7"/>
      <c r="RRW145" s="7"/>
      <c r="RRX145" s="7"/>
      <c r="RRY145" s="7"/>
      <c r="RRZ145" s="7"/>
      <c r="RSA145" s="7"/>
      <c r="RSB145" s="7"/>
      <c r="RSC145" s="7"/>
      <c r="RSD145" s="7"/>
      <c r="RSE145" s="7"/>
      <c r="RSF145" s="7"/>
      <c r="RSG145" s="7"/>
      <c r="RSH145" s="7"/>
      <c r="RSI145" s="7"/>
      <c r="RSJ145" s="7"/>
      <c r="RSK145" s="7"/>
      <c r="RSL145" s="7"/>
      <c r="RSM145" s="7"/>
      <c r="RSN145" s="7"/>
      <c r="RSO145" s="7"/>
      <c r="RSP145" s="7"/>
      <c r="RSQ145" s="7"/>
      <c r="RSR145" s="7"/>
      <c r="RSS145" s="7"/>
      <c r="RST145" s="7"/>
      <c r="RSU145" s="7"/>
      <c r="RSV145" s="7"/>
      <c r="RSW145" s="7"/>
      <c r="RSX145" s="7"/>
      <c r="RSY145" s="7"/>
      <c r="RSZ145" s="7"/>
      <c r="RTA145" s="7"/>
      <c r="RTB145" s="7"/>
      <c r="RTC145" s="7"/>
      <c r="RTD145" s="7"/>
      <c r="RTE145" s="7"/>
      <c r="RTF145" s="7"/>
      <c r="RTG145" s="7"/>
      <c r="RTH145" s="7"/>
      <c r="RTI145" s="7"/>
      <c r="RTJ145" s="7"/>
      <c r="RTK145" s="7"/>
      <c r="RTL145" s="7"/>
      <c r="RTM145" s="7"/>
      <c r="RTN145" s="7"/>
      <c r="RTO145" s="7"/>
      <c r="RTP145" s="7"/>
      <c r="RTQ145" s="7"/>
      <c r="RTR145" s="7"/>
      <c r="RTS145" s="7"/>
      <c r="RTT145" s="7"/>
      <c r="RTU145" s="7"/>
      <c r="RTV145" s="7"/>
      <c r="RTW145" s="7"/>
      <c r="RTX145" s="7"/>
      <c r="RTY145" s="7"/>
      <c r="RTZ145" s="7"/>
      <c r="RUA145" s="7"/>
      <c r="RUB145" s="7"/>
      <c r="RUC145" s="7"/>
      <c r="RUD145" s="7"/>
      <c r="RUE145" s="7"/>
      <c r="RUF145" s="7"/>
      <c r="RUG145" s="7"/>
      <c r="RUH145" s="7"/>
      <c r="RUI145" s="7"/>
      <c r="RUJ145" s="7"/>
      <c r="RUK145" s="7"/>
      <c r="RUL145" s="7"/>
      <c r="RUM145" s="7"/>
      <c r="RUN145" s="7"/>
      <c r="RUO145" s="7"/>
      <c r="RUP145" s="7"/>
      <c r="RUQ145" s="7"/>
      <c r="RUR145" s="7"/>
      <c r="RUS145" s="7"/>
      <c r="RUT145" s="7"/>
      <c r="RUU145" s="7"/>
      <c r="RUV145" s="7"/>
      <c r="RUW145" s="7"/>
      <c r="RUX145" s="7"/>
      <c r="RUY145" s="7"/>
      <c r="RUZ145" s="7"/>
      <c r="RVA145" s="7"/>
      <c r="RVB145" s="7"/>
      <c r="RVC145" s="7"/>
      <c r="RVD145" s="7"/>
      <c r="RVE145" s="7"/>
      <c r="RVF145" s="7"/>
      <c r="RVG145" s="7"/>
      <c r="RVH145" s="7"/>
      <c r="RVI145" s="7"/>
      <c r="RVJ145" s="7"/>
      <c r="RVK145" s="7"/>
      <c r="RVL145" s="7"/>
      <c r="RVM145" s="7"/>
      <c r="RVN145" s="7"/>
      <c r="RVO145" s="7"/>
      <c r="RVP145" s="7"/>
      <c r="RVQ145" s="7"/>
      <c r="RVR145" s="7"/>
      <c r="RVS145" s="7"/>
      <c r="RVT145" s="7"/>
      <c r="RVU145" s="7"/>
      <c r="RVV145" s="7"/>
      <c r="RVW145" s="7"/>
      <c r="RVX145" s="7"/>
      <c r="RVY145" s="7"/>
      <c r="RVZ145" s="7"/>
      <c r="RWA145" s="7"/>
      <c r="RWB145" s="7"/>
      <c r="RWC145" s="7"/>
      <c r="RWD145" s="7"/>
      <c r="RWE145" s="7"/>
      <c r="RWF145" s="7"/>
      <c r="RWG145" s="7"/>
      <c r="RWH145" s="7"/>
      <c r="RWI145" s="7"/>
      <c r="RWJ145" s="7"/>
      <c r="RWK145" s="7"/>
      <c r="RWL145" s="7"/>
      <c r="RWM145" s="7"/>
      <c r="RWN145" s="7"/>
      <c r="RWO145" s="7"/>
      <c r="RWP145" s="7"/>
      <c r="RWQ145" s="7"/>
      <c r="RWR145" s="7"/>
      <c r="RWS145" s="7"/>
      <c r="RWT145" s="7"/>
      <c r="RWU145" s="7"/>
      <c r="RWV145" s="7"/>
      <c r="RWW145" s="7"/>
      <c r="RWX145" s="7"/>
      <c r="RWY145" s="7"/>
      <c r="RWZ145" s="7"/>
      <c r="RXA145" s="7"/>
      <c r="RXB145" s="7"/>
      <c r="RXC145" s="7"/>
      <c r="RXD145" s="7"/>
      <c r="RXE145" s="7"/>
      <c r="RXF145" s="7"/>
      <c r="RXG145" s="7"/>
      <c r="RXH145" s="7"/>
      <c r="RXI145" s="7"/>
      <c r="RXJ145" s="7"/>
      <c r="RXK145" s="7"/>
      <c r="RXL145" s="7"/>
      <c r="RXM145" s="7"/>
      <c r="RXN145" s="7"/>
      <c r="RXO145" s="7"/>
      <c r="RXP145" s="7"/>
      <c r="RXQ145" s="7"/>
      <c r="RXR145" s="7"/>
      <c r="RXS145" s="7"/>
      <c r="RXT145" s="7"/>
      <c r="RXU145" s="7"/>
      <c r="RXV145" s="7"/>
      <c r="RXW145" s="7"/>
      <c r="RXX145" s="7"/>
      <c r="RXY145" s="7"/>
      <c r="RXZ145" s="7"/>
      <c r="RYA145" s="7"/>
      <c r="RYB145" s="7"/>
      <c r="RYC145" s="7"/>
      <c r="RYD145" s="7"/>
      <c r="RYE145" s="7"/>
      <c r="RYF145" s="7"/>
      <c r="RYG145" s="7"/>
      <c r="RYH145" s="7"/>
      <c r="RYI145" s="7"/>
      <c r="RYJ145" s="7"/>
      <c r="RYK145" s="7"/>
      <c r="RYL145" s="7"/>
      <c r="RYM145" s="7"/>
      <c r="RYN145" s="7"/>
      <c r="RYO145" s="7"/>
      <c r="RYP145" s="7"/>
      <c r="RYQ145" s="7"/>
      <c r="RYR145" s="7"/>
      <c r="RYS145" s="7"/>
      <c r="RYT145" s="7"/>
      <c r="RYU145" s="7"/>
      <c r="RYV145" s="7"/>
      <c r="RYW145" s="7"/>
      <c r="RYX145" s="7"/>
      <c r="RYY145" s="7"/>
      <c r="RYZ145" s="7"/>
      <c r="RZA145" s="7"/>
      <c r="RZB145" s="7"/>
      <c r="RZC145" s="7"/>
      <c r="RZD145" s="7"/>
      <c r="RZE145" s="7"/>
      <c r="RZF145" s="7"/>
      <c r="RZG145" s="7"/>
      <c r="RZH145" s="7"/>
      <c r="RZI145" s="7"/>
      <c r="RZJ145" s="7"/>
      <c r="RZK145" s="7"/>
      <c r="RZL145" s="7"/>
      <c r="RZM145" s="7"/>
      <c r="RZN145" s="7"/>
      <c r="RZO145" s="7"/>
      <c r="RZP145" s="7"/>
      <c r="RZQ145" s="7"/>
      <c r="RZR145" s="7"/>
      <c r="RZS145" s="7"/>
      <c r="RZT145" s="7"/>
      <c r="RZU145" s="7"/>
      <c r="RZV145" s="7"/>
      <c r="RZW145" s="7"/>
      <c r="RZX145" s="7"/>
      <c r="RZY145" s="7"/>
      <c r="RZZ145" s="7"/>
      <c r="SAA145" s="7"/>
      <c r="SAB145" s="7"/>
      <c r="SAC145" s="7"/>
      <c r="SAD145" s="7"/>
      <c r="SAE145" s="7"/>
      <c r="SAF145" s="7"/>
      <c r="SAG145" s="7"/>
      <c r="SAH145" s="7"/>
      <c r="SAI145" s="7"/>
      <c r="SAJ145" s="7"/>
      <c r="SAK145" s="7"/>
      <c r="SAL145" s="7"/>
      <c r="SAM145" s="7"/>
      <c r="SAN145" s="7"/>
      <c r="SAO145" s="7"/>
      <c r="SAP145" s="7"/>
      <c r="SAQ145" s="7"/>
      <c r="SAR145" s="7"/>
      <c r="SAS145" s="7"/>
      <c r="SAT145" s="7"/>
      <c r="SAU145" s="7"/>
      <c r="SAV145" s="7"/>
      <c r="SAW145" s="7"/>
      <c r="SAX145" s="7"/>
      <c r="SAY145" s="7"/>
      <c r="SAZ145" s="7"/>
      <c r="SBA145" s="7"/>
      <c r="SBB145" s="7"/>
      <c r="SBC145" s="7"/>
      <c r="SBD145" s="7"/>
      <c r="SBE145" s="7"/>
      <c r="SBF145" s="7"/>
      <c r="SBG145" s="7"/>
      <c r="SBH145" s="7"/>
      <c r="SBI145" s="7"/>
      <c r="SBJ145" s="7"/>
      <c r="SBK145" s="7"/>
      <c r="SBL145" s="7"/>
      <c r="SBM145" s="7"/>
      <c r="SBN145" s="7"/>
      <c r="SBO145" s="7"/>
      <c r="SBP145" s="7"/>
      <c r="SBQ145" s="7"/>
      <c r="SBR145" s="7"/>
      <c r="SBS145" s="7"/>
      <c r="SBT145" s="7"/>
      <c r="SBU145" s="7"/>
      <c r="SBV145" s="7"/>
      <c r="SBW145" s="7"/>
      <c r="SBX145" s="7"/>
      <c r="SBY145" s="7"/>
      <c r="SBZ145" s="7"/>
      <c r="SCA145" s="7"/>
      <c r="SCB145" s="7"/>
      <c r="SCC145" s="7"/>
      <c r="SCD145" s="7"/>
      <c r="SCE145" s="7"/>
      <c r="SCF145" s="7"/>
      <c r="SCG145" s="7"/>
      <c r="SCH145" s="7"/>
      <c r="SCI145" s="7"/>
      <c r="SCJ145" s="7"/>
      <c r="SCK145" s="7"/>
      <c r="SCL145" s="7"/>
      <c r="SCM145" s="7"/>
      <c r="SCN145" s="7"/>
      <c r="SCO145" s="7"/>
      <c r="SCP145" s="7"/>
      <c r="SCQ145" s="7"/>
      <c r="SCR145" s="7"/>
      <c r="SCS145" s="7"/>
      <c r="SCT145" s="7"/>
      <c r="SCU145" s="7"/>
      <c r="SCV145" s="7"/>
      <c r="SCW145" s="7"/>
      <c r="SCX145" s="7"/>
      <c r="SCY145" s="7"/>
      <c r="SCZ145" s="7"/>
      <c r="SDA145" s="7"/>
      <c r="SDB145" s="7"/>
      <c r="SDC145" s="7"/>
      <c r="SDD145" s="7"/>
      <c r="SDE145" s="7"/>
      <c r="SDF145" s="7"/>
      <c r="SDG145" s="7"/>
      <c r="SDH145" s="7"/>
      <c r="SDI145" s="7"/>
      <c r="SDJ145" s="7"/>
      <c r="SDK145" s="7"/>
      <c r="SDL145" s="7"/>
      <c r="SDM145" s="7"/>
      <c r="SDN145" s="7"/>
      <c r="SDO145" s="7"/>
      <c r="SDP145" s="7"/>
      <c r="SDQ145" s="7"/>
      <c r="SDR145" s="7"/>
      <c r="SDS145" s="7"/>
      <c r="SDT145" s="7"/>
      <c r="SDU145" s="7"/>
      <c r="SDV145" s="7"/>
      <c r="SDW145" s="7"/>
      <c r="SDX145" s="7"/>
      <c r="SDY145" s="7"/>
      <c r="SDZ145" s="7"/>
      <c r="SEA145" s="7"/>
      <c r="SEB145" s="7"/>
      <c r="SEC145" s="7"/>
      <c r="SED145" s="7"/>
      <c r="SEE145" s="7"/>
      <c r="SEF145" s="7"/>
      <c r="SEG145" s="7"/>
      <c r="SEH145" s="7"/>
      <c r="SEI145" s="7"/>
      <c r="SEJ145" s="7"/>
      <c r="SEK145" s="7"/>
      <c r="SEL145" s="7"/>
      <c r="SEM145" s="7"/>
      <c r="SEN145" s="7"/>
      <c r="SEO145" s="7"/>
      <c r="SEP145" s="7"/>
      <c r="SEQ145" s="7"/>
      <c r="SER145" s="7"/>
      <c r="SES145" s="7"/>
      <c r="SET145" s="7"/>
      <c r="SEU145" s="7"/>
      <c r="SEV145" s="7"/>
      <c r="SEW145" s="7"/>
      <c r="SEX145" s="7"/>
      <c r="SEY145" s="7"/>
      <c r="SEZ145" s="7"/>
      <c r="SFA145" s="7"/>
      <c r="SFB145" s="7"/>
      <c r="SFC145" s="7"/>
      <c r="SFD145" s="7"/>
      <c r="SFE145" s="7"/>
      <c r="SFF145" s="7"/>
      <c r="SFG145" s="7"/>
      <c r="SFH145" s="7"/>
      <c r="SFI145" s="7"/>
      <c r="SFJ145" s="7"/>
      <c r="SFK145" s="7"/>
      <c r="SFL145" s="7"/>
      <c r="SFM145" s="7"/>
      <c r="SFN145" s="7"/>
      <c r="SFO145" s="7"/>
      <c r="SFP145" s="7"/>
      <c r="SFQ145" s="7"/>
      <c r="SFR145" s="7"/>
      <c r="SFS145" s="7"/>
      <c r="SFT145" s="7"/>
      <c r="SFU145" s="7"/>
      <c r="SFV145" s="7"/>
      <c r="SFW145" s="7"/>
      <c r="SFX145" s="7"/>
      <c r="SFY145" s="7"/>
      <c r="SFZ145" s="7"/>
      <c r="SGA145" s="7"/>
      <c r="SGB145" s="7"/>
      <c r="SGC145" s="7"/>
      <c r="SGD145" s="7"/>
      <c r="SGE145" s="7"/>
      <c r="SGF145" s="7"/>
      <c r="SGG145" s="7"/>
      <c r="SGH145" s="7"/>
      <c r="SGI145" s="7"/>
      <c r="SGJ145" s="7"/>
      <c r="SGK145" s="7"/>
      <c r="SGL145" s="7"/>
      <c r="SGM145" s="7"/>
      <c r="SGN145" s="7"/>
      <c r="SGO145" s="7"/>
      <c r="SGP145" s="7"/>
      <c r="SGQ145" s="7"/>
      <c r="SGR145" s="7"/>
      <c r="SGS145" s="7"/>
      <c r="SGT145" s="7"/>
      <c r="SGU145" s="7"/>
      <c r="SGV145" s="7"/>
      <c r="SGW145" s="7"/>
      <c r="SGX145" s="7"/>
      <c r="SGY145" s="7"/>
      <c r="SGZ145" s="7"/>
      <c r="SHA145" s="7"/>
      <c r="SHB145" s="7"/>
      <c r="SHC145" s="7"/>
      <c r="SHD145" s="7"/>
      <c r="SHE145" s="7"/>
      <c r="SHF145" s="7"/>
      <c r="SHG145" s="7"/>
      <c r="SHH145" s="7"/>
      <c r="SHI145" s="7"/>
      <c r="SHJ145" s="7"/>
      <c r="SHK145" s="7"/>
      <c r="SHL145" s="7"/>
      <c r="SHM145" s="7"/>
      <c r="SHN145" s="7"/>
      <c r="SHO145" s="7"/>
      <c r="SHP145" s="7"/>
      <c r="SHQ145" s="7"/>
      <c r="SHR145" s="7"/>
      <c r="SHS145" s="7"/>
      <c r="SHT145" s="7"/>
      <c r="SHU145" s="7"/>
      <c r="SHV145" s="7"/>
      <c r="SHW145" s="7"/>
      <c r="SHX145" s="7"/>
      <c r="SHY145" s="7"/>
      <c r="SHZ145" s="7"/>
      <c r="SIA145" s="7"/>
      <c r="SIB145" s="7"/>
      <c r="SIC145" s="7"/>
      <c r="SID145" s="7"/>
      <c r="SIE145" s="7"/>
      <c r="SIF145" s="7"/>
      <c r="SIG145" s="7"/>
      <c r="SIH145" s="7"/>
      <c r="SII145" s="7"/>
      <c r="SIJ145" s="7"/>
      <c r="SIK145" s="7"/>
      <c r="SIL145" s="7"/>
      <c r="SIM145" s="7"/>
      <c r="SIN145" s="7"/>
      <c r="SIO145" s="7"/>
      <c r="SIP145" s="7"/>
      <c r="SIQ145" s="7"/>
      <c r="SIR145" s="7"/>
      <c r="SIS145" s="7"/>
      <c r="SIT145" s="7"/>
      <c r="SIU145" s="7"/>
      <c r="SIV145" s="7"/>
      <c r="SIW145" s="7"/>
      <c r="SIX145" s="7"/>
      <c r="SIY145" s="7"/>
      <c r="SIZ145" s="7"/>
      <c r="SJA145" s="7"/>
      <c r="SJB145" s="7"/>
      <c r="SJC145" s="7"/>
      <c r="SJD145" s="7"/>
      <c r="SJE145" s="7"/>
      <c r="SJF145" s="7"/>
      <c r="SJG145" s="7"/>
      <c r="SJH145" s="7"/>
      <c r="SJI145" s="7"/>
      <c r="SJJ145" s="7"/>
      <c r="SJK145" s="7"/>
      <c r="SJL145" s="7"/>
      <c r="SJM145" s="7"/>
      <c r="SJN145" s="7"/>
      <c r="SJO145" s="7"/>
      <c r="SJP145" s="7"/>
      <c r="SJQ145" s="7"/>
      <c r="SJR145" s="7"/>
      <c r="SJS145" s="7"/>
      <c r="SJT145" s="7"/>
      <c r="SJU145" s="7"/>
      <c r="SJV145" s="7"/>
      <c r="SJW145" s="7"/>
      <c r="SJX145" s="7"/>
      <c r="SJY145" s="7"/>
      <c r="SJZ145" s="7"/>
      <c r="SKA145" s="7"/>
      <c r="SKB145" s="7"/>
      <c r="SKC145" s="7"/>
      <c r="SKD145" s="7"/>
      <c r="SKE145" s="7"/>
      <c r="SKF145" s="7"/>
      <c r="SKG145" s="7"/>
      <c r="SKH145" s="7"/>
      <c r="SKI145" s="7"/>
      <c r="SKJ145" s="7"/>
      <c r="SKK145" s="7"/>
      <c r="SKL145" s="7"/>
      <c r="SKM145" s="7"/>
      <c r="SKN145" s="7"/>
      <c r="SKO145" s="7"/>
      <c r="SKP145" s="7"/>
      <c r="SKQ145" s="7"/>
      <c r="SKR145" s="7"/>
      <c r="SKS145" s="7"/>
      <c r="SKT145" s="7"/>
      <c r="SKU145" s="7"/>
      <c r="SKV145" s="7"/>
      <c r="SKW145" s="7"/>
      <c r="SKX145" s="7"/>
      <c r="SKY145" s="7"/>
      <c r="SKZ145" s="7"/>
      <c r="SLA145" s="7"/>
      <c r="SLB145" s="7"/>
      <c r="SLC145" s="7"/>
      <c r="SLD145" s="7"/>
      <c r="SLE145" s="7"/>
      <c r="SLF145" s="7"/>
      <c r="SLG145" s="7"/>
      <c r="SLH145" s="7"/>
      <c r="SLI145" s="7"/>
      <c r="SLJ145" s="7"/>
      <c r="SLK145" s="7"/>
      <c r="SLL145" s="7"/>
      <c r="SLM145" s="7"/>
      <c r="SLN145" s="7"/>
      <c r="SLO145" s="7"/>
      <c r="SLP145" s="7"/>
      <c r="SLQ145" s="7"/>
      <c r="SLR145" s="7"/>
      <c r="SLS145" s="7"/>
      <c r="SLT145" s="7"/>
      <c r="SLU145" s="7"/>
      <c r="SLV145" s="7"/>
      <c r="SLW145" s="7"/>
      <c r="SLX145" s="7"/>
      <c r="SLY145" s="7"/>
      <c r="SLZ145" s="7"/>
      <c r="SMA145" s="7"/>
      <c r="SMB145" s="7"/>
      <c r="SMC145" s="7"/>
      <c r="SMD145" s="7"/>
      <c r="SME145" s="7"/>
      <c r="SMF145" s="7"/>
      <c r="SMG145" s="7"/>
      <c r="SMH145" s="7"/>
      <c r="SMI145" s="7"/>
      <c r="SMJ145" s="7"/>
      <c r="SMK145" s="7"/>
      <c r="SML145" s="7"/>
      <c r="SMM145" s="7"/>
      <c r="SMN145" s="7"/>
      <c r="SMO145" s="7"/>
      <c r="SMP145" s="7"/>
      <c r="SMQ145" s="7"/>
      <c r="SMR145" s="7"/>
      <c r="SMS145" s="7"/>
      <c r="SMT145" s="7"/>
      <c r="SMU145" s="7"/>
      <c r="SMV145" s="7"/>
      <c r="SMW145" s="7"/>
      <c r="SMX145" s="7"/>
      <c r="SMY145" s="7"/>
      <c r="SMZ145" s="7"/>
      <c r="SNA145" s="7"/>
      <c r="SNB145" s="7"/>
      <c r="SNC145" s="7"/>
      <c r="SND145" s="7"/>
      <c r="SNE145" s="7"/>
      <c r="SNF145" s="7"/>
      <c r="SNG145" s="7"/>
      <c r="SNH145" s="7"/>
      <c r="SNI145" s="7"/>
      <c r="SNJ145" s="7"/>
      <c r="SNK145" s="7"/>
      <c r="SNL145" s="7"/>
      <c r="SNM145" s="7"/>
      <c r="SNN145" s="7"/>
      <c r="SNO145" s="7"/>
      <c r="SNP145" s="7"/>
      <c r="SNQ145" s="7"/>
      <c r="SNR145" s="7"/>
      <c r="SNS145" s="7"/>
      <c r="SNT145" s="7"/>
      <c r="SNU145" s="7"/>
      <c r="SNV145" s="7"/>
      <c r="SNW145" s="7"/>
      <c r="SNX145" s="7"/>
      <c r="SNY145" s="7"/>
      <c r="SNZ145" s="7"/>
      <c r="SOA145" s="7"/>
      <c r="SOB145" s="7"/>
      <c r="SOC145" s="7"/>
      <c r="SOD145" s="7"/>
      <c r="SOE145" s="7"/>
      <c r="SOF145" s="7"/>
      <c r="SOG145" s="7"/>
      <c r="SOH145" s="7"/>
      <c r="SOI145" s="7"/>
      <c r="SOJ145" s="7"/>
      <c r="SOK145" s="7"/>
      <c r="SOL145" s="7"/>
      <c r="SOM145" s="7"/>
      <c r="SON145" s="7"/>
      <c r="SOO145" s="7"/>
      <c r="SOP145" s="7"/>
      <c r="SOQ145" s="7"/>
      <c r="SOR145" s="7"/>
      <c r="SOS145" s="7"/>
      <c r="SOT145" s="7"/>
      <c r="SOU145" s="7"/>
      <c r="SOV145" s="7"/>
      <c r="SOW145" s="7"/>
      <c r="SOX145" s="7"/>
      <c r="SOY145" s="7"/>
      <c r="SOZ145" s="7"/>
      <c r="SPA145" s="7"/>
      <c r="SPB145" s="7"/>
      <c r="SPC145" s="7"/>
      <c r="SPD145" s="7"/>
      <c r="SPE145" s="7"/>
      <c r="SPF145" s="7"/>
      <c r="SPG145" s="7"/>
      <c r="SPH145" s="7"/>
      <c r="SPI145" s="7"/>
      <c r="SPJ145" s="7"/>
      <c r="SPK145" s="7"/>
      <c r="SPL145" s="7"/>
      <c r="SPM145" s="7"/>
      <c r="SPN145" s="7"/>
      <c r="SPO145" s="7"/>
      <c r="SPP145" s="7"/>
      <c r="SPQ145" s="7"/>
      <c r="SPR145" s="7"/>
      <c r="SPS145" s="7"/>
      <c r="SPT145" s="7"/>
      <c r="SPU145" s="7"/>
      <c r="SPV145" s="7"/>
      <c r="SPW145" s="7"/>
      <c r="SPX145" s="7"/>
      <c r="SPY145" s="7"/>
      <c r="SPZ145" s="7"/>
      <c r="SQA145" s="7"/>
      <c r="SQB145" s="7"/>
      <c r="SQC145" s="7"/>
      <c r="SQD145" s="7"/>
      <c r="SQE145" s="7"/>
      <c r="SQF145" s="7"/>
      <c r="SQG145" s="7"/>
      <c r="SQH145" s="7"/>
      <c r="SQI145" s="7"/>
      <c r="SQJ145" s="7"/>
      <c r="SQK145" s="7"/>
      <c r="SQL145" s="7"/>
      <c r="SQM145" s="7"/>
      <c r="SQN145" s="7"/>
      <c r="SQO145" s="7"/>
      <c r="SQP145" s="7"/>
      <c r="SQQ145" s="7"/>
      <c r="SQR145" s="7"/>
      <c r="SQS145" s="7"/>
      <c r="SQT145" s="7"/>
      <c r="SQU145" s="7"/>
      <c r="SQV145" s="7"/>
      <c r="SQW145" s="7"/>
      <c r="SQX145" s="7"/>
      <c r="SQY145" s="7"/>
      <c r="SQZ145" s="7"/>
      <c r="SRA145" s="7"/>
      <c r="SRB145" s="7"/>
      <c r="SRC145" s="7"/>
      <c r="SRD145" s="7"/>
      <c r="SRE145" s="7"/>
      <c r="SRF145" s="7"/>
      <c r="SRG145" s="7"/>
      <c r="SRH145" s="7"/>
      <c r="SRI145" s="7"/>
      <c r="SRJ145" s="7"/>
      <c r="SRK145" s="7"/>
      <c r="SRL145" s="7"/>
      <c r="SRM145" s="7"/>
      <c r="SRN145" s="7"/>
      <c r="SRO145" s="7"/>
      <c r="SRP145" s="7"/>
      <c r="SRQ145" s="7"/>
      <c r="SRR145" s="7"/>
      <c r="SRS145" s="7"/>
      <c r="SRT145" s="7"/>
      <c r="SRU145" s="7"/>
      <c r="SRV145" s="7"/>
      <c r="SRW145" s="7"/>
      <c r="SRX145" s="7"/>
      <c r="SRY145" s="7"/>
      <c r="SRZ145" s="7"/>
      <c r="SSA145" s="7"/>
      <c r="SSB145" s="7"/>
      <c r="SSC145" s="7"/>
      <c r="SSD145" s="7"/>
      <c r="SSE145" s="7"/>
      <c r="SSF145" s="7"/>
      <c r="SSG145" s="7"/>
      <c r="SSH145" s="7"/>
      <c r="SSI145" s="7"/>
      <c r="SSJ145" s="7"/>
      <c r="SSK145" s="7"/>
      <c r="SSL145" s="7"/>
      <c r="SSM145" s="7"/>
      <c r="SSN145" s="7"/>
      <c r="SSO145" s="7"/>
      <c r="SSP145" s="7"/>
      <c r="SSQ145" s="7"/>
      <c r="SSR145" s="7"/>
      <c r="SSS145" s="7"/>
      <c r="SST145" s="7"/>
      <c r="SSU145" s="7"/>
      <c r="SSV145" s="7"/>
      <c r="SSW145" s="7"/>
      <c r="SSX145" s="7"/>
      <c r="SSY145" s="7"/>
      <c r="SSZ145" s="7"/>
      <c r="STA145" s="7"/>
      <c r="STB145" s="7"/>
      <c r="STC145" s="7"/>
      <c r="STD145" s="7"/>
      <c r="STE145" s="7"/>
      <c r="STF145" s="7"/>
      <c r="STG145" s="7"/>
      <c r="STH145" s="7"/>
      <c r="STI145" s="7"/>
      <c r="STJ145" s="7"/>
      <c r="STK145" s="7"/>
      <c r="STL145" s="7"/>
      <c r="STM145" s="7"/>
      <c r="STN145" s="7"/>
      <c r="STO145" s="7"/>
      <c r="STP145" s="7"/>
      <c r="STQ145" s="7"/>
      <c r="STR145" s="7"/>
      <c r="STS145" s="7"/>
      <c r="STT145" s="7"/>
      <c r="STU145" s="7"/>
      <c r="STV145" s="7"/>
      <c r="STW145" s="7"/>
      <c r="STX145" s="7"/>
      <c r="STY145" s="7"/>
      <c r="STZ145" s="7"/>
      <c r="SUA145" s="7"/>
      <c r="SUB145" s="7"/>
      <c r="SUC145" s="7"/>
      <c r="SUD145" s="7"/>
      <c r="SUE145" s="7"/>
      <c r="SUF145" s="7"/>
      <c r="SUG145" s="7"/>
      <c r="SUH145" s="7"/>
      <c r="SUI145" s="7"/>
      <c r="SUJ145" s="7"/>
      <c r="SUK145" s="7"/>
      <c r="SUL145" s="7"/>
      <c r="SUM145" s="7"/>
      <c r="SUN145" s="7"/>
      <c r="SUO145" s="7"/>
      <c r="SUP145" s="7"/>
      <c r="SUQ145" s="7"/>
      <c r="SUR145" s="7"/>
      <c r="SUS145" s="7"/>
      <c r="SUT145" s="7"/>
      <c r="SUU145" s="7"/>
      <c r="SUV145" s="7"/>
      <c r="SUW145" s="7"/>
      <c r="SUX145" s="7"/>
      <c r="SUY145" s="7"/>
      <c r="SUZ145" s="7"/>
      <c r="SVA145" s="7"/>
      <c r="SVB145" s="7"/>
      <c r="SVC145" s="7"/>
      <c r="SVD145" s="7"/>
      <c r="SVE145" s="7"/>
      <c r="SVF145" s="7"/>
      <c r="SVG145" s="7"/>
      <c r="SVH145" s="7"/>
      <c r="SVI145" s="7"/>
      <c r="SVJ145" s="7"/>
      <c r="SVK145" s="7"/>
      <c r="SVL145" s="7"/>
      <c r="SVM145" s="7"/>
      <c r="SVN145" s="7"/>
      <c r="SVO145" s="7"/>
      <c r="SVP145" s="7"/>
      <c r="SVQ145" s="7"/>
      <c r="SVR145" s="7"/>
      <c r="SVS145" s="7"/>
      <c r="SVT145" s="7"/>
      <c r="SVU145" s="7"/>
      <c r="SVV145" s="7"/>
      <c r="SVW145" s="7"/>
      <c r="SVX145" s="7"/>
      <c r="SVY145" s="7"/>
      <c r="SVZ145" s="7"/>
      <c r="SWA145" s="7"/>
      <c r="SWB145" s="7"/>
      <c r="SWC145" s="7"/>
      <c r="SWD145" s="7"/>
      <c r="SWE145" s="7"/>
      <c r="SWF145" s="7"/>
      <c r="SWG145" s="7"/>
      <c r="SWH145" s="7"/>
      <c r="SWI145" s="7"/>
      <c r="SWJ145" s="7"/>
      <c r="SWK145" s="7"/>
      <c r="SWL145" s="7"/>
      <c r="SWM145" s="7"/>
      <c r="SWN145" s="7"/>
      <c r="SWO145" s="7"/>
      <c r="SWP145" s="7"/>
      <c r="SWQ145" s="7"/>
      <c r="SWR145" s="7"/>
      <c r="SWS145" s="7"/>
      <c r="SWT145" s="7"/>
      <c r="SWU145" s="7"/>
      <c r="SWV145" s="7"/>
      <c r="SWW145" s="7"/>
      <c r="SWX145" s="7"/>
      <c r="SWY145" s="7"/>
      <c r="SWZ145" s="7"/>
      <c r="SXA145" s="7"/>
      <c r="SXB145" s="7"/>
      <c r="SXC145" s="7"/>
      <c r="SXD145" s="7"/>
      <c r="SXE145" s="7"/>
      <c r="SXF145" s="7"/>
      <c r="SXG145" s="7"/>
      <c r="SXH145" s="7"/>
      <c r="SXI145" s="7"/>
      <c r="SXJ145" s="7"/>
      <c r="SXK145" s="7"/>
      <c r="SXL145" s="7"/>
      <c r="SXM145" s="7"/>
      <c r="SXN145" s="7"/>
      <c r="SXO145" s="7"/>
      <c r="SXP145" s="7"/>
      <c r="SXQ145" s="7"/>
      <c r="SXR145" s="7"/>
      <c r="SXS145" s="7"/>
      <c r="SXT145" s="7"/>
      <c r="SXU145" s="7"/>
      <c r="SXV145" s="7"/>
      <c r="SXW145" s="7"/>
      <c r="SXX145" s="7"/>
      <c r="SXY145" s="7"/>
      <c r="SXZ145" s="7"/>
      <c r="SYA145" s="7"/>
      <c r="SYB145" s="7"/>
      <c r="SYC145" s="7"/>
      <c r="SYD145" s="7"/>
      <c r="SYE145" s="7"/>
      <c r="SYF145" s="7"/>
      <c r="SYG145" s="7"/>
      <c r="SYH145" s="7"/>
      <c r="SYI145" s="7"/>
      <c r="SYJ145" s="7"/>
      <c r="SYK145" s="7"/>
      <c r="SYL145" s="7"/>
      <c r="SYM145" s="7"/>
      <c r="SYN145" s="7"/>
      <c r="SYO145" s="7"/>
      <c r="SYP145" s="7"/>
      <c r="SYQ145" s="7"/>
      <c r="SYR145" s="7"/>
      <c r="SYS145" s="7"/>
      <c r="SYT145" s="7"/>
      <c r="SYU145" s="7"/>
      <c r="SYV145" s="7"/>
      <c r="SYW145" s="7"/>
      <c r="SYX145" s="7"/>
      <c r="SYY145" s="7"/>
      <c r="SYZ145" s="7"/>
      <c r="SZA145" s="7"/>
      <c r="SZB145" s="7"/>
      <c r="SZC145" s="7"/>
      <c r="SZD145" s="7"/>
      <c r="SZE145" s="7"/>
      <c r="SZF145" s="7"/>
      <c r="SZG145" s="7"/>
      <c r="SZH145" s="7"/>
      <c r="SZI145" s="7"/>
      <c r="SZJ145" s="7"/>
      <c r="SZK145" s="7"/>
      <c r="SZL145" s="7"/>
      <c r="SZM145" s="7"/>
      <c r="SZN145" s="7"/>
      <c r="SZO145" s="7"/>
      <c r="SZP145" s="7"/>
      <c r="SZQ145" s="7"/>
      <c r="SZR145" s="7"/>
      <c r="SZS145" s="7"/>
      <c r="SZT145" s="7"/>
      <c r="SZU145" s="7"/>
      <c r="SZV145" s="7"/>
      <c r="SZW145" s="7"/>
      <c r="SZX145" s="7"/>
      <c r="SZY145" s="7"/>
      <c r="SZZ145" s="7"/>
      <c r="TAA145" s="7"/>
      <c r="TAB145" s="7"/>
      <c r="TAC145" s="7"/>
      <c r="TAD145" s="7"/>
      <c r="TAE145" s="7"/>
      <c r="TAF145" s="7"/>
      <c r="TAG145" s="7"/>
      <c r="TAH145" s="7"/>
      <c r="TAI145" s="7"/>
      <c r="TAJ145" s="7"/>
      <c r="TAK145" s="7"/>
      <c r="TAL145" s="7"/>
      <c r="TAM145" s="7"/>
      <c r="TAN145" s="7"/>
      <c r="TAO145" s="7"/>
      <c r="TAP145" s="7"/>
      <c r="TAQ145" s="7"/>
      <c r="TAR145" s="7"/>
      <c r="TAS145" s="7"/>
      <c r="TAT145" s="7"/>
      <c r="TAU145" s="7"/>
      <c r="TAV145" s="7"/>
      <c r="TAW145" s="7"/>
      <c r="TAX145" s="7"/>
      <c r="TAY145" s="7"/>
      <c r="TAZ145" s="7"/>
      <c r="TBA145" s="7"/>
      <c r="TBB145" s="7"/>
      <c r="TBC145" s="7"/>
      <c r="TBD145" s="7"/>
      <c r="TBE145" s="7"/>
      <c r="TBF145" s="7"/>
      <c r="TBG145" s="7"/>
      <c r="TBH145" s="7"/>
      <c r="TBI145" s="7"/>
      <c r="TBJ145" s="7"/>
      <c r="TBK145" s="7"/>
      <c r="TBL145" s="7"/>
      <c r="TBM145" s="7"/>
      <c r="TBN145" s="7"/>
      <c r="TBO145" s="7"/>
      <c r="TBP145" s="7"/>
      <c r="TBQ145" s="7"/>
      <c r="TBR145" s="7"/>
      <c r="TBS145" s="7"/>
      <c r="TBT145" s="7"/>
      <c r="TBU145" s="7"/>
      <c r="TBV145" s="7"/>
      <c r="TBW145" s="7"/>
      <c r="TBX145" s="7"/>
      <c r="TBY145" s="7"/>
      <c r="TBZ145" s="7"/>
      <c r="TCA145" s="7"/>
      <c r="TCB145" s="7"/>
      <c r="TCC145" s="7"/>
      <c r="TCD145" s="7"/>
      <c r="TCE145" s="7"/>
      <c r="TCF145" s="7"/>
      <c r="TCG145" s="7"/>
      <c r="TCH145" s="7"/>
      <c r="TCI145" s="7"/>
      <c r="TCJ145" s="7"/>
      <c r="TCK145" s="7"/>
      <c r="TCL145" s="7"/>
      <c r="TCM145" s="7"/>
      <c r="TCN145" s="7"/>
      <c r="TCO145" s="7"/>
      <c r="TCP145" s="7"/>
      <c r="TCQ145" s="7"/>
      <c r="TCR145" s="7"/>
      <c r="TCS145" s="7"/>
      <c r="TCT145" s="7"/>
      <c r="TCU145" s="7"/>
      <c r="TCV145" s="7"/>
      <c r="TCW145" s="7"/>
      <c r="TCX145" s="7"/>
      <c r="TCY145" s="7"/>
      <c r="TCZ145" s="7"/>
      <c r="TDA145" s="7"/>
      <c r="TDB145" s="7"/>
      <c r="TDC145" s="7"/>
      <c r="TDD145" s="7"/>
      <c r="TDE145" s="7"/>
      <c r="TDF145" s="7"/>
      <c r="TDG145" s="7"/>
      <c r="TDH145" s="7"/>
      <c r="TDI145" s="7"/>
      <c r="TDJ145" s="7"/>
      <c r="TDK145" s="7"/>
      <c r="TDL145" s="7"/>
      <c r="TDM145" s="7"/>
      <c r="TDN145" s="7"/>
      <c r="TDO145" s="7"/>
      <c r="TDP145" s="7"/>
      <c r="TDQ145" s="7"/>
      <c r="TDR145" s="7"/>
      <c r="TDS145" s="7"/>
      <c r="TDT145" s="7"/>
      <c r="TDU145" s="7"/>
      <c r="TDV145" s="7"/>
      <c r="TDW145" s="7"/>
      <c r="TDX145" s="7"/>
      <c r="TDY145" s="7"/>
      <c r="TDZ145" s="7"/>
      <c r="TEA145" s="7"/>
      <c r="TEB145" s="7"/>
      <c r="TEC145" s="7"/>
      <c r="TED145" s="7"/>
      <c r="TEE145" s="7"/>
      <c r="TEF145" s="7"/>
      <c r="TEG145" s="7"/>
      <c r="TEH145" s="7"/>
      <c r="TEI145" s="7"/>
      <c r="TEJ145" s="7"/>
      <c r="TEK145" s="7"/>
      <c r="TEL145" s="7"/>
      <c r="TEM145" s="7"/>
      <c r="TEN145" s="7"/>
      <c r="TEO145" s="7"/>
      <c r="TEP145" s="7"/>
      <c r="TEQ145" s="7"/>
      <c r="TER145" s="7"/>
      <c r="TES145" s="7"/>
      <c r="TET145" s="7"/>
      <c r="TEU145" s="7"/>
      <c r="TEV145" s="7"/>
      <c r="TEW145" s="7"/>
      <c r="TEX145" s="7"/>
      <c r="TEY145" s="7"/>
      <c r="TEZ145" s="7"/>
      <c r="TFA145" s="7"/>
      <c r="TFB145" s="7"/>
      <c r="TFC145" s="7"/>
      <c r="TFD145" s="7"/>
      <c r="TFE145" s="7"/>
      <c r="TFF145" s="7"/>
      <c r="TFG145" s="7"/>
      <c r="TFH145" s="7"/>
      <c r="TFI145" s="7"/>
      <c r="TFJ145" s="7"/>
      <c r="TFK145" s="7"/>
      <c r="TFL145" s="7"/>
      <c r="TFM145" s="7"/>
      <c r="TFN145" s="7"/>
      <c r="TFO145" s="7"/>
      <c r="TFP145" s="7"/>
      <c r="TFQ145" s="7"/>
      <c r="TFR145" s="7"/>
      <c r="TFS145" s="7"/>
      <c r="TFT145" s="7"/>
      <c r="TFU145" s="7"/>
      <c r="TFV145" s="7"/>
      <c r="TFW145" s="7"/>
      <c r="TFX145" s="7"/>
      <c r="TFY145" s="7"/>
      <c r="TFZ145" s="7"/>
      <c r="TGA145" s="7"/>
      <c r="TGB145" s="7"/>
      <c r="TGC145" s="7"/>
      <c r="TGD145" s="7"/>
      <c r="TGE145" s="7"/>
      <c r="TGF145" s="7"/>
      <c r="TGG145" s="7"/>
      <c r="TGH145" s="7"/>
      <c r="TGI145" s="7"/>
      <c r="TGJ145" s="7"/>
      <c r="TGK145" s="7"/>
      <c r="TGL145" s="7"/>
      <c r="TGM145" s="7"/>
      <c r="TGN145" s="7"/>
      <c r="TGO145" s="7"/>
      <c r="TGP145" s="7"/>
      <c r="TGQ145" s="7"/>
      <c r="TGR145" s="7"/>
      <c r="TGS145" s="7"/>
      <c r="TGT145" s="7"/>
      <c r="TGU145" s="7"/>
      <c r="TGV145" s="7"/>
      <c r="TGW145" s="7"/>
      <c r="TGX145" s="7"/>
      <c r="TGY145" s="7"/>
      <c r="TGZ145" s="7"/>
      <c r="THA145" s="7"/>
      <c r="THB145" s="7"/>
      <c r="THC145" s="7"/>
      <c r="THD145" s="7"/>
      <c r="THE145" s="7"/>
      <c r="THF145" s="7"/>
      <c r="THG145" s="7"/>
      <c r="THH145" s="7"/>
      <c r="THI145" s="7"/>
      <c r="THJ145" s="7"/>
      <c r="THK145" s="7"/>
      <c r="THL145" s="7"/>
      <c r="THM145" s="7"/>
      <c r="THN145" s="7"/>
      <c r="THO145" s="7"/>
      <c r="THP145" s="7"/>
      <c r="THQ145" s="7"/>
      <c r="THR145" s="7"/>
      <c r="THS145" s="7"/>
      <c r="THT145" s="7"/>
      <c r="THU145" s="7"/>
      <c r="THV145" s="7"/>
      <c r="THW145" s="7"/>
      <c r="THX145" s="7"/>
      <c r="THY145" s="7"/>
      <c r="THZ145" s="7"/>
      <c r="TIA145" s="7"/>
      <c r="TIB145" s="7"/>
      <c r="TIC145" s="7"/>
      <c r="TID145" s="7"/>
      <c r="TIE145" s="7"/>
      <c r="TIF145" s="7"/>
      <c r="TIG145" s="7"/>
      <c r="TIH145" s="7"/>
      <c r="TII145" s="7"/>
      <c r="TIJ145" s="7"/>
      <c r="TIK145" s="7"/>
      <c r="TIL145" s="7"/>
      <c r="TIM145" s="7"/>
      <c r="TIN145" s="7"/>
      <c r="TIO145" s="7"/>
      <c r="TIP145" s="7"/>
      <c r="TIQ145" s="7"/>
      <c r="TIR145" s="7"/>
      <c r="TIS145" s="7"/>
      <c r="TIT145" s="7"/>
      <c r="TIU145" s="7"/>
      <c r="TIV145" s="7"/>
      <c r="TIW145" s="7"/>
      <c r="TIX145" s="7"/>
      <c r="TIY145" s="7"/>
      <c r="TIZ145" s="7"/>
      <c r="TJA145" s="7"/>
      <c r="TJB145" s="7"/>
      <c r="TJC145" s="7"/>
      <c r="TJD145" s="7"/>
      <c r="TJE145" s="7"/>
      <c r="TJF145" s="7"/>
      <c r="TJG145" s="7"/>
      <c r="TJH145" s="7"/>
      <c r="TJI145" s="7"/>
      <c r="TJJ145" s="7"/>
      <c r="TJK145" s="7"/>
      <c r="TJL145" s="7"/>
      <c r="TJM145" s="7"/>
      <c r="TJN145" s="7"/>
      <c r="TJO145" s="7"/>
      <c r="TJP145" s="7"/>
      <c r="TJQ145" s="7"/>
      <c r="TJR145" s="7"/>
      <c r="TJS145" s="7"/>
      <c r="TJT145" s="7"/>
      <c r="TJU145" s="7"/>
      <c r="TJV145" s="7"/>
      <c r="TJW145" s="7"/>
      <c r="TJX145" s="7"/>
      <c r="TJY145" s="7"/>
      <c r="TJZ145" s="7"/>
      <c r="TKA145" s="7"/>
      <c r="TKB145" s="7"/>
      <c r="TKC145" s="7"/>
      <c r="TKD145" s="7"/>
      <c r="TKE145" s="7"/>
      <c r="TKF145" s="7"/>
      <c r="TKG145" s="7"/>
      <c r="TKH145" s="7"/>
      <c r="TKI145" s="7"/>
      <c r="TKJ145" s="7"/>
      <c r="TKK145" s="7"/>
      <c r="TKL145" s="7"/>
      <c r="TKM145" s="7"/>
      <c r="TKN145" s="7"/>
      <c r="TKO145" s="7"/>
      <c r="TKP145" s="7"/>
      <c r="TKQ145" s="7"/>
      <c r="TKR145" s="7"/>
      <c r="TKS145" s="7"/>
      <c r="TKT145" s="7"/>
      <c r="TKU145" s="7"/>
      <c r="TKV145" s="7"/>
      <c r="TKW145" s="7"/>
      <c r="TKX145" s="7"/>
      <c r="TKY145" s="7"/>
      <c r="TKZ145" s="7"/>
      <c r="TLA145" s="7"/>
      <c r="TLB145" s="7"/>
      <c r="TLC145" s="7"/>
      <c r="TLD145" s="7"/>
      <c r="TLE145" s="7"/>
      <c r="TLF145" s="7"/>
      <c r="TLG145" s="7"/>
      <c r="TLH145" s="7"/>
      <c r="TLI145" s="7"/>
      <c r="TLJ145" s="7"/>
      <c r="TLK145" s="7"/>
      <c r="TLL145" s="7"/>
      <c r="TLM145" s="7"/>
      <c r="TLN145" s="7"/>
      <c r="TLO145" s="7"/>
      <c r="TLP145" s="7"/>
      <c r="TLQ145" s="7"/>
      <c r="TLR145" s="7"/>
      <c r="TLS145" s="7"/>
      <c r="TLT145" s="7"/>
      <c r="TLU145" s="7"/>
      <c r="TLV145" s="7"/>
      <c r="TLW145" s="7"/>
      <c r="TLX145" s="7"/>
      <c r="TLY145" s="7"/>
      <c r="TLZ145" s="7"/>
      <c r="TMA145" s="7"/>
      <c r="TMB145" s="7"/>
      <c r="TMC145" s="7"/>
      <c r="TMD145" s="7"/>
      <c r="TME145" s="7"/>
      <c r="TMF145" s="7"/>
      <c r="TMG145" s="7"/>
      <c r="TMH145" s="7"/>
      <c r="TMI145" s="7"/>
      <c r="TMJ145" s="7"/>
      <c r="TMK145" s="7"/>
      <c r="TML145" s="7"/>
      <c r="TMM145" s="7"/>
      <c r="TMN145" s="7"/>
      <c r="TMO145" s="7"/>
      <c r="TMP145" s="7"/>
      <c r="TMQ145" s="7"/>
      <c r="TMR145" s="7"/>
      <c r="TMS145" s="7"/>
      <c r="TMT145" s="7"/>
      <c r="TMU145" s="7"/>
      <c r="TMV145" s="7"/>
      <c r="TMW145" s="7"/>
      <c r="TMX145" s="7"/>
      <c r="TMY145" s="7"/>
      <c r="TMZ145" s="7"/>
      <c r="TNA145" s="7"/>
      <c r="TNB145" s="7"/>
      <c r="TNC145" s="7"/>
      <c r="TND145" s="7"/>
      <c r="TNE145" s="7"/>
      <c r="TNF145" s="7"/>
      <c r="TNG145" s="7"/>
      <c r="TNH145" s="7"/>
      <c r="TNI145" s="7"/>
      <c r="TNJ145" s="7"/>
      <c r="TNK145" s="7"/>
      <c r="TNL145" s="7"/>
      <c r="TNM145" s="7"/>
      <c r="TNN145" s="7"/>
      <c r="TNO145" s="7"/>
      <c r="TNP145" s="7"/>
      <c r="TNQ145" s="7"/>
      <c r="TNR145" s="7"/>
      <c r="TNS145" s="7"/>
      <c r="TNT145" s="7"/>
      <c r="TNU145" s="7"/>
      <c r="TNV145" s="7"/>
      <c r="TNW145" s="7"/>
      <c r="TNX145" s="7"/>
      <c r="TNY145" s="7"/>
      <c r="TNZ145" s="7"/>
      <c r="TOA145" s="7"/>
      <c r="TOB145" s="7"/>
      <c r="TOC145" s="7"/>
      <c r="TOD145" s="7"/>
      <c r="TOE145" s="7"/>
      <c r="TOF145" s="7"/>
      <c r="TOG145" s="7"/>
      <c r="TOH145" s="7"/>
      <c r="TOI145" s="7"/>
      <c r="TOJ145" s="7"/>
      <c r="TOK145" s="7"/>
      <c r="TOL145" s="7"/>
      <c r="TOM145" s="7"/>
      <c r="TON145" s="7"/>
      <c r="TOO145" s="7"/>
      <c r="TOP145" s="7"/>
      <c r="TOQ145" s="7"/>
      <c r="TOR145" s="7"/>
      <c r="TOS145" s="7"/>
      <c r="TOT145" s="7"/>
      <c r="TOU145" s="7"/>
      <c r="TOV145" s="7"/>
      <c r="TOW145" s="7"/>
      <c r="TOX145" s="7"/>
      <c r="TOY145" s="7"/>
      <c r="TOZ145" s="7"/>
      <c r="TPA145" s="7"/>
      <c r="TPB145" s="7"/>
      <c r="TPC145" s="7"/>
      <c r="TPD145" s="7"/>
      <c r="TPE145" s="7"/>
      <c r="TPF145" s="7"/>
      <c r="TPG145" s="7"/>
      <c r="TPH145" s="7"/>
      <c r="TPI145" s="7"/>
      <c r="TPJ145" s="7"/>
      <c r="TPK145" s="7"/>
      <c r="TPL145" s="7"/>
      <c r="TPM145" s="7"/>
      <c r="TPN145" s="7"/>
      <c r="TPO145" s="7"/>
      <c r="TPP145" s="7"/>
      <c r="TPQ145" s="7"/>
      <c r="TPR145" s="7"/>
      <c r="TPS145" s="7"/>
      <c r="TPT145" s="7"/>
      <c r="TPU145" s="7"/>
      <c r="TPV145" s="7"/>
      <c r="TPW145" s="7"/>
      <c r="TPX145" s="7"/>
      <c r="TPY145" s="7"/>
      <c r="TPZ145" s="7"/>
      <c r="TQA145" s="7"/>
      <c r="TQB145" s="7"/>
      <c r="TQC145" s="7"/>
      <c r="TQD145" s="7"/>
      <c r="TQE145" s="7"/>
      <c r="TQF145" s="7"/>
      <c r="TQG145" s="7"/>
      <c r="TQH145" s="7"/>
      <c r="TQI145" s="7"/>
      <c r="TQJ145" s="7"/>
      <c r="TQK145" s="7"/>
      <c r="TQL145" s="7"/>
      <c r="TQM145" s="7"/>
      <c r="TQN145" s="7"/>
      <c r="TQO145" s="7"/>
      <c r="TQP145" s="7"/>
      <c r="TQQ145" s="7"/>
      <c r="TQR145" s="7"/>
      <c r="TQS145" s="7"/>
      <c r="TQT145" s="7"/>
      <c r="TQU145" s="7"/>
      <c r="TQV145" s="7"/>
      <c r="TQW145" s="7"/>
      <c r="TQX145" s="7"/>
      <c r="TQY145" s="7"/>
      <c r="TQZ145" s="7"/>
      <c r="TRA145" s="7"/>
      <c r="TRB145" s="7"/>
      <c r="TRC145" s="7"/>
      <c r="TRD145" s="7"/>
      <c r="TRE145" s="7"/>
      <c r="TRF145" s="7"/>
      <c r="TRG145" s="7"/>
      <c r="TRH145" s="7"/>
      <c r="TRI145" s="7"/>
      <c r="TRJ145" s="7"/>
      <c r="TRK145" s="7"/>
      <c r="TRL145" s="7"/>
      <c r="TRM145" s="7"/>
      <c r="TRN145" s="7"/>
      <c r="TRO145" s="7"/>
      <c r="TRP145" s="7"/>
      <c r="TRQ145" s="7"/>
      <c r="TRR145" s="7"/>
      <c r="TRS145" s="7"/>
      <c r="TRT145" s="7"/>
      <c r="TRU145" s="7"/>
      <c r="TRV145" s="7"/>
      <c r="TRW145" s="7"/>
      <c r="TRX145" s="7"/>
      <c r="TRY145" s="7"/>
      <c r="TRZ145" s="7"/>
      <c r="TSA145" s="7"/>
      <c r="TSB145" s="7"/>
      <c r="TSC145" s="7"/>
      <c r="TSD145" s="7"/>
      <c r="TSE145" s="7"/>
      <c r="TSF145" s="7"/>
      <c r="TSG145" s="7"/>
      <c r="TSH145" s="7"/>
      <c r="TSI145" s="7"/>
      <c r="TSJ145" s="7"/>
      <c r="TSK145" s="7"/>
      <c r="TSL145" s="7"/>
      <c r="TSM145" s="7"/>
      <c r="TSN145" s="7"/>
      <c r="TSO145" s="7"/>
      <c r="TSP145" s="7"/>
      <c r="TSQ145" s="7"/>
      <c r="TSR145" s="7"/>
      <c r="TSS145" s="7"/>
      <c r="TST145" s="7"/>
      <c r="TSU145" s="7"/>
      <c r="TSV145" s="7"/>
      <c r="TSW145" s="7"/>
      <c r="TSX145" s="7"/>
      <c r="TSY145" s="7"/>
      <c r="TSZ145" s="7"/>
      <c r="TTA145" s="7"/>
      <c r="TTB145" s="7"/>
      <c r="TTC145" s="7"/>
      <c r="TTD145" s="7"/>
      <c r="TTE145" s="7"/>
      <c r="TTF145" s="7"/>
      <c r="TTG145" s="7"/>
      <c r="TTH145" s="7"/>
      <c r="TTI145" s="7"/>
      <c r="TTJ145" s="7"/>
      <c r="TTK145" s="7"/>
      <c r="TTL145" s="7"/>
      <c r="TTM145" s="7"/>
      <c r="TTN145" s="7"/>
      <c r="TTO145" s="7"/>
      <c r="TTP145" s="7"/>
      <c r="TTQ145" s="7"/>
      <c r="TTR145" s="7"/>
      <c r="TTS145" s="7"/>
      <c r="TTT145" s="7"/>
      <c r="TTU145" s="7"/>
      <c r="TTV145" s="7"/>
      <c r="TTW145" s="7"/>
      <c r="TTX145" s="7"/>
      <c r="TTY145" s="7"/>
      <c r="TTZ145" s="7"/>
      <c r="TUA145" s="7"/>
      <c r="TUB145" s="7"/>
      <c r="TUC145" s="7"/>
      <c r="TUD145" s="7"/>
      <c r="TUE145" s="7"/>
      <c r="TUF145" s="7"/>
      <c r="TUG145" s="7"/>
      <c r="TUH145" s="7"/>
      <c r="TUI145" s="7"/>
      <c r="TUJ145" s="7"/>
      <c r="TUK145" s="7"/>
      <c r="TUL145" s="7"/>
      <c r="TUM145" s="7"/>
      <c r="TUN145" s="7"/>
      <c r="TUO145" s="7"/>
      <c r="TUP145" s="7"/>
      <c r="TUQ145" s="7"/>
      <c r="TUR145" s="7"/>
      <c r="TUS145" s="7"/>
      <c r="TUT145" s="7"/>
      <c r="TUU145" s="7"/>
      <c r="TUV145" s="7"/>
      <c r="TUW145" s="7"/>
      <c r="TUX145" s="7"/>
      <c r="TUY145" s="7"/>
      <c r="TUZ145" s="7"/>
      <c r="TVA145" s="7"/>
      <c r="TVB145" s="7"/>
      <c r="TVC145" s="7"/>
      <c r="TVD145" s="7"/>
      <c r="TVE145" s="7"/>
      <c r="TVF145" s="7"/>
      <c r="TVG145" s="7"/>
      <c r="TVH145" s="7"/>
      <c r="TVI145" s="7"/>
      <c r="TVJ145" s="7"/>
      <c r="TVK145" s="7"/>
      <c r="TVL145" s="7"/>
      <c r="TVM145" s="7"/>
      <c r="TVN145" s="7"/>
      <c r="TVO145" s="7"/>
      <c r="TVP145" s="7"/>
      <c r="TVQ145" s="7"/>
      <c r="TVR145" s="7"/>
      <c r="TVS145" s="7"/>
      <c r="TVT145" s="7"/>
      <c r="TVU145" s="7"/>
      <c r="TVV145" s="7"/>
      <c r="TVW145" s="7"/>
      <c r="TVX145" s="7"/>
      <c r="TVY145" s="7"/>
      <c r="TVZ145" s="7"/>
      <c r="TWA145" s="7"/>
      <c r="TWB145" s="7"/>
      <c r="TWC145" s="7"/>
      <c r="TWD145" s="7"/>
      <c r="TWE145" s="7"/>
      <c r="TWF145" s="7"/>
      <c r="TWG145" s="7"/>
      <c r="TWH145" s="7"/>
      <c r="TWI145" s="7"/>
      <c r="TWJ145" s="7"/>
      <c r="TWK145" s="7"/>
      <c r="TWL145" s="7"/>
      <c r="TWM145" s="7"/>
      <c r="TWN145" s="7"/>
      <c r="TWO145" s="7"/>
      <c r="TWP145" s="7"/>
      <c r="TWQ145" s="7"/>
      <c r="TWR145" s="7"/>
      <c r="TWS145" s="7"/>
      <c r="TWT145" s="7"/>
      <c r="TWU145" s="7"/>
      <c r="TWV145" s="7"/>
      <c r="TWW145" s="7"/>
      <c r="TWX145" s="7"/>
      <c r="TWY145" s="7"/>
      <c r="TWZ145" s="7"/>
      <c r="TXA145" s="7"/>
      <c r="TXB145" s="7"/>
      <c r="TXC145" s="7"/>
      <c r="TXD145" s="7"/>
      <c r="TXE145" s="7"/>
      <c r="TXF145" s="7"/>
      <c r="TXG145" s="7"/>
      <c r="TXH145" s="7"/>
      <c r="TXI145" s="7"/>
      <c r="TXJ145" s="7"/>
      <c r="TXK145" s="7"/>
      <c r="TXL145" s="7"/>
      <c r="TXM145" s="7"/>
      <c r="TXN145" s="7"/>
      <c r="TXO145" s="7"/>
      <c r="TXP145" s="7"/>
      <c r="TXQ145" s="7"/>
      <c r="TXR145" s="7"/>
      <c r="TXS145" s="7"/>
      <c r="TXT145" s="7"/>
      <c r="TXU145" s="7"/>
      <c r="TXV145" s="7"/>
      <c r="TXW145" s="7"/>
      <c r="TXX145" s="7"/>
      <c r="TXY145" s="7"/>
      <c r="TXZ145" s="7"/>
      <c r="TYA145" s="7"/>
      <c r="TYB145" s="7"/>
      <c r="TYC145" s="7"/>
      <c r="TYD145" s="7"/>
      <c r="TYE145" s="7"/>
      <c r="TYF145" s="7"/>
      <c r="TYG145" s="7"/>
      <c r="TYH145" s="7"/>
      <c r="TYI145" s="7"/>
      <c r="TYJ145" s="7"/>
      <c r="TYK145" s="7"/>
      <c r="TYL145" s="7"/>
      <c r="TYM145" s="7"/>
      <c r="TYN145" s="7"/>
      <c r="TYO145" s="7"/>
      <c r="TYP145" s="7"/>
      <c r="TYQ145" s="7"/>
      <c r="TYR145" s="7"/>
      <c r="TYS145" s="7"/>
      <c r="TYT145" s="7"/>
      <c r="TYU145" s="7"/>
      <c r="TYV145" s="7"/>
      <c r="TYW145" s="7"/>
      <c r="TYX145" s="7"/>
      <c r="TYY145" s="7"/>
      <c r="TYZ145" s="7"/>
      <c r="TZA145" s="7"/>
      <c r="TZB145" s="7"/>
      <c r="TZC145" s="7"/>
      <c r="TZD145" s="7"/>
      <c r="TZE145" s="7"/>
      <c r="TZF145" s="7"/>
      <c r="TZG145" s="7"/>
      <c r="TZH145" s="7"/>
      <c r="TZI145" s="7"/>
      <c r="TZJ145" s="7"/>
      <c r="TZK145" s="7"/>
      <c r="TZL145" s="7"/>
      <c r="TZM145" s="7"/>
      <c r="TZN145" s="7"/>
      <c r="TZO145" s="7"/>
      <c r="TZP145" s="7"/>
      <c r="TZQ145" s="7"/>
      <c r="TZR145" s="7"/>
      <c r="TZS145" s="7"/>
      <c r="TZT145" s="7"/>
      <c r="TZU145" s="7"/>
      <c r="TZV145" s="7"/>
      <c r="TZW145" s="7"/>
      <c r="TZX145" s="7"/>
      <c r="TZY145" s="7"/>
      <c r="TZZ145" s="7"/>
      <c r="UAA145" s="7"/>
      <c r="UAB145" s="7"/>
      <c r="UAC145" s="7"/>
      <c r="UAD145" s="7"/>
      <c r="UAE145" s="7"/>
      <c r="UAF145" s="7"/>
      <c r="UAG145" s="7"/>
      <c r="UAH145" s="7"/>
      <c r="UAI145" s="7"/>
      <c r="UAJ145" s="7"/>
      <c r="UAK145" s="7"/>
      <c r="UAL145" s="7"/>
      <c r="UAM145" s="7"/>
      <c r="UAN145" s="7"/>
      <c r="UAO145" s="7"/>
      <c r="UAP145" s="7"/>
      <c r="UAQ145" s="7"/>
      <c r="UAR145" s="7"/>
      <c r="UAS145" s="7"/>
      <c r="UAT145" s="7"/>
      <c r="UAU145" s="7"/>
      <c r="UAV145" s="7"/>
      <c r="UAW145" s="7"/>
      <c r="UAX145" s="7"/>
      <c r="UAY145" s="7"/>
      <c r="UAZ145" s="7"/>
      <c r="UBA145" s="7"/>
      <c r="UBB145" s="7"/>
      <c r="UBC145" s="7"/>
      <c r="UBD145" s="7"/>
      <c r="UBE145" s="7"/>
      <c r="UBF145" s="7"/>
      <c r="UBG145" s="7"/>
      <c r="UBH145" s="7"/>
      <c r="UBI145" s="7"/>
      <c r="UBJ145" s="7"/>
      <c r="UBK145" s="7"/>
      <c r="UBL145" s="7"/>
      <c r="UBM145" s="7"/>
      <c r="UBN145" s="7"/>
      <c r="UBO145" s="7"/>
      <c r="UBP145" s="7"/>
      <c r="UBQ145" s="7"/>
      <c r="UBR145" s="7"/>
      <c r="UBS145" s="7"/>
      <c r="UBT145" s="7"/>
      <c r="UBU145" s="7"/>
      <c r="UBV145" s="7"/>
      <c r="UBW145" s="7"/>
      <c r="UBX145" s="7"/>
      <c r="UBY145" s="7"/>
      <c r="UBZ145" s="7"/>
      <c r="UCA145" s="7"/>
      <c r="UCB145" s="7"/>
      <c r="UCC145" s="7"/>
      <c r="UCD145" s="7"/>
      <c r="UCE145" s="7"/>
      <c r="UCF145" s="7"/>
      <c r="UCG145" s="7"/>
      <c r="UCH145" s="7"/>
      <c r="UCI145" s="7"/>
      <c r="UCJ145" s="7"/>
      <c r="UCK145" s="7"/>
      <c r="UCL145" s="7"/>
      <c r="UCM145" s="7"/>
      <c r="UCN145" s="7"/>
      <c r="UCO145" s="7"/>
      <c r="UCP145" s="7"/>
      <c r="UCQ145" s="7"/>
      <c r="UCR145" s="7"/>
      <c r="UCS145" s="7"/>
      <c r="UCT145" s="7"/>
      <c r="UCU145" s="7"/>
      <c r="UCV145" s="7"/>
      <c r="UCW145" s="7"/>
      <c r="UCX145" s="7"/>
      <c r="UCY145" s="7"/>
      <c r="UCZ145" s="7"/>
      <c r="UDA145" s="7"/>
      <c r="UDB145" s="7"/>
      <c r="UDC145" s="7"/>
      <c r="UDD145" s="7"/>
      <c r="UDE145" s="7"/>
      <c r="UDF145" s="7"/>
      <c r="UDG145" s="7"/>
      <c r="UDH145" s="7"/>
      <c r="UDI145" s="7"/>
      <c r="UDJ145" s="7"/>
      <c r="UDK145" s="7"/>
      <c r="UDL145" s="7"/>
      <c r="UDM145" s="7"/>
      <c r="UDN145" s="7"/>
      <c r="UDO145" s="7"/>
      <c r="UDP145" s="7"/>
      <c r="UDQ145" s="7"/>
      <c r="UDR145" s="7"/>
      <c r="UDS145" s="7"/>
      <c r="UDT145" s="7"/>
      <c r="UDU145" s="7"/>
      <c r="UDV145" s="7"/>
      <c r="UDW145" s="7"/>
      <c r="UDX145" s="7"/>
      <c r="UDY145" s="7"/>
      <c r="UDZ145" s="7"/>
      <c r="UEA145" s="7"/>
      <c r="UEB145" s="7"/>
      <c r="UEC145" s="7"/>
      <c r="UED145" s="7"/>
      <c r="UEE145" s="7"/>
      <c r="UEF145" s="7"/>
      <c r="UEG145" s="7"/>
      <c r="UEH145" s="7"/>
      <c r="UEI145" s="7"/>
      <c r="UEJ145" s="7"/>
      <c r="UEK145" s="7"/>
      <c r="UEL145" s="7"/>
      <c r="UEM145" s="7"/>
      <c r="UEN145" s="7"/>
      <c r="UEO145" s="7"/>
      <c r="UEP145" s="7"/>
      <c r="UEQ145" s="7"/>
      <c r="UER145" s="7"/>
      <c r="UES145" s="7"/>
      <c r="UET145" s="7"/>
      <c r="UEU145" s="7"/>
      <c r="UEV145" s="7"/>
      <c r="UEW145" s="7"/>
      <c r="UEX145" s="7"/>
      <c r="UEY145" s="7"/>
      <c r="UEZ145" s="7"/>
      <c r="UFA145" s="7"/>
      <c r="UFB145" s="7"/>
      <c r="UFC145" s="7"/>
      <c r="UFD145" s="7"/>
      <c r="UFE145" s="7"/>
      <c r="UFF145" s="7"/>
      <c r="UFG145" s="7"/>
      <c r="UFH145" s="7"/>
      <c r="UFI145" s="7"/>
      <c r="UFJ145" s="7"/>
      <c r="UFK145" s="7"/>
      <c r="UFL145" s="7"/>
      <c r="UFM145" s="7"/>
      <c r="UFN145" s="7"/>
      <c r="UFO145" s="7"/>
      <c r="UFP145" s="7"/>
      <c r="UFQ145" s="7"/>
      <c r="UFR145" s="7"/>
      <c r="UFS145" s="7"/>
      <c r="UFT145" s="7"/>
      <c r="UFU145" s="7"/>
      <c r="UFV145" s="7"/>
      <c r="UFW145" s="7"/>
      <c r="UFX145" s="7"/>
      <c r="UFY145" s="7"/>
      <c r="UFZ145" s="7"/>
      <c r="UGA145" s="7"/>
      <c r="UGB145" s="7"/>
      <c r="UGC145" s="7"/>
      <c r="UGD145" s="7"/>
      <c r="UGE145" s="7"/>
      <c r="UGF145" s="7"/>
      <c r="UGG145" s="7"/>
      <c r="UGH145" s="7"/>
      <c r="UGI145" s="7"/>
      <c r="UGJ145" s="7"/>
      <c r="UGK145" s="7"/>
      <c r="UGL145" s="7"/>
      <c r="UGM145" s="7"/>
      <c r="UGN145" s="7"/>
      <c r="UGO145" s="7"/>
      <c r="UGP145" s="7"/>
      <c r="UGQ145" s="7"/>
      <c r="UGR145" s="7"/>
      <c r="UGS145" s="7"/>
      <c r="UGT145" s="7"/>
      <c r="UGU145" s="7"/>
      <c r="UGV145" s="7"/>
      <c r="UGW145" s="7"/>
      <c r="UGX145" s="7"/>
      <c r="UGY145" s="7"/>
      <c r="UGZ145" s="7"/>
      <c r="UHA145" s="7"/>
      <c r="UHB145" s="7"/>
      <c r="UHC145" s="7"/>
      <c r="UHD145" s="7"/>
      <c r="UHE145" s="7"/>
      <c r="UHF145" s="7"/>
      <c r="UHG145" s="7"/>
      <c r="UHH145" s="7"/>
      <c r="UHI145" s="7"/>
      <c r="UHJ145" s="7"/>
      <c r="UHK145" s="7"/>
      <c r="UHL145" s="7"/>
      <c r="UHM145" s="7"/>
      <c r="UHN145" s="7"/>
      <c r="UHO145" s="7"/>
      <c r="UHP145" s="7"/>
      <c r="UHQ145" s="7"/>
      <c r="UHR145" s="7"/>
      <c r="UHS145" s="7"/>
      <c r="UHT145" s="7"/>
      <c r="UHU145" s="7"/>
      <c r="UHV145" s="7"/>
      <c r="UHW145" s="7"/>
      <c r="UHX145" s="7"/>
      <c r="UHY145" s="7"/>
      <c r="UHZ145" s="7"/>
      <c r="UIA145" s="7"/>
      <c r="UIB145" s="7"/>
      <c r="UIC145" s="7"/>
      <c r="UID145" s="7"/>
      <c r="UIE145" s="7"/>
      <c r="UIF145" s="7"/>
      <c r="UIG145" s="7"/>
      <c r="UIH145" s="7"/>
      <c r="UII145" s="7"/>
      <c r="UIJ145" s="7"/>
      <c r="UIK145" s="7"/>
      <c r="UIL145" s="7"/>
      <c r="UIM145" s="7"/>
      <c r="UIN145" s="7"/>
      <c r="UIO145" s="7"/>
      <c r="UIP145" s="7"/>
      <c r="UIQ145" s="7"/>
      <c r="UIR145" s="7"/>
      <c r="UIS145" s="7"/>
      <c r="UIT145" s="7"/>
      <c r="UIU145" s="7"/>
      <c r="UIV145" s="7"/>
      <c r="UIW145" s="7"/>
      <c r="UIX145" s="7"/>
      <c r="UIY145" s="7"/>
      <c r="UIZ145" s="7"/>
      <c r="UJA145" s="7"/>
      <c r="UJB145" s="7"/>
      <c r="UJC145" s="7"/>
      <c r="UJD145" s="7"/>
      <c r="UJE145" s="7"/>
      <c r="UJF145" s="7"/>
      <c r="UJG145" s="7"/>
      <c r="UJH145" s="7"/>
      <c r="UJI145" s="7"/>
      <c r="UJJ145" s="7"/>
      <c r="UJK145" s="7"/>
      <c r="UJL145" s="7"/>
      <c r="UJM145" s="7"/>
      <c r="UJN145" s="7"/>
      <c r="UJO145" s="7"/>
      <c r="UJP145" s="7"/>
      <c r="UJQ145" s="7"/>
      <c r="UJR145" s="7"/>
      <c r="UJS145" s="7"/>
      <c r="UJT145" s="7"/>
      <c r="UJU145" s="7"/>
      <c r="UJV145" s="7"/>
      <c r="UJW145" s="7"/>
      <c r="UJX145" s="7"/>
      <c r="UJY145" s="7"/>
      <c r="UJZ145" s="7"/>
      <c r="UKA145" s="7"/>
      <c r="UKB145" s="7"/>
      <c r="UKC145" s="7"/>
      <c r="UKD145" s="7"/>
      <c r="UKE145" s="7"/>
      <c r="UKF145" s="7"/>
      <c r="UKG145" s="7"/>
      <c r="UKH145" s="7"/>
      <c r="UKI145" s="7"/>
      <c r="UKJ145" s="7"/>
      <c r="UKK145" s="7"/>
      <c r="UKL145" s="7"/>
      <c r="UKM145" s="7"/>
      <c r="UKN145" s="7"/>
      <c r="UKO145" s="7"/>
      <c r="UKP145" s="7"/>
      <c r="UKQ145" s="7"/>
      <c r="UKR145" s="7"/>
      <c r="UKS145" s="7"/>
      <c r="UKT145" s="7"/>
      <c r="UKU145" s="7"/>
      <c r="UKV145" s="7"/>
      <c r="UKW145" s="7"/>
      <c r="UKX145" s="7"/>
      <c r="UKY145" s="7"/>
      <c r="UKZ145" s="7"/>
      <c r="ULA145" s="7"/>
      <c r="ULB145" s="7"/>
      <c r="ULC145" s="7"/>
      <c r="ULD145" s="7"/>
      <c r="ULE145" s="7"/>
      <c r="ULF145" s="7"/>
      <c r="ULG145" s="7"/>
      <c r="ULH145" s="7"/>
      <c r="ULI145" s="7"/>
      <c r="ULJ145" s="7"/>
      <c r="ULK145" s="7"/>
      <c r="ULL145" s="7"/>
      <c r="ULM145" s="7"/>
      <c r="ULN145" s="7"/>
      <c r="ULO145" s="7"/>
      <c r="ULP145" s="7"/>
      <c r="ULQ145" s="7"/>
      <c r="ULR145" s="7"/>
      <c r="ULS145" s="7"/>
      <c r="ULT145" s="7"/>
      <c r="ULU145" s="7"/>
      <c r="ULV145" s="7"/>
      <c r="ULW145" s="7"/>
      <c r="ULX145" s="7"/>
      <c r="ULY145" s="7"/>
      <c r="ULZ145" s="7"/>
      <c r="UMA145" s="7"/>
      <c r="UMB145" s="7"/>
      <c r="UMC145" s="7"/>
      <c r="UMD145" s="7"/>
      <c r="UME145" s="7"/>
      <c r="UMF145" s="7"/>
      <c r="UMG145" s="7"/>
      <c r="UMH145" s="7"/>
      <c r="UMI145" s="7"/>
      <c r="UMJ145" s="7"/>
      <c r="UMK145" s="7"/>
      <c r="UML145" s="7"/>
      <c r="UMM145" s="7"/>
      <c r="UMN145" s="7"/>
      <c r="UMO145" s="7"/>
      <c r="UMP145" s="7"/>
      <c r="UMQ145" s="7"/>
      <c r="UMR145" s="7"/>
      <c r="UMS145" s="7"/>
      <c r="UMT145" s="7"/>
      <c r="UMU145" s="7"/>
      <c r="UMV145" s="7"/>
      <c r="UMW145" s="7"/>
      <c r="UMX145" s="7"/>
      <c r="UMY145" s="7"/>
      <c r="UMZ145" s="7"/>
      <c r="UNA145" s="7"/>
      <c r="UNB145" s="7"/>
      <c r="UNC145" s="7"/>
      <c r="UND145" s="7"/>
      <c r="UNE145" s="7"/>
      <c r="UNF145" s="7"/>
      <c r="UNG145" s="7"/>
      <c r="UNH145" s="7"/>
      <c r="UNI145" s="7"/>
      <c r="UNJ145" s="7"/>
      <c r="UNK145" s="7"/>
      <c r="UNL145" s="7"/>
      <c r="UNM145" s="7"/>
      <c r="UNN145" s="7"/>
      <c r="UNO145" s="7"/>
      <c r="UNP145" s="7"/>
      <c r="UNQ145" s="7"/>
      <c r="UNR145" s="7"/>
      <c r="UNS145" s="7"/>
      <c r="UNT145" s="7"/>
      <c r="UNU145" s="7"/>
      <c r="UNV145" s="7"/>
      <c r="UNW145" s="7"/>
      <c r="UNX145" s="7"/>
      <c r="UNY145" s="7"/>
      <c r="UNZ145" s="7"/>
      <c r="UOA145" s="7"/>
      <c r="UOB145" s="7"/>
      <c r="UOC145" s="7"/>
      <c r="UOD145" s="7"/>
      <c r="UOE145" s="7"/>
      <c r="UOF145" s="7"/>
      <c r="UOG145" s="7"/>
      <c r="UOH145" s="7"/>
      <c r="UOI145" s="7"/>
      <c r="UOJ145" s="7"/>
      <c r="UOK145" s="7"/>
      <c r="UOL145" s="7"/>
      <c r="UOM145" s="7"/>
      <c r="UON145" s="7"/>
      <c r="UOO145" s="7"/>
      <c r="UOP145" s="7"/>
      <c r="UOQ145" s="7"/>
      <c r="UOR145" s="7"/>
      <c r="UOS145" s="7"/>
      <c r="UOT145" s="7"/>
      <c r="UOU145" s="7"/>
      <c r="UOV145" s="7"/>
      <c r="UOW145" s="7"/>
      <c r="UOX145" s="7"/>
      <c r="UOY145" s="7"/>
      <c r="UOZ145" s="7"/>
      <c r="UPA145" s="7"/>
      <c r="UPB145" s="7"/>
      <c r="UPC145" s="7"/>
      <c r="UPD145" s="7"/>
      <c r="UPE145" s="7"/>
      <c r="UPF145" s="7"/>
      <c r="UPG145" s="7"/>
      <c r="UPH145" s="7"/>
      <c r="UPI145" s="7"/>
      <c r="UPJ145" s="7"/>
      <c r="UPK145" s="7"/>
      <c r="UPL145" s="7"/>
      <c r="UPM145" s="7"/>
      <c r="UPN145" s="7"/>
      <c r="UPO145" s="7"/>
      <c r="UPP145" s="7"/>
      <c r="UPQ145" s="7"/>
      <c r="UPR145" s="7"/>
      <c r="UPS145" s="7"/>
      <c r="UPT145" s="7"/>
      <c r="UPU145" s="7"/>
      <c r="UPV145" s="7"/>
      <c r="UPW145" s="7"/>
      <c r="UPX145" s="7"/>
      <c r="UPY145" s="7"/>
      <c r="UPZ145" s="7"/>
      <c r="UQA145" s="7"/>
      <c r="UQB145" s="7"/>
      <c r="UQC145" s="7"/>
      <c r="UQD145" s="7"/>
      <c r="UQE145" s="7"/>
      <c r="UQF145" s="7"/>
      <c r="UQG145" s="7"/>
      <c r="UQH145" s="7"/>
      <c r="UQI145" s="7"/>
      <c r="UQJ145" s="7"/>
      <c r="UQK145" s="7"/>
      <c r="UQL145" s="7"/>
      <c r="UQM145" s="7"/>
      <c r="UQN145" s="7"/>
      <c r="UQO145" s="7"/>
      <c r="UQP145" s="7"/>
      <c r="UQQ145" s="7"/>
      <c r="UQR145" s="7"/>
      <c r="UQS145" s="7"/>
      <c r="UQT145" s="7"/>
      <c r="UQU145" s="7"/>
      <c r="UQV145" s="7"/>
      <c r="UQW145" s="7"/>
      <c r="UQX145" s="7"/>
      <c r="UQY145" s="7"/>
      <c r="UQZ145" s="7"/>
      <c r="URA145" s="7"/>
      <c r="URB145" s="7"/>
      <c r="URC145" s="7"/>
      <c r="URD145" s="7"/>
      <c r="URE145" s="7"/>
      <c r="URF145" s="7"/>
      <c r="URG145" s="7"/>
      <c r="URH145" s="7"/>
      <c r="URI145" s="7"/>
      <c r="URJ145" s="7"/>
      <c r="URK145" s="7"/>
      <c r="URL145" s="7"/>
      <c r="URM145" s="7"/>
      <c r="URN145" s="7"/>
      <c r="URO145" s="7"/>
      <c r="URP145" s="7"/>
      <c r="URQ145" s="7"/>
      <c r="URR145" s="7"/>
      <c r="URS145" s="7"/>
      <c r="URT145" s="7"/>
      <c r="URU145" s="7"/>
      <c r="URV145" s="7"/>
      <c r="URW145" s="7"/>
      <c r="URX145" s="7"/>
      <c r="URY145" s="7"/>
      <c r="URZ145" s="7"/>
      <c r="USA145" s="7"/>
      <c r="USB145" s="7"/>
      <c r="USC145" s="7"/>
      <c r="USD145" s="7"/>
      <c r="USE145" s="7"/>
      <c r="USF145" s="7"/>
      <c r="USG145" s="7"/>
      <c r="USH145" s="7"/>
      <c r="USI145" s="7"/>
      <c r="USJ145" s="7"/>
      <c r="USK145" s="7"/>
      <c r="USL145" s="7"/>
      <c r="USM145" s="7"/>
      <c r="USN145" s="7"/>
      <c r="USO145" s="7"/>
      <c r="USP145" s="7"/>
      <c r="USQ145" s="7"/>
      <c r="USR145" s="7"/>
      <c r="USS145" s="7"/>
      <c r="UST145" s="7"/>
      <c r="USU145" s="7"/>
      <c r="USV145" s="7"/>
      <c r="USW145" s="7"/>
      <c r="USX145" s="7"/>
      <c r="USY145" s="7"/>
      <c r="USZ145" s="7"/>
      <c r="UTA145" s="7"/>
      <c r="UTB145" s="7"/>
      <c r="UTC145" s="7"/>
      <c r="UTD145" s="7"/>
      <c r="UTE145" s="7"/>
      <c r="UTF145" s="7"/>
      <c r="UTG145" s="7"/>
      <c r="UTH145" s="7"/>
      <c r="UTI145" s="7"/>
      <c r="UTJ145" s="7"/>
      <c r="UTK145" s="7"/>
      <c r="UTL145" s="7"/>
      <c r="UTM145" s="7"/>
      <c r="UTN145" s="7"/>
      <c r="UTO145" s="7"/>
      <c r="UTP145" s="7"/>
      <c r="UTQ145" s="7"/>
      <c r="UTR145" s="7"/>
      <c r="UTS145" s="7"/>
      <c r="UTT145" s="7"/>
      <c r="UTU145" s="7"/>
      <c r="UTV145" s="7"/>
      <c r="UTW145" s="7"/>
      <c r="UTX145" s="7"/>
      <c r="UTY145" s="7"/>
      <c r="UTZ145" s="7"/>
      <c r="UUA145" s="7"/>
      <c r="UUB145" s="7"/>
      <c r="UUC145" s="7"/>
      <c r="UUD145" s="7"/>
      <c r="UUE145" s="7"/>
      <c r="UUF145" s="7"/>
      <c r="UUG145" s="7"/>
      <c r="UUH145" s="7"/>
      <c r="UUI145" s="7"/>
      <c r="UUJ145" s="7"/>
      <c r="UUK145" s="7"/>
      <c r="UUL145" s="7"/>
      <c r="UUM145" s="7"/>
      <c r="UUN145" s="7"/>
      <c r="UUO145" s="7"/>
      <c r="UUP145" s="7"/>
      <c r="UUQ145" s="7"/>
      <c r="UUR145" s="7"/>
      <c r="UUS145" s="7"/>
      <c r="UUT145" s="7"/>
      <c r="UUU145" s="7"/>
      <c r="UUV145" s="7"/>
      <c r="UUW145" s="7"/>
      <c r="UUX145" s="7"/>
      <c r="UUY145" s="7"/>
      <c r="UUZ145" s="7"/>
      <c r="UVA145" s="7"/>
      <c r="UVB145" s="7"/>
      <c r="UVC145" s="7"/>
      <c r="UVD145" s="7"/>
      <c r="UVE145" s="7"/>
      <c r="UVF145" s="7"/>
      <c r="UVG145" s="7"/>
      <c r="UVH145" s="7"/>
      <c r="UVI145" s="7"/>
      <c r="UVJ145" s="7"/>
      <c r="UVK145" s="7"/>
      <c r="UVL145" s="7"/>
      <c r="UVM145" s="7"/>
      <c r="UVN145" s="7"/>
      <c r="UVO145" s="7"/>
      <c r="UVP145" s="7"/>
      <c r="UVQ145" s="7"/>
      <c r="UVR145" s="7"/>
      <c r="UVS145" s="7"/>
      <c r="UVT145" s="7"/>
      <c r="UVU145" s="7"/>
      <c r="UVV145" s="7"/>
      <c r="UVW145" s="7"/>
      <c r="UVX145" s="7"/>
      <c r="UVY145" s="7"/>
      <c r="UVZ145" s="7"/>
      <c r="UWA145" s="7"/>
      <c r="UWB145" s="7"/>
      <c r="UWC145" s="7"/>
      <c r="UWD145" s="7"/>
      <c r="UWE145" s="7"/>
      <c r="UWF145" s="7"/>
      <c r="UWG145" s="7"/>
      <c r="UWH145" s="7"/>
      <c r="UWI145" s="7"/>
      <c r="UWJ145" s="7"/>
      <c r="UWK145" s="7"/>
      <c r="UWL145" s="7"/>
      <c r="UWM145" s="7"/>
      <c r="UWN145" s="7"/>
      <c r="UWO145" s="7"/>
      <c r="UWP145" s="7"/>
      <c r="UWQ145" s="7"/>
      <c r="UWR145" s="7"/>
      <c r="UWS145" s="7"/>
      <c r="UWT145" s="7"/>
      <c r="UWU145" s="7"/>
      <c r="UWV145" s="7"/>
      <c r="UWW145" s="7"/>
      <c r="UWX145" s="7"/>
      <c r="UWY145" s="7"/>
      <c r="UWZ145" s="7"/>
      <c r="UXA145" s="7"/>
      <c r="UXB145" s="7"/>
      <c r="UXC145" s="7"/>
      <c r="UXD145" s="7"/>
      <c r="UXE145" s="7"/>
      <c r="UXF145" s="7"/>
      <c r="UXG145" s="7"/>
      <c r="UXH145" s="7"/>
      <c r="UXI145" s="7"/>
      <c r="UXJ145" s="7"/>
      <c r="UXK145" s="7"/>
      <c r="UXL145" s="7"/>
      <c r="UXM145" s="7"/>
      <c r="UXN145" s="7"/>
      <c r="UXO145" s="7"/>
      <c r="UXP145" s="7"/>
      <c r="UXQ145" s="7"/>
      <c r="UXR145" s="7"/>
      <c r="UXS145" s="7"/>
      <c r="UXT145" s="7"/>
      <c r="UXU145" s="7"/>
      <c r="UXV145" s="7"/>
      <c r="UXW145" s="7"/>
      <c r="UXX145" s="7"/>
      <c r="UXY145" s="7"/>
      <c r="UXZ145" s="7"/>
      <c r="UYA145" s="7"/>
      <c r="UYB145" s="7"/>
      <c r="UYC145" s="7"/>
      <c r="UYD145" s="7"/>
      <c r="UYE145" s="7"/>
      <c r="UYF145" s="7"/>
      <c r="UYG145" s="7"/>
      <c r="UYH145" s="7"/>
      <c r="UYI145" s="7"/>
      <c r="UYJ145" s="7"/>
      <c r="UYK145" s="7"/>
      <c r="UYL145" s="7"/>
      <c r="UYM145" s="7"/>
      <c r="UYN145" s="7"/>
      <c r="UYO145" s="7"/>
      <c r="UYP145" s="7"/>
      <c r="UYQ145" s="7"/>
      <c r="UYR145" s="7"/>
      <c r="UYS145" s="7"/>
      <c r="UYT145" s="7"/>
      <c r="UYU145" s="7"/>
      <c r="UYV145" s="7"/>
      <c r="UYW145" s="7"/>
      <c r="UYX145" s="7"/>
      <c r="UYY145" s="7"/>
      <c r="UYZ145" s="7"/>
      <c r="UZA145" s="7"/>
      <c r="UZB145" s="7"/>
      <c r="UZC145" s="7"/>
      <c r="UZD145" s="7"/>
      <c r="UZE145" s="7"/>
      <c r="UZF145" s="7"/>
      <c r="UZG145" s="7"/>
      <c r="UZH145" s="7"/>
      <c r="UZI145" s="7"/>
      <c r="UZJ145" s="7"/>
      <c r="UZK145" s="7"/>
      <c r="UZL145" s="7"/>
      <c r="UZM145" s="7"/>
      <c r="UZN145" s="7"/>
      <c r="UZO145" s="7"/>
      <c r="UZP145" s="7"/>
      <c r="UZQ145" s="7"/>
      <c r="UZR145" s="7"/>
      <c r="UZS145" s="7"/>
      <c r="UZT145" s="7"/>
      <c r="UZU145" s="7"/>
      <c r="UZV145" s="7"/>
      <c r="UZW145" s="7"/>
      <c r="UZX145" s="7"/>
      <c r="UZY145" s="7"/>
      <c r="UZZ145" s="7"/>
      <c r="VAA145" s="7"/>
      <c r="VAB145" s="7"/>
      <c r="VAC145" s="7"/>
      <c r="VAD145" s="7"/>
      <c r="VAE145" s="7"/>
      <c r="VAF145" s="7"/>
      <c r="VAG145" s="7"/>
      <c r="VAH145" s="7"/>
      <c r="VAI145" s="7"/>
      <c r="VAJ145" s="7"/>
      <c r="VAK145" s="7"/>
      <c r="VAL145" s="7"/>
      <c r="VAM145" s="7"/>
      <c r="VAN145" s="7"/>
      <c r="VAO145" s="7"/>
      <c r="VAP145" s="7"/>
      <c r="VAQ145" s="7"/>
      <c r="VAR145" s="7"/>
      <c r="VAS145" s="7"/>
      <c r="VAT145" s="7"/>
      <c r="VAU145" s="7"/>
      <c r="VAV145" s="7"/>
      <c r="VAW145" s="7"/>
      <c r="VAX145" s="7"/>
      <c r="VAY145" s="7"/>
      <c r="VAZ145" s="7"/>
      <c r="VBA145" s="7"/>
      <c r="VBB145" s="7"/>
      <c r="VBC145" s="7"/>
      <c r="VBD145" s="7"/>
      <c r="VBE145" s="7"/>
      <c r="VBF145" s="7"/>
      <c r="VBG145" s="7"/>
      <c r="VBH145" s="7"/>
      <c r="VBI145" s="7"/>
      <c r="VBJ145" s="7"/>
      <c r="VBK145" s="7"/>
      <c r="VBL145" s="7"/>
      <c r="VBM145" s="7"/>
      <c r="VBN145" s="7"/>
      <c r="VBO145" s="7"/>
      <c r="VBP145" s="7"/>
      <c r="VBQ145" s="7"/>
      <c r="VBR145" s="7"/>
      <c r="VBS145" s="7"/>
      <c r="VBT145" s="7"/>
      <c r="VBU145" s="7"/>
      <c r="VBV145" s="7"/>
      <c r="VBW145" s="7"/>
      <c r="VBX145" s="7"/>
      <c r="VBY145" s="7"/>
      <c r="VBZ145" s="7"/>
      <c r="VCA145" s="7"/>
      <c r="VCB145" s="7"/>
      <c r="VCC145" s="7"/>
      <c r="VCD145" s="7"/>
      <c r="VCE145" s="7"/>
      <c r="VCF145" s="7"/>
      <c r="VCG145" s="7"/>
      <c r="VCH145" s="7"/>
      <c r="VCI145" s="7"/>
      <c r="VCJ145" s="7"/>
      <c r="VCK145" s="7"/>
      <c r="VCL145" s="7"/>
      <c r="VCM145" s="7"/>
      <c r="VCN145" s="7"/>
      <c r="VCO145" s="7"/>
      <c r="VCP145" s="7"/>
      <c r="VCQ145" s="7"/>
      <c r="VCR145" s="7"/>
      <c r="VCS145" s="7"/>
      <c r="VCT145" s="7"/>
      <c r="VCU145" s="7"/>
      <c r="VCV145" s="7"/>
      <c r="VCW145" s="7"/>
      <c r="VCX145" s="7"/>
      <c r="VCY145" s="7"/>
      <c r="VCZ145" s="7"/>
      <c r="VDA145" s="7"/>
      <c r="VDB145" s="7"/>
      <c r="VDC145" s="7"/>
      <c r="VDD145" s="7"/>
      <c r="VDE145" s="7"/>
      <c r="VDF145" s="7"/>
      <c r="VDG145" s="7"/>
      <c r="VDH145" s="7"/>
      <c r="VDI145" s="7"/>
      <c r="VDJ145" s="7"/>
      <c r="VDK145" s="7"/>
      <c r="VDL145" s="7"/>
      <c r="VDM145" s="7"/>
      <c r="VDN145" s="7"/>
      <c r="VDO145" s="7"/>
      <c r="VDP145" s="7"/>
      <c r="VDQ145" s="7"/>
      <c r="VDR145" s="7"/>
      <c r="VDS145" s="7"/>
      <c r="VDT145" s="7"/>
      <c r="VDU145" s="7"/>
      <c r="VDV145" s="7"/>
      <c r="VDW145" s="7"/>
      <c r="VDX145" s="7"/>
      <c r="VDY145" s="7"/>
      <c r="VDZ145" s="7"/>
      <c r="VEA145" s="7"/>
      <c r="VEB145" s="7"/>
      <c r="VEC145" s="7"/>
      <c r="VED145" s="7"/>
      <c r="VEE145" s="7"/>
      <c r="VEF145" s="7"/>
      <c r="VEG145" s="7"/>
      <c r="VEH145" s="7"/>
      <c r="VEI145" s="7"/>
      <c r="VEJ145" s="7"/>
      <c r="VEK145" s="7"/>
      <c r="VEL145" s="7"/>
      <c r="VEM145" s="7"/>
      <c r="VEN145" s="7"/>
      <c r="VEO145" s="7"/>
      <c r="VEP145" s="7"/>
      <c r="VEQ145" s="7"/>
      <c r="VER145" s="7"/>
      <c r="VES145" s="7"/>
      <c r="VET145" s="7"/>
      <c r="VEU145" s="7"/>
      <c r="VEV145" s="7"/>
      <c r="VEW145" s="7"/>
      <c r="VEX145" s="7"/>
      <c r="VEY145" s="7"/>
      <c r="VEZ145" s="7"/>
      <c r="VFA145" s="7"/>
      <c r="VFB145" s="7"/>
      <c r="VFC145" s="7"/>
      <c r="VFD145" s="7"/>
      <c r="VFE145" s="7"/>
      <c r="VFF145" s="7"/>
      <c r="VFG145" s="7"/>
      <c r="VFH145" s="7"/>
      <c r="VFI145" s="7"/>
      <c r="VFJ145" s="7"/>
      <c r="VFK145" s="7"/>
      <c r="VFL145" s="7"/>
      <c r="VFM145" s="7"/>
      <c r="VFN145" s="7"/>
      <c r="VFO145" s="7"/>
      <c r="VFP145" s="7"/>
      <c r="VFQ145" s="7"/>
      <c r="VFR145" s="7"/>
      <c r="VFS145" s="7"/>
      <c r="VFT145" s="7"/>
      <c r="VFU145" s="7"/>
      <c r="VFV145" s="7"/>
      <c r="VFW145" s="7"/>
      <c r="VFX145" s="7"/>
      <c r="VFY145" s="7"/>
      <c r="VFZ145" s="7"/>
      <c r="VGA145" s="7"/>
      <c r="VGB145" s="7"/>
      <c r="VGC145" s="7"/>
      <c r="VGD145" s="7"/>
      <c r="VGE145" s="7"/>
      <c r="VGF145" s="7"/>
      <c r="VGG145" s="7"/>
      <c r="VGH145" s="7"/>
      <c r="VGI145" s="7"/>
      <c r="VGJ145" s="7"/>
      <c r="VGK145" s="7"/>
      <c r="VGL145" s="7"/>
      <c r="VGM145" s="7"/>
      <c r="VGN145" s="7"/>
      <c r="VGO145" s="7"/>
      <c r="VGP145" s="7"/>
      <c r="VGQ145" s="7"/>
      <c r="VGR145" s="7"/>
      <c r="VGS145" s="7"/>
      <c r="VGT145" s="7"/>
      <c r="VGU145" s="7"/>
      <c r="VGV145" s="7"/>
      <c r="VGW145" s="7"/>
      <c r="VGX145" s="7"/>
      <c r="VGY145" s="7"/>
      <c r="VGZ145" s="7"/>
      <c r="VHA145" s="7"/>
      <c r="VHB145" s="7"/>
      <c r="VHC145" s="7"/>
      <c r="VHD145" s="7"/>
      <c r="VHE145" s="7"/>
      <c r="VHF145" s="7"/>
      <c r="VHG145" s="7"/>
      <c r="VHH145" s="7"/>
      <c r="VHI145" s="7"/>
      <c r="VHJ145" s="7"/>
      <c r="VHK145" s="7"/>
      <c r="VHL145" s="7"/>
      <c r="VHM145" s="7"/>
      <c r="VHN145" s="7"/>
      <c r="VHO145" s="7"/>
      <c r="VHP145" s="7"/>
      <c r="VHQ145" s="7"/>
      <c r="VHR145" s="7"/>
      <c r="VHS145" s="7"/>
      <c r="VHT145" s="7"/>
      <c r="VHU145" s="7"/>
      <c r="VHV145" s="7"/>
      <c r="VHW145" s="7"/>
      <c r="VHX145" s="7"/>
      <c r="VHY145" s="7"/>
      <c r="VHZ145" s="7"/>
      <c r="VIA145" s="7"/>
      <c r="VIB145" s="7"/>
      <c r="VIC145" s="7"/>
      <c r="VID145" s="7"/>
      <c r="VIE145" s="7"/>
      <c r="VIF145" s="7"/>
      <c r="VIG145" s="7"/>
      <c r="VIH145" s="7"/>
      <c r="VII145" s="7"/>
      <c r="VIJ145" s="7"/>
      <c r="VIK145" s="7"/>
      <c r="VIL145" s="7"/>
      <c r="VIM145" s="7"/>
      <c r="VIN145" s="7"/>
      <c r="VIO145" s="7"/>
      <c r="VIP145" s="7"/>
      <c r="VIQ145" s="7"/>
      <c r="VIR145" s="7"/>
      <c r="VIS145" s="7"/>
      <c r="VIT145" s="7"/>
      <c r="VIU145" s="7"/>
      <c r="VIV145" s="7"/>
      <c r="VIW145" s="7"/>
      <c r="VIX145" s="7"/>
      <c r="VIY145" s="7"/>
      <c r="VIZ145" s="7"/>
      <c r="VJA145" s="7"/>
      <c r="VJB145" s="7"/>
      <c r="VJC145" s="7"/>
      <c r="VJD145" s="7"/>
      <c r="VJE145" s="7"/>
      <c r="VJF145" s="7"/>
      <c r="VJG145" s="7"/>
      <c r="VJH145" s="7"/>
      <c r="VJI145" s="7"/>
      <c r="VJJ145" s="7"/>
      <c r="VJK145" s="7"/>
      <c r="VJL145" s="7"/>
      <c r="VJM145" s="7"/>
      <c r="VJN145" s="7"/>
      <c r="VJO145" s="7"/>
      <c r="VJP145" s="7"/>
      <c r="VJQ145" s="7"/>
      <c r="VJR145" s="7"/>
      <c r="VJS145" s="7"/>
      <c r="VJT145" s="7"/>
      <c r="VJU145" s="7"/>
      <c r="VJV145" s="7"/>
      <c r="VJW145" s="7"/>
      <c r="VJX145" s="7"/>
      <c r="VJY145" s="7"/>
      <c r="VJZ145" s="7"/>
      <c r="VKA145" s="7"/>
      <c r="VKB145" s="7"/>
      <c r="VKC145" s="7"/>
      <c r="VKD145" s="7"/>
      <c r="VKE145" s="7"/>
      <c r="VKF145" s="7"/>
      <c r="VKG145" s="7"/>
      <c r="VKH145" s="7"/>
      <c r="VKI145" s="7"/>
      <c r="VKJ145" s="7"/>
      <c r="VKK145" s="7"/>
      <c r="VKL145" s="7"/>
      <c r="VKM145" s="7"/>
      <c r="VKN145" s="7"/>
      <c r="VKO145" s="7"/>
      <c r="VKP145" s="7"/>
      <c r="VKQ145" s="7"/>
      <c r="VKR145" s="7"/>
      <c r="VKS145" s="7"/>
      <c r="VKT145" s="7"/>
      <c r="VKU145" s="7"/>
      <c r="VKV145" s="7"/>
      <c r="VKW145" s="7"/>
      <c r="VKX145" s="7"/>
      <c r="VKY145" s="7"/>
      <c r="VKZ145" s="7"/>
      <c r="VLA145" s="7"/>
      <c r="VLB145" s="7"/>
      <c r="VLC145" s="7"/>
      <c r="VLD145" s="7"/>
      <c r="VLE145" s="7"/>
      <c r="VLF145" s="7"/>
      <c r="VLG145" s="7"/>
      <c r="VLH145" s="7"/>
      <c r="VLI145" s="7"/>
      <c r="VLJ145" s="7"/>
      <c r="VLK145" s="7"/>
      <c r="VLL145" s="7"/>
      <c r="VLM145" s="7"/>
      <c r="VLN145" s="7"/>
      <c r="VLO145" s="7"/>
      <c r="VLP145" s="7"/>
      <c r="VLQ145" s="7"/>
      <c r="VLR145" s="7"/>
      <c r="VLS145" s="7"/>
      <c r="VLT145" s="7"/>
      <c r="VLU145" s="7"/>
      <c r="VLV145" s="7"/>
      <c r="VLW145" s="7"/>
      <c r="VLX145" s="7"/>
      <c r="VLY145" s="7"/>
      <c r="VLZ145" s="7"/>
      <c r="VMA145" s="7"/>
      <c r="VMB145" s="7"/>
      <c r="VMC145" s="7"/>
      <c r="VMD145" s="7"/>
      <c r="VME145" s="7"/>
      <c r="VMF145" s="7"/>
      <c r="VMG145" s="7"/>
      <c r="VMH145" s="7"/>
      <c r="VMI145" s="7"/>
      <c r="VMJ145" s="7"/>
      <c r="VMK145" s="7"/>
      <c r="VML145" s="7"/>
      <c r="VMM145" s="7"/>
      <c r="VMN145" s="7"/>
      <c r="VMO145" s="7"/>
      <c r="VMP145" s="7"/>
      <c r="VMQ145" s="7"/>
      <c r="VMR145" s="7"/>
      <c r="VMS145" s="7"/>
      <c r="VMT145" s="7"/>
      <c r="VMU145" s="7"/>
      <c r="VMV145" s="7"/>
      <c r="VMW145" s="7"/>
      <c r="VMX145" s="7"/>
      <c r="VMY145" s="7"/>
      <c r="VMZ145" s="7"/>
      <c r="VNA145" s="7"/>
      <c r="VNB145" s="7"/>
      <c r="VNC145" s="7"/>
      <c r="VND145" s="7"/>
      <c r="VNE145" s="7"/>
      <c r="VNF145" s="7"/>
      <c r="VNG145" s="7"/>
      <c r="VNH145" s="7"/>
      <c r="VNI145" s="7"/>
      <c r="VNJ145" s="7"/>
      <c r="VNK145" s="7"/>
      <c r="VNL145" s="7"/>
      <c r="VNM145" s="7"/>
      <c r="VNN145" s="7"/>
      <c r="VNO145" s="7"/>
      <c r="VNP145" s="7"/>
      <c r="VNQ145" s="7"/>
      <c r="VNR145" s="7"/>
      <c r="VNS145" s="7"/>
      <c r="VNT145" s="7"/>
      <c r="VNU145" s="7"/>
      <c r="VNV145" s="7"/>
      <c r="VNW145" s="7"/>
      <c r="VNX145" s="7"/>
      <c r="VNY145" s="7"/>
      <c r="VNZ145" s="7"/>
      <c r="VOA145" s="7"/>
      <c r="VOB145" s="7"/>
      <c r="VOC145" s="7"/>
      <c r="VOD145" s="7"/>
      <c r="VOE145" s="7"/>
      <c r="VOF145" s="7"/>
      <c r="VOG145" s="7"/>
      <c r="VOH145" s="7"/>
      <c r="VOI145" s="7"/>
      <c r="VOJ145" s="7"/>
      <c r="VOK145" s="7"/>
      <c r="VOL145" s="7"/>
      <c r="VOM145" s="7"/>
      <c r="VON145" s="7"/>
      <c r="VOO145" s="7"/>
      <c r="VOP145" s="7"/>
      <c r="VOQ145" s="7"/>
      <c r="VOR145" s="7"/>
      <c r="VOS145" s="7"/>
      <c r="VOT145" s="7"/>
      <c r="VOU145" s="7"/>
      <c r="VOV145" s="7"/>
      <c r="VOW145" s="7"/>
      <c r="VOX145" s="7"/>
      <c r="VOY145" s="7"/>
      <c r="VOZ145" s="7"/>
      <c r="VPA145" s="7"/>
      <c r="VPB145" s="7"/>
      <c r="VPC145" s="7"/>
      <c r="VPD145" s="7"/>
      <c r="VPE145" s="7"/>
      <c r="VPF145" s="7"/>
      <c r="VPG145" s="7"/>
      <c r="VPH145" s="7"/>
      <c r="VPI145" s="7"/>
      <c r="VPJ145" s="7"/>
      <c r="VPK145" s="7"/>
      <c r="VPL145" s="7"/>
      <c r="VPM145" s="7"/>
      <c r="VPN145" s="7"/>
      <c r="VPO145" s="7"/>
      <c r="VPP145" s="7"/>
      <c r="VPQ145" s="7"/>
      <c r="VPR145" s="7"/>
      <c r="VPS145" s="7"/>
      <c r="VPT145" s="7"/>
      <c r="VPU145" s="7"/>
      <c r="VPV145" s="7"/>
      <c r="VPW145" s="7"/>
      <c r="VPX145" s="7"/>
      <c r="VPY145" s="7"/>
      <c r="VPZ145" s="7"/>
      <c r="VQA145" s="7"/>
      <c r="VQB145" s="7"/>
      <c r="VQC145" s="7"/>
      <c r="VQD145" s="7"/>
      <c r="VQE145" s="7"/>
      <c r="VQF145" s="7"/>
      <c r="VQG145" s="7"/>
      <c r="VQH145" s="7"/>
      <c r="VQI145" s="7"/>
      <c r="VQJ145" s="7"/>
      <c r="VQK145" s="7"/>
      <c r="VQL145" s="7"/>
      <c r="VQM145" s="7"/>
      <c r="VQN145" s="7"/>
      <c r="VQO145" s="7"/>
      <c r="VQP145" s="7"/>
      <c r="VQQ145" s="7"/>
      <c r="VQR145" s="7"/>
      <c r="VQS145" s="7"/>
      <c r="VQT145" s="7"/>
      <c r="VQU145" s="7"/>
      <c r="VQV145" s="7"/>
      <c r="VQW145" s="7"/>
      <c r="VQX145" s="7"/>
      <c r="VQY145" s="7"/>
      <c r="VQZ145" s="7"/>
      <c r="VRA145" s="7"/>
      <c r="VRB145" s="7"/>
      <c r="VRC145" s="7"/>
      <c r="VRD145" s="7"/>
      <c r="VRE145" s="7"/>
      <c r="VRF145" s="7"/>
      <c r="VRG145" s="7"/>
      <c r="VRH145" s="7"/>
      <c r="VRI145" s="7"/>
      <c r="VRJ145" s="7"/>
      <c r="VRK145" s="7"/>
      <c r="VRL145" s="7"/>
      <c r="VRM145" s="7"/>
      <c r="VRN145" s="7"/>
      <c r="VRO145" s="7"/>
      <c r="VRP145" s="7"/>
      <c r="VRQ145" s="7"/>
      <c r="VRR145" s="7"/>
      <c r="VRS145" s="7"/>
      <c r="VRT145" s="7"/>
      <c r="VRU145" s="7"/>
      <c r="VRV145" s="7"/>
      <c r="VRW145" s="7"/>
      <c r="VRX145" s="7"/>
      <c r="VRY145" s="7"/>
      <c r="VRZ145" s="7"/>
      <c r="VSA145" s="7"/>
      <c r="VSB145" s="7"/>
      <c r="VSC145" s="7"/>
      <c r="VSD145" s="7"/>
      <c r="VSE145" s="7"/>
      <c r="VSF145" s="7"/>
      <c r="VSG145" s="7"/>
      <c r="VSH145" s="7"/>
      <c r="VSI145" s="7"/>
      <c r="VSJ145" s="7"/>
      <c r="VSK145" s="7"/>
      <c r="VSL145" s="7"/>
      <c r="VSM145" s="7"/>
      <c r="VSN145" s="7"/>
      <c r="VSO145" s="7"/>
      <c r="VSP145" s="7"/>
      <c r="VSQ145" s="7"/>
      <c r="VSR145" s="7"/>
      <c r="VSS145" s="7"/>
      <c r="VST145" s="7"/>
      <c r="VSU145" s="7"/>
      <c r="VSV145" s="7"/>
      <c r="VSW145" s="7"/>
      <c r="VSX145" s="7"/>
      <c r="VSY145" s="7"/>
      <c r="VSZ145" s="7"/>
      <c r="VTA145" s="7"/>
      <c r="VTB145" s="7"/>
      <c r="VTC145" s="7"/>
      <c r="VTD145" s="7"/>
      <c r="VTE145" s="7"/>
      <c r="VTF145" s="7"/>
      <c r="VTG145" s="7"/>
      <c r="VTH145" s="7"/>
      <c r="VTI145" s="7"/>
      <c r="VTJ145" s="7"/>
      <c r="VTK145" s="7"/>
      <c r="VTL145" s="7"/>
      <c r="VTM145" s="7"/>
      <c r="VTN145" s="7"/>
      <c r="VTO145" s="7"/>
      <c r="VTP145" s="7"/>
      <c r="VTQ145" s="7"/>
      <c r="VTR145" s="7"/>
      <c r="VTS145" s="7"/>
      <c r="VTT145" s="7"/>
      <c r="VTU145" s="7"/>
      <c r="VTV145" s="7"/>
      <c r="VTW145" s="7"/>
      <c r="VTX145" s="7"/>
      <c r="VTY145" s="7"/>
      <c r="VTZ145" s="7"/>
      <c r="VUA145" s="7"/>
      <c r="VUB145" s="7"/>
      <c r="VUC145" s="7"/>
      <c r="VUD145" s="7"/>
      <c r="VUE145" s="7"/>
      <c r="VUF145" s="7"/>
      <c r="VUG145" s="7"/>
      <c r="VUH145" s="7"/>
      <c r="VUI145" s="7"/>
      <c r="VUJ145" s="7"/>
      <c r="VUK145" s="7"/>
      <c r="VUL145" s="7"/>
      <c r="VUM145" s="7"/>
      <c r="VUN145" s="7"/>
      <c r="VUO145" s="7"/>
      <c r="VUP145" s="7"/>
      <c r="VUQ145" s="7"/>
      <c r="VUR145" s="7"/>
      <c r="VUS145" s="7"/>
      <c r="VUT145" s="7"/>
      <c r="VUU145" s="7"/>
      <c r="VUV145" s="7"/>
      <c r="VUW145" s="7"/>
      <c r="VUX145" s="7"/>
      <c r="VUY145" s="7"/>
      <c r="VUZ145" s="7"/>
      <c r="VVA145" s="7"/>
      <c r="VVB145" s="7"/>
      <c r="VVC145" s="7"/>
      <c r="VVD145" s="7"/>
      <c r="VVE145" s="7"/>
      <c r="VVF145" s="7"/>
      <c r="VVG145" s="7"/>
      <c r="VVH145" s="7"/>
      <c r="VVI145" s="7"/>
      <c r="VVJ145" s="7"/>
      <c r="VVK145" s="7"/>
      <c r="VVL145" s="7"/>
      <c r="VVM145" s="7"/>
      <c r="VVN145" s="7"/>
      <c r="VVO145" s="7"/>
      <c r="VVP145" s="7"/>
      <c r="VVQ145" s="7"/>
      <c r="VVR145" s="7"/>
      <c r="VVS145" s="7"/>
      <c r="VVT145" s="7"/>
      <c r="VVU145" s="7"/>
      <c r="VVV145" s="7"/>
      <c r="VVW145" s="7"/>
      <c r="VVX145" s="7"/>
      <c r="VVY145" s="7"/>
      <c r="VVZ145" s="7"/>
      <c r="VWA145" s="7"/>
      <c r="VWB145" s="7"/>
      <c r="VWC145" s="7"/>
      <c r="VWD145" s="7"/>
      <c r="VWE145" s="7"/>
      <c r="VWF145" s="7"/>
      <c r="VWG145" s="7"/>
      <c r="VWH145" s="7"/>
      <c r="VWI145" s="7"/>
      <c r="VWJ145" s="7"/>
      <c r="VWK145" s="7"/>
      <c r="VWL145" s="7"/>
      <c r="VWM145" s="7"/>
      <c r="VWN145" s="7"/>
      <c r="VWO145" s="7"/>
      <c r="VWP145" s="7"/>
      <c r="VWQ145" s="7"/>
      <c r="VWR145" s="7"/>
      <c r="VWS145" s="7"/>
      <c r="VWT145" s="7"/>
      <c r="VWU145" s="7"/>
      <c r="VWV145" s="7"/>
      <c r="VWW145" s="7"/>
      <c r="VWX145" s="7"/>
      <c r="VWY145" s="7"/>
      <c r="VWZ145" s="7"/>
      <c r="VXA145" s="7"/>
      <c r="VXB145" s="7"/>
      <c r="VXC145" s="7"/>
      <c r="VXD145" s="7"/>
      <c r="VXE145" s="7"/>
      <c r="VXF145" s="7"/>
      <c r="VXG145" s="7"/>
      <c r="VXH145" s="7"/>
      <c r="VXI145" s="7"/>
      <c r="VXJ145" s="7"/>
      <c r="VXK145" s="7"/>
      <c r="VXL145" s="7"/>
      <c r="VXM145" s="7"/>
      <c r="VXN145" s="7"/>
      <c r="VXO145" s="7"/>
      <c r="VXP145" s="7"/>
      <c r="VXQ145" s="7"/>
      <c r="VXR145" s="7"/>
      <c r="VXS145" s="7"/>
      <c r="VXT145" s="7"/>
      <c r="VXU145" s="7"/>
      <c r="VXV145" s="7"/>
      <c r="VXW145" s="7"/>
      <c r="VXX145" s="7"/>
      <c r="VXY145" s="7"/>
      <c r="VXZ145" s="7"/>
      <c r="VYA145" s="7"/>
      <c r="VYB145" s="7"/>
      <c r="VYC145" s="7"/>
      <c r="VYD145" s="7"/>
      <c r="VYE145" s="7"/>
      <c r="VYF145" s="7"/>
      <c r="VYG145" s="7"/>
      <c r="VYH145" s="7"/>
      <c r="VYI145" s="7"/>
      <c r="VYJ145" s="7"/>
      <c r="VYK145" s="7"/>
      <c r="VYL145" s="7"/>
      <c r="VYM145" s="7"/>
      <c r="VYN145" s="7"/>
      <c r="VYO145" s="7"/>
      <c r="VYP145" s="7"/>
      <c r="VYQ145" s="7"/>
      <c r="VYR145" s="7"/>
      <c r="VYS145" s="7"/>
      <c r="VYT145" s="7"/>
      <c r="VYU145" s="7"/>
      <c r="VYV145" s="7"/>
      <c r="VYW145" s="7"/>
      <c r="VYX145" s="7"/>
      <c r="VYY145" s="7"/>
      <c r="VYZ145" s="7"/>
      <c r="VZA145" s="7"/>
      <c r="VZB145" s="7"/>
      <c r="VZC145" s="7"/>
      <c r="VZD145" s="7"/>
      <c r="VZE145" s="7"/>
      <c r="VZF145" s="7"/>
      <c r="VZG145" s="7"/>
      <c r="VZH145" s="7"/>
      <c r="VZI145" s="7"/>
      <c r="VZJ145" s="7"/>
      <c r="VZK145" s="7"/>
      <c r="VZL145" s="7"/>
      <c r="VZM145" s="7"/>
      <c r="VZN145" s="7"/>
      <c r="VZO145" s="7"/>
      <c r="VZP145" s="7"/>
      <c r="VZQ145" s="7"/>
      <c r="VZR145" s="7"/>
      <c r="VZS145" s="7"/>
      <c r="VZT145" s="7"/>
      <c r="VZU145" s="7"/>
      <c r="VZV145" s="7"/>
      <c r="VZW145" s="7"/>
      <c r="VZX145" s="7"/>
      <c r="VZY145" s="7"/>
      <c r="VZZ145" s="7"/>
      <c r="WAA145" s="7"/>
      <c r="WAB145" s="7"/>
      <c r="WAC145" s="7"/>
      <c r="WAD145" s="7"/>
      <c r="WAE145" s="7"/>
      <c r="WAF145" s="7"/>
      <c r="WAG145" s="7"/>
      <c r="WAH145" s="7"/>
      <c r="WAI145" s="7"/>
      <c r="WAJ145" s="7"/>
      <c r="WAK145" s="7"/>
      <c r="WAL145" s="7"/>
      <c r="WAM145" s="7"/>
      <c r="WAN145" s="7"/>
      <c r="WAO145" s="7"/>
      <c r="WAP145" s="7"/>
      <c r="WAQ145" s="7"/>
      <c r="WAR145" s="7"/>
      <c r="WAS145" s="7"/>
      <c r="WAT145" s="7"/>
      <c r="WAU145" s="7"/>
      <c r="WAV145" s="7"/>
      <c r="WAW145" s="7"/>
      <c r="WAX145" s="7"/>
      <c r="WAY145" s="7"/>
      <c r="WAZ145" s="7"/>
      <c r="WBA145" s="7"/>
      <c r="WBB145" s="7"/>
      <c r="WBC145" s="7"/>
      <c r="WBD145" s="7"/>
      <c r="WBE145" s="7"/>
      <c r="WBF145" s="7"/>
      <c r="WBG145" s="7"/>
      <c r="WBH145" s="7"/>
      <c r="WBI145" s="7"/>
      <c r="WBJ145" s="7"/>
      <c r="WBK145" s="7"/>
      <c r="WBL145" s="7"/>
      <c r="WBM145" s="7"/>
      <c r="WBN145" s="7"/>
      <c r="WBO145" s="7"/>
      <c r="WBP145" s="7"/>
      <c r="WBQ145" s="7"/>
      <c r="WBR145" s="7"/>
      <c r="WBS145" s="7"/>
      <c r="WBT145" s="7"/>
      <c r="WBU145" s="7"/>
      <c r="WBV145" s="7"/>
      <c r="WBW145" s="7"/>
      <c r="WBX145" s="7"/>
      <c r="WBY145" s="7"/>
      <c r="WBZ145" s="7"/>
      <c r="WCA145" s="7"/>
      <c r="WCB145" s="7"/>
      <c r="WCC145" s="7"/>
      <c r="WCD145" s="7"/>
      <c r="WCE145" s="7"/>
      <c r="WCF145" s="7"/>
      <c r="WCG145" s="7"/>
      <c r="WCH145" s="7"/>
      <c r="WCI145" s="7"/>
      <c r="WCJ145" s="7"/>
      <c r="WCK145" s="7"/>
      <c r="WCL145" s="7"/>
      <c r="WCM145" s="7"/>
      <c r="WCN145" s="7"/>
      <c r="WCO145" s="7"/>
      <c r="WCP145" s="7"/>
      <c r="WCQ145" s="7"/>
      <c r="WCR145" s="7"/>
      <c r="WCS145" s="7"/>
      <c r="WCT145" s="7"/>
      <c r="WCU145" s="7"/>
      <c r="WCV145" s="7"/>
      <c r="WCW145" s="7"/>
      <c r="WCX145" s="7"/>
      <c r="WCY145" s="7"/>
      <c r="WCZ145" s="7"/>
      <c r="WDA145" s="7"/>
      <c r="WDB145" s="7"/>
      <c r="WDC145" s="7"/>
      <c r="WDD145" s="7"/>
      <c r="WDE145" s="7"/>
      <c r="WDF145" s="7"/>
      <c r="WDG145" s="7"/>
      <c r="WDH145" s="7"/>
      <c r="WDI145" s="7"/>
      <c r="WDJ145" s="7"/>
      <c r="WDK145" s="7"/>
      <c r="WDL145" s="7"/>
      <c r="WDM145" s="7"/>
      <c r="WDN145" s="7"/>
      <c r="WDO145" s="7"/>
      <c r="WDP145" s="7"/>
      <c r="WDQ145" s="7"/>
      <c r="WDR145" s="7"/>
      <c r="WDS145" s="7"/>
      <c r="WDT145" s="7"/>
      <c r="WDU145" s="7"/>
      <c r="WDV145" s="7"/>
      <c r="WDW145" s="7"/>
      <c r="WDX145" s="7"/>
      <c r="WDY145" s="7"/>
      <c r="WDZ145" s="7"/>
      <c r="WEA145" s="7"/>
      <c r="WEB145" s="7"/>
      <c r="WEC145" s="7"/>
      <c r="WED145" s="7"/>
      <c r="WEE145" s="7"/>
      <c r="WEF145" s="7"/>
      <c r="WEG145" s="7"/>
      <c r="WEH145" s="7"/>
      <c r="WEI145" s="7"/>
      <c r="WEJ145" s="7"/>
      <c r="WEK145" s="7"/>
      <c r="WEL145" s="7"/>
      <c r="WEM145" s="7"/>
      <c r="WEN145" s="7"/>
      <c r="WEO145" s="7"/>
      <c r="WEP145" s="7"/>
      <c r="WEQ145" s="7"/>
      <c r="WER145" s="7"/>
      <c r="WES145" s="7"/>
      <c r="WET145" s="7"/>
      <c r="WEU145" s="7"/>
      <c r="WEV145" s="7"/>
      <c r="WEW145" s="7"/>
      <c r="WEX145" s="7"/>
      <c r="WEY145" s="7"/>
      <c r="WEZ145" s="7"/>
      <c r="WFA145" s="7"/>
      <c r="WFB145" s="7"/>
      <c r="WFC145" s="7"/>
      <c r="WFD145" s="7"/>
      <c r="WFE145" s="7"/>
      <c r="WFF145" s="7"/>
      <c r="WFG145" s="7"/>
      <c r="WFH145" s="7"/>
      <c r="WFI145" s="7"/>
      <c r="WFJ145" s="7"/>
      <c r="WFK145" s="7"/>
      <c r="WFL145" s="7"/>
      <c r="WFM145" s="7"/>
      <c r="WFN145" s="7"/>
      <c r="WFO145" s="7"/>
      <c r="WFP145" s="7"/>
      <c r="WFQ145" s="7"/>
      <c r="WFR145" s="7"/>
      <c r="WFS145" s="7"/>
      <c r="WFT145" s="7"/>
      <c r="WFU145" s="7"/>
      <c r="WFV145" s="7"/>
      <c r="WFW145" s="7"/>
      <c r="WFX145" s="7"/>
      <c r="WFY145" s="7"/>
      <c r="WFZ145" s="7"/>
      <c r="WGA145" s="7"/>
      <c r="WGB145" s="7"/>
      <c r="WGC145" s="7"/>
      <c r="WGD145" s="7"/>
      <c r="WGE145" s="7"/>
      <c r="WGF145" s="7"/>
      <c r="WGG145" s="7"/>
      <c r="WGH145" s="7"/>
      <c r="WGI145" s="7"/>
      <c r="WGJ145" s="7"/>
      <c r="WGK145" s="7"/>
      <c r="WGL145" s="7"/>
      <c r="WGM145" s="7"/>
      <c r="WGN145" s="7"/>
      <c r="WGO145" s="7"/>
      <c r="WGP145" s="7"/>
      <c r="WGQ145" s="7"/>
      <c r="WGR145" s="7"/>
      <c r="WGS145" s="7"/>
      <c r="WGT145" s="7"/>
      <c r="WGU145" s="7"/>
      <c r="WGV145" s="7"/>
      <c r="WGW145" s="7"/>
      <c r="WGX145" s="7"/>
      <c r="WGY145" s="7"/>
      <c r="WGZ145" s="7"/>
      <c r="WHA145" s="7"/>
      <c r="WHB145" s="7"/>
      <c r="WHC145" s="7"/>
      <c r="WHD145" s="7"/>
      <c r="WHE145" s="7"/>
      <c r="WHF145" s="7"/>
      <c r="WHG145" s="7"/>
      <c r="WHH145" s="7"/>
      <c r="WHI145" s="7"/>
      <c r="WHJ145" s="7"/>
      <c r="WHK145" s="7"/>
      <c r="WHL145" s="7"/>
      <c r="WHM145" s="7"/>
      <c r="WHN145" s="7"/>
      <c r="WHO145" s="7"/>
      <c r="WHP145" s="7"/>
      <c r="WHQ145" s="7"/>
      <c r="WHR145" s="7"/>
      <c r="WHS145" s="7"/>
      <c r="WHT145" s="7"/>
      <c r="WHU145" s="7"/>
      <c r="WHV145" s="7"/>
      <c r="WHW145" s="7"/>
      <c r="WHX145" s="7"/>
      <c r="WHY145" s="7"/>
      <c r="WHZ145" s="7"/>
      <c r="WIA145" s="7"/>
      <c r="WIB145" s="7"/>
      <c r="WIC145" s="7"/>
      <c r="WID145" s="7"/>
      <c r="WIE145" s="7"/>
      <c r="WIF145" s="7"/>
      <c r="WIG145" s="7"/>
      <c r="WIH145" s="7"/>
      <c r="WII145" s="7"/>
      <c r="WIJ145" s="7"/>
      <c r="WIK145" s="7"/>
      <c r="WIL145" s="7"/>
      <c r="WIM145" s="7"/>
      <c r="WIN145" s="7"/>
      <c r="WIO145" s="7"/>
      <c r="WIP145" s="7"/>
      <c r="WIQ145" s="7"/>
      <c r="WIR145" s="7"/>
      <c r="WIS145" s="7"/>
      <c r="WIT145" s="7"/>
      <c r="WIU145" s="7"/>
      <c r="WIV145" s="7"/>
      <c r="WIW145" s="7"/>
      <c r="WIX145" s="7"/>
      <c r="WIY145" s="7"/>
      <c r="WIZ145" s="7"/>
      <c r="WJA145" s="7"/>
      <c r="WJB145" s="7"/>
      <c r="WJC145" s="7"/>
      <c r="WJD145" s="7"/>
      <c r="WJE145" s="7"/>
      <c r="WJF145" s="7"/>
      <c r="WJG145" s="7"/>
      <c r="WJH145" s="7"/>
      <c r="WJI145" s="7"/>
      <c r="WJJ145" s="7"/>
      <c r="WJK145" s="7"/>
      <c r="WJL145" s="7"/>
      <c r="WJM145" s="7"/>
      <c r="WJN145" s="7"/>
      <c r="WJO145" s="7"/>
      <c r="WJP145" s="7"/>
      <c r="WJQ145" s="7"/>
      <c r="WJR145" s="7"/>
      <c r="WJS145" s="7"/>
      <c r="WJT145" s="7"/>
      <c r="WJU145" s="7"/>
      <c r="WJV145" s="7"/>
      <c r="WJW145" s="7"/>
      <c r="WJX145" s="7"/>
      <c r="WJY145" s="7"/>
      <c r="WJZ145" s="7"/>
      <c r="WKA145" s="7"/>
      <c r="WKB145" s="7"/>
      <c r="WKC145" s="7"/>
      <c r="WKD145" s="7"/>
      <c r="WKE145" s="7"/>
      <c r="WKF145" s="7"/>
      <c r="WKG145" s="7"/>
      <c r="WKH145" s="7"/>
      <c r="WKI145" s="7"/>
      <c r="WKJ145" s="7"/>
      <c r="WKK145" s="7"/>
      <c r="WKL145" s="7"/>
      <c r="WKM145" s="7"/>
      <c r="WKN145" s="7"/>
      <c r="WKO145" s="7"/>
      <c r="WKP145" s="7"/>
      <c r="WKQ145" s="7"/>
      <c r="WKR145" s="7"/>
      <c r="WKS145" s="7"/>
      <c r="WKT145" s="7"/>
      <c r="WKU145" s="7"/>
      <c r="WKV145" s="7"/>
      <c r="WKW145" s="7"/>
      <c r="WKX145" s="7"/>
      <c r="WKY145" s="7"/>
      <c r="WKZ145" s="7"/>
      <c r="WLA145" s="7"/>
      <c r="WLB145" s="7"/>
      <c r="WLC145" s="7"/>
      <c r="WLD145" s="7"/>
      <c r="WLE145" s="7"/>
      <c r="WLF145" s="7"/>
      <c r="WLG145" s="7"/>
      <c r="WLH145" s="7"/>
      <c r="WLI145" s="7"/>
      <c r="WLJ145" s="7"/>
      <c r="WLK145" s="7"/>
      <c r="WLL145" s="7"/>
      <c r="WLM145" s="7"/>
      <c r="WLN145" s="7"/>
      <c r="WLO145" s="7"/>
      <c r="WLP145" s="7"/>
      <c r="WLQ145" s="7"/>
      <c r="WLR145" s="7"/>
      <c r="WLS145" s="7"/>
      <c r="WLT145" s="7"/>
      <c r="WLU145" s="7"/>
      <c r="WLV145" s="7"/>
      <c r="WLW145" s="7"/>
      <c r="WLX145" s="7"/>
      <c r="WLY145" s="7"/>
      <c r="WLZ145" s="7"/>
      <c r="WMA145" s="7"/>
      <c r="WMB145" s="7"/>
      <c r="WMC145" s="7"/>
      <c r="WMD145" s="7"/>
      <c r="WME145" s="7"/>
      <c r="WMF145" s="7"/>
      <c r="WMG145" s="7"/>
      <c r="WMH145" s="7"/>
      <c r="WMI145" s="7"/>
      <c r="WMJ145" s="7"/>
      <c r="WMK145" s="7"/>
      <c r="WML145" s="7"/>
      <c r="WMM145" s="7"/>
      <c r="WMN145" s="7"/>
      <c r="WMO145" s="7"/>
      <c r="WMP145" s="7"/>
      <c r="WMQ145" s="7"/>
      <c r="WMR145" s="7"/>
      <c r="WMS145" s="7"/>
      <c r="WMT145" s="7"/>
      <c r="WMU145" s="7"/>
      <c r="WMV145" s="7"/>
      <c r="WMW145" s="7"/>
      <c r="WMX145" s="7"/>
      <c r="WMY145" s="7"/>
      <c r="WMZ145" s="7"/>
      <c r="WNA145" s="7"/>
      <c r="WNB145" s="7"/>
      <c r="WNC145" s="7"/>
      <c r="WND145" s="7"/>
      <c r="WNE145" s="7"/>
      <c r="WNF145" s="7"/>
      <c r="WNG145" s="7"/>
      <c r="WNH145" s="7"/>
      <c r="WNI145" s="7"/>
      <c r="WNJ145" s="7"/>
      <c r="WNK145" s="7"/>
      <c r="WNL145" s="7"/>
      <c r="WNM145" s="7"/>
      <c r="WNN145" s="7"/>
      <c r="WNO145" s="7"/>
      <c r="WNP145" s="7"/>
      <c r="WNQ145" s="7"/>
      <c r="WNR145" s="7"/>
      <c r="WNS145" s="7"/>
      <c r="WNT145" s="7"/>
      <c r="WNU145" s="7"/>
      <c r="WNV145" s="7"/>
      <c r="WNW145" s="7"/>
      <c r="WNX145" s="7"/>
      <c r="WNY145" s="7"/>
      <c r="WNZ145" s="7"/>
      <c r="WOA145" s="7"/>
      <c r="WOB145" s="7"/>
      <c r="WOC145" s="7"/>
      <c r="WOD145" s="7"/>
      <c r="WOE145" s="7"/>
      <c r="WOF145" s="7"/>
      <c r="WOG145" s="7"/>
      <c r="WOH145" s="7"/>
      <c r="WOI145" s="7"/>
      <c r="WOJ145" s="7"/>
      <c r="WOK145" s="7"/>
      <c r="WOL145" s="7"/>
      <c r="WOM145" s="7"/>
      <c r="WON145" s="7"/>
      <c r="WOO145" s="7"/>
      <c r="WOP145" s="7"/>
      <c r="WOQ145" s="7"/>
      <c r="WOR145" s="7"/>
      <c r="WOS145" s="7"/>
      <c r="WOT145" s="7"/>
      <c r="WOU145" s="7"/>
      <c r="WOV145" s="7"/>
      <c r="WOW145" s="7"/>
      <c r="WOX145" s="7"/>
      <c r="WOY145" s="7"/>
      <c r="WOZ145" s="7"/>
      <c r="WPA145" s="7"/>
      <c r="WPB145" s="7"/>
      <c r="WPC145" s="7"/>
      <c r="WPD145" s="7"/>
      <c r="WPE145" s="7"/>
      <c r="WPF145" s="7"/>
      <c r="WPG145" s="7"/>
      <c r="WPH145" s="7"/>
      <c r="WPI145" s="7"/>
      <c r="WPJ145" s="7"/>
      <c r="WPK145" s="7"/>
      <c r="WPL145" s="7"/>
      <c r="WPM145" s="7"/>
      <c r="WPN145" s="7"/>
      <c r="WPO145" s="7"/>
      <c r="WPP145" s="7"/>
      <c r="WPQ145" s="7"/>
      <c r="WPR145" s="7"/>
      <c r="WPS145" s="7"/>
      <c r="WPT145" s="7"/>
      <c r="WPU145" s="7"/>
      <c r="WPV145" s="7"/>
      <c r="WPW145" s="7"/>
      <c r="WPX145" s="7"/>
      <c r="WPY145" s="7"/>
      <c r="WPZ145" s="7"/>
      <c r="WQA145" s="7"/>
      <c r="WQB145" s="7"/>
      <c r="WQC145" s="7"/>
      <c r="WQD145" s="7"/>
      <c r="WQE145" s="7"/>
      <c r="WQF145" s="7"/>
      <c r="WQG145" s="7"/>
      <c r="WQH145" s="7"/>
      <c r="WQI145" s="7"/>
      <c r="WQJ145" s="7"/>
      <c r="WQK145" s="7"/>
      <c r="WQL145" s="7"/>
      <c r="WQM145" s="7"/>
      <c r="WQN145" s="7"/>
      <c r="WQO145" s="7"/>
      <c r="WQP145" s="7"/>
      <c r="WQQ145" s="7"/>
      <c r="WQR145" s="7"/>
      <c r="WQS145" s="7"/>
      <c r="WQT145" s="7"/>
      <c r="WQU145" s="7"/>
      <c r="WQV145" s="7"/>
      <c r="WQW145" s="7"/>
      <c r="WQX145" s="7"/>
      <c r="WQY145" s="7"/>
      <c r="WQZ145" s="7"/>
      <c r="WRA145" s="7"/>
      <c r="WRB145" s="7"/>
      <c r="WRC145" s="7"/>
      <c r="WRD145" s="7"/>
      <c r="WRE145" s="7"/>
      <c r="WRF145" s="7"/>
      <c r="WRG145" s="7"/>
      <c r="WRH145" s="7"/>
      <c r="WRI145" s="7"/>
      <c r="WRJ145" s="7"/>
      <c r="WRK145" s="7"/>
      <c r="WRL145" s="7"/>
      <c r="WRM145" s="7"/>
      <c r="WRN145" s="7"/>
      <c r="WRO145" s="7"/>
      <c r="WRP145" s="7"/>
      <c r="WRQ145" s="7"/>
      <c r="WRR145" s="7"/>
      <c r="WRS145" s="7"/>
      <c r="WRT145" s="7"/>
      <c r="WRU145" s="7"/>
      <c r="WRV145" s="7"/>
      <c r="WRW145" s="7"/>
      <c r="WRX145" s="7"/>
      <c r="WRY145" s="7"/>
      <c r="WRZ145" s="7"/>
      <c r="WSA145" s="7"/>
      <c r="WSB145" s="7"/>
      <c r="WSC145" s="7"/>
      <c r="WSD145" s="7"/>
      <c r="WSE145" s="7"/>
      <c r="WSF145" s="7"/>
      <c r="WSG145" s="7"/>
      <c r="WSH145" s="7"/>
      <c r="WSI145" s="7"/>
      <c r="WSJ145" s="7"/>
      <c r="WSK145" s="7"/>
      <c r="WSL145" s="7"/>
      <c r="WSM145" s="7"/>
      <c r="WSN145" s="7"/>
      <c r="WSO145" s="7"/>
      <c r="WSP145" s="7"/>
      <c r="WSQ145" s="7"/>
      <c r="WSR145" s="7"/>
      <c r="WSS145" s="7"/>
      <c r="WST145" s="7"/>
      <c r="WSU145" s="7"/>
      <c r="WSV145" s="7"/>
      <c r="WSW145" s="7"/>
      <c r="WSX145" s="7"/>
      <c r="WSY145" s="7"/>
      <c r="WSZ145" s="7"/>
      <c r="WTA145" s="7"/>
      <c r="WTB145" s="7"/>
      <c r="WTC145" s="7"/>
      <c r="WTD145" s="7"/>
      <c r="WTE145" s="7"/>
      <c r="WTF145" s="7"/>
      <c r="WTG145" s="7"/>
      <c r="WTH145" s="7"/>
      <c r="WTI145" s="7"/>
      <c r="WTJ145" s="7"/>
      <c r="WTK145" s="7"/>
      <c r="WTL145" s="7"/>
      <c r="WTM145" s="7"/>
      <c r="WTN145" s="7"/>
      <c r="WTO145" s="7"/>
      <c r="WTP145" s="7"/>
      <c r="WTQ145" s="7"/>
      <c r="WTR145" s="7"/>
      <c r="WTS145" s="7"/>
      <c r="WTT145" s="7"/>
      <c r="WTU145" s="7"/>
      <c r="WTV145" s="7"/>
      <c r="WTW145" s="7"/>
      <c r="WTX145" s="7"/>
      <c r="WTY145" s="7"/>
      <c r="WTZ145" s="7"/>
      <c r="WUA145" s="7"/>
      <c r="WUB145" s="7"/>
      <c r="WUC145" s="7"/>
      <c r="WUD145" s="7"/>
      <c r="WUE145" s="7"/>
      <c r="WUF145" s="7"/>
      <c r="WUG145" s="7"/>
      <c r="WUH145" s="7"/>
      <c r="WUI145" s="7"/>
      <c r="WUJ145" s="7"/>
      <c r="WUK145" s="7"/>
      <c r="WUL145" s="7"/>
      <c r="WUM145" s="7"/>
      <c r="WUN145" s="7"/>
      <c r="WUO145" s="7"/>
      <c r="WUP145" s="7"/>
      <c r="WUQ145" s="7"/>
      <c r="WUR145" s="7"/>
      <c r="WUS145" s="7"/>
      <c r="WUT145" s="7"/>
      <c r="WUU145" s="7"/>
      <c r="WUV145" s="7"/>
      <c r="WUW145" s="7"/>
      <c r="WUX145" s="7"/>
      <c r="WUY145" s="7"/>
      <c r="WUZ145" s="7"/>
      <c r="WVA145" s="7"/>
      <c r="WVB145" s="7"/>
      <c r="WVC145" s="7"/>
      <c r="WVD145" s="7"/>
      <c r="WVE145" s="7"/>
      <c r="WVF145" s="7"/>
      <c r="WVG145" s="7"/>
      <c r="WVH145" s="7"/>
      <c r="WVI145" s="7"/>
      <c r="WVJ145" s="7"/>
      <c r="WVK145" s="7"/>
      <c r="WVL145" s="7"/>
      <c r="WVM145" s="7"/>
      <c r="WVN145" s="7"/>
      <c r="WVO145" s="7"/>
      <c r="WVP145" s="7"/>
      <c r="WVQ145" s="7"/>
      <c r="WVR145" s="7"/>
      <c r="WVS145" s="7"/>
      <c r="WVT145" s="7"/>
      <c r="WVU145" s="7"/>
      <c r="WVV145" s="7"/>
      <c r="WVW145" s="7"/>
      <c r="WVX145" s="7"/>
      <c r="WVY145" s="7"/>
      <c r="WVZ145" s="7"/>
      <c r="WWA145" s="7"/>
      <c r="WWB145" s="7"/>
      <c r="WWC145" s="7"/>
      <c r="WWD145" s="7"/>
      <c r="WWE145" s="7"/>
      <c r="WWF145" s="7"/>
      <c r="WWG145" s="7"/>
      <c r="WWH145" s="7"/>
      <c r="WWI145" s="7"/>
      <c r="WWJ145" s="7"/>
      <c r="WWK145" s="7"/>
      <c r="WWL145" s="7"/>
      <c r="WWM145" s="7"/>
      <c r="WWN145" s="7"/>
      <c r="WWO145" s="7"/>
      <c r="WWP145" s="7"/>
      <c r="WWQ145" s="7"/>
      <c r="WWR145" s="7"/>
      <c r="WWS145" s="7"/>
      <c r="WWT145" s="7"/>
      <c r="WWU145" s="7"/>
      <c r="WWV145" s="7"/>
      <c r="WWW145" s="7"/>
      <c r="WWX145" s="7"/>
      <c r="WWY145" s="7"/>
      <c r="WWZ145" s="7"/>
      <c r="WXA145" s="7"/>
      <c r="WXB145" s="7"/>
      <c r="WXC145" s="7"/>
      <c r="WXD145" s="7"/>
      <c r="WXE145" s="7"/>
      <c r="WXF145" s="7"/>
      <c r="WXG145" s="7"/>
      <c r="WXH145" s="7"/>
      <c r="WXI145" s="7"/>
      <c r="WXJ145" s="7"/>
      <c r="WXK145" s="7"/>
      <c r="WXL145" s="7"/>
      <c r="WXM145" s="7"/>
      <c r="WXN145" s="7"/>
      <c r="WXO145" s="7"/>
      <c r="WXP145" s="7"/>
      <c r="WXQ145" s="7"/>
      <c r="WXR145" s="7"/>
      <c r="WXS145" s="7"/>
      <c r="WXT145" s="7"/>
      <c r="WXU145" s="7"/>
      <c r="WXV145" s="7"/>
      <c r="WXW145" s="7"/>
      <c r="WXX145" s="7"/>
      <c r="WXY145" s="7"/>
      <c r="WXZ145" s="7"/>
      <c r="WYA145" s="7"/>
      <c r="WYB145" s="7"/>
      <c r="WYC145" s="7"/>
      <c r="WYD145" s="7"/>
      <c r="WYE145" s="7"/>
      <c r="WYF145" s="7"/>
      <c r="WYG145" s="7"/>
      <c r="WYH145" s="7"/>
      <c r="WYI145" s="7"/>
      <c r="WYJ145" s="7"/>
      <c r="WYK145" s="7"/>
      <c r="WYL145" s="7"/>
      <c r="WYM145" s="7"/>
      <c r="WYN145" s="7"/>
      <c r="WYO145" s="7"/>
      <c r="WYP145" s="7"/>
      <c r="WYQ145" s="7"/>
      <c r="WYR145" s="7"/>
      <c r="WYS145" s="7"/>
      <c r="WYT145" s="7"/>
      <c r="WYU145" s="7"/>
      <c r="WYV145" s="7"/>
      <c r="WYW145" s="7"/>
      <c r="WYX145" s="7"/>
      <c r="WYY145" s="7"/>
      <c r="WYZ145" s="7"/>
      <c r="WZA145" s="7"/>
      <c r="WZB145" s="7"/>
      <c r="WZC145" s="7"/>
      <c r="WZD145" s="7"/>
      <c r="WZE145" s="7"/>
      <c r="WZF145" s="7"/>
      <c r="WZG145" s="7"/>
      <c r="WZH145" s="7"/>
      <c r="WZI145" s="7"/>
      <c r="WZJ145" s="7"/>
      <c r="WZK145" s="7"/>
      <c r="WZL145" s="7"/>
      <c r="WZM145" s="7"/>
      <c r="WZN145" s="7"/>
      <c r="WZO145" s="7"/>
      <c r="WZP145" s="7"/>
      <c r="WZQ145" s="7"/>
      <c r="WZR145" s="7"/>
      <c r="WZS145" s="7"/>
      <c r="WZT145" s="7"/>
      <c r="WZU145" s="7"/>
      <c r="WZV145" s="7"/>
      <c r="WZW145" s="7"/>
      <c r="WZX145" s="7"/>
      <c r="WZY145" s="7"/>
      <c r="WZZ145" s="7"/>
      <c r="XAA145" s="7"/>
      <c r="XAB145" s="7"/>
      <c r="XAC145" s="7"/>
      <c r="XAD145" s="7"/>
      <c r="XAE145" s="7"/>
      <c r="XAF145" s="7"/>
      <c r="XAG145" s="7"/>
      <c r="XAH145" s="7"/>
      <c r="XAI145" s="7"/>
      <c r="XAJ145" s="7"/>
      <c r="XAK145" s="7"/>
      <c r="XAL145" s="7"/>
      <c r="XAM145" s="7"/>
      <c r="XAN145" s="7"/>
      <c r="XAO145" s="7"/>
      <c r="XAP145" s="7"/>
      <c r="XAQ145" s="7"/>
      <c r="XAR145" s="7"/>
      <c r="XAS145" s="7"/>
      <c r="XAT145" s="7"/>
      <c r="XAU145" s="7"/>
      <c r="XAV145" s="7"/>
      <c r="XAW145" s="7"/>
      <c r="XAX145" s="7"/>
      <c r="XAY145" s="7"/>
      <c r="XAZ145" s="7"/>
      <c r="XBA145" s="7"/>
      <c r="XBB145" s="7"/>
      <c r="XBC145" s="7"/>
      <c r="XBD145" s="7"/>
      <c r="XBE145" s="7"/>
      <c r="XBF145" s="7"/>
      <c r="XBG145" s="7"/>
      <c r="XBH145" s="7"/>
      <c r="XBI145" s="7"/>
      <c r="XBJ145" s="7"/>
      <c r="XBK145" s="7"/>
      <c r="XBL145" s="7"/>
      <c r="XBM145" s="7"/>
      <c r="XBN145" s="7"/>
      <c r="XBO145" s="7"/>
      <c r="XBP145" s="7"/>
      <c r="XBQ145" s="7"/>
      <c r="XBR145" s="7"/>
      <c r="XBS145" s="7"/>
      <c r="XBT145" s="7"/>
      <c r="XBU145" s="7"/>
      <c r="XBV145" s="7"/>
      <c r="XBW145" s="7"/>
      <c r="XBX145" s="7"/>
      <c r="XBY145" s="7"/>
      <c r="XBZ145" s="7"/>
      <c r="XCA145" s="7"/>
      <c r="XCB145" s="7"/>
      <c r="XCC145" s="7"/>
      <c r="XCD145" s="7"/>
      <c r="XCE145" s="7"/>
      <c r="XCF145" s="7"/>
      <c r="XCG145" s="7"/>
      <c r="XCH145" s="7"/>
      <c r="XCI145" s="7"/>
      <c r="XCJ145" s="7"/>
      <c r="XCK145" s="7"/>
      <c r="XCL145" s="7"/>
      <c r="XCM145" s="7"/>
      <c r="XCN145" s="7"/>
      <c r="XCO145" s="7"/>
      <c r="XCP145" s="7"/>
      <c r="XCQ145" s="7"/>
      <c r="XCR145" s="7"/>
      <c r="XCS145" s="7"/>
      <c r="XCT145" s="7"/>
      <c r="XCU145" s="7"/>
      <c r="XCV145" s="7"/>
      <c r="XCW145" s="7"/>
      <c r="XCX145" s="7"/>
      <c r="XCY145" s="7"/>
      <c r="XCZ145" s="7"/>
      <c r="XDA145" s="7"/>
      <c r="XDB145" s="7"/>
      <c r="XDC145" s="7"/>
      <c r="XDD145" s="7"/>
      <c r="XDE145" s="7"/>
      <c r="XDF145" s="7"/>
      <c r="XDG145" s="7"/>
      <c r="XDH145" s="7"/>
      <c r="XDI145" s="7"/>
      <c r="XDJ145" s="7"/>
      <c r="XDK145" s="7"/>
      <c r="XDL145" s="7"/>
      <c r="XDM145" s="7"/>
      <c r="XDN145" s="7"/>
      <c r="XDO145" s="7"/>
      <c r="XDP145" s="7"/>
      <c r="XDQ145" s="7"/>
      <c r="XDR145" s="7"/>
      <c r="XDS145" s="7"/>
      <c r="XDT145" s="7"/>
      <c r="XDU145" s="7"/>
      <c r="XDV145" s="7"/>
      <c r="XDW145" s="7"/>
      <c r="XDX145" s="7"/>
      <c r="XDY145" s="7"/>
      <c r="XDZ145" s="7"/>
      <c r="XEA145" s="7"/>
      <c r="XEB145" s="7"/>
      <c r="XEC145" s="7"/>
      <c r="XED145" s="7"/>
      <c r="XEE145" s="7"/>
      <c r="XEF145" s="7"/>
      <c r="XEG145" s="7"/>
      <c r="XEH145" s="7"/>
      <c r="XEI145" s="7"/>
      <c r="XEJ145" s="7"/>
      <c r="XEK145" s="7"/>
      <c r="XEL145" s="7"/>
      <c r="XEM145" s="7"/>
      <c r="XEN145" s="7"/>
      <c r="XEO145" s="7"/>
      <c r="XEP145" s="7"/>
      <c r="XEQ145" s="7"/>
      <c r="XER145" s="7"/>
      <c r="XES145" s="7"/>
      <c r="XET145" s="7"/>
      <c r="XEU145" s="7"/>
      <c r="XEV145" s="7"/>
      <c r="XEW145" s="7"/>
      <c r="XEX145" s="7"/>
      <c r="XEY145" s="7"/>
      <c r="XEZ145" s="7"/>
      <c r="XFA145" s="7"/>
      <c r="XFB145" s="7"/>
      <c r="XFC145" s="7"/>
      <c r="XFD145" s="7"/>
    </row>
    <row r="146" spans="1:16384" s="144" customFormat="1" ht="12.75" x14ac:dyDescent="0.25">
      <c r="A146" s="137"/>
      <c r="B146" s="139"/>
      <c r="C146" s="139"/>
      <c r="D146" s="139"/>
      <c r="E146" s="139"/>
      <c r="F146" s="139"/>
      <c r="G146" s="139"/>
      <c r="H146" s="139"/>
      <c r="I146" s="139"/>
      <c r="J146" s="142"/>
      <c r="K146" s="142"/>
      <c r="L146" s="142"/>
      <c r="M146" s="142"/>
      <c r="N146" s="142"/>
      <c r="O146" s="139"/>
      <c r="P146" s="139"/>
      <c r="Q146" s="139"/>
      <c r="R146" s="139"/>
      <c r="S146" s="139"/>
      <c r="T146" s="139"/>
      <c r="U146" s="139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  <c r="EX146" s="24"/>
      <c r="EY146" s="24"/>
      <c r="EZ146" s="24"/>
      <c r="FA146" s="24"/>
      <c r="FB146" s="24"/>
      <c r="FC146" s="24"/>
      <c r="FD146" s="24"/>
      <c r="FE146" s="24"/>
      <c r="FF146" s="24"/>
      <c r="FG146" s="24"/>
      <c r="FH146" s="24"/>
      <c r="FI146" s="24"/>
      <c r="FJ146" s="24"/>
      <c r="FK146" s="24"/>
      <c r="FL146" s="24"/>
      <c r="FM146" s="24"/>
      <c r="FN146" s="24"/>
      <c r="FO146" s="24"/>
      <c r="FP146" s="24"/>
      <c r="FQ146" s="24"/>
      <c r="FR146" s="24"/>
      <c r="FS146" s="24"/>
      <c r="FT146" s="24"/>
      <c r="FU146" s="24"/>
      <c r="FV146" s="24"/>
      <c r="FW146" s="24"/>
      <c r="FX146" s="24"/>
      <c r="FY146" s="24"/>
      <c r="FZ146" s="24"/>
      <c r="GA146" s="24"/>
      <c r="GB146" s="24"/>
      <c r="GC146" s="24"/>
      <c r="GD146" s="24"/>
      <c r="GE146" s="24"/>
      <c r="GF146" s="24"/>
      <c r="GG146" s="24"/>
      <c r="GH146" s="24"/>
      <c r="GI146" s="24"/>
      <c r="GJ146" s="24"/>
      <c r="GK146" s="24"/>
      <c r="GL146" s="24"/>
      <c r="GM146" s="24"/>
      <c r="GN146" s="24"/>
      <c r="GO146" s="24"/>
      <c r="GP146" s="24"/>
      <c r="GQ146" s="24"/>
      <c r="GR146" s="24"/>
      <c r="GS146" s="24"/>
      <c r="GT146" s="24"/>
      <c r="GU146" s="24"/>
      <c r="GV146" s="24"/>
      <c r="GW146" s="24"/>
      <c r="GX146" s="24"/>
      <c r="GY146" s="24"/>
      <c r="GZ146" s="24"/>
      <c r="HA146" s="24"/>
      <c r="HB146" s="24"/>
      <c r="HC146" s="24"/>
      <c r="HD146" s="24"/>
      <c r="HE146" s="24"/>
      <c r="HF146" s="24"/>
      <c r="HG146" s="24"/>
      <c r="HH146" s="24"/>
      <c r="HI146" s="24"/>
      <c r="HJ146" s="24"/>
      <c r="HK146" s="24"/>
      <c r="HL146" s="24"/>
      <c r="HM146" s="24"/>
      <c r="HN146" s="24"/>
      <c r="HO146" s="24"/>
      <c r="HP146" s="24"/>
      <c r="HQ146" s="24"/>
      <c r="HR146" s="24"/>
      <c r="HS146" s="24"/>
      <c r="HT146" s="24"/>
      <c r="HU146" s="24"/>
      <c r="HV146" s="24"/>
      <c r="HW146" s="24"/>
      <c r="HX146" s="24"/>
      <c r="HY146" s="24"/>
      <c r="HZ146" s="24"/>
      <c r="IA146" s="24"/>
      <c r="IB146" s="24"/>
      <c r="IC146" s="24"/>
      <c r="ID146" s="24"/>
      <c r="IE146" s="24"/>
      <c r="IF146" s="24"/>
      <c r="IG146" s="24"/>
      <c r="IH146" s="24"/>
      <c r="II146" s="24"/>
      <c r="IJ146" s="24"/>
      <c r="IK146" s="24"/>
      <c r="IL146" s="24"/>
      <c r="IM146" s="24"/>
      <c r="IN146" s="24"/>
      <c r="IO146" s="24"/>
      <c r="IP146" s="24"/>
      <c r="IQ146" s="24"/>
      <c r="IR146" s="24"/>
      <c r="IS146" s="24"/>
      <c r="IT146" s="24"/>
      <c r="IU146" s="24"/>
      <c r="IV146" s="24"/>
      <c r="IW146" s="24"/>
      <c r="IX146" s="24"/>
      <c r="IY146" s="24"/>
      <c r="IZ146" s="24"/>
      <c r="JA146" s="24"/>
      <c r="JB146" s="24"/>
      <c r="JC146" s="24"/>
      <c r="JD146" s="24"/>
      <c r="JE146" s="24"/>
      <c r="JF146" s="24"/>
      <c r="JG146" s="24"/>
      <c r="JH146" s="24"/>
      <c r="JI146" s="24"/>
      <c r="JJ146" s="24"/>
      <c r="JK146" s="24"/>
      <c r="JL146" s="24"/>
      <c r="JM146" s="24"/>
      <c r="JN146" s="24"/>
      <c r="JO146" s="24"/>
      <c r="JP146" s="24"/>
      <c r="JQ146" s="24"/>
      <c r="JR146" s="24"/>
      <c r="JS146" s="24"/>
      <c r="JT146" s="24"/>
      <c r="JU146" s="24"/>
      <c r="JV146" s="24"/>
      <c r="JW146" s="24"/>
      <c r="JX146" s="24"/>
      <c r="JY146" s="24"/>
      <c r="JZ146" s="24"/>
      <c r="KA146" s="24"/>
      <c r="KB146" s="24"/>
      <c r="KC146" s="24"/>
      <c r="KD146" s="24"/>
      <c r="KE146" s="24"/>
      <c r="KF146" s="24"/>
      <c r="KG146" s="24"/>
      <c r="KH146" s="24"/>
      <c r="KI146" s="24"/>
      <c r="KJ146" s="24"/>
      <c r="KK146" s="24"/>
      <c r="KL146" s="24"/>
      <c r="KM146" s="24"/>
      <c r="KN146" s="24"/>
      <c r="KO146" s="24"/>
      <c r="KP146" s="24"/>
      <c r="KQ146" s="24"/>
      <c r="KR146" s="24"/>
      <c r="KS146" s="24"/>
      <c r="KT146" s="24"/>
      <c r="KU146" s="24"/>
      <c r="KV146" s="24"/>
      <c r="KW146" s="24"/>
      <c r="KX146" s="24"/>
      <c r="KY146" s="24"/>
      <c r="KZ146" s="24"/>
      <c r="LA146" s="24"/>
      <c r="LB146" s="24"/>
      <c r="LC146" s="24"/>
      <c r="LD146" s="24"/>
      <c r="LE146" s="24"/>
      <c r="LF146" s="24"/>
      <c r="LG146" s="24"/>
      <c r="LH146" s="24"/>
      <c r="LI146" s="24"/>
      <c r="LJ146" s="24"/>
      <c r="LK146" s="24"/>
      <c r="LL146" s="24"/>
      <c r="LM146" s="24"/>
      <c r="LN146" s="24"/>
      <c r="LO146" s="24"/>
      <c r="LP146" s="24"/>
      <c r="LQ146" s="24"/>
      <c r="LR146" s="24"/>
      <c r="LS146" s="24"/>
      <c r="LT146" s="24"/>
      <c r="LU146" s="24"/>
      <c r="LV146" s="24"/>
      <c r="LW146" s="24"/>
      <c r="LX146" s="24"/>
      <c r="LY146" s="24"/>
      <c r="LZ146" s="24"/>
      <c r="MA146" s="24"/>
      <c r="MB146" s="24"/>
      <c r="MC146" s="24"/>
      <c r="MD146" s="24"/>
      <c r="ME146" s="24"/>
      <c r="MF146" s="24"/>
      <c r="MG146" s="24"/>
      <c r="MH146" s="24"/>
      <c r="MI146" s="24"/>
      <c r="MJ146" s="24"/>
      <c r="MK146" s="24"/>
      <c r="ML146" s="24"/>
      <c r="MM146" s="24"/>
      <c r="MN146" s="24"/>
      <c r="MO146" s="24"/>
      <c r="MP146" s="24"/>
      <c r="MQ146" s="24"/>
      <c r="MR146" s="24"/>
      <c r="MS146" s="24"/>
      <c r="MT146" s="24"/>
      <c r="MU146" s="24"/>
      <c r="MV146" s="24"/>
      <c r="MW146" s="24"/>
      <c r="MX146" s="24"/>
      <c r="MY146" s="24"/>
      <c r="MZ146" s="24"/>
      <c r="NA146" s="24"/>
      <c r="NB146" s="24"/>
      <c r="NC146" s="24"/>
      <c r="ND146" s="24"/>
      <c r="NE146" s="24"/>
      <c r="NF146" s="24"/>
      <c r="NG146" s="24"/>
      <c r="NH146" s="24"/>
      <c r="NI146" s="24"/>
      <c r="NJ146" s="24"/>
      <c r="NK146" s="24"/>
      <c r="NL146" s="24"/>
      <c r="NM146" s="24"/>
      <c r="NN146" s="24"/>
      <c r="NO146" s="24"/>
      <c r="NP146" s="24"/>
      <c r="NQ146" s="24"/>
      <c r="NR146" s="24"/>
      <c r="NS146" s="24"/>
      <c r="NT146" s="24"/>
      <c r="NU146" s="24"/>
      <c r="NV146" s="24"/>
      <c r="NW146" s="24"/>
      <c r="NX146" s="24"/>
      <c r="NY146" s="24"/>
      <c r="NZ146" s="24"/>
      <c r="OA146" s="24"/>
      <c r="OB146" s="24"/>
      <c r="OC146" s="24"/>
      <c r="OD146" s="24"/>
      <c r="OE146" s="24"/>
      <c r="OF146" s="24"/>
      <c r="OG146" s="24"/>
      <c r="OH146" s="24"/>
      <c r="OI146" s="24"/>
      <c r="OJ146" s="24"/>
      <c r="OK146" s="24"/>
      <c r="OL146" s="24"/>
      <c r="OM146" s="24"/>
      <c r="ON146" s="24"/>
      <c r="OO146" s="24"/>
      <c r="OP146" s="24"/>
      <c r="OQ146" s="24"/>
      <c r="OR146" s="24"/>
      <c r="OS146" s="24"/>
      <c r="OT146" s="24"/>
      <c r="OU146" s="24"/>
      <c r="OV146" s="24"/>
      <c r="OW146" s="24"/>
      <c r="OX146" s="24"/>
      <c r="OY146" s="24"/>
      <c r="OZ146" s="24"/>
      <c r="PA146" s="24"/>
      <c r="PB146" s="24"/>
      <c r="PC146" s="24"/>
      <c r="PD146" s="24"/>
      <c r="PE146" s="24"/>
      <c r="PF146" s="24"/>
      <c r="PG146" s="24"/>
      <c r="PH146" s="24"/>
      <c r="PI146" s="24"/>
      <c r="PJ146" s="24"/>
      <c r="PK146" s="24"/>
      <c r="PL146" s="24"/>
      <c r="PM146" s="24"/>
      <c r="PN146" s="24"/>
      <c r="PO146" s="24"/>
      <c r="PP146" s="24"/>
      <c r="PQ146" s="24"/>
      <c r="PR146" s="24"/>
      <c r="PS146" s="24"/>
      <c r="PT146" s="24"/>
      <c r="PU146" s="24"/>
      <c r="PV146" s="24"/>
      <c r="PW146" s="24"/>
      <c r="PX146" s="24"/>
      <c r="PY146" s="24"/>
      <c r="PZ146" s="24"/>
      <c r="QA146" s="24"/>
      <c r="QB146" s="24"/>
      <c r="QC146" s="24"/>
      <c r="QD146" s="24"/>
      <c r="QE146" s="24"/>
      <c r="QF146" s="24"/>
      <c r="QG146" s="24"/>
      <c r="QH146" s="24"/>
      <c r="QI146" s="24"/>
      <c r="QJ146" s="24"/>
      <c r="QK146" s="24"/>
      <c r="QL146" s="24"/>
      <c r="QM146" s="24"/>
      <c r="QN146" s="24"/>
      <c r="QO146" s="24"/>
      <c r="QP146" s="24"/>
      <c r="QQ146" s="24"/>
      <c r="QR146" s="24"/>
      <c r="QS146" s="24"/>
      <c r="QT146" s="24"/>
      <c r="QU146" s="24"/>
      <c r="QV146" s="24"/>
      <c r="QW146" s="24"/>
      <c r="QX146" s="24"/>
      <c r="QY146" s="24"/>
      <c r="QZ146" s="24"/>
      <c r="RA146" s="24"/>
      <c r="RB146" s="24"/>
      <c r="RC146" s="24"/>
      <c r="RD146" s="24"/>
      <c r="RE146" s="24"/>
      <c r="RF146" s="24"/>
      <c r="RG146" s="24"/>
      <c r="RH146" s="24"/>
      <c r="RI146" s="24"/>
      <c r="RJ146" s="24"/>
      <c r="RK146" s="24"/>
      <c r="RL146" s="24"/>
      <c r="RM146" s="24"/>
      <c r="RN146" s="24"/>
      <c r="RO146" s="24"/>
      <c r="RP146" s="24"/>
      <c r="RQ146" s="24"/>
      <c r="RR146" s="24"/>
      <c r="RS146" s="24"/>
      <c r="RT146" s="24"/>
      <c r="RU146" s="24"/>
      <c r="RV146" s="24"/>
      <c r="RW146" s="24"/>
      <c r="RX146" s="24"/>
      <c r="RY146" s="24"/>
      <c r="RZ146" s="24"/>
      <c r="SA146" s="24"/>
      <c r="SB146" s="24"/>
      <c r="SC146" s="24"/>
      <c r="SD146" s="24"/>
      <c r="SE146" s="24"/>
      <c r="SF146" s="24"/>
      <c r="SG146" s="24"/>
      <c r="SH146" s="24"/>
      <c r="SI146" s="24"/>
      <c r="SJ146" s="24"/>
      <c r="SK146" s="24"/>
      <c r="SL146" s="24"/>
      <c r="SM146" s="24"/>
      <c r="SN146" s="24"/>
      <c r="SO146" s="24"/>
      <c r="SP146" s="24"/>
      <c r="SQ146" s="24"/>
      <c r="SR146" s="24"/>
      <c r="SS146" s="24"/>
      <c r="ST146" s="24"/>
      <c r="SU146" s="24"/>
      <c r="SV146" s="24"/>
      <c r="SW146" s="24"/>
      <c r="SX146" s="24"/>
      <c r="SY146" s="24"/>
      <c r="SZ146" s="24"/>
      <c r="TA146" s="24"/>
      <c r="TB146" s="24"/>
      <c r="TC146" s="24"/>
      <c r="TD146" s="24"/>
      <c r="TE146" s="24"/>
      <c r="TF146" s="24"/>
      <c r="TG146" s="24"/>
      <c r="TH146" s="24"/>
      <c r="TI146" s="24"/>
      <c r="TJ146" s="24"/>
      <c r="TK146" s="24"/>
      <c r="TL146" s="24"/>
      <c r="TM146" s="24"/>
      <c r="TN146" s="24"/>
      <c r="TO146" s="24"/>
      <c r="TP146" s="24"/>
      <c r="TQ146" s="24"/>
      <c r="TR146" s="24"/>
      <c r="TS146" s="24"/>
      <c r="TT146" s="24"/>
      <c r="TU146" s="24"/>
      <c r="TV146" s="24"/>
      <c r="TW146" s="24"/>
      <c r="TX146" s="24"/>
      <c r="TY146" s="24"/>
      <c r="TZ146" s="24"/>
      <c r="UA146" s="24"/>
      <c r="UB146" s="24"/>
      <c r="UC146" s="24"/>
      <c r="UD146" s="24"/>
      <c r="UE146" s="24"/>
      <c r="UF146" s="24"/>
      <c r="UG146" s="24"/>
      <c r="UH146" s="24"/>
      <c r="UI146" s="24"/>
      <c r="UJ146" s="24"/>
      <c r="UK146" s="24"/>
      <c r="UL146" s="24"/>
      <c r="UM146" s="24"/>
      <c r="UN146" s="24"/>
      <c r="UO146" s="24"/>
      <c r="UP146" s="24"/>
      <c r="UQ146" s="24"/>
      <c r="UR146" s="24"/>
      <c r="US146" s="24"/>
      <c r="UT146" s="24"/>
      <c r="UU146" s="24"/>
      <c r="UV146" s="24"/>
      <c r="UW146" s="24"/>
      <c r="UX146" s="24"/>
      <c r="UY146" s="24"/>
      <c r="UZ146" s="24"/>
      <c r="VA146" s="24"/>
      <c r="VB146" s="24"/>
      <c r="VC146" s="24"/>
      <c r="VD146" s="24"/>
      <c r="VE146" s="24"/>
      <c r="VF146" s="24"/>
      <c r="VG146" s="24"/>
      <c r="VH146" s="24"/>
      <c r="VI146" s="24"/>
      <c r="VJ146" s="24"/>
      <c r="VK146" s="24"/>
      <c r="VL146" s="24"/>
      <c r="VM146" s="24"/>
      <c r="VN146" s="24"/>
      <c r="VO146" s="24"/>
      <c r="VP146" s="24"/>
      <c r="VQ146" s="24"/>
      <c r="VR146" s="24"/>
      <c r="VS146" s="24"/>
      <c r="VT146" s="24"/>
      <c r="VU146" s="24"/>
      <c r="VV146" s="24"/>
      <c r="VW146" s="24"/>
      <c r="VX146" s="24"/>
      <c r="VY146" s="24"/>
      <c r="VZ146" s="24"/>
      <c r="WA146" s="24"/>
      <c r="WB146" s="24"/>
      <c r="WC146" s="24"/>
      <c r="WD146" s="24"/>
      <c r="WE146" s="24"/>
      <c r="WF146" s="24"/>
      <c r="WG146" s="24"/>
      <c r="WH146" s="24"/>
      <c r="WI146" s="24"/>
      <c r="WJ146" s="24"/>
      <c r="WK146" s="24"/>
      <c r="WL146" s="24"/>
      <c r="WM146" s="24"/>
      <c r="WN146" s="24"/>
      <c r="WO146" s="24"/>
      <c r="WP146" s="24"/>
      <c r="WQ146" s="24"/>
      <c r="WR146" s="24"/>
      <c r="WS146" s="24"/>
      <c r="WT146" s="24"/>
      <c r="WU146" s="24"/>
      <c r="WV146" s="24"/>
      <c r="WW146" s="24"/>
      <c r="WX146" s="24"/>
      <c r="WY146" s="24"/>
      <c r="WZ146" s="24"/>
      <c r="XA146" s="24"/>
      <c r="XB146" s="24"/>
      <c r="XC146" s="24"/>
      <c r="XD146" s="24"/>
      <c r="XE146" s="24"/>
      <c r="XF146" s="24"/>
      <c r="XG146" s="24"/>
      <c r="XH146" s="24"/>
      <c r="XI146" s="24"/>
      <c r="XJ146" s="24"/>
      <c r="XK146" s="24"/>
      <c r="XL146" s="24"/>
      <c r="XM146" s="24"/>
      <c r="XN146" s="24"/>
      <c r="XO146" s="24"/>
      <c r="XP146" s="24"/>
      <c r="XQ146" s="24"/>
      <c r="XR146" s="24"/>
      <c r="XS146" s="24"/>
      <c r="XT146" s="24"/>
      <c r="XU146" s="24"/>
      <c r="XV146" s="24"/>
      <c r="XW146" s="24"/>
      <c r="XX146" s="24"/>
      <c r="XY146" s="24"/>
      <c r="XZ146" s="24"/>
      <c r="YA146" s="24"/>
      <c r="YB146" s="24"/>
      <c r="YC146" s="24"/>
      <c r="YD146" s="24"/>
      <c r="YE146" s="24"/>
      <c r="YF146" s="24"/>
      <c r="YG146" s="24"/>
      <c r="YH146" s="24"/>
      <c r="YI146" s="24"/>
      <c r="YJ146" s="24"/>
      <c r="YK146" s="24"/>
      <c r="YL146" s="24"/>
      <c r="YM146" s="24"/>
      <c r="YN146" s="24"/>
      <c r="YO146" s="24"/>
      <c r="YP146" s="24"/>
      <c r="YQ146" s="24"/>
      <c r="YR146" s="24"/>
      <c r="YS146" s="24"/>
      <c r="YT146" s="24"/>
      <c r="YU146" s="24"/>
      <c r="YV146" s="24"/>
      <c r="YW146" s="24"/>
      <c r="YX146" s="24"/>
      <c r="YY146" s="24"/>
      <c r="YZ146" s="24"/>
      <c r="ZA146" s="24"/>
      <c r="ZB146" s="24"/>
      <c r="ZC146" s="24"/>
      <c r="ZD146" s="24"/>
      <c r="ZE146" s="24"/>
      <c r="ZF146" s="24"/>
      <c r="ZG146" s="24"/>
      <c r="ZH146" s="24"/>
      <c r="ZI146" s="24"/>
      <c r="ZJ146" s="24"/>
      <c r="ZK146" s="24"/>
      <c r="ZL146" s="24"/>
      <c r="ZM146" s="24"/>
      <c r="ZN146" s="24"/>
      <c r="ZO146" s="24"/>
      <c r="ZP146" s="24"/>
      <c r="ZQ146" s="24"/>
      <c r="ZR146" s="24"/>
      <c r="ZS146" s="24"/>
      <c r="ZT146" s="24"/>
      <c r="ZU146" s="24"/>
      <c r="ZV146" s="24"/>
      <c r="ZW146" s="24"/>
      <c r="ZX146" s="24"/>
      <c r="ZY146" s="24"/>
      <c r="ZZ146" s="24"/>
      <c r="AAA146" s="24"/>
      <c r="AAB146" s="24"/>
      <c r="AAC146" s="24"/>
      <c r="AAD146" s="24"/>
      <c r="AAE146" s="24"/>
      <c r="AAF146" s="24"/>
      <c r="AAG146" s="24"/>
      <c r="AAH146" s="24"/>
      <c r="AAI146" s="24"/>
      <c r="AAJ146" s="24"/>
      <c r="AAK146" s="24"/>
      <c r="AAL146" s="24"/>
      <c r="AAM146" s="24"/>
      <c r="AAN146" s="24"/>
      <c r="AAO146" s="24"/>
      <c r="AAP146" s="24"/>
      <c r="AAQ146" s="24"/>
      <c r="AAR146" s="24"/>
      <c r="AAS146" s="24"/>
      <c r="AAT146" s="24"/>
      <c r="AAU146" s="24"/>
      <c r="AAV146" s="24"/>
      <c r="AAW146" s="24"/>
      <c r="AAX146" s="24"/>
      <c r="AAY146" s="24"/>
      <c r="AAZ146" s="24"/>
      <c r="ABA146" s="24"/>
      <c r="ABB146" s="24"/>
      <c r="ABC146" s="24"/>
      <c r="ABD146" s="24"/>
      <c r="ABE146" s="24"/>
      <c r="ABF146" s="24"/>
      <c r="ABG146" s="24"/>
      <c r="ABH146" s="24"/>
      <c r="ABI146" s="24"/>
      <c r="ABJ146" s="24"/>
      <c r="ABK146" s="24"/>
      <c r="ABL146" s="24"/>
      <c r="ABM146" s="24"/>
      <c r="ABN146" s="24"/>
      <c r="ABO146" s="24"/>
      <c r="ABP146" s="24"/>
      <c r="ABQ146" s="24"/>
      <c r="ABR146" s="24"/>
      <c r="ABS146" s="24"/>
      <c r="ABT146" s="24"/>
      <c r="ABU146" s="24"/>
      <c r="ABV146" s="24"/>
      <c r="ABW146" s="24"/>
      <c r="ABX146" s="24"/>
      <c r="ABY146" s="24"/>
      <c r="ABZ146" s="24"/>
      <c r="ACA146" s="24"/>
      <c r="ACB146" s="24"/>
      <c r="ACC146" s="24"/>
      <c r="ACD146" s="24"/>
      <c r="ACE146" s="24"/>
      <c r="ACF146" s="24"/>
      <c r="ACG146" s="24"/>
      <c r="ACH146" s="24"/>
      <c r="ACI146" s="24"/>
      <c r="ACJ146" s="24"/>
      <c r="ACK146" s="24"/>
      <c r="ACL146" s="24"/>
      <c r="ACM146" s="24"/>
      <c r="ACN146" s="24"/>
      <c r="ACO146" s="24"/>
      <c r="ACP146" s="24"/>
      <c r="ACQ146" s="24"/>
      <c r="ACR146" s="24"/>
      <c r="ACS146" s="24"/>
      <c r="ACT146" s="24"/>
      <c r="ACU146" s="24"/>
      <c r="ACV146" s="24"/>
      <c r="ACW146" s="24"/>
      <c r="ACX146" s="24"/>
      <c r="ACY146" s="24"/>
      <c r="ACZ146" s="24"/>
      <c r="ADA146" s="24"/>
      <c r="ADB146" s="24"/>
      <c r="ADC146" s="24"/>
      <c r="ADD146" s="24"/>
      <c r="ADE146" s="24"/>
      <c r="ADF146" s="24"/>
      <c r="ADG146" s="24"/>
      <c r="ADH146" s="24"/>
      <c r="ADI146" s="24"/>
      <c r="ADJ146" s="24"/>
      <c r="ADK146" s="24"/>
      <c r="ADL146" s="24"/>
      <c r="ADM146" s="24"/>
      <c r="ADN146" s="24"/>
      <c r="ADO146" s="24"/>
      <c r="ADP146" s="24"/>
      <c r="ADQ146" s="24"/>
      <c r="ADR146" s="24"/>
      <c r="ADS146" s="24"/>
      <c r="ADT146" s="24"/>
      <c r="ADU146" s="24"/>
      <c r="ADV146" s="24"/>
      <c r="ADW146" s="24"/>
      <c r="ADX146" s="24"/>
      <c r="ADY146" s="24"/>
      <c r="ADZ146" s="24"/>
      <c r="AEA146" s="24"/>
      <c r="AEB146" s="24"/>
      <c r="AEC146" s="24"/>
      <c r="AED146" s="24"/>
      <c r="AEE146" s="24"/>
      <c r="AEF146" s="24"/>
      <c r="AEG146" s="24"/>
      <c r="AEH146" s="24"/>
      <c r="AEI146" s="24"/>
      <c r="AEJ146" s="24"/>
      <c r="AEK146" s="24"/>
      <c r="AEL146" s="24"/>
      <c r="AEM146" s="24"/>
      <c r="AEN146" s="24"/>
      <c r="AEO146" s="24"/>
      <c r="AEP146" s="24"/>
      <c r="AEQ146" s="24"/>
      <c r="AER146" s="24"/>
      <c r="AES146" s="24"/>
      <c r="AET146" s="24"/>
      <c r="AEU146" s="24"/>
      <c r="AEV146" s="24"/>
      <c r="AEW146" s="24"/>
      <c r="AEX146" s="24"/>
      <c r="AEY146" s="24"/>
      <c r="AEZ146" s="24"/>
      <c r="AFA146" s="24"/>
      <c r="AFB146" s="24"/>
      <c r="AFC146" s="24"/>
      <c r="AFD146" s="24"/>
      <c r="AFE146" s="24"/>
      <c r="AFF146" s="24"/>
      <c r="AFG146" s="24"/>
      <c r="AFH146" s="24"/>
      <c r="AFI146" s="24"/>
      <c r="AFJ146" s="24"/>
      <c r="AFK146" s="24"/>
      <c r="AFL146" s="24"/>
      <c r="AFM146" s="24"/>
      <c r="AFN146" s="24"/>
      <c r="AFO146" s="24"/>
      <c r="AFP146" s="24"/>
      <c r="AFQ146" s="24"/>
      <c r="AFR146" s="24"/>
      <c r="AFS146" s="24"/>
      <c r="AFT146" s="24"/>
      <c r="AFU146" s="24"/>
      <c r="AFV146" s="24"/>
      <c r="AFW146" s="24"/>
      <c r="AFX146" s="24"/>
      <c r="AFY146" s="24"/>
      <c r="AFZ146" s="24"/>
      <c r="AGA146" s="24"/>
      <c r="AGB146" s="24"/>
      <c r="AGC146" s="24"/>
      <c r="AGD146" s="24"/>
      <c r="AGE146" s="24"/>
      <c r="AGF146" s="24"/>
      <c r="AGG146" s="24"/>
      <c r="AGH146" s="24"/>
      <c r="AGI146" s="24"/>
      <c r="AGJ146" s="24"/>
      <c r="AGK146" s="24"/>
      <c r="AGL146" s="24"/>
      <c r="AGM146" s="24"/>
      <c r="AGN146" s="24"/>
      <c r="AGO146" s="24"/>
      <c r="AGP146" s="24"/>
      <c r="AGQ146" s="24"/>
      <c r="AGR146" s="24"/>
      <c r="AGS146" s="24"/>
      <c r="AGT146" s="24"/>
      <c r="AGU146" s="24"/>
      <c r="AGV146" s="24"/>
      <c r="AGW146" s="24"/>
      <c r="AGX146" s="24"/>
      <c r="AGY146" s="24"/>
      <c r="AGZ146" s="24"/>
      <c r="AHA146" s="24"/>
      <c r="AHB146" s="24"/>
      <c r="AHC146" s="24"/>
      <c r="AHD146" s="24"/>
      <c r="AHE146" s="24"/>
      <c r="AHF146" s="24"/>
      <c r="AHG146" s="24"/>
      <c r="AHH146" s="24"/>
      <c r="AHI146" s="24"/>
      <c r="AHJ146" s="24"/>
      <c r="AHK146" s="24"/>
      <c r="AHL146" s="24"/>
      <c r="AHM146" s="24"/>
      <c r="AHN146" s="24"/>
      <c r="AHO146" s="24"/>
      <c r="AHP146" s="24"/>
      <c r="AHQ146" s="24"/>
      <c r="AHR146" s="24"/>
      <c r="AHS146" s="24"/>
      <c r="AHT146" s="24"/>
      <c r="AHU146" s="24"/>
      <c r="AHV146" s="24"/>
      <c r="AHW146" s="24"/>
      <c r="AHX146" s="24"/>
      <c r="AHY146" s="24"/>
      <c r="AHZ146" s="24"/>
      <c r="AIA146" s="24"/>
      <c r="AIB146" s="24"/>
      <c r="AIC146" s="24"/>
      <c r="AID146" s="24"/>
      <c r="AIE146" s="24"/>
      <c r="AIF146" s="24"/>
      <c r="AIG146" s="24"/>
      <c r="AIH146" s="24"/>
      <c r="AII146" s="24"/>
      <c r="AIJ146" s="24"/>
      <c r="AIK146" s="24"/>
      <c r="AIL146" s="24"/>
      <c r="AIM146" s="24"/>
      <c r="AIN146" s="24"/>
      <c r="AIO146" s="24"/>
      <c r="AIP146" s="24"/>
      <c r="AIQ146" s="24"/>
      <c r="AIR146" s="24"/>
      <c r="AIS146" s="24"/>
      <c r="AIT146" s="24"/>
      <c r="AIU146" s="24"/>
      <c r="AIV146" s="24"/>
      <c r="AIW146" s="24"/>
      <c r="AIX146" s="24"/>
      <c r="AIY146" s="24"/>
      <c r="AIZ146" s="24"/>
      <c r="AJA146" s="24"/>
      <c r="AJB146" s="24"/>
      <c r="AJC146" s="24"/>
      <c r="AJD146" s="24"/>
      <c r="AJE146" s="24"/>
      <c r="AJF146" s="24"/>
      <c r="AJG146" s="24"/>
      <c r="AJH146" s="24"/>
      <c r="AJI146" s="24"/>
      <c r="AJJ146" s="24"/>
      <c r="AJK146" s="24"/>
      <c r="AJL146" s="24"/>
      <c r="AJM146" s="24"/>
      <c r="AJN146" s="24"/>
      <c r="AJO146" s="24"/>
      <c r="AJP146" s="24"/>
      <c r="AJQ146" s="24"/>
      <c r="AJR146" s="24"/>
      <c r="AJS146" s="24"/>
      <c r="AJT146" s="24"/>
      <c r="AJU146" s="24"/>
      <c r="AJV146" s="24"/>
      <c r="AJW146" s="24"/>
      <c r="AJX146" s="24"/>
      <c r="AJY146" s="24"/>
      <c r="AJZ146" s="24"/>
      <c r="AKA146" s="24"/>
      <c r="AKB146" s="24"/>
      <c r="AKC146" s="24"/>
      <c r="AKD146" s="24"/>
      <c r="AKE146" s="24"/>
      <c r="AKF146" s="24"/>
      <c r="AKG146" s="24"/>
      <c r="AKH146" s="24"/>
      <c r="AKI146" s="24"/>
      <c r="AKJ146" s="24"/>
      <c r="AKK146" s="24"/>
      <c r="AKL146" s="24"/>
      <c r="AKM146" s="24"/>
      <c r="AKN146" s="24"/>
      <c r="AKO146" s="24"/>
      <c r="AKP146" s="24"/>
      <c r="AKQ146" s="24"/>
      <c r="AKR146" s="24"/>
      <c r="AKS146" s="24"/>
      <c r="AKT146" s="24"/>
      <c r="AKU146" s="24"/>
      <c r="AKV146" s="24"/>
      <c r="AKW146" s="24"/>
      <c r="AKX146" s="24"/>
      <c r="AKY146" s="24"/>
      <c r="AKZ146" s="24"/>
      <c r="ALA146" s="24"/>
      <c r="ALB146" s="24"/>
      <c r="ALC146" s="24"/>
      <c r="ALD146" s="24"/>
      <c r="ALE146" s="24"/>
      <c r="ALF146" s="24"/>
      <c r="ALG146" s="24"/>
      <c r="ALH146" s="24"/>
      <c r="ALI146" s="24"/>
      <c r="ALJ146" s="24"/>
      <c r="ALK146" s="24"/>
      <c r="ALL146" s="24"/>
      <c r="ALM146" s="24"/>
      <c r="ALN146" s="24"/>
      <c r="ALO146" s="24"/>
      <c r="ALP146" s="24"/>
      <c r="ALQ146" s="24"/>
      <c r="ALR146" s="24"/>
      <c r="ALS146" s="24"/>
      <c r="ALT146" s="24"/>
      <c r="ALU146" s="24"/>
      <c r="ALV146" s="24"/>
      <c r="ALW146" s="24"/>
      <c r="ALX146" s="24"/>
      <c r="ALY146" s="24"/>
      <c r="ALZ146" s="24"/>
      <c r="AMA146" s="24"/>
      <c r="AMB146" s="24"/>
      <c r="AMC146" s="24"/>
      <c r="AMD146" s="24"/>
      <c r="AME146" s="24"/>
      <c r="AMF146" s="24"/>
      <c r="AMG146" s="24"/>
      <c r="AMH146" s="24"/>
      <c r="AMI146" s="24"/>
      <c r="AMJ146" s="24"/>
      <c r="AMK146" s="24"/>
      <c r="AML146" s="24"/>
      <c r="AMM146" s="24"/>
      <c r="AMN146" s="24"/>
      <c r="AMO146" s="24"/>
      <c r="AMP146" s="24"/>
      <c r="AMQ146" s="24"/>
      <c r="AMR146" s="24"/>
      <c r="AMS146" s="24"/>
      <c r="AMT146" s="24"/>
      <c r="AMU146" s="24"/>
      <c r="AMV146" s="24"/>
      <c r="AMW146" s="24"/>
      <c r="AMX146" s="24"/>
      <c r="AMY146" s="24"/>
      <c r="AMZ146" s="24"/>
      <c r="ANA146" s="24"/>
      <c r="ANB146" s="24"/>
      <c r="ANC146" s="24"/>
      <c r="AND146" s="24"/>
      <c r="ANE146" s="24"/>
      <c r="ANF146" s="24"/>
      <c r="ANG146" s="24"/>
      <c r="ANH146" s="24"/>
      <c r="ANI146" s="24"/>
      <c r="ANJ146" s="24"/>
      <c r="ANK146" s="24"/>
      <c r="ANL146" s="24"/>
      <c r="ANM146" s="24"/>
      <c r="ANN146" s="24"/>
      <c r="ANO146" s="24"/>
      <c r="ANP146" s="24"/>
      <c r="ANQ146" s="24"/>
      <c r="ANR146" s="24"/>
      <c r="ANS146" s="24"/>
      <c r="ANT146" s="24"/>
      <c r="ANU146" s="24"/>
      <c r="ANV146" s="24"/>
      <c r="ANW146" s="24"/>
      <c r="ANX146" s="24"/>
      <c r="ANY146" s="24"/>
      <c r="ANZ146" s="24"/>
      <c r="AOA146" s="24"/>
      <c r="AOB146" s="24"/>
      <c r="AOC146" s="24"/>
      <c r="AOD146" s="24"/>
      <c r="AOE146" s="24"/>
      <c r="AOF146" s="24"/>
      <c r="AOG146" s="24"/>
      <c r="AOH146" s="24"/>
      <c r="AOI146" s="24"/>
      <c r="AOJ146" s="24"/>
      <c r="AOK146" s="24"/>
      <c r="AOL146" s="24"/>
      <c r="AOM146" s="24"/>
      <c r="AON146" s="24"/>
      <c r="AOO146" s="24"/>
      <c r="AOP146" s="24"/>
      <c r="AOQ146" s="24"/>
      <c r="AOR146" s="24"/>
      <c r="AOS146" s="24"/>
      <c r="AOT146" s="24"/>
      <c r="AOU146" s="24"/>
      <c r="AOV146" s="24"/>
      <c r="AOW146" s="24"/>
      <c r="AOX146" s="24"/>
      <c r="AOY146" s="24"/>
      <c r="AOZ146" s="24"/>
      <c r="APA146" s="24"/>
      <c r="APB146" s="24"/>
      <c r="APC146" s="24"/>
      <c r="APD146" s="24"/>
      <c r="APE146" s="24"/>
      <c r="APF146" s="24"/>
      <c r="APG146" s="24"/>
      <c r="APH146" s="24"/>
      <c r="API146" s="24"/>
      <c r="APJ146" s="24"/>
      <c r="APK146" s="24"/>
      <c r="APL146" s="24"/>
      <c r="APM146" s="24"/>
      <c r="APN146" s="24"/>
      <c r="APO146" s="24"/>
      <c r="APP146" s="24"/>
      <c r="APQ146" s="24"/>
      <c r="APR146" s="24"/>
      <c r="APS146" s="24"/>
      <c r="APT146" s="24"/>
      <c r="APU146" s="24"/>
      <c r="APV146" s="24"/>
      <c r="APW146" s="24"/>
      <c r="APX146" s="24"/>
      <c r="APY146" s="24"/>
      <c r="APZ146" s="24"/>
      <c r="AQA146" s="24"/>
      <c r="AQB146" s="24"/>
      <c r="AQC146" s="24"/>
      <c r="AQD146" s="24"/>
      <c r="AQE146" s="24"/>
      <c r="AQF146" s="24"/>
      <c r="AQG146" s="24"/>
      <c r="AQH146" s="24"/>
      <c r="AQI146" s="24"/>
      <c r="AQJ146" s="24"/>
      <c r="AQK146" s="24"/>
      <c r="AQL146" s="24"/>
      <c r="AQM146" s="24"/>
      <c r="AQN146" s="24"/>
      <c r="AQO146" s="24"/>
      <c r="AQP146" s="24"/>
      <c r="AQQ146" s="24"/>
      <c r="AQR146" s="24"/>
      <c r="AQS146" s="24"/>
      <c r="AQT146" s="24"/>
      <c r="AQU146" s="24"/>
      <c r="AQV146" s="24"/>
      <c r="AQW146" s="24"/>
      <c r="AQX146" s="24"/>
      <c r="AQY146" s="24"/>
      <c r="AQZ146" s="24"/>
      <c r="ARA146" s="24"/>
      <c r="ARB146" s="24"/>
      <c r="ARC146" s="24"/>
      <c r="ARD146" s="24"/>
      <c r="ARE146" s="24"/>
      <c r="ARF146" s="24"/>
      <c r="ARG146" s="24"/>
      <c r="ARH146" s="24"/>
      <c r="ARI146" s="24"/>
      <c r="ARJ146" s="24"/>
      <c r="ARK146" s="24"/>
      <c r="ARL146" s="24"/>
      <c r="ARM146" s="24"/>
      <c r="ARN146" s="24"/>
      <c r="ARO146" s="24"/>
      <c r="ARP146" s="24"/>
      <c r="ARQ146" s="24"/>
      <c r="ARR146" s="24"/>
      <c r="ARS146" s="24"/>
      <c r="ART146" s="24"/>
      <c r="ARU146" s="24"/>
      <c r="ARV146" s="24"/>
      <c r="ARW146" s="24"/>
      <c r="ARX146" s="24"/>
      <c r="ARY146" s="24"/>
      <c r="ARZ146" s="24"/>
      <c r="ASA146" s="24"/>
      <c r="ASB146" s="24"/>
      <c r="ASC146" s="24"/>
      <c r="ASD146" s="24"/>
      <c r="ASE146" s="24"/>
      <c r="ASF146" s="24"/>
      <c r="ASG146" s="24"/>
      <c r="ASH146" s="24"/>
      <c r="ASI146" s="24"/>
      <c r="ASJ146" s="24"/>
      <c r="ASK146" s="24"/>
      <c r="ASL146" s="24"/>
      <c r="ASM146" s="24"/>
      <c r="ASN146" s="24"/>
      <c r="ASO146" s="24"/>
      <c r="ASP146" s="24"/>
      <c r="ASQ146" s="24"/>
      <c r="ASR146" s="24"/>
      <c r="ASS146" s="24"/>
      <c r="AST146" s="24"/>
      <c r="ASU146" s="24"/>
      <c r="ASV146" s="24"/>
      <c r="ASW146" s="24"/>
      <c r="ASX146" s="24"/>
      <c r="ASY146" s="24"/>
      <c r="ASZ146" s="24"/>
      <c r="ATA146" s="24"/>
      <c r="ATB146" s="24"/>
      <c r="ATC146" s="24"/>
      <c r="ATD146" s="24"/>
      <c r="ATE146" s="24"/>
      <c r="ATF146" s="24"/>
      <c r="ATG146" s="24"/>
      <c r="ATH146" s="24"/>
      <c r="ATI146" s="24"/>
      <c r="ATJ146" s="24"/>
      <c r="ATK146" s="24"/>
      <c r="ATL146" s="24"/>
      <c r="ATM146" s="24"/>
      <c r="ATN146" s="24"/>
      <c r="ATO146" s="24"/>
      <c r="ATP146" s="24"/>
      <c r="ATQ146" s="24"/>
      <c r="ATR146" s="24"/>
      <c r="ATS146" s="24"/>
      <c r="ATT146" s="24"/>
      <c r="ATU146" s="24"/>
      <c r="ATV146" s="24"/>
      <c r="ATW146" s="24"/>
      <c r="ATX146" s="24"/>
      <c r="ATY146" s="24"/>
      <c r="ATZ146" s="24"/>
      <c r="AUA146" s="24"/>
      <c r="AUB146" s="24"/>
      <c r="AUC146" s="24"/>
      <c r="AUD146" s="24"/>
      <c r="AUE146" s="24"/>
      <c r="AUF146" s="24"/>
      <c r="AUG146" s="24"/>
      <c r="AUH146" s="24"/>
      <c r="AUI146" s="24"/>
      <c r="AUJ146" s="24"/>
      <c r="AUK146" s="24"/>
      <c r="AUL146" s="24"/>
      <c r="AUM146" s="24"/>
      <c r="AUN146" s="24"/>
      <c r="AUO146" s="24"/>
      <c r="AUP146" s="24"/>
      <c r="AUQ146" s="24"/>
      <c r="AUR146" s="24"/>
      <c r="AUS146" s="24"/>
      <c r="AUT146" s="24"/>
      <c r="AUU146" s="24"/>
      <c r="AUV146" s="24"/>
      <c r="AUW146" s="24"/>
      <c r="AUX146" s="24"/>
      <c r="AUY146" s="24"/>
      <c r="AUZ146" s="24"/>
      <c r="AVA146" s="24"/>
      <c r="AVB146" s="24"/>
      <c r="AVC146" s="24"/>
      <c r="AVD146" s="24"/>
      <c r="AVE146" s="24"/>
      <c r="AVF146" s="24"/>
      <c r="AVG146" s="24"/>
      <c r="AVH146" s="24"/>
      <c r="AVI146" s="24"/>
      <c r="AVJ146" s="24"/>
      <c r="AVK146" s="24"/>
      <c r="AVL146" s="24"/>
      <c r="AVM146" s="24"/>
      <c r="AVN146" s="24"/>
      <c r="AVO146" s="24"/>
      <c r="AVP146" s="24"/>
      <c r="AVQ146" s="24"/>
      <c r="AVR146" s="24"/>
      <c r="AVS146" s="24"/>
      <c r="AVT146" s="24"/>
      <c r="AVU146" s="24"/>
      <c r="AVV146" s="24"/>
      <c r="AVW146" s="24"/>
      <c r="AVX146" s="24"/>
      <c r="AVY146" s="24"/>
      <c r="AVZ146" s="24"/>
      <c r="AWA146" s="24"/>
      <c r="AWB146" s="24"/>
      <c r="AWC146" s="24"/>
      <c r="AWD146" s="24"/>
      <c r="AWE146" s="24"/>
      <c r="AWF146" s="24"/>
      <c r="AWG146" s="24"/>
      <c r="AWH146" s="24"/>
      <c r="AWI146" s="24"/>
      <c r="AWJ146" s="24"/>
      <c r="AWK146" s="24"/>
      <c r="AWL146" s="24"/>
      <c r="AWM146" s="24"/>
      <c r="AWN146" s="24"/>
      <c r="AWO146" s="24"/>
      <c r="AWP146" s="24"/>
      <c r="AWQ146" s="24"/>
      <c r="AWR146" s="24"/>
      <c r="AWS146" s="24"/>
      <c r="AWT146" s="24"/>
      <c r="AWU146" s="24"/>
      <c r="AWV146" s="24"/>
      <c r="AWW146" s="24"/>
      <c r="AWX146" s="24"/>
      <c r="AWY146" s="24"/>
      <c r="AWZ146" s="24"/>
      <c r="AXA146" s="24"/>
      <c r="AXB146" s="24"/>
      <c r="AXC146" s="24"/>
      <c r="AXD146" s="24"/>
      <c r="AXE146" s="24"/>
      <c r="AXF146" s="24"/>
      <c r="AXG146" s="24"/>
      <c r="AXH146" s="24"/>
      <c r="AXI146" s="24"/>
      <c r="AXJ146" s="24"/>
      <c r="AXK146" s="24"/>
      <c r="AXL146" s="24"/>
      <c r="AXM146" s="24"/>
      <c r="AXN146" s="24"/>
      <c r="AXO146" s="24"/>
      <c r="AXP146" s="24"/>
      <c r="AXQ146" s="24"/>
      <c r="AXR146" s="24"/>
      <c r="AXS146" s="24"/>
      <c r="AXT146" s="24"/>
      <c r="AXU146" s="24"/>
      <c r="AXV146" s="24"/>
      <c r="AXW146" s="24"/>
      <c r="AXX146" s="24"/>
      <c r="AXY146" s="24"/>
      <c r="AXZ146" s="24"/>
      <c r="AYA146" s="24"/>
      <c r="AYB146" s="24"/>
      <c r="AYC146" s="24"/>
      <c r="AYD146" s="24"/>
      <c r="AYE146" s="24"/>
      <c r="AYF146" s="24"/>
      <c r="AYG146" s="24"/>
      <c r="AYH146" s="24"/>
      <c r="AYI146" s="24"/>
      <c r="AYJ146" s="24"/>
      <c r="AYK146" s="24"/>
      <c r="AYL146" s="24"/>
      <c r="AYM146" s="24"/>
      <c r="AYN146" s="24"/>
      <c r="AYO146" s="24"/>
      <c r="AYP146" s="24"/>
      <c r="AYQ146" s="24"/>
      <c r="AYR146" s="24"/>
      <c r="AYS146" s="24"/>
      <c r="AYT146" s="24"/>
      <c r="AYU146" s="24"/>
      <c r="AYV146" s="24"/>
      <c r="AYW146" s="24"/>
      <c r="AYX146" s="24"/>
      <c r="AYY146" s="24"/>
      <c r="AYZ146" s="24"/>
      <c r="AZA146" s="24"/>
      <c r="AZB146" s="24"/>
      <c r="AZC146" s="24"/>
      <c r="AZD146" s="24"/>
      <c r="AZE146" s="24"/>
      <c r="AZF146" s="24"/>
      <c r="AZG146" s="24"/>
      <c r="AZH146" s="24"/>
      <c r="AZI146" s="24"/>
      <c r="AZJ146" s="24"/>
      <c r="AZK146" s="24"/>
      <c r="AZL146" s="24"/>
      <c r="AZM146" s="24"/>
      <c r="AZN146" s="24"/>
      <c r="AZO146" s="24"/>
      <c r="AZP146" s="24"/>
      <c r="AZQ146" s="24"/>
      <c r="AZR146" s="24"/>
      <c r="AZS146" s="24"/>
      <c r="AZT146" s="24"/>
      <c r="AZU146" s="24"/>
      <c r="AZV146" s="24"/>
      <c r="AZW146" s="24"/>
      <c r="AZX146" s="24"/>
      <c r="AZY146" s="24"/>
      <c r="AZZ146" s="24"/>
      <c r="BAA146" s="24"/>
      <c r="BAB146" s="24"/>
      <c r="BAC146" s="24"/>
      <c r="BAD146" s="24"/>
      <c r="BAE146" s="24"/>
      <c r="BAF146" s="24"/>
      <c r="BAG146" s="24"/>
      <c r="BAH146" s="24"/>
      <c r="BAI146" s="24"/>
      <c r="BAJ146" s="24"/>
      <c r="BAK146" s="24"/>
      <c r="BAL146" s="24"/>
      <c r="BAM146" s="24"/>
      <c r="BAN146" s="24"/>
      <c r="BAO146" s="24"/>
      <c r="BAP146" s="24"/>
      <c r="BAQ146" s="24"/>
      <c r="BAR146" s="24"/>
      <c r="BAS146" s="24"/>
      <c r="BAT146" s="24"/>
      <c r="BAU146" s="24"/>
      <c r="BAV146" s="24"/>
      <c r="BAW146" s="24"/>
      <c r="BAX146" s="24"/>
      <c r="BAY146" s="24"/>
      <c r="BAZ146" s="24"/>
      <c r="BBA146" s="24"/>
      <c r="BBB146" s="24"/>
      <c r="BBC146" s="24"/>
      <c r="BBD146" s="24"/>
      <c r="BBE146" s="24"/>
      <c r="BBF146" s="24"/>
      <c r="BBG146" s="24"/>
      <c r="BBH146" s="24"/>
      <c r="BBI146" s="24"/>
      <c r="BBJ146" s="24"/>
      <c r="BBK146" s="24"/>
      <c r="BBL146" s="24"/>
      <c r="BBM146" s="24"/>
      <c r="BBN146" s="24"/>
      <c r="BBO146" s="24"/>
      <c r="BBP146" s="24"/>
      <c r="BBQ146" s="24"/>
      <c r="BBR146" s="24"/>
      <c r="BBS146" s="24"/>
      <c r="BBT146" s="24"/>
      <c r="BBU146" s="24"/>
      <c r="BBV146" s="24"/>
      <c r="BBW146" s="24"/>
      <c r="BBX146" s="24"/>
      <c r="BBY146" s="24"/>
      <c r="BBZ146" s="24"/>
      <c r="BCA146" s="24"/>
      <c r="BCB146" s="24"/>
      <c r="BCC146" s="24"/>
      <c r="BCD146" s="24"/>
      <c r="BCE146" s="24"/>
      <c r="BCF146" s="24"/>
      <c r="BCG146" s="24"/>
      <c r="BCH146" s="24"/>
      <c r="BCI146" s="24"/>
      <c r="BCJ146" s="24"/>
      <c r="BCK146" s="24"/>
      <c r="BCL146" s="24"/>
      <c r="BCM146" s="24"/>
      <c r="BCN146" s="24"/>
      <c r="BCO146" s="24"/>
      <c r="BCP146" s="24"/>
      <c r="BCQ146" s="24"/>
      <c r="BCR146" s="24"/>
      <c r="BCS146" s="24"/>
      <c r="BCT146" s="24"/>
      <c r="BCU146" s="24"/>
      <c r="BCV146" s="24"/>
      <c r="BCW146" s="24"/>
      <c r="BCX146" s="24"/>
      <c r="BCY146" s="24"/>
      <c r="BCZ146" s="24"/>
      <c r="BDA146" s="24"/>
      <c r="BDB146" s="24"/>
      <c r="BDC146" s="24"/>
      <c r="BDD146" s="24"/>
      <c r="BDE146" s="24"/>
      <c r="BDF146" s="24"/>
      <c r="BDG146" s="24"/>
      <c r="BDH146" s="24"/>
      <c r="BDI146" s="24"/>
      <c r="BDJ146" s="24"/>
      <c r="BDK146" s="24"/>
      <c r="BDL146" s="24"/>
      <c r="BDM146" s="24"/>
      <c r="BDN146" s="24"/>
      <c r="BDO146" s="24"/>
      <c r="BDP146" s="24"/>
      <c r="BDQ146" s="24"/>
      <c r="BDR146" s="24"/>
      <c r="BDS146" s="24"/>
      <c r="BDT146" s="24"/>
      <c r="BDU146" s="24"/>
      <c r="BDV146" s="24"/>
      <c r="BDW146" s="24"/>
      <c r="BDX146" s="24"/>
      <c r="BDY146" s="24"/>
      <c r="BDZ146" s="24"/>
      <c r="BEA146" s="24"/>
      <c r="BEB146" s="24"/>
      <c r="BEC146" s="24"/>
      <c r="BED146" s="24"/>
      <c r="BEE146" s="24"/>
      <c r="BEF146" s="24"/>
      <c r="BEG146" s="24"/>
      <c r="BEH146" s="24"/>
      <c r="BEI146" s="24"/>
      <c r="BEJ146" s="24"/>
      <c r="BEK146" s="24"/>
      <c r="BEL146" s="24"/>
      <c r="BEM146" s="24"/>
      <c r="BEN146" s="24"/>
      <c r="BEO146" s="24"/>
      <c r="BEP146" s="24"/>
      <c r="BEQ146" s="24"/>
      <c r="BER146" s="24"/>
      <c r="BES146" s="24"/>
      <c r="BET146" s="24"/>
      <c r="BEU146" s="24"/>
      <c r="BEV146" s="24"/>
      <c r="BEW146" s="24"/>
      <c r="BEX146" s="24"/>
      <c r="BEY146" s="24"/>
      <c r="BEZ146" s="24"/>
      <c r="BFA146" s="24"/>
      <c r="BFB146" s="24"/>
      <c r="BFC146" s="24"/>
      <c r="BFD146" s="24"/>
      <c r="BFE146" s="24"/>
      <c r="BFF146" s="24"/>
      <c r="BFG146" s="24"/>
      <c r="BFH146" s="24"/>
      <c r="BFI146" s="24"/>
      <c r="BFJ146" s="24"/>
      <c r="BFK146" s="24"/>
      <c r="BFL146" s="24"/>
      <c r="BFM146" s="24"/>
      <c r="BFN146" s="24"/>
      <c r="BFO146" s="24"/>
      <c r="BFP146" s="24"/>
      <c r="BFQ146" s="24"/>
      <c r="BFR146" s="24"/>
      <c r="BFS146" s="24"/>
      <c r="BFT146" s="24"/>
      <c r="BFU146" s="24"/>
      <c r="BFV146" s="24"/>
      <c r="BFW146" s="24"/>
      <c r="BFX146" s="24"/>
      <c r="BFY146" s="24"/>
      <c r="BFZ146" s="24"/>
      <c r="BGA146" s="24"/>
      <c r="BGB146" s="24"/>
      <c r="BGC146" s="24"/>
      <c r="BGD146" s="24"/>
      <c r="BGE146" s="24"/>
      <c r="BGF146" s="24"/>
      <c r="BGG146" s="24"/>
      <c r="BGH146" s="24"/>
      <c r="BGI146" s="24"/>
      <c r="BGJ146" s="24"/>
      <c r="BGK146" s="24"/>
      <c r="BGL146" s="24"/>
      <c r="BGM146" s="24"/>
      <c r="BGN146" s="24"/>
      <c r="BGO146" s="24"/>
      <c r="BGP146" s="24"/>
      <c r="BGQ146" s="24"/>
      <c r="BGR146" s="24"/>
      <c r="BGS146" s="24"/>
      <c r="BGT146" s="24"/>
      <c r="BGU146" s="24"/>
      <c r="BGV146" s="24"/>
      <c r="BGW146" s="24"/>
      <c r="BGX146" s="24"/>
      <c r="BGY146" s="24"/>
      <c r="BGZ146" s="24"/>
      <c r="BHA146" s="24"/>
      <c r="BHB146" s="24"/>
      <c r="BHC146" s="24"/>
      <c r="BHD146" s="24"/>
      <c r="BHE146" s="24"/>
      <c r="BHF146" s="24"/>
      <c r="BHG146" s="24"/>
      <c r="BHH146" s="24"/>
      <c r="BHI146" s="24"/>
      <c r="BHJ146" s="24"/>
      <c r="BHK146" s="24"/>
      <c r="BHL146" s="24"/>
      <c r="BHM146" s="24"/>
      <c r="BHN146" s="24"/>
      <c r="BHO146" s="24"/>
      <c r="BHP146" s="24"/>
      <c r="BHQ146" s="24"/>
      <c r="BHR146" s="24"/>
      <c r="BHS146" s="24"/>
      <c r="BHT146" s="24"/>
      <c r="BHU146" s="24"/>
      <c r="BHV146" s="24"/>
      <c r="BHW146" s="24"/>
      <c r="BHX146" s="24"/>
      <c r="BHY146" s="24"/>
      <c r="BHZ146" s="24"/>
      <c r="BIA146" s="24"/>
      <c r="BIB146" s="24"/>
      <c r="BIC146" s="24"/>
      <c r="BID146" s="24"/>
      <c r="BIE146" s="24"/>
      <c r="BIF146" s="24"/>
      <c r="BIG146" s="24"/>
      <c r="BIH146" s="24"/>
      <c r="BII146" s="24"/>
      <c r="BIJ146" s="24"/>
      <c r="BIK146" s="24"/>
      <c r="BIL146" s="24"/>
      <c r="BIM146" s="24"/>
      <c r="BIN146" s="24"/>
      <c r="BIO146" s="24"/>
      <c r="BIP146" s="24"/>
      <c r="BIQ146" s="24"/>
      <c r="BIR146" s="24"/>
      <c r="BIS146" s="24"/>
      <c r="BIT146" s="24"/>
      <c r="BIU146" s="24"/>
      <c r="BIV146" s="24"/>
      <c r="BIW146" s="24"/>
      <c r="BIX146" s="24"/>
      <c r="BIY146" s="24"/>
      <c r="BIZ146" s="24"/>
      <c r="BJA146" s="24"/>
      <c r="BJB146" s="24"/>
      <c r="BJC146" s="24"/>
      <c r="BJD146" s="24"/>
      <c r="BJE146" s="24"/>
      <c r="BJF146" s="24"/>
      <c r="BJG146" s="24"/>
      <c r="BJH146" s="24"/>
      <c r="BJI146" s="24"/>
      <c r="BJJ146" s="24"/>
      <c r="BJK146" s="24"/>
      <c r="BJL146" s="24"/>
      <c r="BJM146" s="24"/>
      <c r="BJN146" s="24"/>
      <c r="BJO146" s="24"/>
      <c r="BJP146" s="24"/>
      <c r="BJQ146" s="24"/>
      <c r="BJR146" s="24"/>
      <c r="BJS146" s="24"/>
      <c r="BJT146" s="24"/>
      <c r="BJU146" s="24"/>
      <c r="BJV146" s="24"/>
      <c r="BJW146" s="24"/>
      <c r="BJX146" s="24"/>
      <c r="BJY146" s="24"/>
      <c r="BJZ146" s="24"/>
      <c r="BKA146" s="24"/>
      <c r="BKB146" s="24"/>
      <c r="BKC146" s="24"/>
      <c r="BKD146" s="24"/>
      <c r="BKE146" s="24"/>
      <c r="BKF146" s="24"/>
      <c r="BKG146" s="24"/>
      <c r="BKH146" s="24"/>
      <c r="BKI146" s="24"/>
      <c r="BKJ146" s="24"/>
      <c r="BKK146" s="24"/>
      <c r="BKL146" s="24"/>
      <c r="BKM146" s="24"/>
      <c r="BKN146" s="24"/>
      <c r="BKO146" s="24"/>
      <c r="BKP146" s="24"/>
      <c r="BKQ146" s="24"/>
      <c r="BKR146" s="24"/>
      <c r="BKS146" s="24"/>
      <c r="BKT146" s="24"/>
      <c r="BKU146" s="24"/>
      <c r="BKV146" s="24"/>
      <c r="BKW146" s="24"/>
      <c r="BKX146" s="24"/>
      <c r="BKY146" s="24"/>
      <c r="BKZ146" s="24"/>
      <c r="BLA146" s="24"/>
      <c r="BLB146" s="24"/>
      <c r="BLC146" s="24"/>
      <c r="BLD146" s="24"/>
      <c r="BLE146" s="24"/>
      <c r="BLF146" s="24"/>
      <c r="BLG146" s="24"/>
      <c r="BLH146" s="24"/>
      <c r="BLI146" s="24"/>
      <c r="BLJ146" s="24"/>
      <c r="BLK146" s="24"/>
      <c r="BLL146" s="24"/>
      <c r="BLM146" s="24"/>
      <c r="BLN146" s="24"/>
      <c r="BLO146" s="24"/>
      <c r="BLP146" s="24"/>
      <c r="BLQ146" s="24"/>
      <c r="BLR146" s="24"/>
      <c r="BLS146" s="24"/>
      <c r="BLT146" s="24"/>
      <c r="BLU146" s="24"/>
      <c r="BLV146" s="24"/>
      <c r="BLW146" s="24"/>
      <c r="BLX146" s="24"/>
      <c r="BLY146" s="24"/>
      <c r="BLZ146" s="24"/>
      <c r="BMA146" s="24"/>
      <c r="BMB146" s="24"/>
      <c r="BMC146" s="24"/>
      <c r="BMD146" s="24"/>
      <c r="BME146" s="24"/>
      <c r="BMF146" s="24"/>
      <c r="BMG146" s="24"/>
      <c r="BMH146" s="24"/>
      <c r="BMI146" s="24"/>
      <c r="BMJ146" s="24"/>
      <c r="BMK146" s="24"/>
      <c r="BML146" s="24"/>
      <c r="BMM146" s="24"/>
      <c r="BMN146" s="24"/>
      <c r="BMO146" s="24"/>
      <c r="BMP146" s="24"/>
      <c r="BMQ146" s="24"/>
      <c r="BMR146" s="24"/>
      <c r="BMS146" s="24"/>
      <c r="BMT146" s="24"/>
      <c r="BMU146" s="24"/>
      <c r="BMV146" s="24"/>
      <c r="BMW146" s="24"/>
      <c r="BMX146" s="24"/>
      <c r="BMY146" s="24"/>
      <c r="BMZ146" s="24"/>
      <c r="BNA146" s="24"/>
      <c r="BNB146" s="24"/>
      <c r="BNC146" s="24"/>
      <c r="BND146" s="24"/>
      <c r="BNE146" s="24"/>
      <c r="BNF146" s="24"/>
      <c r="BNG146" s="24"/>
      <c r="BNH146" s="24"/>
      <c r="BNI146" s="24"/>
      <c r="BNJ146" s="24"/>
      <c r="BNK146" s="24"/>
      <c r="BNL146" s="24"/>
      <c r="BNM146" s="24"/>
      <c r="BNN146" s="24"/>
      <c r="BNO146" s="24"/>
      <c r="BNP146" s="24"/>
      <c r="BNQ146" s="24"/>
      <c r="BNR146" s="24"/>
      <c r="BNS146" s="24"/>
      <c r="BNT146" s="24"/>
      <c r="BNU146" s="24"/>
      <c r="BNV146" s="24"/>
      <c r="BNW146" s="24"/>
      <c r="BNX146" s="24"/>
      <c r="BNY146" s="24"/>
      <c r="BNZ146" s="24"/>
      <c r="BOA146" s="24"/>
      <c r="BOB146" s="24"/>
      <c r="BOC146" s="24"/>
      <c r="BOD146" s="24"/>
      <c r="BOE146" s="24"/>
      <c r="BOF146" s="24"/>
      <c r="BOG146" s="24"/>
      <c r="BOH146" s="24"/>
      <c r="BOI146" s="24"/>
      <c r="BOJ146" s="24"/>
      <c r="BOK146" s="24"/>
      <c r="BOL146" s="24"/>
      <c r="BOM146" s="24"/>
      <c r="BON146" s="24"/>
      <c r="BOO146" s="24"/>
      <c r="BOP146" s="24"/>
      <c r="BOQ146" s="24"/>
      <c r="BOR146" s="24"/>
      <c r="BOS146" s="24"/>
      <c r="BOT146" s="24"/>
      <c r="BOU146" s="24"/>
      <c r="BOV146" s="24"/>
      <c r="BOW146" s="24"/>
      <c r="BOX146" s="24"/>
      <c r="BOY146" s="24"/>
      <c r="BOZ146" s="24"/>
      <c r="BPA146" s="24"/>
      <c r="BPB146" s="24"/>
      <c r="BPC146" s="24"/>
      <c r="BPD146" s="24"/>
      <c r="BPE146" s="24"/>
      <c r="BPF146" s="24"/>
      <c r="BPG146" s="24"/>
      <c r="BPH146" s="24"/>
      <c r="BPI146" s="24"/>
      <c r="BPJ146" s="24"/>
      <c r="BPK146" s="24"/>
      <c r="BPL146" s="24"/>
      <c r="BPM146" s="24"/>
      <c r="BPN146" s="24"/>
      <c r="BPO146" s="24"/>
      <c r="BPP146" s="24"/>
      <c r="BPQ146" s="24"/>
      <c r="BPR146" s="24"/>
      <c r="BPS146" s="24"/>
      <c r="BPT146" s="24"/>
      <c r="BPU146" s="24"/>
      <c r="BPV146" s="24"/>
      <c r="BPW146" s="24"/>
      <c r="BPX146" s="24"/>
      <c r="BPY146" s="24"/>
      <c r="BPZ146" s="24"/>
      <c r="BQA146" s="24"/>
      <c r="BQB146" s="24"/>
      <c r="BQC146" s="24"/>
      <c r="BQD146" s="24"/>
      <c r="BQE146" s="24"/>
      <c r="BQF146" s="24"/>
      <c r="BQG146" s="24"/>
      <c r="BQH146" s="24"/>
      <c r="BQI146" s="24"/>
      <c r="BQJ146" s="24"/>
      <c r="BQK146" s="24"/>
      <c r="BQL146" s="24"/>
      <c r="BQM146" s="24"/>
      <c r="BQN146" s="24"/>
      <c r="BQO146" s="24"/>
      <c r="BQP146" s="24"/>
      <c r="BQQ146" s="24"/>
      <c r="BQR146" s="24"/>
      <c r="BQS146" s="24"/>
      <c r="BQT146" s="24"/>
      <c r="BQU146" s="24"/>
      <c r="BQV146" s="24"/>
      <c r="BQW146" s="24"/>
      <c r="BQX146" s="24"/>
      <c r="BQY146" s="24"/>
      <c r="BQZ146" s="24"/>
      <c r="BRA146" s="24"/>
      <c r="BRB146" s="24"/>
      <c r="BRC146" s="24"/>
      <c r="BRD146" s="24"/>
      <c r="BRE146" s="24"/>
      <c r="BRF146" s="24"/>
      <c r="BRG146" s="24"/>
      <c r="BRH146" s="24"/>
      <c r="BRI146" s="24"/>
      <c r="BRJ146" s="24"/>
      <c r="BRK146" s="24"/>
      <c r="BRL146" s="24"/>
      <c r="BRM146" s="24"/>
      <c r="BRN146" s="24"/>
      <c r="BRO146" s="24"/>
      <c r="BRP146" s="24"/>
      <c r="BRQ146" s="24"/>
      <c r="BRR146" s="24"/>
      <c r="BRS146" s="24"/>
      <c r="BRT146" s="24"/>
      <c r="BRU146" s="24"/>
      <c r="BRV146" s="24"/>
      <c r="BRW146" s="24"/>
      <c r="BRX146" s="24"/>
      <c r="BRY146" s="24"/>
      <c r="BRZ146" s="24"/>
      <c r="BSA146" s="24"/>
      <c r="BSB146" s="24"/>
      <c r="BSC146" s="24"/>
      <c r="BSD146" s="24"/>
      <c r="BSE146" s="24"/>
      <c r="BSF146" s="24"/>
      <c r="BSG146" s="24"/>
      <c r="BSH146" s="24"/>
      <c r="BSI146" s="24"/>
      <c r="BSJ146" s="24"/>
      <c r="BSK146" s="24"/>
      <c r="BSL146" s="24"/>
      <c r="BSM146" s="24"/>
      <c r="BSN146" s="24"/>
      <c r="BSO146" s="24"/>
      <c r="BSP146" s="24"/>
      <c r="BSQ146" s="24"/>
      <c r="BSR146" s="24"/>
      <c r="BSS146" s="24"/>
      <c r="BST146" s="24"/>
      <c r="BSU146" s="24"/>
      <c r="BSV146" s="24"/>
      <c r="BSW146" s="24"/>
      <c r="BSX146" s="24"/>
      <c r="BSY146" s="24"/>
      <c r="BSZ146" s="24"/>
      <c r="BTA146" s="24"/>
      <c r="BTB146" s="24"/>
      <c r="BTC146" s="24"/>
      <c r="BTD146" s="24"/>
      <c r="BTE146" s="24"/>
      <c r="BTF146" s="24"/>
      <c r="BTG146" s="24"/>
      <c r="BTH146" s="24"/>
      <c r="BTI146" s="24"/>
      <c r="BTJ146" s="24"/>
      <c r="BTK146" s="24"/>
      <c r="BTL146" s="24"/>
      <c r="BTM146" s="24"/>
      <c r="BTN146" s="24"/>
      <c r="BTO146" s="24"/>
      <c r="BTP146" s="24"/>
      <c r="BTQ146" s="24"/>
      <c r="BTR146" s="24"/>
      <c r="BTS146" s="24"/>
      <c r="BTT146" s="24"/>
      <c r="BTU146" s="24"/>
      <c r="BTV146" s="24"/>
      <c r="BTW146" s="24"/>
      <c r="BTX146" s="24"/>
      <c r="BTY146" s="24"/>
      <c r="BTZ146" s="24"/>
      <c r="BUA146" s="24"/>
      <c r="BUB146" s="24"/>
      <c r="BUC146" s="24"/>
      <c r="BUD146" s="24"/>
      <c r="BUE146" s="24"/>
      <c r="BUF146" s="24"/>
      <c r="BUG146" s="24"/>
      <c r="BUH146" s="24"/>
      <c r="BUI146" s="24"/>
      <c r="BUJ146" s="24"/>
      <c r="BUK146" s="24"/>
      <c r="BUL146" s="24"/>
      <c r="BUM146" s="24"/>
      <c r="BUN146" s="24"/>
      <c r="BUO146" s="24"/>
      <c r="BUP146" s="24"/>
      <c r="BUQ146" s="24"/>
      <c r="BUR146" s="24"/>
      <c r="BUS146" s="24"/>
      <c r="BUT146" s="24"/>
      <c r="BUU146" s="24"/>
      <c r="BUV146" s="24"/>
      <c r="BUW146" s="24"/>
      <c r="BUX146" s="24"/>
      <c r="BUY146" s="24"/>
      <c r="BUZ146" s="24"/>
      <c r="BVA146" s="24"/>
      <c r="BVB146" s="24"/>
      <c r="BVC146" s="24"/>
      <c r="BVD146" s="24"/>
      <c r="BVE146" s="24"/>
      <c r="BVF146" s="24"/>
      <c r="BVG146" s="24"/>
      <c r="BVH146" s="24"/>
      <c r="BVI146" s="24"/>
      <c r="BVJ146" s="24"/>
      <c r="BVK146" s="24"/>
      <c r="BVL146" s="24"/>
      <c r="BVM146" s="24"/>
      <c r="BVN146" s="24"/>
      <c r="BVO146" s="24"/>
      <c r="BVP146" s="24"/>
      <c r="BVQ146" s="24"/>
      <c r="BVR146" s="24"/>
      <c r="BVS146" s="24"/>
      <c r="BVT146" s="24"/>
      <c r="BVU146" s="24"/>
      <c r="BVV146" s="24"/>
      <c r="BVW146" s="24"/>
      <c r="BVX146" s="24"/>
      <c r="BVY146" s="24"/>
      <c r="BVZ146" s="24"/>
      <c r="BWA146" s="24"/>
      <c r="BWB146" s="24"/>
      <c r="BWC146" s="24"/>
      <c r="BWD146" s="24"/>
      <c r="BWE146" s="24"/>
      <c r="BWF146" s="24"/>
      <c r="BWG146" s="24"/>
      <c r="BWH146" s="24"/>
      <c r="BWI146" s="24"/>
      <c r="BWJ146" s="24"/>
      <c r="BWK146" s="24"/>
      <c r="BWL146" s="24"/>
      <c r="BWM146" s="24"/>
      <c r="BWN146" s="24"/>
      <c r="BWO146" s="24"/>
      <c r="BWP146" s="24"/>
      <c r="BWQ146" s="24"/>
      <c r="BWR146" s="24"/>
      <c r="BWS146" s="24"/>
      <c r="BWT146" s="24"/>
      <c r="BWU146" s="24"/>
      <c r="BWV146" s="24"/>
      <c r="BWW146" s="24"/>
      <c r="BWX146" s="24"/>
      <c r="BWY146" s="24"/>
      <c r="BWZ146" s="24"/>
      <c r="BXA146" s="24"/>
      <c r="BXB146" s="24"/>
      <c r="BXC146" s="24"/>
      <c r="BXD146" s="24"/>
      <c r="BXE146" s="24"/>
      <c r="BXF146" s="24"/>
      <c r="BXG146" s="24"/>
      <c r="BXH146" s="24"/>
      <c r="BXI146" s="24"/>
      <c r="BXJ146" s="24"/>
      <c r="BXK146" s="24"/>
      <c r="BXL146" s="24"/>
      <c r="BXM146" s="24"/>
      <c r="BXN146" s="24"/>
      <c r="BXO146" s="24"/>
      <c r="BXP146" s="24"/>
      <c r="BXQ146" s="24"/>
      <c r="BXR146" s="24"/>
      <c r="BXS146" s="24"/>
      <c r="BXT146" s="24"/>
      <c r="BXU146" s="24"/>
      <c r="BXV146" s="24"/>
      <c r="BXW146" s="24"/>
      <c r="BXX146" s="24"/>
      <c r="BXY146" s="24"/>
      <c r="BXZ146" s="24"/>
      <c r="BYA146" s="24"/>
      <c r="BYB146" s="24"/>
      <c r="BYC146" s="24"/>
      <c r="BYD146" s="24"/>
      <c r="BYE146" s="24"/>
      <c r="BYF146" s="24"/>
      <c r="BYG146" s="24"/>
      <c r="BYH146" s="24"/>
      <c r="BYI146" s="24"/>
      <c r="BYJ146" s="24"/>
      <c r="BYK146" s="24"/>
      <c r="BYL146" s="24"/>
      <c r="BYM146" s="24"/>
      <c r="BYN146" s="24"/>
      <c r="BYO146" s="24"/>
      <c r="BYP146" s="24"/>
      <c r="BYQ146" s="24"/>
      <c r="BYR146" s="24"/>
      <c r="BYS146" s="24"/>
      <c r="BYT146" s="24"/>
      <c r="BYU146" s="24"/>
      <c r="BYV146" s="24"/>
      <c r="BYW146" s="24"/>
      <c r="BYX146" s="24"/>
      <c r="BYY146" s="24"/>
      <c r="BYZ146" s="24"/>
      <c r="BZA146" s="24"/>
      <c r="BZB146" s="24"/>
      <c r="BZC146" s="24"/>
      <c r="BZD146" s="24"/>
      <c r="BZE146" s="24"/>
      <c r="BZF146" s="24"/>
      <c r="BZG146" s="24"/>
      <c r="BZH146" s="24"/>
      <c r="BZI146" s="24"/>
      <c r="BZJ146" s="24"/>
      <c r="BZK146" s="24"/>
      <c r="BZL146" s="24"/>
      <c r="BZM146" s="24"/>
      <c r="BZN146" s="24"/>
      <c r="BZO146" s="24"/>
      <c r="BZP146" s="24"/>
      <c r="BZQ146" s="24"/>
      <c r="BZR146" s="24"/>
      <c r="BZS146" s="24"/>
      <c r="BZT146" s="24"/>
      <c r="BZU146" s="24"/>
      <c r="BZV146" s="24"/>
      <c r="BZW146" s="24"/>
      <c r="BZX146" s="24"/>
      <c r="BZY146" s="24"/>
      <c r="BZZ146" s="24"/>
      <c r="CAA146" s="24"/>
      <c r="CAB146" s="24"/>
      <c r="CAC146" s="24"/>
      <c r="CAD146" s="24"/>
      <c r="CAE146" s="24"/>
      <c r="CAF146" s="24"/>
      <c r="CAG146" s="24"/>
      <c r="CAH146" s="24"/>
      <c r="CAI146" s="24"/>
      <c r="CAJ146" s="24"/>
      <c r="CAK146" s="24"/>
      <c r="CAL146" s="24"/>
      <c r="CAM146" s="24"/>
      <c r="CAN146" s="24"/>
      <c r="CAO146" s="24"/>
      <c r="CAP146" s="24"/>
      <c r="CAQ146" s="24"/>
      <c r="CAR146" s="24"/>
      <c r="CAS146" s="24"/>
      <c r="CAT146" s="24"/>
      <c r="CAU146" s="24"/>
      <c r="CAV146" s="24"/>
      <c r="CAW146" s="24"/>
      <c r="CAX146" s="24"/>
      <c r="CAY146" s="24"/>
      <c r="CAZ146" s="24"/>
      <c r="CBA146" s="24"/>
      <c r="CBB146" s="24"/>
      <c r="CBC146" s="24"/>
      <c r="CBD146" s="24"/>
      <c r="CBE146" s="24"/>
      <c r="CBF146" s="24"/>
      <c r="CBG146" s="24"/>
      <c r="CBH146" s="24"/>
      <c r="CBI146" s="24"/>
      <c r="CBJ146" s="24"/>
      <c r="CBK146" s="24"/>
      <c r="CBL146" s="24"/>
      <c r="CBM146" s="24"/>
      <c r="CBN146" s="24"/>
      <c r="CBO146" s="24"/>
      <c r="CBP146" s="24"/>
      <c r="CBQ146" s="24"/>
      <c r="CBR146" s="24"/>
      <c r="CBS146" s="24"/>
      <c r="CBT146" s="24"/>
      <c r="CBU146" s="24"/>
      <c r="CBV146" s="24"/>
      <c r="CBW146" s="24"/>
      <c r="CBX146" s="24"/>
      <c r="CBY146" s="24"/>
      <c r="CBZ146" s="24"/>
      <c r="CCA146" s="24"/>
      <c r="CCB146" s="24"/>
      <c r="CCC146" s="24"/>
      <c r="CCD146" s="24"/>
      <c r="CCE146" s="24"/>
      <c r="CCF146" s="24"/>
      <c r="CCG146" s="24"/>
      <c r="CCH146" s="24"/>
      <c r="CCI146" s="24"/>
      <c r="CCJ146" s="24"/>
      <c r="CCK146" s="24"/>
      <c r="CCL146" s="24"/>
      <c r="CCM146" s="24"/>
      <c r="CCN146" s="24"/>
      <c r="CCO146" s="24"/>
      <c r="CCP146" s="24"/>
      <c r="CCQ146" s="24"/>
      <c r="CCR146" s="24"/>
      <c r="CCS146" s="24"/>
      <c r="CCT146" s="24"/>
      <c r="CCU146" s="24"/>
      <c r="CCV146" s="24"/>
      <c r="CCW146" s="24"/>
      <c r="CCX146" s="24"/>
      <c r="CCY146" s="24"/>
      <c r="CCZ146" s="24"/>
      <c r="CDA146" s="24"/>
      <c r="CDB146" s="24"/>
      <c r="CDC146" s="24"/>
      <c r="CDD146" s="24"/>
      <c r="CDE146" s="24"/>
      <c r="CDF146" s="24"/>
      <c r="CDG146" s="24"/>
      <c r="CDH146" s="24"/>
      <c r="CDI146" s="24"/>
      <c r="CDJ146" s="24"/>
      <c r="CDK146" s="24"/>
      <c r="CDL146" s="24"/>
      <c r="CDM146" s="24"/>
      <c r="CDN146" s="24"/>
      <c r="CDO146" s="24"/>
      <c r="CDP146" s="24"/>
      <c r="CDQ146" s="24"/>
      <c r="CDR146" s="24"/>
      <c r="CDS146" s="24"/>
      <c r="CDT146" s="24"/>
      <c r="CDU146" s="24"/>
      <c r="CDV146" s="24"/>
      <c r="CDW146" s="24"/>
      <c r="CDX146" s="24"/>
      <c r="CDY146" s="24"/>
      <c r="CDZ146" s="24"/>
      <c r="CEA146" s="24"/>
      <c r="CEB146" s="24"/>
      <c r="CEC146" s="24"/>
      <c r="CED146" s="24"/>
      <c r="CEE146" s="24"/>
      <c r="CEF146" s="24"/>
      <c r="CEG146" s="24"/>
      <c r="CEH146" s="24"/>
      <c r="CEI146" s="24"/>
      <c r="CEJ146" s="24"/>
      <c r="CEK146" s="24"/>
      <c r="CEL146" s="24"/>
      <c r="CEM146" s="24"/>
      <c r="CEN146" s="24"/>
      <c r="CEO146" s="24"/>
      <c r="CEP146" s="24"/>
      <c r="CEQ146" s="24"/>
      <c r="CER146" s="24"/>
      <c r="CES146" s="24"/>
      <c r="CET146" s="24"/>
      <c r="CEU146" s="24"/>
      <c r="CEV146" s="24"/>
      <c r="CEW146" s="24"/>
      <c r="CEX146" s="24"/>
      <c r="CEY146" s="24"/>
      <c r="CEZ146" s="24"/>
      <c r="CFA146" s="24"/>
      <c r="CFB146" s="24"/>
      <c r="CFC146" s="24"/>
      <c r="CFD146" s="24"/>
      <c r="CFE146" s="24"/>
      <c r="CFF146" s="24"/>
      <c r="CFG146" s="24"/>
      <c r="CFH146" s="24"/>
      <c r="CFI146" s="24"/>
      <c r="CFJ146" s="24"/>
      <c r="CFK146" s="24"/>
      <c r="CFL146" s="24"/>
      <c r="CFM146" s="24"/>
      <c r="CFN146" s="24"/>
      <c r="CFO146" s="24"/>
      <c r="CFP146" s="24"/>
      <c r="CFQ146" s="24"/>
      <c r="CFR146" s="24"/>
      <c r="CFS146" s="24"/>
      <c r="CFT146" s="24"/>
      <c r="CFU146" s="24"/>
      <c r="CFV146" s="24"/>
      <c r="CFW146" s="24"/>
      <c r="CFX146" s="24"/>
      <c r="CFY146" s="24"/>
      <c r="CFZ146" s="24"/>
      <c r="CGA146" s="24"/>
      <c r="CGB146" s="24"/>
      <c r="CGC146" s="24"/>
      <c r="CGD146" s="24"/>
      <c r="CGE146" s="24"/>
      <c r="CGF146" s="24"/>
      <c r="CGG146" s="24"/>
      <c r="CGH146" s="24"/>
      <c r="CGI146" s="24"/>
      <c r="CGJ146" s="24"/>
      <c r="CGK146" s="24"/>
      <c r="CGL146" s="24"/>
      <c r="CGM146" s="24"/>
      <c r="CGN146" s="24"/>
      <c r="CGO146" s="24"/>
      <c r="CGP146" s="24"/>
      <c r="CGQ146" s="24"/>
      <c r="CGR146" s="24"/>
      <c r="CGS146" s="24"/>
      <c r="CGT146" s="24"/>
      <c r="CGU146" s="24"/>
      <c r="CGV146" s="24"/>
      <c r="CGW146" s="24"/>
      <c r="CGX146" s="24"/>
      <c r="CGY146" s="24"/>
      <c r="CGZ146" s="24"/>
      <c r="CHA146" s="24"/>
      <c r="CHB146" s="24"/>
      <c r="CHC146" s="24"/>
      <c r="CHD146" s="24"/>
      <c r="CHE146" s="24"/>
      <c r="CHF146" s="24"/>
      <c r="CHG146" s="24"/>
      <c r="CHH146" s="24"/>
      <c r="CHI146" s="24"/>
      <c r="CHJ146" s="24"/>
      <c r="CHK146" s="24"/>
      <c r="CHL146" s="24"/>
      <c r="CHM146" s="24"/>
      <c r="CHN146" s="24"/>
      <c r="CHO146" s="24"/>
      <c r="CHP146" s="24"/>
      <c r="CHQ146" s="24"/>
      <c r="CHR146" s="24"/>
      <c r="CHS146" s="24"/>
      <c r="CHT146" s="24"/>
      <c r="CHU146" s="24"/>
      <c r="CHV146" s="24"/>
      <c r="CHW146" s="24"/>
      <c r="CHX146" s="24"/>
      <c r="CHY146" s="24"/>
      <c r="CHZ146" s="24"/>
      <c r="CIA146" s="24"/>
      <c r="CIB146" s="24"/>
      <c r="CIC146" s="24"/>
      <c r="CID146" s="24"/>
      <c r="CIE146" s="24"/>
      <c r="CIF146" s="24"/>
      <c r="CIG146" s="24"/>
      <c r="CIH146" s="24"/>
      <c r="CII146" s="24"/>
      <c r="CIJ146" s="24"/>
      <c r="CIK146" s="24"/>
      <c r="CIL146" s="24"/>
      <c r="CIM146" s="24"/>
      <c r="CIN146" s="24"/>
      <c r="CIO146" s="24"/>
      <c r="CIP146" s="24"/>
      <c r="CIQ146" s="24"/>
      <c r="CIR146" s="24"/>
      <c r="CIS146" s="24"/>
      <c r="CIT146" s="24"/>
      <c r="CIU146" s="24"/>
      <c r="CIV146" s="24"/>
      <c r="CIW146" s="24"/>
      <c r="CIX146" s="24"/>
      <c r="CIY146" s="24"/>
      <c r="CIZ146" s="24"/>
      <c r="CJA146" s="24"/>
      <c r="CJB146" s="24"/>
      <c r="CJC146" s="24"/>
      <c r="CJD146" s="24"/>
      <c r="CJE146" s="24"/>
      <c r="CJF146" s="24"/>
      <c r="CJG146" s="24"/>
      <c r="CJH146" s="24"/>
      <c r="CJI146" s="24"/>
      <c r="CJJ146" s="24"/>
      <c r="CJK146" s="24"/>
      <c r="CJL146" s="24"/>
      <c r="CJM146" s="24"/>
      <c r="CJN146" s="24"/>
      <c r="CJO146" s="24"/>
      <c r="CJP146" s="24"/>
      <c r="CJQ146" s="24"/>
      <c r="CJR146" s="24"/>
      <c r="CJS146" s="24"/>
      <c r="CJT146" s="24"/>
      <c r="CJU146" s="24"/>
      <c r="CJV146" s="24"/>
      <c r="CJW146" s="24"/>
      <c r="CJX146" s="24"/>
      <c r="CJY146" s="24"/>
      <c r="CJZ146" s="24"/>
      <c r="CKA146" s="24"/>
      <c r="CKB146" s="24"/>
      <c r="CKC146" s="24"/>
      <c r="CKD146" s="24"/>
      <c r="CKE146" s="24"/>
      <c r="CKF146" s="24"/>
      <c r="CKG146" s="24"/>
      <c r="CKH146" s="24"/>
      <c r="CKI146" s="24"/>
      <c r="CKJ146" s="24"/>
      <c r="CKK146" s="24"/>
      <c r="CKL146" s="24"/>
      <c r="CKM146" s="24"/>
      <c r="CKN146" s="24"/>
      <c r="CKO146" s="24"/>
      <c r="CKP146" s="24"/>
      <c r="CKQ146" s="24"/>
      <c r="CKR146" s="24"/>
      <c r="CKS146" s="24"/>
      <c r="CKT146" s="24"/>
      <c r="CKU146" s="24"/>
      <c r="CKV146" s="24"/>
      <c r="CKW146" s="24"/>
      <c r="CKX146" s="24"/>
      <c r="CKY146" s="24"/>
      <c r="CKZ146" s="24"/>
      <c r="CLA146" s="24"/>
      <c r="CLB146" s="24"/>
      <c r="CLC146" s="24"/>
      <c r="CLD146" s="24"/>
      <c r="CLE146" s="24"/>
      <c r="CLF146" s="24"/>
      <c r="CLG146" s="24"/>
      <c r="CLH146" s="24"/>
      <c r="CLI146" s="24"/>
      <c r="CLJ146" s="24"/>
      <c r="CLK146" s="24"/>
      <c r="CLL146" s="24"/>
      <c r="CLM146" s="24"/>
      <c r="CLN146" s="24"/>
      <c r="CLO146" s="24"/>
      <c r="CLP146" s="24"/>
      <c r="CLQ146" s="24"/>
      <c r="CLR146" s="24"/>
      <c r="CLS146" s="24"/>
      <c r="CLT146" s="24"/>
      <c r="CLU146" s="24"/>
      <c r="CLV146" s="24"/>
      <c r="CLW146" s="24"/>
      <c r="CLX146" s="24"/>
      <c r="CLY146" s="24"/>
      <c r="CLZ146" s="24"/>
      <c r="CMA146" s="24"/>
      <c r="CMB146" s="24"/>
      <c r="CMC146" s="24"/>
      <c r="CMD146" s="24"/>
      <c r="CME146" s="24"/>
      <c r="CMF146" s="24"/>
      <c r="CMG146" s="24"/>
      <c r="CMH146" s="24"/>
      <c r="CMI146" s="24"/>
      <c r="CMJ146" s="24"/>
      <c r="CMK146" s="24"/>
      <c r="CML146" s="24"/>
      <c r="CMM146" s="24"/>
      <c r="CMN146" s="24"/>
      <c r="CMO146" s="24"/>
      <c r="CMP146" s="24"/>
      <c r="CMQ146" s="24"/>
      <c r="CMR146" s="24"/>
      <c r="CMS146" s="24"/>
      <c r="CMT146" s="24"/>
      <c r="CMU146" s="24"/>
      <c r="CMV146" s="24"/>
      <c r="CMW146" s="24"/>
      <c r="CMX146" s="24"/>
      <c r="CMY146" s="24"/>
      <c r="CMZ146" s="24"/>
      <c r="CNA146" s="24"/>
      <c r="CNB146" s="24"/>
      <c r="CNC146" s="24"/>
      <c r="CND146" s="24"/>
      <c r="CNE146" s="24"/>
      <c r="CNF146" s="24"/>
      <c r="CNG146" s="24"/>
      <c r="CNH146" s="24"/>
      <c r="CNI146" s="24"/>
      <c r="CNJ146" s="24"/>
      <c r="CNK146" s="24"/>
      <c r="CNL146" s="24"/>
      <c r="CNM146" s="24"/>
      <c r="CNN146" s="24"/>
      <c r="CNO146" s="24"/>
      <c r="CNP146" s="24"/>
      <c r="CNQ146" s="24"/>
      <c r="CNR146" s="24"/>
      <c r="CNS146" s="24"/>
      <c r="CNT146" s="24"/>
      <c r="CNU146" s="24"/>
      <c r="CNV146" s="24"/>
      <c r="CNW146" s="24"/>
      <c r="CNX146" s="24"/>
      <c r="CNY146" s="24"/>
      <c r="CNZ146" s="24"/>
      <c r="COA146" s="24"/>
      <c r="COB146" s="24"/>
      <c r="COC146" s="24"/>
      <c r="COD146" s="24"/>
      <c r="COE146" s="24"/>
      <c r="COF146" s="24"/>
      <c r="COG146" s="24"/>
      <c r="COH146" s="24"/>
      <c r="COI146" s="24"/>
      <c r="COJ146" s="24"/>
      <c r="COK146" s="24"/>
      <c r="COL146" s="24"/>
      <c r="COM146" s="24"/>
      <c r="CON146" s="24"/>
      <c r="COO146" s="24"/>
      <c r="COP146" s="24"/>
      <c r="COQ146" s="24"/>
      <c r="COR146" s="24"/>
      <c r="COS146" s="24"/>
      <c r="COT146" s="24"/>
      <c r="COU146" s="24"/>
      <c r="COV146" s="24"/>
      <c r="COW146" s="24"/>
      <c r="COX146" s="24"/>
      <c r="COY146" s="24"/>
      <c r="COZ146" s="24"/>
      <c r="CPA146" s="24"/>
      <c r="CPB146" s="24"/>
      <c r="CPC146" s="24"/>
      <c r="CPD146" s="24"/>
      <c r="CPE146" s="24"/>
      <c r="CPF146" s="24"/>
      <c r="CPG146" s="24"/>
      <c r="CPH146" s="24"/>
      <c r="CPI146" s="24"/>
      <c r="CPJ146" s="24"/>
      <c r="CPK146" s="24"/>
      <c r="CPL146" s="24"/>
      <c r="CPM146" s="24"/>
      <c r="CPN146" s="24"/>
      <c r="CPO146" s="24"/>
      <c r="CPP146" s="24"/>
      <c r="CPQ146" s="24"/>
      <c r="CPR146" s="24"/>
      <c r="CPS146" s="24"/>
      <c r="CPT146" s="24"/>
      <c r="CPU146" s="24"/>
      <c r="CPV146" s="24"/>
      <c r="CPW146" s="24"/>
      <c r="CPX146" s="24"/>
      <c r="CPY146" s="24"/>
      <c r="CPZ146" s="24"/>
      <c r="CQA146" s="24"/>
      <c r="CQB146" s="24"/>
      <c r="CQC146" s="24"/>
      <c r="CQD146" s="24"/>
      <c r="CQE146" s="24"/>
      <c r="CQF146" s="24"/>
      <c r="CQG146" s="24"/>
      <c r="CQH146" s="24"/>
      <c r="CQI146" s="24"/>
      <c r="CQJ146" s="24"/>
      <c r="CQK146" s="24"/>
      <c r="CQL146" s="24"/>
      <c r="CQM146" s="24"/>
      <c r="CQN146" s="24"/>
      <c r="CQO146" s="24"/>
      <c r="CQP146" s="24"/>
      <c r="CQQ146" s="24"/>
      <c r="CQR146" s="24"/>
      <c r="CQS146" s="24"/>
      <c r="CQT146" s="24"/>
      <c r="CQU146" s="24"/>
      <c r="CQV146" s="24"/>
      <c r="CQW146" s="24"/>
      <c r="CQX146" s="24"/>
      <c r="CQY146" s="24"/>
      <c r="CQZ146" s="24"/>
      <c r="CRA146" s="24"/>
      <c r="CRB146" s="24"/>
      <c r="CRC146" s="24"/>
      <c r="CRD146" s="24"/>
      <c r="CRE146" s="24"/>
      <c r="CRF146" s="24"/>
      <c r="CRG146" s="24"/>
      <c r="CRH146" s="24"/>
      <c r="CRI146" s="24"/>
      <c r="CRJ146" s="24"/>
      <c r="CRK146" s="24"/>
      <c r="CRL146" s="24"/>
      <c r="CRM146" s="24"/>
      <c r="CRN146" s="24"/>
      <c r="CRO146" s="24"/>
      <c r="CRP146" s="24"/>
      <c r="CRQ146" s="24"/>
      <c r="CRR146" s="24"/>
      <c r="CRS146" s="24"/>
      <c r="CRT146" s="24"/>
      <c r="CRU146" s="24"/>
      <c r="CRV146" s="24"/>
      <c r="CRW146" s="24"/>
      <c r="CRX146" s="24"/>
      <c r="CRY146" s="24"/>
      <c r="CRZ146" s="24"/>
      <c r="CSA146" s="24"/>
      <c r="CSB146" s="24"/>
      <c r="CSC146" s="24"/>
      <c r="CSD146" s="24"/>
      <c r="CSE146" s="24"/>
      <c r="CSF146" s="24"/>
      <c r="CSG146" s="24"/>
      <c r="CSH146" s="24"/>
      <c r="CSI146" s="24"/>
      <c r="CSJ146" s="24"/>
      <c r="CSK146" s="24"/>
      <c r="CSL146" s="24"/>
      <c r="CSM146" s="24"/>
      <c r="CSN146" s="24"/>
      <c r="CSO146" s="24"/>
      <c r="CSP146" s="24"/>
      <c r="CSQ146" s="24"/>
      <c r="CSR146" s="24"/>
      <c r="CSS146" s="24"/>
      <c r="CST146" s="24"/>
      <c r="CSU146" s="24"/>
      <c r="CSV146" s="24"/>
      <c r="CSW146" s="24"/>
      <c r="CSX146" s="24"/>
      <c r="CSY146" s="24"/>
      <c r="CSZ146" s="24"/>
      <c r="CTA146" s="24"/>
      <c r="CTB146" s="24"/>
      <c r="CTC146" s="24"/>
      <c r="CTD146" s="24"/>
      <c r="CTE146" s="24"/>
      <c r="CTF146" s="24"/>
      <c r="CTG146" s="24"/>
      <c r="CTH146" s="24"/>
      <c r="CTI146" s="24"/>
      <c r="CTJ146" s="24"/>
      <c r="CTK146" s="24"/>
      <c r="CTL146" s="24"/>
      <c r="CTM146" s="24"/>
      <c r="CTN146" s="24"/>
      <c r="CTO146" s="24"/>
      <c r="CTP146" s="24"/>
      <c r="CTQ146" s="24"/>
      <c r="CTR146" s="24"/>
      <c r="CTS146" s="24"/>
      <c r="CTT146" s="24"/>
      <c r="CTU146" s="24"/>
      <c r="CTV146" s="24"/>
      <c r="CTW146" s="24"/>
      <c r="CTX146" s="24"/>
      <c r="CTY146" s="24"/>
      <c r="CTZ146" s="24"/>
      <c r="CUA146" s="24"/>
      <c r="CUB146" s="24"/>
      <c r="CUC146" s="24"/>
      <c r="CUD146" s="24"/>
      <c r="CUE146" s="24"/>
      <c r="CUF146" s="24"/>
      <c r="CUG146" s="24"/>
      <c r="CUH146" s="24"/>
      <c r="CUI146" s="24"/>
      <c r="CUJ146" s="24"/>
      <c r="CUK146" s="24"/>
      <c r="CUL146" s="24"/>
      <c r="CUM146" s="24"/>
      <c r="CUN146" s="24"/>
      <c r="CUO146" s="24"/>
      <c r="CUP146" s="24"/>
      <c r="CUQ146" s="24"/>
      <c r="CUR146" s="24"/>
      <c r="CUS146" s="24"/>
      <c r="CUT146" s="24"/>
      <c r="CUU146" s="24"/>
      <c r="CUV146" s="24"/>
      <c r="CUW146" s="24"/>
      <c r="CUX146" s="24"/>
      <c r="CUY146" s="24"/>
      <c r="CUZ146" s="24"/>
      <c r="CVA146" s="24"/>
      <c r="CVB146" s="24"/>
      <c r="CVC146" s="24"/>
      <c r="CVD146" s="24"/>
      <c r="CVE146" s="24"/>
      <c r="CVF146" s="24"/>
      <c r="CVG146" s="24"/>
      <c r="CVH146" s="24"/>
      <c r="CVI146" s="24"/>
      <c r="CVJ146" s="24"/>
      <c r="CVK146" s="24"/>
      <c r="CVL146" s="24"/>
      <c r="CVM146" s="24"/>
      <c r="CVN146" s="24"/>
      <c r="CVO146" s="24"/>
      <c r="CVP146" s="24"/>
      <c r="CVQ146" s="24"/>
      <c r="CVR146" s="24"/>
      <c r="CVS146" s="24"/>
      <c r="CVT146" s="24"/>
      <c r="CVU146" s="24"/>
      <c r="CVV146" s="24"/>
      <c r="CVW146" s="24"/>
      <c r="CVX146" s="24"/>
      <c r="CVY146" s="24"/>
      <c r="CVZ146" s="24"/>
      <c r="CWA146" s="24"/>
      <c r="CWB146" s="24"/>
      <c r="CWC146" s="24"/>
      <c r="CWD146" s="24"/>
      <c r="CWE146" s="24"/>
      <c r="CWF146" s="24"/>
      <c r="CWG146" s="24"/>
      <c r="CWH146" s="24"/>
      <c r="CWI146" s="24"/>
      <c r="CWJ146" s="24"/>
      <c r="CWK146" s="24"/>
      <c r="CWL146" s="24"/>
      <c r="CWM146" s="24"/>
      <c r="CWN146" s="24"/>
      <c r="CWO146" s="24"/>
      <c r="CWP146" s="24"/>
      <c r="CWQ146" s="24"/>
      <c r="CWR146" s="24"/>
      <c r="CWS146" s="24"/>
      <c r="CWT146" s="24"/>
      <c r="CWU146" s="24"/>
      <c r="CWV146" s="24"/>
      <c r="CWW146" s="24"/>
      <c r="CWX146" s="24"/>
      <c r="CWY146" s="24"/>
      <c r="CWZ146" s="24"/>
      <c r="CXA146" s="24"/>
      <c r="CXB146" s="24"/>
      <c r="CXC146" s="24"/>
      <c r="CXD146" s="24"/>
      <c r="CXE146" s="24"/>
      <c r="CXF146" s="24"/>
      <c r="CXG146" s="24"/>
      <c r="CXH146" s="24"/>
      <c r="CXI146" s="24"/>
      <c r="CXJ146" s="24"/>
      <c r="CXK146" s="24"/>
      <c r="CXL146" s="24"/>
      <c r="CXM146" s="24"/>
      <c r="CXN146" s="24"/>
      <c r="CXO146" s="24"/>
      <c r="CXP146" s="24"/>
      <c r="CXQ146" s="24"/>
      <c r="CXR146" s="24"/>
      <c r="CXS146" s="24"/>
      <c r="CXT146" s="24"/>
      <c r="CXU146" s="24"/>
      <c r="CXV146" s="24"/>
      <c r="CXW146" s="24"/>
      <c r="CXX146" s="24"/>
      <c r="CXY146" s="24"/>
      <c r="CXZ146" s="24"/>
      <c r="CYA146" s="24"/>
      <c r="CYB146" s="24"/>
      <c r="CYC146" s="24"/>
      <c r="CYD146" s="24"/>
      <c r="CYE146" s="24"/>
      <c r="CYF146" s="24"/>
      <c r="CYG146" s="24"/>
      <c r="CYH146" s="24"/>
      <c r="CYI146" s="24"/>
      <c r="CYJ146" s="24"/>
      <c r="CYK146" s="24"/>
      <c r="CYL146" s="24"/>
      <c r="CYM146" s="24"/>
      <c r="CYN146" s="24"/>
      <c r="CYO146" s="24"/>
      <c r="CYP146" s="24"/>
      <c r="CYQ146" s="24"/>
      <c r="CYR146" s="24"/>
      <c r="CYS146" s="24"/>
      <c r="CYT146" s="24"/>
      <c r="CYU146" s="24"/>
      <c r="CYV146" s="24"/>
      <c r="CYW146" s="24"/>
      <c r="CYX146" s="24"/>
      <c r="CYY146" s="24"/>
      <c r="CYZ146" s="24"/>
      <c r="CZA146" s="24"/>
      <c r="CZB146" s="24"/>
      <c r="CZC146" s="24"/>
      <c r="CZD146" s="24"/>
      <c r="CZE146" s="24"/>
      <c r="CZF146" s="24"/>
      <c r="CZG146" s="24"/>
      <c r="CZH146" s="24"/>
      <c r="CZI146" s="24"/>
      <c r="CZJ146" s="24"/>
      <c r="CZK146" s="24"/>
      <c r="CZL146" s="24"/>
      <c r="CZM146" s="24"/>
      <c r="CZN146" s="24"/>
      <c r="CZO146" s="24"/>
      <c r="CZP146" s="24"/>
      <c r="CZQ146" s="24"/>
      <c r="CZR146" s="24"/>
      <c r="CZS146" s="24"/>
      <c r="CZT146" s="24"/>
      <c r="CZU146" s="24"/>
      <c r="CZV146" s="24"/>
      <c r="CZW146" s="24"/>
      <c r="CZX146" s="24"/>
      <c r="CZY146" s="24"/>
      <c r="CZZ146" s="24"/>
      <c r="DAA146" s="24"/>
      <c r="DAB146" s="24"/>
      <c r="DAC146" s="24"/>
      <c r="DAD146" s="24"/>
      <c r="DAE146" s="24"/>
      <c r="DAF146" s="24"/>
      <c r="DAG146" s="24"/>
      <c r="DAH146" s="24"/>
      <c r="DAI146" s="24"/>
      <c r="DAJ146" s="24"/>
      <c r="DAK146" s="24"/>
      <c r="DAL146" s="24"/>
      <c r="DAM146" s="24"/>
      <c r="DAN146" s="24"/>
      <c r="DAO146" s="24"/>
      <c r="DAP146" s="24"/>
      <c r="DAQ146" s="24"/>
      <c r="DAR146" s="24"/>
      <c r="DAS146" s="24"/>
      <c r="DAT146" s="24"/>
      <c r="DAU146" s="24"/>
      <c r="DAV146" s="24"/>
      <c r="DAW146" s="24"/>
      <c r="DAX146" s="24"/>
      <c r="DAY146" s="24"/>
      <c r="DAZ146" s="24"/>
      <c r="DBA146" s="24"/>
      <c r="DBB146" s="24"/>
      <c r="DBC146" s="24"/>
      <c r="DBD146" s="24"/>
      <c r="DBE146" s="24"/>
      <c r="DBF146" s="24"/>
      <c r="DBG146" s="24"/>
      <c r="DBH146" s="24"/>
      <c r="DBI146" s="24"/>
      <c r="DBJ146" s="24"/>
      <c r="DBK146" s="24"/>
      <c r="DBL146" s="24"/>
      <c r="DBM146" s="24"/>
      <c r="DBN146" s="24"/>
      <c r="DBO146" s="24"/>
      <c r="DBP146" s="24"/>
      <c r="DBQ146" s="24"/>
      <c r="DBR146" s="24"/>
      <c r="DBS146" s="24"/>
      <c r="DBT146" s="24"/>
      <c r="DBU146" s="24"/>
      <c r="DBV146" s="24"/>
      <c r="DBW146" s="24"/>
      <c r="DBX146" s="24"/>
      <c r="DBY146" s="24"/>
      <c r="DBZ146" s="24"/>
      <c r="DCA146" s="24"/>
      <c r="DCB146" s="24"/>
      <c r="DCC146" s="24"/>
      <c r="DCD146" s="24"/>
      <c r="DCE146" s="24"/>
      <c r="DCF146" s="24"/>
      <c r="DCG146" s="24"/>
      <c r="DCH146" s="24"/>
      <c r="DCI146" s="24"/>
      <c r="DCJ146" s="24"/>
      <c r="DCK146" s="24"/>
      <c r="DCL146" s="24"/>
      <c r="DCM146" s="24"/>
      <c r="DCN146" s="24"/>
      <c r="DCO146" s="24"/>
      <c r="DCP146" s="24"/>
      <c r="DCQ146" s="24"/>
      <c r="DCR146" s="24"/>
      <c r="DCS146" s="24"/>
      <c r="DCT146" s="24"/>
      <c r="DCU146" s="24"/>
      <c r="DCV146" s="24"/>
      <c r="DCW146" s="24"/>
      <c r="DCX146" s="24"/>
      <c r="DCY146" s="24"/>
      <c r="DCZ146" s="24"/>
      <c r="DDA146" s="24"/>
      <c r="DDB146" s="24"/>
      <c r="DDC146" s="24"/>
      <c r="DDD146" s="24"/>
      <c r="DDE146" s="24"/>
      <c r="DDF146" s="24"/>
      <c r="DDG146" s="24"/>
      <c r="DDH146" s="24"/>
      <c r="DDI146" s="24"/>
      <c r="DDJ146" s="24"/>
      <c r="DDK146" s="24"/>
      <c r="DDL146" s="24"/>
      <c r="DDM146" s="24"/>
      <c r="DDN146" s="24"/>
      <c r="DDO146" s="24"/>
      <c r="DDP146" s="24"/>
      <c r="DDQ146" s="24"/>
      <c r="DDR146" s="24"/>
      <c r="DDS146" s="24"/>
      <c r="DDT146" s="24"/>
      <c r="DDU146" s="24"/>
      <c r="DDV146" s="24"/>
      <c r="DDW146" s="24"/>
      <c r="DDX146" s="24"/>
      <c r="DDY146" s="24"/>
      <c r="DDZ146" s="24"/>
      <c r="DEA146" s="24"/>
      <c r="DEB146" s="24"/>
      <c r="DEC146" s="24"/>
      <c r="DED146" s="24"/>
      <c r="DEE146" s="24"/>
      <c r="DEF146" s="24"/>
      <c r="DEG146" s="24"/>
      <c r="DEH146" s="24"/>
      <c r="DEI146" s="24"/>
      <c r="DEJ146" s="24"/>
      <c r="DEK146" s="24"/>
      <c r="DEL146" s="24"/>
      <c r="DEM146" s="24"/>
      <c r="DEN146" s="24"/>
      <c r="DEO146" s="24"/>
      <c r="DEP146" s="24"/>
      <c r="DEQ146" s="24"/>
      <c r="DER146" s="24"/>
      <c r="DES146" s="24"/>
      <c r="DET146" s="24"/>
      <c r="DEU146" s="24"/>
      <c r="DEV146" s="24"/>
      <c r="DEW146" s="24"/>
      <c r="DEX146" s="24"/>
      <c r="DEY146" s="24"/>
      <c r="DEZ146" s="24"/>
      <c r="DFA146" s="24"/>
      <c r="DFB146" s="24"/>
      <c r="DFC146" s="24"/>
      <c r="DFD146" s="24"/>
      <c r="DFE146" s="24"/>
      <c r="DFF146" s="24"/>
      <c r="DFG146" s="24"/>
      <c r="DFH146" s="24"/>
      <c r="DFI146" s="24"/>
      <c r="DFJ146" s="24"/>
      <c r="DFK146" s="24"/>
      <c r="DFL146" s="24"/>
      <c r="DFM146" s="24"/>
      <c r="DFN146" s="24"/>
      <c r="DFO146" s="24"/>
      <c r="DFP146" s="24"/>
      <c r="DFQ146" s="24"/>
      <c r="DFR146" s="24"/>
      <c r="DFS146" s="24"/>
      <c r="DFT146" s="24"/>
      <c r="DFU146" s="24"/>
      <c r="DFV146" s="24"/>
      <c r="DFW146" s="24"/>
      <c r="DFX146" s="24"/>
      <c r="DFY146" s="24"/>
      <c r="DFZ146" s="24"/>
      <c r="DGA146" s="24"/>
      <c r="DGB146" s="24"/>
      <c r="DGC146" s="24"/>
      <c r="DGD146" s="24"/>
      <c r="DGE146" s="24"/>
      <c r="DGF146" s="24"/>
      <c r="DGG146" s="24"/>
      <c r="DGH146" s="24"/>
      <c r="DGI146" s="24"/>
      <c r="DGJ146" s="24"/>
      <c r="DGK146" s="24"/>
      <c r="DGL146" s="24"/>
      <c r="DGM146" s="24"/>
      <c r="DGN146" s="24"/>
      <c r="DGO146" s="24"/>
      <c r="DGP146" s="24"/>
      <c r="DGQ146" s="24"/>
      <c r="DGR146" s="24"/>
      <c r="DGS146" s="24"/>
      <c r="DGT146" s="24"/>
      <c r="DGU146" s="24"/>
      <c r="DGV146" s="24"/>
      <c r="DGW146" s="24"/>
      <c r="DGX146" s="24"/>
      <c r="DGY146" s="24"/>
      <c r="DGZ146" s="24"/>
      <c r="DHA146" s="24"/>
      <c r="DHB146" s="24"/>
      <c r="DHC146" s="24"/>
      <c r="DHD146" s="24"/>
      <c r="DHE146" s="24"/>
      <c r="DHF146" s="24"/>
      <c r="DHG146" s="24"/>
      <c r="DHH146" s="24"/>
      <c r="DHI146" s="24"/>
      <c r="DHJ146" s="24"/>
      <c r="DHK146" s="24"/>
      <c r="DHL146" s="24"/>
      <c r="DHM146" s="24"/>
      <c r="DHN146" s="24"/>
      <c r="DHO146" s="24"/>
      <c r="DHP146" s="24"/>
      <c r="DHQ146" s="24"/>
      <c r="DHR146" s="24"/>
      <c r="DHS146" s="24"/>
      <c r="DHT146" s="24"/>
      <c r="DHU146" s="24"/>
      <c r="DHV146" s="24"/>
      <c r="DHW146" s="24"/>
      <c r="DHX146" s="24"/>
      <c r="DHY146" s="24"/>
      <c r="DHZ146" s="24"/>
      <c r="DIA146" s="24"/>
      <c r="DIB146" s="24"/>
      <c r="DIC146" s="24"/>
      <c r="DID146" s="24"/>
      <c r="DIE146" s="24"/>
      <c r="DIF146" s="24"/>
      <c r="DIG146" s="24"/>
      <c r="DIH146" s="24"/>
      <c r="DII146" s="24"/>
      <c r="DIJ146" s="24"/>
      <c r="DIK146" s="24"/>
      <c r="DIL146" s="24"/>
      <c r="DIM146" s="24"/>
      <c r="DIN146" s="24"/>
      <c r="DIO146" s="24"/>
      <c r="DIP146" s="24"/>
      <c r="DIQ146" s="24"/>
      <c r="DIR146" s="24"/>
      <c r="DIS146" s="24"/>
      <c r="DIT146" s="24"/>
      <c r="DIU146" s="24"/>
      <c r="DIV146" s="24"/>
      <c r="DIW146" s="24"/>
      <c r="DIX146" s="24"/>
      <c r="DIY146" s="24"/>
      <c r="DIZ146" s="24"/>
      <c r="DJA146" s="24"/>
      <c r="DJB146" s="24"/>
      <c r="DJC146" s="24"/>
      <c r="DJD146" s="24"/>
      <c r="DJE146" s="24"/>
      <c r="DJF146" s="24"/>
      <c r="DJG146" s="24"/>
      <c r="DJH146" s="24"/>
      <c r="DJI146" s="24"/>
      <c r="DJJ146" s="24"/>
      <c r="DJK146" s="24"/>
      <c r="DJL146" s="24"/>
      <c r="DJM146" s="24"/>
      <c r="DJN146" s="24"/>
      <c r="DJO146" s="24"/>
      <c r="DJP146" s="24"/>
      <c r="DJQ146" s="24"/>
      <c r="DJR146" s="24"/>
      <c r="DJS146" s="24"/>
      <c r="DJT146" s="24"/>
      <c r="DJU146" s="24"/>
      <c r="DJV146" s="24"/>
      <c r="DJW146" s="24"/>
      <c r="DJX146" s="24"/>
      <c r="DJY146" s="24"/>
      <c r="DJZ146" s="24"/>
      <c r="DKA146" s="24"/>
      <c r="DKB146" s="24"/>
      <c r="DKC146" s="24"/>
      <c r="DKD146" s="24"/>
      <c r="DKE146" s="24"/>
      <c r="DKF146" s="24"/>
      <c r="DKG146" s="24"/>
      <c r="DKH146" s="24"/>
      <c r="DKI146" s="24"/>
      <c r="DKJ146" s="24"/>
      <c r="DKK146" s="24"/>
      <c r="DKL146" s="24"/>
      <c r="DKM146" s="24"/>
      <c r="DKN146" s="24"/>
      <c r="DKO146" s="24"/>
      <c r="DKP146" s="24"/>
      <c r="DKQ146" s="24"/>
      <c r="DKR146" s="24"/>
      <c r="DKS146" s="24"/>
      <c r="DKT146" s="24"/>
      <c r="DKU146" s="24"/>
      <c r="DKV146" s="24"/>
      <c r="DKW146" s="24"/>
      <c r="DKX146" s="24"/>
      <c r="DKY146" s="24"/>
      <c r="DKZ146" s="24"/>
      <c r="DLA146" s="24"/>
      <c r="DLB146" s="24"/>
      <c r="DLC146" s="24"/>
      <c r="DLD146" s="24"/>
      <c r="DLE146" s="24"/>
      <c r="DLF146" s="24"/>
      <c r="DLG146" s="24"/>
      <c r="DLH146" s="24"/>
      <c r="DLI146" s="24"/>
      <c r="DLJ146" s="24"/>
      <c r="DLK146" s="24"/>
      <c r="DLL146" s="24"/>
      <c r="DLM146" s="24"/>
      <c r="DLN146" s="24"/>
      <c r="DLO146" s="24"/>
      <c r="DLP146" s="24"/>
      <c r="DLQ146" s="24"/>
      <c r="DLR146" s="24"/>
      <c r="DLS146" s="24"/>
      <c r="DLT146" s="24"/>
      <c r="DLU146" s="24"/>
      <c r="DLV146" s="24"/>
      <c r="DLW146" s="24"/>
      <c r="DLX146" s="24"/>
      <c r="DLY146" s="24"/>
      <c r="DLZ146" s="24"/>
      <c r="DMA146" s="24"/>
      <c r="DMB146" s="24"/>
      <c r="DMC146" s="24"/>
      <c r="DMD146" s="24"/>
      <c r="DME146" s="24"/>
      <c r="DMF146" s="24"/>
      <c r="DMG146" s="24"/>
      <c r="DMH146" s="24"/>
      <c r="DMI146" s="24"/>
      <c r="DMJ146" s="24"/>
      <c r="DMK146" s="24"/>
      <c r="DML146" s="24"/>
      <c r="DMM146" s="24"/>
      <c r="DMN146" s="24"/>
      <c r="DMO146" s="24"/>
      <c r="DMP146" s="24"/>
      <c r="DMQ146" s="24"/>
      <c r="DMR146" s="24"/>
      <c r="DMS146" s="24"/>
      <c r="DMT146" s="24"/>
      <c r="DMU146" s="24"/>
      <c r="DMV146" s="24"/>
      <c r="DMW146" s="24"/>
      <c r="DMX146" s="24"/>
      <c r="DMY146" s="24"/>
      <c r="DMZ146" s="24"/>
      <c r="DNA146" s="24"/>
      <c r="DNB146" s="24"/>
      <c r="DNC146" s="24"/>
      <c r="DND146" s="24"/>
      <c r="DNE146" s="24"/>
      <c r="DNF146" s="24"/>
      <c r="DNG146" s="24"/>
      <c r="DNH146" s="24"/>
      <c r="DNI146" s="24"/>
      <c r="DNJ146" s="24"/>
      <c r="DNK146" s="24"/>
      <c r="DNL146" s="24"/>
      <c r="DNM146" s="24"/>
      <c r="DNN146" s="24"/>
      <c r="DNO146" s="24"/>
      <c r="DNP146" s="24"/>
      <c r="DNQ146" s="24"/>
      <c r="DNR146" s="24"/>
      <c r="DNS146" s="24"/>
      <c r="DNT146" s="24"/>
      <c r="DNU146" s="24"/>
      <c r="DNV146" s="24"/>
      <c r="DNW146" s="24"/>
      <c r="DNX146" s="24"/>
      <c r="DNY146" s="24"/>
      <c r="DNZ146" s="24"/>
      <c r="DOA146" s="24"/>
      <c r="DOB146" s="24"/>
      <c r="DOC146" s="24"/>
      <c r="DOD146" s="24"/>
      <c r="DOE146" s="24"/>
      <c r="DOF146" s="24"/>
      <c r="DOG146" s="24"/>
      <c r="DOH146" s="24"/>
      <c r="DOI146" s="24"/>
      <c r="DOJ146" s="24"/>
      <c r="DOK146" s="24"/>
      <c r="DOL146" s="24"/>
      <c r="DOM146" s="24"/>
      <c r="DON146" s="24"/>
      <c r="DOO146" s="24"/>
      <c r="DOP146" s="24"/>
      <c r="DOQ146" s="24"/>
      <c r="DOR146" s="24"/>
      <c r="DOS146" s="24"/>
      <c r="DOT146" s="24"/>
      <c r="DOU146" s="24"/>
      <c r="DOV146" s="24"/>
      <c r="DOW146" s="24"/>
      <c r="DOX146" s="24"/>
      <c r="DOY146" s="24"/>
      <c r="DOZ146" s="24"/>
      <c r="DPA146" s="24"/>
      <c r="DPB146" s="24"/>
      <c r="DPC146" s="24"/>
      <c r="DPD146" s="24"/>
      <c r="DPE146" s="24"/>
      <c r="DPF146" s="24"/>
      <c r="DPG146" s="24"/>
      <c r="DPH146" s="24"/>
      <c r="DPI146" s="24"/>
      <c r="DPJ146" s="24"/>
      <c r="DPK146" s="24"/>
      <c r="DPL146" s="24"/>
      <c r="DPM146" s="24"/>
      <c r="DPN146" s="24"/>
      <c r="DPO146" s="24"/>
      <c r="DPP146" s="24"/>
      <c r="DPQ146" s="24"/>
      <c r="DPR146" s="24"/>
      <c r="DPS146" s="24"/>
      <c r="DPT146" s="24"/>
      <c r="DPU146" s="24"/>
      <c r="DPV146" s="24"/>
      <c r="DPW146" s="24"/>
      <c r="DPX146" s="24"/>
      <c r="DPY146" s="24"/>
      <c r="DPZ146" s="24"/>
      <c r="DQA146" s="24"/>
      <c r="DQB146" s="24"/>
      <c r="DQC146" s="24"/>
      <c r="DQD146" s="24"/>
      <c r="DQE146" s="24"/>
      <c r="DQF146" s="24"/>
      <c r="DQG146" s="24"/>
      <c r="DQH146" s="24"/>
      <c r="DQI146" s="24"/>
      <c r="DQJ146" s="24"/>
      <c r="DQK146" s="24"/>
      <c r="DQL146" s="24"/>
      <c r="DQM146" s="24"/>
      <c r="DQN146" s="24"/>
      <c r="DQO146" s="24"/>
      <c r="DQP146" s="24"/>
      <c r="DQQ146" s="24"/>
      <c r="DQR146" s="24"/>
      <c r="DQS146" s="24"/>
      <c r="DQT146" s="24"/>
      <c r="DQU146" s="24"/>
      <c r="DQV146" s="24"/>
      <c r="DQW146" s="24"/>
      <c r="DQX146" s="24"/>
      <c r="DQY146" s="24"/>
      <c r="DQZ146" s="24"/>
      <c r="DRA146" s="24"/>
      <c r="DRB146" s="24"/>
      <c r="DRC146" s="24"/>
      <c r="DRD146" s="24"/>
      <c r="DRE146" s="24"/>
      <c r="DRF146" s="24"/>
      <c r="DRG146" s="24"/>
      <c r="DRH146" s="24"/>
      <c r="DRI146" s="24"/>
      <c r="DRJ146" s="24"/>
      <c r="DRK146" s="24"/>
      <c r="DRL146" s="24"/>
      <c r="DRM146" s="24"/>
      <c r="DRN146" s="24"/>
      <c r="DRO146" s="24"/>
      <c r="DRP146" s="24"/>
      <c r="DRQ146" s="24"/>
      <c r="DRR146" s="24"/>
      <c r="DRS146" s="24"/>
      <c r="DRT146" s="24"/>
      <c r="DRU146" s="24"/>
      <c r="DRV146" s="24"/>
      <c r="DRW146" s="24"/>
      <c r="DRX146" s="24"/>
      <c r="DRY146" s="24"/>
      <c r="DRZ146" s="24"/>
      <c r="DSA146" s="24"/>
      <c r="DSB146" s="24"/>
      <c r="DSC146" s="24"/>
      <c r="DSD146" s="24"/>
      <c r="DSE146" s="24"/>
      <c r="DSF146" s="24"/>
      <c r="DSG146" s="24"/>
      <c r="DSH146" s="24"/>
      <c r="DSI146" s="24"/>
      <c r="DSJ146" s="24"/>
      <c r="DSK146" s="24"/>
      <c r="DSL146" s="24"/>
      <c r="DSM146" s="24"/>
      <c r="DSN146" s="24"/>
      <c r="DSO146" s="24"/>
      <c r="DSP146" s="24"/>
      <c r="DSQ146" s="24"/>
      <c r="DSR146" s="24"/>
      <c r="DSS146" s="24"/>
      <c r="DST146" s="24"/>
      <c r="DSU146" s="24"/>
      <c r="DSV146" s="24"/>
      <c r="DSW146" s="24"/>
      <c r="DSX146" s="24"/>
      <c r="DSY146" s="24"/>
      <c r="DSZ146" s="24"/>
      <c r="DTA146" s="24"/>
      <c r="DTB146" s="24"/>
      <c r="DTC146" s="24"/>
      <c r="DTD146" s="24"/>
      <c r="DTE146" s="24"/>
      <c r="DTF146" s="24"/>
      <c r="DTG146" s="24"/>
      <c r="DTH146" s="24"/>
      <c r="DTI146" s="24"/>
      <c r="DTJ146" s="24"/>
      <c r="DTK146" s="24"/>
      <c r="DTL146" s="24"/>
      <c r="DTM146" s="24"/>
      <c r="DTN146" s="24"/>
      <c r="DTO146" s="24"/>
      <c r="DTP146" s="24"/>
      <c r="DTQ146" s="24"/>
      <c r="DTR146" s="24"/>
      <c r="DTS146" s="24"/>
      <c r="DTT146" s="24"/>
      <c r="DTU146" s="24"/>
      <c r="DTV146" s="24"/>
      <c r="DTW146" s="24"/>
      <c r="DTX146" s="24"/>
      <c r="DTY146" s="24"/>
      <c r="DTZ146" s="24"/>
      <c r="DUA146" s="24"/>
      <c r="DUB146" s="24"/>
      <c r="DUC146" s="24"/>
      <c r="DUD146" s="24"/>
      <c r="DUE146" s="24"/>
      <c r="DUF146" s="24"/>
      <c r="DUG146" s="24"/>
      <c r="DUH146" s="24"/>
      <c r="DUI146" s="24"/>
      <c r="DUJ146" s="24"/>
      <c r="DUK146" s="24"/>
      <c r="DUL146" s="24"/>
      <c r="DUM146" s="24"/>
      <c r="DUN146" s="24"/>
      <c r="DUO146" s="24"/>
      <c r="DUP146" s="24"/>
      <c r="DUQ146" s="24"/>
      <c r="DUR146" s="24"/>
      <c r="DUS146" s="24"/>
      <c r="DUT146" s="24"/>
      <c r="DUU146" s="24"/>
      <c r="DUV146" s="24"/>
      <c r="DUW146" s="24"/>
      <c r="DUX146" s="24"/>
      <c r="DUY146" s="24"/>
      <c r="DUZ146" s="24"/>
      <c r="DVA146" s="24"/>
      <c r="DVB146" s="24"/>
      <c r="DVC146" s="24"/>
      <c r="DVD146" s="24"/>
      <c r="DVE146" s="24"/>
      <c r="DVF146" s="24"/>
      <c r="DVG146" s="24"/>
      <c r="DVH146" s="24"/>
      <c r="DVI146" s="24"/>
      <c r="DVJ146" s="24"/>
      <c r="DVK146" s="24"/>
      <c r="DVL146" s="24"/>
      <c r="DVM146" s="24"/>
      <c r="DVN146" s="24"/>
      <c r="DVO146" s="24"/>
      <c r="DVP146" s="24"/>
      <c r="DVQ146" s="24"/>
      <c r="DVR146" s="24"/>
      <c r="DVS146" s="24"/>
      <c r="DVT146" s="24"/>
      <c r="DVU146" s="24"/>
      <c r="DVV146" s="24"/>
      <c r="DVW146" s="24"/>
      <c r="DVX146" s="24"/>
      <c r="DVY146" s="24"/>
      <c r="DVZ146" s="24"/>
      <c r="DWA146" s="24"/>
      <c r="DWB146" s="24"/>
      <c r="DWC146" s="24"/>
      <c r="DWD146" s="24"/>
      <c r="DWE146" s="24"/>
      <c r="DWF146" s="24"/>
      <c r="DWG146" s="24"/>
      <c r="DWH146" s="24"/>
      <c r="DWI146" s="24"/>
      <c r="DWJ146" s="24"/>
      <c r="DWK146" s="24"/>
      <c r="DWL146" s="24"/>
      <c r="DWM146" s="24"/>
      <c r="DWN146" s="24"/>
      <c r="DWO146" s="24"/>
      <c r="DWP146" s="24"/>
      <c r="DWQ146" s="24"/>
      <c r="DWR146" s="24"/>
      <c r="DWS146" s="24"/>
      <c r="DWT146" s="24"/>
      <c r="DWU146" s="24"/>
      <c r="DWV146" s="24"/>
      <c r="DWW146" s="24"/>
      <c r="DWX146" s="24"/>
      <c r="DWY146" s="24"/>
      <c r="DWZ146" s="24"/>
      <c r="DXA146" s="24"/>
      <c r="DXB146" s="24"/>
      <c r="DXC146" s="24"/>
      <c r="DXD146" s="24"/>
      <c r="DXE146" s="24"/>
      <c r="DXF146" s="24"/>
      <c r="DXG146" s="24"/>
      <c r="DXH146" s="24"/>
      <c r="DXI146" s="24"/>
      <c r="DXJ146" s="24"/>
      <c r="DXK146" s="24"/>
      <c r="DXL146" s="24"/>
      <c r="DXM146" s="24"/>
      <c r="DXN146" s="24"/>
      <c r="DXO146" s="24"/>
      <c r="DXP146" s="24"/>
      <c r="DXQ146" s="24"/>
      <c r="DXR146" s="24"/>
      <c r="DXS146" s="24"/>
      <c r="DXT146" s="24"/>
      <c r="DXU146" s="24"/>
      <c r="DXV146" s="24"/>
      <c r="DXW146" s="24"/>
      <c r="DXX146" s="24"/>
      <c r="DXY146" s="24"/>
      <c r="DXZ146" s="24"/>
      <c r="DYA146" s="24"/>
      <c r="DYB146" s="24"/>
      <c r="DYC146" s="24"/>
      <c r="DYD146" s="24"/>
      <c r="DYE146" s="24"/>
      <c r="DYF146" s="24"/>
      <c r="DYG146" s="24"/>
      <c r="DYH146" s="24"/>
      <c r="DYI146" s="24"/>
      <c r="DYJ146" s="24"/>
      <c r="DYK146" s="24"/>
      <c r="DYL146" s="24"/>
      <c r="DYM146" s="24"/>
      <c r="DYN146" s="24"/>
      <c r="DYO146" s="24"/>
      <c r="DYP146" s="24"/>
      <c r="DYQ146" s="24"/>
      <c r="DYR146" s="24"/>
      <c r="DYS146" s="24"/>
      <c r="DYT146" s="24"/>
      <c r="DYU146" s="24"/>
      <c r="DYV146" s="24"/>
      <c r="DYW146" s="24"/>
      <c r="DYX146" s="24"/>
      <c r="DYY146" s="24"/>
      <c r="DYZ146" s="24"/>
      <c r="DZA146" s="24"/>
      <c r="DZB146" s="24"/>
      <c r="DZC146" s="24"/>
      <c r="DZD146" s="24"/>
      <c r="DZE146" s="24"/>
      <c r="DZF146" s="24"/>
      <c r="DZG146" s="24"/>
      <c r="DZH146" s="24"/>
      <c r="DZI146" s="24"/>
      <c r="DZJ146" s="24"/>
      <c r="DZK146" s="24"/>
      <c r="DZL146" s="24"/>
      <c r="DZM146" s="24"/>
      <c r="DZN146" s="24"/>
      <c r="DZO146" s="24"/>
      <c r="DZP146" s="24"/>
      <c r="DZQ146" s="24"/>
      <c r="DZR146" s="24"/>
      <c r="DZS146" s="24"/>
      <c r="DZT146" s="24"/>
      <c r="DZU146" s="24"/>
      <c r="DZV146" s="24"/>
      <c r="DZW146" s="24"/>
      <c r="DZX146" s="24"/>
      <c r="DZY146" s="24"/>
      <c r="DZZ146" s="24"/>
      <c r="EAA146" s="24"/>
      <c r="EAB146" s="24"/>
      <c r="EAC146" s="24"/>
      <c r="EAD146" s="24"/>
      <c r="EAE146" s="24"/>
      <c r="EAF146" s="24"/>
      <c r="EAG146" s="24"/>
      <c r="EAH146" s="24"/>
      <c r="EAI146" s="24"/>
      <c r="EAJ146" s="24"/>
      <c r="EAK146" s="24"/>
      <c r="EAL146" s="24"/>
      <c r="EAM146" s="24"/>
      <c r="EAN146" s="24"/>
      <c r="EAO146" s="24"/>
      <c r="EAP146" s="24"/>
      <c r="EAQ146" s="24"/>
      <c r="EAR146" s="24"/>
      <c r="EAS146" s="24"/>
      <c r="EAT146" s="24"/>
      <c r="EAU146" s="24"/>
      <c r="EAV146" s="24"/>
      <c r="EAW146" s="24"/>
      <c r="EAX146" s="24"/>
      <c r="EAY146" s="24"/>
      <c r="EAZ146" s="24"/>
      <c r="EBA146" s="24"/>
      <c r="EBB146" s="24"/>
      <c r="EBC146" s="24"/>
      <c r="EBD146" s="24"/>
      <c r="EBE146" s="24"/>
      <c r="EBF146" s="24"/>
      <c r="EBG146" s="24"/>
      <c r="EBH146" s="24"/>
      <c r="EBI146" s="24"/>
      <c r="EBJ146" s="24"/>
      <c r="EBK146" s="24"/>
      <c r="EBL146" s="24"/>
      <c r="EBM146" s="24"/>
      <c r="EBN146" s="24"/>
      <c r="EBO146" s="24"/>
      <c r="EBP146" s="24"/>
      <c r="EBQ146" s="24"/>
      <c r="EBR146" s="24"/>
      <c r="EBS146" s="24"/>
      <c r="EBT146" s="24"/>
      <c r="EBU146" s="24"/>
      <c r="EBV146" s="24"/>
      <c r="EBW146" s="24"/>
      <c r="EBX146" s="24"/>
      <c r="EBY146" s="24"/>
      <c r="EBZ146" s="24"/>
      <c r="ECA146" s="24"/>
      <c r="ECB146" s="24"/>
      <c r="ECC146" s="24"/>
      <c r="ECD146" s="24"/>
      <c r="ECE146" s="24"/>
      <c r="ECF146" s="24"/>
      <c r="ECG146" s="24"/>
      <c r="ECH146" s="24"/>
      <c r="ECI146" s="24"/>
      <c r="ECJ146" s="24"/>
      <c r="ECK146" s="24"/>
      <c r="ECL146" s="24"/>
      <c r="ECM146" s="24"/>
      <c r="ECN146" s="24"/>
      <c r="ECO146" s="24"/>
      <c r="ECP146" s="24"/>
      <c r="ECQ146" s="24"/>
      <c r="ECR146" s="24"/>
      <c r="ECS146" s="24"/>
      <c r="ECT146" s="24"/>
      <c r="ECU146" s="24"/>
      <c r="ECV146" s="24"/>
      <c r="ECW146" s="24"/>
      <c r="ECX146" s="24"/>
      <c r="ECY146" s="24"/>
      <c r="ECZ146" s="24"/>
      <c r="EDA146" s="24"/>
      <c r="EDB146" s="24"/>
      <c r="EDC146" s="24"/>
      <c r="EDD146" s="24"/>
      <c r="EDE146" s="24"/>
      <c r="EDF146" s="24"/>
      <c r="EDG146" s="24"/>
      <c r="EDH146" s="24"/>
      <c r="EDI146" s="24"/>
      <c r="EDJ146" s="24"/>
      <c r="EDK146" s="24"/>
      <c r="EDL146" s="24"/>
      <c r="EDM146" s="24"/>
      <c r="EDN146" s="24"/>
      <c r="EDO146" s="24"/>
      <c r="EDP146" s="24"/>
      <c r="EDQ146" s="24"/>
      <c r="EDR146" s="24"/>
      <c r="EDS146" s="24"/>
      <c r="EDT146" s="24"/>
      <c r="EDU146" s="24"/>
      <c r="EDV146" s="24"/>
      <c r="EDW146" s="24"/>
      <c r="EDX146" s="24"/>
      <c r="EDY146" s="24"/>
      <c r="EDZ146" s="24"/>
      <c r="EEA146" s="24"/>
      <c r="EEB146" s="24"/>
      <c r="EEC146" s="24"/>
      <c r="EED146" s="24"/>
      <c r="EEE146" s="24"/>
      <c r="EEF146" s="24"/>
      <c r="EEG146" s="24"/>
      <c r="EEH146" s="24"/>
      <c r="EEI146" s="24"/>
      <c r="EEJ146" s="24"/>
      <c r="EEK146" s="24"/>
      <c r="EEL146" s="24"/>
      <c r="EEM146" s="24"/>
      <c r="EEN146" s="24"/>
      <c r="EEO146" s="24"/>
      <c r="EEP146" s="24"/>
      <c r="EEQ146" s="24"/>
      <c r="EER146" s="24"/>
      <c r="EES146" s="24"/>
      <c r="EET146" s="24"/>
      <c r="EEU146" s="24"/>
      <c r="EEV146" s="24"/>
      <c r="EEW146" s="24"/>
      <c r="EEX146" s="24"/>
      <c r="EEY146" s="24"/>
      <c r="EEZ146" s="24"/>
      <c r="EFA146" s="24"/>
      <c r="EFB146" s="24"/>
      <c r="EFC146" s="24"/>
      <c r="EFD146" s="24"/>
      <c r="EFE146" s="24"/>
      <c r="EFF146" s="24"/>
      <c r="EFG146" s="24"/>
      <c r="EFH146" s="24"/>
      <c r="EFI146" s="24"/>
      <c r="EFJ146" s="24"/>
      <c r="EFK146" s="24"/>
      <c r="EFL146" s="24"/>
      <c r="EFM146" s="24"/>
      <c r="EFN146" s="24"/>
      <c r="EFO146" s="24"/>
      <c r="EFP146" s="24"/>
      <c r="EFQ146" s="24"/>
      <c r="EFR146" s="24"/>
      <c r="EFS146" s="24"/>
      <c r="EFT146" s="24"/>
      <c r="EFU146" s="24"/>
      <c r="EFV146" s="24"/>
      <c r="EFW146" s="24"/>
      <c r="EFX146" s="24"/>
      <c r="EFY146" s="24"/>
      <c r="EFZ146" s="24"/>
      <c r="EGA146" s="24"/>
      <c r="EGB146" s="24"/>
      <c r="EGC146" s="24"/>
      <c r="EGD146" s="24"/>
      <c r="EGE146" s="24"/>
      <c r="EGF146" s="24"/>
      <c r="EGG146" s="24"/>
      <c r="EGH146" s="24"/>
      <c r="EGI146" s="24"/>
      <c r="EGJ146" s="24"/>
      <c r="EGK146" s="24"/>
      <c r="EGL146" s="24"/>
      <c r="EGM146" s="24"/>
      <c r="EGN146" s="24"/>
      <c r="EGO146" s="24"/>
      <c r="EGP146" s="24"/>
      <c r="EGQ146" s="24"/>
      <c r="EGR146" s="24"/>
      <c r="EGS146" s="24"/>
      <c r="EGT146" s="24"/>
      <c r="EGU146" s="24"/>
      <c r="EGV146" s="24"/>
      <c r="EGW146" s="24"/>
      <c r="EGX146" s="24"/>
      <c r="EGY146" s="24"/>
      <c r="EGZ146" s="24"/>
      <c r="EHA146" s="24"/>
      <c r="EHB146" s="24"/>
      <c r="EHC146" s="24"/>
      <c r="EHD146" s="24"/>
      <c r="EHE146" s="24"/>
      <c r="EHF146" s="24"/>
      <c r="EHG146" s="24"/>
      <c r="EHH146" s="24"/>
      <c r="EHI146" s="24"/>
      <c r="EHJ146" s="24"/>
      <c r="EHK146" s="24"/>
      <c r="EHL146" s="24"/>
      <c r="EHM146" s="24"/>
      <c r="EHN146" s="24"/>
      <c r="EHO146" s="24"/>
      <c r="EHP146" s="24"/>
      <c r="EHQ146" s="24"/>
      <c r="EHR146" s="24"/>
      <c r="EHS146" s="24"/>
      <c r="EHT146" s="24"/>
      <c r="EHU146" s="24"/>
      <c r="EHV146" s="24"/>
      <c r="EHW146" s="24"/>
      <c r="EHX146" s="24"/>
      <c r="EHY146" s="24"/>
      <c r="EHZ146" s="24"/>
      <c r="EIA146" s="24"/>
      <c r="EIB146" s="24"/>
      <c r="EIC146" s="24"/>
      <c r="EID146" s="24"/>
      <c r="EIE146" s="24"/>
      <c r="EIF146" s="24"/>
      <c r="EIG146" s="24"/>
      <c r="EIH146" s="24"/>
      <c r="EII146" s="24"/>
      <c r="EIJ146" s="24"/>
      <c r="EIK146" s="24"/>
      <c r="EIL146" s="24"/>
      <c r="EIM146" s="24"/>
      <c r="EIN146" s="24"/>
      <c r="EIO146" s="24"/>
      <c r="EIP146" s="24"/>
      <c r="EIQ146" s="24"/>
      <c r="EIR146" s="24"/>
      <c r="EIS146" s="24"/>
      <c r="EIT146" s="24"/>
      <c r="EIU146" s="24"/>
      <c r="EIV146" s="24"/>
      <c r="EIW146" s="24"/>
      <c r="EIX146" s="24"/>
      <c r="EIY146" s="24"/>
      <c r="EIZ146" s="24"/>
      <c r="EJA146" s="24"/>
      <c r="EJB146" s="24"/>
      <c r="EJC146" s="24"/>
      <c r="EJD146" s="24"/>
      <c r="EJE146" s="24"/>
      <c r="EJF146" s="24"/>
      <c r="EJG146" s="24"/>
      <c r="EJH146" s="24"/>
      <c r="EJI146" s="24"/>
      <c r="EJJ146" s="24"/>
      <c r="EJK146" s="24"/>
      <c r="EJL146" s="24"/>
      <c r="EJM146" s="24"/>
      <c r="EJN146" s="24"/>
      <c r="EJO146" s="24"/>
      <c r="EJP146" s="24"/>
      <c r="EJQ146" s="24"/>
      <c r="EJR146" s="24"/>
      <c r="EJS146" s="24"/>
      <c r="EJT146" s="24"/>
      <c r="EJU146" s="24"/>
      <c r="EJV146" s="24"/>
      <c r="EJW146" s="24"/>
      <c r="EJX146" s="24"/>
      <c r="EJY146" s="24"/>
      <c r="EJZ146" s="24"/>
      <c r="EKA146" s="24"/>
      <c r="EKB146" s="24"/>
      <c r="EKC146" s="24"/>
      <c r="EKD146" s="24"/>
      <c r="EKE146" s="24"/>
      <c r="EKF146" s="24"/>
      <c r="EKG146" s="24"/>
      <c r="EKH146" s="24"/>
      <c r="EKI146" s="24"/>
      <c r="EKJ146" s="24"/>
      <c r="EKK146" s="24"/>
      <c r="EKL146" s="24"/>
      <c r="EKM146" s="24"/>
      <c r="EKN146" s="24"/>
      <c r="EKO146" s="24"/>
      <c r="EKP146" s="24"/>
      <c r="EKQ146" s="24"/>
      <c r="EKR146" s="24"/>
      <c r="EKS146" s="24"/>
      <c r="EKT146" s="24"/>
      <c r="EKU146" s="24"/>
      <c r="EKV146" s="24"/>
      <c r="EKW146" s="24"/>
      <c r="EKX146" s="24"/>
      <c r="EKY146" s="24"/>
      <c r="EKZ146" s="24"/>
      <c r="ELA146" s="24"/>
      <c r="ELB146" s="24"/>
      <c r="ELC146" s="24"/>
      <c r="ELD146" s="24"/>
      <c r="ELE146" s="24"/>
      <c r="ELF146" s="24"/>
      <c r="ELG146" s="24"/>
      <c r="ELH146" s="24"/>
      <c r="ELI146" s="24"/>
      <c r="ELJ146" s="24"/>
      <c r="ELK146" s="24"/>
      <c r="ELL146" s="24"/>
      <c r="ELM146" s="24"/>
      <c r="ELN146" s="24"/>
      <c r="ELO146" s="24"/>
      <c r="ELP146" s="24"/>
      <c r="ELQ146" s="24"/>
      <c r="ELR146" s="24"/>
      <c r="ELS146" s="24"/>
      <c r="ELT146" s="24"/>
      <c r="ELU146" s="24"/>
      <c r="ELV146" s="24"/>
      <c r="ELW146" s="24"/>
      <c r="ELX146" s="24"/>
      <c r="ELY146" s="24"/>
      <c r="ELZ146" s="24"/>
      <c r="EMA146" s="24"/>
      <c r="EMB146" s="24"/>
      <c r="EMC146" s="24"/>
      <c r="EMD146" s="24"/>
      <c r="EME146" s="24"/>
      <c r="EMF146" s="24"/>
      <c r="EMG146" s="24"/>
      <c r="EMH146" s="24"/>
      <c r="EMI146" s="24"/>
      <c r="EMJ146" s="24"/>
      <c r="EMK146" s="24"/>
      <c r="EML146" s="24"/>
      <c r="EMM146" s="24"/>
      <c r="EMN146" s="24"/>
      <c r="EMO146" s="24"/>
      <c r="EMP146" s="24"/>
      <c r="EMQ146" s="24"/>
      <c r="EMR146" s="24"/>
      <c r="EMS146" s="24"/>
      <c r="EMT146" s="24"/>
      <c r="EMU146" s="24"/>
      <c r="EMV146" s="24"/>
      <c r="EMW146" s="24"/>
      <c r="EMX146" s="24"/>
      <c r="EMY146" s="24"/>
      <c r="EMZ146" s="24"/>
      <c r="ENA146" s="24"/>
      <c r="ENB146" s="24"/>
      <c r="ENC146" s="24"/>
      <c r="END146" s="24"/>
      <c r="ENE146" s="24"/>
      <c r="ENF146" s="24"/>
      <c r="ENG146" s="24"/>
      <c r="ENH146" s="24"/>
      <c r="ENI146" s="24"/>
      <c r="ENJ146" s="24"/>
      <c r="ENK146" s="24"/>
      <c r="ENL146" s="24"/>
      <c r="ENM146" s="24"/>
      <c r="ENN146" s="24"/>
      <c r="ENO146" s="24"/>
      <c r="ENP146" s="24"/>
      <c r="ENQ146" s="24"/>
      <c r="ENR146" s="24"/>
      <c r="ENS146" s="24"/>
      <c r="ENT146" s="24"/>
      <c r="ENU146" s="24"/>
      <c r="ENV146" s="24"/>
      <c r="ENW146" s="24"/>
      <c r="ENX146" s="24"/>
      <c r="ENY146" s="24"/>
      <c r="ENZ146" s="24"/>
      <c r="EOA146" s="24"/>
      <c r="EOB146" s="24"/>
      <c r="EOC146" s="24"/>
      <c r="EOD146" s="24"/>
      <c r="EOE146" s="24"/>
      <c r="EOF146" s="24"/>
      <c r="EOG146" s="24"/>
      <c r="EOH146" s="24"/>
      <c r="EOI146" s="24"/>
      <c r="EOJ146" s="24"/>
      <c r="EOK146" s="24"/>
      <c r="EOL146" s="24"/>
      <c r="EOM146" s="24"/>
      <c r="EON146" s="24"/>
      <c r="EOO146" s="24"/>
      <c r="EOP146" s="24"/>
      <c r="EOQ146" s="24"/>
      <c r="EOR146" s="24"/>
      <c r="EOS146" s="24"/>
      <c r="EOT146" s="24"/>
      <c r="EOU146" s="24"/>
      <c r="EOV146" s="24"/>
      <c r="EOW146" s="24"/>
      <c r="EOX146" s="24"/>
      <c r="EOY146" s="24"/>
      <c r="EOZ146" s="24"/>
      <c r="EPA146" s="24"/>
      <c r="EPB146" s="24"/>
      <c r="EPC146" s="24"/>
      <c r="EPD146" s="24"/>
      <c r="EPE146" s="24"/>
      <c r="EPF146" s="24"/>
      <c r="EPG146" s="24"/>
      <c r="EPH146" s="24"/>
      <c r="EPI146" s="24"/>
      <c r="EPJ146" s="24"/>
      <c r="EPK146" s="24"/>
      <c r="EPL146" s="24"/>
      <c r="EPM146" s="24"/>
      <c r="EPN146" s="24"/>
      <c r="EPO146" s="24"/>
      <c r="EPP146" s="24"/>
      <c r="EPQ146" s="24"/>
      <c r="EPR146" s="24"/>
      <c r="EPS146" s="24"/>
      <c r="EPT146" s="24"/>
      <c r="EPU146" s="24"/>
      <c r="EPV146" s="24"/>
      <c r="EPW146" s="24"/>
      <c r="EPX146" s="24"/>
      <c r="EPY146" s="24"/>
      <c r="EPZ146" s="24"/>
      <c r="EQA146" s="24"/>
      <c r="EQB146" s="24"/>
      <c r="EQC146" s="24"/>
      <c r="EQD146" s="24"/>
      <c r="EQE146" s="24"/>
      <c r="EQF146" s="24"/>
      <c r="EQG146" s="24"/>
      <c r="EQH146" s="24"/>
      <c r="EQI146" s="24"/>
      <c r="EQJ146" s="24"/>
      <c r="EQK146" s="24"/>
      <c r="EQL146" s="24"/>
      <c r="EQM146" s="24"/>
      <c r="EQN146" s="24"/>
      <c r="EQO146" s="24"/>
      <c r="EQP146" s="24"/>
      <c r="EQQ146" s="24"/>
      <c r="EQR146" s="24"/>
      <c r="EQS146" s="24"/>
      <c r="EQT146" s="24"/>
      <c r="EQU146" s="24"/>
      <c r="EQV146" s="24"/>
      <c r="EQW146" s="24"/>
      <c r="EQX146" s="24"/>
      <c r="EQY146" s="24"/>
      <c r="EQZ146" s="24"/>
      <c r="ERA146" s="24"/>
      <c r="ERB146" s="24"/>
      <c r="ERC146" s="24"/>
      <c r="ERD146" s="24"/>
      <c r="ERE146" s="24"/>
      <c r="ERF146" s="24"/>
      <c r="ERG146" s="24"/>
      <c r="ERH146" s="24"/>
      <c r="ERI146" s="24"/>
      <c r="ERJ146" s="24"/>
      <c r="ERK146" s="24"/>
      <c r="ERL146" s="24"/>
      <c r="ERM146" s="24"/>
      <c r="ERN146" s="24"/>
      <c r="ERO146" s="24"/>
      <c r="ERP146" s="24"/>
      <c r="ERQ146" s="24"/>
      <c r="ERR146" s="24"/>
      <c r="ERS146" s="24"/>
      <c r="ERT146" s="24"/>
      <c r="ERU146" s="24"/>
      <c r="ERV146" s="24"/>
      <c r="ERW146" s="24"/>
      <c r="ERX146" s="24"/>
      <c r="ERY146" s="24"/>
      <c r="ERZ146" s="24"/>
      <c r="ESA146" s="24"/>
      <c r="ESB146" s="24"/>
      <c r="ESC146" s="24"/>
      <c r="ESD146" s="24"/>
      <c r="ESE146" s="24"/>
      <c r="ESF146" s="24"/>
      <c r="ESG146" s="24"/>
      <c r="ESH146" s="24"/>
      <c r="ESI146" s="24"/>
      <c r="ESJ146" s="24"/>
      <c r="ESK146" s="24"/>
      <c r="ESL146" s="24"/>
      <c r="ESM146" s="24"/>
      <c r="ESN146" s="24"/>
      <c r="ESO146" s="24"/>
      <c r="ESP146" s="24"/>
      <c r="ESQ146" s="24"/>
      <c r="ESR146" s="24"/>
      <c r="ESS146" s="24"/>
      <c r="EST146" s="24"/>
      <c r="ESU146" s="24"/>
      <c r="ESV146" s="24"/>
      <c r="ESW146" s="24"/>
      <c r="ESX146" s="24"/>
      <c r="ESY146" s="24"/>
      <c r="ESZ146" s="24"/>
      <c r="ETA146" s="24"/>
      <c r="ETB146" s="24"/>
      <c r="ETC146" s="24"/>
      <c r="ETD146" s="24"/>
      <c r="ETE146" s="24"/>
      <c r="ETF146" s="24"/>
      <c r="ETG146" s="24"/>
      <c r="ETH146" s="24"/>
      <c r="ETI146" s="24"/>
      <c r="ETJ146" s="24"/>
      <c r="ETK146" s="24"/>
      <c r="ETL146" s="24"/>
      <c r="ETM146" s="24"/>
      <c r="ETN146" s="24"/>
      <c r="ETO146" s="24"/>
      <c r="ETP146" s="24"/>
      <c r="ETQ146" s="24"/>
      <c r="ETR146" s="24"/>
      <c r="ETS146" s="24"/>
      <c r="ETT146" s="24"/>
      <c r="ETU146" s="24"/>
      <c r="ETV146" s="24"/>
      <c r="ETW146" s="24"/>
      <c r="ETX146" s="24"/>
      <c r="ETY146" s="24"/>
      <c r="ETZ146" s="24"/>
      <c r="EUA146" s="24"/>
      <c r="EUB146" s="24"/>
      <c r="EUC146" s="24"/>
      <c r="EUD146" s="24"/>
      <c r="EUE146" s="24"/>
      <c r="EUF146" s="24"/>
      <c r="EUG146" s="24"/>
      <c r="EUH146" s="24"/>
      <c r="EUI146" s="24"/>
      <c r="EUJ146" s="24"/>
      <c r="EUK146" s="24"/>
      <c r="EUL146" s="24"/>
      <c r="EUM146" s="24"/>
      <c r="EUN146" s="24"/>
      <c r="EUO146" s="24"/>
      <c r="EUP146" s="24"/>
      <c r="EUQ146" s="24"/>
      <c r="EUR146" s="24"/>
      <c r="EUS146" s="24"/>
      <c r="EUT146" s="24"/>
      <c r="EUU146" s="24"/>
      <c r="EUV146" s="24"/>
      <c r="EUW146" s="24"/>
      <c r="EUX146" s="24"/>
      <c r="EUY146" s="24"/>
      <c r="EUZ146" s="24"/>
      <c r="EVA146" s="24"/>
      <c r="EVB146" s="24"/>
      <c r="EVC146" s="24"/>
      <c r="EVD146" s="24"/>
      <c r="EVE146" s="24"/>
      <c r="EVF146" s="24"/>
      <c r="EVG146" s="24"/>
      <c r="EVH146" s="24"/>
      <c r="EVI146" s="24"/>
      <c r="EVJ146" s="24"/>
      <c r="EVK146" s="24"/>
      <c r="EVL146" s="24"/>
      <c r="EVM146" s="24"/>
      <c r="EVN146" s="24"/>
      <c r="EVO146" s="24"/>
      <c r="EVP146" s="24"/>
      <c r="EVQ146" s="24"/>
      <c r="EVR146" s="24"/>
      <c r="EVS146" s="24"/>
      <c r="EVT146" s="24"/>
      <c r="EVU146" s="24"/>
      <c r="EVV146" s="24"/>
      <c r="EVW146" s="24"/>
      <c r="EVX146" s="24"/>
      <c r="EVY146" s="24"/>
      <c r="EVZ146" s="24"/>
      <c r="EWA146" s="24"/>
      <c r="EWB146" s="24"/>
      <c r="EWC146" s="24"/>
      <c r="EWD146" s="24"/>
      <c r="EWE146" s="24"/>
      <c r="EWF146" s="24"/>
      <c r="EWG146" s="24"/>
      <c r="EWH146" s="24"/>
      <c r="EWI146" s="24"/>
      <c r="EWJ146" s="24"/>
      <c r="EWK146" s="24"/>
      <c r="EWL146" s="24"/>
      <c r="EWM146" s="24"/>
      <c r="EWN146" s="24"/>
      <c r="EWO146" s="24"/>
      <c r="EWP146" s="24"/>
      <c r="EWQ146" s="24"/>
      <c r="EWR146" s="24"/>
      <c r="EWS146" s="24"/>
      <c r="EWT146" s="24"/>
      <c r="EWU146" s="24"/>
      <c r="EWV146" s="24"/>
      <c r="EWW146" s="24"/>
      <c r="EWX146" s="24"/>
      <c r="EWY146" s="24"/>
      <c r="EWZ146" s="24"/>
      <c r="EXA146" s="24"/>
      <c r="EXB146" s="24"/>
      <c r="EXC146" s="24"/>
      <c r="EXD146" s="24"/>
      <c r="EXE146" s="24"/>
      <c r="EXF146" s="24"/>
      <c r="EXG146" s="24"/>
      <c r="EXH146" s="24"/>
      <c r="EXI146" s="24"/>
      <c r="EXJ146" s="24"/>
      <c r="EXK146" s="24"/>
      <c r="EXL146" s="24"/>
      <c r="EXM146" s="24"/>
      <c r="EXN146" s="24"/>
      <c r="EXO146" s="24"/>
      <c r="EXP146" s="24"/>
      <c r="EXQ146" s="24"/>
      <c r="EXR146" s="24"/>
      <c r="EXS146" s="24"/>
      <c r="EXT146" s="24"/>
      <c r="EXU146" s="24"/>
      <c r="EXV146" s="24"/>
      <c r="EXW146" s="24"/>
      <c r="EXX146" s="24"/>
      <c r="EXY146" s="24"/>
      <c r="EXZ146" s="24"/>
      <c r="EYA146" s="24"/>
      <c r="EYB146" s="24"/>
      <c r="EYC146" s="24"/>
      <c r="EYD146" s="24"/>
      <c r="EYE146" s="24"/>
      <c r="EYF146" s="24"/>
      <c r="EYG146" s="24"/>
      <c r="EYH146" s="24"/>
      <c r="EYI146" s="24"/>
      <c r="EYJ146" s="24"/>
      <c r="EYK146" s="24"/>
      <c r="EYL146" s="24"/>
      <c r="EYM146" s="24"/>
      <c r="EYN146" s="24"/>
      <c r="EYO146" s="24"/>
      <c r="EYP146" s="24"/>
      <c r="EYQ146" s="24"/>
      <c r="EYR146" s="24"/>
      <c r="EYS146" s="24"/>
      <c r="EYT146" s="24"/>
      <c r="EYU146" s="24"/>
      <c r="EYV146" s="24"/>
      <c r="EYW146" s="24"/>
      <c r="EYX146" s="24"/>
      <c r="EYY146" s="24"/>
      <c r="EYZ146" s="24"/>
      <c r="EZA146" s="24"/>
      <c r="EZB146" s="24"/>
      <c r="EZC146" s="24"/>
      <c r="EZD146" s="24"/>
      <c r="EZE146" s="24"/>
      <c r="EZF146" s="24"/>
      <c r="EZG146" s="24"/>
      <c r="EZH146" s="24"/>
      <c r="EZI146" s="24"/>
      <c r="EZJ146" s="24"/>
      <c r="EZK146" s="24"/>
      <c r="EZL146" s="24"/>
      <c r="EZM146" s="24"/>
      <c r="EZN146" s="24"/>
      <c r="EZO146" s="24"/>
      <c r="EZP146" s="24"/>
      <c r="EZQ146" s="24"/>
      <c r="EZR146" s="24"/>
      <c r="EZS146" s="24"/>
      <c r="EZT146" s="24"/>
      <c r="EZU146" s="24"/>
      <c r="EZV146" s="24"/>
      <c r="EZW146" s="24"/>
      <c r="EZX146" s="24"/>
      <c r="EZY146" s="24"/>
      <c r="EZZ146" s="24"/>
      <c r="FAA146" s="24"/>
      <c r="FAB146" s="24"/>
      <c r="FAC146" s="24"/>
      <c r="FAD146" s="24"/>
      <c r="FAE146" s="24"/>
      <c r="FAF146" s="24"/>
      <c r="FAG146" s="24"/>
      <c r="FAH146" s="24"/>
      <c r="FAI146" s="24"/>
      <c r="FAJ146" s="24"/>
      <c r="FAK146" s="24"/>
      <c r="FAL146" s="24"/>
      <c r="FAM146" s="24"/>
      <c r="FAN146" s="24"/>
      <c r="FAO146" s="24"/>
      <c r="FAP146" s="24"/>
      <c r="FAQ146" s="24"/>
      <c r="FAR146" s="24"/>
      <c r="FAS146" s="24"/>
      <c r="FAT146" s="24"/>
      <c r="FAU146" s="24"/>
      <c r="FAV146" s="24"/>
      <c r="FAW146" s="24"/>
      <c r="FAX146" s="24"/>
      <c r="FAY146" s="24"/>
      <c r="FAZ146" s="24"/>
      <c r="FBA146" s="24"/>
      <c r="FBB146" s="24"/>
      <c r="FBC146" s="24"/>
      <c r="FBD146" s="24"/>
      <c r="FBE146" s="24"/>
      <c r="FBF146" s="24"/>
      <c r="FBG146" s="24"/>
      <c r="FBH146" s="24"/>
      <c r="FBI146" s="24"/>
      <c r="FBJ146" s="24"/>
      <c r="FBK146" s="24"/>
      <c r="FBL146" s="24"/>
      <c r="FBM146" s="24"/>
      <c r="FBN146" s="24"/>
      <c r="FBO146" s="24"/>
      <c r="FBP146" s="24"/>
      <c r="FBQ146" s="24"/>
      <c r="FBR146" s="24"/>
      <c r="FBS146" s="24"/>
      <c r="FBT146" s="24"/>
      <c r="FBU146" s="24"/>
      <c r="FBV146" s="24"/>
      <c r="FBW146" s="24"/>
      <c r="FBX146" s="24"/>
      <c r="FBY146" s="24"/>
      <c r="FBZ146" s="24"/>
      <c r="FCA146" s="24"/>
      <c r="FCB146" s="24"/>
      <c r="FCC146" s="24"/>
      <c r="FCD146" s="24"/>
      <c r="FCE146" s="24"/>
      <c r="FCF146" s="24"/>
      <c r="FCG146" s="24"/>
      <c r="FCH146" s="24"/>
      <c r="FCI146" s="24"/>
      <c r="FCJ146" s="24"/>
      <c r="FCK146" s="24"/>
      <c r="FCL146" s="24"/>
      <c r="FCM146" s="24"/>
      <c r="FCN146" s="24"/>
      <c r="FCO146" s="24"/>
      <c r="FCP146" s="24"/>
      <c r="FCQ146" s="24"/>
      <c r="FCR146" s="24"/>
      <c r="FCS146" s="24"/>
      <c r="FCT146" s="24"/>
      <c r="FCU146" s="24"/>
      <c r="FCV146" s="24"/>
      <c r="FCW146" s="24"/>
      <c r="FCX146" s="24"/>
      <c r="FCY146" s="24"/>
      <c r="FCZ146" s="24"/>
      <c r="FDA146" s="24"/>
      <c r="FDB146" s="24"/>
      <c r="FDC146" s="24"/>
      <c r="FDD146" s="24"/>
      <c r="FDE146" s="24"/>
      <c r="FDF146" s="24"/>
      <c r="FDG146" s="24"/>
      <c r="FDH146" s="24"/>
      <c r="FDI146" s="24"/>
      <c r="FDJ146" s="24"/>
      <c r="FDK146" s="24"/>
      <c r="FDL146" s="24"/>
      <c r="FDM146" s="24"/>
      <c r="FDN146" s="24"/>
      <c r="FDO146" s="24"/>
      <c r="FDP146" s="24"/>
      <c r="FDQ146" s="24"/>
      <c r="FDR146" s="24"/>
      <c r="FDS146" s="24"/>
      <c r="FDT146" s="24"/>
      <c r="FDU146" s="24"/>
      <c r="FDV146" s="24"/>
      <c r="FDW146" s="24"/>
      <c r="FDX146" s="24"/>
      <c r="FDY146" s="24"/>
      <c r="FDZ146" s="24"/>
      <c r="FEA146" s="24"/>
      <c r="FEB146" s="24"/>
      <c r="FEC146" s="24"/>
      <c r="FED146" s="24"/>
      <c r="FEE146" s="24"/>
      <c r="FEF146" s="24"/>
      <c r="FEG146" s="24"/>
      <c r="FEH146" s="24"/>
      <c r="FEI146" s="24"/>
      <c r="FEJ146" s="24"/>
      <c r="FEK146" s="24"/>
      <c r="FEL146" s="24"/>
      <c r="FEM146" s="24"/>
      <c r="FEN146" s="24"/>
      <c r="FEO146" s="24"/>
      <c r="FEP146" s="24"/>
      <c r="FEQ146" s="24"/>
      <c r="FER146" s="24"/>
      <c r="FES146" s="24"/>
      <c r="FET146" s="24"/>
      <c r="FEU146" s="24"/>
      <c r="FEV146" s="24"/>
      <c r="FEW146" s="24"/>
      <c r="FEX146" s="24"/>
      <c r="FEY146" s="24"/>
      <c r="FEZ146" s="24"/>
      <c r="FFA146" s="24"/>
      <c r="FFB146" s="24"/>
      <c r="FFC146" s="24"/>
      <c r="FFD146" s="24"/>
      <c r="FFE146" s="24"/>
      <c r="FFF146" s="24"/>
      <c r="FFG146" s="24"/>
      <c r="FFH146" s="24"/>
      <c r="FFI146" s="24"/>
      <c r="FFJ146" s="24"/>
      <c r="FFK146" s="24"/>
      <c r="FFL146" s="24"/>
      <c r="FFM146" s="24"/>
      <c r="FFN146" s="24"/>
      <c r="FFO146" s="24"/>
      <c r="FFP146" s="24"/>
      <c r="FFQ146" s="24"/>
      <c r="FFR146" s="24"/>
      <c r="FFS146" s="24"/>
      <c r="FFT146" s="24"/>
      <c r="FFU146" s="24"/>
      <c r="FFV146" s="24"/>
      <c r="FFW146" s="24"/>
      <c r="FFX146" s="24"/>
      <c r="FFY146" s="24"/>
      <c r="FFZ146" s="24"/>
      <c r="FGA146" s="24"/>
      <c r="FGB146" s="24"/>
      <c r="FGC146" s="24"/>
      <c r="FGD146" s="24"/>
      <c r="FGE146" s="24"/>
      <c r="FGF146" s="24"/>
      <c r="FGG146" s="24"/>
      <c r="FGH146" s="24"/>
      <c r="FGI146" s="24"/>
      <c r="FGJ146" s="24"/>
      <c r="FGK146" s="24"/>
      <c r="FGL146" s="24"/>
      <c r="FGM146" s="24"/>
      <c r="FGN146" s="24"/>
      <c r="FGO146" s="24"/>
      <c r="FGP146" s="24"/>
      <c r="FGQ146" s="24"/>
      <c r="FGR146" s="24"/>
      <c r="FGS146" s="24"/>
      <c r="FGT146" s="24"/>
      <c r="FGU146" s="24"/>
      <c r="FGV146" s="24"/>
      <c r="FGW146" s="24"/>
      <c r="FGX146" s="24"/>
      <c r="FGY146" s="24"/>
      <c r="FGZ146" s="24"/>
      <c r="FHA146" s="24"/>
      <c r="FHB146" s="24"/>
      <c r="FHC146" s="24"/>
      <c r="FHD146" s="24"/>
      <c r="FHE146" s="24"/>
      <c r="FHF146" s="24"/>
      <c r="FHG146" s="24"/>
      <c r="FHH146" s="24"/>
      <c r="FHI146" s="24"/>
      <c r="FHJ146" s="24"/>
      <c r="FHK146" s="24"/>
      <c r="FHL146" s="24"/>
      <c r="FHM146" s="24"/>
      <c r="FHN146" s="24"/>
      <c r="FHO146" s="24"/>
      <c r="FHP146" s="24"/>
      <c r="FHQ146" s="24"/>
      <c r="FHR146" s="24"/>
      <c r="FHS146" s="24"/>
      <c r="FHT146" s="24"/>
      <c r="FHU146" s="24"/>
      <c r="FHV146" s="24"/>
      <c r="FHW146" s="24"/>
      <c r="FHX146" s="24"/>
      <c r="FHY146" s="24"/>
      <c r="FHZ146" s="24"/>
      <c r="FIA146" s="24"/>
      <c r="FIB146" s="24"/>
      <c r="FIC146" s="24"/>
      <c r="FID146" s="24"/>
      <c r="FIE146" s="24"/>
      <c r="FIF146" s="24"/>
      <c r="FIG146" s="24"/>
      <c r="FIH146" s="24"/>
      <c r="FII146" s="24"/>
      <c r="FIJ146" s="24"/>
      <c r="FIK146" s="24"/>
      <c r="FIL146" s="24"/>
      <c r="FIM146" s="24"/>
      <c r="FIN146" s="24"/>
      <c r="FIO146" s="24"/>
      <c r="FIP146" s="24"/>
      <c r="FIQ146" s="24"/>
      <c r="FIR146" s="24"/>
      <c r="FIS146" s="24"/>
      <c r="FIT146" s="24"/>
      <c r="FIU146" s="24"/>
      <c r="FIV146" s="24"/>
      <c r="FIW146" s="24"/>
      <c r="FIX146" s="24"/>
      <c r="FIY146" s="24"/>
      <c r="FIZ146" s="24"/>
      <c r="FJA146" s="24"/>
      <c r="FJB146" s="24"/>
      <c r="FJC146" s="24"/>
      <c r="FJD146" s="24"/>
      <c r="FJE146" s="24"/>
      <c r="FJF146" s="24"/>
      <c r="FJG146" s="24"/>
      <c r="FJH146" s="24"/>
      <c r="FJI146" s="24"/>
      <c r="FJJ146" s="24"/>
      <c r="FJK146" s="24"/>
      <c r="FJL146" s="24"/>
      <c r="FJM146" s="24"/>
      <c r="FJN146" s="24"/>
      <c r="FJO146" s="24"/>
      <c r="FJP146" s="24"/>
      <c r="FJQ146" s="24"/>
      <c r="FJR146" s="24"/>
      <c r="FJS146" s="24"/>
      <c r="FJT146" s="24"/>
      <c r="FJU146" s="24"/>
      <c r="FJV146" s="24"/>
      <c r="FJW146" s="24"/>
      <c r="FJX146" s="24"/>
      <c r="FJY146" s="24"/>
      <c r="FJZ146" s="24"/>
      <c r="FKA146" s="24"/>
      <c r="FKB146" s="24"/>
      <c r="FKC146" s="24"/>
      <c r="FKD146" s="24"/>
      <c r="FKE146" s="24"/>
      <c r="FKF146" s="24"/>
      <c r="FKG146" s="24"/>
      <c r="FKH146" s="24"/>
      <c r="FKI146" s="24"/>
      <c r="FKJ146" s="24"/>
      <c r="FKK146" s="24"/>
      <c r="FKL146" s="24"/>
      <c r="FKM146" s="24"/>
      <c r="FKN146" s="24"/>
      <c r="FKO146" s="24"/>
      <c r="FKP146" s="24"/>
      <c r="FKQ146" s="24"/>
      <c r="FKR146" s="24"/>
      <c r="FKS146" s="24"/>
      <c r="FKT146" s="24"/>
      <c r="FKU146" s="24"/>
      <c r="FKV146" s="24"/>
      <c r="FKW146" s="24"/>
      <c r="FKX146" s="24"/>
      <c r="FKY146" s="24"/>
      <c r="FKZ146" s="24"/>
      <c r="FLA146" s="24"/>
      <c r="FLB146" s="24"/>
      <c r="FLC146" s="24"/>
      <c r="FLD146" s="24"/>
      <c r="FLE146" s="24"/>
      <c r="FLF146" s="24"/>
      <c r="FLG146" s="24"/>
      <c r="FLH146" s="24"/>
      <c r="FLI146" s="24"/>
      <c r="FLJ146" s="24"/>
      <c r="FLK146" s="24"/>
      <c r="FLL146" s="24"/>
      <c r="FLM146" s="24"/>
      <c r="FLN146" s="24"/>
      <c r="FLO146" s="24"/>
      <c r="FLP146" s="24"/>
      <c r="FLQ146" s="24"/>
      <c r="FLR146" s="24"/>
      <c r="FLS146" s="24"/>
      <c r="FLT146" s="24"/>
      <c r="FLU146" s="24"/>
      <c r="FLV146" s="24"/>
      <c r="FLW146" s="24"/>
      <c r="FLX146" s="24"/>
      <c r="FLY146" s="24"/>
      <c r="FLZ146" s="24"/>
      <c r="FMA146" s="24"/>
      <c r="FMB146" s="24"/>
      <c r="FMC146" s="24"/>
      <c r="FMD146" s="24"/>
      <c r="FME146" s="24"/>
      <c r="FMF146" s="24"/>
      <c r="FMG146" s="24"/>
      <c r="FMH146" s="24"/>
      <c r="FMI146" s="24"/>
      <c r="FMJ146" s="24"/>
      <c r="FMK146" s="24"/>
      <c r="FML146" s="24"/>
      <c r="FMM146" s="24"/>
      <c r="FMN146" s="24"/>
      <c r="FMO146" s="24"/>
      <c r="FMP146" s="24"/>
      <c r="FMQ146" s="24"/>
      <c r="FMR146" s="24"/>
      <c r="FMS146" s="24"/>
      <c r="FMT146" s="24"/>
      <c r="FMU146" s="24"/>
      <c r="FMV146" s="24"/>
      <c r="FMW146" s="24"/>
      <c r="FMX146" s="24"/>
      <c r="FMY146" s="24"/>
      <c r="FMZ146" s="24"/>
      <c r="FNA146" s="24"/>
      <c r="FNB146" s="24"/>
      <c r="FNC146" s="24"/>
      <c r="FND146" s="24"/>
      <c r="FNE146" s="24"/>
      <c r="FNF146" s="24"/>
      <c r="FNG146" s="24"/>
      <c r="FNH146" s="24"/>
      <c r="FNI146" s="24"/>
      <c r="FNJ146" s="24"/>
      <c r="FNK146" s="24"/>
      <c r="FNL146" s="24"/>
      <c r="FNM146" s="24"/>
      <c r="FNN146" s="24"/>
      <c r="FNO146" s="24"/>
      <c r="FNP146" s="24"/>
      <c r="FNQ146" s="24"/>
      <c r="FNR146" s="24"/>
      <c r="FNS146" s="24"/>
      <c r="FNT146" s="24"/>
      <c r="FNU146" s="24"/>
      <c r="FNV146" s="24"/>
      <c r="FNW146" s="24"/>
      <c r="FNX146" s="24"/>
      <c r="FNY146" s="24"/>
      <c r="FNZ146" s="24"/>
      <c r="FOA146" s="24"/>
      <c r="FOB146" s="24"/>
      <c r="FOC146" s="24"/>
      <c r="FOD146" s="24"/>
      <c r="FOE146" s="24"/>
      <c r="FOF146" s="24"/>
      <c r="FOG146" s="24"/>
      <c r="FOH146" s="24"/>
      <c r="FOI146" s="24"/>
      <c r="FOJ146" s="24"/>
      <c r="FOK146" s="24"/>
      <c r="FOL146" s="24"/>
      <c r="FOM146" s="24"/>
      <c r="FON146" s="24"/>
      <c r="FOO146" s="24"/>
      <c r="FOP146" s="24"/>
      <c r="FOQ146" s="24"/>
      <c r="FOR146" s="24"/>
      <c r="FOS146" s="24"/>
      <c r="FOT146" s="24"/>
      <c r="FOU146" s="24"/>
      <c r="FOV146" s="24"/>
      <c r="FOW146" s="24"/>
      <c r="FOX146" s="24"/>
      <c r="FOY146" s="24"/>
      <c r="FOZ146" s="24"/>
      <c r="FPA146" s="24"/>
      <c r="FPB146" s="24"/>
      <c r="FPC146" s="24"/>
      <c r="FPD146" s="24"/>
      <c r="FPE146" s="24"/>
      <c r="FPF146" s="24"/>
      <c r="FPG146" s="24"/>
      <c r="FPH146" s="24"/>
      <c r="FPI146" s="24"/>
      <c r="FPJ146" s="24"/>
      <c r="FPK146" s="24"/>
      <c r="FPL146" s="24"/>
      <c r="FPM146" s="24"/>
      <c r="FPN146" s="24"/>
      <c r="FPO146" s="24"/>
      <c r="FPP146" s="24"/>
      <c r="FPQ146" s="24"/>
      <c r="FPR146" s="24"/>
      <c r="FPS146" s="24"/>
      <c r="FPT146" s="24"/>
      <c r="FPU146" s="24"/>
      <c r="FPV146" s="24"/>
      <c r="FPW146" s="24"/>
      <c r="FPX146" s="24"/>
      <c r="FPY146" s="24"/>
      <c r="FPZ146" s="24"/>
      <c r="FQA146" s="24"/>
      <c r="FQB146" s="24"/>
      <c r="FQC146" s="24"/>
      <c r="FQD146" s="24"/>
      <c r="FQE146" s="24"/>
      <c r="FQF146" s="24"/>
      <c r="FQG146" s="24"/>
      <c r="FQH146" s="24"/>
      <c r="FQI146" s="24"/>
      <c r="FQJ146" s="24"/>
      <c r="FQK146" s="24"/>
      <c r="FQL146" s="24"/>
      <c r="FQM146" s="24"/>
      <c r="FQN146" s="24"/>
      <c r="FQO146" s="24"/>
      <c r="FQP146" s="24"/>
      <c r="FQQ146" s="24"/>
      <c r="FQR146" s="24"/>
      <c r="FQS146" s="24"/>
      <c r="FQT146" s="24"/>
      <c r="FQU146" s="24"/>
      <c r="FQV146" s="24"/>
      <c r="FQW146" s="24"/>
      <c r="FQX146" s="24"/>
      <c r="FQY146" s="24"/>
      <c r="FQZ146" s="24"/>
      <c r="FRA146" s="24"/>
      <c r="FRB146" s="24"/>
      <c r="FRC146" s="24"/>
      <c r="FRD146" s="24"/>
      <c r="FRE146" s="24"/>
      <c r="FRF146" s="24"/>
      <c r="FRG146" s="24"/>
      <c r="FRH146" s="24"/>
      <c r="FRI146" s="24"/>
      <c r="FRJ146" s="24"/>
      <c r="FRK146" s="24"/>
      <c r="FRL146" s="24"/>
      <c r="FRM146" s="24"/>
      <c r="FRN146" s="24"/>
      <c r="FRO146" s="24"/>
      <c r="FRP146" s="24"/>
      <c r="FRQ146" s="24"/>
      <c r="FRR146" s="24"/>
      <c r="FRS146" s="24"/>
      <c r="FRT146" s="24"/>
      <c r="FRU146" s="24"/>
      <c r="FRV146" s="24"/>
      <c r="FRW146" s="24"/>
      <c r="FRX146" s="24"/>
      <c r="FRY146" s="24"/>
      <c r="FRZ146" s="24"/>
      <c r="FSA146" s="24"/>
      <c r="FSB146" s="24"/>
      <c r="FSC146" s="24"/>
      <c r="FSD146" s="24"/>
      <c r="FSE146" s="24"/>
      <c r="FSF146" s="24"/>
      <c r="FSG146" s="24"/>
      <c r="FSH146" s="24"/>
      <c r="FSI146" s="24"/>
      <c r="FSJ146" s="24"/>
      <c r="FSK146" s="24"/>
      <c r="FSL146" s="24"/>
      <c r="FSM146" s="24"/>
      <c r="FSN146" s="24"/>
      <c r="FSO146" s="24"/>
      <c r="FSP146" s="24"/>
      <c r="FSQ146" s="24"/>
      <c r="FSR146" s="24"/>
      <c r="FSS146" s="24"/>
      <c r="FST146" s="24"/>
      <c r="FSU146" s="24"/>
      <c r="FSV146" s="24"/>
      <c r="FSW146" s="24"/>
      <c r="FSX146" s="24"/>
      <c r="FSY146" s="24"/>
      <c r="FSZ146" s="24"/>
      <c r="FTA146" s="24"/>
      <c r="FTB146" s="24"/>
      <c r="FTC146" s="24"/>
      <c r="FTD146" s="24"/>
      <c r="FTE146" s="24"/>
      <c r="FTF146" s="24"/>
      <c r="FTG146" s="24"/>
      <c r="FTH146" s="24"/>
      <c r="FTI146" s="24"/>
      <c r="FTJ146" s="24"/>
      <c r="FTK146" s="24"/>
      <c r="FTL146" s="24"/>
      <c r="FTM146" s="24"/>
      <c r="FTN146" s="24"/>
      <c r="FTO146" s="24"/>
      <c r="FTP146" s="24"/>
      <c r="FTQ146" s="24"/>
      <c r="FTR146" s="24"/>
      <c r="FTS146" s="24"/>
      <c r="FTT146" s="24"/>
      <c r="FTU146" s="24"/>
      <c r="FTV146" s="24"/>
      <c r="FTW146" s="24"/>
      <c r="FTX146" s="24"/>
      <c r="FTY146" s="24"/>
      <c r="FTZ146" s="24"/>
      <c r="FUA146" s="24"/>
      <c r="FUB146" s="24"/>
      <c r="FUC146" s="24"/>
      <c r="FUD146" s="24"/>
      <c r="FUE146" s="24"/>
      <c r="FUF146" s="24"/>
      <c r="FUG146" s="24"/>
      <c r="FUH146" s="24"/>
      <c r="FUI146" s="24"/>
      <c r="FUJ146" s="24"/>
      <c r="FUK146" s="24"/>
      <c r="FUL146" s="24"/>
      <c r="FUM146" s="24"/>
      <c r="FUN146" s="24"/>
      <c r="FUO146" s="24"/>
      <c r="FUP146" s="24"/>
      <c r="FUQ146" s="24"/>
      <c r="FUR146" s="24"/>
      <c r="FUS146" s="24"/>
      <c r="FUT146" s="24"/>
      <c r="FUU146" s="24"/>
      <c r="FUV146" s="24"/>
      <c r="FUW146" s="24"/>
      <c r="FUX146" s="24"/>
      <c r="FUY146" s="24"/>
      <c r="FUZ146" s="24"/>
      <c r="FVA146" s="24"/>
      <c r="FVB146" s="24"/>
      <c r="FVC146" s="24"/>
      <c r="FVD146" s="24"/>
      <c r="FVE146" s="24"/>
      <c r="FVF146" s="24"/>
      <c r="FVG146" s="24"/>
      <c r="FVH146" s="24"/>
      <c r="FVI146" s="24"/>
      <c r="FVJ146" s="24"/>
      <c r="FVK146" s="24"/>
      <c r="FVL146" s="24"/>
      <c r="FVM146" s="24"/>
      <c r="FVN146" s="24"/>
      <c r="FVO146" s="24"/>
      <c r="FVP146" s="24"/>
      <c r="FVQ146" s="24"/>
      <c r="FVR146" s="24"/>
      <c r="FVS146" s="24"/>
      <c r="FVT146" s="24"/>
      <c r="FVU146" s="24"/>
      <c r="FVV146" s="24"/>
      <c r="FVW146" s="24"/>
      <c r="FVX146" s="24"/>
      <c r="FVY146" s="24"/>
      <c r="FVZ146" s="24"/>
      <c r="FWA146" s="24"/>
      <c r="FWB146" s="24"/>
      <c r="FWC146" s="24"/>
      <c r="FWD146" s="24"/>
      <c r="FWE146" s="24"/>
      <c r="FWF146" s="24"/>
      <c r="FWG146" s="24"/>
      <c r="FWH146" s="24"/>
      <c r="FWI146" s="24"/>
      <c r="FWJ146" s="24"/>
      <c r="FWK146" s="24"/>
      <c r="FWL146" s="24"/>
      <c r="FWM146" s="24"/>
      <c r="FWN146" s="24"/>
      <c r="FWO146" s="24"/>
      <c r="FWP146" s="24"/>
      <c r="FWQ146" s="24"/>
      <c r="FWR146" s="24"/>
      <c r="FWS146" s="24"/>
      <c r="FWT146" s="24"/>
      <c r="FWU146" s="24"/>
      <c r="FWV146" s="24"/>
      <c r="FWW146" s="24"/>
      <c r="FWX146" s="24"/>
      <c r="FWY146" s="24"/>
      <c r="FWZ146" s="24"/>
      <c r="FXA146" s="24"/>
      <c r="FXB146" s="24"/>
      <c r="FXC146" s="24"/>
      <c r="FXD146" s="24"/>
      <c r="FXE146" s="24"/>
      <c r="FXF146" s="24"/>
      <c r="FXG146" s="24"/>
      <c r="FXH146" s="24"/>
      <c r="FXI146" s="24"/>
      <c r="FXJ146" s="24"/>
      <c r="FXK146" s="24"/>
      <c r="FXL146" s="24"/>
      <c r="FXM146" s="24"/>
      <c r="FXN146" s="24"/>
      <c r="FXO146" s="24"/>
      <c r="FXP146" s="24"/>
      <c r="FXQ146" s="24"/>
      <c r="FXR146" s="24"/>
      <c r="FXS146" s="24"/>
      <c r="FXT146" s="24"/>
      <c r="FXU146" s="24"/>
      <c r="FXV146" s="24"/>
      <c r="FXW146" s="24"/>
      <c r="FXX146" s="24"/>
      <c r="FXY146" s="24"/>
      <c r="FXZ146" s="24"/>
      <c r="FYA146" s="24"/>
      <c r="FYB146" s="24"/>
      <c r="FYC146" s="24"/>
      <c r="FYD146" s="24"/>
      <c r="FYE146" s="24"/>
      <c r="FYF146" s="24"/>
      <c r="FYG146" s="24"/>
      <c r="FYH146" s="24"/>
      <c r="FYI146" s="24"/>
      <c r="FYJ146" s="24"/>
      <c r="FYK146" s="24"/>
      <c r="FYL146" s="24"/>
      <c r="FYM146" s="24"/>
      <c r="FYN146" s="24"/>
      <c r="FYO146" s="24"/>
      <c r="FYP146" s="24"/>
      <c r="FYQ146" s="24"/>
      <c r="FYR146" s="24"/>
      <c r="FYS146" s="24"/>
      <c r="FYT146" s="24"/>
      <c r="FYU146" s="24"/>
      <c r="FYV146" s="24"/>
      <c r="FYW146" s="24"/>
      <c r="FYX146" s="24"/>
      <c r="FYY146" s="24"/>
      <c r="FYZ146" s="24"/>
      <c r="FZA146" s="24"/>
      <c r="FZB146" s="24"/>
      <c r="FZC146" s="24"/>
      <c r="FZD146" s="24"/>
      <c r="FZE146" s="24"/>
      <c r="FZF146" s="24"/>
      <c r="FZG146" s="24"/>
      <c r="FZH146" s="24"/>
      <c r="FZI146" s="24"/>
      <c r="FZJ146" s="24"/>
      <c r="FZK146" s="24"/>
      <c r="FZL146" s="24"/>
      <c r="FZM146" s="24"/>
      <c r="FZN146" s="24"/>
      <c r="FZO146" s="24"/>
      <c r="FZP146" s="24"/>
      <c r="FZQ146" s="24"/>
      <c r="FZR146" s="24"/>
      <c r="FZS146" s="24"/>
      <c r="FZT146" s="24"/>
      <c r="FZU146" s="24"/>
      <c r="FZV146" s="24"/>
      <c r="FZW146" s="24"/>
      <c r="FZX146" s="24"/>
      <c r="FZY146" s="24"/>
      <c r="FZZ146" s="24"/>
      <c r="GAA146" s="24"/>
      <c r="GAB146" s="24"/>
      <c r="GAC146" s="24"/>
      <c r="GAD146" s="24"/>
      <c r="GAE146" s="24"/>
      <c r="GAF146" s="24"/>
      <c r="GAG146" s="24"/>
      <c r="GAH146" s="24"/>
      <c r="GAI146" s="24"/>
      <c r="GAJ146" s="24"/>
      <c r="GAK146" s="24"/>
      <c r="GAL146" s="24"/>
      <c r="GAM146" s="24"/>
      <c r="GAN146" s="24"/>
      <c r="GAO146" s="24"/>
      <c r="GAP146" s="24"/>
      <c r="GAQ146" s="24"/>
      <c r="GAR146" s="24"/>
      <c r="GAS146" s="24"/>
      <c r="GAT146" s="24"/>
      <c r="GAU146" s="24"/>
      <c r="GAV146" s="24"/>
      <c r="GAW146" s="24"/>
      <c r="GAX146" s="24"/>
      <c r="GAY146" s="24"/>
      <c r="GAZ146" s="24"/>
      <c r="GBA146" s="24"/>
      <c r="GBB146" s="24"/>
      <c r="GBC146" s="24"/>
      <c r="GBD146" s="24"/>
      <c r="GBE146" s="24"/>
      <c r="GBF146" s="24"/>
      <c r="GBG146" s="24"/>
      <c r="GBH146" s="24"/>
      <c r="GBI146" s="24"/>
      <c r="GBJ146" s="24"/>
      <c r="GBK146" s="24"/>
      <c r="GBL146" s="24"/>
      <c r="GBM146" s="24"/>
      <c r="GBN146" s="24"/>
      <c r="GBO146" s="24"/>
      <c r="GBP146" s="24"/>
      <c r="GBQ146" s="24"/>
      <c r="GBR146" s="24"/>
      <c r="GBS146" s="24"/>
      <c r="GBT146" s="24"/>
      <c r="GBU146" s="24"/>
      <c r="GBV146" s="24"/>
      <c r="GBW146" s="24"/>
      <c r="GBX146" s="24"/>
      <c r="GBY146" s="24"/>
      <c r="GBZ146" s="24"/>
      <c r="GCA146" s="24"/>
      <c r="GCB146" s="24"/>
      <c r="GCC146" s="24"/>
      <c r="GCD146" s="24"/>
      <c r="GCE146" s="24"/>
      <c r="GCF146" s="24"/>
      <c r="GCG146" s="24"/>
      <c r="GCH146" s="24"/>
      <c r="GCI146" s="24"/>
      <c r="GCJ146" s="24"/>
      <c r="GCK146" s="24"/>
      <c r="GCL146" s="24"/>
      <c r="GCM146" s="24"/>
      <c r="GCN146" s="24"/>
      <c r="GCO146" s="24"/>
      <c r="GCP146" s="24"/>
      <c r="GCQ146" s="24"/>
      <c r="GCR146" s="24"/>
      <c r="GCS146" s="24"/>
      <c r="GCT146" s="24"/>
      <c r="GCU146" s="24"/>
      <c r="GCV146" s="24"/>
      <c r="GCW146" s="24"/>
      <c r="GCX146" s="24"/>
      <c r="GCY146" s="24"/>
      <c r="GCZ146" s="24"/>
      <c r="GDA146" s="24"/>
      <c r="GDB146" s="24"/>
      <c r="GDC146" s="24"/>
      <c r="GDD146" s="24"/>
      <c r="GDE146" s="24"/>
      <c r="GDF146" s="24"/>
      <c r="GDG146" s="24"/>
      <c r="GDH146" s="24"/>
      <c r="GDI146" s="24"/>
      <c r="GDJ146" s="24"/>
      <c r="GDK146" s="24"/>
      <c r="GDL146" s="24"/>
      <c r="GDM146" s="24"/>
      <c r="GDN146" s="24"/>
      <c r="GDO146" s="24"/>
      <c r="GDP146" s="24"/>
      <c r="GDQ146" s="24"/>
      <c r="GDR146" s="24"/>
      <c r="GDS146" s="24"/>
      <c r="GDT146" s="24"/>
      <c r="GDU146" s="24"/>
      <c r="GDV146" s="24"/>
      <c r="GDW146" s="24"/>
      <c r="GDX146" s="24"/>
      <c r="GDY146" s="24"/>
      <c r="GDZ146" s="24"/>
      <c r="GEA146" s="24"/>
      <c r="GEB146" s="24"/>
      <c r="GEC146" s="24"/>
      <c r="GED146" s="24"/>
      <c r="GEE146" s="24"/>
      <c r="GEF146" s="24"/>
      <c r="GEG146" s="24"/>
      <c r="GEH146" s="24"/>
      <c r="GEI146" s="24"/>
      <c r="GEJ146" s="24"/>
      <c r="GEK146" s="24"/>
      <c r="GEL146" s="24"/>
      <c r="GEM146" s="24"/>
      <c r="GEN146" s="24"/>
      <c r="GEO146" s="24"/>
      <c r="GEP146" s="24"/>
      <c r="GEQ146" s="24"/>
      <c r="GER146" s="24"/>
      <c r="GES146" s="24"/>
      <c r="GET146" s="24"/>
      <c r="GEU146" s="24"/>
      <c r="GEV146" s="24"/>
      <c r="GEW146" s="24"/>
      <c r="GEX146" s="24"/>
      <c r="GEY146" s="24"/>
      <c r="GEZ146" s="24"/>
      <c r="GFA146" s="24"/>
      <c r="GFB146" s="24"/>
      <c r="GFC146" s="24"/>
      <c r="GFD146" s="24"/>
      <c r="GFE146" s="24"/>
      <c r="GFF146" s="24"/>
      <c r="GFG146" s="24"/>
      <c r="GFH146" s="24"/>
      <c r="GFI146" s="24"/>
      <c r="GFJ146" s="24"/>
      <c r="GFK146" s="24"/>
      <c r="GFL146" s="24"/>
      <c r="GFM146" s="24"/>
      <c r="GFN146" s="24"/>
      <c r="GFO146" s="24"/>
      <c r="GFP146" s="24"/>
      <c r="GFQ146" s="24"/>
      <c r="GFR146" s="24"/>
      <c r="GFS146" s="24"/>
      <c r="GFT146" s="24"/>
      <c r="GFU146" s="24"/>
      <c r="GFV146" s="24"/>
      <c r="GFW146" s="24"/>
      <c r="GFX146" s="24"/>
      <c r="GFY146" s="24"/>
      <c r="GFZ146" s="24"/>
      <c r="GGA146" s="24"/>
      <c r="GGB146" s="24"/>
      <c r="GGC146" s="24"/>
      <c r="GGD146" s="24"/>
      <c r="GGE146" s="24"/>
      <c r="GGF146" s="24"/>
      <c r="GGG146" s="24"/>
      <c r="GGH146" s="24"/>
      <c r="GGI146" s="24"/>
      <c r="GGJ146" s="24"/>
      <c r="GGK146" s="24"/>
      <c r="GGL146" s="24"/>
      <c r="GGM146" s="24"/>
      <c r="GGN146" s="24"/>
      <c r="GGO146" s="24"/>
      <c r="GGP146" s="24"/>
      <c r="GGQ146" s="24"/>
      <c r="GGR146" s="24"/>
      <c r="GGS146" s="24"/>
      <c r="GGT146" s="24"/>
      <c r="GGU146" s="24"/>
      <c r="GGV146" s="24"/>
      <c r="GGW146" s="24"/>
      <c r="GGX146" s="24"/>
      <c r="GGY146" s="24"/>
      <c r="GGZ146" s="24"/>
      <c r="GHA146" s="24"/>
      <c r="GHB146" s="24"/>
      <c r="GHC146" s="24"/>
      <c r="GHD146" s="24"/>
      <c r="GHE146" s="24"/>
      <c r="GHF146" s="24"/>
      <c r="GHG146" s="24"/>
      <c r="GHH146" s="24"/>
      <c r="GHI146" s="24"/>
      <c r="GHJ146" s="24"/>
      <c r="GHK146" s="24"/>
      <c r="GHL146" s="24"/>
      <c r="GHM146" s="24"/>
      <c r="GHN146" s="24"/>
      <c r="GHO146" s="24"/>
      <c r="GHP146" s="24"/>
      <c r="GHQ146" s="24"/>
      <c r="GHR146" s="24"/>
      <c r="GHS146" s="24"/>
      <c r="GHT146" s="24"/>
      <c r="GHU146" s="24"/>
      <c r="GHV146" s="24"/>
      <c r="GHW146" s="24"/>
      <c r="GHX146" s="24"/>
      <c r="GHY146" s="24"/>
      <c r="GHZ146" s="24"/>
      <c r="GIA146" s="24"/>
      <c r="GIB146" s="24"/>
      <c r="GIC146" s="24"/>
      <c r="GID146" s="24"/>
      <c r="GIE146" s="24"/>
      <c r="GIF146" s="24"/>
      <c r="GIG146" s="24"/>
      <c r="GIH146" s="24"/>
      <c r="GII146" s="24"/>
      <c r="GIJ146" s="24"/>
      <c r="GIK146" s="24"/>
      <c r="GIL146" s="24"/>
      <c r="GIM146" s="24"/>
      <c r="GIN146" s="24"/>
      <c r="GIO146" s="24"/>
      <c r="GIP146" s="24"/>
      <c r="GIQ146" s="24"/>
      <c r="GIR146" s="24"/>
      <c r="GIS146" s="24"/>
      <c r="GIT146" s="24"/>
      <c r="GIU146" s="24"/>
      <c r="GIV146" s="24"/>
      <c r="GIW146" s="24"/>
      <c r="GIX146" s="24"/>
      <c r="GIY146" s="24"/>
      <c r="GIZ146" s="24"/>
      <c r="GJA146" s="24"/>
      <c r="GJB146" s="24"/>
      <c r="GJC146" s="24"/>
      <c r="GJD146" s="24"/>
      <c r="GJE146" s="24"/>
      <c r="GJF146" s="24"/>
      <c r="GJG146" s="24"/>
      <c r="GJH146" s="24"/>
      <c r="GJI146" s="24"/>
      <c r="GJJ146" s="24"/>
      <c r="GJK146" s="24"/>
      <c r="GJL146" s="24"/>
      <c r="GJM146" s="24"/>
      <c r="GJN146" s="24"/>
      <c r="GJO146" s="24"/>
      <c r="GJP146" s="24"/>
      <c r="GJQ146" s="24"/>
      <c r="GJR146" s="24"/>
      <c r="GJS146" s="24"/>
      <c r="GJT146" s="24"/>
      <c r="GJU146" s="24"/>
      <c r="GJV146" s="24"/>
      <c r="GJW146" s="24"/>
      <c r="GJX146" s="24"/>
      <c r="GJY146" s="24"/>
      <c r="GJZ146" s="24"/>
      <c r="GKA146" s="24"/>
      <c r="GKB146" s="24"/>
      <c r="GKC146" s="24"/>
      <c r="GKD146" s="24"/>
      <c r="GKE146" s="24"/>
      <c r="GKF146" s="24"/>
      <c r="GKG146" s="24"/>
      <c r="GKH146" s="24"/>
      <c r="GKI146" s="24"/>
      <c r="GKJ146" s="24"/>
      <c r="GKK146" s="24"/>
      <c r="GKL146" s="24"/>
      <c r="GKM146" s="24"/>
      <c r="GKN146" s="24"/>
      <c r="GKO146" s="24"/>
      <c r="GKP146" s="24"/>
      <c r="GKQ146" s="24"/>
      <c r="GKR146" s="24"/>
      <c r="GKS146" s="24"/>
      <c r="GKT146" s="24"/>
      <c r="GKU146" s="24"/>
      <c r="GKV146" s="24"/>
      <c r="GKW146" s="24"/>
      <c r="GKX146" s="24"/>
      <c r="GKY146" s="24"/>
      <c r="GKZ146" s="24"/>
      <c r="GLA146" s="24"/>
      <c r="GLB146" s="24"/>
      <c r="GLC146" s="24"/>
      <c r="GLD146" s="24"/>
      <c r="GLE146" s="24"/>
      <c r="GLF146" s="24"/>
      <c r="GLG146" s="24"/>
      <c r="GLH146" s="24"/>
      <c r="GLI146" s="24"/>
      <c r="GLJ146" s="24"/>
      <c r="GLK146" s="24"/>
      <c r="GLL146" s="24"/>
      <c r="GLM146" s="24"/>
      <c r="GLN146" s="24"/>
      <c r="GLO146" s="24"/>
      <c r="GLP146" s="24"/>
      <c r="GLQ146" s="24"/>
      <c r="GLR146" s="24"/>
      <c r="GLS146" s="24"/>
      <c r="GLT146" s="24"/>
      <c r="GLU146" s="24"/>
      <c r="GLV146" s="24"/>
      <c r="GLW146" s="24"/>
      <c r="GLX146" s="24"/>
      <c r="GLY146" s="24"/>
      <c r="GLZ146" s="24"/>
      <c r="GMA146" s="24"/>
      <c r="GMB146" s="24"/>
      <c r="GMC146" s="24"/>
      <c r="GMD146" s="24"/>
      <c r="GME146" s="24"/>
      <c r="GMF146" s="24"/>
      <c r="GMG146" s="24"/>
      <c r="GMH146" s="24"/>
      <c r="GMI146" s="24"/>
      <c r="GMJ146" s="24"/>
      <c r="GMK146" s="24"/>
      <c r="GML146" s="24"/>
      <c r="GMM146" s="24"/>
      <c r="GMN146" s="24"/>
      <c r="GMO146" s="24"/>
      <c r="GMP146" s="24"/>
      <c r="GMQ146" s="24"/>
      <c r="GMR146" s="24"/>
      <c r="GMS146" s="24"/>
      <c r="GMT146" s="24"/>
      <c r="GMU146" s="24"/>
      <c r="GMV146" s="24"/>
      <c r="GMW146" s="24"/>
      <c r="GMX146" s="24"/>
      <c r="GMY146" s="24"/>
      <c r="GMZ146" s="24"/>
      <c r="GNA146" s="24"/>
      <c r="GNB146" s="24"/>
      <c r="GNC146" s="24"/>
      <c r="GND146" s="24"/>
      <c r="GNE146" s="24"/>
      <c r="GNF146" s="24"/>
      <c r="GNG146" s="24"/>
      <c r="GNH146" s="24"/>
      <c r="GNI146" s="24"/>
      <c r="GNJ146" s="24"/>
      <c r="GNK146" s="24"/>
      <c r="GNL146" s="24"/>
      <c r="GNM146" s="24"/>
      <c r="GNN146" s="24"/>
      <c r="GNO146" s="24"/>
      <c r="GNP146" s="24"/>
      <c r="GNQ146" s="24"/>
      <c r="GNR146" s="24"/>
      <c r="GNS146" s="24"/>
      <c r="GNT146" s="24"/>
      <c r="GNU146" s="24"/>
      <c r="GNV146" s="24"/>
      <c r="GNW146" s="24"/>
      <c r="GNX146" s="24"/>
      <c r="GNY146" s="24"/>
      <c r="GNZ146" s="24"/>
      <c r="GOA146" s="24"/>
      <c r="GOB146" s="24"/>
      <c r="GOC146" s="24"/>
      <c r="GOD146" s="24"/>
      <c r="GOE146" s="24"/>
      <c r="GOF146" s="24"/>
      <c r="GOG146" s="24"/>
      <c r="GOH146" s="24"/>
      <c r="GOI146" s="24"/>
      <c r="GOJ146" s="24"/>
      <c r="GOK146" s="24"/>
      <c r="GOL146" s="24"/>
      <c r="GOM146" s="24"/>
      <c r="GON146" s="24"/>
      <c r="GOO146" s="24"/>
      <c r="GOP146" s="24"/>
      <c r="GOQ146" s="24"/>
      <c r="GOR146" s="24"/>
      <c r="GOS146" s="24"/>
      <c r="GOT146" s="24"/>
      <c r="GOU146" s="24"/>
      <c r="GOV146" s="24"/>
      <c r="GOW146" s="24"/>
      <c r="GOX146" s="24"/>
      <c r="GOY146" s="24"/>
      <c r="GOZ146" s="24"/>
      <c r="GPA146" s="24"/>
      <c r="GPB146" s="24"/>
      <c r="GPC146" s="24"/>
      <c r="GPD146" s="24"/>
      <c r="GPE146" s="24"/>
      <c r="GPF146" s="24"/>
      <c r="GPG146" s="24"/>
      <c r="GPH146" s="24"/>
      <c r="GPI146" s="24"/>
      <c r="GPJ146" s="24"/>
      <c r="GPK146" s="24"/>
      <c r="GPL146" s="24"/>
      <c r="GPM146" s="24"/>
      <c r="GPN146" s="24"/>
      <c r="GPO146" s="24"/>
      <c r="GPP146" s="24"/>
      <c r="GPQ146" s="24"/>
      <c r="GPR146" s="24"/>
      <c r="GPS146" s="24"/>
      <c r="GPT146" s="24"/>
      <c r="GPU146" s="24"/>
      <c r="GPV146" s="24"/>
      <c r="GPW146" s="24"/>
      <c r="GPX146" s="24"/>
      <c r="GPY146" s="24"/>
      <c r="GPZ146" s="24"/>
      <c r="GQA146" s="24"/>
      <c r="GQB146" s="24"/>
      <c r="GQC146" s="24"/>
      <c r="GQD146" s="24"/>
      <c r="GQE146" s="24"/>
      <c r="GQF146" s="24"/>
      <c r="GQG146" s="24"/>
      <c r="GQH146" s="24"/>
      <c r="GQI146" s="24"/>
      <c r="GQJ146" s="24"/>
      <c r="GQK146" s="24"/>
      <c r="GQL146" s="24"/>
      <c r="GQM146" s="24"/>
      <c r="GQN146" s="24"/>
      <c r="GQO146" s="24"/>
      <c r="GQP146" s="24"/>
      <c r="GQQ146" s="24"/>
      <c r="GQR146" s="24"/>
      <c r="GQS146" s="24"/>
      <c r="GQT146" s="24"/>
      <c r="GQU146" s="24"/>
      <c r="GQV146" s="24"/>
      <c r="GQW146" s="24"/>
      <c r="GQX146" s="24"/>
      <c r="GQY146" s="24"/>
      <c r="GQZ146" s="24"/>
      <c r="GRA146" s="24"/>
      <c r="GRB146" s="24"/>
      <c r="GRC146" s="24"/>
      <c r="GRD146" s="24"/>
      <c r="GRE146" s="24"/>
      <c r="GRF146" s="24"/>
      <c r="GRG146" s="24"/>
      <c r="GRH146" s="24"/>
      <c r="GRI146" s="24"/>
      <c r="GRJ146" s="24"/>
      <c r="GRK146" s="24"/>
      <c r="GRL146" s="24"/>
      <c r="GRM146" s="24"/>
      <c r="GRN146" s="24"/>
      <c r="GRO146" s="24"/>
      <c r="GRP146" s="24"/>
      <c r="GRQ146" s="24"/>
      <c r="GRR146" s="24"/>
      <c r="GRS146" s="24"/>
      <c r="GRT146" s="24"/>
      <c r="GRU146" s="24"/>
      <c r="GRV146" s="24"/>
      <c r="GRW146" s="24"/>
      <c r="GRX146" s="24"/>
      <c r="GRY146" s="24"/>
      <c r="GRZ146" s="24"/>
      <c r="GSA146" s="24"/>
      <c r="GSB146" s="24"/>
      <c r="GSC146" s="24"/>
      <c r="GSD146" s="24"/>
      <c r="GSE146" s="24"/>
      <c r="GSF146" s="24"/>
      <c r="GSG146" s="24"/>
      <c r="GSH146" s="24"/>
      <c r="GSI146" s="24"/>
      <c r="GSJ146" s="24"/>
      <c r="GSK146" s="24"/>
      <c r="GSL146" s="24"/>
      <c r="GSM146" s="24"/>
      <c r="GSN146" s="24"/>
      <c r="GSO146" s="24"/>
      <c r="GSP146" s="24"/>
      <c r="GSQ146" s="24"/>
      <c r="GSR146" s="24"/>
      <c r="GSS146" s="24"/>
      <c r="GST146" s="24"/>
      <c r="GSU146" s="24"/>
      <c r="GSV146" s="24"/>
      <c r="GSW146" s="24"/>
      <c r="GSX146" s="24"/>
      <c r="GSY146" s="24"/>
      <c r="GSZ146" s="24"/>
      <c r="GTA146" s="24"/>
      <c r="GTB146" s="24"/>
      <c r="GTC146" s="24"/>
      <c r="GTD146" s="24"/>
      <c r="GTE146" s="24"/>
      <c r="GTF146" s="24"/>
      <c r="GTG146" s="24"/>
      <c r="GTH146" s="24"/>
      <c r="GTI146" s="24"/>
      <c r="GTJ146" s="24"/>
      <c r="GTK146" s="24"/>
      <c r="GTL146" s="24"/>
      <c r="GTM146" s="24"/>
      <c r="GTN146" s="24"/>
      <c r="GTO146" s="24"/>
      <c r="GTP146" s="24"/>
      <c r="GTQ146" s="24"/>
      <c r="GTR146" s="24"/>
      <c r="GTS146" s="24"/>
      <c r="GTT146" s="24"/>
      <c r="GTU146" s="24"/>
      <c r="GTV146" s="24"/>
      <c r="GTW146" s="24"/>
      <c r="GTX146" s="24"/>
      <c r="GTY146" s="24"/>
      <c r="GTZ146" s="24"/>
      <c r="GUA146" s="24"/>
      <c r="GUB146" s="24"/>
      <c r="GUC146" s="24"/>
      <c r="GUD146" s="24"/>
      <c r="GUE146" s="24"/>
      <c r="GUF146" s="24"/>
      <c r="GUG146" s="24"/>
      <c r="GUH146" s="24"/>
      <c r="GUI146" s="24"/>
      <c r="GUJ146" s="24"/>
      <c r="GUK146" s="24"/>
      <c r="GUL146" s="24"/>
      <c r="GUM146" s="24"/>
      <c r="GUN146" s="24"/>
      <c r="GUO146" s="24"/>
      <c r="GUP146" s="24"/>
      <c r="GUQ146" s="24"/>
      <c r="GUR146" s="24"/>
      <c r="GUS146" s="24"/>
      <c r="GUT146" s="24"/>
      <c r="GUU146" s="24"/>
      <c r="GUV146" s="24"/>
      <c r="GUW146" s="24"/>
      <c r="GUX146" s="24"/>
      <c r="GUY146" s="24"/>
      <c r="GUZ146" s="24"/>
      <c r="GVA146" s="24"/>
      <c r="GVB146" s="24"/>
      <c r="GVC146" s="24"/>
      <c r="GVD146" s="24"/>
      <c r="GVE146" s="24"/>
      <c r="GVF146" s="24"/>
      <c r="GVG146" s="24"/>
      <c r="GVH146" s="24"/>
      <c r="GVI146" s="24"/>
      <c r="GVJ146" s="24"/>
      <c r="GVK146" s="24"/>
      <c r="GVL146" s="24"/>
      <c r="GVM146" s="24"/>
      <c r="GVN146" s="24"/>
      <c r="GVO146" s="24"/>
      <c r="GVP146" s="24"/>
      <c r="GVQ146" s="24"/>
      <c r="GVR146" s="24"/>
      <c r="GVS146" s="24"/>
      <c r="GVT146" s="24"/>
      <c r="GVU146" s="24"/>
      <c r="GVV146" s="24"/>
      <c r="GVW146" s="24"/>
      <c r="GVX146" s="24"/>
      <c r="GVY146" s="24"/>
      <c r="GVZ146" s="24"/>
      <c r="GWA146" s="24"/>
      <c r="GWB146" s="24"/>
      <c r="GWC146" s="24"/>
      <c r="GWD146" s="24"/>
      <c r="GWE146" s="24"/>
      <c r="GWF146" s="24"/>
      <c r="GWG146" s="24"/>
      <c r="GWH146" s="24"/>
      <c r="GWI146" s="24"/>
      <c r="GWJ146" s="24"/>
      <c r="GWK146" s="24"/>
      <c r="GWL146" s="24"/>
      <c r="GWM146" s="24"/>
      <c r="GWN146" s="24"/>
      <c r="GWO146" s="24"/>
      <c r="GWP146" s="24"/>
      <c r="GWQ146" s="24"/>
      <c r="GWR146" s="24"/>
      <c r="GWS146" s="24"/>
      <c r="GWT146" s="24"/>
      <c r="GWU146" s="24"/>
      <c r="GWV146" s="24"/>
      <c r="GWW146" s="24"/>
      <c r="GWX146" s="24"/>
      <c r="GWY146" s="24"/>
      <c r="GWZ146" s="24"/>
      <c r="GXA146" s="24"/>
      <c r="GXB146" s="24"/>
      <c r="GXC146" s="24"/>
      <c r="GXD146" s="24"/>
      <c r="GXE146" s="24"/>
      <c r="GXF146" s="24"/>
      <c r="GXG146" s="24"/>
      <c r="GXH146" s="24"/>
      <c r="GXI146" s="24"/>
      <c r="GXJ146" s="24"/>
      <c r="GXK146" s="24"/>
      <c r="GXL146" s="24"/>
      <c r="GXM146" s="24"/>
      <c r="GXN146" s="24"/>
      <c r="GXO146" s="24"/>
      <c r="GXP146" s="24"/>
      <c r="GXQ146" s="24"/>
      <c r="GXR146" s="24"/>
      <c r="GXS146" s="24"/>
      <c r="GXT146" s="24"/>
      <c r="GXU146" s="24"/>
      <c r="GXV146" s="24"/>
      <c r="GXW146" s="24"/>
      <c r="GXX146" s="24"/>
      <c r="GXY146" s="24"/>
      <c r="GXZ146" s="24"/>
      <c r="GYA146" s="24"/>
      <c r="GYB146" s="24"/>
      <c r="GYC146" s="24"/>
      <c r="GYD146" s="24"/>
      <c r="GYE146" s="24"/>
      <c r="GYF146" s="24"/>
      <c r="GYG146" s="24"/>
      <c r="GYH146" s="24"/>
      <c r="GYI146" s="24"/>
      <c r="GYJ146" s="24"/>
      <c r="GYK146" s="24"/>
      <c r="GYL146" s="24"/>
      <c r="GYM146" s="24"/>
      <c r="GYN146" s="24"/>
      <c r="GYO146" s="24"/>
      <c r="GYP146" s="24"/>
      <c r="GYQ146" s="24"/>
      <c r="GYR146" s="24"/>
      <c r="GYS146" s="24"/>
      <c r="GYT146" s="24"/>
      <c r="GYU146" s="24"/>
      <c r="GYV146" s="24"/>
      <c r="GYW146" s="24"/>
      <c r="GYX146" s="24"/>
      <c r="GYY146" s="24"/>
      <c r="GYZ146" s="24"/>
      <c r="GZA146" s="24"/>
      <c r="GZB146" s="24"/>
      <c r="GZC146" s="24"/>
      <c r="GZD146" s="24"/>
      <c r="GZE146" s="24"/>
      <c r="GZF146" s="24"/>
      <c r="GZG146" s="24"/>
      <c r="GZH146" s="24"/>
      <c r="GZI146" s="24"/>
      <c r="GZJ146" s="24"/>
      <c r="GZK146" s="24"/>
      <c r="GZL146" s="24"/>
      <c r="GZM146" s="24"/>
      <c r="GZN146" s="24"/>
      <c r="GZO146" s="24"/>
      <c r="GZP146" s="24"/>
      <c r="GZQ146" s="24"/>
      <c r="GZR146" s="24"/>
      <c r="GZS146" s="24"/>
      <c r="GZT146" s="24"/>
      <c r="GZU146" s="24"/>
      <c r="GZV146" s="24"/>
      <c r="GZW146" s="24"/>
      <c r="GZX146" s="24"/>
      <c r="GZY146" s="24"/>
      <c r="GZZ146" s="24"/>
      <c r="HAA146" s="24"/>
      <c r="HAB146" s="24"/>
      <c r="HAC146" s="24"/>
      <c r="HAD146" s="24"/>
      <c r="HAE146" s="24"/>
      <c r="HAF146" s="24"/>
      <c r="HAG146" s="24"/>
      <c r="HAH146" s="24"/>
      <c r="HAI146" s="24"/>
      <c r="HAJ146" s="24"/>
      <c r="HAK146" s="24"/>
      <c r="HAL146" s="24"/>
      <c r="HAM146" s="24"/>
      <c r="HAN146" s="24"/>
      <c r="HAO146" s="24"/>
      <c r="HAP146" s="24"/>
      <c r="HAQ146" s="24"/>
      <c r="HAR146" s="24"/>
      <c r="HAS146" s="24"/>
      <c r="HAT146" s="24"/>
      <c r="HAU146" s="24"/>
      <c r="HAV146" s="24"/>
      <c r="HAW146" s="24"/>
      <c r="HAX146" s="24"/>
      <c r="HAY146" s="24"/>
      <c r="HAZ146" s="24"/>
      <c r="HBA146" s="24"/>
      <c r="HBB146" s="24"/>
      <c r="HBC146" s="24"/>
      <c r="HBD146" s="24"/>
      <c r="HBE146" s="24"/>
      <c r="HBF146" s="24"/>
      <c r="HBG146" s="24"/>
      <c r="HBH146" s="24"/>
      <c r="HBI146" s="24"/>
      <c r="HBJ146" s="24"/>
      <c r="HBK146" s="24"/>
      <c r="HBL146" s="24"/>
      <c r="HBM146" s="24"/>
      <c r="HBN146" s="24"/>
      <c r="HBO146" s="24"/>
      <c r="HBP146" s="24"/>
      <c r="HBQ146" s="24"/>
      <c r="HBR146" s="24"/>
      <c r="HBS146" s="24"/>
      <c r="HBT146" s="24"/>
      <c r="HBU146" s="24"/>
      <c r="HBV146" s="24"/>
      <c r="HBW146" s="24"/>
      <c r="HBX146" s="24"/>
      <c r="HBY146" s="24"/>
      <c r="HBZ146" s="24"/>
      <c r="HCA146" s="24"/>
      <c r="HCB146" s="24"/>
      <c r="HCC146" s="24"/>
      <c r="HCD146" s="24"/>
      <c r="HCE146" s="24"/>
      <c r="HCF146" s="24"/>
      <c r="HCG146" s="24"/>
      <c r="HCH146" s="24"/>
      <c r="HCI146" s="24"/>
      <c r="HCJ146" s="24"/>
      <c r="HCK146" s="24"/>
      <c r="HCL146" s="24"/>
      <c r="HCM146" s="24"/>
      <c r="HCN146" s="24"/>
      <c r="HCO146" s="24"/>
      <c r="HCP146" s="24"/>
      <c r="HCQ146" s="24"/>
      <c r="HCR146" s="24"/>
      <c r="HCS146" s="24"/>
      <c r="HCT146" s="24"/>
      <c r="HCU146" s="24"/>
      <c r="HCV146" s="24"/>
      <c r="HCW146" s="24"/>
      <c r="HCX146" s="24"/>
      <c r="HCY146" s="24"/>
      <c r="HCZ146" s="24"/>
      <c r="HDA146" s="24"/>
      <c r="HDB146" s="24"/>
      <c r="HDC146" s="24"/>
      <c r="HDD146" s="24"/>
      <c r="HDE146" s="24"/>
      <c r="HDF146" s="24"/>
      <c r="HDG146" s="24"/>
      <c r="HDH146" s="24"/>
      <c r="HDI146" s="24"/>
      <c r="HDJ146" s="24"/>
      <c r="HDK146" s="24"/>
      <c r="HDL146" s="24"/>
      <c r="HDM146" s="24"/>
      <c r="HDN146" s="24"/>
      <c r="HDO146" s="24"/>
      <c r="HDP146" s="24"/>
      <c r="HDQ146" s="24"/>
      <c r="HDR146" s="24"/>
      <c r="HDS146" s="24"/>
      <c r="HDT146" s="24"/>
      <c r="HDU146" s="24"/>
      <c r="HDV146" s="24"/>
      <c r="HDW146" s="24"/>
      <c r="HDX146" s="24"/>
      <c r="HDY146" s="24"/>
      <c r="HDZ146" s="24"/>
      <c r="HEA146" s="24"/>
      <c r="HEB146" s="24"/>
      <c r="HEC146" s="24"/>
      <c r="HED146" s="24"/>
      <c r="HEE146" s="24"/>
      <c r="HEF146" s="24"/>
      <c r="HEG146" s="24"/>
      <c r="HEH146" s="24"/>
      <c r="HEI146" s="24"/>
      <c r="HEJ146" s="24"/>
      <c r="HEK146" s="24"/>
      <c r="HEL146" s="24"/>
      <c r="HEM146" s="24"/>
      <c r="HEN146" s="24"/>
      <c r="HEO146" s="24"/>
      <c r="HEP146" s="24"/>
      <c r="HEQ146" s="24"/>
      <c r="HER146" s="24"/>
      <c r="HES146" s="24"/>
      <c r="HET146" s="24"/>
      <c r="HEU146" s="24"/>
      <c r="HEV146" s="24"/>
      <c r="HEW146" s="24"/>
      <c r="HEX146" s="24"/>
      <c r="HEY146" s="24"/>
      <c r="HEZ146" s="24"/>
      <c r="HFA146" s="24"/>
      <c r="HFB146" s="24"/>
      <c r="HFC146" s="24"/>
      <c r="HFD146" s="24"/>
      <c r="HFE146" s="24"/>
      <c r="HFF146" s="24"/>
      <c r="HFG146" s="24"/>
      <c r="HFH146" s="24"/>
      <c r="HFI146" s="24"/>
      <c r="HFJ146" s="24"/>
      <c r="HFK146" s="24"/>
      <c r="HFL146" s="24"/>
      <c r="HFM146" s="24"/>
      <c r="HFN146" s="24"/>
      <c r="HFO146" s="24"/>
      <c r="HFP146" s="24"/>
      <c r="HFQ146" s="24"/>
      <c r="HFR146" s="24"/>
      <c r="HFS146" s="24"/>
      <c r="HFT146" s="24"/>
      <c r="HFU146" s="24"/>
      <c r="HFV146" s="24"/>
      <c r="HFW146" s="24"/>
      <c r="HFX146" s="24"/>
      <c r="HFY146" s="24"/>
      <c r="HFZ146" s="24"/>
      <c r="HGA146" s="24"/>
      <c r="HGB146" s="24"/>
      <c r="HGC146" s="24"/>
      <c r="HGD146" s="24"/>
      <c r="HGE146" s="24"/>
      <c r="HGF146" s="24"/>
      <c r="HGG146" s="24"/>
      <c r="HGH146" s="24"/>
      <c r="HGI146" s="24"/>
      <c r="HGJ146" s="24"/>
      <c r="HGK146" s="24"/>
      <c r="HGL146" s="24"/>
      <c r="HGM146" s="24"/>
      <c r="HGN146" s="24"/>
      <c r="HGO146" s="24"/>
      <c r="HGP146" s="24"/>
      <c r="HGQ146" s="24"/>
      <c r="HGR146" s="24"/>
      <c r="HGS146" s="24"/>
      <c r="HGT146" s="24"/>
      <c r="HGU146" s="24"/>
      <c r="HGV146" s="24"/>
      <c r="HGW146" s="24"/>
      <c r="HGX146" s="24"/>
      <c r="HGY146" s="24"/>
      <c r="HGZ146" s="24"/>
      <c r="HHA146" s="24"/>
      <c r="HHB146" s="24"/>
      <c r="HHC146" s="24"/>
      <c r="HHD146" s="24"/>
      <c r="HHE146" s="24"/>
      <c r="HHF146" s="24"/>
      <c r="HHG146" s="24"/>
      <c r="HHH146" s="24"/>
      <c r="HHI146" s="24"/>
      <c r="HHJ146" s="24"/>
      <c r="HHK146" s="24"/>
      <c r="HHL146" s="24"/>
      <c r="HHM146" s="24"/>
      <c r="HHN146" s="24"/>
      <c r="HHO146" s="24"/>
      <c r="HHP146" s="24"/>
      <c r="HHQ146" s="24"/>
      <c r="HHR146" s="24"/>
      <c r="HHS146" s="24"/>
      <c r="HHT146" s="24"/>
      <c r="HHU146" s="24"/>
      <c r="HHV146" s="24"/>
      <c r="HHW146" s="24"/>
      <c r="HHX146" s="24"/>
      <c r="HHY146" s="24"/>
      <c r="HHZ146" s="24"/>
      <c r="HIA146" s="24"/>
      <c r="HIB146" s="24"/>
      <c r="HIC146" s="24"/>
      <c r="HID146" s="24"/>
      <c r="HIE146" s="24"/>
      <c r="HIF146" s="24"/>
      <c r="HIG146" s="24"/>
      <c r="HIH146" s="24"/>
      <c r="HII146" s="24"/>
      <c r="HIJ146" s="24"/>
      <c r="HIK146" s="24"/>
      <c r="HIL146" s="24"/>
      <c r="HIM146" s="24"/>
      <c r="HIN146" s="24"/>
      <c r="HIO146" s="24"/>
      <c r="HIP146" s="24"/>
      <c r="HIQ146" s="24"/>
      <c r="HIR146" s="24"/>
      <c r="HIS146" s="24"/>
      <c r="HIT146" s="24"/>
      <c r="HIU146" s="24"/>
      <c r="HIV146" s="24"/>
      <c r="HIW146" s="24"/>
      <c r="HIX146" s="24"/>
      <c r="HIY146" s="24"/>
      <c r="HIZ146" s="24"/>
      <c r="HJA146" s="24"/>
      <c r="HJB146" s="24"/>
      <c r="HJC146" s="24"/>
      <c r="HJD146" s="24"/>
      <c r="HJE146" s="24"/>
      <c r="HJF146" s="24"/>
      <c r="HJG146" s="24"/>
      <c r="HJH146" s="24"/>
      <c r="HJI146" s="24"/>
      <c r="HJJ146" s="24"/>
      <c r="HJK146" s="24"/>
      <c r="HJL146" s="24"/>
      <c r="HJM146" s="24"/>
      <c r="HJN146" s="24"/>
      <c r="HJO146" s="24"/>
      <c r="HJP146" s="24"/>
      <c r="HJQ146" s="24"/>
      <c r="HJR146" s="24"/>
      <c r="HJS146" s="24"/>
      <c r="HJT146" s="24"/>
      <c r="HJU146" s="24"/>
      <c r="HJV146" s="24"/>
      <c r="HJW146" s="24"/>
      <c r="HJX146" s="24"/>
      <c r="HJY146" s="24"/>
      <c r="HJZ146" s="24"/>
      <c r="HKA146" s="24"/>
      <c r="HKB146" s="24"/>
      <c r="HKC146" s="24"/>
      <c r="HKD146" s="24"/>
      <c r="HKE146" s="24"/>
      <c r="HKF146" s="24"/>
      <c r="HKG146" s="24"/>
      <c r="HKH146" s="24"/>
      <c r="HKI146" s="24"/>
      <c r="HKJ146" s="24"/>
      <c r="HKK146" s="24"/>
      <c r="HKL146" s="24"/>
      <c r="HKM146" s="24"/>
      <c r="HKN146" s="24"/>
      <c r="HKO146" s="24"/>
      <c r="HKP146" s="24"/>
      <c r="HKQ146" s="24"/>
      <c r="HKR146" s="24"/>
      <c r="HKS146" s="24"/>
      <c r="HKT146" s="24"/>
      <c r="HKU146" s="24"/>
      <c r="HKV146" s="24"/>
      <c r="HKW146" s="24"/>
      <c r="HKX146" s="24"/>
      <c r="HKY146" s="24"/>
      <c r="HKZ146" s="24"/>
      <c r="HLA146" s="24"/>
      <c r="HLB146" s="24"/>
      <c r="HLC146" s="24"/>
      <c r="HLD146" s="24"/>
      <c r="HLE146" s="24"/>
      <c r="HLF146" s="24"/>
      <c r="HLG146" s="24"/>
      <c r="HLH146" s="24"/>
      <c r="HLI146" s="24"/>
      <c r="HLJ146" s="24"/>
      <c r="HLK146" s="24"/>
      <c r="HLL146" s="24"/>
      <c r="HLM146" s="24"/>
      <c r="HLN146" s="24"/>
      <c r="HLO146" s="24"/>
      <c r="HLP146" s="24"/>
      <c r="HLQ146" s="24"/>
      <c r="HLR146" s="24"/>
      <c r="HLS146" s="24"/>
      <c r="HLT146" s="24"/>
      <c r="HLU146" s="24"/>
      <c r="HLV146" s="24"/>
      <c r="HLW146" s="24"/>
      <c r="HLX146" s="24"/>
      <c r="HLY146" s="24"/>
      <c r="HLZ146" s="24"/>
      <c r="HMA146" s="24"/>
      <c r="HMB146" s="24"/>
      <c r="HMC146" s="24"/>
      <c r="HMD146" s="24"/>
      <c r="HME146" s="24"/>
      <c r="HMF146" s="24"/>
      <c r="HMG146" s="24"/>
      <c r="HMH146" s="24"/>
      <c r="HMI146" s="24"/>
      <c r="HMJ146" s="24"/>
      <c r="HMK146" s="24"/>
      <c r="HML146" s="24"/>
      <c r="HMM146" s="24"/>
      <c r="HMN146" s="24"/>
      <c r="HMO146" s="24"/>
      <c r="HMP146" s="24"/>
      <c r="HMQ146" s="24"/>
      <c r="HMR146" s="24"/>
      <c r="HMS146" s="24"/>
      <c r="HMT146" s="24"/>
      <c r="HMU146" s="24"/>
      <c r="HMV146" s="24"/>
      <c r="HMW146" s="24"/>
      <c r="HMX146" s="24"/>
      <c r="HMY146" s="24"/>
      <c r="HMZ146" s="24"/>
      <c r="HNA146" s="24"/>
      <c r="HNB146" s="24"/>
      <c r="HNC146" s="24"/>
      <c r="HND146" s="24"/>
      <c r="HNE146" s="24"/>
      <c r="HNF146" s="24"/>
      <c r="HNG146" s="24"/>
      <c r="HNH146" s="24"/>
      <c r="HNI146" s="24"/>
      <c r="HNJ146" s="24"/>
      <c r="HNK146" s="24"/>
      <c r="HNL146" s="24"/>
      <c r="HNM146" s="24"/>
      <c r="HNN146" s="24"/>
      <c r="HNO146" s="24"/>
      <c r="HNP146" s="24"/>
      <c r="HNQ146" s="24"/>
      <c r="HNR146" s="24"/>
      <c r="HNS146" s="24"/>
      <c r="HNT146" s="24"/>
      <c r="HNU146" s="24"/>
      <c r="HNV146" s="24"/>
      <c r="HNW146" s="24"/>
      <c r="HNX146" s="24"/>
      <c r="HNY146" s="24"/>
      <c r="HNZ146" s="24"/>
      <c r="HOA146" s="24"/>
      <c r="HOB146" s="24"/>
      <c r="HOC146" s="24"/>
      <c r="HOD146" s="24"/>
      <c r="HOE146" s="24"/>
      <c r="HOF146" s="24"/>
      <c r="HOG146" s="24"/>
      <c r="HOH146" s="24"/>
      <c r="HOI146" s="24"/>
      <c r="HOJ146" s="24"/>
      <c r="HOK146" s="24"/>
      <c r="HOL146" s="24"/>
      <c r="HOM146" s="24"/>
      <c r="HON146" s="24"/>
      <c r="HOO146" s="24"/>
      <c r="HOP146" s="24"/>
      <c r="HOQ146" s="24"/>
      <c r="HOR146" s="24"/>
      <c r="HOS146" s="24"/>
      <c r="HOT146" s="24"/>
      <c r="HOU146" s="24"/>
      <c r="HOV146" s="24"/>
      <c r="HOW146" s="24"/>
      <c r="HOX146" s="24"/>
      <c r="HOY146" s="24"/>
      <c r="HOZ146" s="24"/>
      <c r="HPA146" s="24"/>
      <c r="HPB146" s="24"/>
      <c r="HPC146" s="24"/>
      <c r="HPD146" s="24"/>
      <c r="HPE146" s="24"/>
      <c r="HPF146" s="24"/>
      <c r="HPG146" s="24"/>
      <c r="HPH146" s="24"/>
      <c r="HPI146" s="24"/>
      <c r="HPJ146" s="24"/>
      <c r="HPK146" s="24"/>
      <c r="HPL146" s="24"/>
      <c r="HPM146" s="24"/>
      <c r="HPN146" s="24"/>
      <c r="HPO146" s="24"/>
      <c r="HPP146" s="24"/>
      <c r="HPQ146" s="24"/>
      <c r="HPR146" s="24"/>
      <c r="HPS146" s="24"/>
      <c r="HPT146" s="24"/>
      <c r="HPU146" s="24"/>
      <c r="HPV146" s="24"/>
      <c r="HPW146" s="24"/>
      <c r="HPX146" s="24"/>
      <c r="HPY146" s="24"/>
      <c r="HPZ146" s="24"/>
      <c r="HQA146" s="24"/>
      <c r="HQB146" s="24"/>
      <c r="HQC146" s="24"/>
      <c r="HQD146" s="24"/>
      <c r="HQE146" s="24"/>
      <c r="HQF146" s="24"/>
      <c r="HQG146" s="24"/>
      <c r="HQH146" s="24"/>
      <c r="HQI146" s="24"/>
      <c r="HQJ146" s="24"/>
      <c r="HQK146" s="24"/>
      <c r="HQL146" s="24"/>
      <c r="HQM146" s="24"/>
      <c r="HQN146" s="24"/>
      <c r="HQO146" s="24"/>
      <c r="HQP146" s="24"/>
      <c r="HQQ146" s="24"/>
      <c r="HQR146" s="24"/>
      <c r="HQS146" s="24"/>
      <c r="HQT146" s="24"/>
      <c r="HQU146" s="24"/>
      <c r="HQV146" s="24"/>
      <c r="HQW146" s="24"/>
      <c r="HQX146" s="24"/>
      <c r="HQY146" s="24"/>
      <c r="HQZ146" s="24"/>
      <c r="HRA146" s="24"/>
      <c r="HRB146" s="24"/>
      <c r="HRC146" s="24"/>
      <c r="HRD146" s="24"/>
      <c r="HRE146" s="24"/>
      <c r="HRF146" s="24"/>
      <c r="HRG146" s="24"/>
      <c r="HRH146" s="24"/>
      <c r="HRI146" s="24"/>
      <c r="HRJ146" s="24"/>
      <c r="HRK146" s="24"/>
      <c r="HRL146" s="24"/>
      <c r="HRM146" s="24"/>
      <c r="HRN146" s="24"/>
      <c r="HRO146" s="24"/>
      <c r="HRP146" s="24"/>
      <c r="HRQ146" s="24"/>
      <c r="HRR146" s="24"/>
      <c r="HRS146" s="24"/>
      <c r="HRT146" s="24"/>
      <c r="HRU146" s="24"/>
      <c r="HRV146" s="24"/>
      <c r="HRW146" s="24"/>
      <c r="HRX146" s="24"/>
      <c r="HRY146" s="24"/>
      <c r="HRZ146" s="24"/>
      <c r="HSA146" s="24"/>
      <c r="HSB146" s="24"/>
      <c r="HSC146" s="24"/>
      <c r="HSD146" s="24"/>
      <c r="HSE146" s="24"/>
      <c r="HSF146" s="24"/>
      <c r="HSG146" s="24"/>
      <c r="HSH146" s="24"/>
      <c r="HSI146" s="24"/>
      <c r="HSJ146" s="24"/>
      <c r="HSK146" s="24"/>
      <c r="HSL146" s="24"/>
      <c r="HSM146" s="24"/>
      <c r="HSN146" s="24"/>
      <c r="HSO146" s="24"/>
      <c r="HSP146" s="24"/>
      <c r="HSQ146" s="24"/>
      <c r="HSR146" s="24"/>
      <c r="HSS146" s="24"/>
      <c r="HST146" s="24"/>
      <c r="HSU146" s="24"/>
      <c r="HSV146" s="24"/>
      <c r="HSW146" s="24"/>
      <c r="HSX146" s="24"/>
      <c r="HSY146" s="24"/>
      <c r="HSZ146" s="24"/>
      <c r="HTA146" s="24"/>
      <c r="HTB146" s="24"/>
      <c r="HTC146" s="24"/>
      <c r="HTD146" s="24"/>
      <c r="HTE146" s="24"/>
      <c r="HTF146" s="24"/>
      <c r="HTG146" s="24"/>
      <c r="HTH146" s="24"/>
      <c r="HTI146" s="24"/>
      <c r="HTJ146" s="24"/>
      <c r="HTK146" s="24"/>
      <c r="HTL146" s="24"/>
      <c r="HTM146" s="24"/>
      <c r="HTN146" s="24"/>
      <c r="HTO146" s="24"/>
      <c r="HTP146" s="24"/>
      <c r="HTQ146" s="24"/>
      <c r="HTR146" s="24"/>
      <c r="HTS146" s="24"/>
      <c r="HTT146" s="24"/>
      <c r="HTU146" s="24"/>
      <c r="HTV146" s="24"/>
      <c r="HTW146" s="24"/>
      <c r="HTX146" s="24"/>
      <c r="HTY146" s="24"/>
      <c r="HTZ146" s="24"/>
      <c r="HUA146" s="24"/>
      <c r="HUB146" s="24"/>
      <c r="HUC146" s="24"/>
      <c r="HUD146" s="24"/>
      <c r="HUE146" s="24"/>
      <c r="HUF146" s="24"/>
      <c r="HUG146" s="24"/>
      <c r="HUH146" s="24"/>
      <c r="HUI146" s="24"/>
      <c r="HUJ146" s="24"/>
      <c r="HUK146" s="24"/>
      <c r="HUL146" s="24"/>
      <c r="HUM146" s="24"/>
      <c r="HUN146" s="24"/>
      <c r="HUO146" s="24"/>
      <c r="HUP146" s="24"/>
      <c r="HUQ146" s="24"/>
      <c r="HUR146" s="24"/>
      <c r="HUS146" s="24"/>
      <c r="HUT146" s="24"/>
      <c r="HUU146" s="24"/>
      <c r="HUV146" s="24"/>
      <c r="HUW146" s="24"/>
      <c r="HUX146" s="24"/>
      <c r="HUY146" s="24"/>
      <c r="HUZ146" s="24"/>
      <c r="HVA146" s="24"/>
      <c r="HVB146" s="24"/>
      <c r="HVC146" s="24"/>
      <c r="HVD146" s="24"/>
      <c r="HVE146" s="24"/>
      <c r="HVF146" s="24"/>
      <c r="HVG146" s="24"/>
      <c r="HVH146" s="24"/>
      <c r="HVI146" s="24"/>
      <c r="HVJ146" s="24"/>
      <c r="HVK146" s="24"/>
      <c r="HVL146" s="24"/>
      <c r="HVM146" s="24"/>
      <c r="HVN146" s="24"/>
      <c r="HVO146" s="24"/>
      <c r="HVP146" s="24"/>
      <c r="HVQ146" s="24"/>
      <c r="HVR146" s="24"/>
      <c r="HVS146" s="24"/>
      <c r="HVT146" s="24"/>
      <c r="HVU146" s="24"/>
      <c r="HVV146" s="24"/>
      <c r="HVW146" s="24"/>
      <c r="HVX146" s="24"/>
      <c r="HVY146" s="24"/>
      <c r="HVZ146" s="24"/>
      <c r="HWA146" s="24"/>
      <c r="HWB146" s="24"/>
      <c r="HWC146" s="24"/>
      <c r="HWD146" s="24"/>
      <c r="HWE146" s="24"/>
      <c r="HWF146" s="24"/>
      <c r="HWG146" s="24"/>
      <c r="HWH146" s="24"/>
      <c r="HWI146" s="24"/>
      <c r="HWJ146" s="24"/>
      <c r="HWK146" s="24"/>
      <c r="HWL146" s="24"/>
      <c r="HWM146" s="24"/>
      <c r="HWN146" s="24"/>
      <c r="HWO146" s="24"/>
      <c r="HWP146" s="24"/>
      <c r="HWQ146" s="24"/>
      <c r="HWR146" s="24"/>
      <c r="HWS146" s="24"/>
      <c r="HWT146" s="24"/>
      <c r="HWU146" s="24"/>
      <c r="HWV146" s="24"/>
      <c r="HWW146" s="24"/>
      <c r="HWX146" s="24"/>
      <c r="HWY146" s="24"/>
      <c r="HWZ146" s="24"/>
      <c r="HXA146" s="24"/>
      <c r="HXB146" s="24"/>
      <c r="HXC146" s="24"/>
      <c r="HXD146" s="24"/>
      <c r="HXE146" s="24"/>
      <c r="HXF146" s="24"/>
      <c r="HXG146" s="24"/>
      <c r="HXH146" s="24"/>
      <c r="HXI146" s="24"/>
      <c r="HXJ146" s="24"/>
      <c r="HXK146" s="24"/>
      <c r="HXL146" s="24"/>
      <c r="HXM146" s="24"/>
      <c r="HXN146" s="24"/>
      <c r="HXO146" s="24"/>
      <c r="HXP146" s="24"/>
      <c r="HXQ146" s="24"/>
      <c r="HXR146" s="24"/>
      <c r="HXS146" s="24"/>
      <c r="HXT146" s="24"/>
      <c r="HXU146" s="24"/>
      <c r="HXV146" s="24"/>
      <c r="HXW146" s="24"/>
      <c r="HXX146" s="24"/>
      <c r="HXY146" s="24"/>
      <c r="HXZ146" s="24"/>
      <c r="HYA146" s="24"/>
      <c r="HYB146" s="24"/>
      <c r="HYC146" s="24"/>
      <c r="HYD146" s="24"/>
      <c r="HYE146" s="24"/>
      <c r="HYF146" s="24"/>
      <c r="HYG146" s="24"/>
      <c r="HYH146" s="24"/>
      <c r="HYI146" s="24"/>
      <c r="HYJ146" s="24"/>
      <c r="HYK146" s="24"/>
      <c r="HYL146" s="24"/>
      <c r="HYM146" s="24"/>
      <c r="HYN146" s="24"/>
      <c r="HYO146" s="24"/>
      <c r="HYP146" s="24"/>
      <c r="HYQ146" s="24"/>
      <c r="HYR146" s="24"/>
      <c r="HYS146" s="24"/>
      <c r="HYT146" s="24"/>
      <c r="HYU146" s="24"/>
      <c r="HYV146" s="24"/>
      <c r="HYW146" s="24"/>
      <c r="HYX146" s="24"/>
      <c r="HYY146" s="24"/>
      <c r="HYZ146" s="24"/>
      <c r="HZA146" s="24"/>
      <c r="HZB146" s="24"/>
      <c r="HZC146" s="24"/>
      <c r="HZD146" s="24"/>
      <c r="HZE146" s="24"/>
      <c r="HZF146" s="24"/>
      <c r="HZG146" s="24"/>
      <c r="HZH146" s="24"/>
      <c r="HZI146" s="24"/>
      <c r="HZJ146" s="24"/>
      <c r="HZK146" s="24"/>
      <c r="HZL146" s="24"/>
      <c r="HZM146" s="24"/>
      <c r="HZN146" s="24"/>
      <c r="HZO146" s="24"/>
      <c r="HZP146" s="24"/>
      <c r="HZQ146" s="24"/>
      <c r="HZR146" s="24"/>
      <c r="HZS146" s="24"/>
      <c r="HZT146" s="24"/>
      <c r="HZU146" s="24"/>
      <c r="HZV146" s="24"/>
      <c r="HZW146" s="24"/>
      <c r="HZX146" s="24"/>
      <c r="HZY146" s="24"/>
      <c r="HZZ146" s="24"/>
      <c r="IAA146" s="24"/>
      <c r="IAB146" s="24"/>
      <c r="IAC146" s="24"/>
      <c r="IAD146" s="24"/>
      <c r="IAE146" s="24"/>
      <c r="IAF146" s="24"/>
      <c r="IAG146" s="24"/>
      <c r="IAH146" s="24"/>
      <c r="IAI146" s="24"/>
      <c r="IAJ146" s="24"/>
      <c r="IAK146" s="24"/>
      <c r="IAL146" s="24"/>
      <c r="IAM146" s="24"/>
      <c r="IAN146" s="24"/>
      <c r="IAO146" s="24"/>
      <c r="IAP146" s="24"/>
      <c r="IAQ146" s="24"/>
      <c r="IAR146" s="24"/>
      <c r="IAS146" s="24"/>
      <c r="IAT146" s="24"/>
      <c r="IAU146" s="24"/>
      <c r="IAV146" s="24"/>
      <c r="IAW146" s="24"/>
      <c r="IAX146" s="24"/>
      <c r="IAY146" s="24"/>
      <c r="IAZ146" s="24"/>
      <c r="IBA146" s="24"/>
      <c r="IBB146" s="24"/>
      <c r="IBC146" s="24"/>
      <c r="IBD146" s="24"/>
      <c r="IBE146" s="24"/>
      <c r="IBF146" s="24"/>
      <c r="IBG146" s="24"/>
      <c r="IBH146" s="24"/>
      <c r="IBI146" s="24"/>
      <c r="IBJ146" s="24"/>
      <c r="IBK146" s="24"/>
      <c r="IBL146" s="24"/>
      <c r="IBM146" s="24"/>
      <c r="IBN146" s="24"/>
      <c r="IBO146" s="24"/>
      <c r="IBP146" s="24"/>
      <c r="IBQ146" s="24"/>
      <c r="IBR146" s="24"/>
      <c r="IBS146" s="24"/>
      <c r="IBT146" s="24"/>
      <c r="IBU146" s="24"/>
      <c r="IBV146" s="24"/>
      <c r="IBW146" s="24"/>
      <c r="IBX146" s="24"/>
      <c r="IBY146" s="24"/>
      <c r="IBZ146" s="24"/>
      <c r="ICA146" s="24"/>
      <c r="ICB146" s="24"/>
      <c r="ICC146" s="24"/>
      <c r="ICD146" s="24"/>
      <c r="ICE146" s="24"/>
      <c r="ICF146" s="24"/>
      <c r="ICG146" s="24"/>
      <c r="ICH146" s="24"/>
      <c r="ICI146" s="24"/>
      <c r="ICJ146" s="24"/>
      <c r="ICK146" s="24"/>
      <c r="ICL146" s="24"/>
      <c r="ICM146" s="24"/>
      <c r="ICN146" s="24"/>
      <c r="ICO146" s="24"/>
      <c r="ICP146" s="24"/>
      <c r="ICQ146" s="24"/>
      <c r="ICR146" s="24"/>
      <c r="ICS146" s="24"/>
      <c r="ICT146" s="24"/>
      <c r="ICU146" s="24"/>
      <c r="ICV146" s="24"/>
      <c r="ICW146" s="24"/>
      <c r="ICX146" s="24"/>
      <c r="ICY146" s="24"/>
      <c r="ICZ146" s="24"/>
      <c r="IDA146" s="24"/>
      <c r="IDB146" s="24"/>
      <c r="IDC146" s="24"/>
      <c r="IDD146" s="24"/>
      <c r="IDE146" s="24"/>
      <c r="IDF146" s="24"/>
      <c r="IDG146" s="24"/>
      <c r="IDH146" s="24"/>
      <c r="IDI146" s="24"/>
      <c r="IDJ146" s="24"/>
      <c r="IDK146" s="24"/>
      <c r="IDL146" s="24"/>
      <c r="IDM146" s="24"/>
      <c r="IDN146" s="24"/>
      <c r="IDO146" s="24"/>
      <c r="IDP146" s="24"/>
      <c r="IDQ146" s="24"/>
      <c r="IDR146" s="24"/>
      <c r="IDS146" s="24"/>
      <c r="IDT146" s="24"/>
      <c r="IDU146" s="24"/>
      <c r="IDV146" s="24"/>
      <c r="IDW146" s="24"/>
      <c r="IDX146" s="24"/>
      <c r="IDY146" s="24"/>
      <c r="IDZ146" s="24"/>
      <c r="IEA146" s="24"/>
      <c r="IEB146" s="24"/>
      <c r="IEC146" s="24"/>
      <c r="IED146" s="24"/>
      <c r="IEE146" s="24"/>
      <c r="IEF146" s="24"/>
      <c r="IEG146" s="24"/>
      <c r="IEH146" s="24"/>
      <c r="IEI146" s="24"/>
      <c r="IEJ146" s="24"/>
      <c r="IEK146" s="24"/>
      <c r="IEL146" s="24"/>
      <c r="IEM146" s="24"/>
      <c r="IEN146" s="24"/>
      <c r="IEO146" s="24"/>
      <c r="IEP146" s="24"/>
      <c r="IEQ146" s="24"/>
      <c r="IER146" s="24"/>
      <c r="IES146" s="24"/>
      <c r="IET146" s="24"/>
      <c r="IEU146" s="24"/>
      <c r="IEV146" s="24"/>
      <c r="IEW146" s="24"/>
      <c r="IEX146" s="24"/>
      <c r="IEY146" s="24"/>
      <c r="IEZ146" s="24"/>
      <c r="IFA146" s="24"/>
      <c r="IFB146" s="24"/>
      <c r="IFC146" s="24"/>
      <c r="IFD146" s="24"/>
      <c r="IFE146" s="24"/>
      <c r="IFF146" s="24"/>
      <c r="IFG146" s="24"/>
      <c r="IFH146" s="24"/>
      <c r="IFI146" s="24"/>
      <c r="IFJ146" s="24"/>
      <c r="IFK146" s="24"/>
      <c r="IFL146" s="24"/>
      <c r="IFM146" s="24"/>
      <c r="IFN146" s="24"/>
      <c r="IFO146" s="24"/>
      <c r="IFP146" s="24"/>
      <c r="IFQ146" s="24"/>
      <c r="IFR146" s="24"/>
      <c r="IFS146" s="24"/>
      <c r="IFT146" s="24"/>
      <c r="IFU146" s="24"/>
      <c r="IFV146" s="24"/>
      <c r="IFW146" s="24"/>
      <c r="IFX146" s="24"/>
      <c r="IFY146" s="24"/>
      <c r="IFZ146" s="24"/>
      <c r="IGA146" s="24"/>
      <c r="IGB146" s="24"/>
      <c r="IGC146" s="24"/>
      <c r="IGD146" s="24"/>
      <c r="IGE146" s="24"/>
      <c r="IGF146" s="24"/>
      <c r="IGG146" s="24"/>
      <c r="IGH146" s="24"/>
      <c r="IGI146" s="24"/>
      <c r="IGJ146" s="24"/>
      <c r="IGK146" s="24"/>
      <c r="IGL146" s="24"/>
      <c r="IGM146" s="24"/>
      <c r="IGN146" s="24"/>
      <c r="IGO146" s="24"/>
      <c r="IGP146" s="24"/>
      <c r="IGQ146" s="24"/>
      <c r="IGR146" s="24"/>
      <c r="IGS146" s="24"/>
      <c r="IGT146" s="24"/>
      <c r="IGU146" s="24"/>
      <c r="IGV146" s="24"/>
      <c r="IGW146" s="24"/>
      <c r="IGX146" s="24"/>
      <c r="IGY146" s="24"/>
      <c r="IGZ146" s="24"/>
      <c r="IHA146" s="24"/>
      <c r="IHB146" s="24"/>
      <c r="IHC146" s="24"/>
      <c r="IHD146" s="24"/>
      <c r="IHE146" s="24"/>
      <c r="IHF146" s="24"/>
      <c r="IHG146" s="24"/>
      <c r="IHH146" s="24"/>
      <c r="IHI146" s="24"/>
      <c r="IHJ146" s="24"/>
      <c r="IHK146" s="24"/>
      <c r="IHL146" s="24"/>
      <c r="IHM146" s="24"/>
      <c r="IHN146" s="24"/>
      <c r="IHO146" s="24"/>
      <c r="IHP146" s="24"/>
      <c r="IHQ146" s="24"/>
      <c r="IHR146" s="24"/>
      <c r="IHS146" s="24"/>
      <c r="IHT146" s="24"/>
      <c r="IHU146" s="24"/>
      <c r="IHV146" s="24"/>
      <c r="IHW146" s="24"/>
      <c r="IHX146" s="24"/>
      <c r="IHY146" s="24"/>
      <c r="IHZ146" s="24"/>
      <c r="IIA146" s="24"/>
      <c r="IIB146" s="24"/>
      <c r="IIC146" s="24"/>
      <c r="IID146" s="24"/>
      <c r="IIE146" s="24"/>
      <c r="IIF146" s="24"/>
      <c r="IIG146" s="24"/>
      <c r="IIH146" s="24"/>
      <c r="III146" s="24"/>
      <c r="IIJ146" s="24"/>
      <c r="IIK146" s="24"/>
      <c r="IIL146" s="24"/>
      <c r="IIM146" s="24"/>
      <c r="IIN146" s="24"/>
      <c r="IIO146" s="24"/>
      <c r="IIP146" s="24"/>
      <c r="IIQ146" s="24"/>
      <c r="IIR146" s="24"/>
      <c r="IIS146" s="24"/>
      <c r="IIT146" s="24"/>
      <c r="IIU146" s="24"/>
      <c r="IIV146" s="24"/>
      <c r="IIW146" s="24"/>
      <c r="IIX146" s="24"/>
      <c r="IIY146" s="24"/>
      <c r="IIZ146" s="24"/>
      <c r="IJA146" s="24"/>
      <c r="IJB146" s="24"/>
      <c r="IJC146" s="24"/>
      <c r="IJD146" s="24"/>
      <c r="IJE146" s="24"/>
      <c r="IJF146" s="24"/>
      <c r="IJG146" s="24"/>
      <c r="IJH146" s="24"/>
      <c r="IJI146" s="24"/>
      <c r="IJJ146" s="24"/>
      <c r="IJK146" s="24"/>
      <c r="IJL146" s="24"/>
      <c r="IJM146" s="24"/>
      <c r="IJN146" s="24"/>
      <c r="IJO146" s="24"/>
      <c r="IJP146" s="24"/>
      <c r="IJQ146" s="24"/>
      <c r="IJR146" s="24"/>
      <c r="IJS146" s="24"/>
      <c r="IJT146" s="24"/>
      <c r="IJU146" s="24"/>
      <c r="IJV146" s="24"/>
      <c r="IJW146" s="24"/>
      <c r="IJX146" s="24"/>
      <c r="IJY146" s="24"/>
      <c r="IJZ146" s="24"/>
      <c r="IKA146" s="24"/>
      <c r="IKB146" s="24"/>
      <c r="IKC146" s="24"/>
      <c r="IKD146" s="24"/>
      <c r="IKE146" s="24"/>
      <c r="IKF146" s="24"/>
      <c r="IKG146" s="24"/>
      <c r="IKH146" s="24"/>
      <c r="IKI146" s="24"/>
      <c r="IKJ146" s="24"/>
      <c r="IKK146" s="24"/>
      <c r="IKL146" s="24"/>
      <c r="IKM146" s="24"/>
      <c r="IKN146" s="24"/>
      <c r="IKO146" s="24"/>
      <c r="IKP146" s="24"/>
      <c r="IKQ146" s="24"/>
      <c r="IKR146" s="24"/>
      <c r="IKS146" s="24"/>
      <c r="IKT146" s="24"/>
      <c r="IKU146" s="24"/>
      <c r="IKV146" s="24"/>
      <c r="IKW146" s="24"/>
      <c r="IKX146" s="24"/>
      <c r="IKY146" s="24"/>
      <c r="IKZ146" s="24"/>
      <c r="ILA146" s="24"/>
      <c r="ILB146" s="24"/>
      <c r="ILC146" s="24"/>
      <c r="ILD146" s="24"/>
      <c r="ILE146" s="24"/>
      <c r="ILF146" s="24"/>
      <c r="ILG146" s="24"/>
      <c r="ILH146" s="24"/>
      <c r="ILI146" s="24"/>
      <c r="ILJ146" s="24"/>
      <c r="ILK146" s="24"/>
      <c r="ILL146" s="24"/>
      <c r="ILM146" s="24"/>
      <c r="ILN146" s="24"/>
      <c r="ILO146" s="24"/>
      <c r="ILP146" s="24"/>
      <c r="ILQ146" s="24"/>
      <c r="ILR146" s="24"/>
      <c r="ILS146" s="24"/>
      <c r="ILT146" s="24"/>
      <c r="ILU146" s="24"/>
      <c r="ILV146" s="24"/>
      <c r="ILW146" s="24"/>
      <c r="ILX146" s="24"/>
      <c r="ILY146" s="24"/>
      <c r="ILZ146" s="24"/>
      <c r="IMA146" s="24"/>
      <c r="IMB146" s="24"/>
      <c r="IMC146" s="24"/>
      <c r="IMD146" s="24"/>
      <c r="IME146" s="24"/>
      <c r="IMF146" s="24"/>
      <c r="IMG146" s="24"/>
      <c r="IMH146" s="24"/>
      <c r="IMI146" s="24"/>
      <c r="IMJ146" s="24"/>
      <c r="IMK146" s="24"/>
      <c r="IML146" s="24"/>
      <c r="IMM146" s="24"/>
      <c r="IMN146" s="24"/>
      <c r="IMO146" s="24"/>
      <c r="IMP146" s="24"/>
      <c r="IMQ146" s="24"/>
      <c r="IMR146" s="24"/>
      <c r="IMS146" s="24"/>
      <c r="IMT146" s="24"/>
      <c r="IMU146" s="24"/>
      <c r="IMV146" s="24"/>
      <c r="IMW146" s="24"/>
      <c r="IMX146" s="24"/>
      <c r="IMY146" s="24"/>
      <c r="IMZ146" s="24"/>
      <c r="INA146" s="24"/>
      <c r="INB146" s="24"/>
      <c r="INC146" s="24"/>
      <c r="IND146" s="24"/>
      <c r="INE146" s="24"/>
      <c r="INF146" s="24"/>
      <c r="ING146" s="24"/>
      <c r="INH146" s="24"/>
      <c r="INI146" s="24"/>
      <c r="INJ146" s="24"/>
      <c r="INK146" s="24"/>
      <c r="INL146" s="24"/>
      <c r="INM146" s="24"/>
      <c r="INN146" s="24"/>
      <c r="INO146" s="24"/>
      <c r="INP146" s="24"/>
      <c r="INQ146" s="24"/>
      <c r="INR146" s="24"/>
      <c r="INS146" s="24"/>
      <c r="INT146" s="24"/>
      <c r="INU146" s="24"/>
      <c r="INV146" s="24"/>
      <c r="INW146" s="24"/>
      <c r="INX146" s="24"/>
      <c r="INY146" s="24"/>
      <c r="INZ146" s="24"/>
      <c r="IOA146" s="24"/>
      <c r="IOB146" s="24"/>
      <c r="IOC146" s="24"/>
      <c r="IOD146" s="24"/>
      <c r="IOE146" s="24"/>
      <c r="IOF146" s="24"/>
      <c r="IOG146" s="24"/>
      <c r="IOH146" s="24"/>
      <c r="IOI146" s="24"/>
      <c r="IOJ146" s="24"/>
      <c r="IOK146" s="24"/>
      <c r="IOL146" s="24"/>
      <c r="IOM146" s="24"/>
      <c r="ION146" s="24"/>
      <c r="IOO146" s="24"/>
      <c r="IOP146" s="24"/>
      <c r="IOQ146" s="24"/>
      <c r="IOR146" s="24"/>
      <c r="IOS146" s="24"/>
      <c r="IOT146" s="24"/>
      <c r="IOU146" s="24"/>
      <c r="IOV146" s="24"/>
      <c r="IOW146" s="24"/>
      <c r="IOX146" s="24"/>
      <c r="IOY146" s="24"/>
      <c r="IOZ146" s="24"/>
      <c r="IPA146" s="24"/>
      <c r="IPB146" s="24"/>
      <c r="IPC146" s="24"/>
      <c r="IPD146" s="24"/>
      <c r="IPE146" s="24"/>
      <c r="IPF146" s="24"/>
      <c r="IPG146" s="24"/>
      <c r="IPH146" s="24"/>
      <c r="IPI146" s="24"/>
      <c r="IPJ146" s="24"/>
      <c r="IPK146" s="24"/>
      <c r="IPL146" s="24"/>
      <c r="IPM146" s="24"/>
      <c r="IPN146" s="24"/>
      <c r="IPO146" s="24"/>
      <c r="IPP146" s="24"/>
      <c r="IPQ146" s="24"/>
      <c r="IPR146" s="24"/>
      <c r="IPS146" s="24"/>
      <c r="IPT146" s="24"/>
      <c r="IPU146" s="24"/>
      <c r="IPV146" s="24"/>
      <c r="IPW146" s="24"/>
      <c r="IPX146" s="24"/>
      <c r="IPY146" s="24"/>
      <c r="IPZ146" s="24"/>
      <c r="IQA146" s="24"/>
      <c r="IQB146" s="24"/>
      <c r="IQC146" s="24"/>
      <c r="IQD146" s="24"/>
      <c r="IQE146" s="24"/>
      <c r="IQF146" s="24"/>
      <c r="IQG146" s="24"/>
      <c r="IQH146" s="24"/>
      <c r="IQI146" s="24"/>
      <c r="IQJ146" s="24"/>
      <c r="IQK146" s="24"/>
      <c r="IQL146" s="24"/>
      <c r="IQM146" s="24"/>
      <c r="IQN146" s="24"/>
      <c r="IQO146" s="24"/>
      <c r="IQP146" s="24"/>
      <c r="IQQ146" s="24"/>
      <c r="IQR146" s="24"/>
      <c r="IQS146" s="24"/>
      <c r="IQT146" s="24"/>
      <c r="IQU146" s="24"/>
      <c r="IQV146" s="24"/>
      <c r="IQW146" s="24"/>
      <c r="IQX146" s="24"/>
      <c r="IQY146" s="24"/>
      <c r="IQZ146" s="24"/>
      <c r="IRA146" s="24"/>
      <c r="IRB146" s="24"/>
      <c r="IRC146" s="24"/>
      <c r="IRD146" s="24"/>
      <c r="IRE146" s="24"/>
      <c r="IRF146" s="24"/>
      <c r="IRG146" s="24"/>
      <c r="IRH146" s="24"/>
      <c r="IRI146" s="24"/>
      <c r="IRJ146" s="24"/>
      <c r="IRK146" s="24"/>
      <c r="IRL146" s="24"/>
      <c r="IRM146" s="24"/>
      <c r="IRN146" s="24"/>
      <c r="IRO146" s="24"/>
      <c r="IRP146" s="24"/>
      <c r="IRQ146" s="24"/>
      <c r="IRR146" s="24"/>
      <c r="IRS146" s="24"/>
      <c r="IRT146" s="24"/>
      <c r="IRU146" s="24"/>
      <c r="IRV146" s="24"/>
      <c r="IRW146" s="24"/>
      <c r="IRX146" s="24"/>
      <c r="IRY146" s="24"/>
      <c r="IRZ146" s="24"/>
      <c r="ISA146" s="24"/>
      <c r="ISB146" s="24"/>
      <c r="ISC146" s="24"/>
      <c r="ISD146" s="24"/>
      <c r="ISE146" s="24"/>
      <c r="ISF146" s="24"/>
      <c r="ISG146" s="24"/>
      <c r="ISH146" s="24"/>
      <c r="ISI146" s="24"/>
      <c r="ISJ146" s="24"/>
      <c r="ISK146" s="24"/>
      <c r="ISL146" s="24"/>
      <c r="ISM146" s="24"/>
      <c r="ISN146" s="24"/>
      <c r="ISO146" s="24"/>
      <c r="ISP146" s="24"/>
      <c r="ISQ146" s="24"/>
      <c r="ISR146" s="24"/>
      <c r="ISS146" s="24"/>
      <c r="IST146" s="24"/>
      <c r="ISU146" s="24"/>
      <c r="ISV146" s="24"/>
      <c r="ISW146" s="24"/>
      <c r="ISX146" s="24"/>
      <c r="ISY146" s="24"/>
      <c r="ISZ146" s="24"/>
      <c r="ITA146" s="24"/>
      <c r="ITB146" s="24"/>
      <c r="ITC146" s="24"/>
      <c r="ITD146" s="24"/>
      <c r="ITE146" s="24"/>
      <c r="ITF146" s="24"/>
      <c r="ITG146" s="24"/>
      <c r="ITH146" s="24"/>
      <c r="ITI146" s="24"/>
      <c r="ITJ146" s="24"/>
      <c r="ITK146" s="24"/>
      <c r="ITL146" s="24"/>
      <c r="ITM146" s="24"/>
      <c r="ITN146" s="24"/>
      <c r="ITO146" s="24"/>
      <c r="ITP146" s="24"/>
      <c r="ITQ146" s="24"/>
      <c r="ITR146" s="24"/>
      <c r="ITS146" s="24"/>
      <c r="ITT146" s="24"/>
      <c r="ITU146" s="24"/>
      <c r="ITV146" s="24"/>
      <c r="ITW146" s="24"/>
      <c r="ITX146" s="24"/>
      <c r="ITY146" s="24"/>
      <c r="ITZ146" s="24"/>
      <c r="IUA146" s="24"/>
      <c r="IUB146" s="24"/>
      <c r="IUC146" s="24"/>
      <c r="IUD146" s="24"/>
      <c r="IUE146" s="24"/>
      <c r="IUF146" s="24"/>
      <c r="IUG146" s="24"/>
      <c r="IUH146" s="24"/>
      <c r="IUI146" s="24"/>
      <c r="IUJ146" s="24"/>
      <c r="IUK146" s="24"/>
      <c r="IUL146" s="24"/>
      <c r="IUM146" s="24"/>
      <c r="IUN146" s="24"/>
      <c r="IUO146" s="24"/>
      <c r="IUP146" s="24"/>
      <c r="IUQ146" s="24"/>
      <c r="IUR146" s="24"/>
      <c r="IUS146" s="24"/>
      <c r="IUT146" s="24"/>
      <c r="IUU146" s="24"/>
      <c r="IUV146" s="24"/>
      <c r="IUW146" s="24"/>
      <c r="IUX146" s="24"/>
      <c r="IUY146" s="24"/>
      <c r="IUZ146" s="24"/>
      <c r="IVA146" s="24"/>
      <c r="IVB146" s="24"/>
      <c r="IVC146" s="24"/>
      <c r="IVD146" s="24"/>
      <c r="IVE146" s="24"/>
      <c r="IVF146" s="24"/>
      <c r="IVG146" s="24"/>
      <c r="IVH146" s="24"/>
      <c r="IVI146" s="24"/>
      <c r="IVJ146" s="24"/>
      <c r="IVK146" s="24"/>
      <c r="IVL146" s="24"/>
      <c r="IVM146" s="24"/>
      <c r="IVN146" s="24"/>
      <c r="IVO146" s="24"/>
      <c r="IVP146" s="24"/>
      <c r="IVQ146" s="24"/>
      <c r="IVR146" s="24"/>
      <c r="IVS146" s="24"/>
      <c r="IVT146" s="24"/>
      <c r="IVU146" s="24"/>
      <c r="IVV146" s="24"/>
      <c r="IVW146" s="24"/>
      <c r="IVX146" s="24"/>
      <c r="IVY146" s="24"/>
      <c r="IVZ146" s="24"/>
      <c r="IWA146" s="24"/>
      <c r="IWB146" s="24"/>
      <c r="IWC146" s="24"/>
      <c r="IWD146" s="24"/>
      <c r="IWE146" s="24"/>
      <c r="IWF146" s="24"/>
      <c r="IWG146" s="24"/>
      <c r="IWH146" s="24"/>
      <c r="IWI146" s="24"/>
      <c r="IWJ146" s="24"/>
      <c r="IWK146" s="24"/>
      <c r="IWL146" s="24"/>
      <c r="IWM146" s="24"/>
      <c r="IWN146" s="24"/>
      <c r="IWO146" s="24"/>
      <c r="IWP146" s="24"/>
      <c r="IWQ146" s="24"/>
      <c r="IWR146" s="24"/>
      <c r="IWS146" s="24"/>
      <c r="IWT146" s="24"/>
      <c r="IWU146" s="24"/>
      <c r="IWV146" s="24"/>
      <c r="IWW146" s="24"/>
      <c r="IWX146" s="24"/>
      <c r="IWY146" s="24"/>
      <c r="IWZ146" s="24"/>
      <c r="IXA146" s="24"/>
      <c r="IXB146" s="24"/>
      <c r="IXC146" s="24"/>
      <c r="IXD146" s="24"/>
      <c r="IXE146" s="24"/>
      <c r="IXF146" s="24"/>
      <c r="IXG146" s="24"/>
      <c r="IXH146" s="24"/>
      <c r="IXI146" s="24"/>
      <c r="IXJ146" s="24"/>
      <c r="IXK146" s="24"/>
      <c r="IXL146" s="24"/>
      <c r="IXM146" s="24"/>
      <c r="IXN146" s="24"/>
      <c r="IXO146" s="24"/>
      <c r="IXP146" s="24"/>
      <c r="IXQ146" s="24"/>
      <c r="IXR146" s="24"/>
      <c r="IXS146" s="24"/>
      <c r="IXT146" s="24"/>
      <c r="IXU146" s="24"/>
      <c r="IXV146" s="24"/>
      <c r="IXW146" s="24"/>
      <c r="IXX146" s="24"/>
      <c r="IXY146" s="24"/>
      <c r="IXZ146" s="24"/>
      <c r="IYA146" s="24"/>
      <c r="IYB146" s="24"/>
      <c r="IYC146" s="24"/>
      <c r="IYD146" s="24"/>
      <c r="IYE146" s="24"/>
      <c r="IYF146" s="24"/>
      <c r="IYG146" s="24"/>
      <c r="IYH146" s="24"/>
      <c r="IYI146" s="24"/>
      <c r="IYJ146" s="24"/>
      <c r="IYK146" s="24"/>
      <c r="IYL146" s="24"/>
      <c r="IYM146" s="24"/>
      <c r="IYN146" s="24"/>
      <c r="IYO146" s="24"/>
      <c r="IYP146" s="24"/>
      <c r="IYQ146" s="24"/>
      <c r="IYR146" s="24"/>
      <c r="IYS146" s="24"/>
      <c r="IYT146" s="24"/>
      <c r="IYU146" s="24"/>
      <c r="IYV146" s="24"/>
      <c r="IYW146" s="24"/>
      <c r="IYX146" s="24"/>
      <c r="IYY146" s="24"/>
      <c r="IYZ146" s="24"/>
      <c r="IZA146" s="24"/>
      <c r="IZB146" s="24"/>
      <c r="IZC146" s="24"/>
      <c r="IZD146" s="24"/>
      <c r="IZE146" s="24"/>
      <c r="IZF146" s="24"/>
      <c r="IZG146" s="24"/>
      <c r="IZH146" s="24"/>
      <c r="IZI146" s="24"/>
      <c r="IZJ146" s="24"/>
      <c r="IZK146" s="24"/>
      <c r="IZL146" s="24"/>
      <c r="IZM146" s="24"/>
      <c r="IZN146" s="24"/>
      <c r="IZO146" s="24"/>
      <c r="IZP146" s="24"/>
      <c r="IZQ146" s="24"/>
      <c r="IZR146" s="24"/>
      <c r="IZS146" s="24"/>
      <c r="IZT146" s="24"/>
      <c r="IZU146" s="24"/>
      <c r="IZV146" s="24"/>
      <c r="IZW146" s="24"/>
      <c r="IZX146" s="24"/>
      <c r="IZY146" s="24"/>
      <c r="IZZ146" s="24"/>
      <c r="JAA146" s="24"/>
      <c r="JAB146" s="24"/>
      <c r="JAC146" s="24"/>
      <c r="JAD146" s="24"/>
      <c r="JAE146" s="24"/>
      <c r="JAF146" s="24"/>
      <c r="JAG146" s="24"/>
      <c r="JAH146" s="24"/>
      <c r="JAI146" s="24"/>
      <c r="JAJ146" s="24"/>
      <c r="JAK146" s="24"/>
      <c r="JAL146" s="24"/>
      <c r="JAM146" s="24"/>
      <c r="JAN146" s="24"/>
      <c r="JAO146" s="24"/>
      <c r="JAP146" s="24"/>
      <c r="JAQ146" s="24"/>
      <c r="JAR146" s="24"/>
      <c r="JAS146" s="24"/>
      <c r="JAT146" s="24"/>
      <c r="JAU146" s="24"/>
      <c r="JAV146" s="24"/>
      <c r="JAW146" s="24"/>
      <c r="JAX146" s="24"/>
      <c r="JAY146" s="24"/>
      <c r="JAZ146" s="24"/>
      <c r="JBA146" s="24"/>
      <c r="JBB146" s="24"/>
      <c r="JBC146" s="24"/>
      <c r="JBD146" s="24"/>
      <c r="JBE146" s="24"/>
      <c r="JBF146" s="24"/>
      <c r="JBG146" s="24"/>
      <c r="JBH146" s="24"/>
      <c r="JBI146" s="24"/>
      <c r="JBJ146" s="24"/>
      <c r="JBK146" s="24"/>
      <c r="JBL146" s="24"/>
      <c r="JBM146" s="24"/>
      <c r="JBN146" s="24"/>
      <c r="JBO146" s="24"/>
      <c r="JBP146" s="24"/>
      <c r="JBQ146" s="24"/>
      <c r="JBR146" s="24"/>
      <c r="JBS146" s="24"/>
      <c r="JBT146" s="24"/>
      <c r="JBU146" s="24"/>
      <c r="JBV146" s="24"/>
      <c r="JBW146" s="24"/>
      <c r="JBX146" s="24"/>
      <c r="JBY146" s="24"/>
      <c r="JBZ146" s="24"/>
      <c r="JCA146" s="24"/>
      <c r="JCB146" s="24"/>
      <c r="JCC146" s="24"/>
      <c r="JCD146" s="24"/>
      <c r="JCE146" s="24"/>
      <c r="JCF146" s="24"/>
      <c r="JCG146" s="24"/>
      <c r="JCH146" s="24"/>
      <c r="JCI146" s="24"/>
      <c r="JCJ146" s="24"/>
      <c r="JCK146" s="24"/>
      <c r="JCL146" s="24"/>
      <c r="JCM146" s="24"/>
      <c r="JCN146" s="24"/>
      <c r="JCO146" s="24"/>
      <c r="JCP146" s="24"/>
      <c r="JCQ146" s="24"/>
      <c r="JCR146" s="24"/>
      <c r="JCS146" s="24"/>
      <c r="JCT146" s="24"/>
      <c r="JCU146" s="24"/>
      <c r="JCV146" s="24"/>
      <c r="JCW146" s="24"/>
      <c r="JCX146" s="24"/>
      <c r="JCY146" s="24"/>
      <c r="JCZ146" s="24"/>
      <c r="JDA146" s="24"/>
      <c r="JDB146" s="24"/>
      <c r="JDC146" s="24"/>
      <c r="JDD146" s="24"/>
      <c r="JDE146" s="24"/>
      <c r="JDF146" s="24"/>
      <c r="JDG146" s="24"/>
      <c r="JDH146" s="24"/>
      <c r="JDI146" s="24"/>
      <c r="JDJ146" s="24"/>
      <c r="JDK146" s="24"/>
      <c r="JDL146" s="24"/>
      <c r="JDM146" s="24"/>
      <c r="JDN146" s="24"/>
      <c r="JDO146" s="24"/>
      <c r="JDP146" s="24"/>
      <c r="JDQ146" s="24"/>
      <c r="JDR146" s="24"/>
      <c r="JDS146" s="24"/>
      <c r="JDT146" s="24"/>
      <c r="JDU146" s="24"/>
      <c r="JDV146" s="24"/>
      <c r="JDW146" s="24"/>
      <c r="JDX146" s="24"/>
      <c r="JDY146" s="24"/>
      <c r="JDZ146" s="24"/>
      <c r="JEA146" s="24"/>
      <c r="JEB146" s="24"/>
      <c r="JEC146" s="24"/>
      <c r="JED146" s="24"/>
      <c r="JEE146" s="24"/>
      <c r="JEF146" s="24"/>
      <c r="JEG146" s="24"/>
      <c r="JEH146" s="24"/>
      <c r="JEI146" s="24"/>
      <c r="JEJ146" s="24"/>
      <c r="JEK146" s="24"/>
      <c r="JEL146" s="24"/>
      <c r="JEM146" s="24"/>
      <c r="JEN146" s="24"/>
      <c r="JEO146" s="24"/>
      <c r="JEP146" s="24"/>
      <c r="JEQ146" s="24"/>
      <c r="JER146" s="24"/>
      <c r="JES146" s="24"/>
      <c r="JET146" s="24"/>
      <c r="JEU146" s="24"/>
      <c r="JEV146" s="24"/>
      <c r="JEW146" s="24"/>
      <c r="JEX146" s="24"/>
      <c r="JEY146" s="24"/>
      <c r="JEZ146" s="24"/>
      <c r="JFA146" s="24"/>
      <c r="JFB146" s="24"/>
      <c r="JFC146" s="24"/>
      <c r="JFD146" s="24"/>
      <c r="JFE146" s="24"/>
      <c r="JFF146" s="24"/>
      <c r="JFG146" s="24"/>
      <c r="JFH146" s="24"/>
      <c r="JFI146" s="24"/>
      <c r="JFJ146" s="24"/>
      <c r="JFK146" s="24"/>
      <c r="JFL146" s="24"/>
      <c r="JFM146" s="24"/>
      <c r="JFN146" s="24"/>
      <c r="JFO146" s="24"/>
      <c r="JFP146" s="24"/>
      <c r="JFQ146" s="24"/>
      <c r="JFR146" s="24"/>
      <c r="JFS146" s="24"/>
      <c r="JFT146" s="24"/>
      <c r="JFU146" s="24"/>
      <c r="JFV146" s="24"/>
      <c r="JFW146" s="24"/>
      <c r="JFX146" s="24"/>
      <c r="JFY146" s="24"/>
      <c r="JFZ146" s="24"/>
      <c r="JGA146" s="24"/>
      <c r="JGB146" s="24"/>
      <c r="JGC146" s="24"/>
      <c r="JGD146" s="24"/>
      <c r="JGE146" s="24"/>
      <c r="JGF146" s="24"/>
      <c r="JGG146" s="24"/>
      <c r="JGH146" s="24"/>
      <c r="JGI146" s="24"/>
      <c r="JGJ146" s="24"/>
      <c r="JGK146" s="24"/>
      <c r="JGL146" s="24"/>
      <c r="JGM146" s="24"/>
      <c r="JGN146" s="24"/>
      <c r="JGO146" s="24"/>
      <c r="JGP146" s="24"/>
      <c r="JGQ146" s="24"/>
      <c r="JGR146" s="24"/>
      <c r="JGS146" s="24"/>
      <c r="JGT146" s="24"/>
      <c r="JGU146" s="24"/>
      <c r="JGV146" s="24"/>
      <c r="JGW146" s="24"/>
      <c r="JGX146" s="24"/>
      <c r="JGY146" s="24"/>
      <c r="JGZ146" s="24"/>
      <c r="JHA146" s="24"/>
      <c r="JHB146" s="24"/>
      <c r="JHC146" s="24"/>
      <c r="JHD146" s="24"/>
      <c r="JHE146" s="24"/>
      <c r="JHF146" s="24"/>
      <c r="JHG146" s="24"/>
      <c r="JHH146" s="24"/>
      <c r="JHI146" s="24"/>
      <c r="JHJ146" s="24"/>
      <c r="JHK146" s="24"/>
      <c r="JHL146" s="24"/>
      <c r="JHM146" s="24"/>
      <c r="JHN146" s="24"/>
      <c r="JHO146" s="24"/>
      <c r="JHP146" s="24"/>
      <c r="JHQ146" s="24"/>
      <c r="JHR146" s="24"/>
      <c r="JHS146" s="24"/>
      <c r="JHT146" s="24"/>
      <c r="JHU146" s="24"/>
      <c r="JHV146" s="24"/>
      <c r="JHW146" s="24"/>
      <c r="JHX146" s="24"/>
      <c r="JHY146" s="24"/>
      <c r="JHZ146" s="24"/>
      <c r="JIA146" s="24"/>
      <c r="JIB146" s="24"/>
      <c r="JIC146" s="24"/>
      <c r="JID146" s="24"/>
      <c r="JIE146" s="24"/>
      <c r="JIF146" s="24"/>
      <c r="JIG146" s="24"/>
      <c r="JIH146" s="24"/>
      <c r="JII146" s="24"/>
      <c r="JIJ146" s="24"/>
      <c r="JIK146" s="24"/>
      <c r="JIL146" s="24"/>
      <c r="JIM146" s="24"/>
      <c r="JIN146" s="24"/>
      <c r="JIO146" s="24"/>
      <c r="JIP146" s="24"/>
      <c r="JIQ146" s="24"/>
      <c r="JIR146" s="24"/>
      <c r="JIS146" s="24"/>
      <c r="JIT146" s="24"/>
      <c r="JIU146" s="24"/>
      <c r="JIV146" s="24"/>
      <c r="JIW146" s="24"/>
      <c r="JIX146" s="24"/>
      <c r="JIY146" s="24"/>
      <c r="JIZ146" s="24"/>
      <c r="JJA146" s="24"/>
      <c r="JJB146" s="24"/>
      <c r="JJC146" s="24"/>
      <c r="JJD146" s="24"/>
      <c r="JJE146" s="24"/>
      <c r="JJF146" s="24"/>
      <c r="JJG146" s="24"/>
      <c r="JJH146" s="24"/>
      <c r="JJI146" s="24"/>
      <c r="JJJ146" s="24"/>
      <c r="JJK146" s="24"/>
      <c r="JJL146" s="24"/>
      <c r="JJM146" s="24"/>
      <c r="JJN146" s="24"/>
      <c r="JJO146" s="24"/>
      <c r="JJP146" s="24"/>
      <c r="JJQ146" s="24"/>
      <c r="JJR146" s="24"/>
      <c r="JJS146" s="24"/>
      <c r="JJT146" s="24"/>
      <c r="JJU146" s="24"/>
      <c r="JJV146" s="24"/>
      <c r="JJW146" s="24"/>
      <c r="JJX146" s="24"/>
      <c r="JJY146" s="24"/>
      <c r="JJZ146" s="24"/>
      <c r="JKA146" s="24"/>
      <c r="JKB146" s="24"/>
      <c r="JKC146" s="24"/>
      <c r="JKD146" s="24"/>
      <c r="JKE146" s="24"/>
      <c r="JKF146" s="24"/>
      <c r="JKG146" s="24"/>
      <c r="JKH146" s="24"/>
      <c r="JKI146" s="24"/>
      <c r="JKJ146" s="24"/>
      <c r="JKK146" s="24"/>
      <c r="JKL146" s="24"/>
      <c r="JKM146" s="24"/>
      <c r="JKN146" s="24"/>
      <c r="JKO146" s="24"/>
      <c r="JKP146" s="24"/>
      <c r="JKQ146" s="24"/>
      <c r="JKR146" s="24"/>
      <c r="JKS146" s="24"/>
      <c r="JKT146" s="24"/>
      <c r="JKU146" s="24"/>
      <c r="JKV146" s="24"/>
      <c r="JKW146" s="24"/>
      <c r="JKX146" s="24"/>
      <c r="JKY146" s="24"/>
      <c r="JKZ146" s="24"/>
      <c r="JLA146" s="24"/>
      <c r="JLB146" s="24"/>
      <c r="JLC146" s="24"/>
      <c r="JLD146" s="24"/>
      <c r="JLE146" s="24"/>
      <c r="JLF146" s="24"/>
      <c r="JLG146" s="24"/>
      <c r="JLH146" s="24"/>
      <c r="JLI146" s="24"/>
      <c r="JLJ146" s="24"/>
      <c r="JLK146" s="24"/>
      <c r="JLL146" s="24"/>
      <c r="JLM146" s="24"/>
      <c r="JLN146" s="24"/>
      <c r="JLO146" s="24"/>
      <c r="JLP146" s="24"/>
      <c r="JLQ146" s="24"/>
      <c r="JLR146" s="24"/>
      <c r="JLS146" s="24"/>
      <c r="JLT146" s="24"/>
      <c r="JLU146" s="24"/>
      <c r="JLV146" s="24"/>
      <c r="JLW146" s="24"/>
      <c r="JLX146" s="24"/>
      <c r="JLY146" s="24"/>
      <c r="JLZ146" s="24"/>
      <c r="JMA146" s="24"/>
      <c r="JMB146" s="24"/>
      <c r="JMC146" s="24"/>
      <c r="JMD146" s="24"/>
      <c r="JME146" s="24"/>
      <c r="JMF146" s="24"/>
      <c r="JMG146" s="24"/>
      <c r="JMH146" s="24"/>
      <c r="JMI146" s="24"/>
      <c r="JMJ146" s="24"/>
      <c r="JMK146" s="24"/>
      <c r="JML146" s="24"/>
      <c r="JMM146" s="24"/>
      <c r="JMN146" s="24"/>
      <c r="JMO146" s="24"/>
      <c r="JMP146" s="24"/>
      <c r="JMQ146" s="24"/>
      <c r="JMR146" s="24"/>
      <c r="JMS146" s="24"/>
      <c r="JMT146" s="24"/>
      <c r="JMU146" s="24"/>
      <c r="JMV146" s="24"/>
      <c r="JMW146" s="24"/>
      <c r="JMX146" s="24"/>
      <c r="JMY146" s="24"/>
      <c r="JMZ146" s="24"/>
      <c r="JNA146" s="24"/>
      <c r="JNB146" s="24"/>
      <c r="JNC146" s="24"/>
      <c r="JND146" s="24"/>
      <c r="JNE146" s="24"/>
      <c r="JNF146" s="24"/>
      <c r="JNG146" s="24"/>
      <c r="JNH146" s="24"/>
      <c r="JNI146" s="24"/>
      <c r="JNJ146" s="24"/>
      <c r="JNK146" s="24"/>
      <c r="JNL146" s="24"/>
      <c r="JNM146" s="24"/>
      <c r="JNN146" s="24"/>
      <c r="JNO146" s="24"/>
      <c r="JNP146" s="24"/>
      <c r="JNQ146" s="24"/>
      <c r="JNR146" s="24"/>
      <c r="JNS146" s="24"/>
      <c r="JNT146" s="24"/>
      <c r="JNU146" s="24"/>
      <c r="JNV146" s="24"/>
      <c r="JNW146" s="24"/>
      <c r="JNX146" s="24"/>
      <c r="JNY146" s="24"/>
      <c r="JNZ146" s="24"/>
      <c r="JOA146" s="24"/>
      <c r="JOB146" s="24"/>
      <c r="JOC146" s="24"/>
      <c r="JOD146" s="24"/>
      <c r="JOE146" s="24"/>
      <c r="JOF146" s="24"/>
      <c r="JOG146" s="24"/>
      <c r="JOH146" s="24"/>
      <c r="JOI146" s="24"/>
      <c r="JOJ146" s="24"/>
      <c r="JOK146" s="24"/>
      <c r="JOL146" s="24"/>
      <c r="JOM146" s="24"/>
      <c r="JON146" s="24"/>
      <c r="JOO146" s="24"/>
      <c r="JOP146" s="24"/>
      <c r="JOQ146" s="24"/>
      <c r="JOR146" s="24"/>
      <c r="JOS146" s="24"/>
      <c r="JOT146" s="24"/>
      <c r="JOU146" s="24"/>
      <c r="JOV146" s="24"/>
      <c r="JOW146" s="24"/>
      <c r="JOX146" s="24"/>
      <c r="JOY146" s="24"/>
      <c r="JOZ146" s="24"/>
      <c r="JPA146" s="24"/>
      <c r="JPB146" s="24"/>
      <c r="JPC146" s="24"/>
      <c r="JPD146" s="24"/>
      <c r="JPE146" s="24"/>
      <c r="JPF146" s="24"/>
      <c r="JPG146" s="24"/>
      <c r="JPH146" s="24"/>
      <c r="JPI146" s="24"/>
      <c r="JPJ146" s="24"/>
      <c r="JPK146" s="24"/>
      <c r="JPL146" s="24"/>
      <c r="JPM146" s="24"/>
      <c r="JPN146" s="24"/>
      <c r="JPO146" s="24"/>
      <c r="JPP146" s="24"/>
      <c r="JPQ146" s="24"/>
      <c r="JPR146" s="24"/>
      <c r="JPS146" s="24"/>
      <c r="JPT146" s="24"/>
      <c r="JPU146" s="24"/>
      <c r="JPV146" s="24"/>
      <c r="JPW146" s="24"/>
      <c r="JPX146" s="24"/>
      <c r="JPY146" s="24"/>
      <c r="JPZ146" s="24"/>
      <c r="JQA146" s="24"/>
      <c r="JQB146" s="24"/>
      <c r="JQC146" s="24"/>
      <c r="JQD146" s="24"/>
      <c r="JQE146" s="24"/>
      <c r="JQF146" s="24"/>
      <c r="JQG146" s="24"/>
      <c r="JQH146" s="24"/>
      <c r="JQI146" s="24"/>
      <c r="JQJ146" s="24"/>
      <c r="JQK146" s="24"/>
      <c r="JQL146" s="24"/>
      <c r="JQM146" s="24"/>
      <c r="JQN146" s="24"/>
      <c r="JQO146" s="24"/>
      <c r="JQP146" s="24"/>
      <c r="JQQ146" s="24"/>
      <c r="JQR146" s="24"/>
      <c r="JQS146" s="24"/>
      <c r="JQT146" s="24"/>
      <c r="JQU146" s="24"/>
      <c r="JQV146" s="24"/>
      <c r="JQW146" s="24"/>
      <c r="JQX146" s="24"/>
      <c r="JQY146" s="24"/>
      <c r="JQZ146" s="24"/>
      <c r="JRA146" s="24"/>
      <c r="JRB146" s="24"/>
      <c r="JRC146" s="24"/>
      <c r="JRD146" s="24"/>
      <c r="JRE146" s="24"/>
      <c r="JRF146" s="24"/>
      <c r="JRG146" s="24"/>
      <c r="JRH146" s="24"/>
      <c r="JRI146" s="24"/>
      <c r="JRJ146" s="24"/>
      <c r="JRK146" s="24"/>
      <c r="JRL146" s="24"/>
      <c r="JRM146" s="24"/>
      <c r="JRN146" s="24"/>
      <c r="JRO146" s="24"/>
      <c r="JRP146" s="24"/>
      <c r="JRQ146" s="24"/>
      <c r="JRR146" s="24"/>
      <c r="JRS146" s="24"/>
      <c r="JRT146" s="24"/>
      <c r="JRU146" s="24"/>
      <c r="JRV146" s="24"/>
      <c r="JRW146" s="24"/>
      <c r="JRX146" s="24"/>
      <c r="JRY146" s="24"/>
      <c r="JRZ146" s="24"/>
      <c r="JSA146" s="24"/>
      <c r="JSB146" s="24"/>
      <c r="JSC146" s="24"/>
      <c r="JSD146" s="24"/>
      <c r="JSE146" s="24"/>
      <c r="JSF146" s="24"/>
      <c r="JSG146" s="24"/>
      <c r="JSH146" s="24"/>
      <c r="JSI146" s="24"/>
      <c r="JSJ146" s="24"/>
      <c r="JSK146" s="24"/>
      <c r="JSL146" s="24"/>
      <c r="JSM146" s="24"/>
      <c r="JSN146" s="24"/>
      <c r="JSO146" s="24"/>
      <c r="JSP146" s="24"/>
      <c r="JSQ146" s="24"/>
      <c r="JSR146" s="24"/>
      <c r="JSS146" s="24"/>
      <c r="JST146" s="24"/>
      <c r="JSU146" s="24"/>
      <c r="JSV146" s="24"/>
      <c r="JSW146" s="24"/>
      <c r="JSX146" s="24"/>
      <c r="JSY146" s="24"/>
      <c r="JSZ146" s="24"/>
      <c r="JTA146" s="24"/>
      <c r="JTB146" s="24"/>
      <c r="JTC146" s="24"/>
      <c r="JTD146" s="24"/>
      <c r="JTE146" s="24"/>
      <c r="JTF146" s="24"/>
      <c r="JTG146" s="24"/>
      <c r="JTH146" s="24"/>
      <c r="JTI146" s="24"/>
      <c r="JTJ146" s="24"/>
      <c r="JTK146" s="24"/>
      <c r="JTL146" s="24"/>
      <c r="JTM146" s="24"/>
      <c r="JTN146" s="24"/>
      <c r="JTO146" s="24"/>
      <c r="JTP146" s="24"/>
      <c r="JTQ146" s="24"/>
      <c r="JTR146" s="24"/>
      <c r="JTS146" s="24"/>
      <c r="JTT146" s="24"/>
      <c r="JTU146" s="24"/>
      <c r="JTV146" s="24"/>
      <c r="JTW146" s="24"/>
      <c r="JTX146" s="24"/>
      <c r="JTY146" s="24"/>
      <c r="JTZ146" s="24"/>
      <c r="JUA146" s="24"/>
      <c r="JUB146" s="24"/>
      <c r="JUC146" s="24"/>
      <c r="JUD146" s="24"/>
      <c r="JUE146" s="24"/>
      <c r="JUF146" s="24"/>
      <c r="JUG146" s="24"/>
      <c r="JUH146" s="24"/>
      <c r="JUI146" s="24"/>
      <c r="JUJ146" s="24"/>
      <c r="JUK146" s="24"/>
      <c r="JUL146" s="24"/>
      <c r="JUM146" s="24"/>
      <c r="JUN146" s="24"/>
      <c r="JUO146" s="24"/>
      <c r="JUP146" s="24"/>
      <c r="JUQ146" s="24"/>
      <c r="JUR146" s="24"/>
      <c r="JUS146" s="24"/>
      <c r="JUT146" s="24"/>
      <c r="JUU146" s="24"/>
      <c r="JUV146" s="24"/>
      <c r="JUW146" s="24"/>
      <c r="JUX146" s="24"/>
      <c r="JUY146" s="24"/>
      <c r="JUZ146" s="24"/>
      <c r="JVA146" s="24"/>
      <c r="JVB146" s="24"/>
      <c r="JVC146" s="24"/>
      <c r="JVD146" s="24"/>
      <c r="JVE146" s="24"/>
      <c r="JVF146" s="24"/>
      <c r="JVG146" s="24"/>
      <c r="JVH146" s="24"/>
      <c r="JVI146" s="24"/>
      <c r="JVJ146" s="24"/>
      <c r="JVK146" s="24"/>
      <c r="JVL146" s="24"/>
      <c r="JVM146" s="24"/>
      <c r="JVN146" s="24"/>
      <c r="JVO146" s="24"/>
      <c r="JVP146" s="24"/>
      <c r="JVQ146" s="24"/>
      <c r="JVR146" s="24"/>
      <c r="JVS146" s="24"/>
      <c r="JVT146" s="24"/>
      <c r="JVU146" s="24"/>
      <c r="JVV146" s="24"/>
      <c r="JVW146" s="24"/>
      <c r="JVX146" s="24"/>
      <c r="JVY146" s="24"/>
      <c r="JVZ146" s="24"/>
      <c r="JWA146" s="24"/>
      <c r="JWB146" s="24"/>
      <c r="JWC146" s="24"/>
      <c r="JWD146" s="24"/>
      <c r="JWE146" s="24"/>
      <c r="JWF146" s="24"/>
      <c r="JWG146" s="24"/>
      <c r="JWH146" s="24"/>
      <c r="JWI146" s="24"/>
      <c r="JWJ146" s="24"/>
      <c r="JWK146" s="24"/>
      <c r="JWL146" s="24"/>
      <c r="JWM146" s="24"/>
      <c r="JWN146" s="24"/>
      <c r="JWO146" s="24"/>
      <c r="JWP146" s="24"/>
      <c r="JWQ146" s="24"/>
      <c r="JWR146" s="24"/>
      <c r="JWS146" s="24"/>
      <c r="JWT146" s="24"/>
      <c r="JWU146" s="24"/>
      <c r="JWV146" s="24"/>
      <c r="JWW146" s="24"/>
      <c r="JWX146" s="24"/>
      <c r="JWY146" s="24"/>
      <c r="JWZ146" s="24"/>
      <c r="JXA146" s="24"/>
      <c r="JXB146" s="24"/>
      <c r="JXC146" s="24"/>
      <c r="JXD146" s="24"/>
      <c r="JXE146" s="24"/>
      <c r="JXF146" s="24"/>
      <c r="JXG146" s="24"/>
      <c r="JXH146" s="24"/>
      <c r="JXI146" s="24"/>
      <c r="JXJ146" s="24"/>
      <c r="JXK146" s="24"/>
      <c r="JXL146" s="24"/>
      <c r="JXM146" s="24"/>
      <c r="JXN146" s="24"/>
      <c r="JXO146" s="24"/>
      <c r="JXP146" s="24"/>
      <c r="JXQ146" s="24"/>
      <c r="JXR146" s="24"/>
      <c r="JXS146" s="24"/>
      <c r="JXT146" s="24"/>
      <c r="JXU146" s="24"/>
      <c r="JXV146" s="24"/>
      <c r="JXW146" s="24"/>
      <c r="JXX146" s="24"/>
      <c r="JXY146" s="24"/>
      <c r="JXZ146" s="24"/>
      <c r="JYA146" s="24"/>
      <c r="JYB146" s="24"/>
      <c r="JYC146" s="24"/>
      <c r="JYD146" s="24"/>
      <c r="JYE146" s="24"/>
      <c r="JYF146" s="24"/>
      <c r="JYG146" s="24"/>
      <c r="JYH146" s="24"/>
      <c r="JYI146" s="24"/>
      <c r="JYJ146" s="24"/>
      <c r="JYK146" s="24"/>
      <c r="JYL146" s="24"/>
      <c r="JYM146" s="24"/>
      <c r="JYN146" s="24"/>
      <c r="JYO146" s="24"/>
      <c r="JYP146" s="24"/>
      <c r="JYQ146" s="24"/>
      <c r="JYR146" s="24"/>
      <c r="JYS146" s="24"/>
      <c r="JYT146" s="24"/>
      <c r="JYU146" s="24"/>
      <c r="JYV146" s="24"/>
      <c r="JYW146" s="24"/>
      <c r="JYX146" s="24"/>
      <c r="JYY146" s="24"/>
      <c r="JYZ146" s="24"/>
      <c r="JZA146" s="24"/>
      <c r="JZB146" s="24"/>
      <c r="JZC146" s="24"/>
      <c r="JZD146" s="24"/>
      <c r="JZE146" s="24"/>
      <c r="JZF146" s="24"/>
      <c r="JZG146" s="24"/>
      <c r="JZH146" s="24"/>
      <c r="JZI146" s="24"/>
      <c r="JZJ146" s="24"/>
      <c r="JZK146" s="24"/>
      <c r="JZL146" s="24"/>
      <c r="JZM146" s="24"/>
      <c r="JZN146" s="24"/>
      <c r="JZO146" s="24"/>
      <c r="JZP146" s="24"/>
      <c r="JZQ146" s="24"/>
      <c r="JZR146" s="24"/>
      <c r="JZS146" s="24"/>
      <c r="JZT146" s="24"/>
      <c r="JZU146" s="24"/>
      <c r="JZV146" s="24"/>
      <c r="JZW146" s="24"/>
      <c r="JZX146" s="24"/>
      <c r="JZY146" s="24"/>
      <c r="JZZ146" s="24"/>
      <c r="KAA146" s="24"/>
      <c r="KAB146" s="24"/>
      <c r="KAC146" s="24"/>
      <c r="KAD146" s="24"/>
      <c r="KAE146" s="24"/>
      <c r="KAF146" s="24"/>
      <c r="KAG146" s="24"/>
      <c r="KAH146" s="24"/>
      <c r="KAI146" s="24"/>
      <c r="KAJ146" s="24"/>
      <c r="KAK146" s="24"/>
      <c r="KAL146" s="24"/>
      <c r="KAM146" s="24"/>
      <c r="KAN146" s="24"/>
      <c r="KAO146" s="24"/>
      <c r="KAP146" s="24"/>
      <c r="KAQ146" s="24"/>
      <c r="KAR146" s="24"/>
      <c r="KAS146" s="24"/>
      <c r="KAT146" s="24"/>
      <c r="KAU146" s="24"/>
      <c r="KAV146" s="24"/>
      <c r="KAW146" s="24"/>
      <c r="KAX146" s="24"/>
      <c r="KAY146" s="24"/>
      <c r="KAZ146" s="24"/>
      <c r="KBA146" s="24"/>
      <c r="KBB146" s="24"/>
      <c r="KBC146" s="24"/>
      <c r="KBD146" s="24"/>
      <c r="KBE146" s="24"/>
      <c r="KBF146" s="24"/>
      <c r="KBG146" s="24"/>
      <c r="KBH146" s="24"/>
      <c r="KBI146" s="24"/>
      <c r="KBJ146" s="24"/>
      <c r="KBK146" s="24"/>
      <c r="KBL146" s="24"/>
      <c r="KBM146" s="24"/>
      <c r="KBN146" s="24"/>
      <c r="KBO146" s="24"/>
      <c r="KBP146" s="24"/>
      <c r="KBQ146" s="24"/>
      <c r="KBR146" s="24"/>
      <c r="KBS146" s="24"/>
      <c r="KBT146" s="24"/>
      <c r="KBU146" s="24"/>
      <c r="KBV146" s="24"/>
      <c r="KBW146" s="24"/>
      <c r="KBX146" s="24"/>
      <c r="KBY146" s="24"/>
      <c r="KBZ146" s="24"/>
      <c r="KCA146" s="24"/>
      <c r="KCB146" s="24"/>
      <c r="KCC146" s="24"/>
      <c r="KCD146" s="24"/>
      <c r="KCE146" s="24"/>
      <c r="KCF146" s="24"/>
      <c r="KCG146" s="24"/>
      <c r="KCH146" s="24"/>
      <c r="KCI146" s="24"/>
      <c r="KCJ146" s="24"/>
      <c r="KCK146" s="24"/>
      <c r="KCL146" s="24"/>
      <c r="KCM146" s="24"/>
      <c r="KCN146" s="24"/>
      <c r="KCO146" s="24"/>
      <c r="KCP146" s="24"/>
      <c r="KCQ146" s="24"/>
      <c r="KCR146" s="24"/>
      <c r="KCS146" s="24"/>
      <c r="KCT146" s="24"/>
      <c r="KCU146" s="24"/>
      <c r="KCV146" s="24"/>
      <c r="KCW146" s="24"/>
      <c r="KCX146" s="24"/>
      <c r="KCY146" s="24"/>
      <c r="KCZ146" s="24"/>
      <c r="KDA146" s="24"/>
      <c r="KDB146" s="24"/>
      <c r="KDC146" s="24"/>
      <c r="KDD146" s="24"/>
      <c r="KDE146" s="24"/>
      <c r="KDF146" s="24"/>
      <c r="KDG146" s="24"/>
      <c r="KDH146" s="24"/>
      <c r="KDI146" s="24"/>
      <c r="KDJ146" s="24"/>
      <c r="KDK146" s="24"/>
      <c r="KDL146" s="24"/>
      <c r="KDM146" s="24"/>
      <c r="KDN146" s="24"/>
      <c r="KDO146" s="24"/>
      <c r="KDP146" s="24"/>
      <c r="KDQ146" s="24"/>
      <c r="KDR146" s="24"/>
      <c r="KDS146" s="24"/>
      <c r="KDT146" s="24"/>
      <c r="KDU146" s="24"/>
      <c r="KDV146" s="24"/>
      <c r="KDW146" s="24"/>
      <c r="KDX146" s="24"/>
      <c r="KDY146" s="24"/>
      <c r="KDZ146" s="24"/>
      <c r="KEA146" s="24"/>
      <c r="KEB146" s="24"/>
      <c r="KEC146" s="24"/>
      <c r="KED146" s="24"/>
      <c r="KEE146" s="24"/>
      <c r="KEF146" s="24"/>
      <c r="KEG146" s="24"/>
      <c r="KEH146" s="24"/>
      <c r="KEI146" s="24"/>
      <c r="KEJ146" s="24"/>
      <c r="KEK146" s="24"/>
      <c r="KEL146" s="24"/>
      <c r="KEM146" s="24"/>
      <c r="KEN146" s="24"/>
      <c r="KEO146" s="24"/>
      <c r="KEP146" s="24"/>
      <c r="KEQ146" s="24"/>
      <c r="KER146" s="24"/>
      <c r="KES146" s="24"/>
      <c r="KET146" s="24"/>
      <c r="KEU146" s="24"/>
      <c r="KEV146" s="24"/>
      <c r="KEW146" s="24"/>
      <c r="KEX146" s="24"/>
      <c r="KEY146" s="24"/>
      <c r="KEZ146" s="24"/>
      <c r="KFA146" s="24"/>
      <c r="KFB146" s="24"/>
      <c r="KFC146" s="24"/>
      <c r="KFD146" s="24"/>
      <c r="KFE146" s="24"/>
      <c r="KFF146" s="24"/>
      <c r="KFG146" s="24"/>
      <c r="KFH146" s="24"/>
      <c r="KFI146" s="24"/>
      <c r="KFJ146" s="24"/>
      <c r="KFK146" s="24"/>
      <c r="KFL146" s="24"/>
      <c r="KFM146" s="24"/>
      <c r="KFN146" s="24"/>
      <c r="KFO146" s="24"/>
      <c r="KFP146" s="24"/>
      <c r="KFQ146" s="24"/>
      <c r="KFR146" s="24"/>
      <c r="KFS146" s="24"/>
      <c r="KFT146" s="24"/>
      <c r="KFU146" s="24"/>
      <c r="KFV146" s="24"/>
      <c r="KFW146" s="24"/>
      <c r="KFX146" s="24"/>
      <c r="KFY146" s="24"/>
      <c r="KFZ146" s="24"/>
      <c r="KGA146" s="24"/>
      <c r="KGB146" s="24"/>
      <c r="KGC146" s="24"/>
      <c r="KGD146" s="24"/>
      <c r="KGE146" s="24"/>
      <c r="KGF146" s="24"/>
      <c r="KGG146" s="24"/>
      <c r="KGH146" s="24"/>
      <c r="KGI146" s="24"/>
      <c r="KGJ146" s="24"/>
      <c r="KGK146" s="24"/>
      <c r="KGL146" s="24"/>
      <c r="KGM146" s="24"/>
      <c r="KGN146" s="24"/>
      <c r="KGO146" s="24"/>
      <c r="KGP146" s="24"/>
      <c r="KGQ146" s="24"/>
      <c r="KGR146" s="24"/>
      <c r="KGS146" s="24"/>
      <c r="KGT146" s="24"/>
      <c r="KGU146" s="24"/>
      <c r="KGV146" s="24"/>
      <c r="KGW146" s="24"/>
      <c r="KGX146" s="24"/>
      <c r="KGY146" s="24"/>
      <c r="KGZ146" s="24"/>
      <c r="KHA146" s="24"/>
      <c r="KHB146" s="24"/>
      <c r="KHC146" s="24"/>
      <c r="KHD146" s="24"/>
      <c r="KHE146" s="24"/>
      <c r="KHF146" s="24"/>
      <c r="KHG146" s="24"/>
      <c r="KHH146" s="24"/>
      <c r="KHI146" s="24"/>
      <c r="KHJ146" s="24"/>
      <c r="KHK146" s="24"/>
      <c r="KHL146" s="24"/>
      <c r="KHM146" s="24"/>
      <c r="KHN146" s="24"/>
      <c r="KHO146" s="24"/>
      <c r="KHP146" s="24"/>
      <c r="KHQ146" s="24"/>
      <c r="KHR146" s="24"/>
      <c r="KHS146" s="24"/>
      <c r="KHT146" s="24"/>
      <c r="KHU146" s="24"/>
      <c r="KHV146" s="24"/>
      <c r="KHW146" s="24"/>
      <c r="KHX146" s="24"/>
      <c r="KHY146" s="24"/>
      <c r="KHZ146" s="24"/>
      <c r="KIA146" s="24"/>
      <c r="KIB146" s="24"/>
      <c r="KIC146" s="24"/>
      <c r="KID146" s="24"/>
      <c r="KIE146" s="24"/>
      <c r="KIF146" s="24"/>
      <c r="KIG146" s="24"/>
      <c r="KIH146" s="24"/>
      <c r="KII146" s="24"/>
      <c r="KIJ146" s="24"/>
      <c r="KIK146" s="24"/>
      <c r="KIL146" s="24"/>
      <c r="KIM146" s="24"/>
      <c r="KIN146" s="24"/>
      <c r="KIO146" s="24"/>
      <c r="KIP146" s="24"/>
      <c r="KIQ146" s="24"/>
      <c r="KIR146" s="24"/>
      <c r="KIS146" s="24"/>
      <c r="KIT146" s="24"/>
      <c r="KIU146" s="24"/>
      <c r="KIV146" s="24"/>
      <c r="KIW146" s="24"/>
      <c r="KIX146" s="24"/>
      <c r="KIY146" s="24"/>
      <c r="KIZ146" s="24"/>
      <c r="KJA146" s="24"/>
      <c r="KJB146" s="24"/>
      <c r="KJC146" s="24"/>
      <c r="KJD146" s="24"/>
      <c r="KJE146" s="24"/>
      <c r="KJF146" s="24"/>
      <c r="KJG146" s="24"/>
      <c r="KJH146" s="24"/>
      <c r="KJI146" s="24"/>
      <c r="KJJ146" s="24"/>
      <c r="KJK146" s="24"/>
      <c r="KJL146" s="24"/>
      <c r="KJM146" s="24"/>
      <c r="KJN146" s="24"/>
      <c r="KJO146" s="24"/>
      <c r="KJP146" s="24"/>
      <c r="KJQ146" s="24"/>
      <c r="KJR146" s="24"/>
      <c r="KJS146" s="24"/>
      <c r="KJT146" s="24"/>
      <c r="KJU146" s="24"/>
      <c r="KJV146" s="24"/>
      <c r="KJW146" s="24"/>
      <c r="KJX146" s="24"/>
      <c r="KJY146" s="24"/>
      <c r="KJZ146" s="24"/>
      <c r="KKA146" s="24"/>
      <c r="KKB146" s="24"/>
      <c r="KKC146" s="24"/>
      <c r="KKD146" s="24"/>
      <c r="KKE146" s="24"/>
      <c r="KKF146" s="24"/>
      <c r="KKG146" s="24"/>
      <c r="KKH146" s="24"/>
      <c r="KKI146" s="24"/>
      <c r="KKJ146" s="24"/>
      <c r="KKK146" s="24"/>
      <c r="KKL146" s="24"/>
      <c r="KKM146" s="24"/>
      <c r="KKN146" s="24"/>
      <c r="KKO146" s="24"/>
      <c r="KKP146" s="24"/>
      <c r="KKQ146" s="24"/>
      <c r="KKR146" s="24"/>
      <c r="KKS146" s="24"/>
      <c r="KKT146" s="24"/>
      <c r="KKU146" s="24"/>
      <c r="KKV146" s="24"/>
      <c r="KKW146" s="24"/>
      <c r="KKX146" s="24"/>
      <c r="KKY146" s="24"/>
      <c r="KKZ146" s="24"/>
      <c r="KLA146" s="24"/>
      <c r="KLB146" s="24"/>
      <c r="KLC146" s="24"/>
      <c r="KLD146" s="24"/>
      <c r="KLE146" s="24"/>
      <c r="KLF146" s="24"/>
      <c r="KLG146" s="24"/>
      <c r="KLH146" s="24"/>
      <c r="KLI146" s="24"/>
      <c r="KLJ146" s="24"/>
      <c r="KLK146" s="24"/>
      <c r="KLL146" s="24"/>
      <c r="KLM146" s="24"/>
      <c r="KLN146" s="24"/>
      <c r="KLO146" s="24"/>
      <c r="KLP146" s="24"/>
      <c r="KLQ146" s="24"/>
      <c r="KLR146" s="24"/>
      <c r="KLS146" s="24"/>
      <c r="KLT146" s="24"/>
      <c r="KLU146" s="24"/>
      <c r="KLV146" s="24"/>
      <c r="KLW146" s="24"/>
      <c r="KLX146" s="24"/>
      <c r="KLY146" s="24"/>
      <c r="KLZ146" s="24"/>
      <c r="KMA146" s="24"/>
      <c r="KMB146" s="24"/>
      <c r="KMC146" s="24"/>
      <c r="KMD146" s="24"/>
      <c r="KME146" s="24"/>
      <c r="KMF146" s="24"/>
      <c r="KMG146" s="24"/>
      <c r="KMH146" s="24"/>
      <c r="KMI146" s="24"/>
      <c r="KMJ146" s="24"/>
      <c r="KMK146" s="24"/>
      <c r="KML146" s="24"/>
      <c r="KMM146" s="24"/>
      <c r="KMN146" s="24"/>
      <c r="KMO146" s="24"/>
      <c r="KMP146" s="24"/>
      <c r="KMQ146" s="24"/>
      <c r="KMR146" s="24"/>
      <c r="KMS146" s="24"/>
      <c r="KMT146" s="24"/>
      <c r="KMU146" s="24"/>
      <c r="KMV146" s="24"/>
      <c r="KMW146" s="24"/>
      <c r="KMX146" s="24"/>
      <c r="KMY146" s="24"/>
      <c r="KMZ146" s="24"/>
      <c r="KNA146" s="24"/>
      <c r="KNB146" s="24"/>
      <c r="KNC146" s="24"/>
      <c r="KND146" s="24"/>
      <c r="KNE146" s="24"/>
      <c r="KNF146" s="24"/>
      <c r="KNG146" s="24"/>
      <c r="KNH146" s="24"/>
      <c r="KNI146" s="24"/>
      <c r="KNJ146" s="24"/>
      <c r="KNK146" s="24"/>
      <c r="KNL146" s="24"/>
      <c r="KNM146" s="24"/>
      <c r="KNN146" s="24"/>
      <c r="KNO146" s="24"/>
      <c r="KNP146" s="24"/>
      <c r="KNQ146" s="24"/>
      <c r="KNR146" s="24"/>
      <c r="KNS146" s="24"/>
      <c r="KNT146" s="24"/>
      <c r="KNU146" s="24"/>
      <c r="KNV146" s="24"/>
      <c r="KNW146" s="24"/>
      <c r="KNX146" s="24"/>
      <c r="KNY146" s="24"/>
      <c r="KNZ146" s="24"/>
      <c r="KOA146" s="24"/>
      <c r="KOB146" s="24"/>
      <c r="KOC146" s="24"/>
      <c r="KOD146" s="24"/>
      <c r="KOE146" s="24"/>
      <c r="KOF146" s="24"/>
      <c r="KOG146" s="24"/>
      <c r="KOH146" s="24"/>
      <c r="KOI146" s="24"/>
      <c r="KOJ146" s="24"/>
      <c r="KOK146" s="24"/>
      <c r="KOL146" s="24"/>
      <c r="KOM146" s="24"/>
      <c r="KON146" s="24"/>
      <c r="KOO146" s="24"/>
      <c r="KOP146" s="24"/>
      <c r="KOQ146" s="24"/>
      <c r="KOR146" s="24"/>
      <c r="KOS146" s="24"/>
      <c r="KOT146" s="24"/>
      <c r="KOU146" s="24"/>
      <c r="KOV146" s="24"/>
      <c r="KOW146" s="24"/>
      <c r="KOX146" s="24"/>
      <c r="KOY146" s="24"/>
      <c r="KOZ146" s="24"/>
      <c r="KPA146" s="24"/>
      <c r="KPB146" s="24"/>
      <c r="KPC146" s="24"/>
      <c r="KPD146" s="24"/>
      <c r="KPE146" s="24"/>
      <c r="KPF146" s="24"/>
      <c r="KPG146" s="24"/>
      <c r="KPH146" s="24"/>
      <c r="KPI146" s="24"/>
      <c r="KPJ146" s="24"/>
      <c r="KPK146" s="24"/>
      <c r="KPL146" s="24"/>
      <c r="KPM146" s="24"/>
      <c r="KPN146" s="24"/>
      <c r="KPO146" s="24"/>
      <c r="KPP146" s="24"/>
      <c r="KPQ146" s="24"/>
      <c r="KPR146" s="24"/>
      <c r="KPS146" s="24"/>
      <c r="KPT146" s="24"/>
      <c r="KPU146" s="24"/>
      <c r="KPV146" s="24"/>
      <c r="KPW146" s="24"/>
      <c r="KPX146" s="24"/>
      <c r="KPY146" s="24"/>
      <c r="KPZ146" s="24"/>
      <c r="KQA146" s="24"/>
      <c r="KQB146" s="24"/>
      <c r="KQC146" s="24"/>
      <c r="KQD146" s="24"/>
      <c r="KQE146" s="24"/>
      <c r="KQF146" s="24"/>
      <c r="KQG146" s="24"/>
      <c r="KQH146" s="24"/>
      <c r="KQI146" s="24"/>
      <c r="KQJ146" s="24"/>
      <c r="KQK146" s="24"/>
      <c r="KQL146" s="24"/>
      <c r="KQM146" s="24"/>
      <c r="KQN146" s="24"/>
      <c r="KQO146" s="24"/>
      <c r="KQP146" s="24"/>
      <c r="KQQ146" s="24"/>
      <c r="KQR146" s="24"/>
      <c r="KQS146" s="24"/>
      <c r="KQT146" s="24"/>
      <c r="KQU146" s="24"/>
      <c r="KQV146" s="24"/>
      <c r="KQW146" s="24"/>
      <c r="KQX146" s="24"/>
      <c r="KQY146" s="24"/>
      <c r="KQZ146" s="24"/>
      <c r="KRA146" s="24"/>
      <c r="KRB146" s="24"/>
      <c r="KRC146" s="24"/>
      <c r="KRD146" s="24"/>
      <c r="KRE146" s="24"/>
      <c r="KRF146" s="24"/>
      <c r="KRG146" s="24"/>
      <c r="KRH146" s="24"/>
      <c r="KRI146" s="24"/>
      <c r="KRJ146" s="24"/>
      <c r="KRK146" s="24"/>
      <c r="KRL146" s="24"/>
      <c r="KRM146" s="24"/>
      <c r="KRN146" s="24"/>
      <c r="KRO146" s="24"/>
      <c r="KRP146" s="24"/>
      <c r="KRQ146" s="24"/>
      <c r="KRR146" s="24"/>
      <c r="KRS146" s="24"/>
      <c r="KRT146" s="24"/>
      <c r="KRU146" s="24"/>
      <c r="KRV146" s="24"/>
      <c r="KRW146" s="24"/>
      <c r="KRX146" s="24"/>
      <c r="KRY146" s="24"/>
      <c r="KRZ146" s="24"/>
      <c r="KSA146" s="24"/>
      <c r="KSB146" s="24"/>
      <c r="KSC146" s="24"/>
      <c r="KSD146" s="24"/>
      <c r="KSE146" s="24"/>
      <c r="KSF146" s="24"/>
      <c r="KSG146" s="24"/>
      <c r="KSH146" s="24"/>
      <c r="KSI146" s="24"/>
      <c r="KSJ146" s="24"/>
      <c r="KSK146" s="24"/>
      <c r="KSL146" s="24"/>
      <c r="KSM146" s="24"/>
      <c r="KSN146" s="24"/>
      <c r="KSO146" s="24"/>
      <c r="KSP146" s="24"/>
      <c r="KSQ146" s="24"/>
      <c r="KSR146" s="24"/>
      <c r="KSS146" s="24"/>
      <c r="KST146" s="24"/>
      <c r="KSU146" s="24"/>
      <c r="KSV146" s="24"/>
      <c r="KSW146" s="24"/>
      <c r="KSX146" s="24"/>
      <c r="KSY146" s="24"/>
      <c r="KSZ146" s="24"/>
      <c r="KTA146" s="24"/>
      <c r="KTB146" s="24"/>
      <c r="KTC146" s="24"/>
      <c r="KTD146" s="24"/>
      <c r="KTE146" s="24"/>
      <c r="KTF146" s="24"/>
      <c r="KTG146" s="24"/>
      <c r="KTH146" s="24"/>
      <c r="KTI146" s="24"/>
      <c r="KTJ146" s="24"/>
      <c r="KTK146" s="24"/>
      <c r="KTL146" s="24"/>
      <c r="KTM146" s="24"/>
      <c r="KTN146" s="24"/>
      <c r="KTO146" s="24"/>
      <c r="KTP146" s="24"/>
      <c r="KTQ146" s="24"/>
      <c r="KTR146" s="24"/>
      <c r="KTS146" s="24"/>
      <c r="KTT146" s="24"/>
      <c r="KTU146" s="24"/>
      <c r="KTV146" s="24"/>
      <c r="KTW146" s="24"/>
      <c r="KTX146" s="24"/>
      <c r="KTY146" s="24"/>
      <c r="KTZ146" s="24"/>
      <c r="KUA146" s="24"/>
      <c r="KUB146" s="24"/>
      <c r="KUC146" s="24"/>
      <c r="KUD146" s="24"/>
      <c r="KUE146" s="24"/>
      <c r="KUF146" s="24"/>
      <c r="KUG146" s="24"/>
      <c r="KUH146" s="24"/>
      <c r="KUI146" s="24"/>
      <c r="KUJ146" s="24"/>
      <c r="KUK146" s="24"/>
      <c r="KUL146" s="24"/>
      <c r="KUM146" s="24"/>
      <c r="KUN146" s="24"/>
      <c r="KUO146" s="24"/>
      <c r="KUP146" s="24"/>
      <c r="KUQ146" s="24"/>
      <c r="KUR146" s="24"/>
      <c r="KUS146" s="24"/>
      <c r="KUT146" s="24"/>
      <c r="KUU146" s="24"/>
      <c r="KUV146" s="24"/>
      <c r="KUW146" s="24"/>
      <c r="KUX146" s="24"/>
      <c r="KUY146" s="24"/>
      <c r="KUZ146" s="24"/>
      <c r="KVA146" s="24"/>
      <c r="KVB146" s="24"/>
      <c r="KVC146" s="24"/>
      <c r="KVD146" s="24"/>
      <c r="KVE146" s="24"/>
      <c r="KVF146" s="24"/>
      <c r="KVG146" s="24"/>
      <c r="KVH146" s="24"/>
      <c r="KVI146" s="24"/>
      <c r="KVJ146" s="24"/>
      <c r="KVK146" s="24"/>
      <c r="KVL146" s="24"/>
      <c r="KVM146" s="24"/>
      <c r="KVN146" s="24"/>
      <c r="KVO146" s="24"/>
      <c r="KVP146" s="24"/>
      <c r="KVQ146" s="24"/>
      <c r="KVR146" s="24"/>
      <c r="KVS146" s="24"/>
      <c r="KVT146" s="24"/>
      <c r="KVU146" s="24"/>
      <c r="KVV146" s="24"/>
      <c r="KVW146" s="24"/>
      <c r="KVX146" s="24"/>
      <c r="KVY146" s="24"/>
      <c r="KVZ146" s="24"/>
      <c r="KWA146" s="24"/>
      <c r="KWB146" s="24"/>
      <c r="KWC146" s="24"/>
      <c r="KWD146" s="24"/>
      <c r="KWE146" s="24"/>
      <c r="KWF146" s="24"/>
      <c r="KWG146" s="24"/>
      <c r="KWH146" s="24"/>
      <c r="KWI146" s="24"/>
      <c r="KWJ146" s="24"/>
      <c r="KWK146" s="24"/>
      <c r="KWL146" s="24"/>
      <c r="KWM146" s="24"/>
      <c r="KWN146" s="24"/>
      <c r="KWO146" s="24"/>
      <c r="KWP146" s="24"/>
      <c r="KWQ146" s="24"/>
      <c r="KWR146" s="24"/>
      <c r="KWS146" s="24"/>
      <c r="KWT146" s="24"/>
      <c r="KWU146" s="24"/>
      <c r="KWV146" s="24"/>
      <c r="KWW146" s="24"/>
      <c r="KWX146" s="24"/>
      <c r="KWY146" s="24"/>
      <c r="KWZ146" s="24"/>
      <c r="KXA146" s="24"/>
      <c r="KXB146" s="24"/>
      <c r="KXC146" s="24"/>
      <c r="KXD146" s="24"/>
      <c r="KXE146" s="24"/>
      <c r="KXF146" s="24"/>
      <c r="KXG146" s="24"/>
      <c r="KXH146" s="24"/>
      <c r="KXI146" s="24"/>
      <c r="KXJ146" s="24"/>
      <c r="KXK146" s="24"/>
      <c r="KXL146" s="24"/>
      <c r="KXM146" s="24"/>
      <c r="KXN146" s="24"/>
      <c r="KXO146" s="24"/>
      <c r="KXP146" s="24"/>
      <c r="KXQ146" s="24"/>
      <c r="KXR146" s="24"/>
      <c r="KXS146" s="24"/>
      <c r="KXT146" s="24"/>
      <c r="KXU146" s="24"/>
      <c r="KXV146" s="24"/>
      <c r="KXW146" s="24"/>
      <c r="KXX146" s="24"/>
      <c r="KXY146" s="24"/>
      <c r="KXZ146" s="24"/>
      <c r="KYA146" s="24"/>
      <c r="KYB146" s="24"/>
      <c r="KYC146" s="24"/>
      <c r="KYD146" s="24"/>
      <c r="KYE146" s="24"/>
      <c r="KYF146" s="24"/>
      <c r="KYG146" s="24"/>
      <c r="KYH146" s="24"/>
      <c r="KYI146" s="24"/>
      <c r="KYJ146" s="24"/>
      <c r="KYK146" s="24"/>
      <c r="KYL146" s="24"/>
      <c r="KYM146" s="24"/>
      <c r="KYN146" s="24"/>
      <c r="KYO146" s="24"/>
      <c r="KYP146" s="24"/>
      <c r="KYQ146" s="24"/>
      <c r="KYR146" s="24"/>
      <c r="KYS146" s="24"/>
      <c r="KYT146" s="24"/>
      <c r="KYU146" s="24"/>
      <c r="KYV146" s="24"/>
      <c r="KYW146" s="24"/>
      <c r="KYX146" s="24"/>
      <c r="KYY146" s="24"/>
      <c r="KYZ146" s="24"/>
      <c r="KZA146" s="24"/>
      <c r="KZB146" s="24"/>
      <c r="KZC146" s="24"/>
      <c r="KZD146" s="24"/>
      <c r="KZE146" s="24"/>
      <c r="KZF146" s="24"/>
      <c r="KZG146" s="24"/>
      <c r="KZH146" s="24"/>
      <c r="KZI146" s="24"/>
      <c r="KZJ146" s="24"/>
      <c r="KZK146" s="24"/>
      <c r="KZL146" s="24"/>
      <c r="KZM146" s="24"/>
      <c r="KZN146" s="24"/>
      <c r="KZO146" s="24"/>
      <c r="KZP146" s="24"/>
      <c r="KZQ146" s="24"/>
      <c r="KZR146" s="24"/>
      <c r="KZS146" s="24"/>
      <c r="KZT146" s="24"/>
      <c r="KZU146" s="24"/>
      <c r="KZV146" s="24"/>
      <c r="KZW146" s="24"/>
      <c r="KZX146" s="24"/>
      <c r="KZY146" s="24"/>
      <c r="KZZ146" s="24"/>
      <c r="LAA146" s="24"/>
      <c r="LAB146" s="24"/>
      <c r="LAC146" s="24"/>
      <c r="LAD146" s="24"/>
      <c r="LAE146" s="24"/>
      <c r="LAF146" s="24"/>
      <c r="LAG146" s="24"/>
      <c r="LAH146" s="24"/>
      <c r="LAI146" s="24"/>
      <c r="LAJ146" s="24"/>
      <c r="LAK146" s="24"/>
      <c r="LAL146" s="24"/>
      <c r="LAM146" s="24"/>
      <c r="LAN146" s="24"/>
      <c r="LAO146" s="24"/>
      <c r="LAP146" s="24"/>
      <c r="LAQ146" s="24"/>
      <c r="LAR146" s="24"/>
      <c r="LAS146" s="24"/>
      <c r="LAT146" s="24"/>
      <c r="LAU146" s="24"/>
      <c r="LAV146" s="24"/>
      <c r="LAW146" s="24"/>
      <c r="LAX146" s="24"/>
      <c r="LAY146" s="24"/>
      <c r="LAZ146" s="24"/>
      <c r="LBA146" s="24"/>
      <c r="LBB146" s="24"/>
      <c r="LBC146" s="24"/>
      <c r="LBD146" s="24"/>
      <c r="LBE146" s="24"/>
      <c r="LBF146" s="24"/>
      <c r="LBG146" s="24"/>
      <c r="LBH146" s="24"/>
      <c r="LBI146" s="24"/>
      <c r="LBJ146" s="24"/>
      <c r="LBK146" s="24"/>
      <c r="LBL146" s="24"/>
      <c r="LBM146" s="24"/>
      <c r="LBN146" s="24"/>
      <c r="LBO146" s="24"/>
      <c r="LBP146" s="24"/>
      <c r="LBQ146" s="24"/>
      <c r="LBR146" s="24"/>
      <c r="LBS146" s="24"/>
      <c r="LBT146" s="24"/>
      <c r="LBU146" s="24"/>
      <c r="LBV146" s="24"/>
      <c r="LBW146" s="24"/>
      <c r="LBX146" s="24"/>
      <c r="LBY146" s="24"/>
      <c r="LBZ146" s="24"/>
      <c r="LCA146" s="24"/>
      <c r="LCB146" s="24"/>
      <c r="LCC146" s="24"/>
      <c r="LCD146" s="24"/>
      <c r="LCE146" s="24"/>
      <c r="LCF146" s="24"/>
      <c r="LCG146" s="24"/>
      <c r="LCH146" s="24"/>
      <c r="LCI146" s="24"/>
      <c r="LCJ146" s="24"/>
      <c r="LCK146" s="24"/>
      <c r="LCL146" s="24"/>
      <c r="LCM146" s="24"/>
      <c r="LCN146" s="24"/>
      <c r="LCO146" s="24"/>
      <c r="LCP146" s="24"/>
      <c r="LCQ146" s="24"/>
      <c r="LCR146" s="24"/>
      <c r="LCS146" s="24"/>
      <c r="LCT146" s="24"/>
      <c r="LCU146" s="24"/>
      <c r="LCV146" s="24"/>
      <c r="LCW146" s="24"/>
      <c r="LCX146" s="24"/>
      <c r="LCY146" s="24"/>
      <c r="LCZ146" s="24"/>
      <c r="LDA146" s="24"/>
      <c r="LDB146" s="24"/>
      <c r="LDC146" s="24"/>
      <c r="LDD146" s="24"/>
      <c r="LDE146" s="24"/>
      <c r="LDF146" s="24"/>
      <c r="LDG146" s="24"/>
      <c r="LDH146" s="24"/>
      <c r="LDI146" s="24"/>
      <c r="LDJ146" s="24"/>
      <c r="LDK146" s="24"/>
      <c r="LDL146" s="24"/>
      <c r="LDM146" s="24"/>
      <c r="LDN146" s="24"/>
      <c r="LDO146" s="24"/>
      <c r="LDP146" s="24"/>
      <c r="LDQ146" s="24"/>
      <c r="LDR146" s="24"/>
      <c r="LDS146" s="24"/>
      <c r="LDT146" s="24"/>
      <c r="LDU146" s="24"/>
      <c r="LDV146" s="24"/>
      <c r="LDW146" s="24"/>
      <c r="LDX146" s="24"/>
      <c r="LDY146" s="24"/>
      <c r="LDZ146" s="24"/>
      <c r="LEA146" s="24"/>
      <c r="LEB146" s="24"/>
      <c r="LEC146" s="24"/>
      <c r="LED146" s="24"/>
      <c r="LEE146" s="24"/>
      <c r="LEF146" s="24"/>
      <c r="LEG146" s="24"/>
      <c r="LEH146" s="24"/>
      <c r="LEI146" s="24"/>
      <c r="LEJ146" s="24"/>
      <c r="LEK146" s="24"/>
      <c r="LEL146" s="24"/>
      <c r="LEM146" s="24"/>
      <c r="LEN146" s="24"/>
      <c r="LEO146" s="24"/>
      <c r="LEP146" s="24"/>
      <c r="LEQ146" s="24"/>
      <c r="LER146" s="24"/>
      <c r="LES146" s="24"/>
      <c r="LET146" s="24"/>
      <c r="LEU146" s="24"/>
      <c r="LEV146" s="24"/>
      <c r="LEW146" s="24"/>
      <c r="LEX146" s="24"/>
      <c r="LEY146" s="24"/>
      <c r="LEZ146" s="24"/>
      <c r="LFA146" s="24"/>
      <c r="LFB146" s="24"/>
      <c r="LFC146" s="24"/>
      <c r="LFD146" s="24"/>
      <c r="LFE146" s="24"/>
      <c r="LFF146" s="24"/>
      <c r="LFG146" s="24"/>
      <c r="LFH146" s="24"/>
      <c r="LFI146" s="24"/>
      <c r="LFJ146" s="24"/>
      <c r="LFK146" s="24"/>
      <c r="LFL146" s="24"/>
      <c r="LFM146" s="24"/>
      <c r="LFN146" s="24"/>
      <c r="LFO146" s="24"/>
      <c r="LFP146" s="24"/>
      <c r="LFQ146" s="24"/>
      <c r="LFR146" s="24"/>
      <c r="LFS146" s="24"/>
      <c r="LFT146" s="24"/>
      <c r="LFU146" s="24"/>
      <c r="LFV146" s="24"/>
      <c r="LFW146" s="24"/>
      <c r="LFX146" s="24"/>
      <c r="LFY146" s="24"/>
      <c r="LFZ146" s="24"/>
      <c r="LGA146" s="24"/>
      <c r="LGB146" s="24"/>
      <c r="LGC146" s="24"/>
      <c r="LGD146" s="24"/>
      <c r="LGE146" s="24"/>
      <c r="LGF146" s="24"/>
      <c r="LGG146" s="24"/>
      <c r="LGH146" s="24"/>
      <c r="LGI146" s="24"/>
      <c r="LGJ146" s="24"/>
      <c r="LGK146" s="24"/>
      <c r="LGL146" s="24"/>
      <c r="LGM146" s="24"/>
      <c r="LGN146" s="24"/>
      <c r="LGO146" s="24"/>
      <c r="LGP146" s="24"/>
      <c r="LGQ146" s="24"/>
      <c r="LGR146" s="24"/>
      <c r="LGS146" s="24"/>
      <c r="LGT146" s="24"/>
      <c r="LGU146" s="24"/>
      <c r="LGV146" s="24"/>
      <c r="LGW146" s="24"/>
      <c r="LGX146" s="24"/>
      <c r="LGY146" s="24"/>
      <c r="LGZ146" s="24"/>
      <c r="LHA146" s="24"/>
      <c r="LHB146" s="24"/>
      <c r="LHC146" s="24"/>
      <c r="LHD146" s="24"/>
      <c r="LHE146" s="24"/>
      <c r="LHF146" s="24"/>
      <c r="LHG146" s="24"/>
      <c r="LHH146" s="24"/>
      <c r="LHI146" s="24"/>
      <c r="LHJ146" s="24"/>
      <c r="LHK146" s="24"/>
      <c r="LHL146" s="24"/>
      <c r="LHM146" s="24"/>
      <c r="LHN146" s="24"/>
      <c r="LHO146" s="24"/>
      <c r="LHP146" s="24"/>
      <c r="LHQ146" s="24"/>
      <c r="LHR146" s="24"/>
      <c r="LHS146" s="24"/>
      <c r="LHT146" s="24"/>
      <c r="LHU146" s="24"/>
      <c r="LHV146" s="24"/>
      <c r="LHW146" s="24"/>
      <c r="LHX146" s="24"/>
      <c r="LHY146" s="24"/>
      <c r="LHZ146" s="24"/>
      <c r="LIA146" s="24"/>
      <c r="LIB146" s="24"/>
      <c r="LIC146" s="24"/>
      <c r="LID146" s="24"/>
      <c r="LIE146" s="24"/>
      <c r="LIF146" s="24"/>
      <c r="LIG146" s="24"/>
      <c r="LIH146" s="24"/>
      <c r="LII146" s="24"/>
      <c r="LIJ146" s="24"/>
      <c r="LIK146" s="24"/>
      <c r="LIL146" s="24"/>
      <c r="LIM146" s="24"/>
      <c r="LIN146" s="24"/>
      <c r="LIO146" s="24"/>
      <c r="LIP146" s="24"/>
      <c r="LIQ146" s="24"/>
      <c r="LIR146" s="24"/>
      <c r="LIS146" s="24"/>
      <c r="LIT146" s="24"/>
      <c r="LIU146" s="24"/>
      <c r="LIV146" s="24"/>
      <c r="LIW146" s="24"/>
      <c r="LIX146" s="24"/>
      <c r="LIY146" s="24"/>
      <c r="LIZ146" s="24"/>
      <c r="LJA146" s="24"/>
      <c r="LJB146" s="24"/>
      <c r="LJC146" s="24"/>
      <c r="LJD146" s="24"/>
      <c r="LJE146" s="24"/>
      <c r="LJF146" s="24"/>
      <c r="LJG146" s="24"/>
      <c r="LJH146" s="24"/>
      <c r="LJI146" s="24"/>
      <c r="LJJ146" s="24"/>
      <c r="LJK146" s="24"/>
      <c r="LJL146" s="24"/>
      <c r="LJM146" s="24"/>
      <c r="LJN146" s="24"/>
      <c r="LJO146" s="24"/>
      <c r="LJP146" s="24"/>
      <c r="LJQ146" s="24"/>
      <c r="LJR146" s="24"/>
      <c r="LJS146" s="24"/>
      <c r="LJT146" s="24"/>
      <c r="LJU146" s="24"/>
      <c r="LJV146" s="24"/>
      <c r="LJW146" s="24"/>
      <c r="LJX146" s="24"/>
      <c r="LJY146" s="24"/>
      <c r="LJZ146" s="24"/>
      <c r="LKA146" s="24"/>
      <c r="LKB146" s="24"/>
      <c r="LKC146" s="24"/>
      <c r="LKD146" s="24"/>
      <c r="LKE146" s="24"/>
      <c r="LKF146" s="24"/>
      <c r="LKG146" s="24"/>
      <c r="LKH146" s="24"/>
      <c r="LKI146" s="24"/>
      <c r="LKJ146" s="24"/>
      <c r="LKK146" s="24"/>
      <c r="LKL146" s="24"/>
      <c r="LKM146" s="24"/>
      <c r="LKN146" s="24"/>
      <c r="LKO146" s="24"/>
      <c r="LKP146" s="24"/>
      <c r="LKQ146" s="24"/>
      <c r="LKR146" s="24"/>
      <c r="LKS146" s="24"/>
      <c r="LKT146" s="24"/>
      <c r="LKU146" s="24"/>
      <c r="LKV146" s="24"/>
      <c r="LKW146" s="24"/>
      <c r="LKX146" s="24"/>
      <c r="LKY146" s="24"/>
      <c r="LKZ146" s="24"/>
      <c r="LLA146" s="24"/>
      <c r="LLB146" s="24"/>
      <c r="LLC146" s="24"/>
      <c r="LLD146" s="24"/>
      <c r="LLE146" s="24"/>
      <c r="LLF146" s="24"/>
      <c r="LLG146" s="24"/>
      <c r="LLH146" s="24"/>
      <c r="LLI146" s="24"/>
      <c r="LLJ146" s="24"/>
      <c r="LLK146" s="24"/>
      <c r="LLL146" s="24"/>
      <c r="LLM146" s="24"/>
      <c r="LLN146" s="24"/>
      <c r="LLO146" s="24"/>
      <c r="LLP146" s="24"/>
      <c r="LLQ146" s="24"/>
      <c r="LLR146" s="24"/>
      <c r="LLS146" s="24"/>
      <c r="LLT146" s="24"/>
      <c r="LLU146" s="24"/>
      <c r="LLV146" s="24"/>
      <c r="LLW146" s="24"/>
      <c r="LLX146" s="24"/>
      <c r="LLY146" s="24"/>
      <c r="LLZ146" s="24"/>
      <c r="LMA146" s="24"/>
      <c r="LMB146" s="24"/>
      <c r="LMC146" s="24"/>
      <c r="LMD146" s="24"/>
      <c r="LME146" s="24"/>
      <c r="LMF146" s="24"/>
      <c r="LMG146" s="24"/>
      <c r="LMH146" s="24"/>
      <c r="LMI146" s="24"/>
      <c r="LMJ146" s="24"/>
      <c r="LMK146" s="24"/>
      <c r="LML146" s="24"/>
      <c r="LMM146" s="24"/>
      <c r="LMN146" s="24"/>
      <c r="LMO146" s="24"/>
      <c r="LMP146" s="24"/>
      <c r="LMQ146" s="24"/>
      <c r="LMR146" s="24"/>
      <c r="LMS146" s="24"/>
      <c r="LMT146" s="24"/>
      <c r="LMU146" s="24"/>
      <c r="LMV146" s="24"/>
      <c r="LMW146" s="24"/>
      <c r="LMX146" s="24"/>
      <c r="LMY146" s="24"/>
      <c r="LMZ146" s="24"/>
      <c r="LNA146" s="24"/>
      <c r="LNB146" s="24"/>
      <c r="LNC146" s="24"/>
      <c r="LND146" s="24"/>
      <c r="LNE146" s="24"/>
      <c r="LNF146" s="24"/>
      <c r="LNG146" s="24"/>
      <c r="LNH146" s="24"/>
      <c r="LNI146" s="24"/>
      <c r="LNJ146" s="24"/>
      <c r="LNK146" s="24"/>
      <c r="LNL146" s="24"/>
      <c r="LNM146" s="24"/>
      <c r="LNN146" s="24"/>
      <c r="LNO146" s="24"/>
      <c r="LNP146" s="24"/>
      <c r="LNQ146" s="24"/>
      <c r="LNR146" s="24"/>
      <c r="LNS146" s="24"/>
      <c r="LNT146" s="24"/>
      <c r="LNU146" s="24"/>
      <c r="LNV146" s="24"/>
      <c r="LNW146" s="24"/>
      <c r="LNX146" s="24"/>
      <c r="LNY146" s="24"/>
      <c r="LNZ146" s="24"/>
      <c r="LOA146" s="24"/>
      <c r="LOB146" s="24"/>
      <c r="LOC146" s="24"/>
      <c r="LOD146" s="24"/>
      <c r="LOE146" s="24"/>
      <c r="LOF146" s="24"/>
      <c r="LOG146" s="24"/>
      <c r="LOH146" s="24"/>
      <c r="LOI146" s="24"/>
      <c r="LOJ146" s="24"/>
      <c r="LOK146" s="24"/>
      <c r="LOL146" s="24"/>
      <c r="LOM146" s="24"/>
      <c r="LON146" s="24"/>
      <c r="LOO146" s="24"/>
      <c r="LOP146" s="24"/>
      <c r="LOQ146" s="24"/>
      <c r="LOR146" s="24"/>
      <c r="LOS146" s="24"/>
      <c r="LOT146" s="24"/>
      <c r="LOU146" s="24"/>
      <c r="LOV146" s="24"/>
      <c r="LOW146" s="24"/>
      <c r="LOX146" s="24"/>
      <c r="LOY146" s="24"/>
      <c r="LOZ146" s="24"/>
      <c r="LPA146" s="24"/>
      <c r="LPB146" s="24"/>
      <c r="LPC146" s="24"/>
      <c r="LPD146" s="24"/>
      <c r="LPE146" s="24"/>
      <c r="LPF146" s="24"/>
      <c r="LPG146" s="24"/>
      <c r="LPH146" s="24"/>
      <c r="LPI146" s="24"/>
      <c r="LPJ146" s="24"/>
      <c r="LPK146" s="24"/>
      <c r="LPL146" s="24"/>
      <c r="LPM146" s="24"/>
      <c r="LPN146" s="24"/>
      <c r="LPO146" s="24"/>
      <c r="LPP146" s="24"/>
      <c r="LPQ146" s="24"/>
      <c r="LPR146" s="24"/>
      <c r="LPS146" s="24"/>
      <c r="LPT146" s="24"/>
      <c r="LPU146" s="24"/>
      <c r="LPV146" s="24"/>
      <c r="LPW146" s="24"/>
      <c r="LPX146" s="24"/>
      <c r="LPY146" s="24"/>
      <c r="LPZ146" s="24"/>
      <c r="LQA146" s="24"/>
      <c r="LQB146" s="24"/>
      <c r="LQC146" s="24"/>
      <c r="LQD146" s="24"/>
      <c r="LQE146" s="24"/>
      <c r="LQF146" s="24"/>
      <c r="LQG146" s="24"/>
      <c r="LQH146" s="24"/>
      <c r="LQI146" s="24"/>
      <c r="LQJ146" s="24"/>
      <c r="LQK146" s="24"/>
      <c r="LQL146" s="24"/>
      <c r="LQM146" s="24"/>
      <c r="LQN146" s="24"/>
      <c r="LQO146" s="24"/>
      <c r="LQP146" s="24"/>
      <c r="LQQ146" s="24"/>
      <c r="LQR146" s="24"/>
      <c r="LQS146" s="24"/>
      <c r="LQT146" s="24"/>
      <c r="LQU146" s="24"/>
      <c r="LQV146" s="24"/>
      <c r="LQW146" s="24"/>
      <c r="LQX146" s="24"/>
      <c r="LQY146" s="24"/>
      <c r="LQZ146" s="24"/>
      <c r="LRA146" s="24"/>
      <c r="LRB146" s="24"/>
      <c r="LRC146" s="24"/>
      <c r="LRD146" s="24"/>
      <c r="LRE146" s="24"/>
      <c r="LRF146" s="24"/>
      <c r="LRG146" s="24"/>
      <c r="LRH146" s="24"/>
      <c r="LRI146" s="24"/>
      <c r="LRJ146" s="24"/>
      <c r="LRK146" s="24"/>
      <c r="LRL146" s="24"/>
      <c r="LRM146" s="24"/>
      <c r="LRN146" s="24"/>
      <c r="LRO146" s="24"/>
      <c r="LRP146" s="24"/>
      <c r="LRQ146" s="24"/>
      <c r="LRR146" s="24"/>
      <c r="LRS146" s="24"/>
      <c r="LRT146" s="24"/>
      <c r="LRU146" s="24"/>
      <c r="LRV146" s="24"/>
      <c r="LRW146" s="24"/>
      <c r="LRX146" s="24"/>
      <c r="LRY146" s="24"/>
      <c r="LRZ146" s="24"/>
      <c r="LSA146" s="24"/>
      <c r="LSB146" s="24"/>
      <c r="LSC146" s="24"/>
      <c r="LSD146" s="24"/>
      <c r="LSE146" s="24"/>
      <c r="LSF146" s="24"/>
      <c r="LSG146" s="24"/>
      <c r="LSH146" s="24"/>
      <c r="LSI146" s="24"/>
      <c r="LSJ146" s="24"/>
      <c r="LSK146" s="24"/>
      <c r="LSL146" s="24"/>
      <c r="LSM146" s="24"/>
      <c r="LSN146" s="24"/>
      <c r="LSO146" s="24"/>
      <c r="LSP146" s="24"/>
      <c r="LSQ146" s="24"/>
      <c r="LSR146" s="24"/>
      <c r="LSS146" s="24"/>
      <c r="LST146" s="24"/>
      <c r="LSU146" s="24"/>
      <c r="LSV146" s="24"/>
      <c r="LSW146" s="24"/>
      <c r="LSX146" s="24"/>
      <c r="LSY146" s="24"/>
      <c r="LSZ146" s="24"/>
      <c r="LTA146" s="24"/>
      <c r="LTB146" s="24"/>
      <c r="LTC146" s="24"/>
      <c r="LTD146" s="24"/>
      <c r="LTE146" s="24"/>
      <c r="LTF146" s="24"/>
      <c r="LTG146" s="24"/>
      <c r="LTH146" s="24"/>
      <c r="LTI146" s="24"/>
      <c r="LTJ146" s="24"/>
      <c r="LTK146" s="24"/>
      <c r="LTL146" s="24"/>
      <c r="LTM146" s="24"/>
      <c r="LTN146" s="24"/>
      <c r="LTO146" s="24"/>
      <c r="LTP146" s="24"/>
      <c r="LTQ146" s="24"/>
      <c r="LTR146" s="24"/>
      <c r="LTS146" s="24"/>
      <c r="LTT146" s="24"/>
      <c r="LTU146" s="24"/>
      <c r="LTV146" s="24"/>
      <c r="LTW146" s="24"/>
      <c r="LTX146" s="24"/>
      <c r="LTY146" s="24"/>
      <c r="LTZ146" s="24"/>
      <c r="LUA146" s="24"/>
      <c r="LUB146" s="24"/>
      <c r="LUC146" s="24"/>
      <c r="LUD146" s="24"/>
      <c r="LUE146" s="24"/>
      <c r="LUF146" s="24"/>
      <c r="LUG146" s="24"/>
      <c r="LUH146" s="24"/>
      <c r="LUI146" s="24"/>
      <c r="LUJ146" s="24"/>
      <c r="LUK146" s="24"/>
      <c r="LUL146" s="24"/>
      <c r="LUM146" s="24"/>
      <c r="LUN146" s="24"/>
      <c r="LUO146" s="24"/>
      <c r="LUP146" s="24"/>
      <c r="LUQ146" s="24"/>
      <c r="LUR146" s="24"/>
      <c r="LUS146" s="24"/>
      <c r="LUT146" s="24"/>
      <c r="LUU146" s="24"/>
      <c r="LUV146" s="24"/>
      <c r="LUW146" s="24"/>
      <c r="LUX146" s="24"/>
      <c r="LUY146" s="24"/>
      <c r="LUZ146" s="24"/>
      <c r="LVA146" s="24"/>
      <c r="LVB146" s="24"/>
      <c r="LVC146" s="24"/>
      <c r="LVD146" s="24"/>
      <c r="LVE146" s="24"/>
      <c r="LVF146" s="24"/>
      <c r="LVG146" s="24"/>
      <c r="LVH146" s="24"/>
      <c r="LVI146" s="24"/>
      <c r="LVJ146" s="24"/>
      <c r="LVK146" s="24"/>
      <c r="LVL146" s="24"/>
      <c r="LVM146" s="24"/>
      <c r="LVN146" s="24"/>
      <c r="LVO146" s="24"/>
      <c r="LVP146" s="24"/>
      <c r="LVQ146" s="24"/>
      <c r="LVR146" s="24"/>
      <c r="LVS146" s="24"/>
      <c r="LVT146" s="24"/>
      <c r="LVU146" s="24"/>
      <c r="LVV146" s="24"/>
      <c r="LVW146" s="24"/>
      <c r="LVX146" s="24"/>
      <c r="LVY146" s="24"/>
      <c r="LVZ146" s="24"/>
      <c r="LWA146" s="24"/>
      <c r="LWB146" s="24"/>
      <c r="LWC146" s="24"/>
      <c r="LWD146" s="24"/>
      <c r="LWE146" s="24"/>
      <c r="LWF146" s="24"/>
      <c r="LWG146" s="24"/>
      <c r="LWH146" s="24"/>
      <c r="LWI146" s="24"/>
      <c r="LWJ146" s="24"/>
      <c r="LWK146" s="24"/>
      <c r="LWL146" s="24"/>
      <c r="LWM146" s="24"/>
      <c r="LWN146" s="24"/>
      <c r="LWO146" s="24"/>
      <c r="LWP146" s="24"/>
      <c r="LWQ146" s="24"/>
      <c r="LWR146" s="24"/>
      <c r="LWS146" s="24"/>
      <c r="LWT146" s="24"/>
      <c r="LWU146" s="24"/>
      <c r="LWV146" s="24"/>
      <c r="LWW146" s="24"/>
      <c r="LWX146" s="24"/>
      <c r="LWY146" s="24"/>
      <c r="LWZ146" s="24"/>
      <c r="LXA146" s="24"/>
      <c r="LXB146" s="24"/>
      <c r="LXC146" s="24"/>
      <c r="LXD146" s="24"/>
      <c r="LXE146" s="24"/>
      <c r="LXF146" s="24"/>
      <c r="LXG146" s="24"/>
      <c r="LXH146" s="24"/>
      <c r="LXI146" s="24"/>
      <c r="LXJ146" s="24"/>
      <c r="LXK146" s="24"/>
      <c r="LXL146" s="24"/>
      <c r="LXM146" s="24"/>
      <c r="LXN146" s="24"/>
      <c r="LXO146" s="24"/>
      <c r="LXP146" s="24"/>
      <c r="LXQ146" s="24"/>
      <c r="LXR146" s="24"/>
      <c r="LXS146" s="24"/>
      <c r="LXT146" s="24"/>
      <c r="LXU146" s="24"/>
      <c r="LXV146" s="24"/>
      <c r="LXW146" s="24"/>
      <c r="LXX146" s="24"/>
      <c r="LXY146" s="24"/>
      <c r="LXZ146" s="24"/>
      <c r="LYA146" s="24"/>
      <c r="LYB146" s="24"/>
      <c r="LYC146" s="24"/>
      <c r="LYD146" s="24"/>
      <c r="LYE146" s="24"/>
      <c r="LYF146" s="24"/>
      <c r="LYG146" s="24"/>
      <c r="LYH146" s="24"/>
      <c r="LYI146" s="24"/>
      <c r="LYJ146" s="24"/>
      <c r="LYK146" s="24"/>
      <c r="LYL146" s="24"/>
      <c r="LYM146" s="24"/>
      <c r="LYN146" s="24"/>
      <c r="LYO146" s="24"/>
      <c r="LYP146" s="24"/>
      <c r="LYQ146" s="24"/>
      <c r="LYR146" s="24"/>
      <c r="LYS146" s="24"/>
      <c r="LYT146" s="24"/>
      <c r="LYU146" s="24"/>
      <c r="LYV146" s="24"/>
      <c r="LYW146" s="24"/>
      <c r="LYX146" s="24"/>
      <c r="LYY146" s="24"/>
      <c r="LYZ146" s="24"/>
      <c r="LZA146" s="24"/>
      <c r="LZB146" s="24"/>
      <c r="LZC146" s="24"/>
      <c r="LZD146" s="24"/>
      <c r="LZE146" s="24"/>
      <c r="LZF146" s="24"/>
      <c r="LZG146" s="24"/>
      <c r="LZH146" s="24"/>
      <c r="LZI146" s="24"/>
      <c r="LZJ146" s="24"/>
      <c r="LZK146" s="24"/>
      <c r="LZL146" s="24"/>
      <c r="LZM146" s="24"/>
      <c r="LZN146" s="24"/>
      <c r="LZO146" s="24"/>
      <c r="LZP146" s="24"/>
      <c r="LZQ146" s="24"/>
      <c r="LZR146" s="24"/>
      <c r="LZS146" s="24"/>
      <c r="LZT146" s="24"/>
      <c r="LZU146" s="24"/>
      <c r="LZV146" s="24"/>
      <c r="LZW146" s="24"/>
      <c r="LZX146" s="24"/>
      <c r="LZY146" s="24"/>
      <c r="LZZ146" s="24"/>
      <c r="MAA146" s="24"/>
      <c r="MAB146" s="24"/>
      <c r="MAC146" s="24"/>
      <c r="MAD146" s="24"/>
      <c r="MAE146" s="24"/>
      <c r="MAF146" s="24"/>
      <c r="MAG146" s="24"/>
      <c r="MAH146" s="24"/>
      <c r="MAI146" s="24"/>
      <c r="MAJ146" s="24"/>
      <c r="MAK146" s="24"/>
      <c r="MAL146" s="24"/>
      <c r="MAM146" s="24"/>
      <c r="MAN146" s="24"/>
      <c r="MAO146" s="24"/>
      <c r="MAP146" s="24"/>
      <c r="MAQ146" s="24"/>
      <c r="MAR146" s="24"/>
      <c r="MAS146" s="24"/>
      <c r="MAT146" s="24"/>
      <c r="MAU146" s="24"/>
      <c r="MAV146" s="24"/>
      <c r="MAW146" s="24"/>
      <c r="MAX146" s="24"/>
      <c r="MAY146" s="24"/>
      <c r="MAZ146" s="24"/>
      <c r="MBA146" s="24"/>
      <c r="MBB146" s="24"/>
      <c r="MBC146" s="24"/>
      <c r="MBD146" s="24"/>
      <c r="MBE146" s="24"/>
      <c r="MBF146" s="24"/>
      <c r="MBG146" s="24"/>
      <c r="MBH146" s="24"/>
      <c r="MBI146" s="24"/>
      <c r="MBJ146" s="24"/>
      <c r="MBK146" s="24"/>
      <c r="MBL146" s="24"/>
      <c r="MBM146" s="24"/>
      <c r="MBN146" s="24"/>
      <c r="MBO146" s="24"/>
      <c r="MBP146" s="24"/>
      <c r="MBQ146" s="24"/>
      <c r="MBR146" s="24"/>
      <c r="MBS146" s="24"/>
      <c r="MBT146" s="24"/>
      <c r="MBU146" s="24"/>
      <c r="MBV146" s="24"/>
      <c r="MBW146" s="24"/>
      <c r="MBX146" s="24"/>
      <c r="MBY146" s="24"/>
      <c r="MBZ146" s="24"/>
      <c r="MCA146" s="24"/>
      <c r="MCB146" s="24"/>
      <c r="MCC146" s="24"/>
      <c r="MCD146" s="24"/>
      <c r="MCE146" s="24"/>
      <c r="MCF146" s="24"/>
      <c r="MCG146" s="24"/>
      <c r="MCH146" s="24"/>
      <c r="MCI146" s="24"/>
      <c r="MCJ146" s="24"/>
      <c r="MCK146" s="24"/>
      <c r="MCL146" s="24"/>
      <c r="MCM146" s="24"/>
      <c r="MCN146" s="24"/>
      <c r="MCO146" s="24"/>
      <c r="MCP146" s="24"/>
      <c r="MCQ146" s="24"/>
      <c r="MCR146" s="24"/>
      <c r="MCS146" s="24"/>
      <c r="MCT146" s="24"/>
      <c r="MCU146" s="24"/>
      <c r="MCV146" s="24"/>
      <c r="MCW146" s="24"/>
      <c r="MCX146" s="24"/>
      <c r="MCY146" s="24"/>
      <c r="MCZ146" s="24"/>
      <c r="MDA146" s="24"/>
      <c r="MDB146" s="24"/>
      <c r="MDC146" s="24"/>
      <c r="MDD146" s="24"/>
      <c r="MDE146" s="24"/>
      <c r="MDF146" s="24"/>
      <c r="MDG146" s="24"/>
      <c r="MDH146" s="24"/>
      <c r="MDI146" s="24"/>
      <c r="MDJ146" s="24"/>
      <c r="MDK146" s="24"/>
      <c r="MDL146" s="24"/>
      <c r="MDM146" s="24"/>
      <c r="MDN146" s="24"/>
      <c r="MDO146" s="24"/>
      <c r="MDP146" s="24"/>
      <c r="MDQ146" s="24"/>
      <c r="MDR146" s="24"/>
      <c r="MDS146" s="24"/>
      <c r="MDT146" s="24"/>
      <c r="MDU146" s="24"/>
      <c r="MDV146" s="24"/>
      <c r="MDW146" s="24"/>
      <c r="MDX146" s="24"/>
      <c r="MDY146" s="24"/>
      <c r="MDZ146" s="24"/>
      <c r="MEA146" s="24"/>
      <c r="MEB146" s="24"/>
      <c r="MEC146" s="24"/>
      <c r="MED146" s="24"/>
      <c r="MEE146" s="24"/>
      <c r="MEF146" s="24"/>
      <c r="MEG146" s="24"/>
      <c r="MEH146" s="24"/>
      <c r="MEI146" s="24"/>
      <c r="MEJ146" s="24"/>
      <c r="MEK146" s="24"/>
      <c r="MEL146" s="24"/>
      <c r="MEM146" s="24"/>
      <c r="MEN146" s="24"/>
      <c r="MEO146" s="24"/>
      <c r="MEP146" s="24"/>
      <c r="MEQ146" s="24"/>
      <c r="MER146" s="24"/>
      <c r="MES146" s="24"/>
      <c r="MET146" s="24"/>
      <c r="MEU146" s="24"/>
      <c r="MEV146" s="24"/>
      <c r="MEW146" s="24"/>
      <c r="MEX146" s="24"/>
      <c r="MEY146" s="24"/>
      <c r="MEZ146" s="24"/>
      <c r="MFA146" s="24"/>
      <c r="MFB146" s="24"/>
      <c r="MFC146" s="24"/>
      <c r="MFD146" s="24"/>
      <c r="MFE146" s="24"/>
      <c r="MFF146" s="24"/>
      <c r="MFG146" s="24"/>
      <c r="MFH146" s="24"/>
      <c r="MFI146" s="24"/>
      <c r="MFJ146" s="24"/>
      <c r="MFK146" s="24"/>
      <c r="MFL146" s="24"/>
      <c r="MFM146" s="24"/>
      <c r="MFN146" s="24"/>
      <c r="MFO146" s="24"/>
      <c r="MFP146" s="24"/>
      <c r="MFQ146" s="24"/>
      <c r="MFR146" s="24"/>
      <c r="MFS146" s="24"/>
      <c r="MFT146" s="24"/>
      <c r="MFU146" s="24"/>
      <c r="MFV146" s="24"/>
      <c r="MFW146" s="24"/>
      <c r="MFX146" s="24"/>
      <c r="MFY146" s="24"/>
      <c r="MFZ146" s="24"/>
      <c r="MGA146" s="24"/>
      <c r="MGB146" s="24"/>
      <c r="MGC146" s="24"/>
      <c r="MGD146" s="24"/>
      <c r="MGE146" s="24"/>
      <c r="MGF146" s="24"/>
      <c r="MGG146" s="24"/>
      <c r="MGH146" s="24"/>
      <c r="MGI146" s="24"/>
      <c r="MGJ146" s="24"/>
      <c r="MGK146" s="24"/>
      <c r="MGL146" s="24"/>
      <c r="MGM146" s="24"/>
      <c r="MGN146" s="24"/>
      <c r="MGO146" s="24"/>
      <c r="MGP146" s="24"/>
      <c r="MGQ146" s="24"/>
      <c r="MGR146" s="24"/>
      <c r="MGS146" s="24"/>
      <c r="MGT146" s="24"/>
      <c r="MGU146" s="24"/>
      <c r="MGV146" s="24"/>
      <c r="MGW146" s="24"/>
      <c r="MGX146" s="24"/>
      <c r="MGY146" s="24"/>
      <c r="MGZ146" s="24"/>
      <c r="MHA146" s="24"/>
      <c r="MHB146" s="24"/>
      <c r="MHC146" s="24"/>
      <c r="MHD146" s="24"/>
      <c r="MHE146" s="24"/>
      <c r="MHF146" s="24"/>
      <c r="MHG146" s="24"/>
      <c r="MHH146" s="24"/>
      <c r="MHI146" s="24"/>
      <c r="MHJ146" s="24"/>
      <c r="MHK146" s="24"/>
      <c r="MHL146" s="24"/>
      <c r="MHM146" s="24"/>
      <c r="MHN146" s="24"/>
      <c r="MHO146" s="24"/>
      <c r="MHP146" s="24"/>
      <c r="MHQ146" s="24"/>
      <c r="MHR146" s="24"/>
      <c r="MHS146" s="24"/>
      <c r="MHT146" s="24"/>
      <c r="MHU146" s="24"/>
      <c r="MHV146" s="24"/>
      <c r="MHW146" s="24"/>
      <c r="MHX146" s="24"/>
      <c r="MHY146" s="24"/>
      <c r="MHZ146" s="24"/>
      <c r="MIA146" s="24"/>
      <c r="MIB146" s="24"/>
      <c r="MIC146" s="24"/>
      <c r="MID146" s="24"/>
      <c r="MIE146" s="24"/>
      <c r="MIF146" s="24"/>
      <c r="MIG146" s="24"/>
      <c r="MIH146" s="24"/>
      <c r="MII146" s="24"/>
      <c r="MIJ146" s="24"/>
      <c r="MIK146" s="24"/>
      <c r="MIL146" s="24"/>
      <c r="MIM146" s="24"/>
      <c r="MIN146" s="24"/>
      <c r="MIO146" s="24"/>
      <c r="MIP146" s="24"/>
      <c r="MIQ146" s="24"/>
      <c r="MIR146" s="24"/>
      <c r="MIS146" s="24"/>
      <c r="MIT146" s="24"/>
      <c r="MIU146" s="24"/>
      <c r="MIV146" s="24"/>
      <c r="MIW146" s="24"/>
      <c r="MIX146" s="24"/>
      <c r="MIY146" s="24"/>
      <c r="MIZ146" s="24"/>
      <c r="MJA146" s="24"/>
      <c r="MJB146" s="24"/>
      <c r="MJC146" s="24"/>
      <c r="MJD146" s="24"/>
      <c r="MJE146" s="24"/>
      <c r="MJF146" s="24"/>
      <c r="MJG146" s="24"/>
      <c r="MJH146" s="24"/>
      <c r="MJI146" s="24"/>
      <c r="MJJ146" s="24"/>
      <c r="MJK146" s="24"/>
      <c r="MJL146" s="24"/>
      <c r="MJM146" s="24"/>
      <c r="MJN146" s="24"/>
      <c r="MJO146" s="24"/>
      <c r="MJP146" s="24"/>
      <c r="MJQ146" s="24"/>
      <c r="MJR146" s="24"/>
      <c r="MJS146" s="24"/>
      <c r="MJT146" s="24"/>
      <c r="MJU146" s="24"/>
      <c r="MJV146" s="24"/>
      <c r="MJW146" s="24"/>
      <c r="MJX146" s="24"/>
      <c r="MJY146" s="24"/>
      <c r="MJZ146" s="24"/>
      <c r="MKA146" s="24"/>
      <c r="MKB146" s="24"/>
      <c r="MKC146" s="24"/>
      <c r="MKD146" s="24"/>
      <c r="MKE146" s="24"/>
      <c r="MKF146" s="24"/>
      <c r="MKG146" s="24"/>
      <c r="MKH146" s="24"/>
      <c r="MKI146" s="24"/>
      <c r="MKJ146" s="24"/>
      <c r="MKK146" s="24"/>
      <c r="MKL146" s="24"/>
      <c r="MKM146" s="24"/>
      <c r="MKN146" s="24"/>
      <c r="MKO146" s="24"/>
      <c r="MKP146" s="24"/>
      <c r="MKQ146" s="24"/>
      <c r="MKR146" s="24"/>
      <c r="MKS146" s="24"/>
      <c r="MKT146" s="24"/>
      <c r="MKU146" s="24"/>
      <c r="MKV146" s="24"/>
      <c r="MKW146" s="24"/>
      <c r="MKX146" s="24"/>
      <c r="MKY146" s="24"/>
      <c r="MKZ146" s="24"/>
      <c r="MLA146" s="24"/>
      <c r="MLB146" s="24"/>
      <c r="MLC146" s="24"/>
      <c r="MLD146" s="24"/>
      <c r="MLE146" s="24"/>
      <c r="MLF146" s="24"/>
      <c r="MLG146" s="24"/>
      <c r="MLH146" s="24"/>
      <c r="MLI146" s="24"/>
      <c r="MLJ146" s="24"/>
      <c r="MLK146" s="24"/>
      <c r="MLL146" s="24"/>
      <c r="MLM146" s="24"/>
      <c r="MLN146" s="24"/>
      <c r="MLO146" s="24"/>
      <c r="MLP146" s="24"/>
      <c r="MLQ146" s="24"/>
      <c r="MLR146" s="24"/>
      <c r="MLS146" s="24"/>
      <c r="MLT146" s="24"/>
      <c r="MLU146" s="24"/>
      <c r="MLV146" s="24"/>
      <c r="MLW146" s="24"/>
      <c r="MLX146" s="24"/>
      <c r="MLY146" s="24"/>
      <c r="MLZ146" s="24"/>
      <c r="MMA146" s="24"/>
      <c r="MMB146" s="24"/>
      <c r="MMC146" s="24"/>
      <c r="MMD146" s="24"/>
      <c r="MME146" s="24"/>
      <c r="MMF146" s="24"/>
      <c r="MMG146" s="24"/>
      <c r="MMH146" s="24"/>
      <c r="MMI146" s="24"/>
      <c r="MMJ146" s="24"/>
      <c r="MMK146" s="24"/>
      <c r="MML146" s="24"/>
      <c r="MMM146" s="24"/>
      <c r="MMN146" s="24"/>
      <c r="MMO146" s="24"/>
      <c r="MMP146" s="24"/>
      <c r="MMQ146" s="24"/>
      <c r="MMR146" s="24"/>
      <c r="MMS146" s="24"/>
      <c r="MMT146" s="24"/>
      <c r="MMU146" s="24"/>
      <c r="MMV146" s="24"/>
      <c r="MMW146" s="24"/>
      <c r="MMX146" s="24"/>
      <c r="MMY146" s="24"/>
      <c r="MMZ146" s="24"/>
      <c r="MNA146" s="24"/>
      <c r="MNB146" s="24"/>
      <c r="MNC146" s="24"/>
      <c r="MND146" s="24"/>
      <c r="MNE146" s="24"/>
      <c r="MNF146" s="24"/>
      <c r="MNG146" s="24"/>
      <c r="MNH146" s="24"/>
      <c r="MNI146" s="24"/>
      <c r="MNJ146" s="24"/>
      <c r="MNK146" s="24"/>
      <c r="MNL146" s="24"/>
      <c r="MNM146" s="24"/>
      <c r="MNN146" s="24"/>
      <c r="MNO146" s="24"/>
      <c r="MNP146" s="24"/>
      <c r="MNQ146" s="24"/>
      <c r="MNR146" s="24"/>
      <c r="MNS146" s="24"/>
      <c r="MNT146" s="24"/>
      <c r="MNU146" s="24"/>
      <c r="MNV146" s="24"/>
      <c r="MNW146" s="24"/>
      <c r="MNX146" s="24"/>
      <c r="MNY146" s="24"/>
      <c r="MNZ146" s="24"/>
      <c r="MOA146" s="24"/>
      <c r="MOB146" s="24"/>
      <c r="MOC146" s="24"/>
      <c r="MOD146" s="24"/>
      <c r="MOE146" s="24"/>
      <c r="MOF146" s="24"/>
      <c r="MOG146" s="24"/>
      <c r="MOH146" s="24"/>
      <c r="MOI146" s="24"/>
      <c r="MOJ146" s="24"/>
      <c r="MOK146" s="24"/>
      <c r="MOL146" s="24"/>
      <c r="MOM146" s="24"/>
      <c r="MON146" s="24"/>
      <c r="MOO146" s="24"/>
      <c r="MOP146" s="24"/>
      <c r="MOQ146" s="24"/>
      <c r="MOR146" s="24"/>
      <c r="MOS146" s="24"/>
      <c r="MOT146" s="24"/>
      <c r="MOU146" s="24"/>
      <c r="MOV146" s="24"/>
      <c r="MOW146" s="24"/>
      <c r="MOX146" s="24"/>
      <c r="MOY146" s="24"/>
      <c r="MOZ146" s="24"/>
      <c r="MPA146" s="24"/>
      <c r="MPB146" s="24"/>
      <c r="MPC146" s="24"/>
      <c r="MPD146" s="24"/>
      <c r="MPE146" s="24"/>
      <c r="MPF146" s="24"/>
      <c r="MPG146" s="24"/>
      <c r="MPH146" s="24"/>
      <c r="MPI146" s="24"/>
      <c r="MPJ146" s="24"/>
      <c r="MPK146" s="24"/>
      <c r="MPL146" s="24"/>
      <c r="MPM146" s="24"/>
      <c r="MPN146" s="24"/>
      <c r="MPO146" s="24"/>
      <c r="MPP146" s="24"/>
      <c r="MPQ146" s="24"/>
      <c r="MPR146" s="24"/>
      <c r="MPS146" s="24"/>
      <c r="MPT146" s="24"/>
      <c r="MPU146" s="24"/>
      <c r="MPV146" s="24"/>
      <c r="MPW146" s="24"/>
      <c r="MPX146" s="24"/>
      <c r="MPY146" s="24"/>
      <c r="MPZ146" s="24"/>
      <c r="MQA146" s="24"/>
      <c r="MQB146" s="24"/>
      <c r="MQC146" s="24"/>
      <c r="MQD146" s="24"/>
      <c r="MQE146" s="24"/>
      <c r="MQF146" s="24"/>
      <c r="MQG146" s="24"/>
      <c r="MQH146" s="24"/>
      <c r="MQI146" s="24"/>
      <c r="MQJ146" s="24"/>
      <c r="MQK146" s="24"/>
      <c r="MQL146" s="24"/>
      <c r="MQM146" s="24"/>
      <c r="MQN146" s="24"/>
      <c r="MQO146" s="24"/>
      <c r="MQP146" s="24"/>
      <c r="MQQ146" s="24"/>
      <c r="MQR146" s="24"/>
      <c r="MQS146" s="24"/>
      <c r="MQT146" s="24"/>
      <c r="MQU146" s="24"/>
      <c r="MQV146" s="24"/>
      <c r="MQW146" s="24"/>
      <c r="MQX146" s="24"/>
      <c r="MQY146" s="24"/>
      <c r="MQZ146" s="24"/>
      <c r="MRA146" s="24"/>
      <c r="MRB146" s="24"/>
      <c r="MRC146" s="24"/>
      <c r="MRD146" s="24"/>
      <c r="MRE146" s="24"/>
      <c r="MRF146" s="24"/>
      <c r="MRG146" s="24"/>
      <c r="MRH146" s="24"/>
      <c r="MRI146" s="24"/>
      <c r="MRJ146" s="24"/>
      <c r="MRK146" s="24"/>
      <c r="MRL146" s="24"/>
      <c r="MRM146" s="24"/>
      <c r="MRN146" s="24"/>
      <c r="MRO146" s="24"/>
      <c r="MRP146" s="24"/>
      <c r="MRQ146" s="24"/>
      <c r="MRR146" s="24"/>
      <c r="MRS146" s="24"/>
      <c r="MRT146" s="24"/>
      <c r="MRU146" s="24"/>
      <c r="MRV146" s="24"/>
      <c r="MRW146" s="24"/>
      <c r="MRX146" s="24"/>
      <c r="MRY146" s="24"/>
      <c r="MRZ146" s="24"/>
      <c r="MSA146" s="24"/>
      <c r="MSB146" s="24"/>
      <c r="MSC146" s="24"/>
      <c r="MSD146" s="24"/>
      <c r="MSE146" s="24"/>
      <c r="MSF146" s="24"/>
      <c r="MSG146" s="24"/>
      <c r="MSH146" s="24"/>
      <c r="MSI146" s="24"/>
      <c r="MSJ146" s="24"/>
      <c r="MSK146" s="24"/>
      <c r="MSL146" s="24"/>
      <c r="MSM146" s="24"/>
      <c r="MSN146" s="24"/>
      <c r="MSO146" s="24"/>
      <c r="MSP146" s="24"/>
      <c r="MSQ146" s="24"/>
      <c r="MSR146" s="24"/>
      <c r="MSS146" s="24"/>
      <c r="MST146" s="24"/>
      <c r="MSU146" s="24"/>
      <c r="MSV146" s="24"/>
      <c r="MSW146" s="24"/>
      <c r="MSX146" s="24"/>
      <c r="MSY146" s="24"/>
      <c r="MSZ146" s="24"/>
      <c r="MTA146" s="24"/>
      <c r="MTB146" s="24"/>
      <c r="MTC146" s="24"/>
      <c r="MTD146" s="24"/>
      <c r="MTE146" s="24"/>
      <c r="MTF146" s="24"/>
      <c r="MTG146" s="24"/>
      <c r="MTH146" s="24"/>
      <c r="MTI146" s="24"/>
      <c r="MTJ146" s="24"/>
      <c r="MTK146" s="24"/>
      <c r="MTL146" s="24"/>
      <c r="MTM146" s="24"/>
      <c r="MTN146" s="24"/>
      <c r="MTO146" s="24"/>
      <c r="MTP146" s="24"/>
      <c r="MTQ146" s="24"/>
      <c r="MTR146" s="24"/>
      <c r="MTS146" s="24"/>
      <c r="MTT146" s="24"/>
      <c r="MTU146" s="24"/>
      <c r="MTV146" s="24"/>
      <c r="MTW146" s="24"/>
      <c r="MTX146" s="24"/>
      <c r="MTY146" s="24"/>
      <c r="MTZ146" s="24"/>
      <c r="MUA146" s="24"/>
      <c r="MUB146" s="24"/>
      <c r="MUC146" s="24"/>
      <c r="MUD146" s="24"/>
      <c r="MUE146" s="24"/>
      <c r="MUF146" s="24"/>
      <c r="MUG146" s="24"/>
      <c r="MUH146" s="24"/>
      <c r="MUI146" s="24"/>
      <c r="MUJ146" s="24"/>
      <c r="MUK146" s="24"/>
      <c r="MUL146" s="24"/>
      <c r="MUM146" s="24"/>
      <c r="MUN146" s="24"/>
      <c r="MUO146" s="24"/>
      <c r="MUP146" s="24"/>
      <c r="MUQ146" s="24"/>
      <c r="MUR146" s="24"/>
      <c r="MUS146" s="24"/>
      <c r="MUT146" s="24"/>
      <c r="MUU146" s="24"/>
      <c r="MUV146" s="24"/>
      <c r="MUW146" s="24"/>
      <c r="MUX146" s="24"/>
      <c r="MUY146" s="24"/>
      <c r="MUZ146" s="24"/>
      <c r="MVA146" s="24"/>
      <c r="MVB146" s="24"/>
      <c r="MVC146" s="24"/>
      <c r="MVD146" s="24"/>
      <c r="MVE146" s="24"/>
      <c r="MVF146" s="24"/>
      <c r="MVG146" s="24"/>
      <c r="MVH146" s="24"/>
      <c r="MVI146" s="24"/>
      <c r="MVJ146" s="24"/>
      <c r="MVK146" s="24"/>
      <c r="MVL146" s="24"/>
      <c r="MVM146" s="24"/>
      <c r="MVN146" s="24"/>
      <c r="MVO146" s="24"/>
      <c r="MVP146" s="24"/>
      <c r="MVQ146" s="24"/>
      <c r="MVR146" s="24"/>
      <c r="MVS146" s="24"/>
      <c r="MVT146" s="24"/>
      <c r="MVU146" s="24"/>
      <c r="MVV146" s="24"/>
      <c r="MVW146" s="24"/>
      <c r="MVX146" s="24"/>
      <c r="MVY146" s="24"/>
      <c r="MVZ146" s="24"/>
      <c r="MWA146" s="24"/>
      <c r="MWB146" s="24"/>
      <c r="MWC146" s="24"/>
      <c r="MWD146" s="24"/>
      <c r="MWE146" s="24"/>
      <c r="MWF146" s="24"/>
      <c r="MWG146" s="24"/>
      <c r="MWH146" s="24"/>
      <c r="MWI146" s="24"/>
      <c r="MWJ146" s="24"/>
      <c r="MWK146" s="24"/>
      <c r="MWL146" s="24"/>
      <c r="MWM146" s="24"/>
      <c r="MWN146" s="24"/>
      <c r="MWO146" s="24"/>
      <c r="MWP146" s="24"/>
      <c r="MWQ146" s="24"/>
      <c r="MWR146" s="24"/>
      <c r="MWS146" s="24"/>
      <c r="MWT146" s="24"/>
      <c r="MWU146" s="24"/>
      <c r="MWV146" s="24"/>
      <c r="MWW146" s="24"/>
      <c r="MWX146" s="24"/>
      <c r="MWY146" s="24"/>
      <c r="MWZ146" s="24"/>
      <c r="MXA146" s="24"/>
      <c r="MXB146" s="24"/>
      <c r="MXC146" s="24"/>
      <c r="MXD146" s="24"/>
      <c r="MXE146" s="24"/>
      <c r="MXF146" s="24"/>
      <c r="MXG146" s="24"/>
      <c r="MXH146" s="24"/>
      <c r="MXI146" s="24"/>
      <c r="MXJ146" s="24"/>
      <c r="MXK146" s="24"/>
      <c r="MXL146" s="24"/>
      <c r="MXM146" s="24"/>
      <c r="MXN146" s="24"/>
      <c r="MXO146" s="24"/>
      <c r="MXP146" s="24"/>
      <c r="MXQ146" s="24"/>
      <c r="MXR146" s="24"/>
      <c r="MXS146" s="24"/>
      <c r="MXT146" s="24"/>
      <c r="MXU146" s="24"/>
      <c r="MXV146" s="24"/>
      <c r="MXW146" s="24"/>
      <c r="MXX146" s="24"/>
      <c r="MXY146" s="24"/>
      <c r="MXZ146" s="24"/>
      <c r="MYA146" s="24"/>
      <c r="MYB146" s="24"/>
      <c r="MYC146" s="24"/>
      <c r="MYD146" s="24"/>
      <c r="MYE146" s="24"/>
      <c r="MYF146" s="24"/>
      <c r="MYG146" s="24"/>
      <c r="MYH146" s="24"/>
      <c r="MYI146" s="24"/>
      <c r="MYJ146" s="24"/>
      <c r="MYK146" s="24"/>
      <c r="MYL146" s="24"/>
      <c r="MYM146" s="24"/>
      <c r="MYN146" s="24"/>
      <c r="MYO146" s="24"/>
      <c r="MYP146" s="24"/>
      <c r="MYQ146" s="24"/>
      <c r="MYR146" s="24"/>
      <c r="MYS146" s="24"/>
      <c r="MYT146" s="24"/>
      <c r="MYU146" s="24"/>
      <c r="MYV146" s="24"/>
      <c r="MYW146" s="24"/>
      <c r="MYX146" s="24"/>
      <c r="MYY146" s="24"/>
      <c r="MYZ146" s="24"/>
      <c r="MZA146" s="24"/>
      <c r="MZB146" s="24"/>
      <c r="MZC146" s="24"/>
      <c r="MZD146" s="24"/>
      <c r="MZE146" s="24"/>
      <c r="MZF146" s="24"/>
      <c r="MZG146" s="24"/>
      <c r="MZH146" s="24"/>
      <c r="MZI146" s="24"/>
      <c r="MZJ146" s="24"/>
      <c r="MZK146" s="24"/>
      <c r="MZL146" s="24"/>
      <c r="MZM146" s="24"/>
      <c r="MZN146" s="24"/>
      <c r="MZO146" s="24"/>
      <c r="MZP146" s="24"/>
      <c r="MZQ146" s="24"/>
      <c r="MZR146" s="24"/>
      <c r="MZS146" s="24"/>
      <c r="MZT146" s="24"/>
      <c r="MZU146" s="24"/>
      <c r="MZV146" s="24"/>
      <c r="MZW146" s="24"/>
      <c r="MZX146" s="24"/>
      <c r="MZY146" s="24"/>
      <c r="MZZ146" s="24"/>
      <c r="NAA146" s="24"/>
      <c r="NAB146" s="24"/>
      <c r="NAC146" s="24"/>
      <c r="NAD146" s="24"/>
      <c r="NAE146" s="24"/>
      <c r="NAF146" s="24"/>
      <c r="NAG146" s="24"/>
      <c r="NAH146" s="24"/>
      <c r="NAI146" s="24"/>
      <c r="NAJ146" s="24"/>
      <c r="NAK146" s="24"/>
      <c r="NAL146" s="24"/>
      <c r="NAM146" s="24"/>
      <c r="NAN146" s="24"/>
      <c r="NAO146" s="24"/>
      <c r="NAP146" s="24"/>
      <c r="NAQ146" s="24"/>
      <c r="NAR146" s="24"/>
      <c r="NAS146" s="24"/>
      <c r="NAT146" s="24"/>
      <c r="NAU146" s="24"/>
      <c r="NAV146" s="24"/>
      <c r="NAW146" s="24"/>
      <c r="NAX146" s="24"/>
      <c r="NAY146" s="24"/>
      <c r="NAZ146" s="24"/>
      <c r="NBA146" s="24"/>
      <c r="NBB146" s="24"/>
      <c r="NBC146" s="24"/>
      <c r="NBD146" s="24"/>
      <c r="NBE146" s="24"/>
      <c r="NBF146" s="24"/>
      <c r="NBG146" s="24"/>
      <c r="NBH146" s="24"/>
      <c r="NBI146" s="24"/>
      <c r="NBJ146" s="24"/>
      <c r="NBK146" s="24"/>
      <c r="NBL146" s="24"/>
      <c r="NBM146" s="24"/>
      <c r="NBN146" s="24"/>
      <c r="NBO146" s="24"/>
      <c r="NBP146" s="24"/>
      <c r="NBQ146" s="24"/>
      <c r="NBR146" s="24"/>
      <c r="NBS146" s="24"/>
      <c r="NBT146" s="24"/>
      <c r="NBU146" s="24"/>
      <c r="NBV146" s="24"/>
      <c r="NBW146" s="24"/>
      <c r="NBX146" s="24"/>
      <c r="NBY146" s="24"/>
      <c r="NBZ146" s="24"/>
      <c r="NCA146" s="24"/>
      <c r="NCB146" s="24"/>
      <c r="NCC146" s="24"/>
      <c r="NCD146" s="24"/>
      <c r="NCE146" s="24"/>
      <c r="NCF146" s="24"/>
      <c r="NCG146" s="24"/>
      <c r="NCH146" s="24"/>
      <c r="NCI146" s="24"/>
      <c r="NCJ146" s="24"/>
      <c r="NCK146" s="24"/>
      <c r="NCL146" s="24"/>
      <c r="NCM146" s="24"/>
      <c r="NCN146" s="24"/>
      <c r="NCO146" s="24"/>
      <c r="NCP146" s="24"/>
      <c r="NCQ146" s="24"/>
      <c r="NCR146" s="24"/>
      <c r="NCS146" s="24"/>
      <c r="NCT146" s="24"/>
      <c r="NCU146" s="24"/>
      <c r="NCV146" s="24"/>
      <c r="NCW146" s="24"/>
      <c r="NCX146" s="24"/>
      <c r="NCY146" s="24"/>
      <c r="NCZ146" s="24"/>
      <c r="NDA146" s="24"/>
      <c r="NDB146" s="24"/>
      <c r="NDC146" s="24"/>
      <c r="NDD146" s="24"/>
      <c r="NDE146" s="24"/>
      <c r="NDF146" s="24"/>
      <c r="NDG146" s="24"/>
      <c r="NDH146" s="24"/>
      <c r="NDI146" s="24"/>
      <c r="NDJ146" s="24"/>
      <c r="NDK146" s="24"/>
      <c r="NDL146" s="24"/>
      <c r="NDM146" s="24"/>
      <c r="NDN146" s="24"/>
      <c r="NDO146" s="24"/>
      <c r="NDP146" s="24"/>
      <c r="NDQ146" s="24"/>
      <c r="NDR146" s="24"/>
      <c r="NDS146" s="24"/>
      <c r="NDT146" s="24"/>
      <c r="NDU146" s="24"/>
      <c r="NDV146" s="24"/>
      <c r="NDW146" s="24"/>
      <c r="NDX146" s="24"/>
      <c r="NDY146" s="24"/>
      <c r="NDZ146" s="24"/>
      <c r="NEA146" s="24"/>
      <c r="NEB146" s="24"/>
      <c r="NEC146" s="24"/>
      <c r="NED146" s="24"/>
      <c r="NEE146" s="24"/>
      <c r="NEF146" s="24"/>
      <c r="NEG146" s="24"/>
      <c r="NEH146" s="24"/>
      <c r="NEI146" s="24"/>
      <c r="NEJ146" s="24"/>
      <c r="NEK146" s="24"/>
      <c r="NEL146" s="24"/>
      <c r="NEM146" s="24"/>
      <c r="NEN146" s="24"/>
      <c r="NEO146" s="24"/>
      <c r="NEP146" s="24"/>
      <c r="NEQ146" s="24"/>
      <c r="NER146" s="24"/>
      <c r="NES146" s="24"/>
      <c r="NET146" s="24"/>
      <c r="NEU146" s="24"/>
      <c r="NEV146" s="24"/>
      <c r="NEW146" s="24"/>
      <c r="NEX146" s="24"/>
      <c r="NEY146" s="24"/>
      <c r="NEZ146" s="24"/>
      <c r="NFA146" s="24"/>
      <c r="NFB146" s="24"/>
      <c r="NFC146" s="24"/>
      <c r="NFD146" s="24"/>
      <c r="NFE146" s="24"/>
      <c r="NFF146" s="24"/>
      <c r="NFG146" s="24"/>
      <c r="NFH146" s="24"/>
      <c r="NFI146" s="24"/>
      <c r="NFJ146" s="24"/>
      <c r="NFK146" s="24"/>
      <c r="NFL146" s="24"/>
      <c r="NFM146" s="24"/>
      <c r="NFN146" s="24"/>
      <c r="NFO146" s="24"/>
      <c r="NFP146" s="24"/>
      <c r="NFQ146" s="24"/>
      <c r="NFR146" s="24"/>
      <c r="NFS146" s="24"/>
      <c r="NFT146" s="24"/>
      <c r="NFU146" s="24"/>
      <c r="NFV146" s="24"/>
      <c r="NFW146" s="24"/>
      <c r="NFX146" s="24"/>
      <c r="NFY146" s="24"/>
      <c r="NFZ146" s="24"/>
      <c r="NGA146" s="24"/>
      <c r="NGB146" s="24"/>
      <c r="NGC146" s="24"/>
      <c r="NGD146" s="24"/>
      <c r="NGE146" s="24"/>
      <c r="NGF146" s="24"/>
      <c r="NGG146" s="24"/>
      <c r="NGH146" s="24"/>
      <c r="NGI146" s="24"/>
      <c r="NGJ146" s="24"/>
      <c r="NGK146" s="24"/>
      <c r="NGL146" s="24"/>
      <c r="NGM146" s="24"/>
      <c r="NGN146" s="24"/>
      <c r="NGO146" s="24"/>
      <c r="NGP146" s="24"/>
      <c r="NGQ146" s="24"/>
      <c r="NGR146" s="24"/>
      <c r="NGS146" s="24"/>
      <c r="NGT146" s="24"/>
      <c r="NGU146" s="24"/>
      <c r="NGV146" s="24"/>
      <c r="NGW146" s="24"/>
      <c r="NGX146" s="24"/>
      <c r="NGY146" s="24"/>
      <c r="NGZ146" s="24"/>
      <c r="NHA146" s="24"/>
      <c r="NHB146" s="24"/>
      <c r="NHC146" s="24"/>
      <c r="NHD146" s="24"/>
      <c r="NHE146" s="24"/>
      <c r="NHF146" s="24"/>
      <c r="NHG146" s="24"/>
      <c r="NHH146" s="24"/>
      <c r="NHI146" s="24"/>
      <c r="NHJ146" s="24"/>
      <c r="NHK146" s="24"/>
      <c r="NHL146" s="24"/>
      <c r="NHM146" s="24"/>
      <c r="NHN146" s="24"/>
      <c r="NHO146" s="24"/>
      <c r="NHP146" s="24"/>
      <c r="NHQ146" s="24"/>
      <c r="NHR146" s="24"/>
      <c r="NHS146" s="24"/>
      <c r="NHT146" s="24"/>
      <c r="NHU146" s="24"/>
      <c r="NHV146" s="24"/>
      <c r="NHW146" s="24"/>
      <c r="NHX146" s="24"/>
      <c r="NHY146" s="24"/>
      <c r="NHZ146" s="24"/>
      <c r="NIA146" s="24"/>
      <c r="NIB146" s="24"/>
      <c r="NIC146" s="24"/>
      <c r="NID146" s="24"/>
      <c r="NIE146" s="24"/>
      <c r="NIF146" s="24"/>
      <c r="NIG146" s="24"/>
      <c r="NIH146" s="24"/>
      <c r="NII146" s="24"/>
      <c r="NIJ146" s="24"/>
      <c r="NIK146" s="24"/>
      <c r="NIL146" s="24"/>
      <c r="NIM146" s="24"/>
      <c r="NIN146" s="24"/>
      <c r="NIO146" s="24"/>
      <c r="NIP146" s="24"/>
      <c r="NIQ146" s="24"/>
      <c r="NIR146" s="24"/>
      <c r="NIS146" s="24"/>
      <c r="NIT146" s="24"/>
      <c r="NIU146" s="24"/>
      <c r="NIV146" s="24"/>
      <c r="NIW146" s="24"/>
      <c r="NIX146" s="24"/>
      <c r="NIY146" s="24"/>
      <c r="NIZ146" s="24"/>
      <c r="NJA146" s="24"/>
      <c r="NJB146" s="24"/>
      <c r="NJC146" s="24"/>
      <c r="NJD146" s="24"/>
      <c r="NJE146" s="24"/>
      <c r="NJF146" s="24"/>
      <c r="NJG146" s="24"/>
      <c r="NJH146" s="24"/>
      <c r="NJI146" s="24"/>
      <c r="NJJ146" s="24"/>
      <c r="NJK146" s="24"/>
      <c r="NJL146" s="24"/>
      <c r="NJM146" s="24"/>
      <c r="NJN146" s="24"/>
      <c r="NJO146" s="24"/>
      <c r="NJP146" s="24"/>
      <c r="NJQ146" s="24"/>
      <c r="NJR146" s="24"/>
      <c r="NJS146" s="24"/>
      <c r="NJT146" s="24"/>
      <c r="NJU146" s="24"/>
      <c r="NJV146" s="24"/>
      <c r="NJW146" s="24"/>
      <c r="NJX146" s="24"/>
      <c r="NJY146" s="24"/>
      <c r="NJZ146" s="24"/>
      <c r="NKA146" s="24"/>
      <c r="NKB146" s="24"/>
      <c r="NKC146" s="24"/>
      <c r="NKD146" s="24"/>
      <c r="NKE146" s="24"/>
      <c r="NKF146" s="24"/>
      <c r="NKG146" s="24"/>
      <c r="NKH146" s="24"/>
      <c r="NKI146" s="24"/>
      <c r="NKJ146" s="24"/>
      <c r="NKK146" s="24"/>
      <c r="NKL146" s="24"/>
      <c r="NKM146" s="24"/>
      <c r="NKN146" s="24"/>
      <c r="NKO146" s="24"/>
      <c r="NKP146" s="24"/>
      <c r="NKQ146" s="24"/>
      <c r="NKR146" s="24"/>
      <c r="NKS146" s="24"/>
      <c r="NKT146" s="24"/>
      <c r="NKU146" s="24"/>
      <c r="NKV146" s="24"/>
      <c r="NKW146" s="24"/>
      <c r="NKX146" s="24"/>
      <c r="NKY146" s="24"/>
      <c r="NKZ146" s="24"/>
      <c r="NLA146" s="24"/>
      <c r="NLB146" s="24"/>
      <c r="NLC146" s="24"/>
      <c r="NLD146" s="24"/>
      <c r="NLE146" s="24"/>
      <c r="NLF146" s="24"/>
      <c r="NLG146" s="24"/>
      <c r="NLH146" s="24"/>
      <c r="NLI146" s="24"/>
      <c r="NLJ146" s="24"/>
      <c r="NLK146" s="24"/>
      <c r="NLL146" s="24"/>
      <c r="NLM146" s="24"/>
      <c r="NLN146" s="24"/>
      <c r="NLO146" s="24"/>
      <c r="NLP146" s="24"/>
      <c r="NLQ146" s="24"/>
      <c r="NLR146" s="24"/>
      <c r="NLS146" s="24"/>
      <c r="NLT146" s="24"/>
      <c r="NLU146" s="24"/>
      <c r="NLV146" s="24"/>
      <c r="NLW146" s="24"/>
      <c r="NLX146" s="24"/>
      <c r="NLY146" s="24"/>
      <c r="NLZ146" s="24"/>
      <c r="NMA146" s="24"/>
      <c r="NMB146" s="24"/>
      <c r="NMC146" s="24"/>
      <c r="NMD146" s="24"/>
      <c r="NME146" s="24"/>
      <c r="NMF146" s="24"/>
      <c r="NMG146" s="24"/>
      <c r="NMH146" s="24"/>
      <c r="NMI146" s="24"/>
      <c r="NMJ146" s="24"/>
      <c r="NMK146" s="24"/>
      <c r="NML146" s="24"/>
      <c r="NMM146" s="24"/>
      <c r="NMN146" s="24"/>
      <c r="NMO146" s="24"/>
      <c r="NMP146" s="24"/>
      <c r="NMQ146" s="24"/>
      <c r="NMR146" s="24"/>
      <c r="NMS146" s="24"/>
      <c r="NMT146" s="24"/>
      <c r="NMU146" s="24"/>
      <c r="NMV146" s="24"/>
      <c r="NMW146" s="24"/>
      <c r="NMX146" s="24"/>
      <c r="NMY146" s="24"/>
      <c r="NMZ146" s="24"/>
      <c r="NNA146" s="24"/>
      <c r="NNB146" s="24"/>
      <c r="NNC146" s="24"/>
      <c r="NND146" s="24"/>
      <c r="NNE146" s="24"/>
      <c r="NNF146" s="24"/>
      <c r="NNG146" s="24"/>
      <c r="NNH146" s="24"/>
      <c r="NNI146" s="24"/>
      <c r="NNJ146" s="24"/>
      <c r="NNK146" s="24"/>
      <c r="NNL146" s="24"/>
      <c r="NNM146" s="24"/>
      <c r="NNN146" s="24"/>
      <c r="NNO146" s="24"/>
      <c r="NNP146" s="24"/>
      <c r="NNQ146" s="24"/>
      <c r="NNR146" s="24"/>
      <c r="NNS146" s="24"/>
      <c r="NNT146" s="24"/>
      <c r="NNU146" s="24"/>
      <c r="NNV146" s="24"/>
      <c r="NNW146" s="24"/>
      <c r="NNX146" s="24"/>
      <c r="NNY146" s="24"/>
      <c r="NNZ146" s="24"/>
      <c r="NOA146" s="24"/>
      <c r="NOB146" s="24"/>
      <c r="NOC146" s="24"/>
      <c r="NOD146" s="24"/>
      <c r="NOE146" s="24"/>
      <c r="NOF146" s="24"/>
      <c r="NOG146" s="24"/>
      <c r="NOH146" s="24"/>
      <c r="NOI146" s="24"/>
      <c r="NOJ146" s="24"/>
      <c r="NOK146" s="24"/>
      <c r="NOL146" s="24"/>
      <c r="NOM146" s="24"/>
      <c r="NON146" s="24"/>
      <c r="NOO146" s="24"/>
      <c r="NOP146" s="24"/>
      <c r="NOQ146" s="24"/>
      <c r="NOR146" s="24"/>
      <c r="NOS146" s="24"/>
      <c r="NOT146" s="24"/>
      <c r="NOU146" s="24"/>
      <c r="NOV146" s="24"/>
      <c r="NOW146" s="24"/>
      <c r="NOX146" s="24"/>
      <c r="NOY146" s="24"/>
      <c r="NOZ146" s="24"/>
      <c r="NPA146" s="24"/>
      <c r="NPB146" s="24"/>
      <c r="NPC146" s="24"/>
      <c r="NPD146" s="24"/>
      <c r="NPE146" s="24"/>
      <c r="NPF146" s="24"/>
      <c r="NPG146" s="24"/>
      <c r="NPH146" s="24"/>
      <c r="NPI146" s="24"/>
      <c r="NPJ146" s="24"/>
      <c r="NPK146" s="24"/>
      <c r="NPL146" s="24"/>
      <c r="NPM146" s="24"/>
      <c r="NPN146" s="24"/>
      <c r="NPO146" s="24"/>
      <c r="NPP146" s="24"/>
      <c r="NPQ146" s="24"/>
      <c r="NPR146" s="24"/>
      <c r="NPS146" s="24"/>
      <c r="NPT146" s="24"/>
      <c r="NPU146" s="24"/>
      <c r="NPV146" s="24"/>
      <c r="NPW146" s="24"/>
      <c r="NPX146" s="24"/>
      <c r="NPY146" s="24"/>
      <c r="NPZ146" s="24"/>
      <c r="NQA146" s="24"/>
      <c r="NQB146" s="24"/>
      <c r="NQC146" s="24"/>
      <c r="NQD146" s="24"/>
      <c r="NQE146" s="24"/>
      <c r="NQF146" s="24"/>
      <c r="NQG146" s="24"/>
      <c r="NQH146" s="24"/>
      <c r="NQI146" s="24"/>
      <c r="NQJ146" s="24"/>
      <c r="NQK146" s="24"/>
      <c r="NQL146" s="24"/>
      <c r="NQM146" s="24"/>
      <c r="NQN146" s="24"/>
      <c r="NQO146" s="24"/>
      <c r="NQP146" s="24"/>
      <c r="NQQ146" s="24"/>
      <c r="NQR146" s="24"/>
      <c r="NQS146" s="24"/>
      <c r="NQT146" s="24"/>
      <c r="NQU146" s="24"/>
      <c r="NQV146" s="24"/>
      <c r="NQW146" s="24"/>
      <c r="NQX146" s="24"/>
      <c r="NQY146" s="24"/>
      <c r="NQZ146" s="24"/>
      <c r="NRA146" s="24"/>
      <c r="NRB146" s="24"/>
      <c r="NRC146" s="24"/>
      <c r="NRD146" s="24"/>
      <c r="NRE146" s="24"/>
      <c r="NRF146" s="24"/>
      <c r="NRG146" s="24"/>
      <c r="NRH146" s="24"/>
      <c r="NRI146" s="24"/>
      <c r="NRJ146" s="24"/>
      <c r="NRK146" s="24"/>
      <c r="NRL146" s="24"/>
      <c r="NRM146" s="24"/>
      <c r="NRN146" s="24"/>
      <c r="NRO146" s="24"/>
      <c r="NRP146" s="24"/>
      <c r="NRQ146" s="24"/>
      <c r="NRR146" s="24"/>
      <c r="NRS146" s="24"/>
      <c r="NRT146" s="24"/>
      <c r="NRU146" s="24"/>
      <c r="NRV146" s="24"/>
      <c r="NRW146" s="24"/>
      <c r="NRX146" s="24"/>
      <c r="NRY146" s="24"/>
      <c r="NRZ146" s="24"/>
      <c r="NSA146" s="24"/>
      <c r="NSB146" s="24"/>
      <c r="NSC146" s="24"/>
      <c r="NSD146" s="24"/>
      <c r="NSE146" s="24"/>
      <c r="NSF146" s="24"/>
      <c r="NSG146" s="24"/>
      <c r="NSH146" s="24"/>
      <c r="NSI146" s="24"/>
      <c r="NSJ146" s="24"/>
      <c r="NSK146" s="24"/>
      <c r="NSL146" s="24"/>
      <c r="NSM146" s="24"/>
      <c r="NSN146" s="24"/>
      <c r="NSO146" s="24"/>
      <c r="NSP146" s="24"/>
      <c r="NSQ146" s="24"/>
      <c r="NSR146" s="24"/>
      <c r="NSS146" s="24"/>
      <c r="NST146" s="24"/>
      <c r="NSU146" s="24"/>
      <c r="NSV146" s="24"/>
      <c r="NSW146" s="24"/>
      <c r="NSX146" s="24"/>
      <c r="NSY146" s="24"/>
      <c r="NSZ146" s="24"/>
      <c r="NTA146" s="24"/>
      <c r="NTB146" s="24"/>
      <c r="NTC146" s="24"/>
      <c r="NTD146" s="24"/>
      <c r="NTE146" s="24"/>
      <c r="NTF146" s="24"/>
      <c r="NTG146" s="24"/>
      <c r="NTH146" s="24"/>
      <c r="NTI146" s="24"/>
      <c r="NTJ146" s="24"/>
      <c r="NTK146" s="24"/>
      <c r="NTL146" s="24"/>
      <c r="NTM146" s="24"/>
      <c r="NTN146" s="24"/>
      <c r="NTO146" s="24"/>
      <c r="NTP146" s="24"/>
      <c r="NTQ146" s="24"/>
      <c r="NTR146" s="24"/>
      <c r="NTS146" s="24"/>
      <c r="NTT146" s="24"/>
      <c r="NTU146" s="24"/>
      <c r="NTV146" s="24"/>
      <c r="NTW146" s="24"/>
      <c r="NTX146" s="24"/>
      <c r="NTY146" s="24"/>
      <c r="NTZ146" s="24"/>
      <c r="NUA146" s="24"/>
      <c r="NUB146" s="24"/>
      <c r="NUC146" s="24"/>
      <c r="NUD146" s="24"/>
      <c r="NUE146" s="24"/>
      <c r="NUF146" s="24"/>
      <c r="NUG146" s="24"/>
      <c r="NUH146" s="24"/>
      <c r="NUI146" s="24"/>
      <c r="NUJ146" s="24"/>
      <c r="NUK146" s="24"/>
      <c r="NUL146" s="24"/>
      <c r="NUM146" s="24"/>
      <c r="NUN146" s="24"/>
      <c r="NUO146" s="24"/>
      <c r="NUP146" s="24"/>
      <c r="NUQ146" s="24"/>
      <c r="NUR146" s="24"/>
      <c r="NUS146" s="24"/>
      <c r="NUT146" s="24"/>
      <c r="NUU146" s="24"/>
      <c r="NUV146" s="24"/>
      <c r="NUW146" s="24"/>
      <c r="NUX146" s="24"/>
      <c r="NUY146" s="24"/>
      <c r="NUZ146" s="24"/>
      <c r="NVA146" s="24"/>
      <c r="NVB146" s="24"/>
      <c r="NVC146" s="24"/>
      <c r="NVD146" s="24"/>
      <c r="NVE146" s="24"/>
      <c r="NVF146" s="24"/>
      <c r="NVG146" s="24"/>
      <c r="NVH146" s="24"/>
      <c r="NVI146" s="24"/>
      <c r="NVJ146" s="24"/>
      <c r="NVK146" s="24"/>
      <c r="NVL146" s="24"/>
      <c r="NVM146" s="24"/>
      <c r="NVN146" s="24"/>
      <c r="NVO146" s="24"/>
      <c r="NVP146" s="24"/>
      <c r="NVQ146" s="24"/>
      <c r="NVR146" s="24"/>
      <c r="NVS146" s="24"/>
      <c r="NVT146" s="24"/>
      <c r="NVU146" s="24"/>
      <c r="NVV146" s="24"/>
      <c r="NVW146" s="24"/>
      <c r="NVX146" s="24"/>
      <c r="NVY146" s="24"/>
      <c r="NVZ146" s="24"/>
      <c r="NWA146" s="24"/>
      <c r="NWB146" s="24"/>
      <c r="NWC146" s="24"/>
      <c r="NWD146" s="24"/>
      <c r="NWE146" s="24"/>
      <c r="NWF146" s="24"/>
      <c r="NWG146" s="24"/>
      <c r="NWH146" s="24"/>
      <c r="NWI146" s="24"/>
      <c r="NWJ146" s="24"/>
      <c r="NWK146" s="24"/>
      <c r="NWL146" s="24"/>
      <c r="NWM146" s="24"/>
      <c r="NWN146" s="24"/>
      <c r="NWO146" s="24"/>
      <c r="NWP146" s="24"/>
      <c r="NWQ146" s="24"/>
      <c r="NWR146" s="24"/>
      <c r="NWS146" s="24"/>
      <c r="NWT146" s="24"/>
      <c r="NWU146" s="24"/>
      <c r="NWV146" s="24"/>
      <c r="NWW146" s="24"/>
      <c r="NWX146" s="24"/>
      <c r="NWY146" s="24"/>
      <c r="NWZ146" s="24"/>
      <c r="NXA146" s="24"/>
      <c r="NXB146" s="24"/>
      <c r="NXC146" s="24"/>
      <c r="NXD146" s="24"/>
      <c r="NXE146" s="24"/>
      <c r="NXF146" s="24"/>
      <c r="NXG146" s="24"/>
      <c r="NXH146" s="24"/>
      <c r="NXI146" s="24"/>
      <c r="NXJ146" s="24"/>
      <c r="NXK146" s="24"/>
      <c r="NXL146" s="24"/>
      <c r="NXM146" s="24"/>
      <c r="NXN146" s="24"/>
      <c r="NXO146" s="24"/>
      <c r="NXP146" s="24"/>
      <c r="NXQ146" s="24"/>
      <c r="NXR146" s="24"/>
      <c r="NXS146" s="24"/>
      <c r="NXT146" s="24"/>
      <c r="NXU146" s="24"/>
      <c r="NXV146" s="24"/>
      <c r="NXW146" s="24"/>
      <c r="NXX146" s="24"/>
      <c r="NXY146" s="24"/>
      <c r="NXZ146" s="24"/>
      <c r="NYA146" s="24"/>
      <c r="NYB146" s="24"/>
      <c r="NYC146" s="24"/>
      <c r="NYD146" s="24"/>
      <c r="NYE146" s="24"/>
      <c r="NYF146" s="24"/>
      <c r="NYG146" s="24"/>
      <c r="NYH146" s="24"/>
      <c r="NYI146" s="24"/>
      <c r="NYJ146" s="24"/>
      <c r="NYK146" s="24"/>
      <c r="NYL146" s="24"/>
      <c r="NYM146" s="24"/>
      <c r="NYN146" s="24"/>
      <c r="NYO146" s="24"/>
      <c r="NYP146" s="24"/>
      <c r="NYQ146" s="24"/>
      <c r="NYR146" s="24"/>
      <c r="NYS146" s="24"/>
      <c r="NYT146" s="24"/>
      <c r="NYU146" s="24"/>
      <c r="NYV146" s="24"/>
      <c r="NYW146" s="24"/>
      <c r="NYX146" s="24"/>
      <c r="NYY146" s="24"/>
      <c r="NYZ146" s="24"/>
      <c r="NZA146" s="24"/>
      <c r="NZB146" s="24"/>
      <c r="NZC146" s="24"/>
      <c r="NZD146" s="24"/>
      <c r="NZE146" s="24"/>
      <c r="NZF146" s="24"/>
      <c r="NZG146" s="24"/>
      <c r="NZH146" s="24"/>
      <c r="NZI146" s="24"/>
      <c r="NZJ146" s="24"/>
      <c r="NZK146" s="24"/>
      <c r="NZL146" s="24"/>
      <c r="NZM146" s="24"/>
      <c r="NZN146" s="24"/>
      <c r="NZO146" s="24"/>
      <c r="NZP146" s="24"/>
      <c r="NZQ146" s="24"/>
      <c r="NZR146" s="24"/>
      <c r="NZS146" s="24"/>
      <c r="NZT146" s="24"/>
      <c r="NZU146" s="24"/>
      <c r="NZV146" s="24"/>
      <c r="NZW146" s="24"/>
      <c r="NZX146" s="24"/>
      <c r="NZY146" s="24"/>
      <c r="NZZ146" s="24"/>
      <c r="OAA146" s="24"/>
      <c r="OAB146" s="24"/>
      <c r="OAC146" s="24"/>
      <c r="OAD146" s="24"/>
      <c r="OAE146" s="24"/>
      <c r="OAF146" s="24"/>
      <c r="OAG146" s="24"/>
      <c r="OAH146" s="24"/>
      <c r="OAI146" s="24"/>
      <c r="OAJ146" s="24"/>
      <c r="OAK146" s="24"/>
      <c r="OAL146" s="24"/>
      <c r="OAM146" s="24"/>
      <c r="OAN146" s="24"/>
      <c r="OAO146" s="24"/>
      <c r="OAP146" s="24"/>
      <c r="OAQ146" s="24"/>
      <c r="OAR146" s="24"/>
      <c r="OAS146" s="24"/>
      <c r="OAT146" s="24"/>
      <c r="OAU146" s="24"/>
      <c r="OAV146" s="24"/>
      <c r="OAW146" s="24"/>
      <c r="OAX146" s="24"/>
      <c r="OAY146" s="24"/>
      <c r="OAZ146" s="24"/>
      <c r="OBA146" s="24"/>
      <c r="OBB146" s="24"/>
      <c r="OBC146" s="24"/>
      <c r="OBD146" s="24"/>
      <c r="OBE146" s="24"/>
      <c r="OBF146" s="24"/>
      <c r="OBG146" s="24"/>
      <c r="OBH146" s="24"/>
      <c r="OBI146" s="24"/>
      <c r="OBJ146" s="24"/>
      <c r="OBK146" s="24"/>
      <c r="OBL146" s="24"/>
      <c r="OBM146" s="24"/>
      <c r="OBN146" s="24"/>
      <c r="OBO146" s="24"/>
      <c r="OBP146" s="24"/>
      <c r="OBQ146" s="24"/>
      <c r="OBR146" s="24"/>
      <c r="OBS146" s="24"/>
      <c r="OBT146" s="24"/>
      <c r="OBU146" s="24"/>
      <c r="OBV146" s="24"/>
      <c r="OBW146" s="24"/>
      <c r="OBX146" s="24"/>
      <c r="OBY146" s="24"/>
      <c r="OBZ146" s="24"/>
      <c r="OCA146" s="24"/>
      <c r="OCB146" s="24"/>
      <c r="OCC146" s="24"/>
      <c r="OCD146" s="24"/>
      <c r="OCE146" s="24"/>
      <c r="OCF146" s="24"/>
      <c r="OCG146" s="24"/>
      <c r="OCH146" s="24"/>
      <c r="OCI146" s="24"/>
      <c r="OCJ146" s="24"/>
      <c r="OCK146" s="24"/>
      <c r="OCL146" s="24"/>
      <c r="OCM146" s="24"/>
      <c r="OCN146" s="24"/>
      <c r="OCO146" s="24"/>
      <c r="OCP146" s="24"/>
      <c r="OCQ146" s="24"/>
      <c r="OCR146" s="24"/>
      <c r="OCS146" s="24"/>
      <c r="OCT146" s="24"/>
      <c r="OCU146" s="24"/>
      <c r="OCV146" s="24"/>
      <c r="OCW146" s="24"/>
      <c r="OCX146" s="24"/>
      <c r="OCY146" s="24"/>
      <c r="OCZ146" s="24"/>
      <c r="ODA146" s="24"/>
      <c r="ODB146" s="24"/>
      <c r="ODC146" s="24"/>
      <c r="ODD146" s="24"/>
      <c r="ODE146" s="24"/>
      <c r="ODF146" s="24"/>
      <c r="ODG146" s="24"/>
      <c r="ODH146" s="24"/>
      <c r="ODI146" s="24"/>
      <c r="ODJ146" s="24"/>
      <c r="ODK146" s="24"/>
      <c r="ODL146" s="24"/>
      <c r="ODM146" s="24"/>
      <c r="ODN146" s="24"/>
      <c r="ODO146" s="24"/>
      <c r="ODP146" s="24"/>
      <c r="ODQ146" s="24"/>
      <c r="ODR146" s="24"/>
      <c r="ODS146" s="24"/>
      <c r="ODT146" s="24"/>
      <c r="ODU146" s="24"/>
      <c r="ODV146" s="24"/>
      <c r="ODW146" s="24"/>
      <c r="ODX146" s="24"/>
      <c r="ODY146" s="24"/>
      <c r="ODZ146" s="24"/>
      <c r="OEA146" s="24"/>
      <c r="OEB146" s="24"/>
      <c r="OEC146" s="24"/>
      <c r="OED146" s="24"/>
      <c r="OEE146" s="24"/>
      <c r="OEF146" s="24"/>
      <c r="OEG146" s="24"/>
      <c r="OEH146" s="24"/>
      <c r="OEI146" s="24"/>
      <c r="OEJ146" s="24"/>
      <c r="OEK146" s="24"/>
      <c r="OEL146" s="24"/>
      <c r="OEM146" s="24"/>
      <c r="OEN146" s="24"/>
      <c r="OEO146" s="24"/>
      <c r="OEP146" s="24"/>
      <c r="OEQ146" s="24"/>
      <c r="OER146" s="24"/>
      <c r="OES146" s="24"/>
      <c r="OET146" s="24"/>
      <c r="OEU146" s="24"/>
      <c r="OEV146" s="24"/>
      <c r="OEW146" s="24"/>
      <c r="OEX146" s="24"/>
      <c r="OEY146" s="24"/>
      <c r="OEZ146" s="24"/>
      <c r="OFA146" s="24"/>
      <c r="OFB146" s="24"/>
      <c r="OFC146" s="24"/>
      <c r="OFD146" s="24"/>
      <c r="OFE146" s="24"/>
      <c r="OFF146" s="24"/>
      <c r="OFG146" s="24"/>
      <c r="OFH146" s="24"/>
      <c r="OFI146" s="24"/>
      <c r="OFJ146" s="24"/>
      <c r="OFK146" s="24"/>
      <c r="OFL146" s="24"/>
      <c r="OFM146" s="24"/>
      <c r="OFN146" s="24"/>
      <c r="OFO146" s="24"/>
      <c r="OFP146" s="24"/>
      <c r="OFQ146" s="24"/>
      <c r="OFR146" s="24"/>
      <c r="OFS146" s="24"/>
      <c r="OFT146" s="24"/>
      <c r="OFU146" s="24"/>
      <c r="OFV146" s="24"/>
      <c r="OFW146" s="24"/>
      <c r="OFX146" s="24"/>
      <c r="OFY146" s="24"/>
      <c r="OFZ146" s="24"/>
      <c r="OGA146" s="24"/>
      <c r="OGB146" s="24"/>
      <c r="OGC146" s="24"/>
      <c r="OGD146" s="24"/>
      <c r="OGE146" s="24"/>
      <c r="OGF146" s="24"/>
      <c r="OGG146" s="24"/>
      <c r="OGH146" s="24"/>
      <c r="OGI146" s="24"/>
      <c r="OGJ146" s="24"/>
      <c r="OGK146" s="24"/>
      <c r="OGL146" s="24"/>
      <c r="OGM146" s="24"/>
      <c r="OGN146" s="24"/>
      <c r="OGO146" s="24"/>
      <c r="OGP146" s="24"/>
      <c r="OGQ146" s="24"/>
      <c r="OGR146" s="24"/>
      <c r="OGS146" s="24"/>
      <c r="OGT146" s="24"/>
      <c r="OGU146" s="24"/>
      <c r="OGV146" s="24"/>
      <c r="OGW146" s="24"/>
      <c r="OGX146" s="24"/>
      <c r="OGY146" s="24"/>
      <c r="OGZ146" s="24"/>
      <c r="OHA146" s="24"/>
      <c r="OHB146" s="24"/>
      <c r="OHC146" s="24"/>
      <c r="OHD146" s="24"/>
      <c r="OHE146" s="24"/>
      <c r="OHF146" s="24"/>
      <c r="OHG146" s="24"/>
      <c r="OHH146" s="24"/>
      <c r="OHI146" s="24"/>
      <c r="OHJ146" s="24"/>
      <c r="OHK146" s="24"/>
      <c r="OHL146" s="24"/>
      <c r="OHM146" s="24"/>
      <c r="OHN146" s="24"/>
      <c r="OHO146" s="24"/>
      <c r="OHP146" s="24"/>
      <c r="OHQ146" s="24"/>
      <c r="OHR146" s="24"/>
      <c r="OHS146" s="24"/>
      <c r="OHT146" s="24"/>
      <c r="OHU146" s="24"/>
      <c r="OHV146" s="24"/>
      <c r="OHW146" s="24"/>
      <c r="OHX146" s="24"/>
      <c r="OHY146" s="24"/>
      <c r="OHZ146" s="24"/>
      <c r="OIA146" s="24"/>
      <c r="OIB146" s="24"/>
      <c r="OIC146" s="24"/>
      <c r="OID146" s="24"/>
      <c r="OIE146" s="24"/>
      <c r="OIF146" s="24"/>
      <c r="OIG146" s="24"/>
      <c r="OIH146" s="24"/>
      <c r="OII146" s="24"/>
      <c r="OIJ146" s="24"/>
      <c r="OIK146" s="24"/>
      <c r="OIL146" s="24"/>
      <c r="OIM146" s="24"/>
      <c r="OIN146" s="24"/>
      <c r="OIO146" s="24"/>
      <c r="OIP146" s="24"/>
      <c r="OIQ146" s="24"/>
      <c r="OIR146" s="24"/>
      <c r="OIS146" s="24"/>
      <c r="OIT146" s="24"/>
      <c r="OIU146" s="24"/>
      <c r="OIV146" s="24"/>
      <c r="OIW146" s="24"/>
      <c r="OIX146" s="24"/>
      <c r="OIY146" s="24"/>
      <c r="OIZ146" s="24"/>
      <c r="OJA146" s="24"/>
      <c r="OJB146" s="24"/>
      <c r="OJC146" s="24"/>
      <c r="OJD146" s="24"/>
      <c r="OJE146" s="24"/>
      <c r="OJF146" s="24"/>
      <c r="OJG146" s="24"/>
      <c r="OJH146" s="24"/>
      <c r="OJI146" s="24"/>
      <c r="OJJ146" s="24"/>
      <c r="OJK146" s="24"/>
      <c r="OJL146" s="24"/>
      <c r="OJM146" s="24"/>
      <c r="OJN146" s="24"/>
      <c r="OJO146" s="24"/>
      <c r="OJP146" s="24"/>
      <c r="OJQ146" s="24"/>
      <c r="OJR146" s="24"/>
      <c r="OJS146" s="24"/>
      <c r="OJT146" s="24"/>
      <c r="OJU146" s="24"/>
      <c r="OJV146" s="24"/>
      <c r="OJW146" s="24"/>
      <c r="OJX146" s="24"/>
      <c r="OJY146" s="24"/>
      <c r="OJZ146" s="24"/>
      <c r="OKA146" s="24"/>
      <c r="OKB146" s="24"/>
      <c r="OKC146" s="24"/>
      <c r="OKD146" s="24"/>
      <c r="OKE146" s="24"/>
      <c r="OKF146" s="24"/>
      <c r="OKG146" s="24"/>
      <c r="OKH146" s="24"/>
      <c r="OKI146" s="24"/>
      <c r="OKJ146" s="24"/>
      <c r="OKK146" s="24"/>
      <c r="OKL146" s="24"/>
      <c r="OKM146" s="24"/>
      <c r="OKN146" s="24"/>
      <c r="OKO146" s="24"/>
      <c r="OKP146" s="24"/>
      <c r="OKQ146" s="24"/>
      <c r="OKR146" s="24"/>
      <c r="OKS146" s="24"/>
      <c r="OKT146" s="24"/>
      <c r="OKU146" s="24"/>
      <c r="OKV146" s="24"/>
      <c r="OKW146" s="24"/>
      <c r="OKX146" s="24"/>
      <c r="OKY146" s="24"/>
      <c r="OKZ146" s="24"/>
      <c r="OLA146" s="24"/>
      <c r="OLB146" s="24"/>
      <c r="OLC146" s="24"/>
      <c r="OLD146" s="24"/>
      <c r="OLE146" s="24"/>
      <c r="OLF146" s="24"/>
      <c r="OLG146" s="24"/>
      <c r="OLH146" s="24"/>
      <c r="OLI146" s="24"/>
      <c r="OLJ146" s="24"/>
      <c r="OLK146" s="24"/>
      <c r="OLL146" s="24"/>
      <c r="OLM146" s="24"/>
      <c r="OLN146" s="24"/>
      <c r="OLO146" s="24"/>
      <c r="OLP146" s="24"/>
      <c r="OLQ146" s="24"/>
      <c r="OLR146" s="24"/>
      <c r="OLS146" s="24"/>
      <c r="OLT146" s="24"/>
      <c r="OLU146" s="24"/>
      <c r="OLV146" s="24"/>
      <c r="OLW146" s="24"/>
      <c r="OLX146" s="24"/>
      <c r="OLY146" s="24"/>
      <c r="OLZ146" s="24"/>
      <c r="OMA146" s="24"/>
      <c r="OMB146" s="24"/>
      <c r="OMC146" s="24"/>
      <c r="OMD146" s="24"/>
      <c r="OME146" s="24"/>
      <c r="OMF146" s="24"/>
      <c r="OMG146" s="24"/>
      <c r="OMH146" s="24"/>
      <c r="OMI146" s="24"/>
      <c r="OMJ146" s="24"/>
      <c r="OMK146" s="24"/>
      <c r="OML146" s="24"/>
      <c r="OMM146" s="24"/>
      <c r="OMN146" s="24"/>
      <c r="OMO146" s="24"/>
      <c r="OMP146" s="24"/>
      <c r="OMQ146" s="24"/>
      <c r="OMR146" s="24"/>
      <c r="OMS146" s="24"/>
      <c r="OMT146" s="24"/>
      <c r="OMU146" s="24"/>
      <c r="OMV146" s="24"/>
      <c r="OMW146" s="24"/>
      <c r="OMX146" s="24"/>
      <c r="OMY146" s="24"/>
      <c r="OMZ146" s="24"/>
      <c r="ONA146" s="24"/>
      <c r="ONB146" s="24"/>
      <c r="ONC146" s="24"/>
      <c r="OND146" s="24"/>
      <c r="ONE146" s="24"/>
      <c r="ONF146" s="24"/>
      <c r="ONG146" s="24"/>
      <c r="ONH146" s="24"/>
      <c r="ONI146" s="24"/>
      <c r="ONJ146" s="24"/>
      <c r="ONK146" s="24"/>
      <c r="ONL146" s="24"/>
      <c r="ONM146" s="24"/>
      <c r="ONN146" s="24"/>
      <c r="ONO146" s="24"/>
      <c r="ONP146" s="24"/>
      <c r="ONQ146" s="24"/>
      <c r="ONR146" s="24"/>
      <c r="ONS146" s="24"/>
      <c r="ONT146" s="24"/>
      <c r="ONU146" s="24"/>
      <c r="ONV146" s="24"/>
      <c r="ONW146" s="24"/>
      <c r="ONX146" s="24"/>
      <c r="ONY146" s="24"/>
      <c r="ONZ146" s="24"/>
      <c r="OOA146" s="24"/>
      <c r="OOB146" s="24"/>
      <c r="OOC146" s="24"/>
      <c r="OOD146" s="24"/>
      <c r="OOE146" s="24"/>
      <c r="OOF146" s="24"/>
      <c r="OOG146" s="24"/>
      <c r="OOH146" s="24"/>
      <c r="OOI146" s="24"/>
      <c r="OOJ146" s="24"/>
      <c r="OOK146" s="24"/>
      <c r="OOL146" s="24"/>
      <c r="OOM146" s="24"/>
      <c r="OON146" s="24"/>
      <c r="OOO146" s="24"/>
      <c r="OOP146" s="24"/>
      <c r="OOQ146" s="24"/>
      <c r="OOR146" s="24"/>
      <c r="OOS146" s="24"/>
      <c r="OOT146" s="24"/>
      <c r="OOU146" s="24"/>
      <c r="OOV146" s="24"/>
      <c r="OOW146" s="24"/>
      <c r="OOX146" s="24"/>
      <c r="OOY146" s="24"/>
      <c r="OOZ146" s="24"/>
      <c r="OPA146" s="24"/>
      <c r="OPB146" s="24"/>
      <c r="OPC146" s="24"/>
      <c r="OPD146" s="24"/>
      <c r="OPE146" s="24"/>
      <c r="OPF146" s="24"/>
      <c r="OPG146" s="24"/>
      <c r="OPH146" s="24"/>
      <c r="OPI146" s="24"/>
      <c r="OPJ146" s="24"/>
      <c r="OPK146" s="24"/>
      <c r="OPL146" s="24"/>
      <c r="OPM146" s="24"/>
      <c r="OPN146" s="24"/>
      <c r="OPO146" s="24"/>
      <c r="OPP146" s="24"/>
      <c r="OPQ146" s="24"/>
      <c r="OPR146" s="24"/>
      <c r="OPS146" s="24"/>
      <c r="OPT146" s="24"/>
      <c r="OPU146" s="24"/>
      <c r="OPV146" s="24"/>
      <c r="OPW146" s="24"/>
      <c r="OPX146" s="24"/>
      <c r="OPY146" s="24"/>
      <c r="OPZ146" s="24"/>
      <c r="OQA146" s="24"/>
      <c r="OQB146" s="24"/>
      <c r="OQC146" s="24"/>
      <c r="OQD146" s="24"/>
      <c r="OQE146" s="24"/>
      <c r="OQF146" s="24"/>
      <c r="OQG146" s="24"/>
      <c r="OQH146" s="24"/>
      <c r="OQI146" s="24"/>
      <c r="OQJ146" s="24"/>
      <c r="OQK146" s="24"/>
      <c r="OQL146" s="24"/>
      <c r="OQM146" s="24"/>
      <c r="OQN146" s="24"/>
      <c r="OQO146" s="24"/>
      <c r="OQP146" s="24"/>
      <c r="OQQ146" s="24"/>
      <c r="OQR146" s="24"/>
      <c r="OQS146" s="24"/>
      <c r="OQT146" s="24"/>
      <c r="OQU146" s="24"/>
      <c r="OQV146" s="24"/>
      <c r="OQW146" s="24"/>
      <c r="OQX146" s="24"/>
      <c r="OQY146" s="24"/>
      <c r="OQZ146" s="24"/>
      <c r="ORA146" s="24"/>
      <c r="ORB146" s="24"/>
      <c r="ORC146" s="24"/>
      <c r="ORD146" s="24"/>
      <c r="ORE146" s="24"/>
      <c r="ORF146" s="24"/>
      <c r="ORG146" s="24"/>
      <c r="ORH146" s="24"/>
      <c r="ORI146" s="24"/>
      <c r="ORJ146" s="24"/>
      <c r="ORK146" s="24"/>
      <c r="ORL146" s="24"/>
      <c r="ORM146" s="24"/>
      <c r="ORN146" s="24"/>
      <c r="ORO146" s="24"/>
      <c r="ORP146" s="24"/>
      <c r="ORQ146" s="24"/>
      <c r="ORR146" s="24"/>
      <c r="ORS146" s="24"/>
      <c r="ORT146" s="24"/>
      <c r="ORU146" s="24"/>
      <c r="ORV146" s="24"/>
      <c r="ORW146" s="24"/>
      <c r="ORX146" s="24"/>
      <c r="ORY146" s="24"/>
      <c r="ORZ146" s="24"/>
      <c r="OSA146" s="24"/>
      <c r="OSB146" s="24"/>
      <c r="OSC146" s="24"/>
      <c r="OSD146" s="24"/>
      <c r="OSE146" s="24"/>
      <c r="OSF146" s="24"/>
      <c r="OSG146" s="24"/>
      <c r="OSH146" s="24"/>
      <c r="OSI146" s="24"/>
      <c r="OSJ146" s="24"/>
      <c r="OSK146" s="24"/>
      <c r="OSL146" s="24"/>
      <c r="OSM146" s="24"/>
      <c r="OSN146" s="24"/>
      <c r="OSO146" s="24"/>
      <c r="OSP146" s="24"/>
      <c r="OSQ146" s="24"/>
      <c r="OSR146" s="24"/>
      <c r="OSS146" s="24"/>
      <c r="OST146" s="24"/>
      <c r="OSU146" s="24"/>
      <c r="OSV146" s="24"/>
      <c r="OSW146" s="24"/>
      <c r="OSX146" s="24"/>
      <c r="OSY146" s="24"/>
      <c r="OSZ146" s="24"/>
      <c r="OTA146" s="24"/>
      <c r="OTB146" s="24"/>
      <c r="OTC146" s="24"/>
      <c r="OTD146" s="24"/>
      <c r="OTE146" s="24"/>
      <c r="OTF146" s="24"/>
      <c r="OTG146" s="24"/>
      <c r="OTH146" s="24"/>
      <c r="OTI146" s="24"/>
      <c r="OTJ146" s="24"/>
      <c r="OTK146" s="24"/>
      <c r="OTL146" s="24"/>
      <c r="OTM146" s="24"/>
      <c r="OTN146" s="24"/>
      <c r="OTO146" s="24"/>
      <c r="OTP146" s="24"/>
      <c r="OTQ146" s="24"/>
      <c r="OTR146" s="24"/>
      <c r="OTS146" s="24"/>
      <c r="OTT146" s="24"/>
      <c r="OTU146" s="24"/>
      <c r="OTV146" s="24"/>
      <c r="OTW146" s="24"/>
      <c r="OTX146" s="24"/>
      <c r="OTY146" s="24"/>
      <c r="OTZ146" s="24"/>
      <c r="OUA146" s="24"/>
      <c r="OUB146" s="24"/>
      <c r="OUC146" s="24"/>
      <c r="OUD146" s="24"/>
      <c r="OUE146" s="24"/>
      <c r="OUF146" s="24"/>
      <c r="OUG146" s="24"/>
      <c r="OUH146" s="24"/>
      <c r="OUI146" s="24"/>
      <c r="OUJ146" s="24"/>
      <c r="OUK146" s="24"/>
      <c r="OUL146" s="24"/>
      <c r="OUM146" s="24"/>
      <c r="OUN146" s="24"/>
      <c r="OUO146" s="24"/>
      <c r="OUP146" s="24"/>
      <c r="OUQ146" s="24"/>
      <c r="OUR146" s="24"/>
      <c r="OUS146" s="24"/>
      <c r="OUT146" s="24"/>
      <c r="OUU146" s="24"/>
      <c r="OUV146" s="24"/>
      <c r="OUW146" s="24"/>
      <c r="OUX146" s="24"/>
      <c r="OUY146" s="24"/>
      <c r="OUZ146" s="24"/>
      <c r="OVA146" s="24"/>
      <c r="OVB146" s="24"/>
      <c r="OVC146" s="24"/>
      <c r="OVD146" s="24"/>
      <c r="OVE146" s="24"/>
      <c r="OVF146" s="24"/>
      <c r="OVG146" s="24"/>
      <c r="OVH146" s="24"/>
      <c r="OVI146" s="24"/>
      <c r="OVJ146" s="24"/>
      <c r="OVK146" s="24"/>
      <c r="OVL146" s="24"/>
      <c r="OVM146" s="24"/>
      <c r="OVN146" s="24"/>
      <c r="OVO146" s="24"/>
      <c r="OVP146" s="24"/>
      <c r="OVQ146" s="24"/>
      <c r="OVR146" s="24"/>
      <c r="OVS146" s="24"/>
      <c r="OVT146" s="24"/>
      <c r="OVU146" s="24"/>
      <c r="OVV146" s="24"/>
      <c r="OVW146" s="24"/>
      <c r="OVX146" s="24"/>
      <c r="OVY146" s="24"/>
      <c r="OVZ146" s="24"/>
      <c r="OWA146" s="24"/>
      <c r="OWB146" s="24"/>
      <c r="OWC146" s="24"/>
      <c r="OWD146" s="24"/>
      <c r="OWE146" s="24"/>
      <c r="OWF146" s="24"/>
      <c r="OWG146" s="24"/>
      <c r="OWH146" s="24"/>
      <c r="OWI146" s="24"/>
      <c r="OWJ146" s="24"/>
      <c r="OWK146" s="24"/>
      <c r="OWL146" s="24"/>
      <c r="OWM146" s="24"/>
      <c r="OWN146" s="24"/>
      <c r="OWO146" s="24"/>
      <c r="OWP146" s="24"/>
      <c r="OWQ146" s="24"/>
      <c r="OWR146" s="24"/>
      <c r="OWS146" s="24"/>
      <c r="OWT146" s="24"/>
      <c r="OWU146" s="24"/>
      <c r="OWV146" s="24"/>
      <c r="OWW146" s="24"/>
      <c r="OWX146" s="24"/>
      <c r="OWY146" s="24"/>
      <c r="OWZ146" s="24"/>
      <c r="OXA146" s="24"/>
      <c r="OXB146" s="24"/>
      <c r="OXC146" s="24"/>
      <c r="OXD146" s="24"/>
      <c r="OXE146" s="24"/>
      <c r="OXF146" s="24"/>
      <c r="OXG146" s="24"/>
      <c r="OXH146" s="24"/>
      <c r="OXI146" s="24"/>
      <c r="OXJ146" s="24"/>
      <c r="OXK146" s="24"/>
      <c r="OXL146" s="24"/>
      <c r="OXM146" s="24"/>
      <c r="OXN146" s="24"/>
      <c r="OXO146" s="24"/>
      <c r="OXP146" s="24"/>
      <c r="OXQ146" s="24"/>
      <c r="OXR146" s="24"/>
      <c r="OXS146" s="24"/>
      <c r="OXT146" s="24"/>
      <c r="OXU146" s="24"/>
      <c r="OXV146" s="24"/>
      <c r="OXW146" s="24"/>
      <c r="OXX146" s="24"/>
      <c r="OXY146" s="24"/>
      <c r="OXZ146" s="24"/>
      <c r="OYA146" s="24"/>
      <c r="OYB146" s="24"/>
      <c r="OYC146" s="24"/>
      <c r="OYD146" s="24"/>
      <c r="OYE146" s="24"/>
      <c r="OYF146" s="24"/>
      <c r="OYG146" s="24"/>
      <c r="OYH146" s="24"/>
      <c r="OYI146" s="24"/>
      <c r="OYJ146" s="24"/>
      <c r="OYK146" s="24"/>
      <c r="OYL146" s="24"/>
      <c r="OYM146" s="24"/>
      <c r="OYN146" s="24"/>
      <c r="OYO146" s="24"/>
      <c r="OYP146" s="24"/>
      <c r="OYQ146" s="24"/>
      <c r="OYR146" s="24"/>
      <c r="OYS146" s="24"/>
      <c r="OYT146" s="24"/>
      <c r="OYU146" s="24"/>
      <c r="OYV146" s="24"/>
      <c r="OYW146" s="24"/>
      <c r="OYX146" s="24"/>
      <c r="OYY146" s="24"/>
      <c r="OYZ146" s="24"/>
      <c r="OZA146" s="24"/>
      <c r="OZB146" s="24"/>
      <c r="OZC146" s="24"/>
      <c r="OZD146" s="24"/>
      <c r="OZE146" s="24"/>
      <c r="OZF146" s="24"/>
      <c r="OZG146" s="24"/>
      <c r="OZH146" s="24"/>
      <c r="OZI146" s="24"/>
      <c r="OZJ146" s="24"/>
      <c r="OZK146" s="24"/>
      <c r="OZL146" s="24"/>
      <c r="OZM146" s="24"/>
      <c r="OZN146" s="24"/>
      <c r="OZO146" s="24"/>
      <c r="OZP146" s="24"/>
      <c r="OZQ146" s="24"/>
      <c r="OZR146" s="24"/>
      <c r="OZS146" s="24"/>
      <c r="OZT146" s="24"/>
      <c r="OZU146" s="24"/>
      <c r="OZV146" s="24"/>
      <c r="OZW146" s="24"/>
      <c r="OZX146" s="24"/>
      <c r="OZY146" s="24"/>
      <c r="OZZ146" s="24"/>
      <c r="PAA146" s="24"/>
      <c r="PAB146" s="24"/>
      <c r="PAC146" s="24"/>
      <c r="PAD146" s="24"/>
      <c r="PAE146" s="24"/>
      <c r="PAF146" s="24"/>
      <c r="PAG146" s="24"/>
      <c r="PAH146" s="24"/>
      <c r="PAI146" s="24"/>
      <c r="PAJ146" s="24"/>
      <c r="PAK146" s="24"/>
      <c r="PAL146" s="24"/>
      <c r="PAM146" s="24"/>
      <c r="PAN146" s="24"/>
      <c r="PAO146" s="24"/>
      <c r="PAP146" s="24"/>
      <c r="PAQ146" s="24"/>
      <c r="PAR146" s="24"/>
      <c r="PAS146" s="24"/>
      <c r="PAT146" s="24"/>
      <c r="PAU146" s="24"/>
      <c r="PAV146" s="24"/>
      <c r="PAW146" s="24"/>
      <c r="PAX146" s="24"/>
      <c r="PAY146" s="24"/>
      <c r="PAZ146" s="24"/>
      <c r="PBA146" s="24"/>
      <c r="PBB146" s="24"/>
      <c r="PBC146" s="24"/>
      <c r="PBD146" s="24"/>
      <c r="PBE146" s="24"/>
      <c r="PBF146" s="24"/>
      <c r="PBG146" s="24"/>
      <c r="PBH146" s="24"/>
      <c r="PBI146" s="24"/>
      <c r="PBJ146" s="24"/>
      <c r="PBK146" s="24"/>
      <c r="PBL146" s="24"/>
      <c r="PBM146" s="24"/>
      <c r="PBN146" s="24"/>
      <c r="PBO146" s="24"/>
      <c r="PBP146" s="24"/>
      <c r="PBQ146" s="24"/>
      <c r="PBR146" s="24"/>
      <c r="PBS146" s="24"/>
      <c r="PBT146" s="24"/>
      <c r="PBU146" s="24"/>
      <c r="PBV146" s="24"/>
      <c r="PBW146" s="24"/>
      <c r="PBX146" s="24"/>
      <c r="PBY146" s="24"/>
      <c r="PBZ146" s="24"/>
      <c r="PCA146" s="24"/>
      <c r="PCB146" s="24"/>
      <c r="PCC146" s="24"/>
      <c r="PCD146" s="24"/>
      <c r="PCE146" s="24"/>
      <c r="PCF146" s="24"/>
      <c r="PCG146" s="24"/>
      <c r="PCH146" s="24"/>
      <c r="PCI146" s="24"/>
      <c r="PCJ146" s="24"/>
      <c r="PCK146" s="24"/>
      <c r="PCL146" s="24"/>
      <c r="PCM146" s="24"/>
      <c r="PCN146" s="24"/>
      <c r="PCO146" s="24"/>
      <c r="PCP146" s="24"/>
      <c r="PCQ146" s="24"/>
      <c r="PCR146" s="24"/>
      <c r="PCS146" s="24"/>
      <c r="PCT146" s="24"/>
      <c r="PCU146" s="24"/>
      <c r="PCV146" s="24"/>
      <c r="PCW146" s="24"/>
      <c r="PCX146" s="24"/>
      <c r="PCY146" s="24"/>
      <c r="PCZ146" s="24"/>
      <c r="PDA146" s="24"/>
      <c r="PDB146" s="24"/>
      <c r="PDC146" s="24"/>
      <c r="PDD146" s="24"/>
      <c r="PDE146" s="24"/>
      <c r="PDF146" s="24"/>
      <c r="PDG146" s="24"/>
      <c r="PDH146" s="24"/>
      <c r="PDI146" s="24"/>
      <c r="PDJ146" s="24"/>
      <c r="PDK146" s="24"/>
      <c r="PDL146" s="24"/>
      <c r="PDM146" s="24"/>
      <c r="PDN146" s="24"/>
      <c r="PDO146" s="24"/>
      <c r="PDP146" s="24"/>
      <c r="PDQ146" s="24"/>
      <c r="PDR146" s="24"/>
      <c r="PDS146" s="24"/>
      <c r="PDT146" s="24"/>
      <c r="PDU146" s="24"/>
      <c r="PDV146" s="24"/>
      <c r="PDW146" s="24"/>
      <c r="PDX146" s="24"/>
      <c r="PDY146" s="24"/>
      <c r="PDZ146" s="24"/>
      <c r="PEA146" s="24"/>
      <c r="PEB146" s="24"/>
      <c r="PEC146" s="24"/>
      <c r="PED146" s="24"/>
      <c r="PEE146" s="24"/>
      <c r="PEF146" s="24"/>
      <c r="PEG146" s="24"/>
      <c r="PEH146" s="24"/>
      <c r="PEI146" s="24"/>
      <c r="PEJ146" s="24"/>
      <c r="PEK146" s="24"/>
      <c r="PEL146" s="24"/>
      <c r="PEM146" s="24"/>
      <c r="PEN146" s="24"/>
      <c r="PEO146" s="24"/>
      <c r="PEP146" s="24"/>
      <c r="PEQ146" s="24"/>
      <c r="PER146" s="24"/>
      <c r="PES146" s="24"/>
      <c r="PET146" s="24"/>
      <c r="PEU146" s="24"/>
      <c r="PEV146" s="24"/>
      <c r="PEW146" s="24"/>
      <c r="PEX146" s="24"/>
      <c r="PEY146" s="24"/>
      <c r="PEZ146" s="24"/>
      <c r="PFA146" s="24"/>
      <c r="PFB146" s="24"/>
      <c r="PFC146" s="24"/>
      <c r="PFD146" s="24"/>
      <c r="PFE146" s="24"/>
      <c r="PFF146" s="24"/>
      <c r="PFG146" s="24"/>
      <c r="PFH146" s="24"/>
      <c r="PFI146" s="24"/>
      <c r="PFJ146" s="24"/>
      <c r="PFK146" s="24"/>
      <c r="PFL146" s="24"/>
      <c r="PFM146" s="24"/>
      <c r="PFN146" s="24"/>
      <c r="PFO146" s="24"/>
      <c r="PFP146" s="24"/>
      <c r="PFQ146" s="24"/>
      <c r="PFR146" s="24"/>
      <c r="PFS146" s="24"/>
      <c r="PFT146" s="24"/>
      <c r="PFU146" s="24"/>
      <c r="PFV146" s="24"/>
      <c r="PFW146" s="24"/>
      <c r="PFX146" s="24"/>
      <c r="PFY146" s="24"/>
      <c r="PFZ146" s="24"/>
      <c r="PGA146" s="24"/>
      <c r="PGB146" s="24"/>
      <c r="PGC146" s="24"/>
      <c r="PGD146" s="24"/>
      <c r="PGE146" s="24"/>
      <c r="PGF146" s="24"/>
      <c r="PGG146" s="24"/>
      <c r="PGH146" s="24"/>
      <c r="PGI146" s="24"/>
      <c r="PGJ146" s="24"/>
      <c r="PGK146" s="24"/>
      <c r="PGL146" s="24"/>
      <c r="PGM146" s="24"/>
      <c r="PGN146" s="24"/>
      <c r="PGO146" s="24"/>
      <c r="PGP146" s="24"/>
      <c r="PGQ146" s="24"/>
      <c r="PGR146" s="24"/>
      <c r="PGS146" s="24"/>
      <c r="PGT146" s="24"/>
      <c r="PGU146" s="24"/>
      <c r="PGV146" s="24"/>
      <c r="PGW146" s="24"/>
      <c r="PGX146" s="24"/>
      <c r="PGY146" s="24"/>
      <c r="PGZ146" s="24"/>
      <c r="PHA146" s="24"/>
      <c r="PHB146" s="24"/>
      <c r="PHC146" s="24"/>
      <c r="PHD146" s="24"/>
      <c r="PHE146" s="24"/>
      <c r="PHF146" s="24"/>
      <c r="PHG146" s="24"/>
      <c r="PHH146" s="24"/>
      <c r="PHI146" s="24"/>
      <c r="PHJ146" s="24"/>
      <c r="PHK146" s="24"/>
      <c r="PHL146" s="24"/>
      <c r="PHM146" s="24"/>
      <c r="PHN146" s="24"/>
      <c r="PHO146" s="24"/>
      <c r="PHP146" s="24"/>
      <c r="PHQ146" s="24"/>
      <c r="PHR146" s="24"/>
      <c r="PHS146" s="24"/>
      <c r="PHT146" s="24"/>
      <c r="PHU146" s="24"/>
      <c r="PHV146" s="24"/>
      <c r="PHW146" s="24"/>
      <c r="PHX146" s="24"/>
      <c r="PHY146" s="24"/>
      <c r="PHZ146" s="24"/>
      <c r="PIA146" s="24"/>
      <c r="PIB146" s="24"/>
      <c r="PIC146" s="24"/>
      <c r="PID146" s="24"/>
      <c r="PIE146" s="24"/>
      <c r="PIF146" s="24"/>
      <c r="PIG146" s="24"/>
      <c r="PIH146" s="24"/>
      <c r="PII146" s="24"/>
      <c r="PIJ146" s="24"/>
      <c r="PIK146" s="24"/>
      <c r="PIL146" s="24"/>
      <c r="PIM146" s="24"/>
      <c r="PIN146" s="24"/>
      <c r="PIO146" s="24"/>
      <c r="PIP146" s="24"/>
      <c r="PIQ146" s="24"/>
      <c r="PIR146" s="24"/>
      <c r="PIS146" s="24"/>
      <c r="PIT146" s="24"/>
      <c r="PIU146" s="24"/>
      <c r="PIV146" s="24"/>
      <c r="PIW146" s="24"/>
      <c r="PIX146" s="24"/>
      <c r="PIY146" s="24"/>
      <c r="PIZ146" s="24"/>
      <c r="PJA146" s="24"/>
      <c r="PJB146" s="24"/>
      <c r="PJC146" s="24"/>
      <c r="PJD146" s="24"/>
      <c r="PJE146" s="24"/>
      <c r="PJF146" s="24"/>
      <c r="PJG146" s="24"/>
      <c r="PJH146" s="24"/>
      <c r="PJI146" s="24"/>
      <c r="PJJ146" s="24"/>
      <c r="PJK146" s="24"/>
      <c r="PJL146" s="24"/>
      <c r="PJM146" s="24"/>
      <c r="PJN146" s="24"/>
      <c r="PJO146" s="24"/>
      <c r="PJP146" s="24"/>
      <c r="PJQ146" s="24"/>
      <c r="PJR146" s="24"/>
      <c r="PJS146" s="24"/>
      <c r="PJT146" s="24"/>
      <c r="PJU146" s="24"/>
      <c r="PJV146" s="24"/>
      <c r="PJW146" s="24"/>
      <c r="PJX146" s="24"/>
      <c r="PJY146" s="24"/>
      <c r="PJZ146" s="24"/>
      <c r="PKA146" s="24"/>
      <c r="PKB146" s="24"/>
      <c r="PKC146" s="24"/>
      <c r="PKD146" s="24"/>
      <c r="PKE146" s="24"/>
      <c r="PKF146" s="24"/>
      <c r="PKG146" s="24"/>
      <c r="PKH146" s="24"/>
      <c r="PKI146" s="24"/>
      <c r="PKJ146" s="24"/>
      <c r="PKK146" s="24"/>
      <c r="PKL146" s="24"/>
      <c r="PKM146" s="24"/>
      <c r="PKN146" s="24"/>
      <c r="PKO146" s="24"/>
      <c r="PKP146" s="24"/>
      <c r="PKQ146" s="24"/>
      <c r="PKR146" s="24"/>
      <c r="PKS146" s="24"/>
      <c r="PKT146" s="24"/>
      <c r="PKU146" s="24"/>
      <c r="PKV146" s="24"/>
      <c r="PKW146" s="24"/>
      <c r="PKX146" s="24"/>
      <c r="PKY146" s="24"/>
      <c r="PKZ146" s="24"/>
      <c r="PLA146" s="24"/>
      <c r="PLB146" s="24"/>
      <c r="PLC146" s="24"/>
      <c r="PLD146" s="24"/>
      <c r="PLE146" s="24"/>
      <c r="PLF146" s="24"/>
      <c r="PLG146" s="24"/>
      <c r="PLH146" s="24"/>
      <c r="PLI146" s="24"/>
      <c r="PLJ146" s="24"/>
      <c r="PLK146" s="24"/>
      <c r="PLL146" s="24"/>
      <c r="PLM146" s="24"/>
      <c r="PLN146" s="24"/>
      <c r="PLO146" s="24"/>
      <c r="PLP146" s="24"/>
      <c r="PLQ146" s="24"/>
      <c r="PLR146" s="24"/>
      <c r="PLS146" s="24"/>
      <c r="PLT146" s="24"/>
      <c r="PLU146" s="24"/>
      <c r="PLV146" s="24"/>
      <c r="PLW146" s="24"/>
      <c r="PLX146" s="24"/>
      <c r="PLY146" s="24"/>
      <c r="PLZ146" s="24"/>
      <c r="PMA146" s="24"/>
      <c r="PMB146" s="24"/>
      <c r="PMC146" s="24"/>
      <c r="PMD146" s="24"/>
      <c r="PME146" s="24"/>
      <c r="PMF146" s="24"/>
      <c r="PMG146" s="24"/>
      <c r="PMH146" s="24"/>
      <c r="PMI146" s="24"/>
      <c r="PMJ146" s="24"/>
      <c r="PMK146" s="24"/>
      <c r="PML146" s="24"/>
      <c r="PMM146" s="24"/>
      <c r="PMN146" s="24"/>
      <c r="PMO146" s="24"/>
      <c r="PMP146" s="24"/>
      <c r="PMQ146" s="24"/>
      <c r="PMR146" s="24"/>
      <c r="PMS146" s="24"/>
      <c r="PMT146" s="24"/>
      <c r="PMU146" s="24"/>
      <c r="PMV146" s="24"/>
      <c r="PMW146" s="24"/>
      <c r="PMX146" s="24"/>
      <c r="PMY146" s="24"/>
      <c r="PMZ146" s="24"/>
      <c r="PNA146" s="24"/>
      <c r="PNB146" s="24"/>
      <c r="PNC146" s="24"/>
      <c r="PND146" s="24"/>
      <c r="PNE146" s="24"/>
      <c r="PNF146" s="24"/>
      <c r="PNG146" s="24"/>
      <c r="PNH146" s="24"/>
      <c r="PNI146" s="24"/>
      <c r="PNJ146" s="24"/>
      <c r="PNK146" s="24"/>
      <c r="PNL146" s="24"/>
      <c r="PNM146" s="24"/>
      <c r="PNN146" s="24"/>
      <c r="PNO146" s="24"/>
      <c r="PNP146" s="24"/>
      <c r="PNQ146" s="24"/>
      <c r="PNR146" s="24"/>
      <c r="PNS146" s="24"/>
      <c r="PNT146" s="24"/>
      <c r="PNU146" s="24"/>
      <c r="PNV146" s="24"/>
      <c r="PNW146" s="24"/>
      <c r="PNX146" s="24"/>
      <c r="PNY146" s="24"/>
      <c r="PNZ146" s="24"/>
      <c r="POA146" s="24"/>
      <c r="POB146" s="24"/>
      <c r="POC146" s="24"/>
      <c r="POD146" s="24"/>
      <c r="POE146" s="24"/>
      <c r="POF146" s="24"/>
      <c r="POG146" s="24"/>
      <c r="POH146" s="24"/>
      <c r="POI146" s="24"/>
      <c r="POJ146" s="24"/>
      <c r="POK146" s="24"/>
      <c r="POL146" s="24"/>
      <c r="POM146" s="24"/>
      <c r="PON146" s="24"/>
      <c r="POO146" s="24"/>
      <c r="POP146" s="24"/>
      <c r="POQ146" s="24"/>
      <c r="POR146" s="24"/>
      <c r="POS146" s="24"/>
      <c r="POT146" s="24"/>
      <c r="POU146" s="24"/>
      <c r="POV146" s="24"/>
      <c r="POW146" s="24"/>
      <c r="POX146" s="24"/>
      <c r="POY146" s="24"/>
      <c r="POZ146" s="24"/>
      <c r="PPA146" s="24"/>
      <c r="PPB146" s="24"/>
      <c r="PPC146" s="24"/>
      <c r="PPD146" s="24"/>
      <c r="PPE146" s="24"/>
      <c r="PPF146" s="24"/>
      <c r="PPG146" s="24"/>
      <c r="PPH146" s="24"/>
      <c r="PPI146" s="24"/>
      <c r="PPJ146" s="24"/>
      <c r="PPK146" s="24"/>
      <c r="PPL146" s="24"/>
      <c r="PPM146" s="24"/>
      <c r="PPN146" s="24"/>
      <c r="PPO146" s="24"/>
      <c r="PPP146" s="24"/>
      <c r="PPQ146" s="24"/>
      <c r="PPR146" s="24"/>
      <c r="PPS146" s="24"/>
      <c r="PPT146" s="24"/>
      <c r="PPU146" s="24"/>
      <c r="PPV146" s="24"/>
      <c r="PPW146" s="24"/>
      <c r="PPX146" s="24"/>
      <c r="PPY146" s="24"/>
      <c r="PPZ146" s="24"/>
      <c r="PQA146" s="24"/>
      <c r="PQB146" s="24"/>
      <c r="PQC146" s="24"/>
      <c r="PQD146" s="24"/>
      <c r="PQE146" s="24"/>
      <c r="PQF146" s="24"/>
      <c r="PQG146" s="24"/>
      <c r="PQH146" s="24"/>
      <c r="PQI146" s="24"/>
      <c r="PQJ146" s="24"/>
      <c r="PQK146" s="24"/>
      <c r="PQL146" s="24"/>
      <c r="PQM146" s="24"/>
      <c r="PQN146" s="24"/>
      <c r="PQO146" s="24"/>
      <c r="PQP146" s="24"/>
      <c r="PQQ146" s="24"/>
      <c r="PQR146" s="24"/>
      <c r="PQS146" s="24"/>
      <c r="PQT146" s="24"/>
      <c r="PQU146" s="24"/>
      <c r="PQV146" s="24"/>
      <c r="PQW146" s="24"/>
      <c r="PQX146" s="24"/>
      <c r="PQY146" s="24"/>
      <c r="PQZ146" s="24"/>
      <c r="PRA146" s="24"/>
      <c r="PRB146" s="24"/>
      <c r="PRC146" s="24"/>
      <c r="PRD146" s="24"/>
      <c r="PRE146" s="24"/>
      <c r="PRF146" s="24"/>
      <c r="PRG146" s="24"/>
      <c r="PRH146" s="24"/>
      <c r="PRI146" s="24"/>
      <c r="PRJ146" s="24"/>
      <c r="PRK146" s="24"/>
      <c r="PRL146" s="24"/>
      <c r="PRM146" s="24"/>
      <c r="PRN146" s="24"/>
      <c r="PRO146" s="24"/>
      <c r="PRP146" s="24"/>
      <c r="PRQ146" s="24"/>
      <c r="PRR146" s="24"/>
      <c r="PRS146" s="24"/>
      <c r="PRT146" s="24"/>
      <c r="PRU146" s="24"/>
      <c r="PRV146" s="24"/>
      <c r="PRW146" s="24"/>
      <c r="PRX146" s="24"/>
      <c r="PRY146" s="24"/>
      <c r="PRZ146" s="24"/>
      <c r="PSA146" s="24"/>
      <c r="PSB146" s="24"/>
      <c r="PSC146" s="24"/>
      <c r="PSD146" s="24"/>
      <c r="PSE146" s="24"/>
      <c r="PSF146" s="24"/>
      <c r="PSG146" s="24"/>
      <c r="PSH146" s="24"/>
      <c r="PSI146" s="24"/>
      <c r="PSJ146" s="24"/>
      <c r="PSK146" s="24"/>
      <c r="PSL146" s="24"/>
      <c r="PSM146" s="24"/>
      <c r="PSN146" s="24"/>
      <c r="PSO146" s="24"/>
      <c r="PSP146" s="24"/>
      <c r="PSQ146" s="24"/>
      <c r="PSR146" s="24"/>
      <c r="PSS146" s="24"/>
      <c r="PST146" s="24"/>
      <c r="PSU146" s="24"/>
      <c r="PSV146" s="24"/>
      <c r="PSW146" s="24"/>
      <c r="PSX146" s="24"/>
      <c r="PSY146" s="24"/>
      <c r="PSZ146" s="24"/>
      <c r="PTA146" s="24"/>
      <c r="PTB146" s="24"/>
      <c r="PTC146" s="24"/>
      <c r="PTD146" s="24"/>
      <c r="PTE146" s="24"/>
      <c r="PTF146" s="24"/>
      <c r="PTG146" s="24"/>
      <c r="PTH146" s="24"/>
      <c r="PTI146" s="24"/>
      <c r="PTJ146" s="24"/>
      <c r="PTK146" s="24"/>
      <c r="PTL146" s="24"/>
      <c r="PTM146" s="24"/>
      <c r="PTN146" s="24"/>
      <c r="PTO146" s="24"/>
      <c r="PTP146" s="24"/>
      <c r="PTQ146" s="24"/>
      <c r="PTR146" s="24"/>
      <c r="PTS146" s="24"/>
      <c r="PTT146" s="24"/>
      <c r="PTU146" s="24"/>
      <c r="PTV146" s="24"/>
      <c r="PTW146" s="24"/>
      <c r="PTX146" s="24"/>
      <c r="PTY146" s="24"/>
      <c r="PTZ146" s="24"/>
      <c r="PUA146" s="24"/>
      <c r="PUB146" s="24"/>
      <c r="PUC146" s="24"/>
      <c r="PUD146" s="24"/>
      <c r="PUE146" s="24"/>
      <c r="PUF146" s="24"/>
      <c r="PUG146" s="24"/>
      <c r="PUH146" s="24"/>
      <c r="PUI146" s="24"/>
      <c r="PUJ146" s="24"/>
      <c r="PUK146" s="24"/>
      <c r="PUL146" s="24"/>
      <c r="PUM146" s="24"/>
      <c r="PUN146" s="24"/>
      <c r="PUO146" s="24"/>
      <c r="PUP146" s="24"/>
      <c r="PUQ146" s="24"/>
      <c r="PUR146" s="24"/>
      <c r="PUS146" s="24"/>
      <c r="PUT146" s="24"/>
      <c r="PUU146" s="24"/>
      <c r="PUV146" s="24"/>
      <c r="PUW146" s="24"/>
      <c r="PUX146" s="24"/>
      <c r="PUY146" s="24"/>
      <c r="PUZ146" s="24"/>
      <c r="PVA146" s="24"/>
      <c r="PVB146" s="24"/>
      <c r="PVC146" s="24"/>
      <c r="PVD146" s="24"/>
      <c r="PVE146" s="24"/>
      <c r="PVF146" s="24"/>
      <c r="PVG146" s="24"/>
      <c r="PVH146" s="24"/>
      <c r="PVI146" s="24"/>
      <c r="PVJ146" s="24"/>
      <c r="PVK146" s="24"/>
      <c r="PVL146" s="24"/>
      <c r="PVM146" s="24"/>
      <c r="PVN146" s="24"/>
      <c r="PVO146" s="24"/>
      <c r="PVP146" s="24"/>
      <c r="PVQ146" s="24"/>
      <c r="PVR146" s="24"/>
      <c r="PVS146" s="24"/>
      <c r="PVT146" s="24"/>
      <c r="PVU146" s="24"/>
      <c r="PVV146" s="24"/>
      <c r="PVW146" s="24"/>
      <c r="PVX146" s="24"/>
      <c r="PVY146" s="24"/>
      <c r="PVZ146" s="24"/>
      <c r="PWA146" s="24"/>
      <c r="PWB146" s="24"/>
      <c r="PWC146" s="24"/>
      <c r="PWD146" s="24"/>
      <c r="PWE146" s="24"/>
      <c r="PWF146" s="24"/>
      <c r="PWG146" s="24"/>
      <c r="PWH146" s="24"/>
      <c r="PWI146" s="24"/>
      <c r="PWJ146" s="24"/>
      <c r="PWK146" s="24"/>
      <c r="PWL146" s="24"/>
      <c r="PWM146" s="24"/>
      <c r="PWN146" s="24"/>
      <c r="PWO146" s="24"/>
      <c r="PWP146" s="24"/>
      <c r="PWQ146" s="24"/>
      <c r="PWR146" s="24"/>
      <c r="PWS146" s="24"/>
      <c r="PWT146" s="24"/>
      <c r="PWU146" s="24"/>
      <c r="PWV146" s="24"/>
      <c r="PWW146" s="24"/>
      <c r="PWX146" s="24"/>
      <c r="PWY146" s="24"/>
      <c r="PWZ146" s="24"/>
      <c r="PXA146" s="24"/>
      <c r="PXB146" s="24"/>
      <c r="PXC146" s="24"/>
      <c r="PXD146" s="24"/>
      <c r="PXE146" s="24"/>
      <c r="PXF146" s="24"/>
      <c r="PXG146" s="24"/>
      <c r="PXH146" s="24"/>
      <c r="PXI146" s="24"/>
      <c r="PXJ146" s="24"/>
      <c r="PXK146" s="24"/>
      <c r="PXL146" s="24"/>
      <c r="PXM146" s="24"/>
      <c r="PXN146" s="24"/>
      <c r="PXO146" s="24"/>
      <c r="PXP146" s="24"/>
      <c r="PXQ146" s="24"/>
      <c r="PXR146" s="24"/>
      <c r="PXS146" s="24"/>
      <c r="PXT146" s="24"/>
      <c r="PXU146" s="24"/>
      <c r="PXV146" s="24"/>
      <c r="PXW146" s="24"/>
      <c r="PXX146" s="24"/>
      <c r="PXY146" s="24"/>
      <c r="PXZ146" s="24"/>
      <c r="PYA146" s="24"/>
      <c r="PYB146" s="24"/>
      <c r="PYC146" s="24"/>
      <c r="PYD146" s="24"/>
      <c r="PYE146" s="24"/>
      <c r="PYF146" s="24"/>
      <c r="PYG146" s="24"/>
      <c r="PYH146" s="24"/>
      <c r="PYI146" s="24"/>
      <c r="PYJ146" s="24"/>
      <c r="PYK146" s="24"/>
      <c r="PYL146" s="24"/>
      <c r="PYM146" s="24"/>
      <c r="PYN146" s="24"/>
      <c r="PYO146" s="24"/>
      <c r="PYP146" s="24"/>
      <c r="PYQ146" s="24"/>
      <c r="PYR146" s="24"/>
      <c r="PYS146" s="24"/>
      <c r="PYT146" s="24"/>
      <c r="PYU146" s="24"/>
      <c r="PYV146" s="24"/>
      <c r="PYW146" s="24"/>
      <c r="PYX146" s="24"/>
      <c r="PYY146" s="24"/>
      <c r="PYZ146" s="24"/>
      <c r="PZA146" s="24"/>
      <c r="PZB146" s="24"/>
      <c r="PZC146" s="24"/>
      <c r="PZD146" s="24"/>
      <c r="PZE146" s="24"/>
      <c r="PZF146" s="24"/>
      <c r="PZG146" s="24"/>
      <c r="PZH146" s="24"/>
      <c r="PZI146" s="24"/>
      <c r="PZJ146" s="24"/>
      <c r="PZK146" s="24"/>
      <c r="PZL146" s="24"/>
      <c r="PZM146" s="24"/>
      <c r="PZN146" s="24"/>
      <c r="PZO146" s="24"/>
      <c r="PZP146" s="24"/>
      <c r="PZQ146" s="24"/>
      <c r="PZR146" s="24"/>
      <c r="PZS146" s="24"/>
      <c r="PZT146" s="24"/>
      <c r="PZU146" s="24"/>
      <c r="PZV146" s="24"/>
      <c r="PZW146" s="24"/>
      <c r="PZX146" s="24"/>
      <c r="PZY146" s="24"/>
      <c r="PZZ146" s="24"/>
      <c r="QAA146" s="24"/>
      <c r="QAB146" s="24"/>
      <c r="QAC146" s="24"/>
      <c r="QAD146" s="24"/>
      <c r="QAE146" s="24"/>
      <c r="QAF146" s="24"/>
      <c r="QAG146" s="24"/>
      <c r="QAH146" s="24"/>
      <c r="QAI146" s="24"/>
      <c r="QAJ146" s="24"/>
      <c r="QAK146" s="24"/>
      <c r="QAL146" s="24"/>
      <c r="QAM146" s="24"/>
      <c r="QAN146" s="24"/>
      <c r="QAO146" s="24"/>
      <c r="QAP146" s="24"/>
      <c r="QAQ146" s="24"/>
      <c r="QAR146" s="24"/>
      <c r="QAS146" s="24"/>
      <c r="QAT146" s="24"/>
      <c r="QAU146" s="24"/>
      <c r="QAV146" s="24"/>
      <c r="QAW146" s="24"/>
      <c r="QAX146" s="24"/>
      <c r="QAY146" s="24"/>
      <c r="QAZ146" s="24"/>
      <c r="QBA146" s="24"/>
      <c r="QBB146" s="24"/>
      <c r="QBC146" s="24"/>
      <c r="QBD146" s="24"/>
      <c r="QBE146" s="24"/>
      <c r="QBF146" s="24"/>
      <c r="QBG146" s="24"/>
      <c r="QBH146" s="24"/>
      <c r="QBI146" s="24"/>
      <c r="QBJ146" s="24"/>
      <c r="QBK146" s="24"/>
      <c r="QBL146" s="24"/>
      <c r="QBM146" s="24"/>
      <c r="QBN146" s="24"/>
      <c r="QBO146" s="24"/>
      <c r="QBP146" s="24"/>
      <c r="QBQ146" s="24"/>
      <c r="QBR146" s="24"/>
      <c r="QBS146" s="24"/>
      <c r="QBT146" s="24"/>
      <c r="QBU146" s="24"/>
      <c r="QBV146" s="24"/>
      <c r="QBW146" s="24"/>
      <c r="QBX146" s="24"/>
      <c r="QBY146" s="24"/>
      <c r="QBZ146" s="24"/>
      <c r="QCA146" s="24"/>
      <c r="QCB146" s="24"/>
      <c r="QCC146" s="24"/>
      <c r="QCD146" s="24"/>
      <c r="QCE146" s="24"/>
      <c r="QCF146" s="24"/>
      <c r="QCG146" s="24"/>
      <c r="QCH146" s="24"/>
      <c r="QCI146" s="24"/>
      <c r="QCJ146" s="24"/>
      <c r="QCK146" s="24"/>
      <c r="QCL146" s="24"/>
      <c r="QCM146" s="24"/>
      <c r="QCN146" s="24"/>
      <c r="QCO146" s="24"/>
      <c r="QCP146" s="24"/>
      <c r="QCQ146" s="24"/>
      <c r="QCR146" s="24"/>
      <c r="QCS146" s="24"/>
      <c r="QCT146" s="24"/>
      <c r="QCU146" s="24"/>
      <c r="QCV146" s="24"/>
      <c r="QCW146" s="24"/>
      <c r="QCX146" s="24"/>
      <c r="QCY146" s="24"/>
      <c r="QCZ146" s="24"/>
      <c r="QDA146" s="24"/>
      <c r="QDB146" s="24"/>
      <c r="QDC146" s="24"/>
      <c r="QDD146" s="24"/>
      <c r="QDE146" s="24"/>
      <c r="QDF146" s="24"/>
      <c r="QDG146" s="24"/>
      <c r="QDH146" s="24"/>
      <c r="QDI146" s="24"/>
      <c r="QDJ146" s="24"/>
      <c r="QDK146" s="24"/>
      <c r="QDL146" s="24"/>
      <c r="QDM146" s="24"/>
      <c r="QDN146" s="24"/>
      <c r="QDO146" s="24"/>
      <c r="QDP146" s="24"/>
      <c r="QDQ146" s="24"/>
      <c r="QDR146" s="24"/>
      <c r="QDS146" s="24"/>
      <c r="QDT146" s="24"/>
      <c r="QDU146" s="24"/>
      <c r="QDV146" s="24"/>
      <c r="QDW146" s="24"/>
      <c r="QDX146" s="24"/>
      <c r="QDY146" s="24"/>
      <c r="QDZ146" s="24"/>
      <c r="QEA146" s="24"/>
      <c r="QEB146" s="24"/>
      <c r="QEC146" s="24"/>
      <c r="QED146" s="24"/>
      <c r="QEE146" s="24"/>
      <c r="QEF146" s="24"/>
      <c r="QEG146" s="24"/>
      <c r="QEH146" s="24"/>
      <c r="QEI146" s="24"/>
      <c r="QEJ146" s="24"/>
      <c r="QEK146" s="24"/>
      <c r="QEL146" s="24"/>
      <c r="QEM146" s="24"/>
      <c r="QEN146" s="24"/>
      <c r="QEO146" s="24"/>
      <c r="QEP146" s="24"/>
      <c r="QEQ146" s="24"/>
      <c r="QER146" s="24"/>
      <c r="QES146" s="24"/>
      <c r="QET146" s="24"/>
      <c r="QEU146" s="24"/>
      <c r="QEV146" s="24"/>
      <c r="QEW146" s="24"/>
      <c r="QEX146" s="24"/>
      <c r="QEY146" s="24"/>
      <c r="QEZ146" s="24"/>
      <c r="QFA146" s="24"/>
      <c r="QFB146" s="24"/>
      <c r="QFC146" s="24"/>
      <c r="QFD146" s="24"/>
      <c r="QFE146" s="24"/>
      <c r="QFF146" s="24"/>
      <c r="QFG146" s="24"/>
      <c r="QFH146" s="24"/>
      <c r="QFI146" s="24"/>
      <c r="QFJ146" s="24"/>
      <c r="QFK146" s="24"/>
      <c r="QFL146" s="24"/>
      <c r="QFM146" s="24"/>
      <c r="QFN146" s="24"/>
      <c r="QFO146" s="24"/>
      <c r="QFP146" s="24"/>
      <c r="QFQ146" s="24"/>
      <c r="QFR146" s="24"/>
      <c r="QFS146" s="24"/>
      <c r="QFT146" s="24"/>
      <c r="QFU146" s="24"/>
      <c r="QFV146" s="24"/>
      <c r="QFW146" s="24"/>
      <c r="QFX146" s="24"/>
      <c r="QFY146" s="24"/>
      <c r="QFZ146" s="24"/>
      <c r="QGA146" s="24"/>
      <c r="QGB146" s="24"/>
      <c r="QGC146" s="24"/>
      <c r="QGD146" s="24"/>
      <c r="QGE146" s="24"/>
      <c r="QGF146" s="24"/>
      <c r="QGG146" s="24"/>
      <c r="QGH146" s="24"/>
      <c r="QGI146" s="24"/>
      <c r="QGJ146" s="24"/>
      <c r="QGK146" s="24"/>
      <c r="QGL146" s="24"/>
      <c r="QGM146" s="24"/>
      <c r="QGN146" s="24"/>
      <c r="QGO146" s="24"/>
      <c r="QGP146" s="24"/>
      <c r="QGQ146" s="24"/>
      <c r="QGR146" s="24"/>
      <c r="QGS146" s="24"/>
      <c r="QGT146" s="24"/>
      <c r="QGU146" s="24"/>
      <c r="QGV146" s="24"/>
      <c r="QGW146" s="24"/>
      <c r="QGX146" s="24"/>
      <c r="QGY146" s="24"/>
      <c r="QGZ146" s="24"/>
      <c r="QHA146" s="24"/>
      <c r="QHB146" s="24"/>
      <c r="QHC146" s="24"/>
      <c r="QHD146" s="24"/>
      <c r="QHE146" s="24"/>
      <c r="QHF146" s="24"/>
      <c r="QHG146" s="24"/>
      <c r="QHH146" s="24"/>
      <c r="QHI146" s="24"/>
      <c r="QHJ146" s="24"/>
      <c r="QHK146" s="24"/>
      <c r="QHL146" s="24"/>
      <c r="QHM146" s="24"/>
      <c r="QHN146" s="24"/>
      <c r="QHO146" s="24"/>
      <c r="QHP146" s="24"/>
      <c r="QHQ146" s="24"/>
      <c r="QHR146" s="24"/>
      <c r="QHS146" s="24"/>
      <c r="QHT146" s="24"/>
      <c r="QHU146" s="24"/>
      <c r="QHV146" s="24"/>
      <c r="QHW146" s="24"/>
      <c r="QHX146" s="24"/>
      <c r="QHY146" s="24"/>
      <c r="QHZ146" s="24"/>
      <c r="QIA146" s="24"/>
      <c r="QIB146" s="24"/>
      <c r="QIC146" s="24"/>
      <c r="QID146" s="24"/>
      <c r="QIE146" s="24"/>
      <c r="QIF146" s="24"/>
      <c r="QIG146" s="24"/>
      <c r="QIH146" s="24"/>
      <c r="QII146" s="24"/>
      <c r="QIJ146" s="24"/>
      <c r="QIK146" s="24"/>
      <c r="QIL146" s="24"/>
      <c r="QIM146" s="24"/>
      <c r="QIN146" s="24"/>
      <c r="QIO146" s="24"/>
      <c r="QIP146" s="24"/>
      <c r="QIQ146" s="24"/>
      <c r="QIR146" s="24"/>
      <c r="QIS146" s="24"/>
      <c r="QIT146" s="24"/>
      <c r="QIU146" s="24"/>
      <c r="QIV146" s="24"/>
      <c r="QIW146" s="24"/>
      <c r="QIX146" s="24"/>
      <c r="QIY146" s="24"/>
      <c r="QIZ146" s="24"/>
      <c r="QJA146" s="24"/>
      <c r="QJB146" s="24"/>
      <c r="QJC146" s="24"/>
      <c r="QJD146" s="24"/>
      <c r="QJE146" s="24"/>
      <c r="QJF146" s="24"/>
      <c r="QJG146" s="24"/>
      <c r="QJH146" s="24"/>
      <c r="QJI146" s="24"/>
      <c r="QJJ146" s="24"/>
      <c r="QJK146" s="24"/>
      <c r="QJL146" s="24"/>
      <c r="QJM146" s="24"/>
      <c r="QJN146" s="24"/>
      <c r="QJO146" s="24"/>
      <c r="QJP146" s="24"/>
      <c r="QJQ146" s="24"/>
      <c r="QJR146" s="24"/>
      <c r="QJS146" s="24"/>
      <c r="QJT146" s="24"/>
      <c r="QJU146" s="24"/>
      <c r="QJV146" s="24"/>
      <c r="QJW146" s="24"/>
      <c r="QJX146" s="24"/>
      <c r="QJY146" s="24"/>
      <c r="QJZ146" s="24"/>
      <c r="QKA146" s="24"/>
      <c r="QKB146" s="24"/>
      <c r="QKC146" s="24"/>
      <c r="QKD146" s="24"/>
      <c r="QKE146" s="24"/>
      <c r="QKF146" s="24"/>
      <c r="QKG146" s="24"/>
      <c r="QKH146" s="24"/>
      <c r="QKI146" s="24"/>
      <c r="QKJ146" s="24"/>
      <c r="QKK146" s="24"/>
      <c r="QKL146" s="24"/>
      <c r="QKM146" s="24"/>
      <c r="QKN146" s="24"/>
      <c r="QKO146" s="24"/>
      <c r="QKP146" s="24"/>
      <c r="QKQ146" s="24"/>
      <c r="QKR146" s="24"/>
      <c r="QKS146" s="24"/>
      <c r="QKT146" s="24"/>
      <c r="QKU146" s="24"/>
      <c r="QKV146" s="24"/>
      <c r="QKW146" s="24"/>
      <c r="QKX146" s="24"/>
      <c r="QKY146" s="24"/>
      <c r="QKZ146" s="24"/>
      <c r="QLA146" s="24"/>
      <c r="QLB146" s="24"/>
      <c r="QLC146" s="24"/>
      <c r="QLD146" s="24"/>
      <c r="QLE146" s="24"/>
      <c r="QLF146" s="24"/>
      <c r="QLG146" s="24"/>
      <c r="QLH146" s="24"/>
      <c r="QLI146" s="24"/>
      <c r="QLJ146" s="24"/>
      <c r="QLK146" s="24"/>
      <c r="QLL146" s="24"/>
      <c r="QLM146" s="24"/>
      <c r="QLN146" s="24"/>
      <c r="QLO146" s="24"/>
      <c r="QLP146" s="24"/>
      <c r="QLQ146" s="24"/>
      <c r="QLR146" s="24"/>
      <c r="QLS146" s="24"/>
      <c r="QLT146" s="24"/>
      <c r="QLU146" s="24"/>
      <c r="QLV146" s="24"/>
      <c r="QLW146" s="24"/>
      <c r="QLX146" s="24"/>
      <c r="QLY146" s="24"/>
      <c r="QLZ146" s="24"/>
      <c r="QMA146" s="24"/>
      <c r="QMB146" s="24"/>
      <c r="QMC146" s="24"/>
      <c r="QMD146" s="24"/>
      <c r="QME146" s="24"/>
      <c r="QMF146" s="24"/>
      <c r="QMG146" s="24"/>
      <c r="QMH146" s="24"/>
      <c r="QMI146" s="24"/>
      <c r="QMJ146" s="24"/>
      <c r="QMK146" s="24"/>
      <c r="QML146" s="24"/>
      <c r="QMM146" s="24"/>
      <c r="QMN146" s="24"/>
      <c r="QMO146" s="24"/>
      <c r="QMP146" s="24"/>
      <c r="QMQ146" s="24"/>
      <c r="QMR146" s="24"/>
      <c r="QMS146" s="24"/>
      <c r="QMT146" s="24"/>
      <c r="QMU146" s="24"/>
      <c r="QMV146" s="24"/>
      <c r="QMW146" s="24"/>
      <c r="QMX146" s="24"/>
      <c r="QMY146" s="24"/>
      <c r="QMZ146" s="24"/>
      <c r="QNA146" s="24"/>
      <c r="QNB146" s="24"/>
      <c r="QNC146" s="24"/>
      <c r="QND146" s="24"/>
      <c r="QNE146" s="24"/>
      <c r="QNF146" s="24"/>
      <c r="QNG146" s="24"/>
      <c r="QNH146" s="24"/>
      <c r="QNI146" s="24"/>
      <c r="QNJ146" s="24"/>
      <c r="QNK146" s="24"/>
      <c r="QNL146" s="24"/>
      <c r="QNM146" s="24"/>
      <c r="QNN146" s="24"/>
      <c r="QNO146" s="24"/>
      <c r="QNP146" s="24"/>
      <c r="QNQ146" s="24"/>
      <c r="QNR146" s="24"/>
      <c r="QNS146" s="24"/>
      <c r="QNT146" s="24"/>
      <c r="QNU146" s="24"/>
      <c r="QNV146" s="24"/>
      <c r="QNW146" s="24"/>
      <c r="QNX146" s="24"/>
      <c r="QNY146" s="24"/>
      <c r="QNZ146" s="24"/>
      <c r="QOA146" s="24"/>
      <c r="QOB146" s="24"/>
      <c r="QOC146" s="24"/>
      <c r="QOD146" s="24"/>
      <c r="QOE146" s="24"/>
      <c r="QOF146" s="24"/>
      <c r="QOG146" s="24"/>
      <c r="QOH146" s="24"/>
      <c r="QOI146" s="24"/>
      <c r="QOJ146" s="24"/>
      <c r="QOK146" s="24"/>
      <c r="QOL146" s="24"/>
      <c r="QOM146" s="24"/>
      <c r="QON146" s="24"/>
      <c r="QOO146" s="24"/>
      <c r="QOP146" s="24"/>
      <c r="QOQ146" s="24"/>
      <c r="QOR146" s="24"/>
      <c r="QOS146" s="24"/>
      <c r="QOT146" s="24"/>
      <c r="QOU146" s="24"/>
      <c r="QOV146" s="24"/>
      <c r="QOW146" s="24"/>
      <c r="QOX146" s="24"/>
      <c r="QOY146" s="24"/>
      <c r="QOZ146" s="24"/>
      <c r="QPA146" s="24"/>
      <c r="QPB146" s="24"/>
      <c r="QPC146" s="24"/>
      <c r="QPD146" s="24"/>
      <c r="QPE146" s="24"/>
      <c r="QPF146" s="24"/>
      <c r="QPG146" s="24"/>
      <c r="QPH146" s="24"/>
      <c r="QPI146" s="24"/>
      <c r="QPJ146" s="24"/>
      <c r="QPK146" s="24"/>
      <c r="QPL146" s="24"/>
      <c r="QPM146" s="24"/>
      <c r="QPN146" s="24"/>
      <c r="QPO146" s="24"/>
      <c r="QPP146" s="24"/>
      <c r="QPQ146" s="24"/>
      <c r="QPR146" s="24"/>
      <c r="QPS146" s="24"/>
      <c r="QPT146" s="24"/>
      <c r="QPU146" s="24"/>
      <c r="QPV146" s="24"/>
      <c r="QPW146" s="24"/>
      <c r="QPX146" s="24"/>
      <c r="QPY146" s="24"/>
      <c r="QPZ146" s="24"/>
      <c r="QQA146" s="24"/>
      <c r="QQB146" s="24"/>
      <c r="QQC146" s="24"/>
      <c r="QQD146" s="24"/>
      <c r="QQE146" s="24"/>
      <c r="QQF146" s="24"/>
      <c r="QQG146" s="24"/>
      <c r="QQH146" s="24"/>
      <c r="QQI146" s="24"/>
      <c r="QQJ146" s="24"/>
      <c r="QQK146" s="24"/>
      <c r="QQL146" s="24"/>
      <c r="QQM146" s="24"/>
      <c r="QQN146" s="24"/>
      <c r="QQO146" s="24"/>
      <c r="QQP146" s="24"/>
      <c r="QQQ146" s="24"/>
      <c r="QQR146" s="24"/>
      <c r="QQS146" s="24"/>
      <c r="QQT146" s="24"/>
      <c r="QQU146" s="24"/>
      <c r="QQV146" s="24"/>
      <c r="QQW146" s="24"/>
      <c r="QQX146" s="24"/>
      <c r="QQY146" s="24"/>
      <c r="QQZ146" s="24"/>
      <c r="QRA146" s="24"/>
      <c r="QRB146" s="24"/>
      <c r="QRC146" s="24"/>
      <c r="QRD146" s="24"/>
      <c r="QRE146" s="24"/>
      <c r="QRF146" s="24"/>
      <c r="QRG146" s="24"/>
      <c r="QRH146" s="24"/>
      <c r="QRI146" s="24"/>
      <c r="QRJ146" s="24"/>
      <c r="QRK146" s="24"/>
      <c r="QRL146" s="24"/>
      <c r="QRM146" s="24"/>
      <c r="QRN146" s="24"/>
      <c r="QRO146" s="24"/>
      <c r="QRP146" s="24"/>
      <c r="QRQ146" s="24"/>
      <c r="QRR146" s="24"/>
      <c r="QRS146" s="24"/>
      <c r="QRT146" s="24"/>
      <c r="QRU146" s="24"/>
      <c r="QRV146" s="24"/>
      <c r="QRW146" s="24"/>
      <c r="QRX146" s="24"/>
      <c r="QRY146" s="24"/>
      <c r="QRZ146" s="24"/>
      <c r="QSA146" s="24"/>
      <c r="QSB146" s="24"/>
      <c r="QSC146" s="24"/>
      <c r="QSD146" s="24"/>
      <c r="QSE146" s="24"/>
      <c r="QSF146" s="24"/>
      <c r="QSG146" s="24"/>
      <c r="QSH146" s="24"/>
      <c r="QSI146" s="24"/>
      <c r="QSJ146" s="24"/>
      <c r="QSK146" s="24"/>
      <c r="QSL146" s="24"/>
      <c r="QSM146" s="24"/>
      <c r="QSN146" s="24"/>
      <c r="QSO146" s="24"/>
      <c r="QSP146" s="24"/>
      <c r="QSQ146" s="24"/>
      <c r="QSR146" s="24"/>
      <c r="QSS146" s="24"/>
      <c r="QST146" s="24"/>
      <c r="QSU146" s="24"/>
      <c r="QSV146" s="24"/>
      <c r="QSW146" s="24"/>
      <c r="QSX146" s="24"/>
      <c r="QSY146" s="24"/>
      <c r="QSZ146" s="24"/>
      <c r="QTA146" s="24"/>
      <c r="QTB146" s="24"/>
      <c r="QTC146" s="24"/>
      <c r="QTD146" s="24"/>
      <c r="QTE146" s="24"/>
      <c r="QTF146" s="24"/>
      <c r="QTG146" s="24"/>
      <c r="QTH146" s="24"/>
      <c r="QTI146" s="24"/>
      <c r="QTJ146" s="24"/>
      <c r="QTK146" s="24"/>
      <c r="QTL146" s="24"/>
      <c r="QTM146" s="24"/>
      <c r="QTN146" s="24"/>
      <c r="QTO146" s="24"/>
      <c r="QTP146" s="24"/>
      <c r="QTQ146" s="24"/>
      <c r="QTR146" s="24"/>
      <c r="QTS146" s="24"/>
      <c r="QTT146" s="24"/>
      <c r="QTU146" s="24"/>
      <c r="QTV146" s="24"/>
      <c r="QTW146" s="24"/>
      <c r="QTX146" s="24"/>
      <c r="QTY146" s="24"/>
      <c r="QTZ146" s="24"/>
      <c r="QUA146" s="24"/>
      <c r="QUB146" s="24"/>
      <c r="QUC146" s="24"/>
      <c r="QUD146" s="24"/>
      <c r="QUE146" s="24"/>
      <c r="QUF146" s="24"/>
      <c r="QUG146" s="24"/>
      <c r="QUH146" s="24"/>
      <c r="QUI146" s="24"/>
      <c r="QUJ146" s="24"/>
      <c r="QUK146" s="24"/>
      <c r="QUL146" s="24"/>
      <c r="QUM146" s="24"/>
      <c r="QUN146" s="24"/>
      <c r="QUO146" s="24"/>
      <c r="QUP146" s="24"/>
      <c r="QUQ146" s="24"/>
      <c r="QUR146" s="24"/>
      <c r="QUS146" s="24"/>
      <c r="QUT146" s="24"/>
      <c r="QUU146" s="24"/>
      <c r="QUV146" s="24"/>
      <c r="QUW146" s="24"/>
      <c r="QUX146" s="24"/>
      <c r="QUY146" s="24"/>
      <c r="QUZ146" s="24"/>
      <c r="QVA146" s="24"/>
      <c r="QVB146" s="24"/>
      <c r="QVC146" s="24"/>
      <c r="QVD146" s="24"/>
      <c r="QVE146" s="24"/>
      <c r="QVF146" s="24"/>
      <c r="QVG146" s="24"/>
      <c r="QVH146" s="24"/>
      <c r="QVI146" s="24"/>
      <c r="QVJ146" s="24"/>
      <c r="QVK146" s="24"/>
      <c r="QVL146" s="24"/>
      <c r="QVM146" s="24"/>
      <c r="QVN146" s="24"/>
      <c r="QVO146" s="24"/>
      <c r="QVP146" s="24"/>
      <c r="QVQ146" s="24"/>
      <c r="QVR146" s="24"/>
      <c r="QVS146" s="24"/>
      <c r="QVT146" s="24"/>
      <c r="QVU146" s="24"/>
      <c r="QVV146" s="24"/>
      <c r="QVW146" s="24"/>
      <c r="QVX146" s="24"/>
      <c r="QVY146" s="24"/>
      <c r="QVZ146" s="24"/>
      <c r="QWA146" s="24"/>
      <c r="QWB146" s="24"/>
      <c r="QWC146" s="24"/>
      <c r="QWD146" s="24"/>
      <c r="QWE146" s="24"/>
      <c r="QWF146" s="24"/>
      <c r="QWG146" s="24"/>
      <c r="QWH146" s="24"/>
      <c r="QWI146" s="24"/>
      <c r="QWJ146" s="24"/>
      <c r="QWK146" s="24"/>
      <c r="QWL146" s="24"/>
      <c r="QWM146" s="24"/>
      <c r="QWN146" s="24"/>
      <c r="QWO146" s="24"/>
      <c r="QWP146" s="24"/>
      <c r="QWQ146" s="24"/>
      <c r="QWR146" s="24"/>
      <c r="QWS146" s="24"/>
      <c r="QWT146" s="24"/>
      <c r="QWU146" s="24"/>
      <c r="QWV146" s="24"/>
      <c r="QWW146" s="24"/>
      <c r="QWX146" s="24"/>
      <c r="QWY146" s="24"/>
      <c r="QWZ146" s="24"/>
      <c r="QXA146" s="24"/>
      <c r="QXB146" s="24"/>
      <c r="QXC146" s="24"/>
      <c r="QXD146" s="24"/>
      <c r="QXE146" s="24"/>
      <c r="QXF146" s="24"/>
      <c r="QXG146" s="24"/>
      <c r="QXH146" s="24"/>
      <c r="QXI146" s="24"/>
      <c r="QXJ146" s="24"/>
      <c r="QXK146" s="24"/>
      <c r="QXL146" s="24"/>
      <c r="QXM146" s="24"/>
      <c r="QXN146" s="24"/>
      <c r="QXO146" s="24"/>
      <c r="QXP146" s="24"/>
      <c r="QXQ146" s="24"/>
      <c r="QXR146" s="24"/>
      <c r="QXS146" s="24"/>
      <c r="QXT146" s="24"/>
      <c r="QXU146" s="24"/>
      <c r="QXV146" s="24"/>
      <c r="QXW146" s="24"/>
      <c r="QXX146" s="24"/>
      <c r="QXY146" s="24"/>
      <c r="QXZ146" s="24"/>
      <c r="QYA146" s="24"/>
      <c r="QYB146" s="24"/>
      <c r="QYC146" s="24"/>
      <c r="QYD146" s="24"/>
      <c r="QYE146" s="24"/>
      <c r="QYF146" s="24"/>
      <c r="QYG146" s="24"/>
      <c r="QYH146" s="24"/>
      <c r="QYI146" s="24"/>
      <c r="QYJ146" s="24"/>
      <c r="QYK146" s="24"/>
      <c r="QYL146" s="24"/>
      <c r="QYM146" s="24"/>
      <c r="QYN146" s="24"/>
      <c r="QYO146" s="24"/>
      <c r="QYP146" s="24"/>
      <c r="QYQ146" s="24"/>
      <c r="QYR146" s="24"/>
      <c r="QYS146" s="24"/>
      <c r="QYT146" s="24"/>
      <c r="QYU146" s="24"/>
      <c r="QYV146" s="24"/>
      <c r="QYW146" s="24"/>
      <c r="QYX146" s="24"/>
      <c r="QYY146" s="24"/>
      <c r="QYZ146" s="24"/>
      <c r="QZA146" s="24"/>
      <c r="QZB146" s="24"/>
      <c r="QZC146" s="24"/>
      <c r="QZD146" s="24"/>
      <c r="QZE146" s="24"/>
      <c r="QZF146" s="24"/>
      <c r="QZG146" s="24"/>
      <c r="QZH146" s="24"/>
      <c r="QZI146" s="24"/>
      <c r="QZJ146" s="24"/>
      <c r="QZK146" s="24"/>
      <c r="QZL146" s="24"/>
      <c r="QZM146" s="24"/>
      <c r="QZN146" s="24"/>
      <c r="QZO146" s="24"/>
      <c r="QZP146" s="24"/>
      <c r="QZQ146" s="24"/>
      <c r="QZR146" s="24"/>
      <c r="QZS146" s="24"/>
      <c r="QZT146" s="24"/>
      <c r="QZU146" s="24"/>
      <c r="QZV146" s="24"/>
      <c r="QZW146" s="24"/>
      <c r="QZX146" s="24"/>
      <c r="QZY146" s="24"/>
      <c r="QZZ146" s="24"/>
      <c r="RAA146" s="24"/>
      <c r="RAB146" s="24"/>
      <c r="RAC146" s="24"/>
      <c r="RAD146" s="24"/>
      <c r="RAE146" s="24"/>
      <c r="RAF146" s="24"/>
      <c r="RAG146" s="24"/>
      <c r="RAH146" s="24"/>
      <c r="RAI146" s="24"/>
      <c r="RAJ146" s="24"/>
      <c r="RAK146" s="24"/>
      <c r="RAL146" s="24"/>
      <c r="RAM146" s="24"/>
      <c r="RAN146" s="24"/>
      <c r="RAO146" s="24"/>
      <c r="RAP146" s="24"/>
      <c r="RAQ146" s="24"/>
      <c r="RAR146" s="24"/>
      <c r="RAS146" s="24"/>
      <c r="RAT146" s="24"/>
      <c r="RAU146" s="24"/>
      <c r="RAV146" s="24"/>
      <c r="RAW146" s="24"/>
      <c r="RAX146" s="24"/>
      <c r="RAY146" s="24"/>
      <c r="RAZ146" s="24"/>
      <c r="RBA146" s="24"/>
      <c r="RBB146" s="24"/>
      <c r="RBC146" s="24"/>
      <c r="RBD146" s="24"/>
      <c r="RBE146" s="24"/>
      <c r="RBF146" s="24"/>
      <c r="RBG146" s="24"/>
      <c r="RBH146" s="24"/>
      <c r="RBI146" s="24"/>
      <c r="RBJ146" s="24"/>
      <c r="RBK146" s="24"/>
      <c r="RBL146" s="24"/>
      <c r="RBM146" s="24"/>
      <c r="RBN146" s="24"/>
      <c r="RBO146" s="24"/>
      <c r="RBP146" s="24"/>
      <c r="RBQ146" s="24"/>
      <c r="RBR146" s="24"/>
      <c r="RBS146" s="24"/>
      <c r="RBT146" s="24"/>
      <c r="RBU146" s="24"/>
      <c r="RBV146" s="24"/>
      <c r="RBW146" s="24"/>
      <c r="RBX146" s="24"/>
      <c r="RBY146" s="24"/>
      <c r="RBZ146" s="24"/>
      <c r="RCA146" s="24"/>
      <c r="RCB146" s="24"/>
      <c r="RCC146" s="24"/>
      <c r="RCD146" s="24"/>
      <c r="RCE146" s="24"/>
      <c r="RCF146" s="24"/>
      <c r="RCG146" s="24"/>
      <c r="RCH146" s="24"/>
      <c r="RCI146" s="24"/>
      <c r="RCJ146" s="24"/>
      <c r="RCK146" s="24"/>
      <c r="RCL146" s="24"/>
      <c r="RCM146" s="24"/>
      <c r="RCN146" s="24"/>
      <c r="RCO146" s="24"/>
      <c r="RCP146" s="24"/>
      <c r="RCQ146" s="24"/>
      <c r="RCR146" s="24"/>
      <c r="RCS146" s="24"/>
      <c r="RCT146" s="24"/>
      <c r="RCU146" s="24"/>
      <c r="RCV146" s="24"/>
      <c r="RCW146" s="24"/>
      <c r="RCX146" s="24"/>
      <c r="RCY146" s="24"/>
      <c r="RCZ146" s="24"/>
      <c r="RDA146" s="24"/>
      <c r="RDB146" s="24"/>
      <c r="RDC146" s="24"/>
      <c r="RDD146" s="24"/>
      <c r="RDE146" s="24"/>
      <c r="RDF146" s="24"/>
      <c r="RDG146" s="24"/>
      <c r="RDH146" s="24"/>
      <c r="RDI146" s="24"/>
      <c r="RDJ146" s="24"/>
      <c r="RDK146" s="24"/>
      <c r="RDL146" s="24"/>
      <c r="RDM146" s="24"/>
      <c r="RDN146" s="24"/>
      <c r="RDO146" s="24"/>
      <c r="RDP146" s="24"/>
      <c r="RDQ146" s="24"/>
      <c r="RDR146" s="24"/>
      <c r="RDS146" s="24"/>
      <c r="RDT146" s="24"/>
      <c r="RDU146" s="24"/>
      <c r="RDV146" s="24"/>
      <c r="RDW146" s="24"/>
      <c r="RDX146" s="24"/>
      <c r="RDY146" s="24"/>
      <c r="RDZ146" s="24"/>
      <c r="REA146" s="24"/>
      <c r="REB146" s="24"/>
      <c r="REC146" s="24"/>
      <c r="RED146" s="24"/>
      <c r="REE146" s="24"/>
      <c r="REF146" s="24"/>
      <c r="REG146" s="24"/>
      <c r="REH146" s="24"/>
      <c r="REI146" s="24"/>
      <c r="REJ146" s="24"/>
      <c r="REK146" s="24"/>
      <c r="REL146" s="24"/>
      <c r="REM146" s="24"/>
      <c r="REN146" s="24"/>
      <c r="REO146" s="24"/>
      <c r="REP146" s="24"/>
      <c r="REQ146" s="24"/>
      <c r="RER146" s="24"/>
      <c r="RES146" s="24"/>
      <c r="RET146" s="24"/>
      <c r="REU146" s="24"/>
      <c r="REV146" s="24"/>
      <c r="REW146" s="24"/>
      <c r="REX146" s="24"/>
      <c r="REY146" s="24"/>
      <c r="REZ146" s="24"/>
      <c r="RFA146" s="24"/>
      <c r="RFB146" s="24"/>
      <c r="RFC146" s="24"/>
      <c r="RFD146" s="24"/>
      <c r="RFE146" s="24"/>
      <c r="RFF146" s="24"/>
      <c r="RFG146" s="24"/>
      <c r="RFH146" s="24"/>
      <c r="RFI146" s="24"/>
      <c r="RFJ146" s="24"/>
      <c r="RFK146" s="24"/>
      <c r="RFL146" s="24"/>
      <c r="RFM146" s="24"/>
      <c r="RFN146" s="24"/>
      <c r="RFO146" s="24"/>
      <c r="RFP146" s="24"/>
      <c r="RFQ146" s="24"/>
      <c r="RFR146" s="24"/>
      <c r="RFS146" s="24"/>
      <c r="RFT146" s="24"/>
      <c r="RFU146" s="24"/>
      <c r="RFV146" s="24"/>
      <c r="RFW146" s="24"/>
      <c r="RFX146" s="24"/>
      <c r="RFY146" s="24"/>
      <c r="RFZ146" s="24"/>
      <c r="RGA146" s="24"/>
      <c r="RGB146" s="24"/>
      <c r="RGC146" s="24"/>
      <c r="RGD146" s="24"/>
      <c r="RGE146" s="24"/>
      <c r="RGF146" s="24"/>
      <c r="RGG146" s="24"/>
      <c r="RGH146" s="24"/>
      <c r="RGI146" s="24"/>
      <c r="RGJ146" s="24"/>
      <c r="RGK146" s="24"/>
      <c r="RGL146" s="24"/>
      <c r="RGM146" s="24"/>
      <c r="RGN146" s="24"/>
      <c r="RGO146" s="24"/>
      <c r="RGP146" s="24"/>
      <c r="RGQ146" s="24"/>
      <c r="RGR146" s="24"/>
      <c r="RGS146" s="24"/>
      <c r="RGT146" s="24"/>
      <c r="RGU146" s="24"/>
      <c r="RGV146" s="24"/>
      <c r="RGW146" s="24"/>
      <c r="RGX146" s="24"/>
      <c r="RGY146" s="24"/>
      <c r="RGZ146" s="24"/>
      <c r="RHA146" s="24"/>
      <c r="RHB146" s="24"/>
      <c r="RHC146" s="24"/>
      <c r="RHD146" s="24"/>
      <c r="RHE146" s="24"/>
      <c r="RHF146" s="24"/>
      <c r="RHG146" s="24"/>
      <c r="RHH146" s="24"/>
      <c r="RHI146" s="24"/>
      <c r="RHJ146" s="24"/>
      <c r="RHK146" s="24"/>
      <c r="RHL146" s="24"/>
      <c r="RHM146" s="24"/>
      <c r="RHN146" s="24"/>
      <c r="RHO146" s="24"/>
      <c r="RHP146" s="24"/>
      <c r="RHQ146" s="24"/>
      <c r="RHR146" s="24"/>
      <c r="RHS146" s="24"/>
      <c r="RHT146" s="24"/>
      <c r="RHU146" s="24"/>
      <c r="RHV146" s="24"/>
      <c r="RHW146" s="24"/>
      <c r="RHX146" s="24"/>
      <c r="RHY146" s="24"/>
      <c r="RHZ146" s="24"/>
      <c r="RIA146" s="24"/>
      <c r="RIB146" s="24"/>
      <c r="RIC146" s="24"/>
      <c r="RID146" s="24"/>
      <c r="RIE146" s="24"/>
      <c r="RIF146" s="24"/>
      <c r="RIG146" s="24"/>
      <c r="RIH146" s="24"/>
      <c r="RII146" s="24"/>
      <c r="RIJ146" s="24"/>
      <c r="RIK146" s="24"/>
      <c r="RIL146" s="24"/>
      <c r="RIM146" s="24"/>
      <c r="RIN146" s="24"/>
      <c r="RIO146" s="24"/>
      <c r="RIP146" s="24"/>
      <c r="RIQ146" s="24"/>
      <c r="RIR146" s="24"/>
      <c r="RIS146" s="24"/>
      <c r="RIT146" s="24"/>
      <c r="RIU146" s="24"/>
      <c r="RIV146" s="24"/>
      <c r="RIW146" s="24"/>
      <c r="RIX146" s="24"/>
      <c r="RIY146" s="24"/>
      <c r="RIZ146" s="24"/>
      <c r="RJA146" s="24"/>
      <c r="RJB146" s="24"/>
      <c r="RJC146" s="24"/>
      <c r="RJD146" s="24"/>
      <c r="RJE146" s="24"/>
      <c r="RJF146" s="24"/>
      <c r="RJG146" s="24"/>
      <c r="RJH146" s="24"/>
      <c r="RJI146" s="24"/>
      <c r="RJJ146" s="24"/>
      <c r="RJK146" s="24"/>
      <c r="RJL146" s="24"/>
      <c r="RJM146" s="24"/>
      <c r="RJN146" s="24"/>
      <c r="RJO146" s="24"/>
      <c r="RJP146" s="24"/>
      <c r="RJQ146" s="24"/>
      <c r="RJR146" s="24"/>
      <c r="RJS146" s="24"/>
      <c r="RJT146" s="24"/>
      <c r="RJU146" s="24"/>
      <c r="RJV146" s="24"/>
      <c r="RJW146" s="24"/>
      <c r="RJX146" s="24"/>
      <c r="RJY146" s="24"/>
      <c r="RJZ146" s="24"/>
      <c r="RKA146" s="24"/>
      <c r="RKB146" s="24"/>
      <c r="RKC146" s="24"/>
      <c r="RKD146" s="24"/>
      <c r="RKE146" s="24"/>
      <c r="RKF146" s="24"/>
      <c r="RKG146" s="24"/>
      <c r="RKH146" s="24"/>
      <c r="RKI146" s="24"/>
      <c r="RKJ146" s="24"/>
      <c r="RKK146" s="24"/>
      <c r="RKL146" s="24"/>
      <c r="RKM146" s="24"/>
      <c r="RKN146" s="24"/>
      <c r="RKO146" s="24"/>
      <c r="RKP146" s="24"/>
      <c r="RKQ146" s="24"/>
      <c r="RKR146" s="24"/>
      <c r="RKS146" s="24"/>
      <c r="RKT146" s="24"/>
      <c r="RKU146" s="24"/>
      <c r="RKV146" s="24"/>
      <c r="RKW146" s="24"/>
      <c r="RKX146" s="24"/>
      <c r="RKY146" s="24"/>
      <c r="RKZ146" s="24"/>
      <c r="RLA146" s="24"/>
      <c r="RLB146" s="24"/>
      <c r="RLC146" s="24"/>
      <c r="RLD146" s="24"/>
      <c r="RLE146" s="24"/>
      <c r="RLF146" s="24"/>
      <c r="RLG146" s="24"/>
      <c r="RLH146" s="24"/>
      <c r="RLI146" s="24"/>
      <c r="RLJ146" s="24"/>
      <c r="RLK146" s="24"/>
      <c r="RLL146" s="24"/>
      <c r="RLM146" s="24"/>
      <c r="RLN146" s="24"/>
      <c r="RLO146" s="24"/>
      <c r="RLP146" s="24"/>
      <c r="RLQ146" s="24"/>
      <c r="RLR146" s="24"/>
      <c r="RLS146" s="24"/>
      <c r="RLT146" s="24"/>
      <c r="RLU146" s="24"/>
      <c r="RLV146" s="24"/>
      <c r="RLW146" s="24"/>
      <c r="RLX146" s="24"/>
      <c r="RLY146" s="24"/>
      <c r="RLZ146" s="24"/>
      <c r="RMA146" s="24"/>
      <c r="RMB146" s="24"/>
      <c r="RMC146" s="24"/>
      <c r="RMD146" s="24"/>
      <c r="RME146" s="24"/>
      <c r="RMF146" s="24"/>
      <c r="RMG146" s="24"/>
      <c r="RMH146" s="24"/>
      <c r="RMI146" s="24"/>
      <c r="RMJ146" s="24"/>
      <c r="RMK146" s="24"/>
      <c r="RML146" s="24"/>
      <c r="RMM146" s="24"/>
      <c r="RMN146" s="24"/>
      <c r="RMO146" s="24"/>
      <c r="RMP146" s="24"/>
      <c r="RMQ146" s="24"/>
      <c r="RMR146" s="24"/>
      <c r="RMS146" s="24"/>
      <c r="RMT146" s="24"/>
      <c r="RMU146" s="24"/>
      <c r="RMV146" s="24"/>
      <c r="RMW146" s="24"/>
      <c r="RMX146" s="24"/>
      <c r="RMY146" s="24"/>
      <c r="RMZ146" s="24"/>
      <c r="RNA146" s="24"/>
      <c r="RNB146" s="24"/>
      <c r="RNC146" s="24"/>
      <c r="RND146" s="24"/>
      <c r="RNE146" s="24"/>
      <c r="RNF146" s="24"/>
      <c r="RNG146" s="24"/>
      <c r="RNH146" s="24"/>
      <c r="RNI146" s="24"/>
      <c r="RNJ146" s="24"/>
      <c r="RNK146" s="24"/>
      <c r="RNL146" s="24"/>
      <c r="RNM146" s="24"/>
      <c r="RNN146" s="24"/>
      <c r="RNO146" s="24"/>
      <c r="RNP146" s="24"/>
      <c r="RNQ146" s="24"/>
      <c r="RNR146" s="24"/>
      <c r="RNS146" s="24"/>
      <c r="RNT146" s="24"/>
      <c r="RNU146" s="24"/>
      <c r="RNV146" s="24"/>
      <c r="RNW146" s="24"/>
      <c r="RNX146" s="24"/>
      <c r="RNY146" s="24"/>
      <c r="RNZ146" s="24"/>
      <c r="ROA146" s="24"/>
      <c r="ROB146" s="24"/>
      <c r="ROC146" s="24"/>
      <c r="ROD146" s="24"/>
      <c r="ROE146" s="24"/>
      <c r="ROF146" s="24"/>
      <c r="ROG146" s="24"/>
      <c r="ROH146" s="24"/>
      <c r="ROI146" s="24"/>
      <c r="ROJ146" s="24"/>
      <c r="ROK146" s="24"/>
      <c r="ROL146" s="24"/>
      <c r="ROM146" s="24"/>
      <c r="RON146" s="24"/>
      <c r="ROO146" s="24"/>
      <c r="ROP146" s="24"/>
      <c r="ROQ146" s="24"/>
      <c r="ROR146" s="24"/>
      <c r="ROS146" s="24"/>
      <c r="ROT146" s="24"/>
      <c r="ROU146" s="24"/>
      <c r="ROV146" s="24"/>
      <c r="ROW146" s="24"/>
      <c r="ROX146" s="24"/>
      <c r="ROY146" s="24"/>
      <c r="ROZ146" s="24"/>
      <c r="RPA146" s="24"/>
      <c r="RPB146" s="24"/>
      <c r="RPC146" s="24"/>
      <c r="RPD146" s="24"/>
      <c r="RPE146" s="24"/>
      <c r="RPF146" s="24"/>
      <c r="RPG146" s="24"/>
      <c r="RPH146" s="24"/>
      <c r="RPI146" s="24"/>
      <c r="RPJ146" s="24"/>
      <c r="RPK146" s="24"/>
      <c r="RPL146" s="24"/>
      <c r="RPM146" s="24"/>
      <c r="RPN146" s="24"/>
      <c r="RPO146" s="24"/>
      <c r="RPP146" s="24"/>
      <c r="RPQ146" s="24"/>
      <c r="RPR146" s="24"/>
      <c r="RPS146" s="24"/>
      <c r="RPT146" s="24"/>
      <c r="RPU146" s="24"/>
      <c r="RPV146" s="24"/>
      <c r="RPW146" s="24"/>
      <c r="RPX146" s="24"/>
      <c r="RPY146" s="24"/>
      <c r="RPZ146" s="24"/>
      <c r="RQA146" s="24"/>
      <c r="RQB146" s="24"/>
      <c r="RQC146" s="24"/>
      <c r="RQD146" s="24"/>
      <c r="RQE146" s="24"/>
      <c r="RQF146" s="24"/>
      <c r="RQG146" s="24"/>
      <c r="RQH146" s="24"/>
      <c r="RQI146" s="24"/>
      <c r="RQJ146" s="24"/>
      <c r="RQK146" s="24"/>
      <c r="RQL146" s="24"/>
      <c r="RQM146" s="24"/>
      <c r="RQN146" s="24"/>
      <c r="RQO146" s="24"/>
      <c r="RQP146" s="24"/>
      <c r="RQQ146" s="24"/>
      <c r="RQR146" s="24"/>
      <c r="RQS146" s="24"/>
      <c r="RQT146" s="24"/>
      <c r="RQU146" s="24"/>
      <c r="RQV146" s="24"/>
      <c r="RQW146" s="24"/>
      <c r="RQX146" s="24"/>
      <c r="RQY146" s="24"/>
      <c r="RQZ146" s="24"/>
      <c r="RRA146" s="24"/>
      <c r="RRB146" s="24"/>
      <c r="RRC146" s="24"/>
      <c r="RRD146" s="24"/>
      <c r="RRE146" s="24"/>
      <c r="RRF146" s="24"/>
      <c r="RRG146" s="24"/>
      <c r="RRH146" s="24"/>
      <c r="RRI146" s="24"/>
      <c r="RRJ146" s="24"/>
      <c r="RRK146" s="24"/>
      <c r="RRL146" s="24"/>
      <c r="RRM146" s="24"/>
      <c r="RRN146" s="24"/>
      <c r="RRO146" s="24"/>
      <c r="RRP146" s="24"/>
      <c r="RRQ146" s="24"/>
      <c r="RRR146" s="24"/>
      <c r="RRS146" s="24"/>
      <c r="RRT146" s="24"/>
      <c r="RRU146" s="24"/>
      <c r="RRV146" s="24"/>
      <c r="RRW146" s="24"/>
      <c r="RRX146" s="24"/>
      <c r="RRY146" s="24"/>
      <c r="RRZ146" s="24"/>
      <c r="RSA146" s="24"/>
      <c r="RSB146" s="24"/>
      <c r="RSC146" s="24"/>
      <c r="RSD146" s="24"/>
      <c r="RSE146" s="24"/>
      <c r="RSF146" s="24"/>
      <c r="RSG146" s="24"/>
      <c r="RSH146" s="24"/>
      <c r="RSI146" s="24"/>
      <c r="RSJ146" s="24"/>
      <c r="RSK146" s="24"/>
      <c r="RSL146" s="24"/>
      <c r="RSM146" s="24"/>
      <c r="RSN146" s="24"/>
      <c r="RSO146" s="24"/>
      <c r="RSP146" s="24"/>
      <c r="RSQ146" s="24"/>
      <c r="RSR146" s="24"/>
      <c r="RSS146" s="24"/>
      <c r="RST146" s="24"/>
      <c r="RSU146" s="24"/>
      <c r="RSV146" s="24"/>
      <c r="RSW146" s="24"/>
      <c r="RSX146" s="24"/>
      <c r="RSY146" s="24"/>
      <c r="RSZ146" s="24"/>
      <c r="RTA146" s="24"/>
      <c r="RTB146" s="24"/>
      <c r="RTC146" s="24"/>
      <c r="RTD146" s="24"/>
      <c r="RTE146" s="24"/>
      <c r="RTF146" s="24"/>
      <c r="RTG146" s="24"/>
      <c r="RTH146" s="24"/>
      <c r="RTI146" s="24"/>
      <c r="RTJ146" s="24"/>
      <c r="RTK146" s="24"/>
      <c r="RTL146" s="24"/>
      <c r="RTM146" s="24"/>
      <c r="RTN146" s="24"/>
      <c r="RTO146" s="24"/>
      <c r="RTP146" s="24"/>
      <c r="RTQ146" s="24"/>
      <c r="RTR146" s="24"/>
      <c r="RTS146" s="24"/>
      <c r="RTT146" s="24"/>
      <c r="RTU146" s="24"/>
      <c r="RTV146" s="24"/>
      <c r="RTW146" s="24"/>
      <c r="RTX146" s="24"/>
      <c r="RTY146" s="24"/>
      <c r="RTZ146" s="24"/>
      <c r="RUA146" s="24"/>
      <c r="RUB146" s="24"/>
      <c r="RUC146" s="24"/>
      <c r="RUD146" s="24"/>
      <c r="RUE146" s="24"/>
      <c r="RUF146" s="24"/>
      <c r="RUG146" s="24"/>
      <c r="RUH146" s="24"/>
      <c r="RUI146" s="24"/>
      <c r="RUJ146" s="24"/>
      <c r="RUK146" s="24"/>
      <c r="RUL146" s="24"/>
      <c r="RUM146" s="24"/>
      <c r="RUN146" s="24"/>
      <c r="RUO146" s="24"/>
      <c r="RUP146" s="24"/>
      <c r="RUQ146" s="24"/>
      <c r="RUR146" s="24"/>
      <c r="RUS146" s="24"/>
      <c r="RUT146" s="24"/>
      <c r="RUU146" s="24"/>
      <c r="RUV146" s="24"/>
      <c r="RUW146" s="24"/>
      <c r="RUX146" s="24"/>
      <c r="RUY146" s="24"/>
      <c r="RUZ146" s="24"/>
      <c r="RVA146" s="24"/>
      <c r="RVB146" s="24"/>
      <c r="RVC146" s="24"/>
      <c r="RVD146" s="24"/>
      <c r="RVE146" s="24"/>
      <c r="RVF146" s="24"/>
      <c r="RVG146" s="24"/>
      <c r="RVH146" s="24"/>
      <c r="RVI146" s="24"/>
      <c r="RVJ146" s="24"/>
      <c r="RVK146" s="24"/>
      <c r="RVL146" s="24"/>
      <c r="RVM146" s="24"/>
      <c r="RVN146" s="24"/>
      <c r="RVO146" s="24"/>
      <c r="RVP146" s="24"/>
      <c r="RVQ146" s="24"/>
      <c r="RVR146" s="24"/>
      <c r="RVS146" s="24"/>
      <c r="RVT146" s="24"/>
      <c r="RVU146" s="24"/>
      <c r="RVV146" s="24"/>
      <c r="RVW146" s="24"/>
      <c r="RVX146" s="24"/>
      <c r="RVY146" s="24"/>
      <c r="RVZ146" s="24"/>
      <c r="RWA146" s="24"/>
      <c r="RWB146" s="24"/>
      <c r="RWC146" s="24"/>
      <c r="RWD146" s="24"/>
      <c r="RWE146" s="24"/>
      <c r="RWF146" s="24"/>
      <c r="RWG146" s="24"/>
      <c r="RWH146" s="24"/>
      <c r="RWI146" s="24"/>
      <c r="RWJ146" s="24"/>
      <c r="RWK146" s="24"/>
      <c r="RWL146" s="24"/>
      <c r="RWM146" s="24"/>
      <c r="RWN146" s="24"/>
      <c r="RWO146" s="24"/>
      <c r="RWP146" s="24"/>
      <c r="RWQ146" s="24"/>
      <c r="RWR146" s="24"/>
      <c r="RWS146" s="24"/>
      <c r="RWT146" s="24"/>
      <c r="RWU146" s="24"/>
      <c r="RWV146" s="24"/>
      <c r="RWW146" s="24"/>
      <c r="RWX146" s="24"/>
      <c r="RWY146" s="24"/>
      <c r="RWZ146" s="24"/>
      <c r="RXA146" s="24"/>
      <c r="RXB146" s="24"/>
      <c r="RXC146" s="24"/>
      <c r="RXD146" s="24"/>
      <c r="RXE146" s="24"/>
      <c r="RXF146" s="24"/>
      <c r="RXG146" s="24"/>
      <c r="RXH146" s="24"/>
      <c r="RXI146" s="24"/>
      <c r="RXJ146" s="24"/>
      <c r="RXK146" s="24"/>
      <c r="RXL146" s="24"/>
      <c r="RXM146" s="24"/>
      <c r="RXN146" s="24"/>
      <c r="RXO146" s="24"/>
      <c r="RXP146" s="24"/>
      <c r="RXQ146" s="24"/>
      <c r="RXR146" s="24"/>
      <c r="RXS146" s="24"/>
      <c r="RXT146" s="24"/>
      <c r="RXU146" s="24"/>
      <c r="RXV146" s="24"/>
      <c r="RXW146" s="24"/>
      <c r="RXX146" s="24"/>
      <c r="RXY146" s="24"/>
      <c r="RXZ146" s="24"/>
      <c r="RYA146" s="24"/>
      <c r="RYB146" s="24"/>
      <c r="RYC146" s="24"/>
      <c r="RYD146" s="24"/>
      <c r="RYE146" s="24"/>
      <c r="RYF146" s="24"/>
      <c r="RYG146" s="24"/>
      <c r="RYH146" s="24"/>
      <c r="RYI146" s="24"/>
      <c r="RYJ146" s="24"/>
      <c r="RYK146" s="24"/>
      <c r="RYL146" s="24"/>
      <c r="RYM146" s="24"/>
      <c r="RYN146" s="24"/>
      <c r="RYO146" s="24"/>
      <c r="RYP146" s="24"/>
      <c r="RYQ146" s="24"/>
      <c r="RYR146" s="24"/>
      <c r="RYS146" s="24"/>
      <c r="RYT146" s="24"/>
      <c r="RYU146" s="24"/>
      <c r="RYV146" s="24"/>
      <c r="RYW146" s="24"/>
      <c r="RYX146" s="24"/>
      <c r="RYY146" s="24"/>
      <c r="RYZ146" s="24"/>
      <c r="RZA146" s="24"/>
      <c r="RZB146" s="24"/>
      <c r="RZC146" s="24"/>
      <c r="RZD146" s="24"/>
      <c r="RZE146" s="24"/>
      <c r="RZF146" s="24"/>
      <c r="RZG146" s="24"/>
      <c r="RZH146" s="24"/>
      <c r="RZI146" s="24"/>
      <c r="RZJ146" s="24"/>
      <c r="RZK146" s="24"/>
      <c r="RZL146" s="24"/>
      <c r="RZM146" s="24"/>
      <c r="RZN146" s="24"/>
      <c r="RZO146" s="24"/>
      <c r="RZP146" s="24"/>
      <c r="RZQ146" s="24"/>
      <c r="RZR146" s="24"/>
      <c r="RZS146" s="24"/>
      <c r="RZT146" s="24"/>
      <c r="RZU146" s="24"/>
      <c r="RZV146" s="24"/>
      <c r="RZW146" s="24"/>
      <c r="RZX146" s="24"/>
      <c r="RZY146" s="24"/>
      <c r="RZZ146" s="24"/>
      <c r="SAA146" s="24"/>
      <c r="SAB146" s="24"/>
      <c r="SAC146" s="24"/>
      <c r="SAD146" s="24"/>
      <c r="SAE146" s="24"/>
      <c r="SAF146" s="24"/>
      <c r="SAG146" s="24"/>
      <c r="SAH146" s="24"/>
      <c r="SAI146" s="24"/>
      <c r="SAJ146" s="24"/>
      <c r="SAK146" s="24"/>
      <c r="SAL146" s="24"/>
      <c r="SAM146" s="24"/>
      <c r="SAN146" s="24"/>
      <c r="SAO146" s="24"/>
      <c r="SAP146" s="24"/>
      <c r="SAQ146" s="24"/>
      <c r="SAR146" s="24"/>
      <c r="SAS146" s="24"/>
      <c r="SAT146" s="24"/>
      <c r="SAU146" s="24"/>
      <c r="SAV146" s="24"/>
      <c r="SAW146" s="24"/>
      <c r="SAX146" s="24"/>
      <c r="SAY146" s="24"/>
      <c r="SAZ146" s="24"/>
      <c r="SBA146" s="24"/>
      <c r="SBB146" s="24"/>
      <c r="SBC146" s="24"/>
      <c r="SBD146" s="24"/>
      <c r="SBE146" s="24"/>
      <c r="SBF146" s="24"/>
      <c r="SBG146" s="24"/>
      <c r="SBH146" s="24"/>
      <c r="SBI146" s="24"/>
      <c r="SBJ146" s="24"/>
      <c r="SBK146" s="24"/>
      <c r="SBL146" s="24"/>
      <c r="SBM146" s="24"/>
      <c r="SBN146" s="24"/>
      <c r="SBO146" s="24"/>
      <c r="SBP146" s="24"/>
      <c r="SBQ146" s="24"/>
      <c r="SBR146" s="24"/>
      <c r="SBS146" s="24"/>
      <c r="SBT146" s="24"/>
      <c r="SBU146" s="24"/>
      <c r="SBV146" s="24"/>
      <c r="SBW146" s="24"/>
      <c r="SBX146" s="24"/>
      <c r="SBY146" s="24"/>
      <c r="SBZ146" s="24"/>
      <c r="SCA146" s="24"/>
      <c r="SCB146" s="24"/>
      <c r="SCC146" s="24"/>
      <c r="SCD146" s="24"/>
      <c r="SCE146" s="24"/>
      <c r="SCF146" s="24"/>
      <c r="SCG146" s="24"/>
      <c r="SCH146" s="24"/>
      <c r="SCI146" s="24"/>
      <c r="SCJ146" s="24"/>
      <c r="SCK146" s="24"/>
      <c r="SCL146" s="24"/>
      <c r="SCM146" s="24"/>
      <c r="SCN146" s="24"/>
      <c r="SCO146" s="24"/>
      <c r="SCP146" s="24"/>
      <c r="SCQ146" s="24"/>
      <c r="SCR146" s="24"/>
      <c r="SCS146" s="24"/>
      <c r="SCT146" s="24"/>
      <c r="SCU146" s="24"/>
      <c r="SCV146" s="24"/>
      <c r="SCW146" s="24"/>
      <c r="SCX146" s="24"/>
      <c r="SCY146" s="24"/>
      <c r="SCZ146" s="24"/>
      <c r="SDA146" s="24"/>
      <c r="SDB146" s="24"/>
      <c r="SDC146" s="24"/>
      <c r="SDD146" s="24"/>
      <c r="SDE146" s="24"/>
      <c r="SDF146" s="24"/>
      <c r="SDG146" s="24"/>
      <c r="SDH146" s="24"/>
      <c r="SDI146" s="24"/>
      <c r="SDJ146" s="24"/>
      <c r="SDK146" s="24"/>
      <c r="SDL146" s="24"/>
      <c r="SDM146" s="24"/>
      <c r="SDN146" s="24"/>
      <c r="SDO146" s="24"/>
      <c r="SDP146" s="24"/>
      <c r="SDQ146" s="24"/>
      <c r="SDR146" s="24"/>
      <c r="SDS146" s="24"/>
      <c r="SDT146" s="24"/>
      <c r="SDU146" s="24"/>
      <c r="SDV146" s="24"/>
      <c r="SDW146" s="24"/>
      <c r="SDX146" s="24"/>
      <c r="SDY146" s="24"/>
      <c r="SDZ146" s="24"/>
      <c r="SEA146" s="24"/>
      <c r="SEB146" s="24"/>
      <c r="SEC146" s="24"/>
      <c r="SED146" s="24"/>
      <c r="SEE146" s="24"/>
      <c r="SEF146" s="24"/>
      <c r="SEG146" s="24"/>
      <c r="SEH146" s="24"/>
      <c r="SEI146" s="24"/>
      <c r="SEJ146" s="24"/>
      <c r="SEK146" s="24"/>
      <c r="SEL146" s="24"/>
      <c r="SEM146" s="24"/>
      <c r="SEN146" s="24"/>
      <c r="SEO146" s="24"/>
      <c r="SEP146" s="24"/>
      <c r="SEQ146" s="24"/>
      <c r="SER146" s="24"/>
      <c r="SES146" s="24"/>
      <c r="SET146" s="24"/>
      <c r="SEU146" s="24"/>
      <c r="SEV146" s="24"/>
      <c r="SEW146" s="24"/>
      <c r="SEX146" s="24"/>
      <c r="SEY146" s="24"/>
      <c r="SEZ146" s="24"/>
      <c r="SFA146" s="24"/>
      <c r="SFB146" s="24"/>
      <c r="SFC146" s="24"/>
      <c r="SFD146" s="24"/>
      <c r="SFE146" s="24"/>
      <c r="SFF146" s="24"/>
      <c r="SFG146" s="24"/>
      <c r="SFH146" s="24"/>
      <c r="SFI146" s="24"/>
      <c r="SFJ146" s="24"/>
      <c r="SFK146" s="24"/>
      <c r="SFL146" s="24"/>
      <c r="SFM146" s="24"/>
      <c r="SFN146" s="24"/>
      <c r="SFO146" s="24"/>
      <c r="SFP146" s="24"/>
      <c r="SFQ146" s="24"/>
      <c r="SFR146" s="24"/>
      <c r="SFS146" s="24"/>
      <c r="SFT146" s="24"/>
      <c r="SFU146" s="24"/>
      <c r="SFV146" s="24"/>
      <c r="SFW146" s="24"/>
      <c r="SFX146" s="24"/>
      <c r="SFY146" s="24"/>
      <c r="SFZ146" s="24"/>
      <c r="SGA146" s="24"/>
      <c r="SGB146" s="24"/>
      <c r="SGC146" s="24"/>
      <c r="SGD146" s="24"/>
      <c r="SGE146" s="24"/>
      <c r="SGF146" s="24"/>
      <c r="SGG146" s="24"/>
      <c r="SGH146" s="24"/>
      <c r="SGI146" s="24"/>
      <c r="SGJ146" s="24"/>
      <c r="SGK146" s="24"/>
      <c r="SGL146" s="24"/>
      <c r="SGM146" s="24"/>
      <c r="SGN146" s="24"/>
      <c r="SGO146" s="24"/>
      <c r="SGP146" s="24"/>
      <c r="SGQ146" s="24"/>
      <c r="SGR146" s="24"/>
      <c r="SGS146" s="24"/>
      <c r="SGT146" s="24"/>
      <c r="SGU146" s="24"/>
      <c r="SGV146" s="24"/>
      <c r="SGW146" s="24"/>
      <c r="SGX146" s="24"/>
      <c r="SGY146" s="24"/>
      <c r="SGZ146" s="24"/>
      <c r="SHA146" s="24"/>
      <c r="SHB146" s="24"/>
      <c r="SHC146" s="24"/>
      <c r="SHD146" s="24"/>
      <c r="SHE146" s="24"/>
      <c r="SHF146" s="24"/>
      <c r="SHG146" s="24"/>
      <c r="SHH146" s="24"/>
      <c r="SHI146" s="24"/>
      <c r="SHJ146" s="24"/>
      <c r="SHK146" s="24"/>
      <c r="SHL146" s="24"/>
      <c r="SHM146" s="24"/>
      <c r="SHN146" s="24"/>
      <c r="SHO146" s="24"/>
      <c r="SHP146" s="24"/>
      <c r="SHQ146" s="24"/>
      <c r="SHR146" s="24"/>
      <c r="SHS146" s="24"/>
      <c r="SHT146" s="24"/>
      <c r="SHU146" s="24"/>
      <c r="SHV146" s="24"/>
      <c r="SHW146" s="24"/>
      <c r="SHX146" s="24"/>
      <c r="SHY146" s="24"/>
      <c r="SHZ146" s="24"/>
      <c r="SIA146" s="24"/>
      <c r="SIB146" s="24"/>
      <c r="SIC146" s="24"/>
      <c r="SID146" s="24"/>
      <c r="SIE146" s="24"/>
      <c r="SIF146" s="24"/>
      <c r="SIG146" s="24"/>
      <c r="SIH146" s="24"/>
      <c r="SII146" s="24"/>
      <c r="SIJ146" s="24"/>
      <c r="SIK146" s="24"/>
      <c r="SIL146" s="24"/>
      <c r="SIM146" s="24"/>
      <c r="SIN146" s="24"/>
      <c r="SIO146" s="24"/>
      <c r="SIP146" s="24"/>
      <c r="SIQ146" s="24"/>
      <c r="SIR146" s="24"/>
      <c r="SIS146" s="24"/>
      <c r="SIT146" s="24"/>
      <c r="SIU146" s="24"/>
      <c r="SIV146" s="24"/>
      <c r="SIW146" s="24"/>
      <c r="SIX146" s="24"/>
      <c r="SIY146" s="24"/>
      <c r="SIZ146" s="24"/>
      <c r="SJA146" s="24"/>
      <c r="SJB146" s="24"/>
      <c r="SJC146" s="24"/>
      <c r="SJD146" s="24"/>
      <c r="SJE146" s="24"/>
      <c r="SJF146" s="24"/>
      <c r="SJG146" s="24"/>
      <c r="SJH146" s="24"/>
      <c r="SJI146" s="24"/>
      <c r="SJJ146" s="24"/>
      <c r="SJK146" s="24"/>
      <c r="SJL146" s="24"/>
      <c r="SJM146" s="24"/>
      <c r="SJN146" s="24"/>
      <c r="SJO146" s="24"/>
      <c r="SJP146" s="24"/>
      <c r="SJQ146" s="24"/>
      <c r="SJR146" s="24"/>
      <c r="SJS146" s="24"/>
      <c r="SJT146" s="24"/>
      <c r="SJU146" s="24"/>
      <c r="SJV146" s="24"/>
      <c r="SJW146" s="24"/>
      <c r="SJX146" s="24"/>
      <c r="SJY146" s="24"/>
      <c r="SJZ146" s="24"/>
      <c r="SKA146" s="24"/>
      <c r="SKB146" s="24"/>
      <c r="SKC146" s="24"/>
      <c r="SKD146" s="24"/>
      <c r="SKE146" s="24"/>
      <c r="SKF146" s="24"/>
      <c r="SKG146" s="24"/>
      <c r="SKH146" s="24"/>
      <c r="SKI146" s="24"/>
      <c r="SKJ146" s="24"/>
      <c r="SKK146" s="24"/>
      <c r="SKL146" s="24"/>
      <c r="SKM146" s="24"/>
      <c r="SKN146" s="24"/>
      <c r="SKO146" s="24"/>
      <c r="SKP146" s="24"/>
      <c r="SKQ146" s="24"/>
      <c r="SKR146" s="24"/>
      <c r="SKS146" s="24"/>
      <c r="SKT146" s="24"/>
      <c r="SKU146" s="24"/>
      <c r="SKV146" s="24"/>
      <c r="SKW146" s="24"/>
      <c r="SKX146" s="24"/>
      <c r="SKY146" s="24"/>
      <c r="SKZ146" s="24"/>
      <c r="SLA146" s="24"/>
      <c r="SLB146" s="24"/>
      <c r="SLC146" s="24"/>
      <c r="SLD146" s="24"/>
      <c r="SLE146" s="24"/>
      <c r="SLF146" s="24"/>
      <c r="SLG146" s="24"/>
      <c r="SLH146" s="24"/>
      <c r="SLI146" s="24"/>
      <c r="SLJ146" s="24"/>
      <c r="SLK146" s="24"/>
      <c r="SLL146" s="24"/>
      <c r="SLM146" s="24"/>
      <c r="SLN146" s="24"/>
      <c r="SLO146" s="24"/>
      <c r="SLP146" s="24"/>
      <c r="SLQ146" s="24"/>
      <c r="SLR146" s="24"/>
      <c r="SLS146" s="24"/>
      <c r="SLT146" s="24"/>
      <c r="SLU146" s="24"/>
      <c r="SLV146" s="24"/>
      <c r="SLW146" s="24"/>
      <c r="SLX146" s="24"/>
      <c r="SLY146" s="24"/>
      <c r="SLZ146" s="24"/>
      <c r="SMA146" s="24"/>
      <c r="SMB146" s="24"/>
      <c r="SMC146" s="24"/>
      <c r="SMD146" s="24"/>
      <c r="SME146" s="24"/>
      <c r="SMF146" s="24"/>
      <c r="SMG146" s="24"/>
      <c r="SMH146" s="24"/>
      <c r="SMI146" s="24"/>
      <c r="SMJ146" s="24"/>
      <c r="SMK146" s="24"/>
      <c r="SML146" s="24"/>
      <c r="SMM146" s="24"/>
      <c r="SMN146" s="24"/>
      <c r="SMO146" s="24"/>
      <c r="SMP146" s="24"/>
      <c r="SMQ146" s="24"/>
      <c r="SMR146" s="24"/>
      <c r="SMS146" s="24"/>
      <c r="SMT146" s="24"/>
      <c r="SMU146" s="24"/>
      <c r="SMV146" s="24"/>
      <c r="SMW146" s="24"/>
      <c r="SMX146" s="24"/>
      <c r="SMY146" s="24"/>
      <c r="SMZ146" s="24"/>
      <c r="SNA146" s="24"/>
      <c r="SNB146" s="24"/>
      <c r="SNC146" s="24"/>
      <c r="SND146" s="24"/>
      <c r="SNE146" s="24"/>
      <c r="SNF146" s="24"/>
      <c r="SNG146" s="24"/>
      <c r="SNH146" s="24"/>
      <c r="SNI146" s="24"/>
      <c r="SNJ146" s="24"/>
      <c r="SNK146" s="24"/>
      <c r="SNL146" s="24"/>
      <c r="SNM146" s="24"/>
      <c r="SNN146" s="24"/>
      <c r="SNO146" s="24"/>
      <c r="SNP146" s="24"/>
      <c r="SNQ146" s="24"/>
      <c r="SNR146" s="24"/>
      <c r="SNS146" s="24"/>
      <c r="SNT146" s="24"/>
      <c r="SNU146" s="24"/>
      <c r="SNV146" s="24"/>
      <c r="SNW146" s="24"/>
      <c r="SNX146" s="24"/>
      <c r="SNY146" s="24"/>
      <c r="SNZ146" s="24"/>
      <c r="SOA146" s="24"/>
      <c r="SOB146" s="24"/>
      <c r="SOC146" s="24"/>
      <c r="SOD146" s="24"/>
      <c r="SOE146" s="24"/>
      <c r="SOF146" s="24"/>
      <c r="SOG146" s="24"/>
      <c r="SOH146" s="24"/>
      <c r="SOI146" s="24"/>
      <c r="SOJ146" s="24"/>
      <c r="SOK146" s="24"/>
      <c r="SOL146" s="24"/>
      <c r="SOM146" s="24"/>
      <c r="SON146" s="24"/>
      <c r="SOO146" s="24"/>
      <c r="SOP146" s="24"/>
      <c r="SOQ146" s="24"/>
      <c r="SOR146" s="24"/>
      <c r="SOS146" s="24"/>
      <c r="SOT146" s="24"/>
      <c r="SOU146" s="24"/>
      <c r="SOV146" s="24"/>
      <c r="SOW146" s="24"/>
      <c r="SOX146" s="24"/>
      <c r="SOY146" s="24"/>
      <c r="SOZ146" s="24"/>
      <c r="SPA146" s="24"/>
      <c r="SPB146" s="24"/>
      <c r="SPC146" s="24"/>
      <c r="SPD146" s="24"/>
      <c r="SPE146" s="24"/>
      <c r="SPF146" s="24"/>
      <c r="SPG146" s="24"/>
      <c r="SPH146" s="24"/>
      <c r="SPI146" s="24"/>
      <c r="SPJ146" s="24"/>
      <c r="SPK146" s="24"/>
      <c r="SPL146" s="24"/>
      <c r="SPM146" s="24"/>
      <c r="SPN146" s="24"/>
      <c r="SPO146" s="24"/>
      <c r="SPP146" s="24"/>
      <c r="SPQ146" s="24"/>
      <c r="SPR146" s="24"/>
      <c r="SPS146" s="24"/>
      <c r="SPT146" s="24"/>
      <c r="SPU146" s="24"/>
      <c r="SPV146" s="24"/>
      <c r="SPW146" s="24"/>
      <c r="SPX146" s="24"/>
      <c r="SPY146" s="24"/>
      <c r="SPZ146" s="24"/>
      <c r="SQA146" s="24"/>
      <c r="SQB146" s="24"/>
      <c r="SQC146" s="24"/>
      <c r="SQD146" s="24"/>
      <c r="SQE146" s="24"/>
      <c r="SQF146" s="24"/>
      <c r="SQG146" s="24"/>
      <c r="SQH146" s="24"/>
      <c r="SQI146" s="24"/>
      <c r="SQJ146" s="24"/>
      <c r="SQK146" s="24"/>
      <c r="SQL146" s="24"/>
      <c r="SQM146" s="24"/>
      <c r="SQN146" s="24"/>
      <c r="SQO146" s="24"/>
      <c r="SQP146" s="24"/>
      <c r="SQQ146" s="24"/>
      <c r="SQR146" s="24"/>
      <c r="SQS146" s="24"/>
      <c r="SQT146" s="24"/>
      <c r="SQU146" s="24"/>
      <c r="SQV146" s="24"/>
      <c r="SQW146" s="24"/>
      <c r="SQX146" s="24"/>
      <c r="SQY146" s="24"/>
      <c r="SQZ146" s="24"/>
      <c r="SRA146" s="24"/>
      <c r="SRB146" s="24"/>
      <c r="SRC146" s="24"/>
      <c r="SRD146" s="24"/>
      <c r="SRE146" s="24"/>
      <c r="SRF146" s="24"/>
      <c r="SRG146" s="24"/>
      <c r="SRH146" s="24"/>
      <c r="SRI146" s="24"/>
      <c r="SRJ146" s="24"/>
      <c r="SRK146" s="24"/>
      <c r="SRL146" s="24"/>
      <c r="SRM146" s="24"/>
      <c r="SRN146" s="24"/>
      <c r="SRO146" s="24"/>
      <c r="SRP146" s="24"/>
      <c r="SRQ146" s="24"/>
      <c r="SRR146" s="24"/>
      <c r="SRS146" s="24"/>
      <c r="SRT146" s="24"/>
      <c r="SRU146" s="24"/>
      <c r="SRV146" s="24"/>
      <c r="SRW146" s="24"/>
      <c r="SRX146" s="24"/>
      <c r="SRY146" s="24"/>
      <c r="SRZ146" s="24"/>
      <c r="SSA146" s="24"/>
      <c r="SSB146" s="24"/>
      <c r="SSC146" s="24"/>
      <c r="SSD146" s="24"/>
      <c r="SSE146" s="24"/>
      <c r="SSF146" s="24"/>
      <c r="SSG146" s="24"/>
      <c r="SSH146" s="24"/>
      <c r="SSI146" s="24"/>
      <c r="SSJ146" s="24"/>
      <c r="SSK146" s="24"/>
      <c r="SSL146" s="24"/>
      <c r="SSM146" s="24"/>
      <c r="SSN146" s="24"/>
      <c r="SSO146" s="24"/>
      <c r="SSP146" s="24"/>
      <c r="SSQ146" s="24"/>
      <c r="SSR146" s="24"/>
      <c r="SSS146" s="24"/>
      <c r="SST146" s="24"/>
      <c r="SSU146" s="24"/>
      <c r="SSV146" s="24"/>
      <c r="SSW146" s="24"/>
      <c r="SSX146" s="24"/>
      <c r="SSY146" s="24"/>
      <c r="SSZ146" s="24"/>
      <c r="STA146" s="24"/>
      <c r="STB146" s="24"/>
      <c r="STC146" s="24"/>
      <c r="STD146" s="24"/>
      <c r="STE146" s="24"/>
      <c r="STF146" s="24"/>
      <c r="STG146" s="24"/>
      <c r="STH146" s="24"/>
      <c r="STI146" s="24"/>
      <c r="STJ146" s="24"/>
      <c r="STK146" s="24"/>
      <c r="STL146" s="24"/>
      <c r="STM146" s="24"/>
      <c r="STN146" s="24"/>
      <c r="STO146" s="24"/>
      <c r="STP146" s="24"/>
      <c r="STQ146" s="24"/>
      <c r="STR146" s="24"/>
      <c r="STS146" s="24"/>
      <c r="STT146" s="24"/>
      <c r="STU146" s="24"/>
      <c r="STV146" s="24"/>
      <c r="STW146" s="24"/>
      <c r="STX146" s="24"/>
      <c r="STY146" s="24"/>
      <c r="STZ146" s="24"/>
      <c r="SUA146" s="24"/>
      <c r="SUB146" s="24"/>
      <c r="SUC146" s="24"/>
      <c r="SUD146" s="24"/>
      <c r="SUE146" s="24"/>
      <c r="SUF146" s="24"/>
      <c r="SUG146" s="24"/>
      <c r="SUH146" s="24"/>
      <c r="SUI146" s="24"/>
      <c r="SUJ146" s="24"/>
      <c r="SUK146" s="24"/>
      <c r="SUL146" s="24"/>
      <c r="SUM146" s="24"/>
      <c r="SUN146" s="24"/>
      <c r="SUO146" s="24"/>
      <c r="SUP146" s="24"/>
      <c r="SUQ146" s="24"/>
      <c r="SUR146" s="24"/>
      <c r="SUS146" s="24"/>
      <c r="SUT146" s="24"/>
      <c r="SUU146" s="24"/>
      <c r="SUV146" s="24"/>
      <c r="SUW146" s="24"/>
      <c r="SUX146" s="24"/>
      <c r="SUY146" s="24"/>
      <c r="SUZ146" s="24"/>
      <c r="SVA146" s="24"/>
      <c r="SVB146" s="24"/>
      <c r="SVC146" s="24"/>
      <c r="SVD146" s="24"/>
      <c r="SVE146" s="24"/>
      <c r="SVF146" s="24"/>
      <c r="SVG146" s="24"/>
      <c r="SVH146" s="24"/>
      <c r="SVI146" s="24"/>
      <c r="SVJ146" s="24"/>
      <c r="SVK146" s="24"/>
      <c r="SVL146" s="24"/>
      <c r="SVM146" s="24"/>
      <c r="SVN146" s="24"/>
      <c r="SVO146" s="24"/>
      <c r="SVP146" s="24"/>
      <c r="SVQ146" s="24"/>
      <c r="SVR146" s="24"/>
      <c r="SVS146" s="24"/>
      <c r="SVT146" s="24"/>
      <c r="SVU146" s="24"/>
      <c r="SVV146" s="24"/>
      <c r="SVW146" s="24"/>
      <c r="SVX146" s="24"/>
      <c r="SVY146" s="24"/>
      <c r="SVZ146" s="24"/>
      <c r="SWA146" s="24"/>
      <c r="SWB146" s="24"/>
      <c r="SWC146" s="24"/>
      <c r="SWD146" s="24"/>
      <c r="SWE146" s="24"/>
      <c r="SWF146" s="24"/>
      <c r="SWG146" s="24"/>
      <c r="SWH146" s="24"/>
      <c r="SWI146" s="24"/>
      <c r="SWJ146" s="24"/>
      <c r="SWK146" s="24"/>
      <c r="SWL146" s="24"/>
      <c r="SWM146" s="24"/>
      <c r="SWN146" s="24"/>
      <c r="SWO146" s="24"/>
      <c r="SWP146" s="24"/>
      <c r="SWQ146" s="24"/>
      <c r="SWR146" s="24"/>
      <c r="SWS146" s="24"/>
      <c r="SWT146" s="24"/>
      <c r="SWU146" s="24"/>
      <c r="SWV146" s="24"/>
      <c r="SWW146" s="24"/>
      <c r="SWX146" s="24"/>
      <c r="SWY146" s="24"/>
      <c r="SWZ146" s="24"/>
      <c r="SXA146" s="24"/>
      <c r="SXB146" s="24"/>
      <c r="SXC146" s="24"/>
      <c r="SXD146" s="24"/>
      <c r="SXE146" s="24"/>
      <c r="SXF146" s="24"/>
      <c r="SXG146" s="24"/>
      <c r="SXH146" s="24"/>
      <c r="SXI146" s="24"/>
      <c r="SXJ146" s="24"/>
      <c r="SXK146" s="24"/>
      <c r="SXL146" s="24"/>
      <c r="SXM146" s="24"/>
      <c r="SXN146" s="24"/>
      <c r="SXO146" s="24"/>
      <c r="SXP146" s="24"/>
      <c r="SXQ146" s="24"/>
      <c r="SXR146" s="24"/>
      <c r="SXS146" s="24"/>
      <c r="SXT146" s="24"/>
      <c r="SXU146" s="24"/>
      <c r="SXV146" s="24"/>
      <c r="SXW146" s="24"/>
      <c r="SXX146" s="24"/>
      <c r="SXY146" s="24"/>
      <c r="SXZ146" s="24"/>
      <c r="SYA146" s="24"/>
      <c r="SYB146" s="24"/>
      <c r="SYC146" s="24"/>
      <c r="SYD146" s="24"/>
      <c r="SYE146" s="24"/>
      <c r="SYF146" s="24"/>
      <c r="SYG146" s="24"/>
      <c r="SYH146" s="24"/>
      <c r="SYI146" s="24"/>
      <c r="SYJ146" s="24"/>
      <c r="SYK146" s="24"/>
      <c r="SYL146" s="24"/>
      <c r="SYM146" s="24"/>
      <c r="SYN146" s="24"/>
      <c r="SYO146" s="24"/>
      <c r="SYP146" s="24"/>
      <c r="SYQ146" s="24"/>
      <c r="SYR146" s="24"/>
      <c r="SYS146" s="24"/>
      <c r="SYT146" s="24"/>
      <c r="SYU146" s="24"/>
      <c r="SYV146" s="24"/>
      <c r="SYW146" s="24"/>
      <c r="SYX146" s="24"/>
      <c r="SYY146" s="24"/>
      <c r="SYZ146" s="24"/>
      <c r="SZA146" s="24"/>
      <c r="SZB146" s="24"/>
      <c r="SZC146" s="24"/>
      <c r="SZD146" s="24"/>
      <c r="SZE146" s="24"/>
      <c r="SZF146" s="24"/>
      <c r="SZG146" s="24"/>
      <c r="SZH146" s="24"/>
      <c r="SZI146" s="24"/>
      <c r="SZJ146" s="24"/>
      <c r="SZK146" s="24"/>
      <c r="SZL146" s="24"/>
      <c r="SZM146" s="24"/>
      <c r="SZN146" s="24"/>
      <c r="SZO146" s="24"/>
      <c r="SZP146" s="24"/>
      <c r="SZQ146" s="24"/>
      <c r="SZR146" s="24"/>
      <c r="SZS146" s="24"/>
      <c r="SZT146" s="24"/>
      <c r="SZU146" s="24"/>
      <c r="SZV146" s="24"/>
      <c r="SZW146" s="24"/>
      <c r="SZX146" s="24"/>
      <c r="SZY146" s="24"/>
      <c r="SZZ146" s="24"/>
      <c r="TAA146" s="24"/>
      <c r="TAB146" s="24"/>
      <c r="TAC146" s="24"/>
      <c r="TAD146" s="24"/>
      <c r="TAE146" s="24"/>
      <c r="TAF146" s="24"/>
      <c r="TAG146" s="24"/>
      <c r="TAH146" s="24"/>
      <c r="TAI146" s="24"/>
      <c r="TAJ146" s="24"/>
      <c r="TAK146" s="24"/>
      <c r="TAL146" s="24"/>
      <c r="TAM146" s="24"/>
      <c r="TAN146" s="24"/>
      <c r="TAO146" s="24"/>
      <c r="TAP146" s="24"/>
      <c r="TAQ146" s="24"/>
      <c r="TAR146" s="24"/>
      <c r="TAS146" s="24"/>
      <c r="TAT146" s="24"/>
      <c r="TAU146" s="24"/>
      <c r="TAV146" s="24"/>
      <c r="TAW146" s="24"/>
      <c r="TAX146" s="24"/>
      <c r="TAY146" s="24"/>
      <c r="TAZ146" s="24"/>
      <c r="TBA146" s="24"/>
      <c r="TBB146" s="24"/>
      <c r="TBC146" s="24"/>
      <c r="TBD146" s="24"/>
      <c r="TBE146" s="24"/>
      <c r="TBF146" s="24"/>
      <c r="TBG146" s="24"/>
      <c r="TBH146" s="24"/>
      <c r="TBI146" s="24"/>
      <c r="TBJ146" s="24"/>
      <c r="TBK146" s="24"/>
      <c r="TBL146" s="24"/>
      <c r="TBM146" s="24"/>
      <c r="TBN146" s="24"/>
      <c r="TBO146" s="24"/>
      <c r="TBP146" s="24"/>
      <c r="TBQ146" s="24"/>
      <c r="TBR146" s="24"/>
      <c r="TBS146" s="24"/>
      <c r="TBT146" s="24"/>
      <c r="TBU146" s="24"/>
      <c r="TBV146" s="24"/>
      <c r="TBW146" s="24"/>
      <c r="TBX146" s="24"/>
      <c r="TBY146" s="24"/>
      <c r="TBZ146" s="24"/>
      <c r="TCA146" s="24"/>
      <c r="TCB146" s="24"/>
      <c r="TCC146" s="24"/>
      <c r="TCD146" s="24"/>
      <c r="TCE146" s="24"/>
      <c r="TCF146" s="24"/>
      <c r="TCG146" s="24"/>
      <c r="TCH146" s="24"/>
      <c r="TCI146" s="24"/>
      <c r="TCJ146" s="24"/>
      <c r="TCK146" s="24"/>
      <c r="TCL146" s="24"/>
      <c r="TCM146" s="24"/>
      <c r="TCN146" s="24"/>
      <c r="TCO146" s="24"/>
      <c r="TCP146" s="24"/>
      <c r="TCQ146" s="24"/>
      <c r="TCR146" s="24"/>
      <c r="TCS146" s="24"/>
      <c r="TCT146" s="24"/>
      <c r="TCU146" s="24"/>
      <c r="TCV146" s="24"/>
      <c r="TCW146" s="24"/>
      <c r="TCX146" s="24"/>
      <c r="TCY146" s="24"/>
      <c r="TCZ146" s="24"/>
      <c r="TDA146" s="24"/>
      <c r="TDB146" s="24"/>
      <c r="TDC146" s="24"/>
      <c r="TDD146" s="24"/>
      <c r="TDE146" s="24"/>
      <c r="TDF146" s="24"/>
      <c r="TDG146" s="24"/>
      <c r="TDH146" s="24"/>
      <c r="TDI146" s="24"/>
      <c r="TDJ146" s="24"/>
      <c r="TDK146" s="24"/>
      <c r="TDL146" s="24"/>
      <c r="TDM146" s="24"/>
      <c r="TDN146" s="24"/>
      <c r="TDO146" s="24"/>
      <c r="TDP146" s="24"/>
      <c r="TDQ146" s="24"/>
      <c r="TDR146" s="24"/>
      <c r="TDS146" s="24"/>
      <c r="TDT146" s="24"/>
      <c r="TDU146" s="24"/>
      <c r="TDV146" s="24"/>
      <c r="TDW146" s="24"/>
      <c r="TDX146" s="24"/>
      <c r="TDY146" s="24"/>
      <c r="TDZ146" s="24"/>
      <c r="TEA146" s="24"/>
      <c r="TEB146" s="24"/>
      <c r="TEC146" s="24"/>
      <c r="TED146" s="24"/>
      <c r="TEE146" s="24"/>
      <c r="TEF146" s="24"/>
      <c r="TEG146" s="24"/>
      <c r="TEH146" s="24"/>
      <c r="TEI146" s="24"/>
      <c r="TEJ146" s="24"/>
      <c r="TEK146" s="24"/>
      <c r="TEL146" s="24"/>
      <c r="TEM146" s="24"/>
      <c r="TEN146" s="24"/>
      <c r="TEO146" s="24"/>
      <c r="TEP146" s="24"/>
      <c r="TEQ146" s="24"/>
      <c r="TER146" s="24"/>
      <c r="TES146" s="24"/>
      <c r="TET146" s="24"/>
      <c r="TEU146" s="24"/>
      <c r="TEV146" s="24"/>
      <c r="TEW146" s="24"/>
      <c r="TEX146" s="24"/>
      <c r="TEY146" s="24"/>
      <c r="TEZ146" s="24"/>
      <c r="TFA146" s="24"/>
      <c r="TFB146" s="24"/>
      <c r="TFC146" s="24"/>
      <c r="TFD146" s="24"/>
      <c r="TFE146" s="24"/>
      <c r="TFF146" s="24"/>
      <c r="TFG146" s="24"/>
      <c r="TFH146" s="24"/>
      <c r="TFI146" s="24"/>
      <c r="TFJ146" s="24"/>
      <c r="TFK146" s="24"/>
      <c r="TFL146" s="24"/>
      <c r="TFM146" s="24"/>
      <c r="TFN146" s="24"/>
      <c r="TFO146" s="24"/>
      <c r="TFP146" s="24"/>
      <c r="TFQ146" s="24"/>
      <c r="TFR146" s="24"/>
      <c r="TFS146" s="24"/>
      <c r="TFT146" s="24"/>
      <c r="TFU146" s="24"/>
      <c r="TFV146" s="24"/>
      <c r="TFW146" s="24"/>
      <c r="TFX146" s="24"/>
      <c r="TFY146" s="24"/>
      <c r="TFZ146" s="24"/>
      <c r="TGA146" s="24"/>
      <c r="TGB146" s="24"/>
      <c r="TGC146" s="24"/>
      <c r="TGD146" s="24"/>
      <c r="TGE146" s="24"/>
      <c r="TGF146" s="24"/>
      <c r="TGG146" s="24"/>
      <c r="TGH146" s="24"/>
      <c r="TGI146" s="24"/>
      <c r="TGJ146" s="24"/>
      <c r="TGK146" s="24"/>
      <c r="TGL146" s="24"/>
      <c r="TGM146" s="24"/>
      <c r="TGN146" s="24"/>
      <c r="TGO146" s="24"/>
      <c r="TGP146" s="24"/>
      <c r="TGQ146" s="24"/>
      <c r="TGR146" s="24"/>
      <c r="TGS146" s="24"/>
      <c r="TGT146" s="24"/>
      <c r="TGU146" s="24"/>
      <c r="TGV146" s="24"/>
      <c r="TGW146" s="24"/>
      <c r="TGX146" s="24"/>
      <c r="TGY146" s="24"/>
      <c r="TGZ146" s="24"/>
      <c r="THA146" s="24"/>
      <c r="THB146" s="24"/>
      <c r="THC146" s="24"/>
      <c r="THD146" s="24"/>
      <c r="THE146" s="24"/>
      <c r="THF146" s="24"/>
      <c r="THG146" s="24"/>
      <c r="THH146" s="24"/>
      <c r="THI146" s="24"/>
      <c r="THJ146" s="24"/>
      <c r="THK146" s="24"/>
      <c r="THL146" s="24"/>
      <c r="THM146" s="24"/>
      <c r="THN146" s="24"/>
      <c r="THO146" s="24"/>
      <c r="THP146" s="24"/>
      <c r="THQ146" s="24"/>
      <c r="THR146" s="24"/>
      <c r="THS146" s="24"/>
      <c r="THT146" s="24"/>
      <c r="THU146" s="24"/>
      <c r="THV146" s="24"/>
      <c r="THW146" s="24"/>
      <c r="THX146" s="24"/>
      <c r="THY146" s="24"/>
      <c r="THZ146" s="24"/>
      <c r="TIA146" s="24"/>
      <c r="TIB146" s="24"/>
      <c r="TIC146" s="24"/>
      <c r="TID146" s="24"/>
      <c r="TIE146" s="24"/>
      <c r="TIF146" s="24"/>
      <c r="TIG146" s="24"/>
      <c r="TIH146" s="24"/>
      <c r="TII146" s="24"/>
      <c r="TIJ146" s="24"/>
      <c r="TIK146" s="24"/>
      <c r="TIL146" s="24"/>
      <c r="TIM146" s="24"/>
      <c r="TIN146" s="24"/>
      <c r="TIO146" s="24"/>
      <c r="TIP146" s="24"/>
      <c r="TIQ146" s="24"/>
      <c r="TIR146" s="24"/>
      <c r="TIS146" s="24"/>
      <c r="TIT146" s="24"/>
      <c r="TIU146" s="24"/>
      <c r="TIV146" s="24"/>
      <c r="TIW146" s="24"/>
      <c r="TIX146" s="24"/>
      <c r="TIY146" s="24"/>
      <c r="TIZ146" s="24"/>
      <c r="TJA146" s="24"/>
      <c r="TJB146" s="24"/>
      <c r="TJC146" s="24"/>
      <c r="TJD146" s="24"/>
      <c r="TJE146" s="24"/>
      <c r="TJF146" s="24"/>
      <c r="TJG146" s="24"/>
      <c r="TJH146" s="24"/>
      <c r="TJI146" s="24"/>
      <c r="TJJ146" s="24"/>
      <c r="TJK146" s="24"/>
      <c r="TJL146" s="24"/>
      <c r="TJM146" s="24"/>
      <c r="TJN146" s="24"/>
      <c r="TJO146" s="24"/>
      <c r="TJP146" s="24"/>
      <c r="TJQ146" s="24"/>
      <c r="TJR146" s="24"/>
      <c r="TJS146" s="24"/>
      <c r="TJT146" s="24"/>
      <c r="TJU146" s="24"/>
      <c r="TJV146" s="24"/>
      <c r="TJW146" s="24"/>
      <c r="TJX146" s="24"/>
      <c r="TJY146" s="24"/>
      <c r="TJZ146" s="24"/>
      <c r="TKA146" s="24"/>
      <c r="TKB146" s="24"/>
      <c r="TKC146" s="24"/>
      <c r="TKD146" s="24"/>
      <c r="TKE146" s="24"/>
      <c r="TKF146" s="24"/>
      <c r="TKG146" s="24"/>
      <c r="TKH146" s="24"/>
      <c r="TKI146" s="24"/>
      <c r="TKJ146" s="24"/>
      <c r="TKK146" s="24"/>
      <c r="TKL146" s="24"/>
      <c r="TKM146" s="24"/>
      <c r="TKN146" s="24"/>
      <c r="TKO146" s="24"/>
      <c r="TKP146" s="24"/>
      <c r="TKQ146" s="24"/>
      <c r="TKR146" s="24"/>
      <c r="TKS146" s="24"/>
      <c r="TKT146" s="24"/>
      <c r="TKU146" s="24"/>
      <c r="TKV146" s="24"/>
      <c r="TKW146" s="24"/>
      <c r="TKX146" s="24"/>
      <c r="TKY146" s="24"/>
      <c r="TKZ146" s="24"/>
      <c r="TLA146" s="24"/>
      <c r="TLB146" s="24"/>
      <c r="TLC146" s="24"/>
      <c r="TLD146" s="24"/>
      <c r="TLE146" s="24"/>
      <c r="TLF146" s="24"/>
      <c r="TLG146" s="24"/>
      <c r="TLH146" s="24"/>
      <c r="TLI146" s="24"/>
      <c r="TLJ146" s="24"/>
      <c r="TLK146" s="24"/>
      <c r="TLL146" s="24"/>
      <c r="TLM146" s="24"/>
      <c r="TLN146" s="24"/>
      <c r="TLO146" s="24"/>
      <c r="TLP146" s="24"/>
      <c r="TLQ146" s="24"/>
      <c r="TLR146" s="24"/>
      <c r="TLS146" s="24"/>
      <c r="TLT146" s="24"/>
      <c r="TLU146" s="24"/>
      <c r="TLV146" s="24"/>
      <c r="TLW146" s="24"/>
      <c r="TLX146" s="24"/>
      <c r="TLY146" s="24"/>
      <c r="TLZ146" s="24"/>
      <c r="TMA146" s="24"/>
      <c r="TMB146" s="24"/>
      <c r="TMC146" s="24"/>
      <c r="TMD146" s="24"/>
      <c r="TME146" s="24"/>
      <c r="TMF146" s="24"/>
      <c r="TMG146" s="24"/>
      <c r="TMH146" s="24"/>
      <c r="TMI146" s="24"/>
      <c r="TMJ146" s="24"/>
      <c r="TMK146" s="24"/>
      <c r="TML146" s="24"/>
      <c r="TMM146" s="24"/>
      <c r="TMN146" s="24"/>
      <c r="TMO146" s="24"/>
      <c r="TMP146" s="24"/>
      <c r="TMQ146" s="24"/>
      <c r="TMR146" s="24"/>
      <c r="TMS146" s="24"/>
      <c r="TMT146" s="24"/>
      <c r="TMU146" s="24"/>
      <c r="TMV146" s="24"/>
      <c r="TMW146" s="24"/>
      <c r="TMX146" s="24"/>
      <c r="TMY146" s="24"/>
      <c r="TMZ146" s="24"/>
      <c r="TNA146" s="24"/>
      <c r="TNB146" s="24"/>
      <c r="TNC146" s="24"/>
      <c r="TND146" s="24"/>
      <c r="TNE146" s="24"/>
      <c r="TNF146" s="24"/>
      <c r="TNG146" s="24"/>
      <c r="TNH146" s="24"/>
      <c r="TNI146" s="24"/>
      <c r="TNJ146" s="24"/>
      <c r="TNK146" s="24"/>
      <c r="TNL146" s="24"/>
      <c r="TNM146" s="24"/>
      <c r="TNN146" s="24"/>
      <c r="TNO146" s="24"/>
      <c r="TNP146" s="24"/>
      <c r="TNQ146" s="24"/>
      <c r="TNR146" s="24"/>
      <c r="TNS146" s="24"/>
      <c r="TNT146" s="24"/>
      <c r="TNU146" s="24"/>
      <c r="TNV146" s="24"/>
      <c r="TNW146" s="24"/>
      <c r="TNX146" s="24"/>
      <c r="TNY146" s="24"/>
      <c r="TNZ146" s="24"/>
      <c r="TOA146" s="24"/>
      <c r="TOB146" s="24"/>
      <c r="TOC146" s="24"/>
      <c r="TOD146" s="24"/>
      <c r="TOE146" s="24"/>
      <c r="TOF146" s="24"/>
      <c r="TOG146" s="24"/>
      <c r="TOH146" s="24"/>
      <c r="TOI146" s="24"/>
      <c r="TOJ146" s="24"/>
      <c r="TOK146" s="24"/>
      <c r="TOL146" s="24"/>
      <c r="TOM146" s="24"/>
      <c r="TON146" s="24"/>
      <c r="TOO146" s="24"/>
      <c r="TOP146" s="24"/>
      <c r="TOQ146" s="24"/>
      <c r="TOR146" s="24"/>
      <c r="TOS146" s="24"/>
      <c r="TOT146" s="24"/>
      <c r="TOU146" s="24"/>
      <c r="TOV146" s="24"/>
      <c r="TOW146" s="24"/>
      <c r="TOX146" s="24"/>
      <c r="TOY146" s="24"/>
      <c r="TOZ146" s="24"/>
      <c r="TPA146" s="24"/>
      <c r="TPB146" s="24"/>
      <c r="TPC146" s="24"/>
      <c r="TPD146" s="24"/>
      <c r="TPE146" s="24"/>
      <c r="TPF146" s="24"/>
      <c r="TPG146" s="24"/>
      <c r="TPH146" s="24"/>
      <c r="TPI146" s="24"/>
      <c r="TPJ146" s="24"/>
      <c r="TPK146" s="24"/>
      <c r="TPL146" s="24"/>
      <c r="TPM146" s="24"/>
      <c r="TPN146" s="24"/>
      <c r="TPO146" s="24"/>
      <c r="TPP146" s="24"/>
      <c r="TPQ146" s="24"/>
      <c r="TPR146" s="24"/>
      <c r="TPS146" s="24"/>
      <c r="TPT146" s="24"/>
      <c r="TPU146" s="24"/>
      <c r="TPV146" s="24"/>
      <c r="TPW146" s="24"/>
      <c r="TPX146" s="24"/>
      <c r="TPY146" s="24"/>
      <c r="TPZ146" s="24"/>
      <c r="TQA146" s="24"/>
      <c r="TQB146" s="24"/>
      <c r="TQC146" s="24"/>
      <c r="TQD146" s="24"/>
      <c r="TQE146" s="24"/>
      <c r="TQF146" s="24"/>
      <c r="TQG146" s="24"/>
      <c r="TQH146" s="24"/>
      <c r="TQI146" s="24"/>
      <c r="TQJ146" s="24"/>
      <c r="TQK146" s="24"/>
      <c r="TQL146" s="24"/>
      <c r="TQM146" s="24"/>
      <c r="TQN146" s="24"/>
      <c r="TQO146" s="24"/>
      <c r="TQP146" s="24"/>
      <c r="TQQ146" s="24"/>
      <c r="TQR146" s="24"/>
      <c r="TQS146" s="24"/>
      <c r="TQT146" s="24"/>
      <c r="TQU146" s="24"/>
      <c r="TQV146" s="24"/>
      <c r="TQW146" s="24"/>
      <c r="TQX146" s="24"/>
      <c r="TQY146" s="24"/>
      <c r="TQZ146" s="24"/>
      <c r="TRA146" s="24"/>
      <c r="TRB146" s="24"/>
      <c r="TRC146" s="24"/>
      <c r="TRD146" s="24"/>
      <c r="TRE146" s="24"/>
      <c r="TRF146" s="24"/>
      <c r="TRG146" s="24"/>
      <c r="TRH146" s="24"/>
      <c r="TRI146" s="24"/>
      <c r="TRJ146" s="24"/>
      <c r="TRK146" s="24"/>
      <c r="TRL146" s="24"/>
      <c r="TRM146" s="24"/>
      <c r="TRN146" s="24"/>
      <c r="TRO146" s="24"/>
      <c r="TRP146" s="24"/>
      <c r="TRQ146" s="24"/>
      <c r="TRR146" s="24"/>
      <c r="TRS146" s="24"/>
      <c r="TRT146" s="24"/>
      <c r="TRU146" s="24"/>
      <c r="TRV146" s="24"/>
      <c r="TRW146" s="24"/>
      <c r="TRX146" s="24"/>
      <c r="TRY146" s="24"/>
      <c r="TRZ146" s="24"/>
      <c r="TSA146" s="24"/>
      <c r="TSB146" s="24"/>
      <c r="TSC146" s="24"/>
      <c r="TSD146" s="24"/>
      <c r="TSE146" s="24"/>
      <c r="TSF146" s="24"/>
      <c r="TSG146" s="24"/>
      <c r="TSH146" s="24"/>
      <c r="TSI146" s="24"/>
      <c r="TSJ146" s="24"/>
      <c r="TSK146" s="24"/>
      <c r="TSL146" s="24"/>
      <c r="TSM146" s="24"/>
      <c r="TSN146" s="24"/>
      <c r="TSO146" s="24"/>
      <c r="TSP146" s="24"/>
      <c r="TSQ146" s="24"/>
      <c r="TSR146" s="24"/>
      <c r="TSS146" s="24"/>
      <c r="TST146" s="24"/>
      <c r="TSU146" s="24"/>
      <c r="TSV146" s="24"/>
      <c r="TSW146" s="24"/>
      <c r="TSX146" s="24"/>
      <c r="TSY146" s="24"/>
      <c r="TSZ146" s="24"/>
      <c r="TTA146" s="24"/>
      <c r="TTB146" s="24"/>
      <c r="TTC146" s="24"/>
      <c r="TTD146" s="24"/>
      <c r="TTE146" s="24"/>
      <c r="TTF146" s="24"/>
      <c r="TTG146" s="24"/>
      <c r="TTH146" s="24"/>
      <c r="TTI146" s="24"/>
      <c r="TTJ146" s="24"/>
      <c r="TTK146" s="24"/>
      <c r="TTL146" s="24"/>
      <c r="TTM146" s="24"/>
      <c r="TTN146" s="24"/>
      <c r="TTO146" s="24"/>
      <c r="TTP146" s="24"/>
      <c r="TTQ146" s="24"/>
      <c r="TTR146" s="24"/>
      <c r="TTS146" s="24"/>
      <c r="TTT146" s="24"/>
      <c r="TTU146" s="24"/>
      <c r="TTV146" s="24"/>
      <c r="TTW146" s="24"/>
      <c r="TTX146" s="24"/>
      <c r="TTY146" s="24"/>
      <c r="TTZ146" s="24"/>
      <c r="TUA146" s="24"/>
      <c r="TUB146" s="24"/>
      <c r="TUC146" s="24"/>
      <c r="TUD146" s="24"/>
      <c r="TUE146" s="24"/>
      <c r="TUF146" s="24"/>
      <c r="TUG146" s="24"/>
      <c r="TUH146" s="24"/>
      <c r="TUI146" s="24"/>
      <c r="TUJ146" s="24"/>
      <c r="TUK146" s="24"/>
      <c r="TUL146" s="24"/>
      <c r="TUM146" s="24"/>
      <c r="TUN146" s="24"/>
      <c r="TUO146" s="24"/>
      <c r="TUP146" s="24"/>
      <c r="TUQ146" s="24"/>
      <c r="TUR146" s="24"/>
      <c r="TUS146" s="24"/>
      <c r="TUT146" s="24"/>
      <c r="TUU146" s="24"/>
      <c r="TUV146" s="24"/>
      <c r="TUW146" s="24"/>
      <c r="TUX146" s="24"/>
      <c r="TUY146" s="24"/>
      <c r="TUZ146" s="24"/>
      <c r="TVA146" s="24"/>
      <c r="TVB146" s="24"/>
      <c r="TVC146" s="24"/>
      <c r="TVD146" s="24"/>
      <c r="TVE146" s="24"/>
      <c r="TVF146" s="24"/>
      <c r="TVG146" s="24"/>
      <c r="TVH146" s="24"/>
      <c r="TVI146" s="24"/>
      <c r="TVJ146" s="24"/>
      <c r="TVK146" s="24"/>
      <c r="TVL146" s="24"/>
      <c r="TVM146" s="24"/>
      <c r="TVN146" s="24"/>
      <c r="TVO146" s="24"/>
      <c r="TVP146" s="24"/>
      <c r="TVQ146" s="24"/>
      <c r="TVR146" s="24"/>
      <c r="TVS146" s="24"/>
      <c r="TVT146" s="24"/>
      <c r="TVU146" s="24"/>
      <c r="TVV146" s="24"/>
      <c r="TVW146" s="24"/>
      <c r="TVX146" s="24"/>
      <c r="TVY146" s="24"/>
      <c r="TVZ146" s="24"/>
      <c r="TWA146" s="24"/>
      <c r="TWB146" s="24"/>
      <c r="TWC146" s="24"/>
      <c r="TWD146" s="24"/>
      <c r="TWE146" s="24"/>
      <c r="TWF146" s="24"/>
      <c r="TWG146" s="24"/>
      <c r="TWH146" s="24"/>
      <c r="TWI146" s="24"/>
      <c r="TWJ146" s="24"/>
      <c r="TWK146" s="24"/>
      <c r="TWL146" s="24"/>
      <c r="TWM146" s="24"/>
      <c r="TWN146" s="24"/>
      <c r="TWO146" s="24"/>
      <c r="TWP146" s="24"/>
      <c r="TWQ146" s="24"/>
      <c r="TWR146" s="24"/>
      <c r="TWS146" s="24"/>
      <c r="TWT146" s="24"/>
      <c r="TWU146" s="24"/>
      <c r="TWV146" s="24"/>
      <c r="TWW146" s="24"/>
      <c r="TWX146" s="24"/>
      <c r="TWY146" s="24"/>
      <c r="TWZ146" s="24"/>
      <c r="TXA146" s="24"/>
      <c r="TXB146" s="24"/>
      <c r="TXC146" s="24"/>
      <c r="TXD146" s="24"/>
      <c r="TXE146" s="24"/>
      <c r="TXF146" s="24"/>
      <c r="TXG146" s="24"/>
      <c r="TXH146" s="24"/>
      <c r="TXI146" s="24"/>
      <c r="TXJ146" s="24"/>
      <c r="TXK146" s="24"/>
      <c r="TXL146" s="24"/>
      <c r="TXM146" s="24"/>
      <c r="TXN146" s="24"/>
      <c r="TXO146" s="24"/>
      <c r="TXP146" s="24"/>
      <c r="TXQ146" s="24"/>
      <c r="TXR146" s="24"/>
      <c r="TXS146" s="24"/>
      <c r="TXT146" s="24"/>
      <c r="TXU146" s="24"/>
      <c r="TXV146" s="24"/>
      <c r="TXW146" s="24"/>
      <c r="TXX146" s="24"/>
      <c r="TXY146" s="24"/>
      <c r="TXZ146" s="24"/>
      <c r="TYA146" s="24"/>
      <c r="TYB146" s="24"/>
      <c r="TYC146" s="24"/>
      <c r="TYD146" s="24"/>
      <c r="TYE146" s="24"/>
      <c r="TYF146" s="24"/>
      <c r="TYG146" s="24"/>
      <c r="TYH146" s="24"/>
      <c r="TYI146" s="24"/>
      <c r="TYJ146" s="24"/>
      <c r="TYK146" s="24"/>
      <c r="TYL146" s="24"/>
      <c r="TYM146" s="24"/>
      <c r="TYN146" s="24"/>
      <c r="TYO146" s="24"/>
      <c r="TYP146" s="24"/>
      <c r="TYQ146" s="24"/>
      <c r="TYR146" s="24"/>
      <c r="TYS146" s="24"/>
      <c r="TYT146" s="24"/>
      <c r="TYU146" s="24"/>
      <c r="TYV146" s="24"/>
      <c r="TYW146" s="24"/>
      <c r="TYX146" s="24"/>
      <c r="TYY146" s="24"/>
      <c r="TYZ146" s="24"/>
      <c r="TZA146" s="24"/>
      <c r="TZB146" s="24"/>
      <c r="TZC146" s="24"/>
      <c r="TZD146" s="24"/>
      <c r="TZE146" s="24"/>
      <c r="TZF146" s="24"/>
      <c r="TZG146" s="24"/>
      <c r="TZH146" s="24"/>
      <c r="TZI146" s="24"/>
      <c r="TZJ146" s="24"/>
      <c r="TZK146" s="24"/>
      <c r="TZL146" s="24"/>
      <c r="TZM146" s="24"/>
      <c r="TZN146" s="24"/>
      <c r="TZO146" s="24"/>
      <c r="TZP146" s="24"/>
      <c r="TZQ146" s="24"/>
      <c r="TZR146" s="24"/>
      <c r="TZS146" s="24"/>
      <c r="TZT146" s="24"/>
      <c r="TZU146" s="24"/>
      <c r="TZV146" s="24"/>
      <c r="TZW146" s="24"/>
      <c r="TZX146" s="24"/>
      <c r="TZY146" s="24"/>
      <c r="TZZ146" s="24"/>
      <c r="UAA146" s="24"/>
      <c r="UAB146" s="24"/>
      <c r="UAC146" s="24"/>
      <c r="UAD146" s="24"/>
      <c r="UAE146" s="24"/>
      <c r="UAF146" s="24"/>
      <c r="UAG146" s="24"/>
      <c r="UAH146" s="24"/>
      <c r="UAI146" s="24"/>
      <c r="UAJ146" s="24"/>
      <c r="UAK146" s="24"/>
      <c r="UAL146" s="24"/>
      <c r="UAM146" s="24"/>
      <c r="UAN146" s="24"/>
      <c r="UAO146" s="24"/>
      <c r="UAP146" s="24"/>
      <c r="UAQ146" s="24"/>
      <c r="UAR146" s="24"/>
      <c r="UAS146" s="24"/>
      <c r="UAT146" s="24"/>
      <c r="UAU146" s="24"/>
      <c r="UAV146" s="24"/>
      <c r="UAW146" s="24"/>
      <c r="UAX146" s="24"/>
      <c r="UAY146" s="24"/>
      <c r="UAZ146" s="24"/>
      <c r="UBA146" s="24"/>
      <c r="UBB146" s="24"/>
      <c r="UBC146" s="24"/>
      <c r="UBD146" s="24"/>
      <c r="UBE146" s="24"/>
      <c r="UBF146" s="24"/>
      <c r="UBG146" s="24"/>
      <c r="UBH146" s="24"/>
      <c r="UBI146" s="24"/>
      <c r="UBJ146" s="24"/>
      <c r="UBK146" s="24"/>
      <c r="UBL146" s="24"/>
      <c r="UBM146" s="24"/>
      <c r="UBN146" s="24"/>
      <c r="UBO146" s="24"/>
      <c r="UBP146" s="24"/>
      <c r="UBQ146" s="24"/>
      <c r="UBR146" s="24"/>
      <c r="UBS146" s="24"/>
      <c r="UBT146" s="24"/>
      <c r="UBU146" s="24"/>
      <c r="UBV146" s="24"/>
      <c r="UBW146" s="24"/>
      <c r="UBX146" s="24"/>
      <c r="UBY146" s="24"/>
      <c r="UBZ146" s="24"/>
      <c r="UCA146" s="24"/>
      <c r="UCB146" s="24"/>
      <c r="UCC146" s="24"/>
      <c r="UCD146" s="24"/>
      <c r="UCE146" s="24"/>
      <c r="UCF146" s="24"/>
      <c r="UCG146" s="24"/>
      <c r="UCH146" s="24"/>
      <c r="UCI146" s="24"/>
      <c r="UCJ146" s="24"/>
      <c r="UCK146" s="24"/>
      <c r="UCL146" s="24"/>
      <c r="UCM146" s="24"/>
      <c r="UCN146" s="24"/>
      <c r="UCO146" s="24"/>
      <c r="UCP146" s="24"/>
      <c r="UCQ146" s="24"/>
      <c r="UCR146" s="24"/>
      <c r="UCS146" s="24"/>
      <c r="UCT146" s="24"/>
      <c r="UCU146" s="24"/>
      <c r="UCV146" s="24"/>
      <c r="UCW146" s="24"/>
      <c r="UCX146" s="24"/>
      <c r="UCY146" s="24"/>
      <c r="UCZ146" s="24"/>
      <c r="UDA146" s="24"/>
      <c r="UDB146" s="24"/>
      <c r="UDC146" s="24"/>
      <c r="UDD146" s="24"/>
      <c r="UDE146" s="24"/>
      <c r="UDF146" s="24"/>
      <c r="UDG146" s="24"/>
      <c r="UDH146" s="24"/>
      <c r="UDI146" s="24"/>
      <c r="UDJ146" s="24"/>
      <c r="UDK146" s="24"/>
      <c r="UDL146" s="24"/>
      <c r="UDM146" s="24"/>
      <c r="UDN146" s="24"/>
      <c r="UDO146" s="24"/>
      <c r="UDP146" s="24"/>
      <c r="UDQ146" s="24"/>
      <c r="UDR146" s="24"/>
      <c r="UDS146" s="24"/>
      <c r="UDT146" s="24"/>
      <c r="UDU146" s="24"/>
      <c r="UDV146" s="24"/>
      <c r="UDW146" s="24"/>
      <c r="UDX146" s="24"/>
      <c r="UDY146" s="24"/>
      <c r="UDZ146" s="24"/>
      <c r="UEA146" s="24"/>
      <c r="UEB146" s="24"/>
      <c r="UEC146" s="24"/>
      <c r="UED146" s="24"/>
      <c r="UEE146" s="24"/>
      <c r="UEF146" s="24"/>
      <c r="UEG146" s="24"/>
      <c r="UEH146" s="24"/>
      <c r="UEI146" s="24"/>
      <c r="UEJ146" s="24"/>
      <c r="UEK146" s="24"/>
      <c r="UEL146" s="24"/>
      <c r="UEM146" s="24"/>
      <c r="UEN146" s="24"/>
      <c r="UEO146" s="24"/>
      <c r="UEP146" s="24"/>
      <c r="UEQ146" s="24"/>
      <c r="UER146" s="24"/>
      <c r="UES146" s="24"/>
      <c r="UET146" s="24"/>
      <c r="UEU146" s="24"/>
      <c r="UEV146" s="24"/>
      <c r="UEW146" s="24"/>
      <c r="UEX146" s="24"/>
      <c r="UEY146" s="24"/>
      <c r="UEZ146" s="24"/>
      <c r="UFA146" s="24"/>
      <c r="UFB146" s="24"/>
      <c r="UFC146" s="24"/>
      <c r="UFD146" s="24"/>
      <c r="UFE146" s="24"/>
      <c r="UFF146" s="24"/>
      <c r="UFG146" s="24"/>
      <c r="UFH146" s="24"/>
      <c r="UFI146" s="24"/>
      <c r="UFJ146" s="24"/>
      <c r="UFK146" s="24"/>
      <c r="UFL146" s="24"/>
      <c r="UFM146" s="24"/>
      <c r="UFN146" s="24"/>
      <c r="UFO146" s="24"/>
      <c r="UFP146" s="24"/>
      <c r="UFQ146" s="24"/>
      <c r="UFR146" s="24"/>
      <c r="UFS146" s="24"/>
      <c r="UFT146" s="24"/>
      <c r="UFU146" s="24"/>
      <c r="UFV146" s="24"/>
      <c r="UFW146" s="24"/>
      <c r="UFX146" s="24"/>
      <c r="UFY146" s="24"/>
      <c r="UFZ146" s="24"/>
      <c r="UGA146" s="24"/>
      <c r="UGB146" s="24"/>
      <c r="UGC146" s="24"/>
      <c r="UGD146" s="24"/>
      <c r="UGE146" s="24"/>
      <c r="UGF146" s="24"/>
      <c r="UGG146" s="24"/>
      <c r="UGH146" s="24"/>
      <c r="UGI146" s="24"/>
      <c r="UGJ146" s="24"/>
      <c r="UGK146" s="24"/>
      <c r="UGL146" s="24"/>
      <c r="UGM146" s="24"/>
      <c r="UGN146" s="24"/>
      <c r="UGO146" s="24"/>
      <c r="UGP146" s="24"/>
      <c r="UGQ146" s="24"/>
      <c r="UGR146" s="24"/>
      <c r="UGS146" s="24"/>
      <c r="UGT146" s="24"/>
      <c r="UGU146" s="24"/>
      <c r="UGV146" s="24"/>
      <c r="UGW146" s="24"/>
      <c r="UGX146" s="24"/>
      <c r="UGY146" s="24"/>
      <c r="UGZ146" s="24"/>
      <c r="UHA146" s="24"/>
      <c r="UHB146" s="24"/>
      <c r="UHC146" s="24"/>
      <c r="UHD146" s="24"/>
      <c r="UHE146" s="24"/>
      <c r="UHF146" s="24"/>
      <c r="UHG146" s="24"/>
      <c r="UHH146" s="24"/>
      <c r="UHI146" s="24"/>
      <c r="UHJ146" s="24"/>
      <c r="UHK146" s="24"/>
      <c r="UHL146" s="24"/>
      <c r="UHM146" s="24"/>
      <c r="UHN146" s="24"/>
      <c r="UHO146" s="24"/>
      <c r="UHP146" s="24"/>
      <c r="UHQ146" s="24"/>
      <c r="UHR146" s="24"/>
      <c r="UHS146" s="24"/>
      <c r="UHT146" s="24"/>
      <c r="UHU146" s="24"/>
      <c r="UHV146" s="24"/>
      <c r="UHW146" s="24"/>
      <c r="UHX146" s="24"/>
      <c r="UHY146" s="24"/>
      <c r="UHZ146" s="24"/>
      <c r="UIA146" s="24"/>
      <c r="UIB146" s="24"/>
      <c r="UIC146" s="24"/>
      <c r="UID146" s="24"/>
      <c r="UIE146" s="24"/>
      <c r="UIF146" s="24"/>
      <c r="UIG146" s="24"/>
      <c r="UIH146" s="24"/>
      <c r="UII146" s="24"/>
      <c r="UIJ146" s="24"/>
      <c r="UIK146" s="24"/>
      <c r="UIL146" s="24"/>
      <c r="UIM146" s="24"/>
      <c r="UIN146" s="24"/>
      <c r="UIO146" s="24"/>
      <c r="UIP146" s="24"/>
      <c r="UIQ146" s="24"/>
      <c r="UIR146" s="24"/>
      <c r="UIS146" s="24"/>
      <c r="UIT146" s="24"/>
      <c r="UIU146" s="24"/>
      <c r="UIV146" s="24"/>
      <c r="UIW146" s="24"/>
      <c r="UIX146" s="24"/>
      <c r="UIY146" s="24"/>
      <c r="UIZ146" s="24"/>
      <c r="UJA146" s="24"/>
      <c r="UJB146" s="24"/>
      <c r="UJC146" s="24"/>
      <c r="UJD146" s="24"/>
      <c r="UJE146" s="24"/>
      <c r="UJF146" s="24"/>
      <c r="UJG146" s="24"/>
      <c r="UJH146" s="24"/>
      <c r="UJI146" s="24"/>
      <c r="UJJ146" s="24"/>
      <c r="UJK146" s="24"/>
      <c r="UJL146" s="24"/>
      <c r="UJM146" s="24"/>
      <c r="UJN146" s="24"/>
      <c r="UJO146" s="24"/>
      <c r="UJP146" s="24"/>
      <c r="UJQ146" s="24"/>
      <c r="UJR146" s="24"/>
      <c r="UJS146" s="24"/>
      <c r="UJT146" s="24"/>
      <c r="UJU146" s="24"/>
      <c r="UJV146" s="24"/>
      <c r="UJW146" s="24"/>
      <c r="UJX146" s="24"/>
      <c r="UJY146" s="24"/>
      <c r="UJZ146" s="24"/>
      <c r="UKA146" s="24"/>
      <c r="UKB146" s="24"/>
      <c r="UKC146" s="24"/>
      <c r="UKD146" s="24"/>
      <c r="UKE146" s="24"/>
      <c r="UKF146" s="24"/>
      <c r="UKG146" s="24"/>
      <c r="UKH146" s="24"/>
      <c r="UKI146" s="24"/>
      <c r="UKJ146" s="24"/>
      <c r="UKK146" s="24"/>
      <c r="UKL146" s="24"/>
      <c r="UKM146" s="24"/>
      <c r="UKN146" s="24"/>
      <c r="UKO146" s="24"/>
      <c r="UKP146" s="24"/>
      <c r="UKQ146" s="24"/>
      <c r="UKR146" s="24"/>
      <c r="UKS146" s="24"/>
      <c r="UKT146" s="24"/>
      <c r="UKU146" s="24"/>
      <c r="UKV146" s="24"/>
      <c r="UKW146" s="24"/>
      <c r="UKX146" s="24"/>
      <c r="UKY146" s="24"/>
      <c r="UKZ146" s="24"/>
      <c r="ULA146" s="24"/>
      <c r="ULB146" s="24"/>
      <c r="ULC146" s="24"/>
      <c r="ULD146" s="24"/>
      <c r="ULE146" s="24"/>
      <c r="ULF146" s="24"/>
      <c r="ULG146" s="24"/>
      <c r="ULH146" s="24"/>
      <c r="ULI146" s="24"/>
      <c r="ULJ146" s="24"/>
      <c r="ULK146" s="24"/>
      <c r="ULL146" s="24"/>
      <c r="ULM146" s="24"/>
      <c r="ULN146" s="24"/>
      <c r="ULO146" s="24"/>
      <c r="ULP146" s="24"/>
      <c r="ULQ146" s="24"/>
      <c r="ULR146" s="24"/>
      <c r="ULS146" s="24"/>
      <c r="ULT146" s="24"/>
      <c r="ULU146" s="24"/>
      <c r="ULV146" s="24"/>
      <c r="ULW146" s="24"/>
      <c r="ULX146" s="24"/>
      <c r="ULY146" s="24"/>
      <c r="ULZ146" s="24"/>
      <c r="UMA146" s="24"/>
      <c r="UMB146" s="24"/>
      <c r="UMC146" s="24"/>
      <c r="UMD146" s="24"/>
      <c r="UME146" s="24"/>
      <c r="UMF146" s="24"/>
      <c r="UMG146" s="24"/>
      <c r="UMH146" s="24"/>
      <c r="UMI146" s="24"/>
      <c r="UMJ146" s="24"/>
      <c r="UMK146" s="24"/>
      <c r="UML146" s="24"/>
      <c r="UMM146" s="24"/>
      <c r="UMN146" s="24"/>
      <c r="UMO146" s="24"/>
      <c r="UMP146" s="24"/>
      <c r="UMQ146" s="24"/>
      <c r="UMR146" s="24"/>
      <c r="UMS146" s="24"/>
      <c r="UMT146" s="24"/>
      <c r="UMU146" s="24"/>
      <c r="UMV146" s="24"/>
      <c r="UMW146" s="24"/>
      <c r="UMX146" s="24"/>
      <c r="UMY146" s="24"/>
      <c r="UMZ146" s="24"/>
      <c r="UNA146" s="24"/>
      <c r="UNB146" s="24"/>
      <c r="UNC146" s="24"/>
      <c r="UND146" s="24"/>
      <c r="UNE146" s="24"/>
      <c r="UNF146" s="24"/>
      <c r="UNG146" s="24"/>
      <c r="UNH146" s="24"/>
      <c r="UNI146" s="24"/>
      <c r="UNJ146" s="24"/>
      <c r="UNK146" s="24"/>
      <c r="UNL146" s="24"/>
      <c r="UNM146" s="24"/>
      <c r="UNN146" s="24"/>
      <c r="UNO146" s="24"/>
      <c r="UNP146" s="24"/>
      <c r="UNQ146" s="24"/>
      <c r="UNR146" s="24"/>
      <c r="UNS146" s="24"/>
      <c r="UNT146" s="24"/>
      <c r="UNU146" s="24"/>
      <c r="UNV146" s="24"/>
      <c r="UNW146" s="24"/>
      <c r="UNX146" s="24"/>
      <c r="UNY146" s="24"/>
      <c r="UNZ146" s="24"/>
      <c r="UOA146" s="24"/>
      <c r="UOB146" s="24"/>
      <c r="UOC146" s="24"/>
      <c r="UOD146" s="24"/>
      <c r="UOE146" s="24"/>
      <c r="UOF146" s="24"/>
      <c r="UOG146" s="24"/>
      <c r="UOH146" s="24"/>
      <c r="UOI146" s="24"/>
      <c r="UOJ146" s="24"/>
      <c r="UOK146" s="24"/>
      <c r="UOL146" s="24"/>
      <c r="UOM146" s="24"/>
      <c r="UON146" s="24"/>
      <c r="UOO146" s="24"/>
      <c r="UOP146" s="24"/>
      <c r="UOQ146" s="24"/>
      <c r="UOR146" s="24"/>
      <c r="UOS146" s="24"/>
      <c r="UOT146" s="24"/>
      <c r="UOU146" s="24"/>
      <c r="UOV146" s="24"/>
      <c r="UOW146" s="24"/>
      <c r="UOX146" s="24"/>
      <c r="UOY146" s="24"/>
      <c r="UOZ146" s="24"/>
      <c r="UPA146" s="24"/>
      <c r="UPB146" s="24"/>
      <c r="UPC146" s="24"/>
      <c r="UPD146" s="24"/>
      <c r="UPE146" s="24"/>
      <c r="UPF146" s="24"/>
      <c r="UPG146" s="24"/>
      <c r="UPH146" s="24"/>
      <c r="UPI146" s="24"/>
      <c r="UPJ146" s="24"/>
      <c r="UPK146" s="24"/>
      <c r="UPL146" s="24"/>
      <c r="UPM146" s="24"/>
      <c r="UPN146" s="24"/>
      <c r="UPO146" s="24"/>
      <c r="UPP146" s="24"/>
      <c r="UPQ146" s="24"/>
      <c r="UPR146" s="24"/>
      <c r="UPS146" s="24"/>
      <c r="UPT146" s="24"/>
      <c r="UPU146" s="24"/>
      <c r="UPV146" s="24"/>
      <c r="UPW146" s="24"/>
      <c r="UPX146" s="24"/>
      <c r="UPY146" s="24"/>
      <c r="UPZ146" s="24"/>
      <c r="UQA146" s="24"/>
      <c r="UQB146" s="24"/>
      <c r="UQC146" s="24"/>
      <c r="UQD146" s="24"/>
      <c r="UQE146" s="24"/>
      <c r="UQF146" s="24"/>
      <c r="UQG146" s="24"/>
      <c r="UQH146" s="24"/>
      <c r="UQI146" s="24"/>
      <c r="UQJ146" s="24"/>
      <c r="UQK146" s="24"/>
      <c r="UQL146" s="24"/>
      <c r="UQM146" s="24"/>
      <c r="UQN146" s="24"/>
      <c r="UQO146" s="24"/>
      <c r="UQP146" s="24"/>
      <c r="UQQ146" s="24"/>
      <c r="UQR146" s="24"/>
      <c r="UQS146" s="24"/>
      <c r="UQT146" s="24"/>
      <c r="UQU146" s="24"/>
      <c r="UQV146" s="24"/>
      <c r="UQW146" s="24"/>
      <c r="UQX146" s="24"/>
      <c r="UQY146" s="24"/>
      <c r="UQZ146" s="24"/>
      <c r="URA146" s="24"/>
      <c r="URB146" s="24"/>
      <c r="URC146" s="24"/>
      <c r="URD146" s="24"/>
      <c r="URE146" s="24"/>
      <c r="URF146" s="24"/>
      <c r="URG146" s="24"/>
      <c r="URH146" s="24"/>
      <c r="URI146" s="24"/>
      <c r="URJ146" s="24"/>
      <c r="URK146" s="24"/>
      <c r="URL146" s="24"/>
      <c r="URM146" s="24"/>
      <c r="URN146" s="24"/>
      <c r="URO146" s="24"/>
      <c r="URP146" s="24"/>
      <c r="URQ146" s="24"/>
      <c r="URR146" s="24"/>
      <c r="URS146" s="24"/>
      <c r="URT146" s="24"/>
      <c r="URU146" s="24"/>
      <c r="URV146" s="24"/>
      <c r="URW146" s="24"/>
      <c r="URX146" s="24"/>
      <c r="URY146" s="24"/>
      <c r="URZ146" s="24"/>
      <c r="USA146" s="24"/>
      <c r="USB146" s="24"/>
      <c r="USC146" s="24"/>
      <c r="USD146" s="24"/>
      <c r="USE146" s="24"/>
      <c r="USF146" s="24"/>
      <c r="USG146" s="24"/>
      <c r="USH146" s="24"/>
      <c r="USI146" s="24"/>
      <c r="USJ146" s="24"/>
      <c r="USK146" s="24"/>
      <c r="USL146" s="24"/>
      <c r="USM146" s="24"/>
      <c r="USN146" s="24"/>
      <c r="USO146" s="24"/>
      <c r="USP146" s="24"/>
      <c r="USQ146" s="24"/>
      <c r="USR146" s="24"/>
      <c r="USS146" s="24"/>
      <c r="UST146" s="24"/>
      <c r="USU146" s="24"/>
      <c r="USV146" s="24"/>
      <c r="USW146" s="24"/>
      <c r="USX146" s="24"/>
      <c r="USY146" s="24"/>
      <c r="USZ146" s="24"/>
      <c r="UTA146" s="24"/>
      <c r="UTB146" s="24"/>
      <c r="UTC146" s="24"/>
      <c r="UTD146" s="24"/>
      <c r="UTE146" s="24"/>
      <c r="UTF146" s="24"/>
      <c r="UTG146" s="24"/>
      <c r="UTH146" s="24"/>
      <c r="UTI146" s="24"/>
      <c r="UTJ146" s="24"/>
      <c r="UTK146" s="24"/>
      <c r="UTL146" s="24"/>
      <c r="UTM146" s="24"/>
      <c r="UTN146" s="24"/>
      <c r="UTO146" s="24"/>
      <c r="UTP146" s="24"/>
      <c r="UTQ146" s="24"/>
      <c r="UTR146" s="24"/>
      <c r="UTS146" s="24"/>
      <c r="UTT146" s="24"/>
      <c r="UTU146" s="24"/>
      <c r="UTV146" s="24"/>
      <c r="UTW146" s="24"/>
      <c r="UTX146" s="24"/>
      <c r="UTY146" s="24"/>
      <c r="UTZ146" s="24"/>
      <c r="UUA146" s="24"/>
      <c r="UUB146" s="24"/>
      <c r="UUC146" s="24"/>
      <c r="UUD146" s="24"/>
      <c r="UUE146" s="24"/>
      <c r="UUF146" s="24"/>
      <c r="UUG146" s="24"/>
      <c r="UUH146" s="24"/>
      <c r="UUI146" s="24"/>
      <c r="UUJ146" s="24"/>
      <c r="UUK146" s="24"/>
      <c r="UUL146" s="24"/>
      <c r="UUM146" s="24"/>
      <c r="UUN146" s="24"/>
      <c r="UUO146" s="24"/>
      <c r="UUP146" s="24"/>
      <c r="UUQ146" s="24"/>
      <c r="UUR146" s="24"/>
      <c r="UUS146" s="24"/>
      <c r="UUT146" s="24"/>
      <c r="UUU146" s="24"/>
      <c r="UUV146" s="24"/>
      <c r="UUW146" s="24"/>
      <c r="UUX146" s="24"/>
      <c r="UUY146" s="24"/>
      <c r="UUZ146" s="24"/>
      <c r="UVA146" s="24"/>
      <c r="UVB146" s="24"/>
      <c r="UVC146" s="24"/>
      <c r="UVD146" s="24"/>
      <c r="UVE146" s="24"/>
      <c r="UVF146" s="24"/>
      <c r="UVG146" s="24"/>
      <c r="UVH146" s="24"/>
      <c r="UVI146" s="24"/>
      <c r="UVJ146" s="24"/>
      <c r="UVK146" s="24"/>
      <c r="UVL146" s="24"/>
      <c r="UVM146" s="24"/>
      <c r="UVN146" s="24"/>
      <c r="UVO146" s="24"/>
      <c r="UVP146" s="24"/>
      <c r="UVQ146" s="24"/>
      <c r="UVR146" s="24"/>
      <c r="UVS146" s="24"/>
      <c r="UVT146" s="24"/>
      <c r="UVU146" s="24"/>
      <c r="UVV146" s="24"/>
      <c r="UVW146" s="24"/>
      <c r="UVX146" s="24"/>
      <c r="UVY146" s="24"/>
      <c r="UVZ146" s="24"/>
      <c r="UWA146" s="24"/>
      <c r="UWB146" s="24"/>
      <c r="UWC146" s="24"/>
      <c r="UWD146" s="24"/>
      <c r="UWE146" s="24"/>
      <c r="UWF146" s="24"/>
      <c r="UWG146" s="24"/>
      <c r="UWH146" s="24"/>
      <c r="UWI146" s="24"/>
      <c r="UWJ146" s="24"/>
      <c r="UWK146" s="24"/>
      <c r="UWL146" s="24"/>
      <c r="UWM146" s="24"/>
      <c r="UWN146" s="24"/>
      <c r="UWO146" s="24"/>
      <c r="UWP146" s="24"/>
      <c r="UWQ146" s="24"/>
      <c r="UWR146" s="24"/>
      <c r="UWS146" s="24"/>
      <c r="UWT146" s="24"/>
      <c r="UWU146" s="24"/>
      <c r="UWV146" s="24"/>
      <c r="UWW146" s="24"/>
      <c r="UWX146" s="24"/>
      <c r="UWY146" s="24"/>
      <c r="UWZ146" s="24"/>
      <c r="UXA146" s="24"/>
      <c r="UXB146" s="24"/>
      <c r="UXC146" s="24"/>
      <c r="UXD146" s="24"/>
      <c r="UXE146" s="24"/>
      <c r="UXF146" s="24"/>
      <c r="UXG146" s="24"/>
      <c r="UXH146" s="24"/>
      <c r="UXI146" s="24"/>
      <c r="UXJ146" s="24"/>
      <c r="UXK146" s="24"/>
      <c r="UXL146" s="24"/>
      <c r="UXM146" s="24"/>
      <c r="UXN146" s="24"/>
      <c r="UXO146" s="24"/>
      <c r="UXP146" s="24"/>
      <c r="UXQ146" s="24"/>
      <c r="UXR146" s="24"/>
      <c r="UXS146" s="24"/>
      <c r="UXT146" s="24"/>
      <c r="UXU146" s="24"/>
      <c r="UXV146" s="24"/>
      <c r="UXW146" s="24"/>
      <c r="UXX146" s="24"/>
      <c r="UXY146" s="24"/>
      <c r="UXZ146" s="24"/>
      <c r="UYA146" s="24"/>
      <c r="UYB146" s="24"/>
      <c r="UYC146" s="24"/>
      <c r="UYD146" s="24"/>
      <c r="UYE146" s="24"/>
      <c r="UYF146" s="24"/>
      <c r="UYG146" s="24"/>
      <c r="UYH146" s="24"/>
      <c r="UYI146" s="24"/>
      <c r="UYJ146" s="24"/>
      <c r="UYK146" s="24"/>
      <c r="UYL146" s="24"/>
      <c r="UYM146" s="24"/>
      <c r="UYN146" s="24"/>
      <c r="UYO146" s="24"/>
      <c r="UYP146" s="24"/>
      <c r="UYQ146" s="24"/>
      <c r="UYR146" s="24"/>
      <c r="UYS146" s="24"/>
      <c r="UYT146" s="24"/>
      <c r="UYU146" s="24"/>
      <c r="UYV146" s="24"/>
      <c r="UYW146" s="24"/>
      <c r="UYX146" s="24"/>
      <c r="UYY146" s="24"/>
      <c r="UYZ146" s="24"/>
      <c r="UZA146" s="24"/>
      <c r="UZB146" s="24"/>
      <c r="UZC146" s="24"/>
      <c r="UZD146" s="24"/>
      <c r="UZE146" s="24"/>
      <c r="UZF146" s="24"/>
      <c r="UZG146" s="24"/>
      <c r="UZH146" s="24"/>
      <c r="UZI146" s="24"/>
      <c r="UZJ146" s="24"/>
      <c r="UZK146" s="24"/>
      <c r="UZL146" s="24"/>
      <c r="UZM146" s="24"/>
      <c r="UZN146" s="24"/>
      <c r="UZO146" s="24"/>
      <c r="UZP146" s="24"/>
      <c r="UZQ146" s="24"/>
      <c r="UZR146" s="24"/>
      <c r="UZS146" s="24"/>
      <c r="UZT146" s="24"/>
      <c r="UZU146" s="24"/>
      <c r="UZV146" s="24"/>
      <c r="UZW146" s="24"/>
      <c r="UZX146" s="24"/>
      <c r="UZY146" s="24"/>
      <c r="UZZ146" s="24"/>
      <c r="VAA146" s="24"/>
      <c r="VAB146" s="24"/>
      <c r="VAC146" s="24"/>
      <c r="VAD146" s="24"/>
      <c r="VAE146" s="24"/>
      <c r="VAF146" s="24"/>
      <c r="VAG146" s="24"/>
      <c r="VAH146" s="24"/>
      <c r="VAI146" s="24"/>
      <c r="VAJ146" s="24"/>
      <c r="VAK146" s="24"/>
      <c r="VAL146" s="24"/>
      <c r="VAM146" s="24"/>
      <c r="VAN146" s="24"/>
      <c r="VAO146" s="24"/>
      <c r="VAP146" s="24"/>
      <c r="VAQ146" s="24"/>
      <c r="VAR146" s="24"/>
      <c r="VAS146" s="24"/>
      <c r="VAT146" s="24"/>
      <c r="VAU146" s="24"/>
      <c r="VAV146" s="24"/>
      <c r="VAW146" s="24"/>
      <c r="VAX146" s="24"/>
      <c r="VAY146" s="24"/>
      <c r="VAZ146" s="24"/>
      <c r="VBA146" s="24"/>
      <c r="VBB146" s="24"/>
      <c r="VBC146" s="24"/>
      <c r="VBD146" s="24"/>
      <c r="VBE146" s="24"/>
      <c r="VBF146" s="24"/>
      <c r="VBG146" s="24"/>
      <c r="VBH146" s="24"/>
      <c r="VBI146" s="24"/>
      <c r="VBJ146" s="24"/>
      <c r="VBK146" s="24"/>
      <c r="VBL146" s="24"/>
      <c r="VBM146" s="24"/>
      <c r="VBN146" s="24"/>
      <c r="VBO146" s="24"/>
      <c r="VBP146" s="24"/>
      <c r="VBQ146" s="24"/>
      <c r="VBR146" s="24"/>
      <c r="VBS146" s="24"/>
      <c r="VBT146" s="24"/>
      <c r="VBU146" s="24"/>
      <c r="VBV146" s="24"/>
      <c r="VBW146" s="24"/>
      <c r="VBX146" s="24"/>
      <c r="VBY146" s="24"/>
      <c r="VBZ146" s="24"/>
      <c r="VCA146" s="24"/>
      <c r="VCB146" s="24"/>
      <c r="VCC146" s="24"/>
      <c r="VCD146" s="24"/>
      <c r="VCE146" s="24"/>
      <c r="VCF146" s="24"/>
      <c r="VCG146" s="24"/>
      <c r="VCH146" s="24"/>
      <c r="VCI146" s="24"/>
      <c r="VCJ146" s="24"/>
      <c r="VCK146" s="24"/>
      <c r="VCL146" s="24"/>
      <c r="VCM146" s="24"/>
      <c r="VCN146" s="24"/>
      <c r="VCO146" s="24"/>
      <c r="VCP146" s="24"/>
      <c r="VCQ146" s="24"/>
      <c r="VCR146" s="24"/>
      <c r="VCS146" s="24"/>
      <c r="VCT146" s="24"/>
      <c r="VCU146" s="24"/>
      <c r="VCV146" s="24"/>
      <c r="VCW146" s="24"/>
      <c r="VCX146" s="24"/>
      <c r="VCY146" s="24"/>
      <c r="VCZ146" s="24"/>
      <c r="VDA146" s="24"/>
      <c r="VDB146" s="24"/>
      <c r="VDC146" s="24"/>
      <c r="VDD146" s="24"/>
      <c r="VDE146" s="24"/>
      <c r="VDF146" s="24"/>
      <c r="VDG146" s="24"/>
      <c r="VDH146" s="24"/>
      <c r="VDI146" s="24"/>
      <c r="VDJ146" s="24"/>
      <c r="VDK146" s="24"/>
      <c r="VDL146" s="24"/>
      <c r="VDM146" s="24"/>
      <c r="VDN146" s="24"/>
      <c r="VDO146" s="24"/>
      <c r="VDP146" s="24"/>
      <c r="VDQ146" s="24"/>
      <c r="VDR146" s="24"/>
      <c r="VDS146" s="24"/>
      <c r="VDT146" s="24"/>
      <c r="VDU146" s="24"/>
      <c r="VDV146" s="24"/>
      <c r="VDW146" s="24"/>
      <c r="VDX146" s="24"/>
      <c r="VDY146" s="24"/>
      <c r="VDZ146" s="24"/>
      <c r="VEA146" s="24"/>
      <c r="VEB146" s="24"/>
      <c r="VEC146" s="24"/>
      <c r="VED146" s="24"/>
      <c r="VEE146" s="24"/>
      <c r="VEF146" s="24"/>
      <c r="VEG146" s="24"/>
      <c r="VEH146" s="24"/>
      <c r="VEI146" s="24"/>
      <c r="VEJ146" s="24"/>
      <c r="VEK146" s="24"/>
      <c r="VEL146" s="24"/>
      <c r="VEM146" s="24"/>
      <c r="VEN146" s="24"/>
      <c r="VEO146" s="24"/>
      <c r="VEP146" s="24"/>
      <c r="VEQ146" s="24"/>
      <c r="VER146" s="24"/>
      <c r="VES146" s="24"/>
      <c r="VET146" s="24"/>
      <c r="VEU146" s="24"/>
      <c r="VEV146" s="24"/>
      <c r="VEW146" s="24"/>
      <c r="VEX146" s="24"/>
      <c r="VEY146" s="24"/>
      <c r="VEZ146" s="24"/>
      <c r="VFA146" s="24"/>
      <c r="VFB146" s="24"/>
      <c r="VFC146" s="24"/>
      <c r="VFD146" s="24"/>
      <c r="VFE146" s="24"/>
      <c r="VFF146" s="24"/>
      <c r="VFG146" s="24"/>
      <c r="VFH146" s="24"/>
      <c r="VFI146" s="24"/>
      <c r="VFJ146" s="24"/>
      <c r="VFK146" s="24"/>
      <c r="VFL146" s="24"/>
      <c r="VFM146" s="24"/>
      <c r="VFN146" s="24"/>
      <c r="VFO146" s="24"/>
      <c r="VFP146" s="24"/>
      <c r="VFQ146" s="24"/>
      <c r="VFR146" s="24"/>
      <c r="VFS146" s="24"/>
      <c r="VFT146" s="24"/>
      <c r="VFU146" s="24"/>
      <c r="VFV146" s="24"/>
      <c r="VFW146" s="24"/>
      <c r="VFX146" s="24"/>
      <c r="VFY146" s="24"/>
      <c r="VFZ146" s="24"/>
      <c r="VGA146" s="24"/>
      <c r="VGB146" s="24"/>
      <c r="VGC146" s="24"/>
      <c r="VGD146" s="24"/>
      <c r="VGE146" s="24"/>
      <c r="VGF146" s="24"/>
      <c r="VGG146" s="24"/>
      <c r="VGH146" s="24"/>
      <c r="VGI146" s="24"/>
      <c r="VGJ146" s="24"/>
      <c r="VGK146" s="24"/>
      <c r="VGL146" s="24"/>
      <c r="VGM146" s="24"/>
      <c r="VGN146" s="24"/>
      <c r="VGO146" s="24"/>
      <c r="VGP146" s="24"/>
      <c r="VGQ146" s="24"/>
      <c r="VGR146" s="24"/>
      <c r="VGS146" s="24"/>
      <c r="VGT146" s="24"/>
      <c r="VGU146" s="24"/>
      <c r="VGV146" s="24"/>
      <c r="VGW146" s="24"/>
      <c r="VGX146" s="24"/>
      <c r="VGY146" s="24"/>
      <c r="VGZ146" s="24"/>
      <c r="VHA146" s="24"/>
      <c r="VHB146" s="24"/>
      <c r="VHC146" s="24"/>
      <c r="VHD146" s="24"/>
      <c r="VHE146" s="24"/>
      <c r="VHF146" s="24"/>
      <c r="VHG146" s="24"/>
      <c r="VHH146" s="24"/>
      <c r="VHI146" s="24"/>
      <c r="VHJ146" s="24"/>
      <c r="VHK146" s="24"/>
      <c r="VHL146" s="24"/>
      <c r="VHM146" s="24"/>
      <c r="VHN146" s="24"/>
      <c r="VHO146" s="24"/>
      <c r="VHP146" s="24"/>
      <c r="VHQ146" s="24"/>
      <c r="VHR146" s="24"/>
      <c r="VHS146" s="24"/>
      <c r="VHT146" s="24"/>
      <c r="VHU146" s="24"/>
      <c r="VHV146" s="24"/>
      <c r="VHW146" s="24"/>
      <c r="VHX146" s="24"/>
      <c r="VHY146" s="24"/>
      <c r="VHZ146" s="24"/>
      <c r="VIA146" s="24"/>
      <c r="VIB146" s="24"/>
      <c r="VIC146" s="24"/>
      <c r="VID146" s="24"/>
      <c r="VIE146" s="24"/>
      <c r="VIF146" s="24"/>
      <c r="VIG146" s="24"/>
      <c r="VIH146" s="24"/>
      <c r="VII146" s="24"/>
      <c r="VIJ146" s="24"/>
      <c r="VIK146" s="24"/>
      <c r="VIL146" s="24"/>
      <c r="VIM146" s="24"/>
      <c r="VIN146" s="24"/>
      <c r="VIO146" s="24"/>
      <c r="VIP146" s="24"/>
      <c r="VIQ146" s="24"/>
      <c r="VIR146" s="24"/>
      <c r="VIS146" s="24"/>
      <c r="VIT146" s="24"/>
      <c r="VIU146" s="24"/>
      <c r="VIV146" s="24"/>
      <c r="VIW146" s="24"/>
      <c r="VIX146" s="24"/>
      <c r="VIY146" s="24"/>
      <c r="VIZ146" s="24"/>
      <c r="VJA146" s="24"/>
      <c r="VJB146" s="24"/>
      <c r="VJC146" s="24"/>
      <c r="VJD146" s="24"/>
      <c r="VJE146" s="24"/>
      <c r="VJF146" s="24"/>
      <c r="VJG146" s="24"/>
      <c r="VJH146" s="24"/>
      <c r="VJI146" s="24"/>
      <c r="VJJ146" s="24"/>
      <c r="VJK146" s="24"/>
      <c r="VJL146" s="24"/>
      <c r="VJM146" s="24"/>
      <c r="VJN146" s="24"/>
      <c r="VJO146" s="24"/>
      <c r="VJP146" s="24"/>
      <c r="VJQ146" s="24"/>
      <c r="VJR146" s="24"/>
      <c r="VJS146" s="24"/>
      <c r="VJT146" s="24"/>
      <c r="VJU146" s="24"/>
      <c r="VJV146" s="24"/>
      <c r="VJW146" s="24"/>
      <c r="VJX146" s="24"/>
      <c r="VJY146" s="24"/>
      <c r="VJZ146" s="24"/>
      <c r="VKA146" s="24"/>
      <c r="VKB146" s="24"/>
      <c r="VKC146" s="24"/>
      <c r="VKD146" s="24"/>
      <c r="VKE146" s="24"/>
      <c r="VKF146" s="24"/>
      <c r="VKG146" s="24"/>
      <c r="VKH146" s="24"/>
      <c r="VKI146" s="24"/>
      <c r="VKJ146" s="24"/>
      <c r="VKK146" s="24"/>
      <c r="VKL146" s="24"/>
      <c r="VKM146" s="24"/>
      <c r="VKN146" s="24"/>
      <c r="VKO146" s="24"/>
      <c r="VKP146" s="24"/>
      <c r="VKQ146" s="24"/>
      <c r="VKR146" s="24"/>
      <c r="VKS146" s="24"/>
      <c r="VKT146" s="24"/>
      <c r="VKU146" s="24"/>
      <c r="VKV146" s="24"/>
      <c r="VKW146" s="24"/>
      <c r="VKX146" s="24"/>
      <c r="VKY146" s="24"/>
      <c r="VKZ146" s="24"/>
      <c r="VLA146" s="24"/>
      <c r="VLB146" s="24"/>
      <c r="VLC146" s="24"/>
      <c r="VLD146" s="24"/>
      <c r="VLE146" s="24"/>
      <c r="VLF146" s="24"/>
      <c r="VLG146" s="24"/>
      <c r="VLH146" s="24"/>
      <c r="VLI146" s="24"/>
      <c r="VLJ146" s="24"/>
      <c r="VLK146" s="24"/>
      <c r="VLL146" s="24"/>
      <c r="VLM146" s="24"/>
      <c r="VLN146" s="24"/>
      <c r="VLO146" s="24"/>
      <c r="VLP146" s="24"/>
      <c r="VLQ146" s="24"/>
      <c r="VLR146" s="24"/>
      <c r="VLS146" s="24"/>
      <c r="VLT146" s="24"/>
      <c r="VLU146" s="24"/>
      <c r="VLV146" s="24"/>
      <c r="VLW146" s="24"/>
      <c r="VLX146" s="24"/>
      <c r="VLY146" s="24"/>
      <c r="VLZ146" s="24"/>
      <c r="VMA146" s="24"/>
      <c r="VMB146" s="24"/>
      <c r="VMC146" s="24"/>
      <c r="VMD146" s="24"/>
      <c r="VME146" s="24"/>
      <c r="VMF146" s="24"/>
      <c r="VMG146" s="24"/>
      <c r="VMH146" s="24"/>
      <c r="VMI146" s="24"/>
      <c r="VMJ146" s="24"/>
      <c r="VMK146" s="24"/>
      <c r="VML146" s="24"/>
      <c r="VMM146" s="24"/>
      <c r="VMN146" s="24"/>
      <c r="VMO146" s="24"/>
      <c r="VMP146" s="24"/>
      <c r="VMQ146" s="24"/>
      <c r="VMR146" s="24"/>
      <c r="VMS146" s="24"/>
      <c r="VMT146" s="24"/>
      <c r="VMU146" s="24"/>
      <c r="VMV146" s="24"/>
      <c r="VMW146" s="24"/>
      <c r="VMX146" s="24"/>
      <c r="VMY146" s="24"/>
      <c r="VMZ146" s="24"/>
      <c r="VNA146" s="24"/>
      <c r="VNB146" s="24"/>
      <c r="VNC146" s="24"/>
      <c r="VND146" s="24"/>
      <c r="VNE146" s="24"/>
      <c r="VNF146" s="24"/>
      <c r="VNG146" s="24"/>
      <c r="VNH146" s="24"/>
      <c r="VNI146" s="24"/>
      <c r="VNJ146" s="24"/>
      <c r="VNK146" s="24"/>
      <c r="VNL146" s="24"/>
      <c r="VNM146" s="24"/>
      <c r="VNN146" s="24"/>
      <c r="VNO146" s="24"/>
      <c r="VNP146" s="24"/>
      <c r="VNQ146" s="24"/>
      <c r="VNR146" s="24"/>
      <c r="VNS146" s="24"/>
      <c r="VNT146" s="24"/>
      <c r="VNU146" s="24"/>
      <c r="VNV146" s="24"/>
      <c r="VNW146" s="24"/>
      <c r="VNX146" s="24"/>
      <c r="VNY146" s="24"/>
      <c r="VNZ146" s="24"/>
      <c r="VOA146" s="24"/>
      <c r="VOB146" s="24"/>
      <c r="VOC146" s="24"/>
      <c r="VOD146" s="24"/>
      <c r="VOE146" s="24"/>
      <c r="VOF146" s="24"/>
      <c r="VOG146" s="24"/>
      <c r="VOH146" s="24"/>
      <c r="VOI146" s="24"/>
      <c r="VOJ146" s="24"/>
      <c r="VOK146" s="24"/>
      <c r="VOL146" s="24"/>
      <c r="VOM146" s="24"/>
      <c r="VON146" s="24"/>
      <c r="VOO146" s="24"/>
      <c r="VOP146" s="24"/>
      <c r="VOQ146" s="24"/>
      <c r="VOR146" s="24"/>
      <c r="VOS146" s="24"/>
      <c r="VOT146" s="24"/>
      <c r="VOU146" s="24"/>
      <c r="VOV146" s="24"/>
      <c r="VOW146" s="24"/>
      <c r="VOX146" s="24"/>
      <c r="VOY146" s="24"/>
      <c r="VOZ146" s="24"/>
      <c r="VPA146" s="24"/>
      <c r="VPB146" s="24"/>
      <c r="VPC146" s="24"/>
      <c r="VPD146" s="24"/>
      <c r="VPE146" s="24"/>
      <c r="VPF146" s="24"/>
      <c r="VPG146" s="24"/>
      <c r="VPH146" s="24"/>
      <c r="VPI146" s="24"/>
      <c r="VPJ146" s="24"/>
      <c r="VPK146" s="24"/>
      <c r="VPL146" s="24"/>
      <c r="VPM146" s="24"/>
      <c r="VPN146" s="24"/>
      <c r="VPO146" s="24"/>
      <c r="VPP146" s="24"/>
      <c r="VPQ146" s="24"/>
      <c r="VPR146" s="24"/>
      <c r="VPS146" s="24"/>
      <c r="VPT146" s="24"/>
      <c r="VPU146" s="24"/>
      <c r="VPV146" s="24"/>
      <c r="VPW146" s="24"/>
      <c r="VPX146" s="24"/>
      <c r="VPY146" s="24"/>
      <c r="VPZ146" s="24"/>
      <c r="VQA146" s="24"/>
      <c r="VQB146" s="24"/>
      <c r="VQC146" s="24"/>
      <c r="VQD146" s="24"/>
      <c r="VQE146" s="24"/>
      <c r="VQF146" s="24"/>
      <c r="VQG146" s="24"/>
      <c r="VQH146" s="24"/>
      <c r="VQI146" s="24"/>
      <c r="VQJ146" s="24"/>
      <c r="VQK146" s="24"/>
      <c r="VQL146" s="24"/>
      <c r="VQM146" s="24"/>
      <c r="VQN146" s="24"/>
      <c r="VQO146" s="24"/>
      <c r="VQP146" s="24"/>
      <c r="VQQ146" s="24"/>
      <c r="VQR146" s="24"/>
      <c r="VQS146" s="24"/>
      <c r="VQT146" s="24"/>
      <c r="VQU146" s="24"/>
      <c r="VQV146" s="24"/>
      <c r="VQW146" s="24"/>
      <c r="VQX146" s="24"/>
      <c r="VQY146" s="24"/>
      <c r="VQZ146" s="24"/>
      <c r="VRA146" s="24"/>
      <c r="VRB146" s="24"/>
      <c r="VRC146" s="24"/>
      <c r="VRD146" s="24"/>
      <c r="VRE146" s="24"/>
      <c r="VRF146" s="24"/>
      <c r="VRG146" s="24"/>
      <c r="VRH146" s="24"/>
      <c r="VRI146" s="24"/>
      <c r="VRJ146" s="24"/>
      <c r="VRK146" s="24"/>
      <c r="VRL146" s="24"/>
      <c r="VRM146" s="24"/>
      <c r="VRN146" s="24"/>
      <c r="VRO146" s="24"/>
      <c r="VRP146" s="24"/>
      <c r="VRQ146" s="24"/>
      <c r="VRR146" s="24"/>
      <c r="VRS146" s="24"/>
      <c r="VRT146" s="24"/>
      <c r="VRU146" s="24"/>
      <c r="VRV146" s="24"/>
      <c r="VRW146" s="24"/>
      <c r="VRX146" s="24"/>
      <c r="VRY146" s="24"/>
      <c r="VRZ146" s="24"/>
      <c r="VSA146" s="24"/>
      <c r="VSB146" s="24"/>
      <c r="VSC146" s="24"/>
      <c r="VSD146" s="24"/>
      <c r="VSE146" s="24"/>
      <c r="VSF146" s="24"/>
      <c r="VSG146" s="24"/>
      <c r="VSH146" s="24"/>
      <c r="VSI146" s="24"/>
      <c r="VSJ146" s="24"/>
      <c r="VSK146" s="24"/>
      <c r="VSL146" s="24"/>
      <c r="VSM146" s="24"/>
      <c r="VSN146" s="24"/>
      <c r="VSO146" s="24"/>
      <c r="VSP146" s="24"/>
      <c r="VSQ146" s="24"/>
      <c r="VSR146" s="24"/>
      <c r="VSS146" s="24"/>
      <c r="VST146" s="24"/>
      <c r="VSU146" s="24"/>
      <c r="VSV146" s="24"/>
      <c r="VSW146" s="24"/>
      <c r="VSX146" s="24"/>
      <c r="VSY146" s="24"/>
      <c r="VSZ146" s="24"/>
      <c r="VTA146" s="24"/>
      <c r="VTB146" s="24"/>
      <c r="VTC146" s="24"/>
      <c r="VTD146" s="24"/>
      <c r="VTE146" s="24"/>
      <c r="VTF146" s="24"/>
      <c r="VTG146" s="24"/>
      <c r="VTH146" s="24"/>
      <c r="VTI146" s="24"/>
      <c r="VTJ146" s="24"/>
      <c r="VTK146" s="24"/>
      <c r="VTL146" s="24"/>
      <c r="VTM146" s="24"/>
      <c r="VTN146" s="24"/>
      <c r="VTO146" s="24"/>
      <c r="VTP146" s="24"/>
      <c r="VTQ146" s="24"/>
      <c r="VTR146" s="24"/>
      <c r="VTS146" s="24"/>
      <c r="VTT146" s="24"/>
      <c r="VTU146" s="24"/>
      <c r="VTV146" s="24"/>
      <c r="VTW146" s="24"/>
      <c r="VTX146" s="24"/>
      <c r="VTY146" s="24"/>
      <c r="VTZ146" s="24"/>
      <c r="VUA146" s="24"/>
      <c r="VUB146" s="24"/>
      <c r="VUC146" s="24"/>
      <c r="VUD146" s="24"/>
      <c r="VUE146" s="24"/>
      <c r="VUF146" s="24"/>
      <c r="VUG146" s="24"/>
      <c r="VUH146" s="24"/>
      <c r="VUI146" s="24"/>
      <c r="VUJ146" s="24"/>
      <c r="VUK146" s="24"/>
      <c r="VUL146" s="24"/>
      <c r="VUM146" s="24"/>
      <c r="VUN146" s="24"/>
      <c r="VUO146" s="24"/>
      <c r="VUP146" s="24"/>
      <c r="VUQ146" s="24"/>
      <c r="VUR146" s="24"/>
      <c r="VUS146" s="24"/>
      <c r="VUT146" s="24"/>
      <c r="VUU146" s="24"/>
      <c r="VUV146" s="24"/>
      <c r="VUW146" s="24"/>
      <c r="VUX146" s="24"/>
      <c r="VUY146" s="24"/>
      <c r="VUZ146" s="24"/>
      <c r="VVA146" s="24"/>
      <c r="VVB146" s="24"/>
      <c r="VVC146" s="24"/>
      <c r="VVD146" s="24"/>
      <c r="VVE146" s="24"/>
      <c r="VVF146" s="24"/>
      <c r="VVG146" s="24"/>
      <c r="VVH146" s="24"/>
      <c r="VVI146" s="24"/>
      <c r="VVJ146" s="24"/>
      <c r="VVK146" s="24"/>
      <c r="VVL146" s="24"/>
      <c r="VVM146" s="24"/>
      <c r="VVN146" s="24"/>
      <c r="VVO146" s="24"/>
      <c r="VVP146" s="24"/>
      <c r="VVQ146" s="24"/>
      <c r="VVR146" s="24"/>
      <c r="VVS146" s="24"/>
      <c r="VVT146" s="24"/>
      <c r="VVU146" s="24"/>
      <c r="VVV146" s="24"/>
      <c r="VVW146" s="24"/>
      <c r="VVX146" s="24"/>
      <c r="VVY146" s="24"/>
      <c r="VVZ146" s="24"/>
      <c r="VWA146" s="24"/>
      <c r="VWB146" s="24"/>
      <c r="VWC146" s="24"/>
      <c r="VWD146" s="24"/>
      <c r="VWE146" s="24"/>
      <c r="VWF146" s="24"/>
      <c r="VWG146" s="24"/>
      <c r="VWH146" s="24"/>
      <c r="VWI146" s="24"/>
      <c r="VWJ146" s="24"/>
      <c r="VWK146" s="24"/>
      <c r="VWL146" s="24"/>
      <c r="VWM146" s="24"/>
      <c r="VWN146" s="24"/>
      <c r="VWO146" s="24"/>
      <c r="VWP146" s="24"/>
      <c r="VWQ146" s="24"/>
      <c r="VWR146" s="24"/>
      <c r="VWS146" s="24"/>
      <c r="VWT146" s="24"/>
      <c r="VWU146" s="24"/>
      <c r="VWV146" s="24"/>
      <c r="VWW146" s="24"/>
      <c r="VWX146" s="24"/>
      <c r="VWY146" s="24"/>
      <c r="VWZ146" s="24"/>
      <c r="VXA146" s="24"/>
      <c r="VXB146" s="24"/>
      <c r="VXC146" s="24"/>
      <c r="VXD146" s="24"/>
      <c r="VXE146" s="24"/>
      <c r="VXF146" s="24"/>
      <c r="VXG146" s="24"/>
      <c r="VXH146" s="24"/>
      <c r="VXI146" s="24"/>
      <c r="VXJ146" s="24"/>
      <c r="VXK146" s="24"/>
      <c r="VXL146" s="24"/>
      <c r="VXM146" s="24"/>
      <c r="VXN146" s="24"/>
      <c r="VXO146" s="24"/>
      <c r="VXP146" s="24"/>
      <c r="VXQ146" s="24"/>
      <c r="VXR146" s="24"/>
      <c r="VXS146" s="24"/>
      <c r="VXT146" s="24"/>
      <c r="VXU146" s="24"/>
      <c r="VXV146" s="24"/>
      <c r="VXW146" s="24"/>
      <c r="VXX146" s="24"/>
      <c r="VXY146" s="24"/>
      <c r="VXZ146" s="24"/>
      <c r="VYA146" s="24"/>
      <c r="VYB146" s="24"/>
      <c r="VYC146" s="24"/>
      <c r="VYD146" s="24"/>
      <c r="VYE146" s="24"/>
      <c r="VYF146" s="24"/>
      <c r="VYG146" s="24"/>
      <c r="VYH146" s="24"/>
      <c r="VYI146" s="24"/>
      <c r="VYJ146" s="24"/>
      <c r="VYK146" s="24"/>
      <c r="VYL146" s="24"/>
      <c r="VYM146" s="24"/>
      <c r="VYN146" s="24"/>
      <c r="VYO146" s="24"/>
      <c r="VYP146" s="24"/>
      <c r="VYQ146" s="24"/>
      <c r="VYR146" s="24"/>
      <c r="VYS146" s="24"/>
      <c r="VYT146" s="24"/>
      <c r="VYU146" s="24"/>
      <c r="VYV146" s="24"/>
      <c r="VYW146" s="24"/>
      <c r="VYX146" s="24"/>
      <c r="VYY146" s="24"/>
      <c r="VYZ146" s="24"/>
      <c r="VZA146" s="24"/>
      <c r="VZB146" s="24"/>
      <c r="VZC146" s="24"/>
      <c r="VZD146" s="24"/>
      <c r="VZE146" s="24"/>
      <c r="VZF146" s="24"/>
      <c r="VZG146" s="24"/>
      <c r="VZH146" s="24"/>
      <c r="VZI146" s="24"/>
      <c r="VZJ146" s="24"/>
      <c r="VZK146" s="24"/>
      <c r="VZL146" s="24"/>
      <c r="VZM146" s="24"/>
      <c r="VZN146" s="24"/>
      <c r="VZO146" s="24"/>
      <c r="VZP146" s="24"/>
      <c r="VZQ146" s="24"/>
      <c r="VZR146" s="24"/>
      <c r="VZS146" s="24"/>
      <c r="VZT146" s="24"/>
      <c r="VZU146" s="24"/>
      <c r="VZV146" s="24"/>
      <c r="VZW146" s="24"/>
      <c r="VZX146" s="24"/>
      <c r="VZY146" s="24"/>
      <c r="VZZ146" s="24"/>
      <c r="WAA146" s="24"/>
      <c r="WAB146" s="24"/>
      <c r="WAC146" s="24"/>
      <c r="WAD146" s="24"/>
      <c r="WAE146" s="24"/>
      <c r="WAF146" s="24"/>
      <c r="WAG146" s="24"/>
      <c r="WAH146" s="24"/>
      <c r="WAI146" s="24"/>
      <c r="WAJ146" s="24"/>
      <c r="WAK146" s="24"/>
      <c r="WAL146" s="24"/>
      <c r="WAM146" s="24"/>
      <c r="WAN146" s="24"/>
      <c r="WAO146" s="24"/>
      <c r="WAP146" s="24"/>
      <c r="WAQ146" s="24"/>
      <c r="WAR146" s="24"/>
      <c r="WAS146" s="24"/>
      <c r="WAT146" s="24"/>
      <c r="WAU146" s="24"/>
      <c r="WAV146" s="24"/>
      <c r="WAW146" s="24"/>
      <c r="WAX146" s="24"/>
      <c r="WAY146" s="24"/>
      <c r="WAZ146" s="24"/>
      <c r="WBA146" s="24"/>
      <c r="WBB146" s="24"/>
      <c r="WBC146" s="24"/>
      <c r="WBD146" s="24"/>
      <c r="WBE146" s="24"/>
      <c r="WBF146" s="24"/>
      <c r="WBG146" s="24"/>
      <c r="WBH146" s="24"/>
      <c r="WBI146" s="24"/>
      <c r="WBJ146" s="24"/>
      <c r="WBK146" s="24"/>
      <c r="WBL146" s="24"/>
      <c r="WBM146" s="24"/>
      <c r="WBN146" s="24"/>
      <c r="WBO146" s="24"/>
      <c r="WBP146" s="24"/>
      <c r="WBQ146" s="24"/>
      <c r="WBR146" s="24"/>
      <c r="WBS146" s="24"/>
      <c r="WBT146" s="24"/>
      <c r="WBU146" s="24"/>
      <c r="WBV146" s="24"/>
      <c r="WBW146" s="24"/>
      <c r="WBX146" s="24"/>
      <c r="WBY146" s="24"/>
      <c r="WBZ146" s="24"/>
      <c r="WCA146" s="24"/>
      <c r="WCB146" s="24"/>
      <c r="WCC146" s="24"/>
      <c r="WCD146" s="24"/>
      <c r="WCE146" s="24"/>
      <c r="WCF146" s="24"/>
      <c r="WCG146" s="24"/>
      <c r="WCH146" s="24"/>
      <c r="WCI146" s="24"/>
      <c r="WCJ146" s="24"/>
      <c r="WCK146" s="24"/>
      <c r="WCL146" s="24"/>
      <c r="WCM146" s="24"/>
      <c r="WCN146" s="24"/>
      <c r="WCO146" s="24"/>
      <c r="WCP146" s="24"/>
      <c r="WCQ146" s="24"/>
      <c r="WCR146" s="24"/>
      <c r="WCS146" s="24"/>
      <c r="WCT146" s="24"/>
      <c r="WCU146" s="24"/>
      <c r="WCV146" s="24"/>
      <c r="WCW146" s="24"/>
      <c r="WCX146" s="24"/>
      <c r="WCY146" s="24"/>
      <c r="WCZ146" s="24"/>
      <c r="WDA146" s="24"/>
      <c r="WDB146" s="24"/>
      <c r="WDC146" s="24"/>
      <c r="WDD146" s="24"/>
      <c r="WDE146" s="24"/>
      <c r="WDF146" s="24"/>
      <c r="WDG146" s="24"/>
      <c r="WDH146" s="24"/>
      <c r="WDI146" s="24"/>
      <c r="WDJ146" s="24"/>
      <c r="WDK146" s="24"/>
      <c r="WDL146" s="24"/>
      <c r="WDM146" s="24"/>
      <c r="WDN146" s="24"/>
      <c r="WDO146" s="24"/>
      <c r="WDP146" s="24"/>
      <c r="WDQ146" s="24"/>
      <c r="WDR146" s="24"/>
      <c r="WDS146" s="24"/>
      <c r="WDT146" s="24"/>
      <c r="WDU146" s="24"/>
      <c r="WDV146" s="24"/>
      <c r="WDW146" s="24"/>
      <c r="WDX146" s="24"/>
      <c r="WDY146" s="24"/>
      <c r="WDZ146" s="24"/>
      <c r="WEA146" s="24"/>
      <c r="WEB146" s="24"/>
      <c r="WEC146" s="24"/>
      <c r="WED146" s="24"/>
      <c r="WEE146" s="24"/>
      <c r="WEF146" s="24"/>
      <c r="WEG146" s="24"/>
      <c r="WEH146" s="24"/>
      <c r="WEI146" s="24"/>
      <c r="WEJ146" s="24"/>
      <c r="WEK146" s="24"/>
      <c r="WEL146" s="24"/>
      <c r="WEM146" s="24"/>
      <c r="WEN146" s="24"/>
      <c r="WEO146" s="24"/>
      <c r="WEP146" s="24"/>
      <c r="WEQ146" s="24"/>
      <c r="WER146" s="24"/>
      <c r="WES146" s="24"/>
      <c r="WET146" s="24"/>
      <c r="WEU146" s="24"/>
      <c r="WEV146" s="24"/>
      <c r="WEW146" s="24"/>
      <c r="WEX146" s="24"/>
      <c r="WEY146" s="24"/>
      <c r="WEZ146" s="24"/>
      <c r="WFA146" s="24"/>
      <c r="WFB146" s="24"/>
      <c r="WFC146" s="24"/>
      <c r="WFD146" s="24"/>
      <c r="WFE146" s="24"/>
      <c r="WFF146" s="24"/>
      <c r="WFG146" s="24"/>
      <c r="WFH146" s="24"/>
      <c r="WFI146" s="24"/>
      <c r="WFJ146" s="24"/>
      <c r="WFK146" s="24"/>
      <c r="WFL146" s="24"/>
      <c r="WFM146" s="24"/>
      <c r="WFN146" s="24"/>
      <c r="WFO146" s="24"/>
      <c r="WFP146" s="24"/>
      <c r="WFQ146" s="24"/>
      <c r="WFR146" s="24"/>
      <c r="WFS146" s="24"/>
      <c r="WFT146" s="24"/>
      <c r="WFU146" s="24"/>
      <c r="WFV146" s="24"/>
      <c r="WFW146" s="24"/>
      <c r="WFX146" s="24"/>
      <c r="WFY146" s="24"/>
      <c r="WFZ146" s="24"/>
      <c r="WGA146" s="24"/>
      <c r="WGB146" s="24"/>
      <c r="WGC146" s="24"/>
      <c r="WGD146" s="24"/>
      <c r="WGE146" s="24"/>
      <c r="WGF146" s="24"/>
      <c r="WGG146" s="24"/>
      <c r="WGH146" s="24"/>
      <c r="WGI146" s="24"/>
      <c r="WGJ146" s="24"/>
      <c r="WGK146" s="24"/>
      <c r="WGL146" s="24"/>
      <c r="WGM146" s="24"/>
      <c r="WGN146" s="24"/>
      <c r="WGO146" s="24"/>
      <c r="WGP146" s="24"/>
      <c r="WGQ146" s="24"/>
      <c r="WGR146" s="24"/>
      <c r="WGS146" s="24"/>
      <c r="WGT146" s="24"/>
      <c r="WGU146" s="24"/>
      <c r="WGV146" s="24"/>
      <c r="WGW146" s="24"/>
      <c r="WGX146" s="24"/>
      <c r="WGY146" s="24"/>
      <c r="WGZ146" s="24"/>
      <c r="WHA146" s="24"/>
      <c r="WHB146" s="24"/>
      <c r="WHC146" s="24"/>
      <c r="WHD146" s="24"/>
      <c r="WHE146" s="24"/>
      <c r="WHF146" s="24"/>
      <c r="WHG146" s="24"/>
      <c r="WHH146" s="24"/>
      <c r="WHI146" s="24"/>
      <c r="WHJ146" s="24"/>
      <c r="WHK146" s="24"/>
      <c r="WHL146" s="24"/>
      <c r="WHM146" s="24"/>
      <c r="WHN146" s="24"/>
      <c r="WHO146" s="24"/>
      <c r="WHP146" s="24"/>
      <c r="WHQ146" s="24"/>
      <c r="WHR146" s="24"/>
      <c r="WHS146" s="24"/>
      <c r="WHT146" s="24"/>
      <c r="WHU146" s="24"/>
      <c r="WHV146" s="24"/>
      <c r="WHW146" s="24"/>
      <c r="WHX146" s="24"/>
      <c r="WHY146" s="24"/>
      <c r="WHZ146" s="24"/>
      <c r="WIA146" s="24"/>
      <c r="WIB146" s="24"/>
      <c r="WIC146" s="24"/>
      <c r="WID146" s="24"/>
      <c r="WIE146" s="24"/>
      <c r="WIF146" s="24"/>
      <c r="WIG146" s="24"/>
      <c r="WIH146" s="24"/>
      <c r="WII146" s="24"/>
      <c r="WIJ146" s="24"/>
      <c r="WIK146" s="24"/>
      <c r="WIL146" s="24"/>
      <c r="WIM146" s="24"/>
      <c r="WIN146" s="24"/>
      <c r="WIO146" s="24"/>
      <c r="WIP146" s="24"/>
      <c r="WIQ146" s="24"/>
      <c r="WIR146" s="24"/>
      <c r="WIS146" s="24"/>
      <c r="WIT146" s="24"/>
      <c r="WIU146" s="24"/>
      <c r="WIV146" s="24"/>
      <c r="WIW146" s="24"/>
      <c r="WIX146" s="24"/>
      <c r="WIY146" s="24"/>
      <c r="WIZ146" s="24"/>
      <c r="WJA146" s="24"/>
      <c r="WJB146" s="24"/>
      <c r="WJC146" s="24"/>
      <c r="WJD146" s="24"/>
      <c r="WJE146" s="24"/>
      <c r="WJF146" s="24"/>
      <c r="WJG146" s="24"/>
      <c r="WJH146" s="24"/>
      <c r="WJI146" s="24"/>
      <c r="WJJ146" s="24"/>
      <c r="WJK146" s="24"/>
      <c r="WJL146" s="24"/>
      <c r="WJM146" s="24"/>
      <c r="WJN146" s="24"/>
      <c r="WJO146" s="24"/>
      <c r="WJP146" s="24"/>
      <c r="WJQ146" s="24"/>
      <c r="WJR146" s="24"/>
      <c r="WJS146" s="24"/>
      <c r="WJT146" s="24"/>
      <c r="WJU146" s="24"/>
      <c r="WJV146" s="24"/>
      <c r="WJW146" s="24"/>
      <c r="WJX146" s="24"/>
      <c r="WJY146" s="24"/>
      <c r="WJZ146" s="24"/>
      <c r="WKA146" s="24"/>
      <c r="WKB146" s="24"/>
      <c r="WKC146" s="24"/>
      <c r="WKD146" s="24"/>
      <c r="WKE146" s="24"/>
      <c r="WKF146" s="24"/>
      <c r="WKG146" s="24"/>
      <c r="WKH146" s="24"/>
      <c r="WKI146" s="24"/>
      <c r="WKJ146" s="24"/>
      <c r="WKK146" s="24"/>
      <c r="WKL146" s="24"/>
      <c r="WKM146" s="24"/>
      <c r="WKN146" s="24"/>
      <c r="WKO146" s="24"/>
      <c r="WKP146" s="24"/>
      <c r="WKQ146" s="24"/>
      <c r="WKR146" s="24"/>
      <c r="WKS146" s="24"/>
      <c r="WKT146" s="24"/>
      <c r="WKU146" s="24"/>
      <c r="WKV146" s="24"/>
      <c r="WKW146" s="24"/>
      <c r="WKX146" s="24"/>
      <c r="WKY146" s="24"/>
      <c r="WKZ146" s="24"/>
      <c r="WLA146" s="24"/>
      <c r="WLB146" s="24"/>
      <c r="WLC146" s="24"/>
      <c r="WLD146" s="24"/>
      <c r="WLE146" s="24"/>
      <c r="WLF146" s="24"/>
      <c r="WLG146" s="24"/>
      <c r="WLH146" s="24"/>
      <c r="WLI146" s="24"/>
      <c r="WLJ146" s="24"/>
      <c r="WLK146" s="24"/>
      <c r="WLL146" s="24"/>
      <c r="WLM146" s="24"/>
      <c r="WLN146" s="24"/>
      <c r="WLO146" s="24"/>
      <c r="WLP146" s="24"/>
      <c r="WLQ146" s="24"/>
      <c r="WLR146" s="24"/>
      <c r="WLS146" s="24"/>
      <c r="WLT146" s="24"/>
      <c r="WLU146" s="24"/>
      <c r="WLV146" s="24"/>
      <c r="WLW146" s="24"/>
      <c r="WLX146" s="24"/>
      <c r="WLY146" s="24"/>
      <c r="WLZ146" s="24"/>
      <c r="WMA146" s="24"/>
      <c r="WMB146" s="24"/>
      <c r="WMC146" s="24"/>
      <c r="WMD146" s="24"/>
      <c r="WME146" s="24"/>
      <c r="WMF146" s="24"/>
      <c r="WMG146" s="24"/>
      <c r="WMH146" s="24"/>
      <c r="WMI146" s="24"/>
      <c r="WMJ146" s="24"/>
      <c r="WMK146" s="24"/>
      <c r="WML146" s="24"/>
      <c r="WMM146" s="24"/>
      <c r="WMN146" s="24"/>
      <c r="WMO146" s="24"/>
      <c r="WMP146" s="24"/>
      <c r="WMQ146" s="24"/>
      <c r="WMR146" s="24"/>
      <c r="WMS146" s="24"/>
      <c r="WMT146" s="24"/>
      <c r="WMU146" s="24"/>
      <c r="WMV146" s="24"/>
      <c r="WMW146" s="24"/>
      <c r="WMX146" s="24"/>
      <c r="WMY146" s="24"/>
      <c r="WMZ146" s="24"/>
      <c r="WNA146" s="24"/>
      <c r="WNB146" s="24"/>
      <c r="WNC146" s="24"/>
      <c r="WND146" s="24"/>
      <c r="WNE146" s="24"/>
      <c r="WNF146" s="24"/>
      <c r="WNG146" s="24"/>
      <c r="WNH146" s="24"/>
      <c r="WNI146" s="24"/>
      <c r="WNJ146" s="24"/>
      <c r="WNK146" s="24"/>
      <c r="WNL146" s="24"/>
      <c r="WNM146" s="24"/>
      <c r="WNN146" s="24"/>
      <c r="WNO146" s="24"/>
      <c r="WNP146" s="24"/>
      <c r="WNQ146" s="24"/>
      <c r="WNR146" s="24"/>
      <c r="WNS146" s="24"/>
      <c r="WNT146" s="24"/>
      <c r="WNU146" s="24"/>
      <c r="WNV146" s="24"/>
      <c r="WNW146" s="24"/>
      <c r="WNX146" s="24"/>
      <c r="WNY146" s="24"/>
      <c r="WNZ146" s="24"/>
      <c r="WOA146" s="24"/>
      <c r="WOB146" s="24"/>
      <c r="WOC146" s="24"/>
      <c r="WOD146" s="24"/>
      <c r="WOE146" s="24"/>
      <c r="WOF146" s="24"/>
      <c r="WOG146" s="24"/>
      <c r="WOH146" s="24"/>
      <c r="WOI146" s="24"/>
      <c r="WOJ146" s="24"/>
      <c r="WOK146" s="24"/>
      <c r="WOL146" s="24"/>
      <c r="WOM146" s="24"/>
      <c r="WON146" s="24"/>
      <c r="WOO146" s="24"/>
      <c r="WOP146" s="24"/>
      <c r="WOQ146" s="24"/>
      <c r="WOR146" s="24"/>
      <c r="WOS146" s="24"/>
      <c r="WOT146" s="24"/>
      <c r="WOU146" s="24"/>
      <c r="WOV146" s="24"/>
      <c r="WOW146" s="24"/>
      <c r="WOX146" s="24"/>
      <c r="WOY146" s="24"/>
      <c r="WOZ146" s="24"/>
      <c r="WPA146" s="24"/>
      <c r="WPB146" s="24"/>
      <c r="WPC146" s="24"/>
      <c r="WPD146" s="24"/>
      <c r="WPE146" s="24"/>
      <c r="WPF146" s="24"/>
      <c r="WPG146" s="24"/>
      <c r="WPH146" s="24"/>
      <c r="WPI146" s="24"/>
      <c r="WPJ146" s="24"/>
      <c r="WPK146" s="24"/>
      <c r="WPL146" s="24"/>
      <c r="WPM146" s="24"/>
      <c r="WPN146" s="24"/>
      <c r="WPO146" s="24"/>
      <c r="WPP146" s="24"/>
      <c r="WPQ146" s="24"/>
      <c r="WPR146" s="24"/>
      <c r="WPS146" s="24"/>
      <c r="WPT146" s="24"/>
      <c r="WPU146" s="24"/>
      <c r="WPV146" s="24"/>
      <c r="WPW146" s="24"/>
      <c r="WPX146" s="24"/>
      <c r="WPY146" s="24"/>
      <c r="WPZ146" s="24"/>
      <c r="WQA146" s="24"/>
      <c r="WQB146" s="24"/>
      <c r="WQC146" s="24"/>
      <c r="WQD146" s="24"/>
      <c r="WQE146" s="24"/>
      <c r="WQF146" s="24"/>
      <c r="WQG146" s="24"/>
      <c r="WQH146" s="24"/>
      <c r="WQI146" s="24"/>
      <c r="WQJ146" s="24"/>
      <c r="WQK146" s="24"/>
      <c r="WQL146" s="24"/>
      <c r="WQM146" s="24"/>
      <c r="WQN146" s="24"/>
      <c r="WQO146" s="24"/>
      <c r="WQP146" s="24"/>
      <c r="WQQ146" s="24"/>
      <c r="WQR146" s="24"/>
      <c r="WQS146" s="24"/>
      <c r="WQT146" s="24"/>
      <c r="WQU146" s="24"/>
      <c r="WQV146" s="24"/>
      <c r="WQW146" s="24"/>
      <c r="WQX146" s="24"/>
      <c r="WQY146" s="24"/>
      <c r="WQZ146" s="24"/>
      <c r="WRA146" s="24"/>
      <c r="WRB146" s="24"/>
      <c r="WRC146" s="24"/>
      <c r="WRD146" s="24"/>
      <c r="WRE146" s="24"/>
      <c r="WRF146" s="24"/>
      <c r="WRG146" s="24"/>
      <c r="WRH146" s="24"/>
      <c r="WRI146" s="24"/>
      <c r="WRJ146" s="24"/>
      <c r="WRK146" s="24"/>
      <c r="WRL146" s="24"/>
      <c r="WRM146" s="24"/>
      <c r="WRN146" s="24"/>
      <c r="WRO146" s="24"/>
      <c r="WRP146" s="24"/>
      <c r="WRQ146" s="24"/>
      <c r="WRR146" s="24"/>
      <c r="WRS146" s="24"/>
      <c r="WRT146" s="24"/>
      <c r="WRU146" s="24"/>
      <c r="WRV146" s="24"/>
      <c r="WRW146" s="24"/>
      <c r="WRX146" s="24"/>
      <c r="WRY146" s="24"/>
      <c r="WRZ146" s="24"/>
      <c r="WSA146" s="24"/>
      <c r="WSB146" s="24"/>
      <c r="WSC146" s="24"/>
      <c r="WSD146" s="24"/>
      <c r="WSE146" s="24"/>
      <c r="WSF146" s="24"/>
      <c r="WSG146" s="24"/>
      <c r="WSH146" s="24"/>
      <c r="WSI146" s="24"/>
      <c r="WSJ146" s="24"/>
      <c r="WSK146" s="24"/>
      <c r="WSL146" s="24"/>
      <c r="WSM146" s="24"/>
      <c r="WSN146" s="24"/>
      <c r="WSO146" s="24"/>
      <c r="WSP146" s="24"/>
      <c r="WSQ146" s="24"/>
      <c r="WSR146" s="24"/>
      <c r="WSS146" s="24"/>
      <c r="WST146" s="24"/>
      <c r="WSU146" s="24"/>
      <c r="WSV146" s="24"/>
      <c r="WSW146" s="24"/>
      <c r="WSX146" s="24"/>
      <c r="WSY146" s="24"/>
      <c r="WSZ146" s="24"/>
      <c r="WTA146" s="24"/>
      <c r="WTB146" s="24"/>
      <c r="WTC146" s="24"/>
      <c r="WTD146" s="24"/>
      <c r="WTE146" s="24"/>
      <c r="WTF146" s="24"/>
      <c r="WTG146" s="24"/>
      <c r="WTH146" s="24"/>
      <c r="WTI146" s="24"/>
      <c r="WTJ146" s="24"/>
      <c r="WTK146" s="24"/>
      <c r="WTL146" s="24"/>
      <c r="WTM146" s="24"/>
      <c r="WTN146" s="24"/>
      <c r="WTO146" s="24"/>
      <c r="WTP146" s="24"/>
      <c r="WTQ146" s="24"/>
      <c r="WTR146" s="24"/>
      <c r="WTS146" s="24"/>
      <c r="WTT146" s="24"/>
      <c r="WTU146" s="24"/>
      <c r="WTV146" s="24"/>
      <c r="WTW146" s="24"/>
      <c r="WTX146" s="24"/>
      <c r="WTY146" s="24"/>
      <c r="WTZ146" s="24"/>
      <c r="WUA146" s="24"/>
      <c r="WUB146" s="24"/>
      <c r="WUC146" s="24"/>
      <c r="WUD146" s="24"/>
      <c r="WUE146" s="24"/>
      <c r="WUF146" s="24"/>
      <c r="WUG146" s="24"/>
      <c r="WUH146" s="24"/>
      <c r="WUI146" s="24"/>
      <c r="WUJ146" s="24"/>
      <c r="WUK146" s="24"/>
      <c r="WUL146" s="24"/>
      <c r="WUM146" s="24"/>
      <c r="WUN146" s="24"/>
      <c r="WUO146" s="24"/>
      <c r="WUP146" s="24"/>
      <c r="WUQ146" s="24"/>
      <c r="WUR146" s="24"/>
      <c r="WUS146" s="24"/>
      <c r="WUT146" s="24"/>
      <c r="WUU146" s="24"/>
      <c r="WUV146" s="24"/>
      <c r="WUW146" s="24"/>
      <c r="WUX146" s="24"/>
      <c r="WUY146" s="24"/>
      <c r="WUZ146" s="24"/>
      <c r="WVA146" s="24"/>
      <c r="WVB146" s="24"/>
      <c r="WVC146" s="24"/>
      <c r="WVD146" s="24"/>
      <c r="WVE146" s="24"/>
      <c r="WVF146" s="24"/>
      <c r="WVG146" s="24"/>
      <c r="WVH146" s="24"/>
      <c r="WVI146" s="24"/>
      <c r="WVJ146" s="24"/>
      <c r="WVK146" s="24"/>
      <c r="WVL146" s="24"/>
      <c r="WVM146" s="24"/>
      <c r="WVN146" s="24"/>
      <c r="WVO146" s="24"/>
      <c r="WVP146" s="24"/>
      <c r="WVQ146" s="24"/>
      <c r="WVR146" s="24"/>
      <c r="WVS146" s="24"/>
      <c r="WVT146" s="24"/>
      <c r="WVU146" s="24"/>
      <c r="WVV146" s="24"/>
      <c r="WVW146" s="24"/>
      <c r="WVX146" s="24"/>
      <c r="WVY146" s="24"/>
      <c r="WVZ146" s="24"/>
      <c r="WWA146" s="24"/>
      <c r="WWB146" s="24"/>
      <c r="WWC146" s="24"/>
      <c r="WWD146" s="24"/>
      <c r="WWE146" s="24"/>
      <c r="WWF146" s="24"/>
      <c r="WWG146" s="24"/>
      <c r="WWH146" s="24"/>
      <c r="WWI146" s="24"/>
      <c r="WWJ146" s="24"/>
      <c r="WWK146" s="24"/>
      <c r="WWL146" s="24"/>
      <c r="WWM146" s="24"/>
      <c r="WWN146" s="24"/>
      <c r="WWO146" s="24"/>
      <c r="WWP146" s="24"/>
      <c r="WWQ146" s="24"/>
      <c r="WWR146" s="24"/>
      <c r="WWS146" s="24"/>
      <c r="WWT146" s="24"/>
      <c r="WWU146" s="24"/>
      <c r="WWV146" s="24"/>
      <c r="WWW146" s="24"/>
      <c r="WWX146" s="24"/>
      <c r="WWY146" s="24"/>
      <c r="WWZ146" s="24"/>
      <c r="WXA146" s="24"/>
      <c r="WXB146" s="24"/>
      <c r="WXC146" s="24"/>
      <c r="WXD146" s="24"/>
      <c r="WXE146" s="24"/>
      <c r="WXF146" s="24"/>
      <c r="WXG146" s="24"/>
      <c r="WXH146" s="24"/>
      <c r="WXI146" s="24"/>
      <c r="WXJ146" s="24"/>
      <c r="WXK146" s="24"/>
      <c r="WXL146" s="24"/>
      <c r="WXM146" s="24"/>
      <c r="WXN146" s="24"/>
      <c r="WXO146" s="24"/>
      <c r="WXP146" s="24"/>
      <c r="WXQ146" s="24"/>
      <c r="WXR146" s="24"/>
      <c r="WXS146" s="24"/>
      <c r="WXT146" s="24"/>
      <c r="WXU146" s="24"/>
      <c r="WXV146" s="24"/>
      <c r="WXW146" s="24"/>
      <c r="WXX146" s="24"/>
      <c r="WXY146" s="24"/>
      <c r="WXZ146" s="24"/>
      <c r="WYA146" s="24"/>
      <c r="WYB146" s="24"/>
      <c r="WYC146" s="24"/>
      <c r="WYD146" s="24"/>
      <c r="WYE146" s="24"/>
      <c r="WYF146" s="24"/>
      <c r="WYG146" s="24"/>
      <c r="WYH146" s="24"/>
      <c r="WYI146" s="24"/>
      <c r="WYJ146" s="24"/>
      <c r="WYK146" s="24"/>
      <c r="WYL146" s="24"/>
      <c r="WYM146" s="24"/>
      <c r="WYN146" s="24"/>
      <c r="WYO146" s="24"/>
      <c r="WYP146" s="24"/>
      <c r="WYQ146" s="24"/>
      <c r="WYR146" s="24"/>
      <c r="WYS146" s="24"/>
      <c r="WYT146" s="24"/>
      <c r="WYU146" s="24"/>
      <c r="WYV146" s="24"/>
      <c r="WYW146" s="24"/>
      <c r="WYX146" s="24"/>
      <c r="WYY146" s="24"/>
      <c r="WYZ146" s="24"/>
      <c r="WZA146" s="24"/>
      <c r="WZB146" s="24"/>
      <c r="WZC146" s="24"/>
      <c r="WZD146" s="24"/>
      <c r="WZE146" s="24"/>
      <c r="WZF146" s="24"/>
      <c r="WZG146" s="24"/>
      <c r="WZH146" s="24"/>
      <c r="WZI146" s="24"/>
      <c r="WZJ146" s="24"/>
      <c r="WZK146" s="24"/>
      <c r="WZL146" s="24"/>
      <c r="WZM146" s="24"/>
      <c r="WZN146" s="24"/>
      <c r="WZO146" s="24"/>
      <c r="WZP146" s="24"/>
      <c r="WZQ146" s="24"/>
      <c r="WZR146" s="24"/>
      <c r="WZS146" s="24"/>
      <c r="WZT146" s="24"/>
      <c r="WZU146" s="24"/>
      <c r="WZV146" s="24"/>
      <c r="WZW146" s="24"/>
      <c r="WZX146" s="24"/>
      <c r="WZY146" s="24"/>
      <c r="WZZ146" s="24"/>
      <c r="XAA146" s="24"/>
      <c r="XAB146" s="24"/>
      <c r="XAC146" s="24"/>
      <c r="XAD146" s="24"/>
      <c r="XAE146" s="24"/>
      <c r="XAF146" s="24"/>
      <c r="XAG146" s="24"/>
      <c r="XAH146" s="24"/>
      <c r="XAI146" s="24"/>
      <c r="XAJ146" s="24"/>
      <c r="XAK146" s="24"/>
      <c r="XAL146" s="24"/>
      <c r="XAM146" s="24"/>
      <c r="XAN146" s="24"/>
      <c r="XAO146" s="24"/>
      <c r="XAP146" s="24"/>
      <c r="XAQ146" s="24"/>
      <c r="XAR146" s="24"/>
      <c r="XAS146" s="24"/>
      <c r="XAT146" s="24"/>
      <c r="XAU146" s="24"/>
      <c r="XAV146" s="24"/>
      <c r="XAW146" s="24"/>
      <c r="XAX146" s="24"/>
      <c r="XAY146" s="24"/>
      <c r="XAZ146" s="24"/>
      <c r="XBA146" s="24"/>
      <c r="XBB146" s="24"/>
      <c r="XBC146" s="24"/>
      <c r="XBD146" s="24"/>
      <c r="XBE146" s="24"/>
      <c r="XBF146" s="24"/>
      <c r="XBG146" s="24"/>
      <c r="XBH146" s="24"/>
      <c r="XBI146" s="24"/>
      <c r="XBJ146" s="24"/>
      <c r="XBK146" s="24"/>
      <c r="XBL146" s="24"/>
      <c r="XBM146" s="24"/>
      <c r="XBN146" s="24"/>
      <c r="XBO146" s="24"/>
      <c r="XBP146" s="24"/>
      <c r="XBQ146" s="24"/>
      <c r="XBR146" s="24"/>
      <c r="XBS146" s="24"/>
      <c r="XBT146" s="24"/>
      <c r="XBU146" s="24"/>
      <c r="XBV146" s="24"/>
      <c r="XBW146" s="24"/>
      <c r="XBX146" s="24"/>
      <c r="XBY146" s="24"/>
      <c r="XBZ146" s="24"/>
      <c r="XCA146" s="24"/>
      <c r="XCB146" s="24"/>
      <c r="XCC146" s="24"/>
      <c r="XCD146" s="24"/>
      <c r="XCE146" s="24"/>
      <c r="XCF146" s="24"/>
      <c r="XCG146" s="24"/>
      <c r="XCH146" s="24"/>
      <c r="XCI146" s="24"/>
      <c r="XCJ146" s="24"/>
      <c r="XCK146" s="24"/>
      <c r="XCL146" s="24"/>
      <c r="XCM146" s="24"/>
      <c r="XCN146" s="24"/>
      <c r="XCO146" s="24"/>
      <c r="XCP146" s="24"/>
      <c r="XCQ146" s="24"/>
      <c r="XCR146" s="24"/>
      <c r="XCS146" s="24"/>
      <c r="XCT146" s="24"/>
      <c r="XCU146" s="24"/>
      <c r="XCV146" s="24"/>
      <c r="XCW146" s="24"/>
      <c r="XCX146" s="24"/>
      <c r="XCY146" s="24"/>
      <c r="XCZ146" s="24"/>
      <c r="XDA146" s="24"/>
      <c r="XDB146" s="24"/>
      <c r="XDC146" s="24"/>
      <c r="XDD146" s="24"/>
      <c r="XDE146" s="24"/>
      <c r="XDF146" s="24"/>
      <c r="XDG146" s="24"/>
      <c r="XDH146" s="24"/>
      <c r="XDI146" s="24"/>
      <c r="XDJ146" s="24"/>
      <c r="XDK146" s="24"/>
      <c r="XDL146" s="24"/>
      <c r="XDM146" s="24"/>
      <c r="XDN146" s="24"/>
      <c r="XDO146" s="24"/>
      <c r="XDP146" s="24"/>
      <c r="XDQ146" s="24"/>
      <c r="XDR146" s="24"/>
      <c r="XDS146" s="24"/>
      <c r="XDT146" s="24"/>
      <c r="XDU146" s="24"/>
      <c r="XDV146" s="24"/>
      <c r="XDW146" s="24"/>
      <c r="XDX146" s="24"/>
      <c r="XDY146" s="24"/>
      <c r="XDZ146" s="24"/>
      <c r="XEA146" s="24"/>
      <c r="XEB146" s="24"/>
      <c r="XEC146" s="24"/>
      <c r="XED146" s="24"/>
      <c r="XEE146" s="24"/>
      <c r="XEF146" s="24"/>
      <c r="XEG146" s="24"/>
      <c r="XEH146" s="24"/>
      <c r="XEI146" s="24"/>
      <c r="XEJ146" s="24"/>
      <c r="XEK146" s="24"/>
      <c r="XEL146" s="24"/>
      <c r="XEM146" s="24"/>
      <c r="XEN146" s="24"/>
      <c r="XEO146" s="24"/>
      <c r="XEP146" s="24"/>
      <c r="XEQ146" s="24"/>
      <c r="XER146" s="24"/>
      <c r="XES146" s="24"/>
      <c r="XET146" s="24"/>
      <c r="XEU146" s="24"/>
      <c r="XEV146" s="24"/>
      <c r="XEW146" s="24"/>
      <c r="XEX146" s="24"/>
      <c r="XEY146" s="24"/>
      <c r="XEZ146" s="24"/>
      <c r="XFA146" s="24"/>
      <c r="XFB146" s="24"/>
      <c r="XFC146" s="24"/>
      <c r="XFD146" s="24"/>
    </row>
    <row r="147" spans="1:16384" s="144" customFormat="1" ht="12.75" x14ac:dyDescent="0.25">
      <c r="A147" s="137"/>
      <c r="B147" s="139"/>
      <c r="C147" s="139"/>
      <c r="D147" s="139"/>
      <c r="E147" s="139"/>
      <c r="F147" s="139"/>
      <c r="G147" s="139"/>
      <c r="H147" s="139"/>
      <c r="I147" s="139"/>
      <c r="J147" s="142"/>
      <c r="K147" s="142"/>
      <c r="L147" s="142"/>
      <c r="M147" s="142"/>
      <c r="N147" s="142"/>
      <c r="O147" s="139"/>
      <c r="P147" s="139"/>
      <c r="Q147" s="139"/>
      <c r="R147" s="139"/>
      <c r="S147" s="139"/>
      <c r="T147" s="139"/>
      <c r="U147" s="139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/>
      <c r="HA147" s="24"/>
      <c r="HB147" s="24"/>
      <c r="HC147" s="24"/>
      <c r="HD147" s="24"/>
      <c r="HE147" s="24"/>
      <c r="HF147" s="24"/>
      <c r="HG147" s="24"/>
      <c r="HH147" s="24"/>
      <c r="HI147" s="24"/>
      <c r="HJ147" s="24"/>
      <c r="HK147" s="24"/>
      <c r="HL147" s="24"/>
      <c r="HM147" s="24"/>
      <c r="HN147" s="24"/>
      <c r="HO147" s="24"/>
      <c r="HP147" s="24"/>
      <c r="HQ147" s="24"/>
      <c r="HR147" s="24"/>
      <c r="HS147" s="24"/>
      <c r="HT147" s="24"/>
      <c r="HU147" s="24"/>
      <c r="HV147" s="24"/>
      <c r="HW147" s="24"/>
      <c r="HX147" s="24"/>
      <c r="HY147" s="24"/>
      <c r="HZ147" s="24"/>
      <c r="IA147" s="24"/>
      <c r="IB147" s="24"/>
      <c r="IC147" s="24"/>
      <c r="ID147" s="24"/>
      <c r="IE147" s="24"/>
      <c r="IF147" s="24"/>
      <c r="IG147" s="24"/>
      <c r="IH147" s="24"/>
      <c r="II147" s="24"/>
      <c r="IJ147" s="24"/>
      <c r="IK147" s="24"/>
      <c r="IL147" s="24"/>
      <c r="IM147" s="24"/>
      <c r="IN147" s="24"/>
      <c r="IO147" s="24"/>
      <c r="IP147" s="24"/>
      <c r="IQ147" s="24"/>
      <c r="IR147" s="24"/>
      <c r="IS147" s="24"/>
      <c r="IT147" s="24"/>
      <c r="IU147" s="24"/>
      <c r="IV147" s="24"/>
      <c r="IW147" s="24"/>
      <c r="IX147" s="24"/>
      <c r="IY147" s="24"/>
      <c r="IZ147" s="24"/>
      <c r="JA147" s="24"/>
      <c r="JB147" s="24"/>
      <c r="JC147" s="24"/>
      <c r="JD147" s="24"/>
      <c r="JE147" s="24"/>
      <c r="JF147" s="24"/>
      <c r="JG147" s="24"/>
      <c r="JH147" s="24"/>
      <c r="JI147" s="24"/>
      <c r="JJ147" s="24"/>
      <c r="JK147" s="24"/>
      <c r="JL147" s="24"/>
      <c r="JM147" s="24"/>
      <c r="JN147" s="24"/>
      <c r="JO147" s="24"/>
      <c r="JP147" s="24"/>
      <c r="JQ147" s="24"/>
      <c r="JR147" s="24"/>
      <c r="JS147" s="24"/>
      <c r="JT147" s="24"/>
      <c r="JU147" s="24"/>
      <c r="JV147" s="24"/>
      <c r="JW147" s="24"/>
      <c r="JX147" s="24"/>
      <c r="JY147" s="24"/>
      <c r="JZ147" s="24"/>
      <c r="KA147" s="24"/>
      <c r="KB147" s="24"/>
      <c r="KC147" s="24"/>
      <c r="KD147" s="24"/>
      <c r="KE147" s="24"/>
      <c r="KF147" s="24"/>
      <c r="KG147" s="24"/>
      <c r="KH147" s="24"/>
      <c r="KI147" s="24"/>
      <c r="KJ147" s="24"/>
      <c r="KK147" s="24"/>
      <c r="KL147" s="24"/>
      <c r="KM147" s="24"/>
      <c r="KN147" s="24"/>
      <c r="KO147" s="24"/>
      <c r="KP147" s="24"/>
      <c r="KQ147" s="24"/>
      <c r="KR147" s="24"/>
      <c r="KS147" s="24"/>
      <c r="KT147" s="24"/>
      <c r="KU147" s="24"/>
      <c r="KV147" s="24"/>
      <c r="KW147" s="24"/>
      <c r="KX147" s="24"/>
      <c r="KY147" s="24"/>
      <c r="KZ147" s="24"/>
      <c r="LA147" s="24"/>
      <c r="LB147" s="24"/>
      <c r="LC147" s="24"/>
      <c r="LD147" s="24"/>
      <c r="LE147" s="24"/>
      <c r="LF147" s="24"/>
      <c r="LG147" s="24"/>
      <c r="LH147" s="24"/>
      <c r="LI147" s="24"/>
      <c r="LJ147" s="24"/>
      <c r="LK147" s="24"/>
      <c r="LL147" s="24"/>
      <c r="LM147" s="24"/>
      <c r="LN147" s="24"/>
      <c r="LO147" s="24"/>
      <c r="LP147" s="24"/>
      <c r="LQ147" s="24"/>
      <c r="LR147" s="24"/>
      <c r="LS147" s="24"/>
      <c r="LT147" s="24"/>
      <c r="LU147" s="24"/>
      <c r="LV147" s="24"/>
      <c r="LW147" s="24"/>
      <c r="LX147" s="24"/>
      <c r="LY147" s="24"/>
      <c r="LZ147" s="24"/>
      <c r="MA147" s="24"/>
      <c r="MB147" s="24"/>
      <c r="MC147" s="24"/>
      <c r="MD147" s="24"/>
      <c r="ME147" s="24"/>
      <c r="MF147" s="24"/>
      <c r="MG147" s="24"/>
      <c r="MH147" s="24"/>
      <c r="MI147" s="24"/>
      <c r="MJ147" s="24"/>
      <c r="MK147" s="24"/>
      <c r="ML147" s="24"/>
      <c r="MM147" s="24"/>
      <c r="MN147" s="24"/>
      <c r="MO147" s="24"/>
      <c r="MP147" s="24"/>
      <c r="MQ147" s="24"/>
      <c r="MR147" s="24"/>
      <c r="MS147" s="24"/>
      <c r="MT147" s="24"/>
      <c r="MU147" s="24"/>
      <c r="MV147" s="24"/>
      <c r="MW147" s="24"/>
      <c r="MX147" s="24"/>
      <c r="MY147" s="24"/>
      <c r="MZ147" s="24"/>
      <c r="NA147" s="24"/>
      <c r="NB147" s="24"/>
      <c r="NC147" s="24"/>
      <c r="ND147" s="24"/>
      <c r="NE147" s="24"/>
      <c r="NF147" s="24"/>
      <c r="NG147" s="24"/>
      <c r="NH147" s="24"/>
      <c r="NI147" s="24"/>
      <c r="NJ147" s="24"/>
      <c r="NK147" s="24"/>
      <c r="NL147" s="24"/>
      <c r="NM147" s="24"/>
      <c r="NN147" s="24"/>
      <c r="NO147" s="24"/>
      <c r="NP147" s="24"/>
      <c r="NQ147" s="24"/>
      <c r="NR147" s="24"/>
      <c r="NS147" s="24"/>
      <c r="NT147" s="24"/>
      <c r="NU147" s="24"/>
      <c r="NV147" s="24"/>
      <c r="NW147" s="24"/>
      <c r="NX147" s="24"/>
      <c r="NY147" s="24"/>
      <c r="NZ147" s="24"/>
      <c r="OA147" s="24"/>
      <c r="OB147" s="24"/>
      <c r="OC147" s="24"/>
      <c r="OD147" s="24"/>
      <c r="OE147" s="24"/>
      <c r="OF147" s="24"/>
      <c r="OG147" s="24"/>
      <c r="OH147" s="24"/>
      <c r="OI147" s="24"/>
      <c r="OJ147" s="24"/>
      <c r="OK147" s="24"/>
      <c r="OL147" s="24"/>
      <c r="OM147" s="24"/>
      <c r="ON147" s="24"/>
      <c r="OO147" s="24"/>
      <c r="OP147" s="24"/>
      <c r="OQ147" s="24"/>
      <c r="OR147" s="24"/>
      <c r="OS147" s="24"/>
      <c r="OT147" s="24"/>
      <c r="OU147" s="24"/>
      <c r="OV147" s="24"/>
      <c r="OW147" s="24"/>
      <c r="OX147" s="24"/>
      <c r="OY147" s="24"/>
      <c r="OZ147" s="24"/>
      <c r="PA147" s="24"/>
      <c r="PB147" s="24"/>
      <c r="PC147" s="24"/>
      <c r="PD147" s="24"/>
      <c r="PE147" s="24"/>
      <c r="PF147" s="24"/>
      <c r="PG147" s="24"/>
      <c r="PH147" s="24"/>
      <c r="PI147" s="24"/>
      <c r="PJ147" s="24"/>
      <c r="PK147" s="24"/>
      <c r="PL147" s="24"/>
      <c r="PM147" s="24"/>
      <c r="PN147" s="24"/>
      <c r="PO147" s="24"/>
      <c r="PP147" s="24"/>
      <c r="PQ147" s="24"/>
      <c r="PR147" s="24"/>
      <c r="PS147" s="24"/>
      <c r="PT147" s="24"/>
      <c r="PU147" s="24"/>
      <c r="PV147" s="24"/>
      <c r="PW147" s="24"/>
      <c r="PX147" s="24"/>
      <c r="PY147" s="24"/>
      <c r="PZ147" s="24"/>
      <c r="QA147" s="24"/>
      <c r="QB147" s="24"/>
      <c r="QC147" s="24"/>
      <c r="QD147" s="24"/>
      <c r="QE147" s="24"/>
      <c r="QF147" s="24"/>
      <c r="QG147" s="24"/>
      <c r="QH147" s="24"/>
      <c r="QI147" s="24"/>
      <c r="QJ147" s="24"/>
      <c r="QK147" s="24"/>
      <c r="QL147" s="24"/>
      <c r="QM147" s="24"/>
      <c r="QN147" s="24"/>
      <c r="QO147" s="24"/>
      <c r="QP147" s="24"/>
      <c r="QQ147" s="24"/>
      <c r="QR147" s="24"/>
      <c r="QS147" s="24"/>
      <c r="QT147" s="24"/>
      <c r="QU147" s="24"/>
      <c r="QV147" s="24"/>
      <c r="QW147" s="24"/>
      <c r="QX147" s="24"/>
      <c r="QY147" s="24"/>
      <c r="QZ147" s="24"/>
      <c r="RA147" s="24"/>
      <c r="RB147" s="24"/>
      <c r="RC147" s="24"/>
      <c r="RD147" s="24"/>
      <c r="RE147" s="24"/>
      <c r="RF147" s="24"/>
      <c r="RG147" s="24"/>
      <c r="RH147" s="24"/>
      <c r="RI147" s="24"/>
      <c r="RJ147" s="24"/>
      <c r="RK147" s="24"/>
      <c r="RL147" s="24"/>
      <c r="RM147" s="24"/>
      <c r="RN147" s="24"/>
      <c r="RO147" s="24"/>
      <c r="RP147" s="24"/>
      <c r="RQ147" s="24"/>
      <c r="RR147" s="24"/>
      <c r="RS147" s="24"/>
      <c r="RT147" s="24"/>
      <c r="RU147" s="24"/>
      <c r="RV147" s="24"/>
      <c r="RW147" s="24"/>
      <c r="RX147" s="24"/>
      <c r="RY147" s="24"/>
      <c r="RZ147" s="24"/>
      <c r="SA147" s="24"/>
      <c r="SB147" s="24"/>
      <c r="SC147" s="24"/>
      <c r="SD147" s="24"/>
      <c r="SE147" s="24"/>
      <c r="SF147" s="24"/>
      <c r="SG147" s="24"/>
      <c r="SH147" s="24"/>
      <c r="SI147" s="24"/>
      <c r="SJ147" s="24"/>
      <c r="SK147" s="24"/>
      <c r="SL147" s="24"/>
      <c r="SM147" s="24"/>
      <c r="SN147" s="24"/>
      <c r="SO147" s="24"/>
      <c r="SP147" s="24"/>
      <c r="SQ147" s="24"/>
      <c r="SR147" s="24"/>
      <c r="SS147" s="24"/>
      <c r="ST147" s="24"/>
      <c r="SU147" s="24"/>
      <c r="SV147" s="24"/>
      <c r="SW147" s="24"/>
      <c r="SX147" s="24"/>
      <c r="SY147" s="24"/>
      <c r="SZ147" s="24"/>
      <c r="TA147" s="24"/>
      <c r="TB147" s="24"/>
      <c r="TC147" s="24"/>
      <c r="TD147" s="24"/>
      <c r="TE147" s="24"/>
      <c r="TF147" s="24"/>
      <c r="TG147" s="24"/>
      <c r="TH147" s="24"/>
      <c r="TI147" s="24"/>
      <c r="TJ147" s="24"/>
      <c r="TK147" s="24"/>
      <c r="TL147" s="24"/>
      <c r="TM147" s="24"/>
      <c r="TN147" s="24"/>
      <c r="TO147" s="24"/>
      <c r="TP147" s="24"/>
      <c r="TQ147" s="24"/>
      <c r="TR147" s="24"/>
      <c r="TS147" s="24"/>
      <c r="TT147" s="24"/>
      <c r="TU147" s="24"/>
      <c r="TV147" s="24"/>
      <c r="TW147" s="24"/>
      <c r="TX147" s="24"/>
      <c r="TY147" s="24"/>
      <c r="TZ147" s="24"/>
      <c r="UA147" s="24"/>
      <c r="UB147" s="24"/>
      <c r="UC147" s="24"/>
      <c r="UD147" s="24"/>
      <c r="UE147" s="24"/>
      <c r="UF147" s="24"/>
      <c r="UG147" s="24"/>
      <c r="UH147" s="24"/>
      <c r="UI147" s="24"/>
      <c r="UJ147" s="24"/>
      <c r="UK147" s="24"/>
      <c r="UL147" s="24"/>
      <c r="UM147" s="24"/>
      <c r="UN147" s="24"/>
      <c r="UO147" s="24"/>
      <c r="UP147" s="24"/>
      <c r="UQ147" s="24"/>
      <c r="UR147" s="24"/>
      <c r="US147" s="24"/>
      <c r="UT147" s="24"/>
      <c r="UU147" s="24"/>
      <c r="UV147" s="24"/>
      <c r="UW147" s="24"/>
      <c r="UX147" s="24"/>
      <c r="UY147" s="24"/>
      <c r="UZ147" s="24"/>
      <c r="VA147" s="24"/>
      <c r="VB147" s="24"/>
      <c r="VC147" s="24"/>
      <c r="VD147" s="24"/>
      <c r="VE147" s="24"/>
      <c r="VF147" s="24"/>
      <c r="VG147" s="24"/>
      <c r="VH147" s="24"/>
      <c r="VI147" s="24"/>
      <c r="VJ147" s="24"/>
      <c r="VK147" s="24"/>
      <c r="VL147" s="24"/>
      <c r="VM147" s="24"/>
      <c r="VN147" s="24"/>
      <c r="VO147" s="24"/>
      <c r="VP147" s="24"/>
      <c r="VQ147" s="24"/>
      <c r="VR147" s="24"/>
      <c r="VS147" s="24"/>
      <c r="VT147" s="24"/>
      <c r="VU147" s="24"/>
      <c r="VV147" s="24"/>
      <c r="VW147" s="24"/>
      <c r="VX147" s="24"/>
      <c r="VY147" s="24"/>
      <c r="VZ147" s="24"/>
      <c r="WA147" s="24"/>
      <c r="WB147" s="24"/>
      <c r="WC147" s="24"/>
      <c r="WD147" s="24"/>
      <c r="WE147" s="24"/>
      <c r="WF147" s="24"/>
      <c r="WG147" s="24"/>
      <c r="WH147" s="24"/>
      <c r="WI147" s="24"/>
      <c r="WJ147" s="24"/>
      <c r="WK147" s="24"/>
      <c r="WL147" s="24"/>
      <c r="WM147" s="24"/>
      <c r="WN147" s="24"/>
      <c r="WO147" s="24"/>
      <c r="WP147" s="24"/>
      <c r="WQ147" s="24"/>
      <c r="WR147" s="24"/>
      <c r="WS147" s="24"/>
      <c r="WT147" s="24"/>
      <c r="WU147" s="24"/>
      <c r="WV147" s="24"/>
      <c r="WW147" s="24"/>
      <c r="WX147" s="24"/>
      <c r="WY147" s="24"/>
      <c r="WZ147" s="24"/>
      <c r="XA147" s="24"/>
      <c r="XB147" s="24"/>
      <c r="XC147" s="24"/>
      <c r="XD147" s="24"/>
      <c r="XE147" s="24"/>
      <c r="XF147" s="24"/>
      <c r="XG147" s="24"/>
      <c r="XH147" s="24"/>
      <c r="XI147" s="24"/>
      <c r="XJ147" s="24"/>
      <c r="XK147" s="24"/>
      <c r="XL147" s="24"/>
      <c r="XM147" s="24"/>
      <c r="XN147" s="24"/>
      <c r="XO147" s="24"/>
      <c r="XP147" s="24"/>
      <c r="XQ147" s="24"/>
      <c r="XR147" s="24"/>
      <c r="XS147" s="24"/>
      <c r="XT147" s="24"/>
      <c r="XU147" s="24"/>
      <c r="XV147" s="24"/>
      <c r="XW147" s="24"/>
      <c r="XX147" s="24"/>
      <c r="XY147" s="24"/>
      <c r="XZ147" s="24"/>
      <c r="YA147" s="24"/>
      <c r="YB147" s="24"/>
      <c r="YC147" s="24"/>
      <c r="YD147" s="24"/>
      <c r="YE147" s="24"/>
      <c r="YF147" s="24"/>
      <c r="YG147" s="24"/>
      <c r="YH147" s="24"/>
      <c r="YI147" s="24"/>
      <c r="YJ147" s="24"/>
      <c r="YK147" s="24"/>
      <c r="YL147" s="24"/>
      <c r="YM147" s="24"/>
      <c r="YN147" s="24"/>
      <c r="YO147" s="24"/>
      <c r="YP147" s="24"/>
      <c r="YQ147" s="24"/>
      <c r="YR147" s="24"/>
      <c r="YS147" s="24"/>
      <c r="YT147" s="24"/>
      <c r="YU147" s="24"/>
      <c r="YV147" s="24"/>
      <c r="YW147" s="24"/>
      <c r="YX147" s="24"/>
      <c r="YY147" s="24"/>
      <c r="YZ147" s="24"/>
      <c r="ZA147" s="24"/>
      <c r="ZB147" s="24"/>
      <c r="ZC147" s="24"/>
      <c r="ZD147" s="24"/>
      <c r="ZE147" s="24"/>
      <c r="ZF147" s="24"/>
      <c r="ZG147" s="24"/>
      <c r="ZH147" s="24"/>
      <c r="ZI147" s="24"/>
      <c r="ZJ147" s="24"/>
      <c r="ZK147" s="24"/>
      <c r="ZL147" s="24"/>
      <c r="ZM147" s="24"/>
      <c r="ZN147" s="24"/>
      <c r="ZO147" s="24"/>
      <c r="ZP147" s="24"/>
      <c r="ZQ147" s="24"/>
      <c r="ZR147" s="24"/>
      <c r="ZS147" s="24"/>
      <c r="ZT147" s="24"/>
      <c r="ZU147" s="24"/>
      <c r="ZV147" s="24"/>
      <c r="ZW147" s="24"/>
      <c r="ZX147" s="24"/>
      <c r="ZY147" s="24"/>
      <c r="ZZ147" s="24"/>
      <c r="AAA147" s="24"/>
      <c r="AAB147" s="24"/>
      <c r="AAC147" s="24"/>
      <c r="AAD147" s="24"/>
      <c r="AAE147" s="24"/>
      <c r="AAF147" s="24"/>
      <c r="AAG147" s="24"/>
      <c r="AAH147" s="24"/>
      <c r="AAI147" s="24"/>
      <c r="AAJ147" s="24"/>
      <c r="AAK147" s="24"/>
      <c r="AAL147" s="24"/>
      <c r="AAM147" s="24"/>
      <c r="AAN147" s="24"/>
      <c r="AAO147" s="24"/>
      <c r="AAP147" s="24"/>
      <c r="AAQ147" s="24"/>
      <c r="AAR147" s="24"/>
      <c r="AAS147" s="24"/>
      <c r="AAT147" s="24"/>
      <c r="AAU147" s="24"/>
      <c r="AAV147" s="24"/>
      <c r="AAW147" s="24"/>
      <c r="AAX147" s="24"/>
      <c r="AAY147" s="24"/>
      <c r="AAZ147" s="24"/>
      <c r="ABA147" s="24"/>
      <c r="ABB147" s="24"/>
      <c r="ABC147" s="24"/>
      <c r="ABD147" s="24"/>
      <c r="ABE147" s="24"/>
      <c r="ABF147" s="24"/>
      <c r="ABG147" s="24"/>
      <c r="ABH147" s="24"/>
      <c r="ABI147" s="24"/>
      <c r="ABJ147" s="24"/>
      <c r="ABK147" s="24"/>
      <c r="ABL147" s="24"/>
      <c r="ABM147" s="24"/>
      <c r="ABN147" s="24"/>
      <c r="ABO147" s="24"/>
      <c r="ABP147" s="24"/>
      <c r="ABQ147" s="24"/>
      <c r="ABR147" s="24"/>
      <c r="ABS147" s="24"/>
      <c r="ABT147" s="24"/>
      <c r="ABU147" s="24"/>
      <c r="ABV147" s="24"/>
      <c r="ABW147" s="24"/>
      <c r="ABX147" s="24"/>
      <c r="ABY147" s="24"/>
      <c r="ABZ147" s="24"/>
      <c r="ACA147" s="24"/>
      <c r="ACB147" s="24"/>
      <c r="ACC147" s="24"/>
      <c r="ACD147" s="24"/>
      <c r="ACE147" s="24"/>
      <c r="ACF147" s="24"/>
      <c r="ACG147" s="24"/>
      <c r="ACH147" s="24"/>
      <c r="ACI147" s="24"/>
      <c r="ACJ147" s="24"/>
      <c r="ACK147" s="24"/>
      <c r="ACL147" s="24"/>
      <c r="ACM147" s="24"/>
      <c r="ACN147" s="24"/>
      <c r="ACO147" s="24"/>
      <c r="ACP147" s="24"/>
      <c r="ACQ147" s="24"/>
      <c r="ACR147" s="24"/>
      <c r="ACS147" s="24"/>
      <c r="ACT147" s="24"/>
      <c r="ACU147" s="24"/>
      <c r="ACV147" s="24"/>
      <c r="ACW147" s="24"/>
      <c r="ACX147" s="24"/>
      <c r="ACY147" s="24"/>
      <c r="ACZ147" s="24"/>
      <c r="ADA147" s="24"/>
      <c r="ADB147" s="24"/>
      <c r="ADC147" s="24"/>
      <c r="ADD147" s="24"/>
      <c r="ADE147" s="24"/>
      <c r="ADF147" s="24"/>
      <c r="ADG147" s="24"/>
      <c r="ADH147" s="24"/>
      <c r="ADI147" s="24"/>
      <c r="ADJ147" s="24"/>
      <c r="ADK147" s="24"/>
      <c r="ADL147" s="24"/>
      <c r="ADM147" s="24"/>
      <c r="ADN147" s="24"/>
      <c r="ADO147" s="24"/>
      <c r="ADP147" s="24"/>
      <c r="ADQ147" s="24"/>
      <c r="ADR147" s="24"/>
      <c r="ADS147" s="24"/>
      <c r="ADT147" s="24"/>
      <c r="ADU147" s="24"/>
      <c r="ADV147" s="24"/>
      <c r="ADW147" s="24"/>
      <c r="ADX147" s="24"/>
      <c r="ADY147" s="24"/>
      <c r="ADZ147" s="24"/>
      <c r="AEA147" s="24"/>
      <c r="AEB147" s="24"/>
      <c r="AEC147" s="24"/>
      <c r="AED147" s="24"/>
      <c r="AEE147" s="24"/>
      <c r="AEF147" s="24"/>
      <c r="AEG147" s="24"/>
      <c r="AEH147" s="24"/>
      <c r="AEI147" s="24"/>
      <c r="AEJ147" s="24"/>
      <c r="AEK147" s="24"/>
      <c r="AEL147" s="24"/>
      <c r="AEM147" s="24"/>
      <c r="AEN147" s="24"/>
      <c r="AEO147" s="24"/>
      <c r="AEP147" s="24"/>
      <c r="AEQ147" s="24"/>
      <c r="AER147" s="24"/>
      <c r="AES147" s="24"/>
      <c r="AET147" s="24"/>
      <c r="AEU147" s="24"/>
      <c r="AEV147" s="24"/>
      <c r="AEW147" s="24"/>
      <c r="AEX147" s="24"/>
      <c r="AEY147" s="24"/>
      <c r="AEZ147" s="24"/>
      <c r="AFA147" s="24"/>
      <c r="AFB147" s="24"/>
      <c r="AFC147" s="24"/>
      <c r="AFD147" s="24"/>
      <c r="AFE147" s="24"/>
      <c r="AFF147" s="24"/>
      <c r="AFG147" s="24"/>
      <c r="AFH147" s="24"/>
      <c r="AFI147" s="24"/>
      <c r="AFJ147" s="24"/>
      <c r="AFK147" s="24"/>
      <c r="AFL147" s="24"/>
      <c r="AFM147" s="24"/>
      <c r="AFN147" s="24"/>
      <c r="AFO147" s="24"/>
      <c r="AFP147" s="24"/>
      <c r="AFQ147" s="24"/>
      <c r="AFR147" s="24"/>
      <c r="AFS147" s="24"/>
      <c r="AFT147" s="24"/>
      <c r="AFU147" s="24"/>
      <c r="AFV147" s="24"/>
      <c r="AFW147" s="24"/>
      <c r="AFX147" s="24"/>
      <c r="AFY147" s="24"/>
      <c r="AFZ147" s="24"/>
      <c r="AGA147" s="24"/>
      <c r="AGB147" s="24"/>
      <c r="AGC147" s="24"/>
      <c r="AGD147" s="24"/>
      <c r="AGE147" s="24"/>
      <c r="AGF147" s="24"/>
      <c r="AGG147" s="24"/>
      <c r="AGH147" s="24"/>
      <c r="AGI147" s="24"/>
      <c r="AGJ147" s="24"/>
      <c r="AGK147" s="24"/>
      <c r="AGL147" s="24"/>
      <c r="AGM147" s="24"/>
      <c r="AGN147" s="24"/>
      <c r="AGO147" s="24"/>
      <c r="AGP147" s="24"/>
      <c r="AGQ147" s="24"/>
      <c r="AGR147" s="24"/>
      <c r="AGS147" s="24"/>
      <c r="AGT147" s="24"/>
      <c r="AGU147" s="24"/>
      <c r="AGV147" s="24"/>
      <c r="AGW147" s="24"/>
      <c r="AGX147" s="24"/>
      <c r="AGY147" s="24"/>
      <c r="AGZ147" s="24"/>
      <c r="AHA147" s="24"/>
      <c r="AHB147" s="24"/>
      <c r="AHC147" s="24"/>
      <c r="AHD147" s="24"/>
      <c r="AHE147" s="24"/>
      <c r="AHF147" s="24"/>
      <c r="AHG147" s="24"/>
      <c r="AHH147" s="24"/>
      <c r="AHI147" s="24"/>
      <c r="AHJ147" s="24"/>
      <c r="AHK147" s="24"/>
      <c r="AHL147" s="24"/>
      <c r="AHM147" s="24"/>
      <c r="AHN147" s="24"/>
      <c r="AHO147" s="24"/>
      <c r="AHP147" s="24"/>
      <c r="AHQ147" s="24"/>
      <c r="AHR147" s="24"/>
      <c r="AHS147" s="24"/>
      <c r="AHT147" s="24"/>
      <c r="AHU147" s="24"/>
      <c r="AHV147" s="24"/>
      <c r="AHW147" s="24"/>
      <c r="AHX147" s="24"/>
      <c r="AHY147" s="24"/>
      <c r="AHZ147" s="24"/>
      <c r="AIA147" s="24"/>
      <c r="AIB147" s="24"/>
      <c r="AIC147" s="24"/>
      <c r="AID147" s="24"/>
      <c r="AIE147" s="24"/>
      <c r="AIF147" s="24"/>
      <c r="AIG147" s="24"/>
      <c r="AIH147" s="24"/>
      <c r="AII147" s="24"/>
      <c r="AIJ147" s="24"/>
      <c r="AIK147" s="24"/>
      <c r="AIL147" s="24"/>
      <c r="AIM147" s="24"/>
      <c r="AIN147" s="24"/>
      <c r="AIO147" s="24"/>
      <c r="AIP147" s="24"/>
      <c r="AIQ147" s="24"/>
      <c r="AIR147" s="24"/>
      <c r="AIS147" s="24"/>
      <c r="AIT147" s="24"/>
      <c r="AIU147" s="24"/>
      <c r="AIV147" s="24"/>
      <c r="AIW147" s="24"/>
      <c r="AIX147" s="24"/>
      <c r="AIY147" s="24"/>
      <c r="AIZ147" s="24"/>
      <c r="AJA147" s="24"/>
      <c r="AJB147" s="24"/>
      <c r="AJC147" s="24"/>
      <c r="AJD147" s="24"/>
      <c r="AJE147" s="24"/>
      <c r="AJF147" s="24"/>
      <c r="AJG147" s="24"/>
      <c r="AJH147" s="24"/>
      <c r="AJI147" s="24"/>
      <c r="AJJ147" s="24"/>
      <c r="AJK147" s="24"/>
      <c r="AJL147" s="24"/>
      <c r="AJM147" s="24"/>
      <c r="AJN147" s="24"/>
      <c r="AJO147" s="24"/>
      <c r="AJP147" s="24"/>
      <c r="AJQ147" s="24"/>
      <c r="AJR147" s="24"/>
      <c r="AJS147" s="24"/>
      <c r="AJT147" s="24"/>
      <c r="AJU147" s="24"/>
      <c r="AJV147" s="24"/>
      <c r="AJW147" s="24"/>
      <c r="AJX147" s="24"/>
      <c r="AJY147" s="24"/>
      <c r="AJZ147" s="24"/>
      <c r="AKA147" s="24"/>
      <c r="AKB147" s="24"/>
      <c r="AKC147" s="24"/>
      <c r="AKD147" s="24"/>
      <c r="AKE147" s="24"/>
      <c r="AKF147" s="24"/>
      <c r="AKG147" s="24"/>
      <c r="AKH147" s="24"/>
      <c r="AKI147" s="24"/>
      <c r="AKJ147" s="24"/>
      <c r="AKK147" s="24"/>
      <c r="AKL147" s="24"/>
      <c r="AKM147" s="24"/>
      <c r="AKN147" s="24"/>
      <c r="AKO147" s="24"/>
      <c r="AKP147" s="24"/>
      <c r="AKQ147" s="24"/>
      <c r="AKR147" s="24"/>
      <c r="AKS147" s="24"/>
      <c r="AKT147" s="24"/>
      <c r="AKU147" s="24"/>
      <c r="AKV147" s="24"/>
      <c r="AKW147" s="24"/>
      <c r="AKX147" s="24"/>
      <c r="AKY147" s="24"/>
      <c r="AKZ147" s="24"/>
      <c r="ALA147" s="24"/>
      <c r="ALB147" s="24"/>
      <c r="ALC147" s="24"/>
      <c r="ALD147" s="24"/>
      <c r="ALE147" s="24"/>
      <c r="ALF147" s="24"/>
      <c r="ALG147" s="24"/>
      <c r="ALH147" s="24"/>
      <c r="ALI147" s="24"/>
      <c r="ALJ147" s="24"/>
      <c r="ALK147" s="24"/>
      <c r="ALL147" s="24"/>
      <c r="ALM147" s="24"/>
      <c r="ALN147" s="24"/>
      <c r="ALO147" s="24"/>
      <c r="ALP147" s="24"/>
      <c r="ALQ147" s="24"/>
      <c r="ALR147" s="24"/>
      <c r="ALS147" s="24"/>
      <c r="ALT147" s="24"/>
      <c r="ALU147" s="24"/>
      <c r="ALV147" s="24"/>
      <c r="ALW147" s="24"/>
      <c r="ALX147" s="24"/>
      <c r="ALY147" s="24"/>
      <c r="ALZ147" s="24"/>
      <c r="AMA147" s="24"/>
      <c r="AMB147" s="24"/>
      <c r="AMC147" s="24"/>
      <c r="AMD147" s="24"/>
      <c r="AME147" s="24"/>
      <c r="AMF147" s="24"/>
      <c r="AMG147" s="24"/>
      <c r="AMH147" s="24"/>
      <c r="AMI147" s="24"/>
      <c r="AMJ147" s="24"/>
      <c r="AMK147" s="24"/>
      <c r="AML147" s="24"/>
      <c r="AMM147" s="24"/>
      <c r="AMN147" s="24"/>
      <c r="AMO147" s="24"/>
      <c r="AMP147" s="24"/>
      <c r="AMQ147" s="24"/>
      <c r="AMR147" s="24"/>
      <c r="AMS147" s="24"/>
      <c r="AMT147" s="24"/>
      <c r="AMU147" s="24"/>
      <c r="AMV147" s="24"/>
      <c r="AMW147" s="24"/>
      <c r="AMX147" s="24"/>
      <c r="AMY147" s="24"/>
      <c r="AMZ147" s="24"/>
      <c r="ANA147" s="24"/>
      <c r="ANB147" s="24"/>
      <c r="ANC147" s="24"/>
      <c r="AND147" s="24"/>
      <c r="ANE147" s="24"/>
      <c r="ANF147" s="24"/>
      <c r="ANG147" s="24"/>
      <c r="ANH147" s="24"/>
      <c r="ANI147" s="24"/>
      <c r="ANJ147" s="24"/>
      <c r="ANK147" s="24"/>
      <c r="ANL147" s="24"/>
      <c r="ANM147" s="24"/>
      <c r="ANN147" s="24"/>
      <c r="ANO147" s="24"/>
      <c r="ANP147" s="24"/>
      <c r="ANQ147" s="24"/>
      <c r="ANR147" s="24"/>
      <c r="ANS147" s="24"/>
      <c r="ANT147" s="24"/>
      <c r="ANU147" s="24"/>
      <c r="ANV147" s="24"/>
      <c r="ANW147" s="24"/>
      <c r="ANX147" s="24"/>
      <c r="ANY147" s="24"/>
      <c r="ANZ147" s="24"/>
      <c r="AOA147" s="24"/>
      <c r="AOB147" s="24"/>
      <c r="AOC147" s="24"/>
      <c r="AOD147" s="24"/>
      <c r="AOE147" s="24"/>
      <c r="AOF147" s="24"/>
      <c r="AOG147" s="24"/>
      <c r="AOH147" s="24"/>
      <c r="AOI147" s="24"/>
      <c r="AOJ147" s="24"/>
      <c r="AOK147" s="24"/>
      <c r="AOL147" s="24"/>
      <c r="AOM147" s="24"/>
      <c r="AON147" s="24"/>
      <c r="AOO147" s="24"/>
      <c r="AOP147" s="24"/>
      <c r="AOQ147" s="24"/>
      <c r="AOR147" s="24"/>
      <c r="AOS147" s="24"/>
      <c r="AOT147" s="24"/>
      <c r="AOU147" s="24"/>
      <c r="AOV147" s="24"/>
      <c r="AOW147" s="24"/>
      <c r="AOX147" s="24"/>
      <c r="AOY147" s="24"/>
      <c r="AOZ147" s="24"/>
      <c r="APA147" s="24"/>
      <c r="APB147" s="24"/>
      <c r="APC147" s="24"/>
      <c r="APD147" s="24"/>
      <c r="APE147" s="24"/>
      <c r="APF147" s="24"/>
      <c r="APG147" s="24"/>
      <c r="APH147" s="24"/>
      <c r="API147" s="24"/>
      <c r="APJ147" s="24"/>
      <c r="APK147" s="24"/>
      <c r="APL147" s="24"/>
      <c r="APM147" s="24"/>
      <c r="APN147" s="24"/>
      <c r="APO147" s="24"/>
      <c r="APP147" s="24"/>
      <c r="APQ147" s="24"/>
      <c r="APR147" s="24"/>
      <c r="APS147" s="24"/>
      <c r="APT147" s="24"/>
      <c r="APU147" s="24"/>
      <c r="APV147" s="24"/>
      <c r="APW147" s="24"/>
      <c r="APX147" s="24"/>
      <c r="APY147" s="24"/>
      <c r="APZ147" s="24"/>
      <c r="AQA147" s="24"/>
      <c r="AQB147" s="24"/>
      <c r="AQC147" s="24"/>
      <c r="AQD147" s="24"/>
      <c r="AQE147" s="24"/>
      <c r="AQF147" s="24"/>
      <c r="AQG147" s="24"/>
      <c r="AQH147" s="24"/>
      <c r="AQI147" s="24"/>
      <c r="AQJ147" s="24"/>
      <c r="AQK147" s="24"/>
      <c r="AQL147" s="24"/>
      <c r="AQM147" s="24"/>
      <c r="AQN147" s="24"/>
      <c r="AQO147" s="24"/>
      <c r="AQP147" s="24"/>
      <c r="AQQ147" s="24"/>
      <c r="AQR147" s="24"/>
      <c r="AQS147" s="24"/>
      <c r="AQT147" s="24"/>
      <c r="AQU147" s="24"/>
      <c r="AQV147" s="24"/>
      <c r="AQW147" s="24"/>
      <c r="AQX147" s="24"/>
      <c r="AQY147" s="24"/>
      <c r="AQZ147" s="24"/>
      <c r="ARA147" s="24"/>
      <c r="ARB147" s="24"/>
      <c r="ARC147" s="24"/>
      <c r="ARD147" s="24"/>
      <c r="ARE147" s="24"/>
      <c r="ARF147" s="24"/>
      <c r="ARG147" s="24"/>
      <c r="ARH147" s="24"/>
      <c r="ARI147" s="24"/>
      <c r="ARJ147" s="24"/>
      <c r="ARK147" s="24"/>
      <c r="ARL147" s="24"/>
      <c r="ARM147" s="24"/>
      <c r="ARN147" s="24"/>
      <c r="ARO147" s="24"/>
      <c r="ARP147" s="24"/>
      <c r="ARQ147" s="24"/>
      <c r="ARR147" s="24"/>
      <c r="ARS147" s="24"/>
      <c r="ART147" s="24"/>
      <c r="ARU147" s="24"/>
      <c r="ARV147" s="24"/>
      <c r="ARW147" s="24"/>
      <c r="ARX147" s="24"/>
      <c r="ARY147" s="24"/>
      <c r="ARZ147" s="24"/>
      <c r="ASA147" s="24"/>
      <c r="ASB147" s="24"/>
      <c r="ASC147" s="24"/>
      <c r="ASD147" s="24"/>
      <c r="ASE147" s="24"/>
      <c r="ASF147" s="24"/>
      <c r="ASG147" s="24"/>
      <c r="ASH147" s="24"/>
      <c r="ASI147" s="24"/>
      <c r="ASJ147" s="24"/>
      <c r="ASK147" s="24"/>
      <c r="ASL147" s="24"/>
      <c r="ASM147" s="24"/>
      <c r="ASN147" s="24"/>
      <c r="ASO147" s="24"/>
      <c r="ASP147" s="24"/>
      <c r="ASQ147" s="24"/>
      <c r="ASR147" s="24"/>
      <c r="ASS147" s="24"/>
      <c r="AST147" s="24"/>
      <c r="ASU147" s="24"/>
      <c r="ASV147" s="24"/>
      <c r="ASW147" s="24"/>
      <c r="ASX147" s="24"/>
      <c r="ASY147" s="24"/>
      <c r="ASZ147" s="24"/>
      <c r="ATA147" s="24"/>
      <c r="ATB147" s="24"/>
      <c r="ATC147" s="24"/>
      <c r="ATD147" s="24"/>
      <c r="ATE147" s="24"/>
      <c r="ATF147" s="24"/>
      <c r="ATG147" s="24"/>
      <c r="ATH147" s="24"/>
      <c r="ATI147" s="24"/>
      <c r="ATJ147" s="24"/>
      <c r="ATK147" s="24"/>
      <c r="ATL147" s="24"/>
      <c r="ATM147" s="24"/>
      <c r="ATN147" s="24"/>
      <c r="ATO147" s="24"/>
      <c r="ATP147" s="24"/>
      <c r="ATQ147" s="24"/>
      <c r="ATR147" s="24"/>
      <c r="ATS147" s="24"/>
      <c r="ATT147" s="24"/>
      <c r="ATU147" s="24"/>
      <c r="ATV147" s="24"/>
      <c r="ATW147" s="24"/>
      <c r="ATX147" s="24"/>
      <c r="ATY147" s="24"/>
      <c r="ATZ147" s="24"/>
      <c r="AUA147" s="24"/>
      <c r="AUB147" s="24"/>
      <c r="AUC147" s="24"/>
      <c r="AUD147" s="24"/>
      <c r="AUE147" s="24"/>
      <c r="AUF147" s="24"/>
      <c r="AUG147" s="24"/>
      <c r="AUH147" s="24"/>
      <c r="AUI147" s="24"/>
      <c r="AUJ147" s="24"/>
      <c r="AUK147" s="24"/>
      <c r="AUL147" s="24"/>
      <c r="AUM147" s="24"/>
      <c r="AUN147" s="24"/>
      <c r="AUO147" s="24"/>
      <c r="AUP147" s="24"/>
      <c r="AUQ147" s="24"/>
      <c r="AUR147" s="24"/>
      <c r="AUS147" s="24"/>
      <c r="AUT147" s="24"/>
      <c r="AUU147" s="24"/>
      <c r="AUV147" s="24"/>
      <c r="AUW147" s="24"/>
      <c r="AUX147" s="24"/>
      <c r="AUY147" s="24"/>
      <c r="AUZ147" s="24"/>
      <c r="AVA147" s="24"/>
      <c r="AVB147" s="24"/>
      <c r="AVC147" s="24"/>
      <c r="AVD147" s="24"/>
      <c r="AVE147" s="24"/>
      <c r="AVF147" s="24"/>
      <c r="AVG147" s="24"/>
      <c r="AVH147" s="24"/>
      <c r="AVI147" s="24"/>
      <c r="AVJ147" s="24"/>
      <c r="AVK147" s="24"/>
      <c r="AVL147" s="24"/>
      <c r="AVM147" s="24"/>
      <c r="AVN147" s="24"/>
      <c r="AVO147" s="24"/>
      <c r="AVP147" s="24"/>
      <c r="AVQ147" s="24"/>
      <c r="AVR147" s="24"/>
      <c r="AVS147" s="24"/>
      <c r="AVT147" s="24"/>
      <c r="AVU147" s="24"/>
      <c r="AVV147" s="24"/>
      <c r="AVW147" s="24"/>
      <c r="AVX147" s="24"/>
      <c r="AVY147" s="24"/>
      <c r="AVZ147" s="24"/>
      <c r="AWA147" s="24"/>
      <c r="AWB147" s="24"/>
      <c r="AWC147" s="24"/>
      <c r="AWD147" s="24"/>
      <c r="AWE147" s="24"/>
      <c r="AWF147" s="24"/>
      <c r="AWG147" s="24"/>
      <c r="AWH147" s="24"/>
      <c r="AWI147" s="24"/>
      <c r="AWJ147" s="24"/>
      <c r="AWK147" s="24"/>
      <c r="AWL147" s="24"/>
      <c r="AWM147" s="24"/>
      <c r="AWN147" s="24"/>
      <c r="AWO147" s="24"/>
      <c r="AWP147" s="24"/>
      <c r="AWQ147" s="24"/>
      <c r="AWR147" s="24"/>
      <c r="AWS147" s="24"/>
      <c r="AWT147" s="24"/>
      <c r="AWU147" s="24"/>
      <c r="AWV147" s="24"/>
      <c r="AWW147" s="24"/>
      <c r="AWX147" s="24"/>
      <c r="AWY147" s="24"/>
      <c r="AWZ147" s="24"/>
      <c r="AXA147" s="24"/>
      <c r="AXB147" s="24"/>
      <c r="AXC147" s="24"/>
      <c r="AXD147" s="24"/>
      <c r="AXE147" s="24"/>
      <c r="AXF147" s="24"/>
      <c r="AXG147" s="24"/>
      <c r="AXH147" s="24"/>
      <c r="AXI147" s="24"/>
      <c r="AXJ147" s="24"/>
      <c r="AXK147" s="24"/>
      <c r="AXL147" s="24"/>
      <c r="AXM147" s="24"/>
      <c r="AXN147" s="24"/>
      <c r="AXO147" s="24"/>
      <c r="AXP147" s="24"/>
      <c r="AXQ147" s="24"/>
      <c r="AXR147" s="24"/>
      <c r="AXS147" s="24"/>
      <c r="AXT147" s="24"/>
      <c r="AXU147" s="24"/>
      <c r="AXV147" s="24"/>
      <c r="AXW147" s="24"/>
      <c r="AXX147" s="24"/>
      <c r="AXY147" s="24"/>
      <c r="AXZ147" s="24"/>
      <c r="AYA147" s="24"/>
      <c r="AYB147" s="24"/>
      <c r="AYC147" s="24"/>
      <c r="AYD147" s="24"/>
      <c r="AYE147" s="24"/>
      <c r="AYF147" s="24"/>
      <c r="AYG147" s="24"/>
      <c r="AYH147" s="24"/>
      <c r="AYI147" s="24"/>
      <c r="AYJ147" s="24"/>
      <c r="AYK147" s="24"/>
      <c r="AYL147" s="24"/>
      <c r="AYM147" s="24"/>
      <c r="AYN147" s="24"/>
      <c r="AYO147" s="24"/>
      <c r="AYP147" s="24"/>
      <c r="AYQ147" s="24"/>
      <c r="AYR147" s="24"/>
      <c r="AYS147" s="24"/>
      <c r="AYT147" s="24"/>
      <c r="AYU147" s="24"/>
      <c r="AYV147" s="24"/>
      <c r="AYW147" s="24"/>
      <c r="AYX147" s="24"/>
      <c r="AYY147" s="24"/>
      <c r="AYZ147" s="24"/>
      <c r="AZA147" s="24"/>
      <c r="AZB147" s="24"/>
      <c r="AZC147" s="24"/>
      <c r="AZD147" s="24"/>
      <c r="AZE147" s="24"/>
      <c r="AZF147" s="24"/>
      <c r="AZG147" s="24"/>
      <c r="AZH147" s="24"/>
      <c r="AZI147" s="24"/>
      <c r="AZJ147" s="24"/>
      <c r="AZK147" s="24"/>
      <c r="AZL147" s="24"/>
      <c r="AZM147" s="24"/>
      <c r="AZN147" s="24"/>
      <c r="AZO147" s="24"/>
      <c r="AZP147" s="24"/>
      <c r="AZQ147" s="24"/>
      <c r="AZR147" s="24"/>
      <c r="AZS147" s="24"/>
      <c r="AZT147" s="24"/>
      <c r="AZU147" s="24"/>
      <c r="AZV147" s="24"/>
      <c r="AZW147" s="24"/>
      <c r="AZX147" s="24"/>
      <c r="AZY147" s="24"/>
      <c r="AZZ147" s="24"/>
      <c r="BAA147" s="24"/>
      <c r="BAB147" s="24"/>
      <c r="BAC147" s="24"/>
      <c r="BAD147" s="24"/>
      <c r="BAE147" s="24"/>
      <c r="BAF147" s="24"/>
      <c r="BAG147" s="24"/>
      <c r="BAH147" s="24"/>
      <c r="BAI147" s="24"/>
      <c r="BAJ147" s="24"/>
      <c r="BAK147" s="24"/>
      <c r="BAL147" s="24"/>
      <c r="BAM147" s="24"/>
      <c r="BAN147" s="24"/>
      <c r="BAO147" s="24"/>
      <c r="BAP147" s="24"/>
      <c r="BAQ147" s="24"/>
      <c r="BAR147" s="24"/>
      <c r="BAS147" s="24"/>
      <c r="BAT147" s="24"/>
      <c r="BAU147" s="24"/>
      <c r="BAV147" s="24"/>
      <c r="BAW147" s="24"/>
      <c r="BAX147" s="24"/>
      <c r="BAY147" s="24"/>
      <c r="BAZ147" s="24"/>
      <c r="BBA147" s="24"/>
      <c r="BBB147" s="24"/>
      <c r="BBC147" s="24"/>
      <c r="BBD147" s="24"/>
      <c r="BBE147" s="24"/>
      <c r="BBF147" s="24"/>
      <c r="BBG147" s="24"/>
      <c r="BBH147" s="24"/>
      <c r="BBI147" s="24"/>
      <c r="BBJ147" s="24"/>
      <c r="BBK147" s="24"/>
      <c r="BBL147" s="24"/>
      <c r="BBM147" s="24"/>
      <c r="BBN147" s="24"/>
      <c r="BBO147" s="24"/>
      <c r="BBP147" s="24"/>
      <c r="BBQ147" s="24"/>
      <c r="BBR147" s="24"/>
      <c r="BBS147" s="24"/>
      <c r="BBT147" s="24"/>
      <c r="BBU147" s="24"/>
      <c r="BBV147" s="24"/>
      <c r="BBW147" s="24"/>
      <c r="BBX147" s="24"/>
      <c r="BBY147" s="24"/>
      <c r="BBZ147" s="24"/>
      <c r="BCA147" s="24"/>
      <c r="BCB147" s="24"/>
      <c r="BCC147" s="24"/>
      <c r="BCD147" s="24"/>
      <c r="BCE147" s="24"/>
      <c r="BCF147" s="24"/>
      <c r="BCG147" s="24"/>
      <c r="BCH147" s="24"/>
      <c r="BCI147" s="24"/>
      <c r="BCJ147" s="24"/>
      <c r="BCK147" s="24"/>
      <c r="BCL147" s="24"/>
      <c r="BCM147" s="24"/>
      <c r="BCN147" s="24"/>
      <c r="BCO147" s="24"/>
      <c r="BCP147" s="24"/>
      <c r="BCQ147" s="24"/>
      <c r="BCR147" s="24"/>
      <c r="BCS147" s="24"/>
      <c r="BCT147" s="24"/>
      <c r="BCU147" s="24"/>
      <c r="BCV147" s="24"/>
      <c r="BCW147" s="24"/>
      <c r="BCX147" s="24"/>
      <c r="BCY147" s="24"/>
      <c r="BCZ147" s="24"/>
      <c r="BDA147" s="24"/>
      <c r="BDB147" s="24"/>
      <c r="BDC147" s="24"/>
      <c r="BDD147" s="24"/>
      <c r="BDE147" s="24"/>
      <c r="BDF147" s="24"/>
      <c r="BDG147" s="24"/>
      <c r="BDH147" s="24"/>
      <c r="BDI147" s="24"/>
      <c r="BDJ147" s="24"/>
      <c r="BDK147" s="24"/>
      <c r="BDL147" s="24"/>
      <c r="BDM147" s="24"/>
      <c r="BDN147" s="24"/>
      <c r="BDO147" s="24"/>
      <c r="BDP147" s="24"/>
      <c r="BDQ147" s="24"/>
      <c r="BDR147" s="24"/>
      <c r="BDS147" s="24"/>
      <c r="BDT147" s="24"/>
      <c r="BDU147" s="24"/>
      <c r="BDV147" s="24"/>
      <c r="BDW147" s="24"/>
      <c r="BDX147" s="24"/>
      <c r="BDY147" s="24"/>
      <c r="BDZ147" s="24"/>
      <c r="BEA147" s="24"/>
      <c r="BEB147" s="24"/>
      <c r="BEC147" s="24"/>
      <c r="BED147" s="24"/>
      <c r="BEE147" s="24"/>
      <c r="BEF147" s="24"/>
      <c r="BEG147" s="24"/>
      <c r="BEH147" s="24"/>
      <c r="BEI147" s="24"/>
      <c r="BEJ147" s="24"/>
      <c r="BEK147" s="24"/>
      <c r="BEL147" s="24"/>
      <c r="BEM147" s="24"/>
      <c r="BEN147" s="24"/>
      <c r="BEO147" s="24"/>
      <c r="BEP147" s="24"/>
      <c r="BEQ147" s="24"/>
      <c r="BER147" s="24"/>
      <c r="BES147" s="24"/>
      <c r="BET147" s="24"/>
      <c r="BEU147" s="24"/>
      <c r="BEV147" s="24"/>
      <c r="BEW147" s="24"/>
      <c r="BEX147" s="24"/>
      <c r="BEY147" s="24"/>
      <c r="BEZ147" s="24"/>
      <c r="BFA147" s="24"/>
      <c r="BFB147" s="24"/>
      <c r="BFC147" s="24"/>
      <c r="BFD147" s="24"/>
      <c r="BFE147" s="24"/>
      <c r="BFF147" s="24"/>
      <c r="BFG147" s="24"/>
      <c r="BFH147" s="24"/>
      <c r="BFI147" s="24"/>
      <c r="BFJ147" s="24"/>
      <c r="BFK147" s="24"/>
      <c r="BFL147" s="24"/>
      <c r="BFM147" s="24"/>
      <c r="BFN147" s="24"/>
      <c r="BFO147" s="24"/>
      <c r="BFP147" s="24"/>
      <c r="BFQ147" s="24"/>
      <c r="BFR147" s="24"/>
      <c r="BFS147" s="24"/>
      <c r="BFT147" s="24"/>
      <c r="BFU147" s="24"/>
      <c r="BFV147" s="24"/>
      <c r="BFW147" s="24"/>
      <c r="BFX147" s="24"/>
      <c r="BFY147" s="24"/>
      <c r="BFZ147" s="24"/>
      <c r="BGA147" s="24"/>
      <c r="BGB147" s="24"/>
      <c r="BGC147" s="24"/>
      <c r="BGD147" s="24"/>
      <c r="BGE147" s="24"/>
      <c r="BGF147" s="24"/>
      <c r="BGG147" s="24"/>
      <c r="BGH147" s="24"/>
      <c r="BGI147" s="24"/>
      <c r="BGJ147" s="24"/>
      <c r="BGK147" s="24"/>
      <c r="BGL147" s="24"/>
      <c r="BGM147" s="24"/>
      <c r="BGN147" s="24"/>
      <c r="BGO147" s="24"/>
      <c r="BGP147" s="24"/>
      <c r="BGQ147" s="24"/>
      <c r="BGR147" s="24"/>
      <c r="BGS147" s="24"/>
      <c r="BGT147" s="24"/>
      <c r="BGU147" s="24"/>
      <c r="BGV147" s="24"/>
      <c r="BGW147" s="24"/>
      <c r="BGX147" s="24"/>
      <c r="BGY147" s="24"/>
      <c r="BGZ147" s="24"/>
      <c r="BHA147" s="24"/>
      <c r="BHB147" s="24"/>
      <c r="BHC147" s="24"/>
      <c r="BHD147" s="24"/>
      <c r="BHE147" s="24"/>
      <c r="BHF147" s="24"/>
      <c r="BHG147" s="24"/>
      <c r="BHH147" s="24"/>
      <c r="BHI147" s="24"/>
      <c r="BHJ147" s="24"/>
      <c r="BHK147" s="24"/>
      <c r="BHL147" s="24"/>
      <c r="BHM147" s="24"/>
      <c r="BHN147" s="24"/>
      <c r="BHO147" s="24"/>
      <c r="BHP147" s="24"/>
      <c r="BHQ147" s="24"/>
      <c r="BHR147" s="24"/>
      <c r="BHS147" s="24"/>
      <c r="BHT147" s="24"/>
      <c r="BHU147" s="24"/>
      <c r="BHV147" s="24"/>
      <c r="BHW147" s="24"/>
      <c r="BHX147" s="24"/>
      <c r="BHY147" s="24"/>
      <c r="BHZ147" s="24"/>
      <c r="BIA147" s="24"/>
      <c r="BIB147" s="24"/>
      <c r="BIC147" s="24"/>
      <c r="BID147" s="24"/>
      <c r="BIE147" s="24"/>
      <c r="BIF147" s="24"/>
      <c r="BIG147" s="24"/>
      <c r="BIH147" s="24"/>
      <c r="BII147" s="24"/>
      <c r="BIJ147" s="24"/>
      <c r="BIK147" s="24"/>
      <c r="BIL147" s="24"/>
      <c r="BIM147" s="24"/>
      <c r="BIN147" s="24"/>
      <c r="BIO147" s="24"/>
      <c r="BIP147" s="24"/>
      <c r="BIQ147" s="24"/>
      <c r="BIR147" s="24"/>
      <c r="BIS147" s="24"/>
      <c r="BIT147" s="24"/>
      <c r="BIU147" s="24"/>
      <c r="BIV147" s="24"/>
      <c r="BIW147" s="24"/>
      <c r="BIX147" s="24"/>
      <c r="BIY147" s="24"/>
      <c r="BIZ147" s="24"/>
      <c r="BJA147" s="24"/>
      <c r="BJB147" s="24"/>
      <c r="BJC147" s="24"/>
      <c r="BJD147" s="24"/>
      <c r="BJE147" s="24"/>
      <c r="BJF147" s="24"/>
      <c r="BJG147" s="24"/>
      <c r="BJH147" s="24"/>
      <c r="BJI147" s="24"/>
      <c r="BJJ147" s="24"/>
      <c r="BJK147" s="24"/>
      <c r="BJL147" s="24"/>
      <c r="BJM147" s="24"/>
      <c r="BJN147" s="24"/>
      <c r="BJO147" s="24"/>
      <c r="BJP147" s="24"/>
      <c r="BJQ147" s="24"/>
      <c r="BJR147" s="24"/>
      <c r="BJS147" s="24"/>
      <c r="BJT147" s="24"/>
      <c r="BJU147" s="24"/>
      <c r="BJV147" s="24"/>
      <c r="BJW147" s="24"/>
      <c r="BJX147" s="24"/>
      <c r="BJY147" s="24"/>
      <c r="BJZ147" s="24"/>
      <c r="BKA147" s="24"/>
      <c r="BKB147" s="24"/>
      <c r="BKC147" s="24"/>
      <c r="BKD147" s="24"/>
      <c r="BKE147" s="24"/>
      <c r="BKF147" s="24"/>
      <c r="BKG147" s="24"/>
      <c r="BKH147" s="24"/>
      <c r="BKI147" s="24"/>
      <c r="BKJ147" s="24"/>
      <c r="BKK147" s="24"/>
      <c r="BKL147" s="24"/>
      <c r="BKM147" s="24"/>
      <c r="BKN147" s="24"/>
      <c r="BKO147" s="24"/>
      <c r="BKP147" s="24"/>
      <c r="BKQ147" s="24"/>
      <c r="BKR147" s="24"/>
      <c r="BKS147" s="24"/>
      <c r="BKT147" s="24"/>
      <c r="BKU147" s="24"/>
      <c r="BKV147" s="24"/>
      <c r="BKW147" s="24"/>
      <c r="BKX147" s="24"/>
      <c r="BKY147" s="24"/>
      <c r="BKZ147" s="24"/>
      <c r="BLA147" s="24"/>
      <c r="BLB147" s="24"/>
      <c r="BLC147" s="24"/>
      <c r="BLD147" s="24"/>
      <c r="BLE147" s="24"/>
      <c r="BLF147" s="24"/>
      <c r="BLG147" s="24"/>
      <c r="BLH147" s="24"/>
      <c r="BLI147" s="24"/>
      <c r="BLJ147" s="24"/>
      <c r="BLK147" s="24"/>
      <c r="BLL147" s="24"/>
      <c r="BLM147" s="24"/>
      <c r="BLN147" s="24"/>
      <c r="BLO147" s="24"/>
      <c r="BLP147" s="24"/>
      <c r="BLQ147" s="24"/>
      <c r="BLR147" s="24"/>
      <c r="BLS147" s="24"/>
      <c r="BLT147" s="24"/>
      <c r="BLU147" s="24"/>
      <c r="BLV147" s="24"/>
      <c r="BLW147" s="24"/>
      <c r="BLX147" s="24"/>
      <c r="BLY147" s="24"/>
      <c r="BLZ147" s="24"/>
      <c r="BMA147" s="24"/>
      <c r="BMB147" s="24"/>
      <c r="BMC147" s="24"/>
      <c r="BMD147" s="24"/>
      <c r="BME147" s="24"/>
      <c r="BMF147" s="24"/>
      <c r="BMG147" s="24"/>
      <c r="BMH147" s="24"/>
      <c r="BMI147" s="24"/>
      <c r="BMJ147" s="24"/>
      <c r="BMK147" s="24"/>
      <c r="BML147" s="24"/>
      <c r="BMM147" s="24"/>
      <c r="BMN147" s="24"/>
      <c r="BMO147" s="24"/>
      <c r="BMP147" s="24"/>
      <c r="BMQ147" s="24"/>
      <c r="BMR147" s="24"/>
      <c r="BMS147" s="24"/>
      <c r="BMT147" s="24"/>
      <c r="BMU147" s="24"/>
      <c r="BMV147" s="24"/>
      <c r="BMW147" s="24"/>
      <c r="BMX147" s="24"/>
      <c r="BMY147" s="24"/>
      <c r="BMZ147" s="24"/>
      <c r="BNA147" s="24"/>
      <c r="BNB147" s="24"/>
      <c r="BNC147" s="24"/>
      <c r="BND147" s="24"/>
      <c r="BNE147" s="24"/>
      <c r="BNF147" s="24"/>
      <c r="BNG147" s="24"/>
      <c r="BNH147" s="24"/>
      <c r="BNI147" s="24"/>
      <c r="BNJ147" s="24"/>
      <c r="BNK147" s="24"/>
      <c r="BNL147" s="24"/>
      <c r="BNM147" s="24"/>
      <c r="BNN147" s="24"/>
      <c r="BNO147" s="24"/>
      <c r="BNP147" s="24"/>
      <c r="BNQ147" s="24"/>
      <c r="BNR147" s="24"/>
      <c r="BNS147" s="24"/>
      <c r="BNT147" s="24"/>
      <c r="BNU147" s="24"/>
      <c r="BNV147" s="24"/>
      <c r="BNW147" s="24"/>
      <c r="BNX147" s="24"/>
      <c r="BNY147" s="24"/>
      <c r="BNZ147" s="24"/>
      <c r="BOA147" s="24"/>
      <c r="BOB147" s="24"/>
      <c r="BOC147" s="24"/>
      <c r="BOD147" s="24"/>
      <c r="BOE147" s="24"/>
      <c r="BOF147" s="24"/>
      <c r="BOG147" s="24"/>
      <c r="BOH147" s="24"/>
      <c r="BOI147" s="24"/>
      <c r="BOJ147" s="24"/>
      <c r="BOK147" s="24"/>
      <c r="BOL147" s="24"/>
      <c r="BOM147" s="24"/>
      <c r="BON147" s="24"/>
      <c r="BOO147" s="24"/>
      <c r="BOP147" s="24"/>
      <c r="BOQ147" s="24"/>
      <c r="BOR147" s="24"/>
      <c r="BOS147" s="24"/>
      <c r="BOT147" s="24"/>
      <c r="BOU147" s="24"/>
      <c r="BOV147" s="24"/>
      <c r="BOW147" s="24"/>
      <c r="BOX147" s="24"/>
      <c r="BOY147" s="24"/>
      <c r="BOZ147" s="24"/>
      <c r="BPA147" s="24"/>
      <c r="BPB147" s="24"/>
      <c r="BPC147" s="24"/>
      <c r="BPD147" s="24"/>
      <c r="BPE147" s="24"/>
      <c r="BPF147" s="24"/>
      <c r="BPG147" s="24"/>
      <c r="BPH147" s="24"/>
      <c r="BPI147" s="24"/>
      <c r="BPJ147" s="24"/>
      <c r="BPK147" s="24"/>
      <c r="BPL147" s="24"/>
      <c r="BPM147" s="24"/>
      <c r="BPN147" s="24"/>
      <c r="BPO147" s="24"/>
      <c r="BPP147" s="24"/>
      <c r="BPQ147" s="24"/>
      <c r="BPR147" s="24"/>
      <c r="BPS147" s="24"/>
      <c r="BPT147" s="24"/>
      <c r="BPU147" s="24"/>
      <c r="BPV147" s="24"/>
      <c r="BPW147" s="24"/>
      <c r="BPX147" s="24"/>
      <c r="BPY147" s="24"/>
      <c r="BPZ147" s="24"/>
      <c r="BQA147" s="24"/>
      <c r="BQB147" s="24"/>
      <c r="BQC147" s="24"/>
      <c r="BQD147" s="24"/>
      <c r="BQE147" s="24"/>
      <c r="BQF147" s="24"/>
      <c r="BQG147" s="24"/>
      <c r="BQH147" s="24"/>
      <c r="BQI147" s="24"/>
      <c r="BQJ147" s="24"/>
      <c r="BQK147" s="24"/>
      <c r="BQL147" s="24"/>
      <c r="BQM147" s="24"/>
      <c r="BQN147" s="24"/>
      <c r="BQO147" s="24"/>
      <c r="BQP147" s="24"/>
      <c r="BQQ147" s="24"/>
      <c r="BQR147" s="24"/>
      <c r="BQS147" s="24"/>
      <c r="BQT147" s="24"/>
      <c r="BQU147" s="24"/>
      <c r="BQV147" s="24"/>
      <c r="BQW147" s="24"/>
      <c r="BQX147" s="24"/>
      <c r="BQY147" s="24"/>
      <c r="BQZ147" s="24"/>
      <c r="BRA147" s="24"/>
      <c r="BRB147" s="24"/>
      <c r="BRC147" s="24"/>
      <c r="BRD147" s="24"/>
      <c r="BRE147" s="24"/>
      <c r="BRF147" s="24"/>
      <c r="BRG147" s="24"/>
      <c r="BRH147" s="24"/>
      <c r="BRI147" s="24"/>
      <c r="BRJ147" s="24"/>
      <c r="BRK147" s="24"/>
      <c r="BRL147" s="24"/>
      <c r="BRM147" s="24"/>
      <c r="BRN147" s="24"/>
      <c r="BRO147" s="24"/>
      <c r="BRP147" s="24"/>
      <c r="BRQ147" s="24"/>
      <c r="BRR147" s="24"/>
      <c r="BRS147" s="24"/>
      <c r="BRT147" s="24"/>
      <c r="BRU147" s="24"/>
      <c r="BRV147" s="24"/>
      <c r="BRW147" s="24"/>
      <c r="BRX147" s="24"/>
      <c r="BRY147" s="24"/>
      <c r="BRZ147" s="24"/>
      <c r="BSA147" s="24"/>
      <c r="BSB147" s="24"/>
      <c r="BSC147" s="24"/>
      <c r="BSD147" s="24"/>
      <c r="BSE147" s="24"/>
      <c r="BSF147" s="24"/>
      <c r="BSG147" s="24"/>
      <c r="BSH147" s="24"/>
      <c r="BSI147" s="24"/>
      <c r="BSJ147" s="24"/>
      <c r="BSK147" s="24"/>
      <c r="BSL147" s="24"/>
      <c r="BSM147" s="24"/>
      <c r="BSN147" s="24"/>
      <c r="BSO147" s="24"/>
      <c r="BSP147" s="24"/>
      <c r="BSQ147" s="24"/>
      <c r="BSR147" s="24"/>
      <c r="BSS147" s="24"/>
      <c r="BST147" s="24"/>
      <c r="BSU147" s="24"/>
      <c r="BSV147" s="24"/>
      <c r="BSW147" s="24"/>
      <c r="BSX147" s="24"/>
      <c r="BSY147" s="24"/>
      <c r="BSZ147" s="24"/>
      <c r="BTA147" s="24"/>
      <c r="BTB147" s="24"/>
      <c r="BTC147" s="24"/>
      <c r="BTD147" s="24"/>
      <c r="BTE147" s="24"/>
      <c r="BTF147" s="24"/>
      <c r="BTG147" s="24"/>
      <c r="BTH147" s="24"/>
      <c r="BTI147" s="24"/>
      <c r="BTJ147" s="24"/>
      <c r="BTK147" s="24"/>
      <c r="BTL147" s="24"/>
      <c r="BTM147" s="24"/>
      <c r="BTN147" s="24"/>
      <c r="BTO147" s="24"/>
      <c r="BTP147" s="24"/>
      <c r="BTQ147" s="24"/>
      <c r="BTR147" s="24"/>
      <c r="BTS147" s="24"/>
      <c r="BTT147" s="24"/>
      <c r="BTU147" s="24"/>
      <c r="BTV147" s="24"/>
      <c r="BTW147" s="24"/>
      <c r="BTX147" s="24"/>
      <c r="BTY147" s="24"/>
      <c r="BTZ147" s="24"/>
      <c r="BUA147" s="24"/>
      <c r="BUB147" s="24"/>
      <c r="BUC147" s="24"/>
      <c r="BUD147" s="24"/>
      <c r="BUE147" s="24"/>
      <c r="BUF147" s="24"/>
      <c r="BUG147" s="24"/>
      <c r="BUH147" s="24"/>
      <c r="BUI147" s="24"/>
      <c r="BUJ147" s="24"/>
      <c r="BUK147" s="24"/>
      <c r="BUL147" s="24"/>
      <c r="BUM147" s="24"/>
      <c r="BUN147" s="24"/>
      <c r="BUO147" s="24"/>
      <c r="BUP147" s="24"/>
      <c r="BUQ147" s="24"/>
      <c r="BUR147" s="24"/>
      <c r="BUS147" s="24"/>
      <c r="BUT147" s="24"/>
      <c r="BUU147" s="24"/>
      <c r="BUV147" s="24"/>
      <c r="BUW147" s="24"/>
      <c r="BUX147" s="24"/>
      <c r="BUY147" s="24"/>
      <c r="BUZ147" s="24"/>
      <c r="BVA147" s="24"/>
      <c r="BVB147" s="24"/>
      <c r="BVC147" s="24"/>
      <c r="BVD147" s="24"/>
      <c r="BVE147" s="24"/>
      <c r="BVF147" s="24"/>
      <c r="BVG147" s="24"/>
      <c r="BVH147" s="24"/>
      <c r="BVI147" s="24"/>
      <c r="BVJ147" s="24"/>
      <c r="BVK147" s="24"/>
      <c r="BVL147" s="24"/>
      <c r="BVM147" s="24"/>
      <c r="BVN147" s="24"/>
      <c r="BVO147" s="24"/>
      <c r="BVP147" s="24"/>
      <c r="BVQ147" s="24"/>
      <c r="BVR147" s="24"/>
      <c r="BVS147" s="24"/>
      <c r="BVT147" s="24"/>
      <c r="BVU147" s="24"/>
      <c r="BVV147" s="24"/>
      <c r="BVW147" s="24"/>
      <c r="BVX147" s="24"/>
      <c r="BVY147" s="24"/>
      <c r="BVZ147" s="24"/>
      <c r="BWA147" s="24"/>
      <c r="BWB147" s="24"/>
      <c r="BWC147" s="24"/>
      <c r="BWD147" s="24"/>
      <c r="BWE147" s="24"/>
      <c r="BWF147" s="24"/>
      <c r="BWG147" s="24"/>
      <c r="BWH147" s="24"/>
      <c r="BWI147" s="24"/>
      <c r="BWJ147" s="24"/>
      <c r="BWK147" s="24"/>
      <c r="BWL147" s="24"/>
      <c r="BWM147" s="24"/>
      <c r="BWN147" s="24"/>
      <c r="BWO147" s="24"/>
      <c r="BWP147" s="24"/>
      <c r="BWQ147" s="24"/>
      <c r="BWR147" s="24"/>
      <c r="BWS147" s="24"/>
      <c r="BWT147" s="24"/>
      <c r="BWU147" s="24"/>
      <c r="BWV147" s="24"/>
      <c r="BWW147" s="24"/>
      <c r="BWX147" s="24"/>
      <c r="BWY147" s="24"/>
      <c r="BWZ147" s="24"/>
      <c r="BXA147" s="24"/>
      <c r="BXB147" s="24"/>
      <c r="BXC147" s="24"/>
      <c r="BXD147" s="24"/>
      <c r="BXE147" s="24"/>
      <c r="BXF147" s="24"/>
      <c r="BXG147" s="24"/>
      <c r="BXH147" s="24"/>
      <c r="BXI147" s="24"/>
      <c r="BXJ147" s="24"/>
      <c r="BXK147" s="24"/>
      <c r="BXL147" s="24"/>
      <c r="BXM147" s="24"/>
      <c r="BXN147" s="24"/>
      <c r="BXO147" s="24"/>
      <c r="BXP147" s="24"/>
      <c r="BXQ147" s="24"/>
      <c r="BXR147" s="24"/>
      <c r="BXS147" s="24"/>
      <c r="BXT147" s="24"/>
      <c r="BXU147" s="24"/>
      <c r="BXV147" s="24"/>
      <c r="BXW147" s="24"/>
      <c r="BXX147" s="24"/>
      <c r="BXY147" s="24"/>
      <c r="BXZ147" s="24"/>
      <c r="BYA147" s="24"/>
      <c r="BYB147" s="24"/>
      <c r="BYC147" s="24"/>
      <c r="BYD147" s="24"/>
      <c r="BYE147" s="24"/>
      <c r="BYF147" s="24"/>
      <c r="BYG147" s="24"/>
      <c r="BYH147" s="24"/>
      <c r="BYI147" s="24"/>
      <c r="BYJ147" s="24"/>
      <c r="BYK147" s="24"/>
      <c r="BYL147" s="24"/>
      <c r="BYM147" s="24"/>
      <c r="BYN147" s="24"/>
      <c r="BYO147" s="24"/>
      <c r="BYP147" s="24"/>
      <c r="BYQ147" s="24"/>
      <c r="BYR147" s="24"/>
      <c r="BYS147" s="24"/>
      <c r="BYT147" s="24"/>
      <c r="BYU147" s="24"/>
      <c r="BYV147" s="24"/>
      <c r="BYW147" s="24"/>
      <c r="BYX147" s="24"/>
      <c r="BYY147" s="24"/>
      <c r="BYZ147" s="24"/>
      <c r="BZA147" s="24"/>
      <c r="BZB147" s="24"/>
      <c r="BZC147" s="24"/>
      <c r="BZD147" s="24"/>
      <c r="BZE147" s="24"/>
      <c r="BZF147" s="24"/>
      <c r="BZG147" s="24"/>
      <c r="BZH147" s="24"/>
      <c r="BZI147" s="24"/>
      <c r="BZJ147" s="24"/>
      <c r="BZK147" s="24"/>
      <c r="BZL147" s="24"/>
      <c r="BZM147" s="24"/>
      <c r="BZN147" s="24"/>
      <c r="BZO147" s="24"/>
      <c r="BZP147" s="24"/>
      <c r="BZQ147" s="24"/>
      <c r="BZR147" s="24"/>
      <c r="BZS147" s="24"/>
      <c r="BZT147" s="24"/>
      <c r="BZU147" s="24"/>
      <c r="BZV147" s="24"/>
      <c r="BZW147" s="24"/>
      <c r="BZX147" s="24"/>
      <c r="BZY147" s="24"/>
      <c r="BZZ147" s="24"/>
      <c r="CAA147" s="24"/>
      <c r="CAB147" s="24"/>
      <c r="CAC147" s="24"/>
      <c r="CAD147" s="24"/>
      <c r="CAE147" s="24"/>
      <c r="CAF147" s="24"/>
      <c r="CAG147" s="24"/>
      <c r="CAH147" s="24"/>
      <c r="CAI147" s="24"/>
      <c r="CAJ147" s="24"/>
      <c r="CAK147" s="24"/>
      <c r="CAL147" s="24"/>
      <c r="CAM147" s="24"/>
      <c r="CAN147" s="24"/>
      <c r="CAO147" s="24"/>
      <c r="CAP147" s="24"/>
      <c r="CAQ147" s="24"/>
      <c r="CAR147" s="24"/>
      <c r="CAS147" s="24"/>
      <c r="CAT147" s="24"/>
      <c r="CAU147" s="24"/>
      <c r="CAV147" s="24"/>
      <c r="CAW147" s="24"/>
      <c r="CAX147" s="24"/>
      <c r="CAY147" s="24"/>
      <c r="CAZ147" s="24"/>
      <c r="CBA147" s="24"/>
      <c r="CBB147" s="24"/>
      <c r="CBC147" s="24"/>
      <c r="CBD147" s="24"/>
      <c r="CBE147" s="24"/>
      <c r="CBF147" s="24"/>
      <c r="CBG147" s="24"/>
      <c r="CBH147" s="24"/>
      <c r="CBI147" s="24"/>
      <c r="CBJ147" s="24"/>
      <c r="CBK147" s="24"/>
      <c r="CBL147" s="24"/>
      <c r="CBM147" s="24"/>
      <c r="CBN147" s="24"/>
      <c r="CBO147" s="24"/>
      <c r="CBP147" s="24"/>
      <c r="CBQ147" s="24"/>
      <c r="CBR147" s="24"/>
      <c r="CBS147" s="24"/>
      <c r="CBT147" s="24"/>
      <c r="CBU147" s="24"/>
      <c r="CBV147" s="24"/>
      <c r="CBW147" s="24"/>
      <c r="CBX147" s="24"/>
      <c r="CBY147" s="24"/>
      <c r="CBZ147" s="24"/>
      <c r="CCA147" s="24"/>
      <c r="CCB147" s="24"/>
      <c r="CCC147" s="24"/>
      <c r="CCD147" s="24"/>
      <c r="CCE147" s="24"/>
      <c r="CCF147" s="24"/>
      <c r="CCG147" s="24"/>
      <c r="CCH147" s="24"/>
      <c r="CCI147" s="24"/>
      <c r="CCJ147" s="24"/>
      <c r="CCK147" s="24"/>
      <c r="CCL147" s="24"/>
      <c r="CCM147" s="24"/>
      <c r="CCN147" s="24"/>
      <c r="CCO147" s="24"/>
      <c r="CCP147" s="24"/>
      <c r="CCQ147" s="24"/>
      <c r="CCR147" s="24"/>
      <c r="CCS147" s="24"/>
      <c r="CCT147" s="24"/>
      <c r="CCU147" s="24"/>
      <c r="CCV147" s="24"/>
      <c r="CCW147" s="24"/>
      <c r="CCX147" s="24"/>
      <c r="CCY147" s="24"/>
      <c r="CCZ147" s="24"/>
      <c r="CDA147" s="24"/>
      <c r="CDB147" s="24"/>
      <c r="CDC147" s="24"/>
      <c r="CDD147" s="24"/>
      <c r="CDE147" s="24"/>
      <c r="CDF147" s="24"/>
      <c r="CDG147" s="24"/>
      <c r="CDH147" s="24"/>
      <c r="CDI147" s="24"/>
      <c r="CDJ147" s="24"/>
      <c r="CDK147" s="24"/>
      <c r="CDL147" s="24"/>
      <c r="CDM147" s="24"/>
      <c r="CDN147" s="24"/>
      <c r="CDO147" s="24"/>
      <c r="CDP147" s="24"/>
      <c r="CDQ147" s="24"/>
      <c r="CDR147" s="24"/>
      <c r="CDS147" s="24"/>
      <c r="CDT147" s="24"/>
      <c r="CDU147" s="24"/>
      <c r="CDV147" s="24"/>
      <c r="CDW147" s="24"/>
      <c r="CDX147" s="24"/>
      <c r="CDY147" s="24"/>
      <c r="CDZ147" s="24"/>
      <c r="CEA147" s="24"/>
      <c r="CEB147" s="24"/>
      <c r="CEC147" s="24"/>
      <c r="CED147" s="24"/>
      <c r="CEE147" s="24"/>
      <c r="CEF147" s="24"/>
      <c r="CEG147" s="24"/>
      <c r="CEH147" s="24"/>
      <c r="CEI147" s="24"/>
      <c r="CEJ147" s="24"/>
      <c r="CEK147" s="24"/>
      <c r="CEL147" s="24"/>
      <c r="CEM147" s="24"/>
      <c r="CEN147" s="24"/>
      <c r="CEO147" s="24"/>
      <c r="CEP147" s="24"/>
      <c r="CEQ147" s="24"/>
      <c r="CER147" s="24"/>
      <c r="CES147" s="24"/>
      <c r="CET147" s="24"/>
      <c r="CEU147" s="24"/>
      <c r="CEV147" s="24"/>
      <c r="CEW147" s="24"/>
      <c r="CEX147" s="24"/>
      <c r="CEY147" s="24"/>
      <c r="CEZ147" s="24"/>
      <c r="CFA147" s="24"/>
      <c r="CFB147" s="24"/>
      <c r="CFC147" s="24"/>
      <c r="CFD147" s="24"/>
      <c r="CFE147" s="24"/>
      <c r="CFF147" s="24"/>
      <c r="CFG147" s="24"/>
      <c r="CFH147" s="24"/>
      <c r="CFI147" s="24"/>
      <c r="CFJ147" s="24"/>
      <c r="CFK147" s="24"/>
      <c r="CFL147" s="24"/>
      <c r="CFM147" s="24"/>
      <c r="CFN147" s="24"/>
      <c r="CFO147" s="24"/>
      <c r="CFP147" s="24"/>
      <c r="CFQ147" s="24"/>
      <c r="CFR147" s="24"/>
      <c r="CFS147" s="24"/>
      <c r="CFT147" s="24"/>
      <c r="CFU147" s="24"/>
      <c r="CFV147" s="24"/>
      <c r="CFW147" s="24"/>
      <c r="CFX147" s="24"/>
      <c r="CFY147" s="24"/>
      <c r="CFZ147" s="24"/>
      <c r="CGA147" s="24"/>
      <c r="CGB147" s="24"/>
      <c r="CGC147" s="24"/>
      <c r="CGD147" s="24"/>
      <c r="CGE147" s="24"/>
      <c r="CGF147" s="24"/>
      <c r="CGG147" s="24"/>
      <c r="CGH147" s="24"/>
      <c r="CGI147" s="24"/>
      <c r="CGJ147" s="24"/>
      <c r="CGK147" s="24"/>
      <c r="CGL147" s="24"/>
      <c r="CGM147" s="24"/>
      <c r="CGN147" s="24"/>
      <c r="CGO147" s="24"/>
      <c r="CGP147" s="24"/>
      <c r="CGQ147" s="24"/>
      <c r="CGR147" s="24"/>
      <c r="CGS147" s="24"/>
      <c r="CGT147" s="24"/>
      <c r="CGU147" s="24"/>
      <c r="CGV147" s="24"/>
      <c r="CGW147" s="24"/>
      <c r="CGX147" s="24"/>
      <c r="CGY147" s="24"/>
      <c r="CGZ147" s="24"/>
      <c r="CHA147" s="24"/>
      <c r="CHB147" s="24"/>
      <c r="CHC147" s="24"/>
      <c r="CHD147" s="24"/>
      <c r="CHE147" s="24"/>
      <c r="CHF147" s="24"/>
      <c r="CHG147" s="24"/>
      <c r="CHH147" s="24"/>
      <c r="CHI147" s="24"/>
      <c r="CHJ147" s="24"/>
      <c r="CHK147" s="24"/>
      <c r="CHL147" s="24"/>
      <c r="CHM147" s="24"/>
      <c r="CHN147" s="24"/>
      <c r="CHO147" s="24"/>
      <c r="CHP147" s="24"/>
      <c r="CHQ147" s="24"/>
      <c r="CHR147" s="24"/>
      <c r="CHS147" s="24"/>
      <c r="CHT147" s="24"/>
      <c r="CHU147" s="24"/>
      <c r="CHV147" s="24"/>
      <c r="CHW147" s="24"/>
      <c r="CHX147" s="24"/>
      <c r="CHY147" s="24"/>
      <c r="CHZ147" s="24"/>
      <c r="CIA147" s="24"/>
      <c r="CIB147" s="24"/>
      <c r="CIC147" s="24"/>
      <c r="CID147" s="24"/>
      <c r="CIE147" s="24"/>
      <c r="CIF147" s="24"/>
      <c r="CIG147" s="24"/>
      <c r="CIH147" s="24"/>
      <c r="CII147" s="24"/>
      <c r="CIJ147" s="24"/>
      <c r="CIK147" s="24"/>
      <c r="CIL147" s="24"/>
      <c r="CIM147" s="24"/>
      <c r="CIN147" s="24"/>
      <c r="CIO147" s="24"/>
      <c r="CIP147" s="24"/>
      <c r="CIQ147" s="24"/>
      <c r="CIR147" s="24"/>
      <c r="CIS147" s="24"/>
      <c r="CIT147" s="24"/>
      <c r="CIU147" s="24"/>
      <c r="CIV147" s="24"/>
      <c r="CIW147" s="24"/>
      <c r="CIX147" s="24"/>
      <c r="CIY147" s="24"/>
      <c r="CIZ147" s="24"/>
      <c r="CJA147" s="24"/>
      <c r="CJB147" s="24"/>
      <c r="CJC147" s="24"/>
      <c r="CJD147" s="24"/>
      <c r="CJE147" s="24"/>
      <c r="CJF147" s="24"/>
      <c r="CJG147" s="24"/>
      <c r="CJH147" s="24"/>
      <c r="CJI147" s="24"/>
      <c r="CJJ147" s="24"/>
      <c r="CJK147" s="24"/>
      <c r="CJL147" s="24"/>
      <c r="CJM147" s="24"/>
      <c r="CJN147" s="24"/>
      <c r="CJO147" s="24"/>
      <c r="CJP147" s="24"/>
      <c r="CJQ147" s="24"/>
      <c r="CJR147" s="24"/>
      <c r="CJS147" s="24"/>
      <c r="CJT147" s="24"/>
      <c r="CJU147" s="24"/>
      <c r="CJV147" s="24"/>
      <c r="CJW147" s="24"/>
      <c r="CJX147" s="24"/>
      <c r="CJY147" s="24"/>
      <c r="CJZ147" s="24"/>
      <c r="CKA147" s="24"/>
      <c r="CKB147" s="24"/>
      <c r="CKC147" s="24"/>
      <c r="CKD147" s="24"/>
      <c r="CKE147" s="24"/>
      <c r="CKF147" s="24"/>
      <c r="CKG147" s="24"/>
      <c r="CKH147" s="24"/>
      <c r="CKI147" s="24"/>
      <c r="CKJ147" s="24"/>
      <c r="CKK147" s="24"/>
      <c r="CKL147" s="24"/>
      <c r="CKM147" s="24"/>
      <c r="CKN147" s="24"/>
      <c r="CKO147" s="24"/>
      <c r="CKP147" s="24"/>
      <c r="CKQ147" s="24"/>
      <c r="CKR147" s="24"/>
      <c r="CKS147" s="24"/>
      <c r="CKT147" s="24"/>
      <c r="CKU147" s="24"/>
      <c r="CKV147" s="24"/>
      <c r="CKW147" s="24"/>
      <c r="CKX147" s="24"/>
      <c r="CKY147" s="24"/>
      <c r="CKZ147" s="24"/>
      <c r="CLA147" s="24"/>
      <c r="CLB147" s="24"/>
      <c r="CLC147" s="24"/>
      <c r="CLD147" s="24"/>
      <c r="CLE147" s="24"/>
      <c r="CLF147" s="24"/>
      <c r="CLG147" s="24"/>
      <c r="CLH147" s="24"/>
      <c r="CLI147" s="24"/>
      <c r="CLJ147" s="24"/>
      <c r="CLK147" s="24"/>
      <c r="CLL147" s="24"/>
      <c r="CLM147" s="24"/>
      <c r="CLN147" s="24"/>
      <c r="CLO147" s="24"/>
      <c r="CLP147" s="24"/>
      <c r="CLQ147" s="24"/>
      <c r="CLR147" s="24"/>
      <c r="CLS147" s="24"/>
      <c r="CLT147" s="24"/>
      <c r="CLU147" s="24"/>
      <c r="CLV147" s="24"/>
      <c r="CLW147" s="24"/>
      <c r="CLX147" s="24"/>
      <c r="CLY147" s="24"/>
      <c r="CLZ147" s="24"/>
      <c r="CMA147" s="24"/>
      <c r="CMB147" s="24"/>
      <c r="CMC147" s="24"/>
      <c r="CMD147" s="24"/>
      <c r="CME147" s="24"/>
      <c r="CMF147" s="24"/>
      <c r="CMG147" s="24"/>
      <c r="CMH147" s="24"/>
      <c r="CMI147" s="24"/>
      <c r="CMJ147" s="24"/>
      <c r="CMK147" s="24"/>
      <c r="CML147" s="24"/>
      <c r="CMM147" s="24"/>
      <c r="CMN147" s="24"/>
      <c r="CMO147" s="24"/>
      <c r="CMP147" s="24"/>
      <c r="CMQ147" s="24"/>
      <c r="CMR147" s="24"/>
      <c r="CMS147" s="24"/>
      <c r="CMT147" s="24"/>
      <c r="CMU147" s="24"/>
      <c r="CMV147" s="24"/>
      <c r="CMW147" s="24"/>
      <c r="CMX147" s="24"/>
      <c r="CMY147" s="24"/>
      <c r="CMZ147" s="24"/>
      <c r="CNA147" s="24"/>
      <c r="CNB147" s="24"/>
      <c r="CNC147" s="24"/>
      <c r="CND147" s="24"/>
      <c r="CNE147" s="24"/>
      <c r="CNF147" s="24"/>
      <c r="CNG147" s="24"/>
      <c r="CNH147" s="24"/>
      <c r="CNI147" s="24"/>
      <c r="CNJ147" s="24"/>
      <c r="CNK147" s="24"/>
      <c r="CNL147" s="24"/>
      <c r="CNM147" s="24"/>
      <c r="CNN147" s="24"/>
      <c r="CNO147" s="24"/>
      <c r="CNP147" s="24"/>
      <c r="CNQ147" s="24"/>
      <c r="CNR147" s="24"/>
      <c r="CNS147" s="24"/>
      <c r="CNT147" s="24"/>
      <c r="CNU147" s="24"/>
      <c r="CNV147" s="24"/>
      <c r="CNW147" s="24"/>
      <c r="CNX147" s="24"/>
      <c r="CNY147" s="24"/>
      <c r="CNZ147" s="24"/>
      <c r="COA147" s="24"/>
      <c r="COB147" s="24"/>
      <c r="COC147" s="24"/>
      <c r="COD147" s="24"/>
      <c r="COE147" s="24"/>
      <c r="COF147" s="24"/>
      <c r="COG147" s="24"/>
      <c r="COH147" s="24"/>
      <c r="COI147" s="24"/>
      <c r="COJ147" s="24"/>
      <c r="COK147" s="24"/>
      <c r="COL147" s="24"/>
      <c r="COM147" s="24"/>
      <c r="CON147" s="24"/>
      <c r="COO147" s="24"/>
      <c r="COP147" s="24"/>
      <c r="COQ147" s="24"/>
      <c r="COR147" s="24"/>
      <c r="COS147" s="24"/>
      <c r="COT147" s="24"/>
      <c r="COU147" s="24"/>
      <c r="COV147" s="24"/>
      <c r="COW147" s="24"/>
      <c r="COX147" s="24"/>
      <c r="COY147" s="24"/>
      <c r="COZ147" s="24"/>
      <c r="CPA147" s="24"/>
      <c r="CPB147" s="24"/>
      <c r="CPC147" s="24"/>
      <c r="CPD147" s="24"/>
      <c r="CPE147" s="24"/>
      <c r="CPF147" s="24"/>
      <c r="CPG147" s="24"/>
      <c r="CPH147" s="24"/>
      <c r="CPI147" s="24"/>
      <c r="CPJ147" s="24"/>
      <c r="CPK147" s="24"/>
      <c r="CPL147" s="24"/>
      <c r="CPM147" s="24"/>
      <c r="CPN147" s="24"/>
      <c r="CPO147" s="24"/>
      <c r="CPP147" s="24"/>
      <c r="CPQ147" s="24"/>
      <c r="CPR147" s="24"/>
      <c r="CPS147" s="24"/>
      <c r="CPT147" s="24"/>
      <c r="CPU147" s="24"/>
      <c r="CPV147" s="24"/>
      <c r="CPW147" s="24"/>
      <c r="CPX147" s="24"/>
      <c r="CPY147" s="24"/>
      <c r="CPZ147" s="24"/>
      <c r="CQA147" s="24"/>
      <c r="CQB147" s="24"/>
      <c r="CQC147" s="24"/>
      <c r="CQD147" s="24"/>
      <c r="CQE147" s="24"/>
      <c r="CQF147" s="24"/>
      <c r="CQG147" s="24"/>
      <c r="CQH147" s="24"/>
      <c r="CQI147" s="24"/>
      <c r="CQJ147" s="24"/>
      <c r="CQK147" s="24"/>
      <c r="CQL147" s="24"/>
      <c r="CQM147" s="24"/>
      <c r="CQN147" s="24"/>
      <c r="CQO147" s="24"/>
      <c r="CQP147" s="24"/>
      <c r="CQQ147" s="24"/>
      <c r="CQR147" s="24"/>
      <c r="CQS147" s="24"/>
      <c r="CQT147" s="24"/>
      <c r="CQU147" s="24"/>
      <c r="CQV147" s="24"/>
      <c r="CQW147" s="24"/>
      <c r="CQX147" s="24"/>
      <c r="CQY147" s="24"/>
      <c r="CQZ147" s="24"/>
      <c r="CRA147" s="24"/>
      <c r="CRB147" s="24"/>
      <c r="CRC147" s="24"/>
      <c r="CRD147" s="24"/>
      <c r="CRE147" s="24"/>
      <c r="CRF147" s="24"/>
      <c r="CRG147" s="24"/>
      <c r="CRH147" s="24"/>
      <c r="CRI147" s="24"/>
      <c r="CRJ147" s="24"/>
      <c r="CRK147" s="24"/>
      <c r="CRL147" s="24"/>
      <c r="CRM147" s="24"/>
      <c r="CRN147" s="24"/>
      <c r="CRO147" s="24"/>
      <c r="CRP147" s="24"/>
      <c r="CRQ147" s="24"/>
      <c r="CRR147" s="24"/>
      <c r="CRS147" s="24"/>
      <c r="CRT147" s="24"/>
      <c r="CRU147" s="24"/>
      <c r="CRV147" s="24"/>
      <c r="CRW147" s="24"/>
      <c r="CRX147" s="24"/>
      <c r="CRY147" s="24"/>
      <c r="CRZ147" s="24"/>
      <c r="CSA147" s="24"/>
      <c r="CSB147" s="24"/>
      <c r="CSC147" s="24"/>
      <c r="CSD147" s="24"/>
      <c r="CSE147" s="24"/>
      <c r="CSF147" s="24"/>
      <c r="CSG147" s="24"/>
      <c r="CSH147" s="24"/>
      <c r="CSI147" s="24"/>
      <c r="CSJ147" s="24"/>
      <c r="CSK147" s="24"/>
      <c r="CSL147" s="24"/>
      <c r="CSM147" s="24"/>
      <c r="CSN147" s="24"/>
      <c r="CSO147" s="24"/>
      <c r="CSP147" s="24"/>
      <c r="CSQ147" s="24"/>
      <c r="CSR147" s="24"/>
      <c r="CSS147" s="24"/>
      <c r="CST147" s="24"/>
      <c r="CSU147" s="24"/>
      <c r="CSV147" s="24"/>
      <c r="CSW147" s="24"/>
      <c r="CSX147" s="24"/>
      <c r="CSY147" s="24"/>
      <c r="CSZ147" s="24"/>
      <c r="CTA147" s="24"/>
      <c r="CTB147" s="24"/>
      <c r="CTC147" s="24"/>
      <c r="CTD147" s="24"/>
      <c r="CTE147" s="24"/>
      <c r="CTF147" s="24"/>
      <c r="CTG147" s="24"/>
      <c r="CTH147" s="24"/>
      <c r="CTI147" s="24"/>
      <c r="CTJ147" s="24"/>
      <c r="CTK147" s="24"/>
      <c r="CTL147" s="24"/>
      <c r="CTM147" s="24"/>
      <c r="CTN147" s="24"/>
      <c r="CTO147" s="24"/>
      <c r="CTP147" s="24"/>
      <c r="CTQ147" s="24"/>
      <c r="CTR147" s="24"/>
      <c r="CTS147" s="24"/>
      <c r="CTT147" s="24"/>
      <c r="CTU147" s="24"/>
      <c r="CTV147" s="24"/>
      <c r="CTW147" s="24"/>
      <c r="CTX147" s="24"/>
      <c r="CTY147" s="24"/>
      <c r="CTZ147" s="24"/>
      <c r="CUA147" s="24"/>
      <c r="CUB147" s="24"/>
      <c r="CUC147" s="24"/>
      <c r="CUD147" s="24"/>
      <c r="CUE147" s="24"/>
      <c r="CUF147" s="24"/>
      <c r="CUG147" s="24"/>
      <c r="CUH147" s="24"/>
      <c r="CUI147" s="24"/>
      <c r="CUJ147" s="24"/>
      <c r="CUK147" s="24"/>
      <c r="CUL147" s="24"/>
      <c r="CUM147" s="24"/>
      <c r="CUN147" s="24"/>
      <c r="CUO147" s="24"/>
      <c r="CUP147" s="24"/>
      <c r="CUQ147" s="24"/>
      <c r="CUR147" s="24"/>
      <c r="CUS147" s="24"/>
      <c r="CUT147" s="24"/>
      <c r="CUU147" s="24"/>
      <c r="CUV147" s="24"/>
      <c r="CUW147" s="24"/>
      <c r="CUX147" s="24"/>
      <c r="CUY147" s="24"/>
      <c r="CUZ147" s="24"/>
      <c r="CVA147" s="24"/>
      <c r="CVB147" s="24"/>
      <c r="CVC147" s="24"/>
      <c r="CVD147" s="24"/>
      <c r="CVE147" s="24"/>
      <c r="CVF147" s="24"/>
      <c r="CVG147" s="24"/>
      <c r="CVH147" s="24"/>
      <c r="CVI147" s="24"/>
      <c r="CVJ147" s="24"/>
      <c r="CVK147" s="24"/>
      <c r="CVL147" s="24"/>
      <c r="CVM147" s="24"/>
      <c r="CVN147" s="24"/>
      <c r="CVO147" s="24"/>
      <c r="CVP147" s="24"/>
      <c r="CVQ147" s="24"/>
      <c r="CVR147" s="24"/>
      <c r="CVS147" s="24"/>
      <c r="CVT147" s="24"/>
      <c r="CVU147" s="24"/>
      <c r="CVV147" s="24"/>
      <c r="CVW147" s="24"/>
      <c r="CVX147" s="24"/>
      <c r="CVY147" s="24"/>
      <c r="CVZ147" s="24"/>
      <c r="CWA147" s="24"/>
      <c r="CWB147" s="24"/>
      <c r="CWC147" s="24"/>
      <c r="CWD147" s="24"/>
      <c r="CWE147" s="24"/>
      <c r="CWF147" s="24"/>
      <c r="CWG147" s="24"/>
      <c r="CWH147" s="24"/>
      <c r="CWI147" s="24"/>
      <c r="CWJ147" s="24"/>
      <c r="CWK147" s="24"/>
      <c r="CWL147" s="24"/>
      <c r="CWM147" s="24"/>
      <c r="CWN147" s="24"/>
      <c r="CWO147" s="24"/>
      <c r="CWP147" s="24"/>
      <c r="CWQ147" s="24"/>
      <c r="CWR147" s="24"/>
      <c r="CWS147" s="24"/>
      <c r="CWT147" s="24"/>
      <c r="CWU147" s="24"/>
      <c r="CWV147" s="24"/>
      <c r="CWW147" s="24"/>
      <c r="CWX147" s="24"/>
      <c r="CWY147" s="24"/>
      <c r="CWZ147" s="24"/>
      <c r="CXA147" s="24"/>
      <c r="CXB147" s="24"/>
      <c r="CXC147" s="24"/>
      <c r="CXD147" s="24"/>
      <c r="CXE147" s="24"/>
      <c r="CXF147" s="24"/>
      <c r="CXG147" s="24"/>
      <c r="CXH147" s="24"/>
      <c r="CXI147" s="24"/>
      <c r="CXJ147" s="24"/>
      <c r="CXK147" s="24"/>
      <c r="CXL147" s="24"/>
      <c r="CXM147" s="24"/>
      <c r="CXN147" s="24"/>
      <c r="CXO147" s="24"/>
      <c r="CXP147" s="24"/>
      <c r="CXQ147" s="24"/>
      <c r="CXR147" s="24"/>
      <c r="CXS147" s="24"/>
      <c r="CXT147" s="24"/>
      <c r="CXU147" s="24"/>
      <c r="CXV147" s="24"/>
      <c r="CXW147" s="24"/>
      <c r="CXX147" s="24"/>
      <c r="CXY147" s="24"/>
      <c r="CXZ147" s="24"/>
      <c r="CYA147" s="24"/>
      <c r="CYB147" s="24"/>
      <c r="CYC147" s="24"/>
      <c r="CYD147" s="24"/>
      <c r="CYE147" s="24"/>
      <c r="CYF147" s="24"/>
      <c r="CYG147" s="24"/>
      <c r="CYH147" s="24"/>
      <c r="CYI147" s="24"/>
      <c r="CYJ147" s="24"/>
      <c r="CYK147" s="24"/>
      <c r="CYL147" s="24"/>
      <c r="CYM147" s="24"/>
      <c r="CYN147" s="24"/>
      <c r="CYO147" s="24"/>
      <c r="CYP147" s="24"/>
      <c r="CYQ147" s="24"/>
      <c r="CYR147" s="24"/>
      <c r="CYS147" s="24"/>
      <c r="CYT147" s="24"/>
      <c r="CYU147" s="24"/>
      <c r="CYV147" s="24"/>
      <c r="CYW147" s="24"/>
      <c r="CYX147" s="24"/>
      <c r="CYY147" s="24"/>
      <c r="CYZ147" s="24"/>
      <c r="CZA147" s="24"/>
      <c r="CZB147" s="24"/>
      <c r="CZC147" s="24"/>
      <c r="CZD147" s="24"/>
      <c r="CZE147" s="24"/>
      <c r="CZF147" s="24"/>
      <c r="CZG147" s="24"/>
      <c r="CZH147" s="24"/>
      <c r="CZI147" s="24"/>
      <c r="CZJ147" s="24"/>
      <c r="CZK147" s="24"/>
      <c r="CZL147" s="24"/>
      <c r="CZM147" s="24"/>
      <c r="CZN147" s="24"/>
      <c r="CZO147" s="24"/>
      <c r="CZP147" s="24"/>
      <c r="CZQ147" s="24"/>
      <c r="CZR147" s="24"/>
      <c r="CZS147" s="24"/>
      <c r="CZT147" s="24"/>
      <c r="CZU147" s="24"/>
      <c r="CZV147" s="24"/>
      <c r="CZW147" s="24"/>
      <c r="CZX147" s="24"/>
      <c r="CZY147" s="24"/>
      <c r="CZZ147" s="24"/>
      <c r="DAA147" s="24"/>
      <c r="DAB147" s="24"/>
      <c r="DAC147" s="24"/>
      <c r="DAD147" s="24"/>
      <c r="DAE147" s="24"/>
      <c r="DAF147" s="24"/>
      <c r="DAG147" s="24"/>
      <c r="DAH147" s="24"/>
      <c r="DAI147" s="24"/>
      <c r="DAJ147" s="24"/>
      <c r="DAK147" s="24"/>
      <c r="DAL147" s="24"/>
      <c r="DAM147" s="24"/>
      <c r="DAN147" s="24"/>
      <c r="DAO147" s="24"/>
      <c r="DAP147" s="24"/>
      <c r="DAQ147" s="24"/>
      <c r="DAR147" s="24"/>
      <c r="DAS147" s="24"/>
      <c r="DAT147" s="24"/>
      <c r="DAU147" s="24"/>
      <c r="DAV147" s="24"/>
      <c r="DAW147" s="24"/>
      <c r="DAX147" s="24"/>
      <c r="DAY147" s="24"/>
      <c r="DAZ147" s="24"/>
      <c r="DBA147" s="24"/>
      <c r="DBB147" s="24"/>
      <c r="DBC147" s="24"/>
      <c r="DBD147" s="24"/>
      <c r="DBE147" s="24"/>
      <c r="DBF147" s="24"/>
      <c r="DBG147" s="24"/>
      <c r="DBH147" s="24"/>
      <c r="DBI147" s="24"/>
      <c r="DBJ147" s="24"/>
      <c r="DBK147" s="24"/>
      <c r="DBL147" s="24"/>
      <c r="DBM147" s="24"/>
      <c r="DBN147" s="24"/>
      <c r="DBO147" s="24"/>
      <c r="DBP147" s="24"/>
      <c r="DBQ147" s="24"/>
      <c r="DBR147" s="24"/>
      <c r="DBS147" s="24"/>
      <c r="DBT147" s="24"/>
      <c r="DBU147" s="24"/>
      <c r="DBV147" s="24"/>
      <c r="DBW147" s="24"/>
      <c r="DBX147" s="24"/>
      <c r="DBY147" s="24"/>
      <c r="DBZ147" s="24"/>
      <c r="DCA147" s="24"/>
      <c r="DCB147" s="24"/>
      <c r="DCC147" s="24"/>
      <c r="DCD147" s="24"/>
      <c r="DCE147" s="24"/>
      <c r="DCF147" s="24"/>
      <c r="DCG147" s="24"/>
      <c r="DCH147" s="24"/>
      <c r="DCI147" s="24"/>
      <c r="DCJ147" s="24"/>
      <c r="DCK147" s="24"/>
      <c r="DCL147" s="24"/>
      <c r="DCM147" s="24"/>
      <c r="DCN147" s="24"/>
      <c r="DCO147" s="24"/>
      <c r="DCP147" s="24"/>
      <c r="DCQ147" s="24"/>
      <c r="DCR147" s="24"/>
      <c r="DCS147" s="24"/>
      <c r="DCT147" s="24"/>
      <c r="DCU147" s="24"/>
      <c r="DCV147" s="24"/>
      <c r="DCW147" s="24"/>
      <c r="DCX147" s="24"/>
      <c r="DCY147" s="24"/>
      <c r="DCZ147" s="24"/>
      <c r="DDA147" s="24"/>
      <c r="DDB147" s="24"/>
      <c r="DDC147" s="24"/>
      <c r="DDD147" s="24"/>
      <c r="DDE147" s="24"/>
      <c r="DDF147" s="24"/>
      <c r="DDG147" s="24"/>
      <c r="DDH147" s="24"/>
      <c r="DDI147" s="24"/>
      <c r="DDJ147" s="24"/>
      <c r="DDK147" s="24"/>
      <c r="DDL147" s="24"/>
      <c r="DDM147" s="24"/>
      <c r="DDN147" s="24"/>
      <c r="DDO147" s="24"/>
      <c r="DDP147" s="24"/>
      <c r="DDQ147" s="24"/>
      <c r="DDR147" s="24"/>
      <c r="DDS147" s="24"/>
      <c r="DDT147" s="24"/>
      <c r="DDU147" s="24"/>
      <c r="DDV147" s="24"/>
      <c r="DDW147" s="24"/>
      <c r="DDX147" s="24"/>
      <c r="DDY147" s="24"/>
      <c r="DDZ147" s="24"/>
      <c r="DEA147" s="24"/>
      <c r="DEB147" s="24"/>
      <c r="DEC147" s="24"/>
      <c r="DED147" s="24"/>
      <c r="DEE147" s="24"/>
      <c r="DEF147" s="24"/>
      <c r="DEG147" s="24"/>
      <c r="DEH147" s="24"/>
      <c r="DEI147" s="24"/>
      <c r="DEJ147" s="24"/>
      <c r="DEK147" s="24"/>
      <c r="DEL147" s="24"/>
      <c r="DEM147" s="24"/>
      <c r="DEN147" s="24"/>
      <c r="DEO147" s="24"/>
      <c r="DEP147" s="24"/>
      <c r="DEQ147" s="24"/>
      <c r="DER147" s="24"/>
      <c r="DES147" s="24"/>
      <c r="DET147" s="24"/>
      <c r="DEU147" s="24"/>
      <c r="DEV147" s="24"/>
      <c r="DEW147" s="24"/>
      <c r="DEX147" s="24"/>
      <c r="DEY147" s="24"/>
      <c r="DEZ147" s="24"/>
      <c r="DFA147" s="24"/>
      <c r="DFB147" s="24"/>
      <c r="DFC147" s="24"/>
      <c r="DFD147" s="24"/>
      <c r="DFE147" s="24"/>
      <c r="DFF147" s="24"/>
      <c r="DFG147" s="24"/>
      <c r="DFH147" s="24"/>
      <c r="DFI147" s="24"/>
      <c r="DFJ147" s="24"/>
      <c r="DFK147" s="24"/>
      <c r="DFL147" s="24"/>
      <c r="DFM147" s="24"/>
      <c r="DFN147" s="24"/>
      <c r="DFO147" s="24"/>
      <c r="DFP147" s="24"/>
      <c r="DFQ147" s="24"/>
      <c r="DFR147" s="24"/>
      <c r="DFS147" s="24"/>
      <c r="DFT147" s="24"/>
      <c r="DFU147" s="24"/>
      <c r="DFV147" s="24"/>
      <c r="DFW147" s="24"/>
      <c r="DFX147" s="24"/>
      <c r="DFY147" s="24"/>
      <c r="DFZ147" s="24"/>
      <c r="DGA147" s="24"/>
      <c r="DGB147" s="24"/>
      <c r="DGC147" s="24"/>
      <c r="DGD147" s="24"/>
      <c r="DGE147" s="24"/>
      <c r="DGF147" s="24"/>
      <c r="DGG147" s="24"/>
      <c r="DGH147" s="24"/>
      <c r="DGI147" s="24"/>
      <c r="DGJ147" s="24"/>
      <c r="DGK147" s="24"/>
      <c r="DGL147" s="24"/>
      <c r="DGM147" s="24"/>
      <c r="DGN147" s="24"/>
      <c r="DGO147" s="24"/>
      <c r="DGP147" s="24"/>
      <c r="DGQ147" s="24"/>
      <c r="DGR147" s="24"/>
      <c r="DGS147" s="24"/>
      <c r="DGT147" s="24"/>
      <c r="DGU147" s="24"/>
      <c r="DGV147" s="24"/>
      <c r="DGW147" s="24"/>
      <c r="DGX147" s="24"/>
      <c r="DGY147" s="24"/>
      <c r="DGZ147" s="24"/>
      <c r="DHA147" s="24"/>
      <c r="DHB147" s="24"/>
      <c r="DHC147" s="24"/>
      <c r="DHD147" s="24"/>
      <c r="DHE147" s="24"/>
      <c r="DHF147" s="24"/>
      <c r="DHG147" s="24"/>
      <c r="DHH147" s="24"/>
      <c r="DHI147" s="24"/>
      <c r="DHJ147" s="24"/>
      <c r="DHK147" s="24"/>
      <c r="DHL147" s="24"/>
      <c r="DHM147" s="24"/>
      <c r="DHN147" s="24"/>
      <c r="DHO147" s="24"/>
      <c r="DHP147" s="24"/>
      <c r="DHQ147" s="24"/>
      <c r="DHR147" s="24"/>
      <c r="DHS147" s="24"/>
      <c r="DHT147" s="24"/>
      <c r="DHU147" s="24"/>
      <c r="DHV147" s="24"/>
      <c r="DHW147" s="24"/>
      <c r="DHX147" s="24"/>
      <c r="DHY147" s="24"/>
      <c r="DHZ147" s="24"/>
      <c r="DIA147" s="24"/>
      <c r="DIB147" s="24"/>
      <c r="DIC147" s="24"/>
      <c r="DID147" s="24"/>
      <c r="DIE147" s="24"/>
      <c r="DIF147" s="24"/>
      <c r="DIG147" s="24"/>
      <c r="DIH147" s="24"/>
      <c r="DII147" s="24"/>
      <c r="DIJ147" s="24"/>
      <c r="DIK147" s="24"/>
      <c r="DIL147" s="24"/>
      <c r="DIM147" s="24"/>
      <c r="DIN147" s="24"/>
      <c r="DIO147" s="24"/>
      <c r="DIP147" s="24"/>
      <c r="DIQ147" s="24"/>
      <c r="DIR147" s="24"/>
      <c r="DIS147" s="24"/>
      <c r="DIT147" s="24"/>
      <c r="DIU147" s="24"/>
      <c r="DIV147" s="24"/>
      <c r="DIW147" s="24"/>
      <c r="DIX147" s="24"/>
      <c r="DIY147" s="24"/>
      <c r="DIZ147" s="24"/>
      <c r="DJA147" s="24"/>
      <c r="DJB147" s="24"/>
      <c r="DJC147" s="24"/>
      <c r="DJD147" s="24"/>
      <c r="DJE147" s="24"/>
      <c r="DJF147" s="24"/>
      <c r="DJG147" s="24"/>
      <c r="DJH147" s="24"/>
      <c r="DJI147" s="24"/>
      <c r="DJJ147" s="24"/>
      <c r="DJK147" s="24"/>
      <c r="DJL147" s="24"/>
      <c r="DJM147" s="24"/>
      <c r="DJN147" s="24"/>
      <c r="DJO147" s="24"/>
      <c r="DJP147" s="24"/>
      <c r="DJQ147" s="24"/>
      <c r="DJR147" s="24"/>
      <c r="DJS147" s="24"/>
      <c r="DJT147" s="24"/>
      <c r="DJU147" s="24"/>
      <c r="DJV147" s="24"/>
      <c r="DJW147" s="24"/>
      <c r="DJX147" s="24"/>
      <c r="DJY147" s="24"/>
      <c r="DJZ147" s="24"/>
      <c r="DKA147" s="24"/>
      <c r="DKB147" s="24"/>
      <c r="DKC147" s="24"/>
      <c r="DKD147" s="24"/>
      <c r="DKE147" s="24"/>
      <c r="DKF147" s="24"/>
      <c r="DKG147" s="24"/>
      <c r="DKH147" s="24"/>
      <c r="DKI147" s="24"/>
      <c r="DKJ147" s="24"/>
      <c r="DKK147" s="24"/>
      <c r="DKL147" s="24"/>
      <c r="DKM147" s="24"/>
      <c r="DKN147" s="24"/>
      <c r="DKO147" s="24"/>
      <c r="DKP147" s="24"/>
      <c r="DKQ147" s="24"/>
      <c r="DKR147" s="24"/>
      <c r="DKS147" s="24"/>
      <c r="DKT147" s="24"/>
      <c r="DKU147" s="24"/>
      <c r="DKV147" s="24"/>
      <c r="DKW147" s="24"/>
      <c r="DKX147" s="24"/>
      <c r="DKY147" s="24"/>
      <c r="DKZ147" s="24"/>
      <c r="DLA147" s="24"/>
      <c r="DLB147" s="24"/>
      <c r="DLC147" s="24"/>
      <c r="DLD147" s="24"/>
      <c r="DLE147" s="24"/>
      <c r="DLF147" s="24"/>
      <c r="DLG147" s="24"/>
      <c r="DLH147" s="24"/>
      <c r="DLI147" s="24"/>
      <c r="DLJ147" s="24"/>
      <c r="DLK147" s="24"/>
      <c r="DLL147" s="24"/>
      <c r="DLM147" s="24"/>
      <c r="DLN147" s="24"/>
      <c r="DLO147" s="24"/>
      <c r="DLP147" s="24"/>
      <c r="DLQ147" s="24"/>
      <c r="DLR147" s="24"/>
      <c r="DLS147" s="24"/>
      <c r="DLT147" s="24"/>
      <c r="DLU147" s="24"/>
      <c r="DLV147" s="24"/>
      <c r="DLW147" s="24"/>
      <c r="DLX147" s="24"/>
      <c r="DLY147" s="24"/>
      <c r="DLZ147" s="24"/>
      <c r="DMA147" s="24"/>
      <c r="DMB147" s="24"/>
      <c r="DMC147" s="24"/>
      <c r="DMD147" s="24"/>
      <c r="DME147" s="24"/>
      <c r="DMF147" s="24"/>
      <c r="DMG147" s="24"/>
      <c r="DMH147" s="24"/>
      <c r="DMI147" s="24"/>
      <c r="DMJ147" s="24"/>
      <c r="DMK147" s="24"/>
      <c r="DML147" s="24"/>
      <c r="DMM147" s="24"/>
      <c r="DMN147" s="24"/>
      <c r="DMO147" s="24"/>
      <c r="DMP147" s="24"/>
      <c r="DMQ147" s="24"/>
      <c r="DMR147" s="24"/>
      <c r="DMS147" s="24"/>
      <c r="DMT147" s="24"/>
      <c r="DMU147" s="24"/>
      <c r="DMV147" s="24"/>
      <c r="DMW147" s="24"/>
      <c r="DMX147" s="24"/>
      <c r="DMY147" s="24"/>
      <c r="DMZ147" s="24"/>
      <c r="DNA147" s="24"/>
      <c r="DNB147" s="24"/>
      <c r="DNC147" s="24"/>
      <c r="DND147" s="24"/>
      <c r="DNE147" s="24"/>
      <c r="DNF147" s="24"/>
      <c r="DNG147" s="24"/>
      <c r="DNH147" s="24"/>
      <c r="DNI147" s="24"/>
      <c r="DNJ147" s="24"/>
      <c r="DNK147" s="24"/>
      <c r="DNL147" s="24"/>
      <c r="DNM147" s="24"/>
      <c r="DNN147" s="24"/>
      <c r="DNO147" s="24"/>
      <c r="DNP147" s="24"/>
      <c r="DNQ147" s="24"/>
      <c r="DNR147" s="24"/>
      <c r="DNS147" s="24"/>
      <c r="DNT147" s="24"/>
      <c r="DNU147" s="24"/>
      <c r="DNV147" s="24"/>
      <c r="DNW147" s="24"/>
      <c r="DNX147" s="24"/>
      <c r="DNY147" s="24"/>
      <c r="DNZ147" s="24"/>
      <c r="DOA147" s="24"/>
      <c r="DOB147" s="24"/>
      <c r="DOC147" s="24"/>
      <c r="DOD147" s="24"/>
      <c r="DOE147" s="24"/>
      <c r="DOF147" s="24"/>
      <c r="DOG147" s="24"/>
      <c r="DOH147" s="24"/>
      <c r="DOI147" s="24"/>
      <c r="DOJ147" s="24"/>
      <c r="DOK147" s="24"/>
      <c r="DOL147" s="24"/>
      <c r="DOM147" s="24"/>
      <c r="DON147" s="24"/>
      <c r="DOO147" s="24"/>
      <c r="DOP147" s="24"/>
      <c r="DOQ147" s="24"/>
      <c r="DOR147" s="24"/>
      <c r="DOS147" s="24"/>
      <c r="DOT147" s="24"/>
      <c r="DOU147" s="24"/>
      <c r="DOV147" s="24"/>
      <c r="DOW147" s="24"/>
      <c r="DOX147" s="24"/>
      <c r="DOY147" s="24"/>
      <c r="DOZ147" s="24"/>
      <c r="DPA147" s="24"/>
      <c r="DPB147" s="24"/>
      <c r="DPC147" s="24"/>
      <c r="DPD147" s="24"/>
      <c r="DPE147" s="24"/>
      <c r="DPF147" s="24"/>
      <c r="DPG147" s="24"/>
      <c r="DPH147" s="24"/>
      <c r="DPI147" s="24"/>
      <c r="DPJ147" s="24"/>
      <c r="DPK147" s="24"/>
      <c r="DPL147" s="24"/>
      <c r="DPM147" s="24"/>
      <c r="DPN147" s="24"/>
      <c r="DPO147" s="24"/>
      <c r="DPP147" s="24"/>
      <c r="DPQ147" s="24"/>
      <c r="DPR147" s="24"/>
      <c r="DPS147" s="24"/>
      <c r="DPT147" s="24"/>
      <c r="DPU147" s="24"/>
      <c r="DPV147" s="24"/>
      <c r="DPW147" s="24"/>
      <c r="DPX147" s="24"/>
      <c r="DPY147" s="24"/>
      <c r="DPZ147" s="24"/>
      <c r="DQA147" s="24"/>
      <c r="DQB147" s="24"/>
      <c r="DQC147" s="24"/>
      <c r="DQD147" s="24"/>
      <c r="DQE147" s="24"/>
      <c r="DQF147" s="24"/>
      <c r="DQG147" s="24"/>
      <c r="DQH147" s="24"/>
      <c r="DQI147" s="24"/>
      <c r="DQJ147" s="24"/>
      <c r="DQK147" s="24"/>
      <c r="DQL147" s="24"/>
      <c r="DQM147" s="24"/>
      <c r="DQN147" s="24"/>
      <c r="DQO147" s="24"/>
      <c r="DQP147" s="24"/>
      <c r="DQQ147" s="24"/>
      <c r="DQR147" s="24"/>
      <c r="DQS147" s="24"/>
      <c r="DQT147" s="24"/>
      <c r="DQU147" s="24"/>
      <c r="DQV147" s="24"/>
      <c r="DQW147" s="24"/>
      <c r="DQX147" s="24"/>
      <c r="DQY147" s="24"/>
      <c r="DQZ147" s="24"/>
      <c r="DRA147" s="24"/>
      <c r="DRB147" s="24"/>
      <c r="DRC147" s="24"/>
      <c r="DRD147" s="24"/>
      <c r="DRE147" s="24"/>
      <c r="DRF147" s="24"/>
      <c r="DRG147" s="24"/>
      <c r="DRH147" s="24"/>
      <c r="DRI147" s="24"/>
      <c r="DRJ147" s="24"/>
      <c r="DRK147" s="24"/>
      <c r="DRL147" s="24"/>
      <c r="DRM147" s="24"/>
      <c r="DRN147" s="24"/>
      <c r="DRO147" s="24"/>
      <c r="DRP147" s="24"/>
      <c r="DRQ147" s="24"/>
      <c r="DRR147" s="24"/>
      <c r="DRS147" s="24"/>
      <c r="DRT147" s="24"/>
      <c r="DRU147" s="24"/>
      <c r="DRV147" s="24"/>
      <c r="DRW147" s="24"/>
      <c r="DRX147" s="24"/>
      <c r="DRY147" s="24"/>
      <c r="DRZ147" s="24"/>
      <c r="DSA147" s="24"/>
      <c r="DSB147" s="24"/>
      <c r="DSC147" s="24"/>
      <c r="DSD147" s="24"/>
      <c r="DSE147" s="24"/>
      <c r="DSF147" s="24"/>
      <c r="DSG147" s="24"/>
      <c r="DSH147" s="24"/>
      <c r="DSI147" s="24"/>
      <c r="DSJ147" s="24"/>
      <c r="DSK147" s="24"/>
      <c r="DSL147" s="24"/>
      <c r="DSM147" s="24"/>
      <c r="DSN147" s="24"/>
      <c r="DSO147" s="24"/>
      <c r="DSP147" s="24"/>
      <c r="DSQ147" s="24"/>
      <c r="DSR147" s="24"/>
      <c r="DSS147" s="24"/>
      <c r="DST147" s="24"/>
      <c r="DSU147" s="24"/>
      <c r="DSV147" s="24"/>
      <c r="DSW147" s="24"/>
      <c r="DSX147" s="24"/>
      <c r="DSY147" s="24"/>
      <c r="DSZ147" s="24"/>
      <c r="DTA147" s="24"/>
      <c r="DTB147" s="24"/>
      <c r="DTC147" s="24"/>
      <c r="DTD147" s="24"/>
      <c r="DTE147" s="24"/>
      <c r="DTF147" s="24"/>
      <c r="DTG147" s="24"/>
      <c r="DTH147" s="24"/>
      <c r="DTI147" s="24"/>
      <c r="DTJ147" s="24"/>
      <c r="DTK147" s="24"/>
      <c r="DTL147" s="24"/>
      <c r="DTM147" s="24"/>
      <c r="DTN147" s="24"/>
      <c r="DTO147" s="24"/>
      <c r="DTP147" s="24"/>
      <c r="DTQ147" s="24"/>
      <c r="DTR147" s="24"/>
      <c r="DTS147" s="24"/>
      <c r="DTT147" s="24"/>
      <c r="DTU147" s="24"/>
      <c r="DTV147" s="24"/>
      <c r="DTW147" s="24"/>
      <c r="DTX147" s="24"/>
      <c r="DTY147" s="24"/>
      <c r="DTZ147" s="24"/>
      <c r="DUA147" s="24"/>
      <c r="DUB147" s="24"/>
      <c r="DUC147" s="24"/>
      <c r="DUD147" s="24"/>
      <c r="DUE147" s="24"/>
      <c r="DUF147" s="24"/>
      <c r="DUG147" s="24"/>
      <c r="DUH147" s="24"/>
      <c r="DUI147" s="24"/>
      <c r="DUJ147" s="24"/>
      <c r="DUK147" s="24"/>
      <c r="DUL147" s="24"/>
      <c r="DUM147" s="24"/>
      <c r="DUN147" s="24"/>
      <c r="DUO147" s="24"/>
      <c r="DUP147" s="24"/>
      <c r="DUQ147" s="24"/>
      <c r="DUR147" s="24"/>
      <c r="DUS147" s="24"/>
      <c r="DUT147" s="24"/>
      <c r="DUU147" s="24"/>
      <c r="DUV147" s="24"/>
      <c r="DUW147" s="24"/>
      <c r="DUX147" s="24"/>
      <c r="DUY147" s="24"/>
      <c r="DUZ147" s="24"/>
      <c r="DVA147" s="24"/>
      <c r="DVB147" s="24"/>
      <c r="DVC147" s="24"/>
      <c r="DVD147" s="24"/>
      <c r="DVE147" s="24"/>
      <c r="DVF147" s="24"/>
      <c r="DVG147" s="24"/>
      <c r="DVH147" s="24"/>
      <c r="DVI147" s="24"/>
      <c r="DVJ147" s="24"/>
      <c r="DVK147" s="24"/>
      <c r="DVL147" s="24"/>
      <c r="DVM147" s="24"/>
      <c r="DVN147" s="24"/>
      <c r="DVO147" s="24"/>
      <c r="DVP147" s="24"/>
      <c r="DVQ147" s="24"/>
      <c r="DVR147" s="24"/>
      <c r="DVS147" s="24"/>
      <c r="DVT147" s="24"/>
      <c r="DVU147" s="24"/>
      <c r="DVV147" s="24"/>
      <c r="DVW147" s="24"/>
      <c r="DVX147" s="24"/>
      <c r="DVY147" s="24"/>
      <c r="DVZ147" s="24"/>
      <c r="DWA147" s="24"/>
      <c r="DWB147" s="24"/>
      <c r="DWC147" s="24"/>
      <c r="DWD147" s="24"/>
      <c r="DWE147" s="24"/>
      <c r="DWF147" s="24"/>
      <c r="DWG147" s="24"/>
      <c r="DWH147" s="24"/>
      <c r="DWI147" s="24"/>
      <c r="DWJ147" s="24"/>
      <c r="DWK147" s="24"/>
      <c r="DWL147" s="24"/>
      <c r="DWM147" s="24"/>
      <c r="DWN147" s="24"/>
      <c r="DWO147" s="24"/>
      <c r="DWP147" s="24"/>
      <c r="DWQ147" s="24"/>
      <c r="DWR147" s="24"/>
      <c r="DWS147" s="24"/>
      <c r="DWT147" s="24"/>
      <c r="DWU147" s="24"/>
      <c r="DWV147" s="24"/>
      <c r="DWW147" s="24"/>
      <c r="DWX147" s="24"/>
      <c r="DWY147" s="24"/>
      <c r="DWZ147" s="24"/>
      <c r="DXA147" s="24"/>
      <c r="DXB147" s="24"/>
      <c r="DXC147" s="24"/>
      <c r="DXD147" s="24"/>
      <c r="DXE147" s="24"/>
      <c r="DXF147" s="24"/>
      <c r="DXG147" s="24"/>
      <c r="DXH147" s="24"/>
      <c r="DXI147" s="24"/>
      <c r="DXJ147" s="24"/>
      <c r="DXK147" s="24"/>
      <c r="DXL147" s="24"/>
      <c r="DXM147" s="24"/>
      <c r="DXN147" s="24"/>
      <c r="DXO147" s="24"/>
      <c r="DXP147" s="24"/>
      <c r="DXQ147" s="24"/>
      <c r="DXR147" s="24"/>
      <c r="DXS147" s="24"/>
      <c r="DXT147" s="24"/>
      <c r="DXU147" s="24"/>
      <c r="DXV147" s="24"/>
      <c r="DXW147" s="24"/>
      <c r="DXX147" s="24"/>
      <c r="DXY147" s="24"/>
      <c r="DXZ147" s="24"/>
      <c r="DYA147" s="24"/>
      <c r="DYB147" s="24"/>
      <c r="DYC147" s="24"/>
      <c r="DYD147" s="24"/>
      <c r="DYE147" s="24"/>
      <c r="DYF147" s="24"/>
      <c r="DYG147" s="24"/>
      <c r="DYH147" s="24"/>
      <c r="DYI147" s="24"/>
      <c r="DYJ147" s="24"/>
      <c r="DYK147" s="24"/>
      <c r="DYL147" s="24"/>
      <c r="DYM147" s="24"/>
      <c r="DYN147" s="24"/>
      <c r="DYO147" s="24"/>
      <c r="DYP147" s="24"/>
      <c r="DYQ147" s="24"/>
      <c r="DYR147" s="24"/>
      <c r="DYS147" s="24"/>
      <c r="DYT147" s="24"/>
      <c r="DYU147" s="24"/>
      <c r="DYV147" s="24"/>
      <c r="DYW147" s="24"/>
      <c r="DYX147" s="24"/>
      <c r="DYY147" s="24"/>
      <c r="DYZ147" s="24"/>
      <c r="DZA147" s="24"/>
      <c r="DZB147" s="24"/>
      <c r="DZC147" s="24"/>
      <c r="DZD147" s="24"/>
      <c r="DZE147" s="24"/>
      <c r="DZF147" s="24"/>
      <c r="DZG147" s="24"/>
      <c r="DZH147" s="24"/>
      <c r="DZI147" s="24"/>
      <c r="DZJ147" s="24"/>
      <c r="DZK147" s="24"/>
      <c r="DZL147" s="24"/>
      <c r="DZM147" s="24"/>
      <c r="DZN147" s="24"/>
      <c r="DZO147" s="24"/>
      <c r="DZP147" s="24"/>
      <c r="DZQ147" s="24"/>
      <c r="DZR147" s="24"/>
      <c r="DZS147" s="24"/>
      <c r="DZT147" s="24"/>
      <c r="DZU147" s="24"/>
      <c r="DZV147" s="24"/>
      <c r="DZW147" s="24"/>
      <c r="DZX147" s="24"/>
      <c r="DZY147" s="24"/>
      <c r="DZZ147" s="24"/>
      <c r="EAA147" s="24"/>
      <c r="EAB147" s="24"/>
      <c r="EAC147" s="24"/>
      <c r="EAD147" s="24"/>
      <c r="EAE147" s="24"/>
      <c r="EAF147" s="24"/>
      <c r="EAG147" s="24"/>
      <c r="EAH147" s="24"/>
      <c r="EAI147" s="24"/>
      <c r="EAJ147" s="24"/>
      <c r="EAK147" s="24"/>
      <c r="EAL147" s="24"/>
      <c r="EAM147" s="24"/>
      <c r="EAN147" s="24"/>
      <c r="EAO147" s="24"/>
      <c r="EAP147" s="24"/>
      <c r="EAQ147" s="24"/>
      <c r="EAR147" s="24"/>
      <c r="EAS147" s="24"/>
      <c r="EAT147" s="24"/>
      <c r="EAU147" s="24"/>
      <c r="EAV147" s="24"/>
      <c r="EAW147" s="24"/>
      <c r="EAX147" s="24"/>
      <c r="EAY147" s="24"/>
      <c r="EAZ147" s="24"/>
      <c r="EBA147" s="24"/>
      <c r="EBB147" s="24"/>
      <c r="EBC147" s="24"/>
      <c r="EBD147" s="24"/>
      <c r="EBE147" s="24"/>
      <c r="EBF147" s="24"/>
      <c r="EBG147" s="24"/>
      <c r="EBH147" s="24"/>
      <c r="EBI147" s="24"/>
      <c r="EBJ147" s="24"/>
      <c r="EBK147" s="24"/>
      <c r="EBL147" s="24"/>
      <c r="EBM147" s="24"/>
      <c r="EBN147" s="24"/>
      <c r="EBO147" s="24"/>
      <c r="EBP147" s="24"/>
      <c r="EBQ147" s="24"/>
      <c r="EBR147" s="24"/>
      <c r="EBS147" s="24"/>
      <c r="EBT147" s="24"/>
      <c r="EBU147" s="24"/>
      <c r="EBV147" s="24"/>
      <c r="EBW147" s="24"/>
      <c r="EBX147" s="24"/>
      <c r="EBY147" s="24"/>
      <c r="EBZ147" s="24"/>
      <c r="ECA147" s="24"/>
      <c r="ECB147" s="24"/>
      <c r="ECC147" s="24"/>
      <c r="ECD147" s="24"/>
      <c r="ECE147" s="24"/>
      <c r="ECF147" s="24"/>
      <c r="ECG147" s="24"/>
      <c r="ECH147" s="24"/>
      <c r="ECI147" s="24"/>
      <c r="ECJ147" s="24"/>
      <c r="ECK147" s="24"/>
      <c r="ECL147" s="24"/>
      <c r="ECM147" s="24"/>
      <c r="ECN147" s="24"/>
      <c r="ECO147" s="24"/>
      <c r="ECP147" s="24"/>
      <c r="ECQ147" s="24"/>
      <c r="ECR147" s="24"/>
      <c r="ECS147" s="24"/>
      <c r="ECT147" s="24"/>
      <c r="ECU147" s="24"/>
      <c r="ECV147" s="24"/>
      <c r="ECW147" s="24"/>
      <c r="ECX147" s="24"/>
      <c r="ECY147" s="24"/>
      <c r="ECZ147" s="24"/>
      <c r="EDA147" s="24"/>
      <c r="EDB147" s="24"/>
      <c r="EDC147" s="24"/>
      <c r="EDD147" s="24"/>
      <c r="EDE147" s="24"/>
      <c r="EDF147" s="24"/>
      <c r="EDG147" s="24"/>
      <c r="EDH147" s="24"/>
      <c r="EDI147" s="24"/>
      <c r="EDJ147" s="24"/>
      <c r="EDK147" s="24"/>
      <c r="EDL147" s="24"/>
      <c r="EDM147" s="24"/>
      <c r="EDN147" s="24"/>
      <c r="EDO147" s="24"/>
      <c r="EDP147" s="24"/>
      <c r="EDQ147" s="24"/>
      <c r="EDR147" s="24"/>
      <c r="EDS147" s="24"/>
      <c r="EDT147" s="24"/>
      <c r="EDU147" s="24"/>
      <c r="EDV147" s="24"/>
      <c r="EDW147" s="24"/>
      <c r="EDX147" s="24"/>
      <c r="EDY147" s="24"/>
      <c r="EDZ147" s="24"/>
      <c r="EEA147" s="24"/>
      <c r="EEB147" s="24"/>
      <c r="EEC147" s="24"/>
      <c r="EED147" s="24"/>
      <c r="EEE147" s="24"/>
      <c r="EEF147" s="24"/>
      <c r="EEG147" s="24"/>
      <c r="EEH147" s="24"/>
      <c r="EEI147" s="24"/>
      <c r="EEJ147" s="24"/>
      <c r="EEK147" s="24"/>
      <c r="EEL147" s="24"/>
      <c r="EEM147" s="24"/>
      <c r="EEN147" s="24"/>
      <c r="EEO147" s="24"/>
      <c r="EEP147" s="24"/>
      <c r="EEQ147" s="24"/>
      <c r="EER147" s="24"/>
      <c r="EES147" s="24"/>
      <c r="EET147" s="24"/>
      <c r="EEU147" s="24"/>
      <c r="EEV147" s="24"/>
      <c r="EEW147" s="24"/>
      <c r="EEX147" s="24"/>
      <c r="EEY147" s="24"/>
      <c r="EEZ147" s="24"/>
      <c r="EFA147" s="24"/>
      <c r="EFB147" s="24"/>
      <c r="EFC147" s="24"/>
      <c r="EFD147" s="24"/>
      <c r="EFE147" s="24"/>
      <c r="EFF147" s="24"/>
      <c r="EFG147" s="24"/>
      <c r="EFH147" s="24"/>
      <c r="EFI147" s="24"/>
      <c r="EFJ147" s="24"/>
      <c r="EFK147" s="24"/>
      <c r="EFL147" s="24"/>
      <c r="EFM147" s="24"/>
      <c r="EFN147" s="24"/>
      <c r="EFO147" s="24"/>
      <c r="EFP147" s="24"/>
      <c r="EFQ147" s="24"/>
      <c r="EFR147" s="24"/>
      <c r="EFS147" s="24"/>
      <c r="EFT147" s="24"/>
      <c r="EFU147" s="24"/>
      <c r="EFV147" s="24"/>
      <c r="EFW147" s="24"/>
      <c r="EFX147" s="24"/>
      <c r="EFY147" s="24"/>
      <c r="EFZ147" s="24"/>
      <c r="EGA147" s="24"/>
      <c r="EGB147" s="24"/>
      <c r="EGC147" s="24"/>
      <c r="EGD147" s="24"/>
      <c r="EGE147" s="24"/>
      <c r="EGF147" s="24"/>
      <c r="EGG147" s="24"/>
      <c r="EGH147" s="24"/>
      <c r="EGI147" s="24"/>
      <c r="EGJ147" s="24"/>
      <c r="EGK147" s="24"/>
      <c r="EGL147" s="24"/>
      <c r="EGM147" s="24"/>
      <c r="EGN147" s="24"/>
      <c r="EGO147" s="24"/>
      <c r="EGP147" s="24"/>
      <c r="EGQ147" s="24"/>
      <c r="EGR147" s="24"/>
      <c r="EGS147" s="24"/>
      <c r="EGT147" s="24"/>
      <c r="EGU147" s="24"/>
      <c r="EGV147" s="24"/>
      <c r="EGW147" s="24"/>
      <c r="EGX147" s="24"/>
      <c r="EGY147" s="24"/>
      <c r="EGZ147" s="24"/>
      <c r="EHA147" s="24"/>
      <c r="EHB147" s="24"/>
      <c r="EHC147" s="24"/>
      <c r="EHD147" s="24"/>
      <c r="EHE147" s="24"/>
      <c r="EHF147" s="24"/>
      <c r="EHG147" s="24"/>
      <c r="EHH147" s="24"/>
      <c r="EHI147" s="24"/>
      <c r="EHJ147" s="24"/>
      <c r="EHK147" s="24"/>
      <c r="EHL147" s="24"/>
      <c r="EHM147" s="24"/>
      <c r="EHN147" s="24"/>
      <c r="EHO147" s="24"/>
      <c r="EHP147" s="24"/>
      <c r="EHQ147" s="24"/>
      <c r="EHR147" s="24"/>
      <c r="EHS147" s="24"/>
      <c r="EHT147" s="24"/>
      <c r="EHU147" s="24"/>
      <c r="EHV147" s="24"/>
      <c r="EHW147" s="24"/>
      <c r="EHX147" s="24"/>
      <c r="EHY147" s="24"/>
      <c r="EHZ147" s="24"/>
      <c r="EIA147" s="24"/>
      <c r="EIB147" s="24"/>
      <c r="EIC147" s="24"/>
      <c r="EID147" s="24"/>
      <c r="EIE147" s="24"/>
      <c r="EIF147" s="24"/>
      <c r="EIG147" s="24"/>
      <c r="EIH147" s="24"/>
      <c r="EII147" s="24"/>
      <c r="EIJ147" s="24"/>
      <c r="EIK147" s="24"/>
      <c r="EIL147" s="24"/>
      <c r="EIM147" s="24"/>
      <c r="EIN147" s="24"/>
      <c r="EIO147" s="24"/>
      <c r="EIP147" s="24"/>
      <c r="EIQ147" s="24"/>
      <c r="EIR147" s="24"/>
      <c r="EIS147" s="24"/>
      <c r="EIT147" s="24"/>
      <c r="EIU147" s="24"/>
      <c r="EIV147" s="24"/>
      <c r="EIW147" s="24"/>
      <c r="EIX147" s="24"/>
      <c r="EIY147" s="24"/>
      <c r="EIZ147" s="24"/>
      <c r="EJA147" s="24"/>
      <c r="EJB147" s="24"/>
      <c r="EJC147" s="24"/>
      <c r="EJD147" s="24"/>
      <c r="EJE147" s="24"/>
      <c r="EJF147" s="24"/>
      <c r="EJG147" s="24"/>
      <c r="EJH147" s="24"/>
      <c r="EJI147" s="24"/>
      <c r="EJJ147" s="24"/>
      <c r="EJK147" s="24"/>
      <c r="EJL147" s="24"/>
      <c r="EJM147" s="24"/>
      <c r="EJN147" s="24"/>
      <c r="EJO147" s="24"/>
      <c r="EJP147" s="24"/>
      <c r="EJQ147" s="24"/>
      <c r="EJR147" s="24"/>
      <c r="EJS147" s="24"/>
      <c r="EJT147" s="24"/>
      <c r="EJU147" s="24"/>
      <c r="EJV147" s="24"/>
      <c r="EJW147" s="24"/>
      <c r="EJX147" s="24"/>
      <c r="EJY147" s="24"/>
      <c r="EJZ147" s="24"/>
      <c r="EKA147" s="24"/>
      <c r="EKB147" s="24"/>
      <c r="EKC147" s="24"/>
      <c r="EKD147" s="24"/>
      <c r="EKE147" s="24"/>
      <c r="EKF147" s="24"/>
      <c r="EKG147" s="24"/>
      <c r="EKH147" s="24"/>
      <c r="EKI147" s="24"/>
      <c r="EKJ147" s="24"/>
      <c r="EKK147" s="24"/>
      <c r="EKL147" s="24"/>
      <c r="EKM147" s="24"/>
      <c r="EKN147" s="24"/>
      <c r="EKO147" s="24"/>
      <c r="EKP147" s="24"/>
      <c r="EKQ147" s="24"/>
      <c r="EKR147" s="24"/>
      <c r="EKS147" s="24"/>
      <c r="EKT147" s="24"/>
      <c r="EKU147" s="24"/>
      <c r="EKV147" s="24"/>
      <c r="EKW147" s="24"/>
      <c r="EKX147" s="24"/>
      <c r="EKY147" s="24"/>
      <c r="EKZ147" s="24"/>
      <c r="ELA147" s="24"/>
      <c r="ELB147" s="24"/>
      <c r="ELC147" s="24"/>
      <c r="ELD147" s="24"/>
      <c r="ELE147" s="24"/>
      <c r="ELF147" s="24"/>
      <c r="ELG147" s="24"/>
      <c r="ELH147" s="24"/>
      <c r="ELI147" s="24"/>
      <c r="ELJ147" s="24"/>
      <c r="ELK147" s="24"/>
      <c r="ELL147" s="24"/>
      <c r="ELM147" s="24"/>
      <c r="ELN147" s="24"/>
      <c r="ELO147" s="24"/>
      <c r="ELP147" s="24"/>
      <c r="ELQ147" s="24"/>
      <c r="ELR147" s="24"/>
      <c r="ELS147" s="24"/>
      <c r="ELT147" s="24"/>
      <c r="ELU147" s="24"/>
      <c r="ELV147" s="24"/>
      <c r="ELW147" s="24"/>
      <c r="ELX147" s="24"/>
      <c r="ELY147" s="24"/>
      <c r="ELZ147" s="24"/>
      <c r="EMA147" s="24"/>
      <c r="EMB147" s="24"/>
      <c r="EMC147" s="24"/>
      <c r="EMD147" s="24"/>
      <c r="EME147" s="24"/>
      <c r="EMF147" s="24"/>
      <c r="EMG147" s="24"/>
      <c r="EMH147" s="24"/>
      <c r="EMI147" s="24"/>
      <c r="EMJ147" s="24"/>
      <c r="EMK147" s="24"/>
      <c r="EML147" s="24"/>
      <c r="EMM147" s="24"/>
      <c r="EMN147" s="24"/>
      <c r="EMO147" s="24"/>
      <c r="EMP147" s="24"/>
      <c r="EMQ147" s="24"/>
      <c r="EMR147" s="24"/>
      <c r="EMS147" s="24"/>
      <c r="EMT147" s="24"/>
      <c r="EMU147" s="24"/>
      <c r="EMV147" s="24"/>
      <c r="EMW147" s="24"/>
      <c r="EMX147" s="24"/>
      <c r="EMY147" s="24"/>
      <c r="EMZ147" s="24"/>
      <c r="ENA147" s="24"/>
      <c r="ENB147" s="24"/>
      <c r="ENC147" s="24"/>
      <c r="END147" s="24"/>
      <c r="ENE147" s="24"/>
      <c r="ENF147" s="24"/>
      <c r="ENG147" s="24"/>
      <c r="ENH147" s="24"/>
      <c r="ENI147" s="24"/>
      <c r="ENJ147" s="24"/>
      <c r="ENK147" s="24"/>
      <c r="ENL147" s="24"/>
      <c r="ENM147" s="24"/>
      <c r="ENN147" s="24"/>
      <c r="ENO147" s="24"/>
      <c r="ENP147" s="24"/>
      <c r="ENQ147" s="24"/>
      <c r="ENR147" s="24"/>
      <c r="ENS147" s="24"/>
      <c r="ENT147" s="24"/>
      <c r="ENU147" s="24"/>
      <c r="ENV147" s="24"/>
      <c r="ENW147" s="24"/>
      <c r="ENX147" s="24"/>
      <c r="ENY147" s="24"/>
      <c r="ENZ147" s="24"/>
      <c r="EOA147" s="24"/>
      <c r="EOB147" s="24"/>
      <c r="EOC147" s="24"/>
      <c r="EOD147" s="24"/>
      <c r="EOE147" s="24"/>
      <c r="EOF147" s="24"/>
      <c r="EOG147" s="24"/>
      <c r="EOH147" s="24"/>
      <c r="EOI147" s="24"/>
      <c r="EOJ147" s="24"/>
      <c r="EOK147" s="24"/>
      <c r="EOL147" s="24"/>
      <c r="EOM147" s="24"/>
      <c r="EON147" s="24"/>
      <c r="EOO147" s="24"/>
      <c r="EOP147" s="24"/>
      <c r="EOQ147" s="24"/>
      <c r="EOR147" s="24"/>
      <c r="EOS147" s="24"/>
      <c r="EOT147" s="24"/>
      <c r="EOU147" s="24"/>
      <c r="EOV147" s="24"/>
      <c r="EOW147" s="24"/>
      <c r="EOX147" s="24"/>
      <c r="EOY147" s="24"/>
      <c r="EOZ147" s="24"/>
      <c r="EPA147" s="24"/>
      <c r="EPB147" s="24"/>
      <c r="EPC147" s="24"/>
      <c r="EPD147" s="24"/>
      <c r="EPE147" s="24"/>
      <c r="EPF147" s="24"/>
      <c r="EPG147" s="24"/>
      <c r="EPH147" s="24"/>
      <c r="EPI147" s="24"/>
      <c r="EPJ147" s="24"/>
      <c r="EPK147" s="24"/>
      <c r="EPL147" s="24"/>
      <c r="EPM147" s="24"/>
      <c r="EPN147" s="24"/>
      <c r="EPO147" s="24"/>
      <c r="EPP147" s="24"/>
      <c r="EPQ147" s="24"/>
      <c r="EPR147" s="24"/>
      <c r="EPS147" s="24"/>
      <c r="EPT147" s="24"/>
      <c r="EPU147" s="24"/>
      <c r="EPV147" s="24"/>
      <c r="EPW147" s="24"/>
      <c r="EPX147" s="24"/>
      <c r="EPY147" s="24"/>
      <c r="EPZ147" s="24"/>
      <c r="EQA147" s="24"/>
      <c r="EQB147" s="24"/>
      <c r="EQC147" s="24"/>
      <c r="EQD147" s="24"/>
      <c r="EQE147" s="24"/>
      <c r="EQF147" s="24"/>
      <c r="EQG147" s="24"/>
      <c r="EQH147" s="24"/>
      <c r="EQI147" s="24"/>
      <c r="EQJ147" s="24"/>
      <c r="EQK147" s="24"/>
      <c r="EQL147" s="24"/>
      <c r="EQM147" s="24"/>
      <c r="EQN147" s="24"/>
      <c r="EQO147" s="24"/>
      <c r="EQP147" s="24"/>
      <c r="EQQ147" s="24"/>
      <c r="EQR147" s="24"/>
      <c r="EQS147" s="24"/>
      <c r="EQT147" s="24"/>
      <c r="EQU147" s="24"/>
      <c r="EQV147" s="24"/>
      <c r="EQW147" s="24"/>
      <c r="EQX147" s="24"/>
      <c r="EQY147" s="24"/>
      <c r="EQZ147" s="24"/>
      <c r="ERA147" s="24"/>
      <c r="ERB147" s="24"/>
      <c r="ERC147" s="24"/>
      <c r="ERD147" s="24"/>
      <c r="ERE147" s="24"/>
      <c r="ERF147" s="24"/>
      <c r="ERG147" s="24"/>
      <c r="ERH147" s="24"/>
      <c r="ERI147" s="24"/>
      <c r="ERJ147" s="24"/>
      <c r="ERK147" s="24"/>
      <c r="ERL147" s="24"/>
      <c r="ERM147" s="24"/>
      <c r="ERN147" s="24"/>
      <c r="ERO147" s="24"/>
      <c r="ERP147" s="24"/>
      <c r="ERQ147" s="24"/>
      <c r="ERR147" s="24"/>
      <c r="ERS147" s="24"/>
      <c r="ERT147" s="24"/>
      <c r="ERU147" s="24"/>
      <c r="ERV147" s="24"/>
      <c r="ERW147" s="24"/>
      <c r="ERX147" s="24"/>
      <c r="ERY147" s="24"/>
      <c r="ERZ147" s="24"/>
      <c r="ESA147" s="24"/>
      <c r="ESB147" s="24"/>
      <c r="ESC147" s="24"/>
      <c r="ESD147" s="24"/>
      <c r="ESE147" s="24"/>
      <c r="ESF147" s="24"/>
      <c r="ESG147" s="24"/>
      <c r="ESH147" s="24"/>
      <c r="ESI147" s="24"/>
      <c r="ESJ147" s="24"/>
      <c r="ESK147" s="24"/>
      <c r="ESL147" s="24"/>
      <c r="ESM147" s="24"/>
      <c r="ESN147" s="24"/>
      <c r="ESO147" s="24"/>
      <c r="ESP147" s="24"/>
      <c r="ESQ147" s="24"/>
      <c r="ESR147" s="24"/>
      <c r="ESS147" s="24"/>
      <c r="EST147" s="24"/>
      <c r="ESU147" s="24"/>
      <c r="ESV147" s="24"/>
      <c r="ESW147" s="24"/>
      <c r="ESX147" s="24"/>
      <c r="ESY147" s="24"/>
      <c r="ESZ147" s="24"/>
      <c r="ETA147" s="24"/>
      <c r="ETB147" s="24"/>
      <c r="ETC147" s="24"/>
      <c r="ETD147" s="24"/>
      <c r="ETE147" s="24"/>
      <c r="ETF147" s="24"/>
      <c r="ETG147" s="24"/>
      <c r="ETH147" s="24"/>
      <c r="ETI147" s="24"/>
      <c r="ETJ147" s="24"/>
      <c r="ETK147" s="24"/>
      <c r="ETL147" s="24"/>
      <c r="ETM147" s="24"/>
      <c r="ETN147" s="24"/>
      <c r="ETO147" s="24"/>
      <c r="ETP147" s="24"/>
      <c r="ETQ147" s="24"/>
      <c r="ETR147" s="24"/>
      <c r="ETS147" s="24"/>
      <c r="ETT147" s="24"/>
      <c r="ETU147" s="24"/>
      <c r="ETV147" s="24"/>
      <c r="ETW147" s="24"/>
      <c r="ETX147" s="24"/>
      <c r="ETY147" s="24"/>
      <c r="ETZ147" s="24"/>
      <c r="EUA147" s="24"/>
      <c r="EUB147" s="24"/>
      <c r="EUC147" s="24"/>
      <c r="EUD147" s="24"/>
      <c r="EUE147" s="24"/>
      <c r="EUF147" s="24"/>
      <c r="EUG147" s="24"/>
      <c r="EUH147" s="24"/>
      <c r="EUI147" s="24"/>
      <c r="EUJ147" s="24"/>
      <c r="EUK147" s="24"/>
      <c r="EUL147" s="24"/>
      <c r="EUM147" s="24"/>
      <c r="EUN147" s="24"/>
      <c r="EUO147" s="24"/>
      <c r="EUP147" s="24"/>
      <c r="EUQ147" s="24"/>
      <c r="EUR147" s="24"/>
      <c r="EUS147" s="24"/>
      <c r="EUT147" s="24"/>
      <c r="EUU147" s="24"/>
      <c r="EUV147" s="24"/>
      <c r="EUW147" s="24"/>
      <c r="EUX147" s="24"/>
      <c r="EUY147" s="24"/>
      <c r="EUZ147" s="24"/>
      <c r="EVA147" s="24"/>
      <c r="EVB147" s="24"/>
      <c r="EVC147" s="24"/>
      <c r="EVD147" s="24"/>
      <c r="EVE147" s="24"/>
      <c r="EVF147" s="24"/>
      <c r="EVG147" s="24"/>
      <c r="EVH147" s="24"/>
      <c r="EVI147" s="24"/>
      <c r="EVJ147" s="24"/>
      <c r="EVK147" s="24"/>
      <c r="EVL147" s="24"/>
      <c r="EVM147" s="24"/>
      <c r="EVN147" s="24"/>
      <c r="EVO147" s="24"/>
      <c r="EVP147" s="24"/>
      <c r="EVQ147" s="24"/>
      <c r="EVR147" s="24"/>
      <c r="EVS147" s="24"/>
      <c r="EVT147" s="24"/>
      <c r="EVU147" s="24"/>
      <c r="EVV147" s="24"/>
      <c r="EVW147" s="24"/>
      <c r="EVX147" s="24"/>
      <c r="EVY147" s="24"/>
      <c r="EVZ147" s="24"/>
      <c r="EWA147" s="24"/>
      <c r="EWB147" s="24"/>
      <c r="EWC147" s="24"/>
      <c r="EWD147" s="24"/>
      <c r="EWE147" s="24"/>
      <c r="EWF147" s="24"/>
      <c r="EWG147" s="24"/>
      <c r="EWH147" s="24"/>
      <c r="EWI147" s="24"/>
      <c r="EWJ147" s="24"/>
      <c r="EWK147" s="24"/>
      <c r="EWL147" s="24"/>
      <c r="EWM147" s="24"/>
      <c r="EWN147" s="24"/>
      <c r="EWO147" s="24"/>
      <c r="EWP147" s="24"/>
      <c r="EWQ147" s="24"/>
      <c r="EWR147" s="24"/>
      <c r="EWS147" s="24"/>
      <c r="EWT147" s="24"/>
      <c r="EWU147" s="24"/>
      <c r="EWV147" s="24"/>
      <c r="EWW147" s="24"/>
      <c r="EWX147" s="24"/>
      <c r="EWY147" s="24"/>
      <c r="EWZ147" s="24"/>
      <c r="EXA147" s="24"/>
      <c r="EXB147" s="24"/>
      <c r="EXC147" s="24"/>
      <c r="EXD147" s="24"/>
      <c r="EXE147" s="24"/>
      <c r="EXF147" s="24"/>
      <c r="EXG147" s="24"/>
      <c r="EXH147" s="24"/>
      <c r="EXI147" s="24"/>
      <c r="EXJ147" s="24"/>
      <c r="EXK147" s="24"/>
      <c r="EXL147" s="24"/>
      <c r="EXM147" s="24"/>
      <c r="EXN147" s="24"/>
      <c r="EXO147" s="24"/>
      <c r="EXP147" s="24"/>
      <c r="EXQ147" s="24"/>
      <c r="EXR147" s="24"/>
      <c r="EXS147" s="24"/>
      <c r="EXT147" s="24"/>
      <c r="EXU147" s="24"/>
      <c r="EXV147" s="24"/>
      <c r="EXW147" s="24"/>
      <c r="EXX147" s="24"/>
      <c r="EXY147" s="24"/>
      <c r="EXZ147" s="24"/>
      <c r="EYA147" s="24"/>
      <c r="EYB147" s="24"/>
      <c r="EYC147" s="24"/>
      <c r="EYD147" s="24"/>
      <c r="EYE147" s="24"/>
      <c r="EYF147" s="24"/>
      <c r="EYG147" s="24"/>
      <c r="EYH147" s="24"/>
      <c r="EYI147" s="24"/>
      <c r="EYJ147" s="24"/>
      <c r="EYK147" s="24"/>
      <c r="EYL147" s="24"/>
      <c r="EYM147" s="24"/>
      <c r="EYN147" s="24"/>
      <c r="EYO147" s="24"/>
      <c r="EYP147" s="24"/>
      <c r="EYQ147" s="24"/>
      <c r="EYR147" s="24"/>
      <c r="EYS147" s="24"/>
      <c r="EYT147" s="24"/>
      <c r="EYU147" s="24"/>
      <c r="EYV147" s="24"/>
      <c r="EYW147" s="24"/>
      <c r="EYX147" s="24"/>
      <c r="EYY147" s="24"/>
      <c r="EYZ147" s="24"/>
      <c r="EZA147" s="24"/>
      <c r="EZB147" s="24"/>
      <c r="EZC147" s="24"/>
      <c r="EZD147" s="24"/>
      <c r="EZE147" s="24"/>
      <c r="EZF147" s="24"/>
      <c r="EZG147" s="24"/>
      <c r="EZH147" s="24"/>
      <c r="EZI147" s="24"/>
      <c r="EZJ147" s="24"/>
      <c r="EZK147" s="24"/>
      <c r="EZL147" s="24"/>
      <c r="EZM147" s="24"/>
      <c r="EZN147" s="24"/>
      <c r="EZO147" s="24"/>
      <c r="EZP147" s="24"/>
      <c r="EZQ147" s="24"/>
      <c r="EZR147" s="24"/>
      <c r="EZS147" s="24"/>
      <c r="EZT147" s="24"/>
      <c r="EZU147" s="24"/>
      <c r="EZV147" s="24"/>
      <c r="EZW147" s="24"/>
      <c r="EZX147" s="24"/>
      <c r="EZY147" s="24"/>
      <c r="EZZ147" s="24"/>
      <c r="FAA147" s="24"/>
      <c r="FAB147" s="24"/>
      <c r="FAC147" s="24"/>
      <c r="FAD147" s="24"/>
      <c r="FAE147" s="24"/>
      <c r="FAF147" s="24"/>
      <c r="FAG147" s="24"/>
      <c r="FAH147" s="24"/>
      <c r="FAI147" s="24"/>
      <c r="FAJ147" s="24"/>
      <c r="FAK147" s="24"/>
      <c r="FAL147" s="24"/>
      <c r="FAM147" s="24"/>
      <c r="FAN147" s="24"/>
      <c r="FAO147" s="24"/>
      <c r="FAP147" s="24"/>
      <c r="FAQ147" s="24"/>
      <c r="FAR147" s="24"/>
      <c r="FAS147" s="24"/>
      <c r="FAT147" s="24"/>
      <c r="FAU147" s="24"/>
      <c r="FAV147" s="24"/>
      <c r="FAW147" s="24"/>
      <c r="FAX147" s="24"/>
      <c r="FAY147" s="24"/>
      <c r="FAZ147" s="24"/>
      <c r="FBA147" s="24"/>
      <c r="FBB147" s="24"/>
      <c r="FBC147" s="24"/>
      <c r="FBD147" s="24"/>
      <c r="FBE147" s="24"/>
      <c r="FBF147" s="24"/>
      <c r="FBG147" s="24"/>
      <c r="FBH147" s="24"/>
      <c r="FBI147" s="24"/>
      <c r="FBJ147" s="24"/>
      <c r="FBK147" s="24"/>
      <c r="FBL147" s="24"/>
      <c r="FBM147" s="24"/>
      <c r="FBN147" s="24"/>
      <c r="FBO147" s="24"/>
      <c r="FBP147" s="24"/>
      <c r="FBQ147" s="24"/>
      <c r="FBR147" s="24"/>
      <c r="FBS147" s="24"/>
      <c r="FBT147" s="24"/>
      <c r="FBU147" s="24"/>
      <c r="FBV147" s="24"/>
      <c r="FBW147" s="24"/>
      <c r="FBX147" s="24"/>
      <c r="FBY147" s="24"/>
      <c r="FBZ147" s="24"/>
      <c r="FCA147" s="24"/>
      <c r="FCB147" s="24"/>
      <c r="FCC147" s="24"/>
      <c r="FCD147" s="24"/>
      <c r="FCE147" s="24"/>
      <c r="FCF147" s="24"/>
      <c r="FCG147" s="24"/>
      <c r="FCH147" s="24"/>
      <c r="FCI147" s="24"/>
      <c r="FCJ147" s="24"/>
      <c r="FCK147" s="24"/>
      <c r="FCL147" s="24"/>
      <c r="FCM147" s="24"/>
      <c r="FCN147" s="24"/>
      <c r="FCO147" s="24"/>
      <c r="FCP147" s="24"/>
      <c r="FCQ147" s="24"/>
      <c r="FCR147" s="24"/>
      <c r="FCS147" s="24"/>
      <c r="FCT147" s="24"/>
      <c r="FCU147" s="24"/>
      <c r="FCV147" s="24"/>
      <c r="FCW147" s="24"/>
      <c r="FCX147" s="24"/>
      <c r="FCY147" s="24"/>
      <c r="FCZ147" s="24"/>
      <c r="FDA147" s="24"/>
      <c r="FDB147" s="24"/>
      <c r="FDC147" s="24"/>
      <c r="FDD147" s="24"/>
      <c r="FDE147" s="24"/>
      <c r="FDF147" s="24"/>
      <c r="FDG147" s="24"/>
      <c r="FDH147" s="24"/>
      <c r="FDI147" s="24"/>
      <c r="FDJ147" s="24"/>
      <c r="FDK147" s="24"/>
      <c r="FDL147" s="24"/>
      <c r="FDM147" s="24"/>
      <c r="FDN147" s="24"/>
      <c r="FDO147" s="24"/>
      <c r="FDP147" s="24"/>
      <c r="FDQ147" s="24"/>
      <c r="FDR147" s="24"/>
      <c r="FDS147" s="24"/>
      <c r="FDT147" s="24"/>
      <c r="FDU147" s="24"/>
      <c r="FDV147" s="24"/>
      <c r="FDW147" s="24"/>
      <c r="FDX147" s="24"/>
      <c r="FDY147" s="24"/>
      <c r="FDZ147" s="24"/>
      <c r="FEA147" s="24"/>
      <c r="FEB147" s="24"/>
      <c r="FEC147" s="24"/>
      <c r="FED147" s="24"/>
      <c r="FEE147" s="24"/>
      <c r="FEF147" s="24"/>
      <c r="FEG147" s="24"/>
      <c r="FEH147" s="24"/>
      <c r="FEI147" s="24"/>
      <c r="FEJ147" s="24"/>
      <c r="FEK147" s="24"/>
      <c r="FEL147" s="24"/>
      <c r="FEM147" s="24"/>
      <c r="FEN147" s="24"/>
      <c r="FEO147" s="24"/>
      <c r="FEP147" s="24"/>
      <c r="FEQ147" s="24"/>
      <c r="FER147" s="24"/>
      <c r="FES147" s="24"/>
      <c r="FET147" s="24"/>
      <c r="FEU147" s="24"/>
      <c r="FEV147" s="24"/>
      <c r="FEW147" s="24"/>
      <c r="FEX147" s="24"/>
      <c r="FEY147" s="24"/>
      <c r="FEZ147" s="24"/>
      <c r="FFA147" s="24"/>
      <c r="FFB147" s="24"/>
      <c r="FFC147" s="24"/>
      <c r="FFD147" s="24"/>
      <c r="FFE147" s="24"/>
      <c r="FFF147" s="24"/>
      <c r="FFG147" s="24"/>
      <c r="FFH147" s="24"/>
      <c r="FFI147" s="24"/>
      <c r="FFJ147" s="24"/>
      <c r="FFK147" s="24"/>
      <c r="FFL147" s="24"/>
      <c r="FFM147" s="24"/>
      <c r="FFN147" s="24"/>
      <c r="FFO147" s="24"/>
      <c r="FFP147" s="24"/>
      <c r="FFQ147" s="24"/>
      <c r="FFR147" s="24"/>
      <c r="FFS147" s="24"/>
      <c r="FFT147" s="24"/>
      <c r="FFU147" s="24"/>
      <c r="FFV147" s="24"/>
      <c r="FFW147" s="24"/>
      <c r="FFX147" s="24"/>
      <c r="FFY147" s="24"/>
      <c r="FFZ147" s="24"/>
      <c r="FGA147" s="24"/>
      <c r="FGB147" s="24"/>
      <c r="FGC147" s="24"/>
      <c r="FGD147" s="24"/>
      <c r="FGE147" s="24"/>
      <c r="FGF147" s="24"/>
      <c r="FGG147" s="24"/>
      <c r="FGH147" s="24"/>
      <c r="FGI147" s="24"/>
      <c r="FGJ147" s="24"/>
      <c r="FGK147" s="24"/>
      <c r="FGL147" s="24"/>
      <c r="FGM147" s="24"/>
      <c r="FGN147" s="24"/>
      <c r="FGO147" s="24"/>
      <c r="FGP147" s="24"/>
      <c r="FGQ147" s="24"/>
      <c r="FGR147" s="24"/>
      <c r="FGS147" s="24"/>
      <c r="FGT147" s="24"/>
      <c r="FGU147" s="24"/>
      <c r="FGV147" s="24"/>
      <c r="FGW147" s="24"/>
      <c r="FGX147" s="24"/>
      <c r="FGY147" s="24"/>
      <c r="FGZ147" s="24"/>
      <c r="FHA147" s="24"/>
      <c r="FHB147" s="24"/>
      <c r="FHC147" s="24"/>
      <c r="FHD147" s="24"/>
      <c r="FHE147" s="24"/>
      <c r="FHF147" s="24"/>
      <c r="FHG147" s="24"/>
      <c r="FHH147" s="24"/>
      <c r="FHI147" s="24"/>
      <c r="FHJ147" s="24"/>
      <c r="FHK147" s="24"/>
      <c r="FHL147" s="24"/>
      <c r="FHM147" s="24"/>
      <c r="FHN147" s="24"/>
      <c r="FHO147" s="24"/>
      <c r="FHP147" s="24"/>
      <c r="FHQ147" s="24"/>
      <c r="FHR147" s="24"/>
      <c r="FHS147" s="24"/>
      <c r="FHT147" s="24"/>
      <c r="FHU147" s="24"/>
      <c r="FHV147" s="24"/>
      <c r="FHW147" s="24"/>
      <c r="FHX147" s="24"/>
      <c r="FHY147" s="24"/>
      <c r="FHZ147" s="24"/>
      <c r="FIA147" s="24"/>
      <c r="FIB147" s="24"/>
      <c r="FIC147" s="24"/>
      <c r="FID147" s="24"/>
      <c r="FIE147" s="24"/>
      <c r="FIF147" s="24"/>
      <c r="FIG147" s="24"/>
      <c r="FIH147" s="24"/>
      <c r="FII147" s="24"/>
      <c r="FIJ147" s="24"/>
      <c r="FIK147" s="24"/>
      <c r="FIL147" s="24"/>
      <c r="FIM147" s="24"/>
      <c r="FIN147" s="24"/>
      <c r="FIO147" s="24"/>
      <c r="FIP147" s="24"/>
      <c r="FIQ147" s="24"/>
      <c r="FIR147" s="24"/>
      <c r="FIS147" s="24"/>
      <c r="FIT147" s="24"/>
      <c r="FIU147" s="24"/>
      <c r="FIV147" s="24"/>
      <c r="FIW147" s="24"/>
      <c r="FIX147" s="24"/>
      <c r="FIY147" s="24"/>
      <c r="FIZ147" s="24"/>
      <c r="FJA147" s="24"/>
      <c r="FJB147" s="24"/>
      <c r="FJC147" s="24"/>
      <c r="FJD147" s="24"/>
      <c r="FJE147" s="24"/>
      <c r="FJF147" s="24"/>
      <c r="FJG147" s="24"/>
      <c r="FJH147" s="24"/>
      <c r="FJI147" s="24"/>
      <c r="FJJ147" s="24"/>
      <c r="FJK147" s="24"/>
      <c r="FJL147" s="24"/>
      <c r="FJM147" s="24"/>
      <c r="FJN147" s="24"/>
      <c r="FJO147" s="24"/>
      <c r="FJP147" s="24"/>
      <c r="FJQ147" s="24"/>
      <c r="FJR147" s="24"/>
      <c r="FJS147" s="24"/>
      <c r="FJT147" s="24"/>
      <c r="FJU147" s="24"/>
      <c r="FJV147" s="24"/>
      <c r="FJW147" s="24"/>
      <c r="FJX147" s="24"/>
      <c r="FJY147" s="24"/>
      <c r="FJZ147" s="24"/>
      <c r="FKA147" s="24"/>
      <c r="FKB147" s="24"/>
      <c r="FKC147" s="24"/>
      <c r="FKD147" s="24"/>
      <c r="FKE147" s="24"/>
      <c r="FKF147" s="24"/>
      <c r="FKG147" s="24"/>
      <c r="FKH147" s="24"/>
      <c r="FKI147" s="24"/>
      <c r="FKJ147" s="24"/>
      <c r="FKK147" s="24"/>
      <c r="FKL147" s="24"/>
      <c r="FKM147" s="24"/>
      <c r="FKN147" s="24"/>
      <c r="FKO147" s="24"/>
      <c r="FKP147" s="24"/>
      <c r="FKQ147" s="24"/>
      <c r="FKR147" s="24"/>
      <c r="FKS147" s="24"/>
      <c r="FKT147" s="24"/>
      <c r="FKU147" s="24"/>
      <c r="FKV147" s="24"/>
      <c r="FKW147" s="24"/>
      <c r="FKX147" s="24"/>
      <c r="FKY147" s="24"/>
      <c r="FKZ147" s="24"/>
      <c r="FLA147" s="24"/>
      <c r="FLB147" s="24"/>
      <c r="FLC147" s="24"/>
      <c r="FLD147" s="24"/>
      <c r="FLE147" s="24"/>
      <c r="FLF147" s="24"/>
      <c r="FLG147" s="24"/>
      <c r="FLH147" s="24"/>
      <c r="FLI147" s="24"/>
      <c r="FLJ147" s="24"/>
      <c r="FLK147" s="24"/>
      <c r="FLL147" s="24"/>
      <c r="FLM147" s="24"/>
      <c r="FLN147" s="24"/>
      <c r="FLO147" s="24"/>
      <c r="FLP147" s="24"/>
      <c r="FLQ147" s="24"/>
      <c r="FLR147" s="24"/>
      <c r="FLS147" s="24"/>
      <c r="FLT147" s="24"/>
      <c r="FLU147" s="24"/>
      <c r="FLV147" s="24"/>
      <c r="FLW147" s="24"/>
      <c r="FLX147" s="24"/>
      <c r="FLY147" s="24"/>
      <c r="FLZ147" s="24"/>
      <c r="FMA147" s="24"/>
      <c r="FMB147" s="24"/>
      <c r="FMC147" s="24"/>
      <c r="FMD147" s="24"/>
      <c r="FME147" s="24"/>
      <c r="FMF147" s="24"/>
      <c r="FMG147" s="24"/>
      <c r="FMH147" s="24"/>
      <c r="FMI147" s="24"/>
      <c r="FMJ147" s="24"/>
      <c r="FMK147" s="24"/>
      <c r="FML147" s="24"/>
      <c r="FMM147" s="24"/>
      <c r="FMN147" s="24"/>
      <c r="FMO147" s="24"/>
      <c r="FMP147" s="24"/>
      <c r="FMQ147" s="24"/>
      <c r="FMR147" s="24"/>
      <c r="FMS147" s="24"/>
      <c r="FMT147" s="24"/>
      <c r="FMU147" s="24"/>
      <c r="FMV147" s="24"/>
      <c r="FMW147" s="24"/>
      <c r="FMX147" s="24"/>
      <c r="FMY147" s="24"/>
      <c r="FMZ147" s="24"/>
      <c r="FNA147" s="24"/>
      <c r="FNB147" s="24"/>
      <c r="FNC147" s="24"/>
      <c r="FND147" s="24"/>
      <c r="FNE147" s="24"/>
      <c r="FNF147" s="24"/>
      <c r="FNG147" s="24"/>
      <c r="FNH147" s="24"/>
      <c r="FNI147" s="24"/>
      <c r="FNJ147" s="24"/>
      <c r="FNK147" s="24"/>
      <c r="FNL147" s="24"/>
      <c r="FNM147" s="24"/>
      <c r="FNN147" s="24"/>
      <c r="FNO147" s="24"/>
      <c r="FNP147" s="24"/>
      <c r="FNQ147" s="24"/>
      <c r="FNR147" s="24"/>
      <c r="FNS147" s="24"/>
      <c r="FNT147" s="24"/>
      <c r="FNU147" s="24"/>
      <c r="FNV147" s="24"/>
      <c r="FNW147" s="24"/>
      <c r="FNX147" s="24"/>
      <c r="FNY147" s="24"/>
      <c r="FNZ147" s="24"/>
      <c r="FOA147" s="24"/>
      <c r="FOB147" s="24"/>
      <c r="FOC147" s="24"/>
      <c r="FOD147" s="24"/>
      <c r="FOE147" s="24"/>
      <c r="FOF147" s="24"/>
      <c r="FOG147" s="24"/>
      <c r="FOH147" s="24"/>
      <c r="FOI147" s="24"/>
      <c r="FOJ147" s="24"/>
      <c r="FOK147" s="24"/>
      <c r="FOL147" s="24"/>
      <c r="FOM147" s="24"/>
      <c r="FON147" s="24"/>
      <c r="FOO147" s="24"/>
      <c r="FOP147" s="24"/>
      <c r="FOQ147" s="24"/>
      <c r="FOR147" s="24"/>
      <c r="FOS147" s="24"/>
      <c r="FOT147" s="24"/>
      <c r="FOU147" s="24"/>
      <c r="FOV147" s="24"/>
      <c r="FOW147" s="24"/>
      <c r="FOX147" s="24"/>
      <c r="FOY147" s="24"/>
      <c r="FOZ147" s="24"/>
      <c r="FPA147" s="24"/>
      <c r="FPB147" s="24"/>
      <c r="FPC147" s="24"/>
      <c r="FPD147" s="24"/>
      <c r="FPE147" s="24"/>
      <c r="FPF147" s="24"/>
      <c r="FPG147" s="24"/>
      <c r="FPH147" s="24"/>
      <c r="FPI147" s="24"/>
      <c r="FPJ147" s="24"/>
      <c r="FPK147" s="24"/>
      <c r="FPL147" s="24"/>
      <c r="FPM147" s="24"/>
      <c r="FPN147" s="24"/>
      <c r="FPO147" s="24"/>
      <c r="FPP147" s="24"/>
      <c r="FPQ147" s="24"/>
      <c r="FPR147" s="24"/>
      <c r="FPS147" s="24"/>
      <c r="FPT147" s="24"/>
      <c r="FPU147" s="24"/>
      <c r="FPV147" s="24"/>
      <c r="FPW147" s="24"/>
      <c r="FPX147" s="24"/>
      <c r="FPY147" s="24"/>
      <c r="FPZ147" s="24"/>
      <c r="FQA147" s="24"/>
      <c r="FQB147" s="24"/>
      <c r="FQC147" s="24"/>
      <c r="FQD147" s="24"/>
      <c r="FQE147" s="24"/>
      <c r="FQF147" s="24"/>
      <c r="FQG147" s="24"/>
      <c r="FQH147" s="24"/>
      <c r="FQI147" s="24"/>
      <c r="FQJ147" s="24"/>
      <c r="FQK147" s="24"/>
      <c r="FQL147" s="24"/>
      <c r="FQM147" s="24"/>
      <c r="FQN147" s="24"/>
      <c r="FQO147" s="24"/>
      <c r="FQP147" s="24"/>
      <c r="FQQ147" s="24"/>
      <c r="FQR147" s="24"/>
      <c r="FQS147" s="24"/>
      <c r="FQT147" s="24"/>
      <c r="FQU147" s="24"/>
      <c r="FQV147" s="24"/>
      <c r="FQW147" s="24"/>
      <c r="FQX147" s="24"/>
      <c r="FQY147" s="24"/>
      <c r="FQZ147" s="24"/>
      <c r="FRA147" s="24"/>
      <c r="FRB147" s="24"/>
      <c r="FRC147" s="24"/>
      <c r="FRD147" s="24"/>
      <c r="FRE147" s="24"/>
      <c r="FRF147" s="24"/>
      <c r="FRG147" s="24"/>
      <c r="FRH147" s="24"/>
      <c r="FRI147" s="24"/>
      <c r="FRJ147" s="24"/>
      <c r="FRK147" s="24"/>
      <c r="FRL147" s="24"/>
      <c r="FRM147" s="24"/>
      <c r="FRN147" s="24"/>
      <c r="FRO147" s="24"/>
      <c r="FRP147" s="24"/>
      <c r="FRQ147" s="24"/>
      <c r="FRR147" s="24"/>
      <c r="FRS147" s="24"/>
      <c r="FRT147" s="24"/>
      <c r="FRU147" s="24"/>
      <c r="FRV147" s="24"/>
      <c r="FRW147" s="24"/>
      <c r="FRX147" s="24"/>
      <c r="FRY147" s="24"/>
      <c r="FRZ147" s="24"/>
      <c r="FSA147" s="24"/>
      <c r="FSB147" s="24"/>
      <c r="FSC147" s="24"/>
      <c r="FSD147" s="24"/>
      <c r="FSE147" s="24"/>
      <c r="FSF147" s="24"/>
      <c r="FSG147" s="24"/>
      <c r="FSH147" s="24"/>
      <c r="FSI147" s="24"/>
      <c r="FSJ147" s="24"/>
      <c r="FSK147" s="24"/>
      <c r="FSL147" s="24"/>
      <c r="FSM147" s="24"/>
      <c r="FSN147" s="24"/>
      <c r="FSO147" s="24"/>
      <c r="FSP147" s="24"/>
      <c r="FSQ147" s="24"/>
      <c r="FSR147" s="24"/>
      <c r="FSS147" s="24"/>
      <c r="FST147" s="24"/>
      <c r="FSU147" s="24"/>
      <c r="FSV147" s="24"/>
      <c r="FSW147" s="24"/>
      <c r="FSX147" s="24"/>
      <c r="FSY147" s="24"/>
      <c r="FSZ147" s="24"/>
      <c r="FTA147" s="24"/>
      <c r="FTB147" s="24"/>
      <c r="FTC147" s="24"/>
      <c r="FTD147" s="24"/>
      <c r="FTE147" s="24"/>
      <c r="FTF147" s="24"/>
      <c r="FTG147" s="24"/>
      <c r="FTH147" s="24"/>
      <c r="FTI147" s="24"/>
      <c r="FTJ147" s="24"/>
      <c r="FTK147" s="24"/>
      <c r="FTL147" s="24"/>
      <c r="FTM147" s="24"/>
      <c r="FTN147" s="24"/>
      <c r="FTO147" s="24"/>
      <c r="FTP147" s="24"/>
      <c r="FTQ147" s="24"/>
      <c r="FTR147" s="24"/>
      <c r="FTS147" s="24"/>
      <c r="FTT147" s="24"/>
      <c r="FTU147" s="24"/>
      <c r="FTV147" s="24"/>
      <c r="FTW147" s="24"/>
      <c r="FTX147" s="24"/>
      <c r="FTY147" s="24"/>
      <c r="FTZ147" s="24"/>
      <c r="FUA147" s="24"/>
      <c r="FUB147" s="24"/>
      <c r="FUC147" s="24"/>
      <c r="FUD147" s="24"/>
      <c r="FUE147" s="24"/>
      <c r="FUF147" s="24"/>
      <c r="FUG147" s="24"/>
      <c r="FUH147" s="24"/>
      <c r="FUI147" s="24"/>
      <c r="FUJ147" s="24"/>
      <c r="FUK147" s="24"/>
      <c r="FUL147" s="24"/>
      <c r="FUM147" s="24"/>
      <c r="FUN147" s="24"/>
      <c r="FUO147" s="24"/>
      <c r="FUP147" s="24"/>
      <c r="FUQ147" s="24"/>
      <c r="FUR147" s="24"/>
      <c r="FUS147" s="24"/>
      <c r="FUT147" s="24"/>
      <c r="FUU147" s="24"/>
      <c r="FUV147" s="24"/>
      <c r="FUW147" s="24"/>
      <c r="FUX147" s="24"/>
      <c r="FUY147" s="24"/>
      <c r="FUZ147" s="24"/>
      <c r="FVA147" s="24"/>
      <c r="FVB147" s="24"/>
      <c r="FVC147" s="24"/>
      <c r="FVD147" s="24"/>
      <c r="FVE147" s="24"/>
      <c r="FVF147" s="24"/>
      <c r="FVG147" s="24"/>
      <c r="FVH147" s="24"/>
      <c r="FVI147" s="24"/>
      <c r="FVJ147" s="24"/>
      <c r="FVK147" s="24"/>
      <c r="FVL147" s="24"/>
      <c r="FVM147" s="24"/>
      <c r="FVN147" s="24"/>
      <c r="FVO147" s="24"/>
      <c r="FVP147" s="24"/>
      <c r="FVQ147" s="24"/>
      <c r="FVR147" s="24"/>
      <c r="FVS147" s="24"/>
      <c r="FVT147" s="24"/>
      <c r="FVU147" s="24"/>
      <c r="FVV147" s="24"/>
      <c r="FVW147" s="24"/>
      <c r="FVX147" s="24"/>
      <c r="FVY147" s="24"/>
      <c r="FVZ147" s="24"/>
      <c r="FWA147" s="24"/>
      <c r="FWB147" s="24"/>
      <c r="FWC147" s="24"/>
      <c r="FWD147" s="24"/>
      <c r="FWE147" s="24"/>
      <c r="FWF147" s="24"/>
      <c r="FWG147" s="24"/>
      <c r="FWH147" s="24"/>
      <c r="FWI147" s="24"/>
      <c r="FWJ147" s="24"/>
      <c r="FWK147" s="24"/>
      <c r="FWL147" s="24"/>
      <c r="FWM147" s="24"/>
      <c r="FWN147" s="24"/>
      <c r="FWO147" s="24"/>
      <c r="FWP147" s="24"/>
      <c r="FWQ147" s="24"/>
      <c r="FWR147" s="24"/>
      <c r="FWS147" s="24"/>
      <c r="FWT147" s="24"/>
      <c r="FWU147" s="24"/>
      <c r="FWV147" s="24"/>
      <c r="FWW147" s="24"/>
      <c r="FWX147" s="24"/>
      <c r="FWY147" s="24"/>
      <c r="FWZ147" s="24"/>
      <c r="FXA147" s="24"/>
      <c r="FXB147" s="24"/>
      <c r="FXC147" s="24"/>
      <c r="FXD147" s="24"/>
      <c r="FXE147" s="24"/>
      <c r="FXF147" s="24"/>
      <c r="FXG147" s="24"/>
      <c r="FXH147" s="24"/>
      <c r="FXI147" s="24"/>
      <c r="FXJ147" s="24"/>
      <c r="FXK147" s="24"/>
      <c r="FXL147" s="24"/>
      <c r="FXM147" s="24"/>
      <c r="FXN147" s="24"/>
      <c r="FXO147" s="24"/>
      <c r="FXP147" s="24"/>
      <c r="FXQ147" s="24"/>
      <c r="FXR147" s="24"/>
      <c r="FXS147" s="24"/>
      <c r="FXT147" s="24"/>
      <c r="FXU147" s="24"/>
      <c r="FXV147" s="24"/>
      <c r="FXW147" s="24"/>
      <c r="FXX147" s="24"/>
      <c r="FXY147" s="24"/>
      <c r="FXZ147" s="24"/>
      <c r="FYA147" s="24"/>
      <c r="FYB147" s="24"/>
      <c r="FYC147" s="24"/>
      <c r="FYD147" s="24"/>
      <c r="FYE147" s="24"/>
      <c r="FYF147" s="24"/>
      <c r="FYG147" s="24"/>
      <c r="FYH147" s="24"/>
      <c r="FYI147" s="24"/>
      <c r="FYJ147" s="24"/>
      <c r="FYK147" s="24"/>
      <c r="FYL147" s="24"/>
      <c r="FYM147" s="24"/>
      <c r="FYN147" s="24"/>
      <c r="FYO147" s="24"/>
      <c r="FYP147" s="24"/>
      <c r="FYQ147" s="24"/>
      <c r="FYR147" s="24"/>
      <c r="FYS147" s="24"/>
      <c r="FYT147" s="24"/>
      <c r="FYU147" s="24"/>
      <c r="FYV147" s="24"/>
      <c r="FYW147" s="24"/>
      <c r="FYX147" s="24"/>
      <c r="FYY147" s="24"/>
      <c r="FYZ147" s="24"/>
      <c r="FZA147" s="24"/>
      <c r="FZB147" s="24"/>
      <c r="FZC147" s="24"/>
      <c r="FZD147" s="24"/>
      <c r="FZE147" s="24"/>
      <c r="FZF147" s="24"/>
      <c r="FZG147" s="24"/>
      <c r="FZH147" s="24"/>
      <c r="FZI147" s="24"/>
      <c r="FZJ147" s="24"/>
      <c r="FZK147" s="24"/>
      <c r="FZL147" s="24"/>
      <c r="FZM147" s="24"/>
      <c r="FZN147" s="24"/>
      <c r="FZO147" s="24"/>
      <c r="FZP147" s="24"/>
      <c r="FZQ147" s="24"/>
      <c r="FZR147" s="24"/>
      <c r="FZS147" s="24"/>
      <c r="FZT147" s="24"/>
      <c r="FZU147" s="24"/>
      <c r="FZV147" s="24"/>
      <c r="FZW147" s="24"/>
      <c r="FZX147" s="24"/>
      <c r="FZY147" s="24"/>
      <c r="FZZ147" s="24"/>
      <c r="GAA147" s="24"/>
      <c r="GAB147" s="24"/>
      <c r="GAC147" s="24"/>
      <c r="GAD147" s="24"/>
      <c r="GAE147" s="24"/>
      <c r="GAF147" s="24"/>
      <c r="GAG147" s="24"/>
      <c r="GAH147" s="24"/>
      <c r="GAI147" s="24"/>
      <c r="GAJ147" s="24"/>
      <c r="GAK147" s="24"/>
      <c r="GAL147" s="24"/>
      <c r="GAM147" s="24"/>
      <c r="GAN147" s="24"/>
      <c r="GAO147" s="24"/>
      <c r="GAP147" s="24"/>
      <c r="GAQ147" s="24"/>
      <c r="GAR147" s="24"/>
      <c r="GAS147" s="24"/>
      <c r="GAT147" s="24"/>
      <c r="GAU147" s="24"/>
      <c r="GAV147" s="24"/>
      <c r="GAW147" s="24"/>
      <c r="GAX147" s="24"/>
      <c r="GAY147" s="24"/>
      <c r="GAZ147" s="24"/>
      <c r="GBA147" s="24"/>
      <c r="GBB147" s="24"/>
      <c r="GBC147" s="24"/>
      <c r="GBD147" s="24"/>
      <c r="GBE147" s="24"/>
      <c r="GBF147" s="24"/>
      <c r="GBG147" s="24"/>
      <c r="GBH147" s="24"/>
      <c r="GBI147" s="24"/>
      <c r="GBJ147" s="24"/>
      <c r="GBK147" s="24"/>
      <c r="GBL147" s="24"/>
      <c r="GBM147" s="24"/>
      <c r="GBN147" s="24"/>
      <c r="GBO147" s="24"/>
      <c r="GBP147" s="24"/>
      <c r="GBQ147" s="24"/>
      <c r="GBR147" s="24"/>
      <c r="GBS147" s="24"/>
      <c r="GBT147" s="24"/>
      <c r="GBU147" s="24"/>
      <c r="GBV147" s="24"/>
      <c r="GBW147" s="24"/>
      <c r="GBX147" s="24"/>
      <c r="GBY147" s="24"/>
      <c r="GBZ147" s="24"/>
      <c r="GCA147" s="24"/>
      <c r="GCB147" s="24"/>
      <c r="GCC147" s="24"/>
      <c r="GCD147" s="24"/>
      <c r="GCE147" s="24"/>
      <c r="GCF147" s="24"/>
      <c r="GCG147" s="24"/>
      <c r="GCH147" s="24"/>
      <c r="GCI147" s="24"/>
      <c r="GCJ147" s="24"/>
      <c r="GCK147" s="24"/>
      <c r="GCL147" s="24"/>
      <c r="GCM147" s="24"/>
      <c r="GCN147" s="24"/>
      <c r="GCO147" s="24"/>
      <c r="GCP147" s="24"/>
      <c r="GCQ147" s="24"/>
      <c r="GCR147" s="24"/>
      <c r="GCS147" s="24"/>
      <c r="GCT147" s="24"/>
      <c r="GCU147" s="24"/>
      <c r="GCV147" s="24"/>
      <c r="GCW147" s="24"/>
      <c r="GCX147" s="24"/>
      <c r="GCY147" s="24"/>
      <c r="GCZ147" s="24"/>
      <c r="GDA147" s="24"/>
      <c r="GDB147" s="24"/>
      <c r="GDC147" s="24"/>
      <c r="GDD147" s="24"/>
      <c r="GDE147" s="24"/>
      <c r="GDF147" s="24"/>
      <c r="GDG147" s="24"/>
      <c r="GDH147" s="24"/>
      <c r="GDI147" s="24"/>
      <c r="GDJ147" s="24"/>
      <c r="GDK147" s="24"/>
      <c r="GDL147" s="24"/>
      <c r="GDM147" s="24"/>
      <c r="GDN147" s="24"/>
      <c r="GDO147" s="24"/>
      <c r="GDP147" s="24"/>
      <c r="GDQ147" s="24"/>
      <c r="GDR147" s="24"/>
      <c r="GDS147" s="24"/>
      <c r="GDT147" s="24"/>
      <c r="GDU147" s="24"/>
      <c r="GDV147" s="24"/>
      <c r="GDW147" s="24"/>
      <c r="GDX147" s="24"/>
      <c r="GDY147" s="24"/>
      <c r="GDZ147" s="24"/>
      <c r="GEA147" s="24"/>
      <c r="GEB147" s="24"/>
      <c r="GEC147" s="24"/>
      <c r="GED147" s="24"/>
      <c r="GEE147" s="24"/>
      <c r="GEF147" s="24"/>
      <c r="GEG147" s="24"/>
      <c r="GEH147" s="24"/>
      <c r="GEI147" s="24"/>
      <c r="GEJ147" s="24"/>
      <c r="GEK147" s="24"/>
      <c r="GEL147" s="24"/>
      <c r="GEM147" s="24"/>
      <c r="GEN147" s="24"/>
      <c r="GEO147" s="24"/>
      <c r="GEP147" s="24"/>
      <c r="GEQ147" s="24"/>
      <c r="GER147" s="24"/>
      <c r="GES147" s="24"/>
      <c r="GET147" s="24"/>
      <c r="GEU147" s="24"/>
      <c r="GEV147" s="24"/>
      <c r="GEW147" s="24"/>
      <c r="GEX147" s="24"/>
      <c r="GEY147" s="24"/>
      <c r="GEZ147" s="24"/>
      <c r="GFA147" s="24"/>
      <c r="GFB147" s="24"/>
      <c r="GFC147" s="24"/>
      <c r="GFD147" s="24"/>
      <c r="GFE147" s="24"/>
      <c r="GFF147" s="24"/>
      <c r="GFG147" s="24"/>
      <c r="GFH147" s="24"/>
      <c r="GFI147" s="24"/>
      <c r="GFJ147" s="24"/>
      <c r="GFK147" s="24"/>
      <c r="GFL147" s="24"/>
      <c r="GFM147" s="24"/>
      <c r="GFN147" s="24"/>
      <c r="GFO147" s="24"/>
      <c r="GFP147" s="24"/>
      <c r="GFQ147" s="24"/>
      <c r="GFR147" s="24"/>
      <c r="GFS147" s="24"/>
      <c r="GFT147" s="24"/>
      <c r="GFU147" s="24"/>
      <c r="GFV147" s="24"/>
      <c r="GFW147" s="24"/>
      <c r="GFX147" s="24"/>
      <c r="GFY147" s="24"/>
      <c r="GFZ147" s="24"/>
      <c r="GGA147" s="24"/>
      <c r="GGB147" s="24"/>
      <c r="GGC147" s="24"/>
      <c r="GGD147" s="24"/>
      <c r="GGE147" s="24"/>
      <c r="GGF147" s="24"/>
      <c r="GGG147" s="24"/>
      <c r="GGH147" s="24"/>
      <c r="GGI147" s="24"/>
      <c r="GGJ147" s="24"/>
      <c r="GGK147" s="24"/>
      <c r="GGL147" s="24"/>
      <c r="GGM147" s="24"/>
      <c r="GGN147" s="24"/>
      <c r="GGO147" s="24"/>
      <c r="GGP147" s="24"/>
      <c r="GGQ147" s="24"/>
      <c r="GGR147" s="24"/>
      <c r="GGS147" s="24"/>
      <c r="GGT147" s="24"/>
      <c r="GGU147" s="24"/>
      <c r="GGV147" s="24"/>
      <c r="GGW147" s="24"/>
      <c r="GGX147" s="24"/>
      <c r="GGY147" s="24"/>
      <c r="GGZ147" s="24"/>
      <c r="GHA147" s="24"/>
      <c r="GHB147" s="24"/>
      <c r="GHC147" s="24"/>
      <c r="GHD147" s="24"/>
      <c r="GHE147" s="24"/>
      <c r="GHF147" s="24"/>
      <c r="GHG147" s="24"/>
      <c r="GHH147" s="24"/>
      <c r="GHI147" s="24"/>
      <c r="GHJ147" s="24"/>
      <c r="GHK147" s="24"/>
      <c r="GHL147" s="24"/>
      <c r="GHM147" s="24"/>
      <c r="GHN147" s="24"/>
      <c r="GHO147" s="24"/>
      <c r="GHP147" s="24"/>
      <c r="GHQ147" s="24"/>
      <c r="GHR147" s="24"/>
      <c r="GHS147" s="24"/>
      <c r="GHT147" s="24"/>
      <c r="GHU147" s="24"/>
      <c r="GHV147" s="24"/>
      <c r="GHW147" s="24"/>
      <c r="GHX147" s="24"/>
      <c r="GHY147" s="24"/>
      <c r="GHZ147" s="24"/>
      <c r="GIA147" s="24"/>
      <c r="GIB147" s="24"/>
      <c r="GIC147" s="24"/>
      <c r="GID147" s="24"/>
      <c r="GIE147" s="24"/>
      <c r="GIF147" s="24"/>
      <c r="GIG147" s="24"/>
      <c r="GIH147" s="24"/>
      <c r="GII147" s="24"/>
      <c r="GIJ147" s="24"/>
      <c r="GIK147" s="24"/>
      <c r="GIL147" s="24"/>
      <c r="GIM147" s="24"/>
      <c r="GIN147" s="24"/>
      <c r="GIO147" s="24"/>
      <c r="GIP147" s="24"/>
      <c r="GIQ147" s="24"/>
      <c r="GIR147" s="24"/>
      <c r="GIS147" s="24"/>
      <c r="GIT147" s="24"/>
      <c r="GIU147" s="24"/>
      <c r="GIV147" s="24"/>
      <c r="GIW147" s="24"/>
      <c r="GIX147" s="24"/>
      <c r="GIY147" s="24"/>
      <c r="GIZ147" s="24"/>
      <c r="GJA147" s="24"/>
      <c r="GJB147" s="24"/>
      <c r="GJC147" s="24"/>
      <c r="GJD147" s="24"/>
      <c r="GJE147" s="24"/>
      <c r="GJF147" s="24"/>
      <c r="GJG147" s="24"/>
      <c r="GJH147" s="24"/>
      <c r="GJI147" s="24"/>
      <c r="GJJ147" s="24"/>
      <c r="GJK147" s="24"/>
      <c r="GJL147" s="24"/>
      <c r="GJM147" s="24"/>
      <c r="GJN147" s="24"/>
      <c r="GJO147" s="24"/>
      <c r="GJP147" s="24"/>
      <c r="GJQ147" s="24"/>
      <c r="GJR147" s="24"/>
      <c r="GJS147" s="24"/>
      <c r="GJT147" s="24"/>
      <c r="GJU147" s="24"/>
      <c r="GJV147" s="24"/>
      <c r="GJW147" s="24"/>
      <c r="GJX147" s="24"/>
      <c r="GJY147" s="24"/>
      <c r="GJZ147" s="24"/>
      <c r="GKA147" s="24"/>
      <c r="GKB147" s="24"/>
      <c r="GKC147" s="24"/>
      <c r="GKD147" s="24"/>
      <c r="GKE147" s="24"/>
      <c r="GKF147" s="24"/>
      <c r="GKG147" s="24"/>
      <c r="GKH147" s="24"/>
      <c r="GKI147" s="24"/>
      <c r="GKJ147" s="24"/>
      <c r="GKK147" s="24"/>
      <c r="GKL147" s="24"/>
      <c r="GKM147" s="24"/>
      <c r="GKN147" s="24"/>
      <c r="GKO147" s="24"/>
      <c r="GKP147" s="24"/>
      <c r="GKQ147" s="24"/>
      <c r="GKR147" s="24"/>
      <c r="GKS147" s="24"/>
      <c r="GKT147" s="24"/>
      <c r="GKU147" s="24"/>
      <c r="GKV147" s="24"/>
      <c r="GKW147" s="24"/>
      <c r="GKX147" s="24"/>
      <c r="GKY147" s="24"/>
      <c r="GKZ147" s="24"/>
      <c r="GLA147" s="24"/>
      <c r="GLB147" s="24"/>
      <c r="GLC147" s="24"/>
      <c r="GLD147" s="24"/>
      <c r="GLE147" s="24"/>
      <c r="GLF147" s="24"/>
      <c r="GLG147" s="24"/>
      <c r="GLH147" s="24"/>
      <c r="GLI147" s="24"/>
      <c r="GLJ147" s="24"/>
      <c r="GLK147" s="24"/>
      <c r="GLL147" s="24"/>
      <c r="GLM147" s="24"/>
      <c r="GLN147" s="24"/>
      <c r="GLO147" s="24"/>
      <c r="GLP147" s="24"/>
      <c r="GLQ147" s="24"/>
      <c r="GLR147" s="24"/>
      <c r="GLS147" s="24"/>
      <c r="GLT147" s="24"/>
      <c r="GLU147" s="24"/>
      <c r="GLV147" s="24"/>
      <c r="GLW147" s="24"/>
      <c r="GLX147" s="24"/>
      <c r="GLY147" s="24"/>
      <c r="GLZ147" s="24"/>
      <c r="GMA147" s="24"/>
      <c r="GMB147" s="24"/>
      <c r="GMC147" s="24"/>
      <c r="GMD147" s="24"/>
      <c r="GME147" s="24"/>
      <c r="GMF147" s="24"/>
      <c r="GMG147" s="24"/>
      <c r="GMH147" s="24"/>
      <c r="GMI147" s="24"/>
      <c r="GMJ147" s="24"/>
      <c r="GMK147" s="24"/>
      <c r="GML147" s="24"/>
      <c r="GMM147" s="24"/>
      <c r="GMN147" s="24"/>
      <c r="GMO147" s="24"/>
      <c r="GMP147" s="24"/>
      <c r="GMQ147" s="24"/>
      <c r="GMR147" s="24"/>
      <c r="GMS147" s="24"/>
      <c r="GMT147" s="24"/>
      <c r="GMU147" s="24"/>
      <c r="GMV147" s="24"/>
      <c r="GMW147" s="24"/>
      <c r="GMX147" s="24"/>
      <c r="GMY147" s="24"/>
      <c r="GMZ147" s="24"/>
      <c r="GNA147" s="24"/>
      <c r="GNB147" s="24"/>
      <c r="GNC147" s="24"/>
      <c r="GND147" s="24"/>
      <c r="GNE147" s="24"/>
      <c r="GNF147" s="24"/>
      <c r="GNG147" s="24"/>
      <c r="GNH147" s="24"/>
      <c r="GNI147" s="24"/>
      <c r="GNJ147" s="24"/>
      <c r="GNK147" s="24"/>
      <c r="GNL147" s="24"/>
      <c r="GNM147" s="24"/>
      <c r="GNN147" s="24"/>
      <c r="GNO147" s="24"/>
      <c r="GNP147" s="24"/>
      <c r="GNQ147" s="24"/>
      <c r="GNR147" s="24"/>
      <c r="GNS147" s="24"/>
      <c r="GNT147" s="24"/>
      <c r="GNU147" s="24"/>
      <c r="GNV147" s="24"/>
      <c r="GNW147" s="24"/>
      <c r="GNX147" s="24"/>
      <c r="GNY147" s="24"/>
      <c r="GNZ147" s="24"/>
      <c r="GOA147" s="24"/>
      <c r="GOB147" s="24"/>
      <c r="GOC147" s="24"/>
      <c r="GOD147" s="24"/>
      <c r="GOE147" s="24"/>
      <c r="GOF147" s="24"/>
      <c r="GOG147" s="24"/>
      <c r="GOH147" s="24"/>
      <c r="GOI147" s="24"/>
      <c r="GOJ147" s="24"/>
      <c r="GOK147" s="24"/>
      <c r="GOL147" s="24"/>
      <c r="GOM147" s="24"/>
      <c r="GON147" s="24"/>
      <c r="GOO147" s="24"/>
      <c r="GOP147" s="24"/>
      <c r="GOQ147" s="24"/>
      <c r="GOR147" s="24"/>
      <c r="GOS147" s="24"/>
      <c r="GOT147" s="24"/>
      <c r="GOU147" s="24"/>
      <c r="GOV147" s="24"/>
      <c r="GOW147" s="24"/>
      <c r="GOX147" s="24"/>
      <c r="GOY147" s="24"/>
      <c r="GOZ147" s="24"/>
      <c r="GPA147" s="24"/>
      <c r="GPB147" s="24"/>
      <c r="GPC147" s="24"/>
      <c r="GPD147" s="24"/>
      <c r="GPE147" s="24"/>
      <c r="GPF147" s="24"/>
      <c r="GPG147" s="24"/>
      <c r="GPH147" s="24"/>
      <c r="GPI147" s="24"/>
      <c r="GPJ147" s="24"/>
      <c r="GPK147" s="24"/>
      <c r="GPL147" s="24"/>
      <c r="GPM147" s="24"/>
      <c r="GPN147" s="24"/>
      <c r="GPO147" s="24"/>
      <c r="GPP147" s="24"/>
      <c r="GPQ147" s="24"/>
      <c r="GPR147" s="24"/>
      <c r="GPS147" s="24"/>
      <c r="GPT147" s="24"/>
      <c r="GPU147" s="24"/>
      <c r="GPV147" s="24"/>
      <c r="GPW147" s="24"/>
      <c r="GPX147" s="24"/>
      <c r="GPY147" s="24"/>
      <c r="GPZ147" s="24"/>
      <c r="GQA147" s="24"/>
      <c r="GQB147" s="24"/>
      <c r="GQC147" s="24"/>
      <c r="GQD147" s="24"/>
      <c r="GQE147" s="24"/>
      <c r="GQF147" s="24"/>
      <c r="GQG147" s="24"/>
      <c r="GQH147" s="24"/>
      <c r="GQI147" s="24"/>
      <c r="GQJ147" s="24"/>
      <c r="GQK147" s="24"/>
      <c r="GQL147" s="24"/>
      <c r="GQM147" s="24"/>
      <c r="GQN147" s="24"/>
      <c r="GQO147" s="24"/>
      <c r="GQP147" s="24"/>
      <c r="GQQ147" s="24"/>
      <c r="GQR147" s="24"/>
      <c r="GQS147" s="24"/>
      <c r="GQT147" s="24"/>
      <c r="GQU147" s="24"/>
      <c r="GQV147" s="24"/>
      <c r="GQW147" s="24"/>
      <c r="GQX147" s="24"/>
      <c r="GQY147" s="24"/>
      <c r="GQZ147" s="24"/>
      <c r="GRA147" s="24"/>
      <c r="GRB147" s="24"/>
      <c r="GRC147" s="24"/>
      <c r="GRD147" s="24"/>
      <c r="GRE147" s="24"/>
      <c r="GRF147" s="24"/>
      <c r="GRG147" s="24"/>
      <c r="GRH147" s="24"/>
      <c r="GRI147" s="24"/>
      <c r="GRJ147" s="24"/>
      <c r="GRK147" s="24"/>
      <c r="GRL147" s="24"/>
      <c r="GRM147" s="24"/>
      <c r="GRN147" s="24"/>
      <c r="GRO147" s="24"/>
      <c r="GRP147" s="24"/>
      <c r="GRQ147" s="24"/>
      <c r="GRR147" s="24"/>
      <c r="GRS147" s="24"/>
      <c r="GRT147" s="24"/>
      <c r="GRU147" s="24"/>
      <c r="GRV147" s="24"/>
      <c r="GRW147" s="24"/>
      <c r="GRX147" s="24"/>
      <c r="GRY147" s="24"/>
      <c r="GRZ147" s="24"/>
      <c r="GSA147" s="24"/>
      <c r="GSB147" s="24"/>
      <c r="GSC147" s="24"/>
      <c r="GSD147" s="24"/>
      <c r="GSE147" s="24"/>
      <c r="GSF147" s="24"/>
      <c r="GSG147" s="24"/>
      <c r="GSH147" s="24"/>
      <c r="GSI147" s="24"/>
      <c r="GSJ147" s="24"/>
      <c r="GSK147" s="24"/>
      <c r="GSL147" s="24"/>
      <c r="GSM147" s="24"/>
      <c r="GSN147" s="24"/>
      <c r="GSO147" s="24"/>
      <c r="GSP147" s="24"/>
      <c r="GSQ147" s="24"/>
      <c r="GSR147" s="24"/>
      <c r="GSS147" s="24"/>
      <c r="GST147" s="24"/>
      <c r="GSU147" s="24"/>
      <c r="GSV147" s="24"/>
      <c r="GSW147" s="24"/>
      <c r="GSX147" s="24"/>
      <c r="GSY147" s="24"/>
      <c r="GSZ147" s="24"/>
      <c r="GTA147" s="24"/>
      <c r="GTB147" s="24"/>
      <c r="GTC147" s="24"/>
      <c r="GTD147" s="24"/>
      <c r="GTE147" s="24"/>
      <c r="GTF147" s="24"/>
      <c r="GTG147" s="24"/>
      <c r="GTH147" s="24"/>
      <c r="GTI147" s="24"/>
      <c r="GTJ147" s="24"/>
      <c r="GTK147" s="24"/>
      <c r="GTL147" s="24"/>
      <c r="GTM147" s="24"/>
      <c r="GTN147" s="24"/>
      <c r="GTO147" s="24"/>
      <c r="GTP147" s="24"/>
      <c r="GTQ147" s="24"/>
      <c r="GTR147" s="24"/>
      <c r="GTS147" s="24"/>
      <c r="GTT147" s="24"/>
      <c r="GTU147" s="24"/>
      <c r="GTV147" s="24"/>
      <c r="GTW147" s="24"/>
      <c r="GTX147" s="24"/>
      <c r="GTY147" s="24"/>
      <c r="GTZ147" s="24"/>
      <c r="GUA147" s="24"/>
      <c r="GUB147" s="24"/>
      <c r="GUC147" s="24"/>
      <c r="GUD147" s="24"/>
      <c r="GUE147" s="24"/>
      <c r="GUF147" s="24"/>
      <c r="GUG147" s="24"/>
      <c r="GUH147" s="24"/>
      <c r="GUI147" s="24"/>
      <c r="GUJ147" s="24"/>
      <c r="GUK147" s="24"/>
      <c r="GUL147" s="24"/>
      <c r="GUM147" s="24"/>
      <c r="GUN147" s="24"/>
      <c r="GUO147" s="24"/>
      <c r="GUP147" s="24"/>
      <c r="GUQ147" s="24"/>
      <c r="GUR147" s="24"/>
      <c r="GUS147" s="24"/>
      <c r="GUT147" s="24"/>
      <c r="GUU147" s="24"/>
      <c r="GUV147" s="24"/>
      <c r="GUW147" s="24"/>
      <c r="GUX147" s="24"/>
      <c r="GUY147" s="24"/>
      <c r="GUZ147" s="24"/>
      <c r="GVA147" s="24"/>
      <c r="GVB147" s="24"/>
      <c r="GVC147" s="24"/>
      <c r="GVD147" s="24"/>
      <c r="GVE147" s="24"/>
      <c r="GVF147" s="24"/>
      <c r="GVG147" s="24"/>
      <c r="GVH147" s="24"/>
      <c r="GVI147" s="24"/>
      <c r="GVJ147" s="24"/>
      <c r="GVK147" s="24"/>
      <c r="GVL147" s="24"/>
      <c r="GVM147" s="24"/>
      <c r="GVN147" s="24"/>
      <c r="GVO147" s="24"/>
      <c r="GVP147" s="24"/>
      <c r="GVQ147" s="24"/>
      <c r="GVR147" s="24"/>
      <c r="GVS147" s="24"/>
      <c r="GVT147" s="24"/>
      <c r="GVU147" s="24"/>
      <c r="GVV147" s="24"/>
      <c r="GVW147" s="24"/>
      <c r="GVX147" s="24"/>
      <c r="GVY147" s="24"/>
      <c r="GVZ147" s="24"/>
      <c r="GWA147" s="24"/>
      <c r="GWB147" s="24"/>
      <c r="GWC147" s="24"/>
      <c r="GWD147" s="24"/>
      <c r="GWE147" s="24"/>
      <c r="GWF147" s="24"/>
      <c r="GWG147" s="24"/>
      <c r="GWH147" s="24"/>
      <c r="GWI147" s="24"/>
      <c r="GWJ147" s="24"/>
      <c r="GWK147" s="24"/>
      <c r="GWL147" s="24"/>
      <c r="GWM147" s="24"/>
      <c r="GWN147" s="24"/>
      <c r="GWO147" s="24"/>
      <c r="GWP147" s="24"/>
      <c r="GWQ147" s="24"/>
      <c r="GWR147" s="24"/>
      <c r="GWS147" s="24"/>
      <c r="GWT147" s="24"/>
      <c r="GWU147" s="24"/>
      <c r="GWV147" s="24"/>
      <c r="GWW147" s="24"/>
      <c r="GWX147" s="24"/>
      <c r="GWY147" s="24"/>
      <c r="GWZ147" s="24"/>
      <c r="GXA147" s="24"/>
      <c r="GXB147" s="24"/>
      <c r="GXC147" s="24"/>
      <c r="GXD147" s="24"/>
      <c r="GXE147" s="24"/>
      <c r="GXF147" s="24"/>
      <c r="GXG147" s="24"/>
      <c r="GXH147" s="24"/>
      <c r="GXI147" s="24"/>
      <c r="GXJ147" s="24"/>
      <c r="GXK147" s="24"/>
      <c r="GXL147" s="24"/>
      <c r="GXM147" s="24"/>
      <c r="GXN147" s="24"/>
      <c r="GXO147" s="24"/>
      <c r="GXP147" s="24"/>
      <c r="GXQ147" s="24"/>
      <c r="GXR147" s="24"/>
      <c r="GXS147" s="24"/>
      <c r="GXT147" s="24"/>
      <c r="GXU147" s="24"/>
      <c r="GXV147" s="24"/>
      <c r="GXW147" s="24"/>
      <c r="GXX147" s="24"/>
      <c r="GXY147" s="24"/>
      <c r="GXZ147" s="24"/>
      <c r="GYA147" s="24"/>
      <c r="GYB147" s="24"/>
      <c r="GYC147" s="24"/>
      <c r="GYD147" s="24"/>
      <c r="GYE147" s="24"/>
      <c r="GYF147" s="24"/>
      <c r="GYG147" s="24"/>
      <c r="GYH147" s="24"/>
      <c r="GYI147" s="24"/>
      <c r="GYJ147" s="24"/>
      <c r="GYK147" s="24"/>
      <c r="GYL147" s="24"/>
      <c r="GYM147" s="24"/>
      <c r="GYN147" s="24"/>
      <c r="GYO147" s="24"/>
      <c r="GYP147" s="24"/>
      <c r="GYQ147" s="24"/>
      <c r="GYR147" s="24"/>
      <c r="GYS147" s="24"/>
      <c r="GYT147" s="24"/>
      <c r="GYU147" s="24"/>
      <c r="GYV147" s="24"/>
      <c r="GYW147" s="24"/>
      <c r="GYX147" s="24"/>
      <c r="GYY147" s="24"/>
      <c r="GYZ147" s="24"/>
      <c r="GZA147" s="24"/>
      <c r="GZB147" s="24"/>
      <c r="GZC147" s="24"/>
      <c r="GZD147" s="24"/>
      <c r="GZE147" s="24"/>
      <c r="GZF147" s="24"/>
      <c r="GZG147" s="24"/>
      <c r="GZH147" s="24"/>
      <c r="GZI147" s="24"/>
      <c r="GZJ147" s="24"/>
      <c r="GZK147" s="24"/>
      <c r="GZL147" s="24"/>
      <c r="GZM147" s="24"/>
      <c r="GZN147" s="24"/>
      <c r="GZO147" s="24"/>
      <c r="GZP147" s="24"/>
      <c r="GZQ147" s="24"/>
      <c r="GZR147" s="24"/>
      <c r="GZS147" s="24"/>
      <c r="GZT147" s="24"/>
      <c r="GZU147" s="24"/>
      <c r="GZV147" s="24"/>
      <c r="GZW147" s="24"/>
      <c r="GZX147" s="24"/>
      <c r="GZY147" s="24"/>
      <c r="GZZ147" s="24"/>
      <c r="HAA147" s="24"/>
      <c r="HAB147" s="24"/>
      <c r="HAC147" s="24"/>
      <c r="HAD147" s="24"/>
      <c r="HAE147" s="24"/>
      <c r="HAF147" s="24"/>
      <c r="HAG147" s="24"/>
      <c r="HAH147" s="24"/>
      <c r="HAI147" s="24"/>
      <c r="HAJ147" s="24"/>
      <c r="HAK147" s="24"/>
      <c r="HAL147" s="24"/>
      <c r="HAM147" s="24"/>
      <c r="HAN147" s="24"/>
      <c r="HAO147" s="24"/>
      <c r="HAP147" s="24"/>
      <c r="HAQ147" s="24"/>
      <c r="HAR147" s="24"/>
      <c r="HAS147" s="24"/>
      <c r="HAT147" s="24"/>
      <c r="HAU147" s="24"/>
      <c r="HAV147" s="24"/>
      <c r="HAW147" s="24"/>
      <c r="HAX147" s="24"/>
      <c r="HAY147" s="24"/>
      <c r="HAZ147" s="24"/>
      <c r="HBA147" s="24"/>
      <c r="HBB147" s="24"/>
      <c r="HBC147" s="24"/>
      <c r="HBD147" s="24"/>
      <c r="HBE147" s="24"/>
      <c r="HBF147" s="24"/>
      <c r="HBG147" s="24"/>
      <c r="HBH147" s="24"/>
      <c r="HBI147" s="24"/>
      <c r="HBJ147" s="24"/>
      <c r="HBK147" s="24"/>
      <c r="HBL147" s="24"/>
      <c r="HBM147" s="24"/>
      <c r="HBN147" s="24"/>
      <c r="HBO147" s="24"/>
      <c r="HBP147" s="24"/>
      <c r="HBQ147" s="24"/>
      <c r="HBR147" s="24"/>
      <c r="HBS147" s="24"/>
      <c r="HBT147" s="24"/>
      <c r="HBU147" s="24"/>
      <c r="HBV147" s="24"/>
      <c r="HBW147" s="24"/>
      <c r="HBX147" s="24"/>
      <c r="HBY147" s="24"/>
      <c r="HBZ147" s="24"/>
      <c r="HCA147" s="24"/>
      <c r="HCB147" s="24"/>
      <c r="HCC147" s="24"/>
      <c r="HCD147" s="24"/>
      <c r="HCE147" s="24"/>
      <c r="HCF147" s="24"/>
      <c r="HCG147" s="24"/>
      <c r="HCH147" s="24"/>
      <c r="HCI147" s="24"/>
      <c r="HCJ147" s="24"/>
      <c r="HCK147" s="24"/>
      <c r="HCL147" s="24"/>
      <c r="HCM147" s="24"/>
      <c r="HCN147" s="24"/>
      <c r="HCO147" s="24"/>
      <c r="HCP147" s="24"/>
      <c r="HCQ147" s="24"/>
      <c r="HCR147" s="24"/>
      <c r="HCS147" s="24"/>
      <c r="HCT147" s="24"/>
      <c r="HCU147" s="24"/>
      <c r="HCV147" s="24"/>
      <c r="HCW147" s="24"/>
      <c r="HCX147" s="24"/>
      <c r="HCY147" s="24"/>
      <c r="HCZ147" s="24"/>
      <c r="HDA147" s="24"/>
      <c r="HDB147" s="24"/>
      <c r="HDC147" s="24"/>
      <c r="HDD147" s="24"/>
      <c r="HDE147" s="24"/>
      <c r="HDF147" s="24"/>
      <c r="HDG147" s="24"/>
      <c r="HDH147" s="24"/>
      <c r="HDI147" s="24"/>
      <c r="HDJ147" s="24"/>
      <c r="HDK147" s="24"/>
      <c r="HDL147" s="24"/>
      <c r="HDM147" s="24"/>
      <c r="HDN147" s="24"/>
      <c r="HDO147" s="24"/>
      <c r="HDP147" s="24"/>
      <c r="HDQ147" s="24"/>
      <c r="HDR147" s="24"/>
      <c r="HDS147" s="24"/>
      <c r="HDT147" s="24"/>
      <c r="HDU147" s="24"/>
      <c r="HDV147" s="24"/>
      <c r="HDW147" s="24"/>
      <c r="HDX147" s="24"/>
      <c r="HDY147" s="24"/>
      <c r="HDZ147" s="24"/>
      <c r="HEA147" s="24"/>
      <c r="HEB147" s="24"/>
      <c r="HEC147" s="24"/>
      <c r="HED147" s="24"/>
      <c r="HEE147" s="24"/>
      <c r="HEF147" s="24"/>
      <c r="HEG147" s="24"/>
      <c r="HEH147" s="24"/>
      <c r="HEI147" s="24"/>
      <c r="HEJ147" s="24"/>
      <c r="HEK147" s="24"/>
      <c r="HEL147" s="24"/>
      <c r="HEM147" s="24"/>
      <c r="HEN147" s="24"/>
      <c r="HEO147" s="24"/>
      <c r="HEP147" s="24"/>
      <c r="HEQ147" s="24"/>
      <c r="HER147" s="24"/>
      <c r="HES147" s="24"/>
      <c r="HET147" s="24"/>
      <c r="HEU147" s="24"/>
      <c r="HEV147" s="24"/>
      <c r="HEW147" s="24"/>
      <c r="HEX147" s="24"/>
      <c r="HEY147" s="24"/>
      <c r="HEZ147" s="24"/>
      <c r="HFA147" s="24"/>
      <c r="HFB147" s="24"/>
      <c r="HFC147" s="24"/>
      <c r="HFD147" s="24"/>
      <c r="HFE147" s="24"/>
      <c r="HFF147" s="24"/>
      <c r="HFG147" s="24"/>
      <c r="HFH147" s="24"/>
      <c r="HFI147" s="24"/>
      <c r="HFJ147" s="24"/>
      <c r="HFK147" s="24"/>
      <c r="HFL147" s="24"/>
      <c r="HFM147" s="24"/>
      <c r="HFN147" s="24"/>
      <c r="HFO147" s="24"/>
      <c r="HFP147" s="24"/>
      <c r="HFQ147" s="24"/>
      <c r="HFR147" s="24"/>
      <c r="HFS147" s="24"/>
      <c r="HFT147" s="24"/>
      <c r="HFU147" s="24"/>
      <c r="HFV147" s="24"/>
      <c r="HFW147" s="24"/>
      <c r="HFX147" s="24"/>
      <c r="HFY147" s="24"/>
      <c r="HFZ147" s="24"/>
      <c r="HGA147" s="24"/>
      <c r="HGB147" s="24"/>
      <c r="HGC147" s="24"/>
      <c r="HGD147" s="24"/>
      <c r="HGE147" s="24"/>
      <c r="HGF147" s="24"/>
      <c r="HGG147" s="24"/>
      <c r="HGH147" s="24"/>
      <c r="HGI147" s="24"/>
      <c r="HGJ147" s="24"/>
      <c r="HGK147" s="24"/>
      <c r="HGL147" s="24"/>
      <c r="HGM147" s="24"/>
      <c r="HGN147" s="24"/>
      <c r="HGO147" s="24"/>
      <c r="HGP147" s="24"/>
      <c r="HGQ147" s="24"/>
      <c r="HGR147" s="24"/>
      <c r="HGS147" s="24"/>
      <c r="HGT147" s="24"/>
      <c r="HGU147" s="24"/>
      <c r="HGV147" s="24"/>
      <c r="HGW147" s="24"/>
      <c r="HGX147" s="24"/>
      <c r="HGY147" s="24"/>
      <c r="HGZ147" s="24"/>
      <c r="HHA147" s="24"/>
      <c r="HHB147" s="24"/>
      <c r="HHC147" s="24"/>
      <c r="HHD147" s="24"/>
      <c r="HHE147" s="24"/>
      <c r="HHF147" s="24"/>
      <c r="HHG147" s="24"/>
      <c r="HHH147" s="24"/>
      <c r="HHI147" s="24"/>
      <c r="HHJ147" s="24"/>
      <c r="HHK147" s="24"/>
      <c r="HHL147" s="24"/>
      <c r="HHM147" s="24"/>
      <c r="HHN147" s="24"/>
      <c r="HHO147" s="24"/>
      <c r="HHP147" s="24"/>
      <c r="HHQ147" s="24"/>
      <c r="HHR147" s="24"/>
      <c r="HHS147" s="24"/>
      <c r="HHT147" s="24"/>
      <c r="HHU147" s="24"/>
      <c r="HHV147" s="24"/>
      <c r="HHW147" s="24"/>
      <c r="HHX147" s="24"/>
      <c r="HHY147" s="24"/>
      <c r="HHZ147" s="24"/>
      <c r="HIA147" s="24"/>
      <c r="HIB147" s="24"/>
      <c r="HIC147" s="24"/>
      <c r="HID147" s="24"/>
      <c r="HIE147" s="24"/>
      <c r="HIF147" s="24"/>
      <c r="HIG147" s="24"/>
      <c r="HIH147" s="24"/>
      <c r="HII147" s="24"/>
      <c r="HIJ147" s="24"/>
      <c r="HIK147" s="24"/>
      <c r="HIL147" s="24"/>
      <c r="HIM147" s="24"/>
      <c r="HIN147" s="24"/>
      <c r="HIO147" s="24"/>
      <c r="HIP147" s="24"/>
      <c r="HIQ147" s="24"/>
      <c r="HIR147" s="24"/>
      <c r="HIS147" s="24"/>
      <c r="HIT147" s="24"/>
      <c r="HIU147" s="24"/>
      <c r="HIV147" s="24"/>
      <c r="HIW147" s="24"/>
      <c r="HIX147" s="24"/>
      <c r="HIY147" s="24"/>
      <c r="HIZ147" s="24"/>
      <c r="HJA147" s="24"/>
      <c r="HJB147" s="24"/>
      <c r="HJC147" s="24"/>
      <c r="HJD147" s="24"/>
      <c r="HJE147" s="24"/>
      <c r="HJF147" s="24"/>
      <c r="HJG147" s="24"/>
      <c r="HJH147" s="24"/>
      <c r="HJI147" s="24"/>
      <c r="HJJ147" s="24"/>
      <c r="HJK147" s="24"/>
      <c r="HJL147" s="24"/>
      <c r="HJM147" s="24"/>
      <c r="HJN147" s="24"/>
      <c r="HJO147" s="24"/>
      <c r="HJP147" s="24"/>
      <c r="HJQ147" s="24"/>
      <c r="HJR147" s="24"/>
      <c r="HJS147" s="24"/>
      <c r="HJT147" s="24"/>
      <c r="HJU147" s="24"/>
      <c r="HJV147" s="24"/>
      <c r="HJW147" s="24"/>
      <c r="HJX147" s="24"/>
      <c r="HJY147" s="24"/>
      <c r="HJZ147" s="24"/>
      <c r="HKA147" s="24"/>
      <c r="HKB147" s="24"/>
      <c r="HKC147" s="24"/>
      <c r="HKD147" s="24"/>
      <c r="HKE147" s="24"/>
      <c r="HKF147" s="24"/>
      <c r="HKG147" s="24"/>
      <c r="HKH147" s="24"/>
      <c r="HKI147" s="24"/>
      <c r="HKJ147" s="24"/>
      <c r="HKK147" s="24"/>
      <c r="HKL147" s="24"/>
      <c r="HKM147" s="24"/>
      <c r="HKN147" s="24"/>
      <c r="HKO147" s="24"/>
      <c r="HKP147" s="24"/>
      <c r="HKQ147" s="24"/>
      <c r="HKR147" s="24"/>
      <c r="HKS147" s="24"/>
      <c r="HKT147" s="24"/>
      <c r="HKU147" s="24"/>
      <c r="HKV147" s="24"/>
      <c r="HKW147" s="24"/>
      <c r="HKX147" s="24"/>
      <c r="HKY147" s="24"/>
      <c r="HKZ147" s="24"/>
      <c r="HLA147" s="24"/>
      <c r="HLB147" s="24"/>
      <c r="HLC147" s="24"/>
      <c r="HLD147" s="24"/>
      <c r="HLE147" s="24"/>
      <c r="HLF147" s="24"/>
      <c r="HLG147" s="24"/>
      <c r="HLH147" s="24"/>
      <c r="HLI147" s="24"/>
      <c r="HLJ147" s="24"/>
      <c r="HLK147" s="24"/>
      <c r="HLL147" s="24"/>
      <c r="HLM147" s="24"/>
      <c r="HLN147" s="24"/>
      <c r="HLO147" s="24"/>
      <c r="HLP147" s="24"/>
      <c r="HLQ147" s="24"/>
      <c r="HLR147" s="24"/>
      <c r="HLS147" s="24"/>
      <c r="HLT147" s="24"/>
      <c r="HLU147" s="24"/>
      <c r="HLV147" s="24"/>
      <c r="HLW147" s="24"/>
      <c r="HLX147" s="24"/>
      <c r="HLY147" s="24"/>
      <c r="HLZ147" s="24"/>
      <c r="HMA147" s="24"/>
      <c r="HMB147" s="24"/>
      <c r="HMC147" s="24"/>
      <c r="HMD147" s="24"/>
      <c r="HME147" s="24"/>
      <c r="HMF147" s="24"/>
      <c r="HMG147" s="24"/>
      <c r="HMH147" s="24"/>
      <c r="HMI147" s="24"/>
      <c r="HMJ147" s="24"/>
      <c r="HMK147" s="24"/>
      <c r="HML147" s="24"/>
      <c r="HMM147" s="24"/>
      <c r="HMN147" s="24"/>
      <c r="HMO147" s="24"/>
      <c r="HMP147" s="24"/>
      <c r="HMQ147" s="24"/>
      <c r="HMR147" s="24"/>
      <c r="HMS147" s="24"/>
      <c r="HMT147" s="24"/>
      <c r="HMU147" s="24"/>
      <c r="HMV147" s="24"/>
      <c r="HMW147" s="24"/>
      <c r="HMX147" s="24"/>
      <c r="HMY147" s="24"/>
      <c r="HMZ147" s="24"/>
      <c r="HNA147" s="24"/>
      <c r="HNB147" s="24"/>
      <c r="HNC147" s="24"/>
      <c r="HND147" s="24"/>
      <c r="HNE147" s="24"/>
      <c r="HNF147" s="24"/>
      <c r="HNG147" s="24"/>
      <c r="HNH147" s="24"/>
      <c r="HNI147" s="24"/>
      <c r="HNJ147" s="24"/>
      <c r="HNK147" s="24"/>
      <c r="HNL147" s="24"/>
      <c r="HNM147" s="24"/>
      <c r="HNN147" s="24"/>
      <c r="HNO147" s="24"/>
      <c r="HNP147" s="24"/>
      <c r="HNQ147" s="24"/>
      <c r="HNR147" s="24"/>
      <c r="HNS147" s="24"/>
      <c r="HNT147" s="24"/>
      <c r="HNU147" s="24"/>
      <c r="HNV147" s="24"/>
      <c r="HNW147" s="24"/>
      <c r="HNX147" s="24"/>
      <c r="HNY147" s="24"/>
      <c r="HNZ147" s="24"/>
      <c r="HOA147" s="24"/>
      <c r="HOB147" s="24"/>
      <c r="HOC147" s="24"/>
      <c r="HOD147" s="24"/>
      <c r="HOE147" s="24"/>
      <c r="HOF147" s="24"/>
      <c r="HOG147" s="24"/>
      <c r="HOH147" s="24"/>
      <c r="HOI147" s="24"/>
      <c r="HOJ147" s="24"/>
      <c r="HOK147" s="24"/>
      <c r="HOL147" s="24"/>
      <c r="HOM147" s="24"/>
      <c r="HON147" s="24"/>
      <c r="HOO147" s="24"/>
      <c r="HOP147" s="24"/>
      <c r="HOQ147" s="24"/>
      <c r="HOR147" s="24"/>
      <c r="HOS147" s="24"/>
      <c r="HOT147" s="24"/>
      <c r="HOU147" s="24"/>
      <c r="HOV147" s="24"/>
      <c r="HOW147" s="24"/>
      <c r="HOX147" s="24"/>
      <c r="HOY147" s="24"/>
      <c r="HOZ147" s="24"/>
      <c r="HPA147" s="24"/>
      <c r="HPB147" s="24"/>
      <c r="HPC147" s="24"/>
      <c r="HPD147" s="24"/>
      <c r="HPE147" s="24"/>
      <c r="HPF147" s="24"/>
      <c r="HPG147" s="24"/>
      <c r="HPH147" s="24"/>
      <c r="HPI147" s="24"/>
      <c r="HPJ147" s="24"/>
      <c r="HPK147" s="24"/>
      <c r="HPL147" s="24"/>
      <c r="HPM147" s="24"/>
      <c r="HPN147" s="24"/>
      <c r="HPO147" s="24"/>
      <c r="HPP147" s="24"/>
      <c r="HPQ147" s="24"/>
      <c r="HPR147" s="24"/>
      <c r="HPS147" s="24"/>
      <c r="HPT147" s="24"/>
      <c r="HPU147" s="24"/>
      <c r="HPV147" s="24"/>
      <c r="HPW147" s="24"/>
      <c r="HPX147" s="24"/>
      <c r="HPY147" s="24"/>
      <c r="HPZ147" s="24"/>
      <c r="HQA147" s="24"/>
      <c r="HQB147" s="24"/>
      <c r="HQC147" s="24"/>
      <c r="HQD147" s="24"/>
      <c r="HQE147" s="24"/>
      <c r="HQF147" s="24"/>
      <c r="HQG147" s="24"/>
      <c r="HQH147" s="24"/>
      <c r="HQI147" s="24"/>
      <c r="HQJ147" s="24"/>
      <c r="HQK147" s="24"/>
      <c r="HQL147" s="24"/>
      <c r="HQM147" s="24"/>
      <c r="HQN147" s="24"/>
      <c r="HQO147" s="24"/>
      <c r="HQP147" s="24"/>
      <c r="HQQ147" s="24"/>
      <c r="HQR147" s="24"/>
      <c r="HQS147" s="24"/>
      <c r="HQT147" s="24"/>
      <c r="HQU147" s="24"/>
      <c r="HQV147" s="24"/>
      <c r="HQW147" s="24"/>
      <c r="HQX147" s="24"/>
      <c r="HQY147" s="24"/>
      <c r="HQZ147" s="24"/>
      <c r="HRA147" s="24"/>
      <c r="HRB147" s="24"/>
      <c r="HRC147" s="24"/>
      <c r="HRD147" s="24"/>
      <c r="HRE147" s="24"/>
      <c r="HRF147" s="24"/>
      <c r="HRG147" s="24"/>
      <c r="HRH147" s="24"/>
      <c r="HRI147" s="24"/>
      <c r="HRJ147" s="24"/>
      <c r="HRK147" s="24"/>
      <c r="HRL147" s="24"/>
      <c r="HRM147" s="24"/>
      <c r="HRN147" s="24"/>
      <c r="HRO147" s="24"/>
      <c r="HRP147" s="24"/>
      <c r="HRQ147" s="24"/>
      <c r="HRR147" s="24"/>
      <c r="HRS147" s="24"/>
      <c r="HRT147" s="24"/>
      <c r="HRU147" s="24"/>
      <c r="HRV147" s="24"/>
      <c r="HRW147" s="24"/>
      <c r="HRX147" s="24"/>
      <c r="HRY147" s="24"/>
      <c r="HRZ147" s="24"/>
      <c r="HSA147" s="24"/>
      <c r="HSB147" s="24"/>
      <c r="HSC147" s="24"/>
      <c r="HSD147" s="24"/>
      <c r="HSE147" s="24"/>
      <c r="HSF147" s="24"/>
      <c r="HSG147" s="24"/>
      <c r="HSH147" s="24"/>
      <c r="HSI147" s="24"/>
      <c r="HSJ147" s="24"/>
      <c r="HSK147" s="24"/>
      <c r="HSL147" s="24"/>
      <c r="HSM147" s="24"/>
      <c r="HSN147" s="24"/>
      <c r="HSO147" s="24"/>
      <c r="HSP147" s="24"/>
      <c r="HSQ147" s="24"/>
      <c r="HSR147" s="24"/>
      <c r="HSS147" s="24"/>
      <c r="HST147" s="24"/>
      <c r="HSU147" s="24"/>
      <c r="HSV147" s="24"/>
      <c r="HSW147" s="24"/>
      <c r="HSX147" s="24"/>
      <c r="HSY147" s="24"/>
      <c r="HSZ147" s="24"/>
      <c r="HTA147" s="24"/>
      <c r="HTB147" s="24"/>
      <c r="HTC147" s="24"/>
      <c r="HTD147" s="24"/>
      <c r="HTE147" s="24"/>
      <c r="HTF147" s="24"/>
      <c r="HTG147" s="24"/>
      <c r="HTH147" s="24"/>
      <c r="HTI147" s="24"/>
      <c r="HTJ147" s="24"/>
      <c r="HTK147" s="24"/>
      <c r="HTL147" s="24"/>
      <c r="HTM147" s="24"/>
      <c r="HTN147" s="24"/>
      <c r="HTO147" s="24"/>
      <c r="HTP147" s="24"/>
      <c r="HTQ147" s="24"/>
      <c r="HTR147" s="24"/>
      <c r="HTS147" s="24"/>
      <c r="HTT147" s="24"/>
      <c r="HTU147" s="24"/>
      <c r="HTV147" s="24"/>
      <c r="HTW147" s="24"/>
      <c r="HTX147" s="24"/>
      <c r="HTY147" s="24"/>
      <c r="HTZ147" s="24"/>
      <c r="HUA147" s="24"/>
      <c r="HUB147" s="24"/>
      <c r="HUC147" s="24"/>
      <c r="HUD147" s="24"/>
      <c r="HUE147" s="24"/>
      <c r="HUF147" s="24"/>
      <c r="HUG147" s="24"/>
      <c r="HUH147" s="24"/>
      <c r="HUI147" s="24"/>
      <c r="HUJ147" s="24"/>
      <c r="HUK147" s="24"/>
      <c r="HUL147" s="24"/>
      <c r="HUM147" s="24"/>
      <c r="HUN147" s="24"/>
      <c r="HUO147" s="24"/>
      <c r="HUP147" s="24"/>
      <c r="HUQ147" s="24"/>
      <c r="HUR147" s="24"/>
      <c r="HUS147" s="24"/>
      <c r="HUT147" s="24"/>
      <c r="HUU147" s="24"/>
      <c r="HUV147" s="24"/>
      <c r="HUW147" s="24"/>
      <c r="HUX147" s="24"/>
      <c r="HUY147" s="24"/>
      <c r="HUZ147" s="24"/>
      <c r="HVA147" s="24"/>
      <c r="HVB147" s="24"/>
      <c r="HVC147" s="24"/>
      <c r="HVD147" s="24"/>
      <c r="HVE147" s="24"/>
      <c r="HVF147" s="24"/>
      <c r="HVG147" s="24"/>
      <c r="HVH147" s="24"/>
      <c r="HVI147" s="24"/>
      <c r="HVJ147" s="24"/>
      <c r="HVK147" s="24"/>
      <c r="HVL147" s="24"/>
      <c r="HVM147" s="24"/>
      <c r="HVN147" s="24"/>
      <c r="HVO147" s="24"/>
      <c r="HVP147" s="24"/>
      <c r="HVQ147" s="24"/>
      <c r="HVR147" s="24"/>
      <c r="HVS147" s="24"/>
      <c r="HVT147" s="24"/>
      <c r="HVU147" s="24"/>
      <c r="HVV147" s="24"/>
      <c r="HVW147" s="24"/>
      <c r="HVX147" s="24"/>
      <c r="HVY147" s="24"/>
      <c r="HVZ147" s="24"/>
      <c r="HWA147" s="24"/>
      <c r="HWB147" s="24"/>
      <c r="HWC147" s="24"/>
      <c r="HWD147" s="24"/>
      <c r="HWE147" s="24"/>
      <c r="HWF147" s="24"/>
      <c r="HWG147" s="24"/>
      <c r="HWH147" s="24"/>
      <c r="HWI147" s="24"/>
      <c r="HWJ147" s="24"/>
      <c r="HWK147" s="24"/>
      <c r="HWL147" s="24"/>
      <c r="HWM147" s="24"/>
      <c r="HWN147" s="24"/>
      <c r="HWO147" s="24"/>
      <c r="HWP147" s="24"/>
      <c r="HWQ147" s="24"/>
      <c r="HWR147" s="24"/>
      <c r="HWS147" s="24"/>
      <c r="HWT147" s="24"/>
      <c r="HWU147" s="24"/>
      <c r="HWV147" s="24"/>
      <c r="HWW147" s="24"/>
      <c r="HWX147" s="24"/>
      <c r="HWY147" s="24"/>
      <c r="HWZ147" s="24"/>
      <c r="HXA147" s="24"/>
      <c r="HXB147" s="24"/>
      <c r="HXC147" s="24"/>
      <c r="HXD147" s="24"/>
      <c r="HXE147" s="24"/>
      <c r="HXF147" s="24"/>
      <c r="HXG147" s="24"/>
      <c r="HXH147" s="24"/>
      <c r="HXI147" s="24"/>
      <c r="HXJ147" s="24"/>
      <c r="HXK147" s="24"/>
      <c r="HXL147" s="24"/>
      <c r="HXM147" s="24"/>
      <c r="HXN147" s="24"/>
      <c r="HXO147" s="24"/>
      <c r="HXP147" s="24"/>
      <c r="HXQ147" s="24"/>
      <c r="HXR147" s="24"/>
      <c r="HXS147" s="24"/>
      <c r="HXT147" s="24"/>
      <c r="HXU147" s="24"/>
      <c r="HXV147" s="24"/>
      <c r="HXW147" s="24"/>
      <c r="HXX147" s="24"/>
      <c r="HXY147" s="24"/>
      <c r="HXZ147" s="24"/>
      <c r="HYA147" s="24"/>
      <c r="HYB147" s="24"/>
      <c r="HYC147" s="24"/>
      <c r="HYD147" s="24"/>
      <c r="HYE147" s="24"/>
      <c r="HYF147" s="24"/>
      <c r="HYG147" s="24"/>
      <c r="HYH147" s="24"/>
      <c r="HYI147" s="24"/>
      <c r="HYJ147" s="24"/>
      <c r="HYK147" s="24"/>
      <c r="HYL147" s="24"/>
      <c r="HYM147" s="24"/>
      <c r="HYN147" s="24"/>
      <c r="HYO147" s="24"/>
      <c r="HYP147" s="24"/>
      <c r="HYQ147" s="24"/>
      <c r="HYR147" s="24"/>
      <c r="HYS147" s="24"/>
      <c r="HYT147" s="24"/>
      <c r="HYU147" s="24"/>
      <c r="HYV147" s="24"/>
      <c r="HYW147" s="24"/>
      <c r="HYX147" s="24"/>
      <c r="HYY147" s="24"/>
      <c r="HYZ147" s="24"/>
      <c r="HZA147" s="24"/>
      <c r="HZB147" s="24"/>
      <c r="HZC147" s="24"/>
      <c r="HZD147" s="24"/>
      <c r="HZE147" s="24"/>
      <c r="HZF147" s="24"/>
      <c r="HZG147" s="24"/>
      <c r="HZH147" s="24"/>
      <c r="HZI147" s="24"/>
      <c r="HZJ147" s="24"/>
      <c r="HZK147" s="24"/>
      <c r="HZL147" s="24"/>
      <c r="HZM147" s="24"/>
      <c r="HZN147" s="24"/>
      <c r="HZO147" s="24"/>
      <c r="HZP147" s="24"/>
      <c r="HZQ147" s="24"/>
      <c r="HZR147" s="24"/>
      <c r="HZS147" s="24"/>
      <c r="HZT147" s="24"/>
      <c r="HZU147" s="24"/>
      <c r="HZV147" s="24"/>
      <c r="HZW147" s="24"/>
      <c r="HZX147" s="24"/>
      <c r="HZY147" s="24"/>
      <c r="HZZ147" s="24"/>
      <c r="IAA147" s="24"/>
      <c r="IAB147" s="24"/>
      <c r="IAC147" s="24"/>
      <c r="IAD147" s="24"/>
      <c r="IAE147" s="24"/>
      <c r="IAF147" s="24"/>
      <c r="IAG147" s="24"/>
      <c r="IAH147" s="24"/>
      <c r="IAI147" s="24"/>
      <c r="IAJ147" s="24"/>
      <c r="IAK147" s="24"/>
      <c r="IAL147" s="24"/>
      <c r="IAM147" s="24"/>
      <c r="IAN147" s="24"/>
      <c r="IAO147" s="24"/>
      <c r="IAP147" s="24"/>
      <c r="IAQ147" s="24"/>
      <c r="IAR147" s="24"/>
      <c r="IAS147" s="24"/>
      <c r="IAT147" s="24"/>
      <c r="IAU147" s="24"/>
      <c r="IAV147" s="24"/>
      <c r="IAW147" s="24"/>
      <c r="IAX147" s="24"/>
      <c r="IAY147" s="24"/>
      <c r="IAZ147" s="24"/>
      <c r="IBA147" s="24"/>
      <c r="IBB147" s="24"/>
      <c r="IBC147" s="24"/>
      <c r="IBD147" s="24"/>
      <c r="IBE147" s="24"/>
      <c r="IBF147" s="24"/>
      <c r="IBG147" s="24"/>
      <c r="IBH147" s="24"/>
      <c r="IBI147" s="24"/>
      <c r="IBJ147" s="24"/>
      <c r="IBK147" s="24"/>
      <c r="IBL147" s="24"/>
      <c r="IBM147" s="24"/>
      <c r="IBN147" s="24"/>
      <c r="IBO147" s="24"/>
      <c r="IBP147" s="24"/>
      <c r="IBQ147" s="24"/>
      <c r="IBR147" s="24"/>
      <c r="IBS147" s="24"/>
      <c r="IBT147" s="24"/>
      <c r="IBU147" s="24"/>
      <c r="IBV147" s="24"/>
      <c r="IBW147" s="24"/>
      <c r="IBX147" s="24"/>
      <c r="IBY147" s="24"/>
      <c r="IBZ147" s="24"/>
      <c r="ICA147" s="24"/>
      <c r="ICB147" s="24"/>
      <c r="ICC147" s="24"/>
      <c r="ICD147" s="24"/>
      <c r="ICE147" s="24"/>
      <c r="ICF147" s="24"/>
      <c r="ICG147" s="24"/>
      <c r="ICH147" s="24"/>
      <c r="ICI147" s="24"/>
      <c r="ICJ147" s="24"/>
      <c r="ICK147" s="24"/>
      <c r="ICL147" s="24"/>
      <c r="ICM147" s="24"/>
      <c r="ICN147" s="24"/>
      <c r="ICO147" s="24"/>
      <c r="ICP147" s="24"/>
      <c r="ICQ147" s="24"/>
      <c r="ICR147" s="24"/>
      <c r="ICS147" s="24"/>
      <c r="ICT147" s="24"/>
      <c r="ICU147" s="24"/>
      <c r="ICV147" s="24"/>
      <c r="ICW147" s="24"/>
      <c r="ICX147" s="24"/>
      <c r="ICY147" s="24"/>
      <c r="ICZ147" s="24"/>
      <c r="IDA147" s="24"/>
      <c r="IDB147" s="24"/>
      <c r="IDC147" s="24"/>
      <c r="IDD147" s="24"/>
      <c r="IDE147" s="24"/>
      <c r="IDF147" s="24"/>
      <c r="IDG147" s="24"/>
      <c r="IDH147" s="24"/>
      <c r="IDI147" s="24"/>
      <c r="IDJ147" s="24"/>
      <c r="IDK147" s="24"/>
      <c r="IDL147" s="24"/>
      <c r="IDM147" s="24"/>
      <c r="IDN147" s="24"/>
      <c r="IDO147" s="24"/>
      <c r="IDP147" s="24"/>
      <c r="IDQ147" s="24"/>
      <c r="IDR147" s="24"/>
      <c r="IDS147" s="24"/>
      <c r="IDT147" s="24"/>
      <c r="IDU147" s="24"/>
      <c r="IDV147" s="24"/>
      <c r="IDW147" s="24"/>
      <c r="IDX147" s="24"/>
      <c r="IDY147" s="24"/>
      <c r="IDZ147" s="24"/>
      <c r="IEA147" s="24"/>
      <c r="IEB147" s="24"/>
      <c r="IEC147" s="24"/>
      <c r="IED147" s="24"/>
      <c r="IEE147" s="24"/>
      <c r="IEF147" s="24"/>
      <c r="IEG147" s="24"/>
      <c r="IEH147" s="24"/>
      <c r="IEI147" s="24"/>
      <c r="IEJ147" s="24"/>
      <c r="IEK147" s="24"/>
      <c r="IEL147" s="24"/>
      <c r="IEM147" s="24"/>
      <c r="IEN147" s="24"/>
      <c r="IEO147" s="24"/>
      <c r="IEP147" s="24"/>
      <c r="IEQ147" s="24"/>
      <c r="IER147" s="24"/>
      <c r="IES147" s="24"/>
      <c r="IET147" s="24"/>
      <c r="IEU147" s="24"/>
      <c r="IEV147" s="24"/>
      <c r="IEW147" s="24"/>
      <c r="IEX147" s="24"/>
      <c r="IEY147" s="24"/>
      <c r="IEZ147" s="24"/>
      <c r="IFA147" s="24"/>
      <c r="IFB147" s="24"/>
      <c r="IFC147" s="24"/>
      <c r="IFD147" s="24"/>
      <c r="IFE147" s="24"/>
      <c r="IFF147" s="24"/>
      <c r="IFG147" s="24"/>
      <c r="IFH147" s="24"/>
      <c r="IFI147" s="24"/>
      <c r="IFJ147" s="24"/>
      <c r="IFK147" s="24"/>
      <c r="IFL147" s="24"/>
      <c r="IFM147" s="24"/>
      <c r="IFN147" s="24"/>
      <c r="IFO147" s="24"/>
      <c r="IFP147" s="24"/>
      <c r="IFQ147" s="24"/>
      <c r="IFR147" s="24"/>
      <c r="IFS147" s="24"/>
      <c r="IFT147" s="24"/>
      <c r="IFU147" s="24"/>
      <c r="IFV147" s="24"/>
      <c r="IFW147" s="24"/>
      <c r="IFX147" s="24"/>
      <c r="IFY147" s="24"/>
      <c r="IFZ147" s="24"/>
      <c r="IGA147" s="24"/>
      <c r="IGB147" s="24"/>
      <c r="IGC147" s="24"/>
      <c r="IGD147" s="24"/>
      <c r="IGE147" s="24"/>
      <c r="IGF147" s="24"/>
      <c r="IGG147" s="24"/>
      <c r="IGH147" s="24"/>
      <c r="IGI147" s="24"/>
      <c r="IGJ147" s="24"/>
      <c r="IGK147" s="24"/>
      <c r="IGL147" s="24"/>
      <c r="IGM147" s="24"/>
      <c r="IGN147" s="24"/>
      <c r="IGO147" s="24"/>
      <c r="IGP147" s="24"/>
      <c r="IGQ147" s="24"/>
      <c r="IGR147" s="24"/>
      <c r="IGS147" s="24"/>
      <c r="IGT147" s="24"/>
      <c r="IGU147" s="24"/>
      <c r="IGV147" s="24"/>
      <c r="IGW147" s="24"/>
      <c r="IGX147" s="24"/>
      <c r="IGY147" s="24"/>
      <c r="IGZ147" s="24"/>
      <c r="IHA147" s="24"/>
      <c r="IHB147" s="24"/>
      <c r="IHC147" s="24"/>
      <c r="IHD147" s="24"/>
      <c r="IHE147" s="24"/>
      <c r="IHF147" s="24"/>
      <c r="IHG147" s="24"/>
      <c r="IHH147" s="24"/>
      <c r="IHI147" s="24"/>
      <c r="IHJ147" s="24"/>
      <c r="IHK147" s="24"/>
      <c r="IHL147" s="24"/>
      <c r="IHM147" s="24"/>
      <c r="IHN147" s="24"/>
      <c r="IHO147" s="24"/>
      <c r="IHP147" s="24"/>
      <c r="IHQ147" s="24"/>
      <c r="IHR147" s="24"/>
      <c r="IHS147" s="24"/>
      <c r="IHT147" s="24"/>
      <c r="IHU147" s="24"/>
      <c r="IHV147" s="24"/>
      <c r="IHW147" s="24"/>
      <c r="IHX147" s="24"/>
      <c r="IHY147" s="24"/>
      <c r="IHZ147" s="24"/>
      <c r="IIA147" s="24"/>
      <c r="IIB147" s="24"/>
      <c r="IIC147" s="24"/>
      <c r="IID147" s="24"/>
      <c r="IIE147" s="24"/>
      <c r="IIF147" s="24"/>
      <c r="IIG147" s="24"/>
      <c r="IIH147" s="24"/>
      <c r="III147" s="24"/>
      <c r="IIJ147" s="24"/>
      <c r="IIK147" s="24"/>
      <c r="IIL147" s="24"/>
      <c r="IIM147" s="24"/>
      <c r="IIN147" s="24"/>
      <c r="IIO147" s="24"/>
      <c r="IIP147" s="24"/>
      <c r="IIQ147" s="24"/>
      <c r="IIR147" s="24"/>
      <c r="IIS147" s="24"/>
      <c r="IIT147" s="24"/>
      <c r="IIU147" s="24"/>
      <c r="IIV147" s="24"/>
      <c r="IIW147" s="24"/>
      <c r="IIX147" s="24"/>
      <c r="IIY147" s="24"/>
      <c r="IIZ147" s="24"/>
      <c r="IJA147" s="24"/>
      <c r="IJB147" s="24"/>
      <c r="IJC147" s="24"/>
      <c r="IJD147" s="24"/>
      <c r="IJE147" s="24"/>
      <c r="IJF147" s="24"/>
      <c r="IJG147" s="24"/>
      <c r="IJH147" s="24"/>
      <c r="IJI147" s="24"/>
      <c r="IJJ147" s="24"/>
      <c r="IJK147" s="24"/>
      <c r="IJL147" s="24"/>
      <c r="IJM147" s="24"/>
      <c r="IJN147" s="24"/>
      <c r="IJO147" s="24"/>
      <c r="IJP147" s="24"/>
      <c r="IJQ147" s="24"/>
      <c r="IJR147" s="24"/>
      <c r="IJS147" s="24"/>
      <c r="IJT147" s="24"/>
      <c r="IJU147" s="24"/>
      <c r="IJV147" s="24"/>
      <c r="IJW147" s="24"/>
      <c r="IJX147" s="24"/>
      <c r="IJY147" s="24"/>
      <c r="IJZ147" s="24"/>
      <c r="IKA147" s="24"/>
      <c r="IKB147" s="24"/>
      <c r="IKC147" s="24"/>
      <c r="IKD147" s="24"/>
      <c r="IKE147" s="24"/>
      <c r="IKF147" s="24"/>
      <c r="IKG147" s="24"/>
      <c r="IKH147" s="24"/>
      <c r="IKI147" s="24"/>
      <c r="IKJ147" s="24"/>
      <c r="IKK147" s="24"/>
      <c r="IKL147" s="24"/>
      <c r="IKM147" s="24"/>
      <c r="IKN147" s="24"/>
      <c r="IKO147" s="24"/>
      <c r="IKP147" s="24"/>
      <c r="IKQ147" s="24"/>
      <c r="IKR147" s="24"/>
      <c r="IKS147" s="24"/>
      <c r="IKT147" s="24"/>
      <c r="IKU147" s="24"/>
      <c r="IKV147" s="24"/>
      <c r="IKW147" s="24"/>
      <c r="IKX147" s="24"/>
      <c r="IKY147" s="24"/>
      <c r="IKZ147" s="24"/>
      <c r="ILA147" s="24"/>
      <c r="ILB147" s="24"/>
      <c r="ILC147" s="24"/>
      <c r="ILD147" s="24"/>
      <c r="ILE147" s="24"/>
      <c r="ILF147" s="24"/>
      <c r="ILG147" s="24"/>
      <c r="ILH147" s="24"/>
      <c r="ILI147" s="24"/>
      <c r="ILJ147" s="24"/>
      <c r="ILK147" s="24"/>
      <c r="ILL147" s="24"/>
      <c r="ILM147" s="24"/>
      <c r="ILN147" s="24"/>
      <c r="ILO147" s="24"/>
      <c r="ILP147" s="24"/>
      <c r="ILQ147" s="24"/>
      <c r="ILR147" s="24"/>
      <c r="ILS147" s="24"/>
      <c r="ILT147" s="24"/>
      <c r="ILU147" s="24"/>
      <c r="ILV147" s="24"/>
      <c r="ILW147" s="24"/>
      <c r="ILX147" s="24"/>
      <c r="ILY147" s="24"/>
      <c r="ILZ147" s="24"/>
      <c r="IMA147" s="24"/>
      <c r="IMB147" s="24"/>
      <c r="IMC147" s="24"/>
      <c r="IMD147" s="24"/>
      <c r="IME147" s="24"/>
      <c r="IMF147" s="24"/>
      <c r="IMG147" s="24"/>
      <c r="IMH147" s="24"/>
      <c r="IMI147" s="24"/>
      <c r="IMJ147" s="24"/>
      <c r="IMK147" s="24"/>
      <c r="IML147" s="24"/>
      <c r="IMM147" s="24"/>
      <c r="IMN147" s="24"/>
      <c r="IMO147" s="24"/>
      <c r="IMP147" s="24"/>
      <c r="IMQ147" s="24"/>
      <c r="IMR147" s="24"/>
      <c r="IMS147" s="24"/>
      <c r="IMT147" s="24"/>
      <c r="IMU147" s="24"/>
      <c r="IMV147" s="24"/>
      <c r="IMW147" s="24"/>
      <c r="IMX147" s="24"/>
      <c r="IMY147" s="24"/>
      <c r="IMZ147" s="24"/>
      <c r="INA147" s="24"/>
      <c r="INB147" s="24"/>
      <c r="INC147" s="24"/>
      <c r="IND147" s="24"/>
      <c r="INE147" s="24"/>
      <c r="INF147" s="24"/>
      <c r="ING147" s="24"/>
      <c r="INH147" s="24"/>
      <c r="INI147" s="24"/>
      <c r="INJ147" s="24"/>
      <c r="INK147" s="24"/>
      <c r="INL147" s="24"/>
      <c r="INM147" s="24"/>
      <c r="INN147" s="24"/>
      <c r="INO147" s="24"/>
      <c r="INP147" s="24"/>
      <c r="INQ147" s="24"/>
      <c r="INR147" s="24"/>
      <c r="INS147" s="24"/>
      <c r="INT147" s="24"/>
      <c r="INU147" s="24"/>
      <c r="INV147" s="24"/>
      <c r="INW147" s="24"/>
      <c r="INX147" s="24"/>
      <c r="INY147" s="24"/>
      <c r="INZ147" s="24"/>
      <c r="IOA147" s="24"/>
      <c r="IOB147" s="24"/>
      <c r="IOC147" s="24"/>
      <c r="IOD147" s="24"/>
      <c r="IOE147" s="24"/>
      <c r="IOF147" s="24"/>
      <c r="IOG147" s="24"/>
      <c r="IOH147" s="24"/>
      <c r="IOI147" s="24"/>
      <c r="IOJ147" s="24"/>
      <c r="IOK147" s="24"/>
      <c r="IOL147" s="24"/>
      <c r="IOM147" s="24"/>
      <c r="ION147" s="24"/>
      <c r="IOO147" s="24"/>
      <c r="IOP147" s="24"/>
      <c r="IOQ147" s="24"/>
      <c r="IOR147" s="24"/>
      <c r="IOS147" s="24"/>
      <c r="IOT147" s="24"/>
      <c r="IOU147" s="24"/>
      <c r="IOV147" s="24"/>
      <c r="IOW147" s="24"/>
      <c r="IOX147" s="24"/>
      <c r="IOY147" s="24"/>
      <c r="IOZ147" s="24"/>
      <c r="IPA147" s="24"/>
      <c r="IPB147" s="24"/>
      <c r="IPC147" s="24"/>
      <c r="IPD147" s="24"/>
      <c r="IPE147" s="24"/>
      <c r="IPF147" s="24"/>
      <c r="IPG147" s="24"/>
      <c r="IPH147" s="24"/>
      <c r="IPI147" s="24"/>
      <c r="IPJ147" s="24"/>
      <c r="IPK147" s="24"/>
      <c r="IPL147" s="24"/>
      <c r="IPM147" s="24"/>
      <c r="IPN147" s="24"/>
      <c r="IPO147" s="24"/>
      <c r="IPP147" s="24"/>
      <c r="IPQ147" s="24"/>
      <c r="IPR147" s="24"/>
      <c r="IPS147" s="24"/>
      <c r="IPT147" s="24"/>
      <c r="IPU147" s="24"/>
      <c r="IPV147" s="24"/>
      <c r="IPW147" s="24"/>
      <c r="IPX147" s="24"/>
      <c r="IPY147" s="24"/>
      <c r="IPZ147" s="24"/>
      <c r="IQA147" s="24"/>
      <c r="IQB147" s="24"/>
      <c r="IQC147" s="24"/>
      <c r="IQD147" s="24"/>
      <c r="IQE147" s="24"/>
      <c r="IQF147" s="24"/>
      <c r="IQG147" s="24"/>
      <c r="IQH147" s="24"/>
      <c r="IQI147" s="24"/>
      <c r="IQJ147" s="24"/>
      <c r="IQK147" s="24"/>
      <c r="IQL147" s="24"/>
      <c r="IQM147" s="24"/>
      <c r="IQN147" s="24"/>
      <c r="IQO147" s="24"/>
      <c r="IQP147" s="24"/>
      <c r="IQQ147" s="24"/>
      <c r="IQR147" s="24"/>
      <c r="IQS147" s="24"/>
      <c r="IQT147" s="24"/>
      <c r="IQU147" s="24"/>
      <c r="IQV147" s="24"/>
      <c r="IQW147" s="24"/>
      <c r="IQX147" s="24"/>
      <c r="IQY147" s="24"/>
      <c r="IQZ147" s="24"/>
      <c r="IRA147" s="24"/>
      <c r="IRB147" s="24"/>
      <c r="IRC147" s="24"/>
      <c r="IRD147" s="24"/>
      <c r="IRE147" s="24"/>
      <c r="IRF147" s="24"/>
      <c r="IRG147" s="24"/>
      <c r="IRH147" s="24"/>
      <c r="IRI147" s="24"/>
      <c r="IRJ147" s="24"/>
      <c r="IRK147" s="24"/>
      <c r="IRL147" s="24"/>
      <c r="IRM147" s="24"/>
      <c r="IRN147" s="24"/>
      <c r="IRO147" s="24"/>
      <c r="IRP147" s="24"/>
      <c r="IRQ147" s="24"/>
      <c r="IRR147" s="24"/>
      <c r="IRS147" s="24"/>
      <c r="IRT147" s="24"/>
      <c r="IRU147" s="24"/>
      <c r="IRV147" s="24"/>
      <c r="IRW147" s="24"/>
      <c r="IRX147" s="24"/>
      <c r="IRY147" s="24"/>
      <c r="IRZ147" s="24"/>
      <c r="ISA147" s="24"/>
      <c r="ISB147" s="24"/>
      <c r="ISC147" s="24"/>
      <c r="ISD147" s="24"/>
      <c r="ISE147" s="24"/>
      <c r="ISF147" s="24"/>
      <c r="ISG147" s="24"/>
      <c r="ISH147" s="24"/>
      <c r="ISI147" s="24"/>
      <c r="ISJ147" s="24"/>
      <c r="ISK147" s="24"/>
      <c r="ISL147" s="24"/>
      <c r="ISM147" s="24"/>
      <c r="ISN147" s="24"/>
      <c r="ISO147" s="24"/>
      <c r="ISP147" s="24"/>
      <c r="ISQ147" s="24"/>
      <c r="ISR147" s="24"/>
      <c r="ISS147" s="24"/>
      <c r="IST147" s="24"/>
      <c r="ISU147" s="24"/>
      <c r="ISV147" s="24"/>
      <c r="ISW147" s="24"/>
      <c r="ISX147" s="24"/>
      <c r="ISY147" s="24"/>
      <c r="ISZ147" s="24"/>
      <c r="ITA147" s="24"/>
      <c r="ITB147" s="24"/>
      <c r="ITC147" s="24"/>
      <c r="ITD147" s="24"/>
      <c r="ITE147" s="24"/>
      <c r="ITF147" s="24"/>
      <c r="ITG147" s="24"/>
      <c r="ITH147" s="24"/>
      <c r="ITI147" s="24"/>
      <c r="ITJ147" s="24"/>
      <c r="ITK147" s="24"/>
      <c r="ITL147" s="24"/>
      <c r="ITM147" s="24"/>
      <c r="ITN147" s="24"/>
      <c r="ITO147" s="24"/>
      <c r="ITP147" s="24"/>
      <c r="ITQ147" s="24"/>
      <c r="ITR147" s="24"/>
      <c r="ITS147" s="24"/>
      <c r="ITT147" s="24"/>
      <c r="ITU147" s="24"/>
      <c r="ITV147" s="24"/>
      <c r="ITW147" s="24"/>
      <c r="ITX147" s="24"/>
      <c r="ITY147" s="24"/>
      <c r="ITZ147" s="24"/>
      <c r="IUA147" s="24"/>
      <c r="IUB147" s="24"/>
      <c r="IUC147" s="24"/>
      <c r="IUD147" s="24"/>
      <c r="IUE147" s="24"/>
      <c r="IUF147" s="24"/>
      <c r="IUG147" s="24"/>
      <c r="IUH147" s="24"/>
      <c r="IUI147" s="24"/>
      <c r="IUJ147" s="24"/>
      <c r="IUK147" s="24"/>
      <c r="IUL147" s="24"/>
      <c r="IUM147" s="24"/>
      <c r="IUN147" s="24"/>
      <c r="IUO147" s="24"/>
      <c r="IUP147" s="24"/>
      <c r="IUQ147" s="24"/>
      <c r="IUR147" s="24"/>
      <c r="IUS147" s="24"/>
      <c r="IUT147" s="24"/>
      <c r="IUU147" s="24"/>
      <c r="IUV147" s="24"/>
      <c r="IUW147" s="24"/>
      <c r="IUX147" s="24"/>
      <c r="IUY147" s="24"/>
      <c r="IUZ147" s="24"/>
      <c r="IVA147" s="24"/>
      <c r="IVB147" s="24"/>
      <c r="IVC147" s="24"/>
      <c r="IVD147" s="24"/>
      <c r="IVE147" s="24"/>
      <c r="IVF147" s="24"/>
      <c r="IVG147" s="24"/>
      <c r="IVH147" s="24"/>
      <c r="IVI147" s="24"/>
      <c r="IVJ147" s="24"/>
      <c r="IVK147" s="24"/>
      <c r="IVL147" s="24"/>
      <c r="IVM147" s="24"/>
      <c r="IVN147" s="24"/>
      <c r="IVO147" s="24"/>
      <c r="IVP147" s="24"/>
      <c r="IVQ147" s="24"/>
      <c r="IVR147" s="24"/>
      <c r="IVS147" s="24"/>
      <c r="IVT147" s="24"/>
      <c r="IVU147" s="24"/>
      <c r="IVV147" s="24"/>
      <c r="IVW147" s="24"/>
      <c r="IVX147" s="24"/>
      <c r="IVY147" s="24"/>
      <c r="IVZ147" s="24"/>
      <c r="IWA147" s="24"/>
      <c r="IWB147" s="24"/>
      <c r="IWC147" s="24"/>
      <c r="IWD147" s="24"/>
      <c r="IWE147" s="24"/>
      <c r="IWF147" s="24"/>
      <c r="IWG147" s="24"/>
      <c r="IWH147" s="24"/>
      <c r="IWI147" s="24"/>
      <c r="IWJ147" s="24"/>
      <c r="IWK147" s="24"/>
      <c r="IWL147" s="24"/>
      <c r="IWM147" s="24"/>
      <c r="IWN147" s="24"/>
      <c r="IWO147" s="24"/>
      <c r="IWP147" s="24"/>
      <c r="IWQ147" s="24"/>
      <c r="IWR147" s="24"/>
      <c r="IWS147" s="24"/>
      <c r="IWT147" s="24"/>
      <c r="IWU147" s="24"/>
      <c r="IWV147" s="24"/>
      <c r="IWW147" s="24"/>
      <c r="IWX147" s="24"/>
      <c r="IWY147" s="24"/>
      <c r="IWZ147" s="24"/>
      <c r="IXA147" s="24"/>
      <c r="IXB147" s="24"/>
      <c r="IXC147" s="24"/>
      <c r="IXD147" s="24"/>
      <c r="IXE147" s="24"/>
      <c r="IXF147" s="24"/>
      <c r="IXG147" s="24"/>
      <c r="IXH147" s="24"/>
      <c r="IXI147" s="24"/>
      <c r="IXJ147" s="24"/>
      <c r="IXK147" s="24"/>
      <c r="IXL147" s="24"/>
      <c r="IXM147" s="24"/>
      <c r="IXN147" s="24"/>
      <c r="IXO147" s="24"/>
      <c r="IXP147" s="24"/>
      <c r="IXQ147" s="24"/>
      <c r="IXR147" s="24"/>
      <c r="IXS147" s="24"/>
      <c r="IXT147" s="24"/>
      <c r="IXU147" s="24"/>
      <c r="IXV147" s="24"/>
      <c r="IXW147" s="24"/>
      <c r="IXX147" s="24"/>
      <c r="IXY147" s="24"/>
      <c r="IXZ147" s="24"/>
      <c r="IYA147" s="24"/>
      <c r="IYB147" s="24"/>
      <c r="IYC147" s="24"/>
      <c r="IYD147" s="24"/>
      <c r="IYE147" s="24"/>
      <c r="IYF147" s="24"/>
      <c r="IYG147" s="24"/>
      <c r="IYH147" s="24"/>
      <c r="IYI147" s="24"/>
      <c r="IYJ147" s="24"/>
      <c r="IYK147" s="24"/>
      <c r="IYL147" s="24"/>
      <c r="IYM147" s="24"/>
      <c r="IYN147" s="24"/>
      <c r="IYO147" s="24"/>
      <c r="IYP147" s="24"/>
      <c r="IYQ147" s="24"/>
      <c r="IYR147" s="24"/>
      <c r="IYS147" s="24"/>
      <c r="IYT147" s="24"/>
      <c r="IYU147" s="24"/>
      <c r="IYV147" s="24"/>
      <c r="IYW147" s="24"/>
      <c r="IYX147" s="24"/>
      <c r="IYY147" s="24"/>
      <c r="IYZ147" s="24"/>
      <c r="IZA147" s="24"/>
      <c r="IZB147" s="24"/>
      <c r="IZC147" s="24"/>
      <c r="IZD147" s="24"/>
      <c r="IZE147" s="24"/>
      <c r="IZF147" s="24"/>
      <c r="IZG147" s="24"/>
      <c r="IZH147" s="24"/>
      <c r="IZI147" s="24"/>
      <c r="IZJ147" s="24"/>
      <c r="IZK147" s="24"/>
      <c r="IZL147" s="24"/>
      <c r="IZM147" s="24"/>
      <c r="IZN147" s="24"/>
      <c r="IZO147" s="24"/>
      <c r="IZP147" s="24"/>
      <c r="IZQ147" s="24"/>
      <c r="IZR147" s="24"/>
      <c r="IZS147" s="24"/>
      <c r="IZT147" s="24"/>
      <c r="IZU147" s="24"/>
      <c r="IZV147" s="24"/>
      <c r="IZW147" s="24"/>
      <c r="IZX147" s="24"/>
      <c r="IZY147" s="24"/>
      <c r="IZZ147" s="24"/>
      <c r="JAA147" s="24"/>
      <c r="JAB147" s="24"/>
      <c r="JAC147" s="24"/>
      <c r="JAD147" s="24"/>
      <c r="JAE147" s="24"/>
      <c r="JAF147" s="24"/>
      <c r="JAG147" s="24"/>
      <c r="JAH147" s="24"/>
      <c r="JAI147" s="24"/>
      <c r="JAJ147" s="24"/>
      <c r="JAK147" s="24"/>
      <c r="JAL147" s="24"/>
      <c r="JAM147" s="24"/>
      <c r="JAN147" s="24"/>
      <c r="JAO147" s="24"/>
      <c r="JAP147" s="24"/>
      <c r="JAQ147" s="24"/>
      <c r="JAR147" s="24"/>
      <c r="JAS147" s="24"/>
      <c r="JAT147" s="24"/>
      <c r="JAU147" s="24"/>
      <c r="JAV147" s="24"/>
      <c r="JAW147" s="24"/>
      <c r="JAX147" s="24"/>
      <c r="JAY147" s="24"/>
      <c r="JAZ147" s="24"/>
      <c r="JBA147" s="24"/>
      <c r="JBB147" s="24"/>
      <c r="JBC147" s="24"/>
      <c r="JBD147" s="24"/>
      <c r="JBE147" s="24"/>
      <c r="JBF147" s="24"/>
      <c r="JBG147" s="24"/>
      <c r="JBH147" s="24"/>
      <c r="JBI147" s="24"/>
      <c r="JBJ147" s="24"/>
      <c r="JBK147" s="24"/>
      <c r="JBL147" s="24"/>
      <c r="JBM147" s="24"/>
      <c r="JBN147" s="24"/>
      <c r="JBO147" s="24"/>
      <c r="JBP147" s="24"/>
      <c r="JBQ147" s="24"/>
      <c r="JBR147" s="24"/>
      <c r="JBS147" s="24"/>
      <c r="JBT147" s="24"/>
      <c r="JBU147" s="24"/>
      <c r="JBV147" s="24"/>
      <c r="JBW147" s="24"/>
      <c r="JBX147" s="24"/>
      <c r="JBY147" s="24"/>
      <c r="JBZ147" s="24"/>
      <c r="JCA147" s="24"/>
      <c r="JCB147" s="24"/>
      <c r="JCC147" s="24"/>
      <c r="JCD147" s="24"/>
      <c r="JCE147" s="24"/>
      <c r="JCF147" s="24"/>
      <c r="JCG147" s="24"/>
      <c r="JCH147" s="24"/>
      <c r="JCI147" s="24"/>
      <c r="JCJ147" s="24"/>
      <c r="JCK147" s="24"/>
      <c r="JCL147" s="24"/>
      <c r="JCM147" s="24"/>
      <c r="JCN147" s="24"/>
      <c r="JCO147" s="24"/>
      <c r="JCP147" s="24"/>
      <c r="JCQ147" s="24"/>
      <c r="JCR147" s="24"/>
      <c r="JCS147" s="24"/>
      <c r="JCT147" s="24"/>
      <c r="JCU147" s="24"/>
      <c r="JCV147" s="24"/>
      <c r="JCW147" s="24"/>
      <c r="JCX147" s="24"/>
      <c r="JCY147" s="24"/>
      <c r="JCZ147" s="24"/>
      <c r="JDA147" s="24"/>
      <c r="JDB147" s="24"/>
      <c r="JDC147" s="24"/>
      <c r="JDD147" s="24"/>
      <c r="JDE147" s="24"/>
      <c r="JDF147" s="24"/>
      <c r="JDG147" s="24"/>
      <c r="JDH147" s="24"/>
      <c r="JDI147" s="24"/>
      <c r="JDJ147" s="24"/>
      <c r="JDK147" s="24"/>
      <c r="JDL147" s="24"/>
      <c r="JDM147" s="24"/>
      <c r="JDN147" s="24"/>
      <c r="JDO147" s="24"/>
      <c r="JDP147" s="24"/>
      <c r="JDQ147" s="24"/>
      <c r="JDR147" s="24"/>
      <c r="JDS147" s="24"/>
      <c r="JDT147" s="24"/>
      <c r="JDU147" s="24"/>
      <c r="JDV147" s="24"/>
      <c r="JDW147" s="24"/>
      <c r="JDX147" s="24"/>
      <c r="JDY147" s="24"/>
      <c r="JDZ147" s="24"/>
      <c r="JEA147" s="24"/>
      <c r="JEB147" s="24"/>
      <c r="JEC147" s="24"/>
      <c r="JED147" s="24"/>
      <c r="JEE147" s="24"/>
      <c r="JEF147" s="24"/>
      <c r="JEG147" s="24"/>
      <c r="JEH147" s="24"/>
      <c r="JEI147" s="24"/>
      <c r="JEJ147" s="24"/>
      <c r="JEK147" s="24"/>
      <c r="JEL147" s="24"/>
      <c r="JEM147" s="24"/>
      <c r="JEN147" s="24"/>
      <c r="JEO147" s="24"/>
      <c r="JEP147" s="24"/>
      <c r="JEQ147" s="24"/>
      <c r="JER147" s="24"/>
      <c r="JES147" s="24"/>
      <c r="JET147" s="24"/>
      <c r="JEU147" s="24"/>
      <c r="JEV147" s="24"/>
      <c r="JEW147" s="24"/>
      <c r="JEX147" s="24"/>
      <c r="JEY147" s="24"/>
      <c r="JEZ147" s="24"/>
      <c r="JFA147" s="24"/>
      <c r="JFB147" s="24"/>
      <c r="JFC147" s="24"/>
      <c r="JFD147" s="24"/>
      <c r="JFE147" s="24"/>
      <c r="JFF147" s="24"/>
      <c r="JFG147" s="24"/>
      <c r="JFH147" s="24"/>
      <c r="JFI147" s="24"/>
      <c r="JFJ147" s="24"/>
      <c r="JFK147" s="24"/>
      <c r="JFL147" s="24"/>
      <c r="JFM147" s="24"/>
      <c r="JFN147" s="24"/>
      <c r="JFO147" s="24"/>
      <c r="JFP147" s="24"/>
      <c r="JFQ147" s="24"/>
      <c r="JFR147" s="24"/>
      <c r="JFS147" s="24"/>
      <c r="JFT147" s="24"/>
      <c r="JFU147" s="24"/>
      <c r="JFV147" s="24"/>
      <c r="JFW147" s="24"/>
      <c r="JFX147" s="24"/>
      <c r="JFY147" s="24"/>
      <c r="JFZ147" s="24"/>
      <c r="JGA147" s="24"/>
      <c r="JGB147" s="24"/>
      <c r="JGC147" s="24"/>
      <c r="JGD147" s="24"/>
      <c r="JGE147" s="24"/>
      <c r="JGF147" s="24"/>
      <c r="JGG147" s="24"/>
      <c r="JGH147" s="24"/>
      <c r="JGI147" s="24"/>
      <c r="JGJ147" s="24"/>
      <c r="JGK147" s="24"/>
      <c r="JGL147" s="24"/>
      <c r="JGM147" s="24"/>
      <c r="JGN147" s="24"/>
      <c r="JGO147" s="24"/>
      <c r="JGP147" s="24"/>
      <c r="JGQ147" s="24"/>
      <c r="JGR147" s="24"/>
      <c r="JGS147" s="24"/>
      <c r="JGT147" s="24"/>
      <c r="JGU147" s="24"/>
      <c r="JGV147" s="24"/>
      <c r="JGW147" s="24"/>
      <c r="JGX147" s="24"/>
      <c r="JGY147" s="24"/>
      <c r="JGZ147" s="24"/>
      <c r="JHA147" s="24"/>
      <c r="JHB147" s="24"/>
      <c r="JHC147" s="24"/>
      <c r="JHD147" s="24"/>
      <c r="JHE147" s="24"/>
      <c r="JHF147" s="24"/>
      <c r="JHG147" s="24"/>
      <c r="JHH147" s="24"/>
      <c r="JHI147" s="24"/>
      <c r="JHJ147" s="24"/>
      <c r="JHK147" s="24"/>
      <c r="JHL147" s="24"/>
      <c r="JHM147" s="24"/>
      <c r="JHN147" s="24"/>
      <c r="JHO147" s="24"/>
      <c r="JHP147" s="24"/>
      <c r="JHQ147" s="24"/>
      <c r="JHR147" s="24"/>
      <c r="JHS147" s="24"/>
      <c r="JHT147" s="24"/>
      <c r="JHU147" s="24"/>
      <c r="JHV147" s="24"/>
      <c r="JHW147" s="24"/>
      <c r="JHX147" s="24"/>
      <c r="JHY147" s="24"/>
      <c r="JHZ147" s="24"/>
      <c r="JIA147" s="24"/>
      <c r="JIB147" s="24"/>
      <c r="JIC147" s="24"/>
      <c r="JID147" s="24"/>
      <c r="JIE147" s="24"/>
      <c r="JIF147" s="24"/>
      <c r="JIG147" s="24"/>
      <c r="JIH147" s="24"/>
      <c r="JII147" s="24"/>
      <c r="JIJ147" s="24"/>
      <c r="JIK147" s="24"/>
      <c r="JIL147" s="24"/>
      <c r="JIM147" s="24"/>
      <c r="JIN147" s="24"/>
      <c r="JIO147" s="24"/>
      <c r="JIP147" s="24"/>
      <c r="JIQ147" s="24"/>
      <c r="JIR147" s="24"/>
      <c r="JIS147" s="24"/>
      <c r="JIT147" s="24"/>
      <c r="JIU147" s="24"/>
      <c r="JIV147" s="24"/>
      <c r="JIW147" s="24"/>
      <c r="JIX147" s="24"/>
      <c r="JIY147" s="24"/>
      <c r="JIZ147" s="24"/>
      <c r="JJA147" s="24"/>
      <c r="JJB147" s="24"/>
      <c r="JJC147" s="24"/>
      <c r="JJD147" s="24"/>
      <c r="JJE147" s="24"/>
      <c r="JJF147" s="24"/>
      <c r="JJG147" s="24"/>
      <c r="JJH147" s="24"/>
      <c r="JJI147" s="24"/>
      <c r="JJJ147" s="24"/>
      <c r="JJK147" s="24"/>
      <c r="JJL147" s="24"/>
      <c r="JJM147" s="24"/>
      <c r="JJN147" s="24"/>
      <c r="JJO147" s="24"/>
      <c r="JJP147" s="24"/>
      <c r="JJQ147" s="24"/>
      <c r="JJR147" s="24"/>
      <c r="JJS147" s="24"/>
      <c r="JJT147" s="24"/>
      <c r="JJU147" s="24"/>
      <c r="JJV147" s="24"/>
      <c r="JJW147" s="24"/>
      <c r="JJX147" s="24"/>
      <c r="JJY147" s="24"/>
      <c r="JJZ147" s="24"/>
      <c r="JKA147" s="24"/>
      <c r="JKB147" s="24"/>
      <c r="JKC147" s="24"/>
      <c r="JKD147" s="24"/>
      <c r="JKE147" s="24"/>
      <c r="JKF147" s="24"/>
      <c r="JKG147" s="24"/>
      <c r="JKH147" s="24"/>
      <c r="JKI147" s="24"/>
      <c r="JKJ147" s="24"/>
      <c r="JKK147" s="24"/>
      <c r="JKL147" s="24"/>
      <c r="JKM147" s="24"/>
      <c r="JKN147" s="24"/>
      <c r="JKO147" s="24"/>
      <c r="JKP147" s="24"/>
      <c r="JKQ147" s="24"/>
      <c r="JKR147" s="24"/>
      <c r="JKS147" s="24"/>
      <c r="JKT147" s="24"/>
      <c r="JKU147" s="24"/>
      <c r="JKV147" s="24"/>
      <c r="JKW147" s="24"/>
      <c r="JKX147" s="24"/>
      <c r="JKY147" s="24"/>
      <c r="JKZ147" s="24"/>
      <c r="JLA147" s="24"/>
      <c r="JLB147" s="24"/>
      <c r="JLC147" s="24"/>
      <c r="JLD147" s="24"/>
      <c r="JLE147" s="24"/>
      <c r="JLF147" s="24"/>
      <c r="JLG147" s="24"/>
      <c r="JLH147" s="24"/>
      <c r="JLI147" s="24"/>
      <c r="JLJ147" s="24"/>
      <c r="JLK147" s="24"/>
      <c r="JLL147" s="24"/>
      <c r="JLM147" s="24"/>
      <c r="JLN147" s="24"/>
      <c r="JLO147" s="24"/>
      <c r="JLP147" s="24"/>
      <c r="JLQ147" s="24"/>
      <c r="JLR147" s="24"/>
      <c r="JLS147" s="24"/>
      <c r="JLT147" s="24"/>
      <c r="JLU147" s="24"/>
      <c r="JLV147" s="24"/>
      <c r="JLW147" s="24"/>
      <c r="JLX147" s="24"/>
      <c r="JLY147" s="24"/>
      <c r="JLZ147" s="24"/>
      <c r="JMA147" s="24"/>
      <c r="JMB147" s="24"/>
      <c r="JMC147" s="24"/>
      <c r="JMD147" s="24"/>
      <c r="JME147" s="24"/>
      <c r="JMF147" s="24"/>
      <c r="JMG147" s="24"/>
      <c r="JMH147" s="24"/>
      <c r="JMI147" s="24"/>
      <c r="JMJ147" s="24"/>
      <c r="JMK147" s="24"/>
      <c r="JML147" s="24"/>
      <c r="JMM147" s="24"/>
      <c r="JMN147" s="24"/>
      <c r="JMO147" s="24"/>
      <c r="JMP147" s="24"/>
      <c r="JMQ147" s="24"/>
      <c r="JMR147" s="24"/>
      <c r="JMS147" s="24"/>
      <c r="JMT147" s="24"/>
      <c r="JMU147" s="24"/>
      <c r="JMV147" s="24"/>
      <c r="JMW147" s="24"/>
      <c r="JMX147" s="24"/>
      <c r="JMY147" s="24"/>
      <c r="JMZ147" s="24"/>
      <c r="JNA147" s="24"/>
      <c r="JNB147" s="24"/>
      <c r="JNC147" s="24"/>
      <c r="JND147" s="24"/>
      <c r="JNE147" s="24"/>
      <c r="JNF147" s="24"/>
      <c r="JNG147" s="24"/>
      <c r="JNH147" s="24"/>
      <c r="JNI147" s="24"/>
      <c r="JNJ147" s="24"/>
      <c r="JNK147" s="24"/>
      <c r="JNL147" s="24"/>
      <c r="JNM147" s="24"/>
      <c r="JNN147" s="24"/>
      <c r="JNO147" s="24"/>
      <c r="JNP147" s="24"/>
      <c r="JNQ147" s="24"/>
      <c r="JNR147" s="24"/>
      <c r="JNS147" s="24"/>
      <c r="JNT147" s="24"/>
      <c r="JNU147" s="24"/>
      <c r="JNV147" s="24"/>
      <c r="JNW147" s="24"/>
      <c r="JNX147" s="24"/>
      <c r="JNY147" s="24"/>
      <c r="JNZ147" s="24"/>
      <c r="JOA147" s="24"/>
      <c r="JOB147" s="24"/>
      <c r="JOC147" s="24"/>
      <c r="JOD147" s="24"/>
      <c r="JOE147" s="24"/>
      <c r="JOF147" s="24"/>
      <c r="JOG147" s="24"/>
      <c r="JOH147" s="24"/>
      <c r="JOI147" s="24"/>
      <c r="JOJ147" s="24"/>
      <c r="JOK147" s="24"/>
      <c r="JOL147" s="24"/>
      <c r="JOM147" s="24"/>
      <c r="JON147" s="24"/>
      <c r="JOO147" s="24"/>
      <c r="JOP147" s="24"/>
      <c r="JOQ147" s="24"/>
      <c r="JOR147" s="24"/>
      <c r="JOS147" s="24"/>
      <c r="JOT147" s="24"/>
      <c r="JOU147" s="24"/>
      <c r="JOV147" s="24"/>
      <c r="JOW147" s="24"/>
      <c r="JOX147" s="24"/>
      <c r="JOY147" s="24"/>
      <c r="JOZ147" s="24"/>
      <c r="JPA147" s="24"/>
      <c r="JPB147" s="24"/>
      <c r="JPC147" s="24"/>
      <c r="JPD147" s="24"/>
      <c r="JPE147" s="24"/>
      <c r="JPF147" s="24"/>
      <c r="JPG147" s="24"/>
      <c r="JPH147" s="24"/>
      <c r="JPI147" s="24"/>
      <c r="JPJ147" s="24"/>
      <c r="JPK147" s="24"/>
      <c r="JPL147" s="24"/>
      <c r="JPM147" s="24"/>
      <c r="JPN147" s="24"/>
      <c r="JPO147" s="24"/>
      <c r="JPP147" s="24"/>
      <c r="JPQ147" s="24"/>
      <c r="JPR147" s="24"/>
      <c r="JPS147" s="24"/>
      <c r="JPT147" s="24"/>
      <c r="JPU147" s="24"/>
      <c r="JPV147" s="24"/>
      <c r="JPW147" s="24"/>
      <c r="JPX147" s="24"/>
      <c r="JPY147" s="24"/>
      <c r="JPZ147" s="24"/>
      <c r="JQA147" s="24"/>
      <c r="JQB147" s="24"/>
      <c r="JQC147" s="24"/>
      <c r="JQD147" s="24"/>
      <c r="JQE147" s="24"/>
      <c r="JQF147" s="24"/>
      <c r="JQG147" s="24"/>
      <c r="JQH147" s="24"/>
      <c r="JQI147" s="24"/>
      <c r="JQJ147" s="24"/>
      <c r="JQK147" s="24"/>
      <c r="JQL147" s="24"/>
      <c r="JQM147" s="24"/>
      <c r="JQN147" s="24"/>
      <c r="JQO147" s="24"/>
      <c r="JQP147" s="24"/>
      <c r="JQQ147" s="24"/>
      <c r="JQR147" s="24"/>
      <c r="JQS147" s="24"/>
      <c r="JQT147" s="24"/>
      <c r="JQU147" s="24"/>
      <c r="JQV147" s="24"/>
      <c r="JQW147" s="24"/>
      <c r="JQX147" s="24"/>
      <c r="JQY147" s="24"/>
      <c r="JQZ147" s="24"/>
      <c r="JRA147" s="24"/>
      <c r="JRB147" s="24"/>
      <c r="JRC147" s="24"/>
      <c r="JRD147" s="24"/>
      <c r="JRE147" s="24"/>
      <c r="JRF147" s="24"/>
      <c r="JRG147" s="24"/>
      <c r="JRH147" s="24"/>
      <c r="JRI147" s="24"/>
      <c r="JRJ147" s="24"/>
      <c r="JRK147" s="24"/>
      <c r="JRL147" s="24"/>
      <c r="JRM147" s="24"/>
      <c r="JRN147" s="24"/>
      <c r="JRO147" s="24"/>
      <c r="JRP147" s="24"/>
      <c r="JRQ147" s="24"/>
      <c r="JRR147" s="24"/>
      <c r="JRS147" s="24"/>
      <c r="JRT147" s="24"/>
      <c r="JRU147" s="24"/>
      <c r="JRV147" s="24"/>
      <c r="JRW147" s="24"/>
      <c r="JRX147" s="24"/>
      <c r="JRY147" s="24"/>
      <c r="JRZ147" s="24"/>
      <c r="JSA147" s="24"/>
      <c r="JSB147" s="24"/>
      <c r="JSC147" s="24"/>
      <c r="JSD147" s="24"/>
      <c r="JSE147" s="24"/>
      <c r="JSF147" s="24"/>
      <c r="JSG147" s="24"/>
      <c r="JSH147" s="24"/>
      <c r="JSI147" s="24"/>
      <c r="JSJ147" s="24"/>
      <c r="JSK147" s="24"/>
      <c r="JSL147" s="24"/>
      <c r="JSM147" s="24"/>
      <c r="JSN147" s="24"/>
      <c r="JSO147" s="24"/>
      <c r="JSP147" s="24"/>
      <c r="JSQ147" s="24"/>
      <c r="JSR147" s="24"/>
      <c r="JSS147" s="24"/>
      <c r="JST147" s="24"/>
      <c r="JSU147" s="24"/>
      <c r="JSV147" s="24"/>
      <c r="JSW147" s="24"/>
      <c r="JSX147" s="24"/>
      <c r="JSY147" s="24"/>
      <c r="JSZ147" s="24"/>
      <c r="JTA147" s="24"/>
      <c r="JTB147" s="24"/>
      <c r="JTC147" s="24"/>
      <c r="JTD147" s="24"/>
      <c r="JTE147" s="24"/>
      <c r="JTF147" s="24"/>
      <c r="JTG147" s="24"/>
      <c r="JTH147" s="24"/>
      <c r="JTI147" s="24"/>
      <c r="JTJ147" s="24"/>
      <c r="JTK147" s="24"/>
      <c r="JTL147" s="24"/>
      <c r="JTM147" s="24"/>
      <c r="JTN147" s="24"/>
      <c r="JTO147" s="24"/>
      <c r="JTP147" s="24"/>
      <c r="JTQ147" s="24"/>
      <c r="JTR147" s="24"/>
      <c r="JTS147" s="24"/>
      <c r="JTT147" s="24"/>
      <c r="JTU147" s="24"/>
      <c r="JTV147" s="24"/>
      <c r="JTW147" s="24"/>
      <c r="JTX147" s="24"/>
      <c r="JTY147" s="24"/>
      <c r="JTZ147" s="24"/>
      <c r="JUA147" s="24"/>
      <c r="JUB147" s="24"/>
      <c r="JUC147" s="24"/>
      <c r="JUD147" s="24"/>
      <c r="JUE147" s="24"/>
      <c r="JUF147" s="24"/>
      <c r="JUG147" s="24"/>
      <c r="JUH147" s="24"/>
      <c r="JUI147" s="24"/>
      <c r="JUJ147" s="24"/>
      <c r="JUK147" s="24"/>
      <c r="JUL147" s="24"/>
      <c r="JUM147" s="24"/>
      <c r="JUN147" s="24"/>
      <c r="JUO147" s="24"/>
      <c r="JUP147" s="24"/>
      <c r="JUQ147" s="24"/>
      <c r="JUR147" s="24"/>
      <c r="JUS147" s="24"/>
      <c r="JUT147" s="24"/>
      <c r="JUU147" s="24"/>
      <c r="JUV147" s="24"/>
      <c r="JUW147" s="24"/>
      <c r="JUX147" s="24"/>
      <c r="JUY147" s="24"/>
      <c r="JUZ147" s="24"/>
      <c r="JVA147" s="24"/>
      <c r="JVB147" s="24"/>
      <c r="JVC147" s="24"/>
      <c r="JVD147" s="24"/>
      <c r="JVE147" s="24"/>
      <c r="JVF147" s="24"/>
      <c r="JVG147" s="24"/>
      <c r="JVH147" s="24"/>
      <c r="JVI147" s="24"/>
      <c r="JVJ147" s="24"/>
      <c r="JVK147" s="24"/>
      <c r="JVL147" s="24"/>
      <c r="JVM147" s="24"/>
      <c r="JVN147" s="24"/>
      <c r="JVO147" s="24"/>
      <c r="JVP147" s="24"/>
      <c r="JVQ147" s="24"/>
      <c r="JVR147" s="24"/>
      <c r="JVS147" s="24"/>
      <c r="JVT147" s="24"/>
      <c r="JVU147" s="24"/>
      <c r="JVV147" s="24"/>
      <c r="JVW147" s="24"/>
      <c r="JVX147" s="24"/>
      <c r="JVY147" s="24"/>
      <c r="JVZ147" s="24"/>
      <c r="JWA147" s="24"/>
      <c r="JWB147" s="24"/>
      <c r="JWC147" s="24"/>
      <c r="JWD147" s="24"/>
      <c r="JWE147" s="24"/>
      <c r="JWF147" s="24"/>
      <c r="JWG147" s="24"/>
      <c r="JWH147" s="24"/>
      <c r="JWI147" s="24"/>
      <c r="JWJ147" s="24"/>
      <c r="JWK147" s="24"/>
      <c r="JWL147" s="24"/>
      <c r="JWM147" s="24"/>
      <c r="JWN147" s="24"/>
      <c r="JWO147" s="24"/>
      <c r="JWP147" s="24"/>
      <c r="JWQ147" s="24"/>
      <c r="JWR147" s="24"/>
      <c r="JWS147" s="24"/>
      <c r="JWT147" s="24"/>
      <c r="JWU147" s="24"/>
      <c r="JWV147" s="24"/>
      <c r="JWW147" s="24"/>
      <c r="JWX147" s="24"/>
      <c r="JWY147" s="24"/>
      <c r="JWZ147" s="24"/>
      <c r="JXA147" s="24"/>
      <c r="JXB147" s="24"/>
      <c r="JXC147" s="24"/>
      <c r="JXD147" s="24"/>
      <c r="JXE147" s="24"/>
      <c r="JXF147" s="24"/>
      <c r="JXG147" s="24"/>
      <c r="JXH147" s="24"/>
      <c r="JXI147" s="24"/>
      <c r="JXJ147" s="24"/>
      <c r="JXK147" s="24"/>
      <c r="JXL147" s="24"/>
      <c r="JXM147" s="24"/>
      <c r="JXN147" s="24"/>
      <c r="JXO147" s="24"/>
      <c r="JXP147" s="24"/>
      <c r="JXQ147" s="24"/>
      <c r="JXR147" s="24"/>
      <c r="JXS147" s="24"/>
      <c r="JXT147" s="24"/>
      <c r="JXU147" s="24"/>
      <c r="JXV147" s="24"/>
      <c r="JXW147" s="24"/>
      <c r="JXX147" s="24"/>
      <c r="JXY147" s="24"/>
      <c r="JXZ147" s="24"/>
      <c r="JYA147" s="24"/>
      <c r="JYB147" s="24"/>
      <c r="JYC147" s="24"/>
      <c r="JYD147" s="24"/>
      <c r="JYE147" s="24"/>
      <c r="JYF147" s="24"/>
      <c r="JYG147" s="24"/>
      <c r="JYH147" s="24"/>
      <c r="JYI147" s="24"/>
      <c r="JYJ147" s="24"/>
      <c r="JYK147" s="24"/>
      <c r="JYL147" s="24"/>
      <c r="JYM147" s="24"/>
      <c r="JYN147" s="24"/>
      <c r="JYO147" s="24"/>
      <c r="JYP147" s="24"/>
      <c r="JYQ147" s="24"/>
      <c r="JYR147" s="24"/>
      <c r="JYS147" s="24"/>
      <c r="JYT147" s="24"/>
      <c r="JYU147" s="24"/>
      <c r="JYV147" s="24"/>
      <c r="JYW147" s="24"/>
      <c r="JYX147" s="24"/>
      <c r="JYY147" s="24"/>
      <c r="JYZ147" s="24"/>
      <c r="JZA147" s="24"/>
      <c r="JZB147" s="24"/>
      <c r="JZC147" s="24"/>
      <c r="JZD147" s="24"/>
      <c r="JZE147" s="24"/>
      <c r="JZF147" s="24"/>
      <c r="JZG147" s="24"/>
      <c r="JZH147" s="24"/>
      <c r="JZI147" s="24"/>
      <c r="JZJ147" s="24"/>
      <c r="JZK147" s="24"/>
      <c r="JZL147" s="24"/>
      <c r="JZM147" s="24"/>
      <c r="JZN147" s="24"/>
      <c r="JZO147" s="24"/>
      <c r="JZP147" s="24"/>
      <c r="JZQ147" s="24"/>
      <c r="JZR147" s="24"/>
      <c r="JZS147" s="24"/>
      <c r="JZT147" s="24"/>
      <c r="JZU147" s="24"/>
      <c r="JZV147" s="24"/>
      <c r="JZW147" s="24"/>
      <c r="JZX147" s="24"/>
      <c r="JZY147" s="24"/>
      <c r="JZZ147" s="24"/>
      <c r="KAA147" s="24"/>
      <c r="KAB147" s="24"/>
      <c r="KAC147" s="24"/>
      <c r="KAD147" s="24"/>
      <c r="KAE147" s="24"/>
      <c r="KAF147" s="24"/>
      <c r="KAG147" s="24"/>
      <c r="KAH147" s="24"/>
      <c r="KAI147" s="24"/>
      <c r="KAJ147" s="24"/>
      <c r="KAK147" s="24"/>
      <c r="KAL147" s="24"/>
      <c r="KAM147" s="24"/>
      <c r="KAN147" s="24"/>
      <c r="KAO147" s="24"/>
      <c r="KAP147" s="24"/>
      <c r="KAQ147" s="24"/>
      <c r="KAR147" s="24"/>
      <c r="KAS147" s="24"/>
      <c r="KAT147" s="24"/>
      <c r="KAU147" s="24"/>
      <c r="KAV147" s="24"/>
      <c r="KAW147" s="24"/>
      <c r="KAX147" s="24"/>
      <c r="KAY147" s="24"/>
      <c r="KAZ147" s="24"/>
      <c r="KBA147" s="24"/>
      <c r="KBB147" s="24"/>
      <c r="KBC147" s="24"/>
      <c r="KBD147" s="24"/>
      <c r="KBE147" s="24"/>
      <c r="KBF147" s="24"/>
      <c r="KBG147" s="24"/>
      <c r="KBH147" s="24"/>
      <c r="KBI147" s="24"/>
      <c r="KBJ147" s="24"/>
      <c r="KBK147" s="24"/>
      <c r="KBL147" s="24"/>
      <c r="KBM147" s="24"/>
      <c r="KBN147" s="24"/>
      <c r="KBO147" s="24"/>
      <c r="KBP147" s="24"/>
      <c r="KBQ147" s="24"/>
      <c r="KBR147" s="24"/>
      <c r="KBS147" s="24"/>
      <c r="KBT147" s="24"/>
      <c r="KBU147" s="24"/>
      <c r="KBV147" s="24"/>
      <c r="KBW147" s="24"/>
      <c r="KBX147" s="24"/>
      <c r="KBY147" s="24"/>
      <c r="KBZ147" s="24"/>
      <c r="KCA147" s="24"/>
      <c r="KCB147" s="24"/>
      <c r="KCC147" s="24"/>
      <c r="KCD147" s="24"/>
      <c r="KCE147" s="24"/>
      <c r="KCF147" s="24"/>
      <c r="KCG147" s="24"/>
      <c r="KCH147" s="24"/>
      <c r="KCI147" s="24"/>
      <c r="KCJ147" s="24"/>
      <c r="KCK147" s="24"/>
      <c r="KCL147" s="24"/>
      <c r="KCM147" s="24"/>
      <c r="KCN147" s="24"/>
      <c r="KCO147" s="24"/>
      <c r="KCP147" s="24"/>
      <c r="KCQ147" s="24"/>
      <c r="KCR147" s="24"/>
      <c r="KCS147" s="24"/>
      <c r="KCT147" s="24"/>
      <c r="KCU147" s="24"/>
      <c r="KCV147" s="24"/>
      <c r="KCW147" s="24"/>
      <c r="KCX147" s="24"/>
      <c r="KCY147" s="24"/>
      <c r="KCZ147" s="24"/>
      <c r="KDA147" s="24"/>
      <c r="KDB147" s="24"/>
      <c r="KDC147" s="24"/>
      <c r="KDD147" s="24"/>
      <c r="KDE147" s="24"/>
      <c r="KDF147" s="24"/>
      <c r="KDG147" s="24"/>
      <c r="KDH147" s="24"/>
      <c r="KDI147" s="24"/>
      <c r="KDJ147" s="24"/>
      <c r="KDK147" s="24"/>
      <c r="KDL147" s="24"/>
      <c r="KDM147" s="24"/>
      <c r="KDN147" s="24"/>
      <c r="KDO147" s="24"/>
      <c r="KDP147" s="24"/>
      <c r="KDQ147" s="24"/>
      <c r="KDR147" s="24"/>
      <c r="KDS147" s="24"/>
      <c r="KDT147" s="24"/>
      <c r="KDU147" s="24"/>
      <c r="KDV147" s="24"/>
      <c r="KDW147" s="24"/>
      <c r="KDX147" s="24"/>
      <c r="KDY147" s="24"/>
      <c r="KDZ147" s="24"/>
      <c r="KEA147" s="24"/>
      <c r="KEB147" s="24"/>
      <c r="KEC147" s="24"/>
      <c r="KED147" s="24"/>
      <c r="KEE147" s="24"/>
      <c r="KEF147" s="24"/>
      <c r="KEG147" s="24"/>
      <c r="KEH147" s="24"/>
      <c r="KEI147" s="24"/>
      <c r="KEJ147" s="24"/>
      <c r="KEK147" s="24"/>
      <c r="KEL147" s="24"/>
      <c r="KEM147" s="24"/>
      <c r="KEN147" s="24"/>
      <c r="KEO147" s="24"/>
      <c r="KEP147" s="24"/>
      <c r="KEQ147" s="24"/>
      <c r="KER147" s="24"/>
      <c r="KES147" s="24"/>
      <c r="KET147" s="24"/>
      <c r="KEU147" s="24"/>
      <c r="KEV147" s="24"/>
      <c r="KEW147" s="24"/>
      <c r="KEX147" s="24"/>
      <c r="KEY147" s="24"/>
      <c r="KEZ147" s="24"/>
      <c r="KFA147" s="24"/>
      <c r="KFB147" s="24"/>
      <c r="KFC147" s="24"/>
      <c r="KFD147" s="24"/>
      <c r="KFE147" s="24"/>
      <c r="KFF147" s="24"/>
      <c r="KFG147" s="24"/>
      <c r="KFH147" s="24"/>
      <c r="KFI147" s="24"/>
      <c r="KFJ147" s="24"/>
      <c r="KFK147" s="24"/>
      <c r="KFL147" s="24"/>
      <c r="KFM147" s="24"/>
      <c r="KFN147" s="24"/>
      <c r="KFO147" s="24"/>
      <c r="KFP147" s="24"/>
      <c r="KFQ147" s="24"/>
      <c r="KFR147" s="24"/>
      <c r="KFS147" s="24"/>
      <c r="KFT147" s="24"/>
      <c r="KFU147" s="24"/>
      <c r="KFV147" s="24"/>
      <c r="KFW147" s="24"/>
      <c r="KFX147" s="24"/>
      <c r="KFY147" s="24"/>
      <c r="KFZ147" s="24"/>
      <c r="KGA147" s="24"/>
      <c r="KGB147" s="24"/>
      <c r="KGC147" s="24"/>
      <c r="KGD147" s="24"/>
      <c r="KGE147" s="24"/>
      <c r="KGF147" s="24"/>
      <c r="KGG147" s="24"/>
      <c r="KGH147" s="24"/>
      <c r="KGI147" s="24"/>
      <c r="KGJ147" s="24"/>
      <c r="KGK147" s="24"/>
      <c r="KGL147" s="24"/>
      <c r="KGM147" s="24"/>
      <c r="KGN147" s="24"/>
      <c r="KGO147" s="24"/>
      <c r="KGP147" s="24"/>
      <c r="KGQ147" s="24"/>
      <c r="KGR147" s="24"/>
      <c r="KGS147" s="24"/>
      <c r="KGT147" s="24"/>
      <c r="KGU147" s="24"/>
      <c r="KGV147" s="24"/>
      <c r="KGW147" s="24"/>
      <c r="KGX147" s="24"/>
      <c r="KGY147" s="24"/>
      <c r="KGZ147" s="24"/>
      <c r="KHA147" s="24"/>
      <c r="KHB147" s="24"/>
      <c r="KHC147" s="24"/>
      <c r="KHD147" s="24"/>
      <c r="KHE147" s="24"/>
      <c r="KHF147" s="24"/>
      <c r="KHG147" s="24"/>
      <c r="KHH147" s="24"/>
      <c r="KHI147" s="24"/>
      <c r="KHJ147" s="24"/>
      <c r="KHK147" s="24"/>
      <c r="KHL147" s="24"/>
      <c r="KHM147" s="24"/>
      <c r="KHN147" s="24"/>
      <c r="KHO147" s="24"/>
      <c r="KHP147" s="24"/>
      <c r="KHQ147" s="24"/>
      <c r="KHR147" s="24"/>
      <c r="KHS147" s="24"/>
      <c r="KHT147" s="24"/>
      <c r="KHU147" s="24"/>
      <c r="KHV147" s="24"/>
      <c r="KHW147" s="24"/>
      <c r="KHX147" s="24"/>
      <c r="KHY147" s="24"/>
      <c r="KHZ147" s="24"/>
      <c r="KIA147" s="24"/>
      <c r="KIB147" s="24"/>
      <c r="KIC147" s="24"/>
      <c r="KID147" s="24"/>
      <c r="KIE147" s="24"/>
      <c r="KIF147" s="24"/>
      <c r="KIG147" s="24"/>
      <c r="KIH147" s="24"/>
      <c r="KII147" s="24"/>
      <c r="KIJ147" s="24"/>
      <c r="KIK147" s="24"/>
      <c r="KIL147" s="24"/>
      <c r="KIM147" s="24"/>
      <c r="KIN147" s="24"/>
      <c r="KIO147" s="24"/>
      <c r="KIP147" s="24"/>
      <c r="KIQ147" s="24"/>
      <c r="KIR147" s="24"/>
      <c r="KIS147" s="24"/>
      <c r="KIT147" s="24"/>
      <c r="KIU147" s="24"/>
      <c r="KIV147" s="24"/>
      <c r="KIW147" s="24"/>
      <c r="KIX147" s="24"/>
      <c r="KIY147" s="24"/>
      <c r="KIZ147" s="24"/>
      <c r="KJA147" s="24"/>
      <c r="KJB147" s="24"/>
      <c r="KJC147" s="24"/>
      <c r="KJD147" s="24"/>
      <c r="KJE147" s="24"/>
      <c r="KJF147" s="24"/>
      <c r="KJG147" s="24"/>
      <c r="KJH147" s="24"/>
      <c r="KJI147" s="24"/>
      <c r="KJJ147" s="24"/>
      <c r="KJK147" s="24"/>
      <c r="KJL147" s="24"/>
      <c r="KJM147" s="24"/>
      <c r="KJN147" s="24"/>
      <c r="KJO147" s="24"/>
      <c r="KJP147" s="24"/>
      <c r="KJQ147" s="24"/>
      <c r="KJR147" s="24"/>
      <c r="KJS147" s="24"/>
      <c r="KJT147" s="24"/>
      <c r="KJU147" s="24"/>
      <c r="KJV147" s="24"/>
      <c r="KJW147" s="24"/>
      <c r="KJX147" s="24"/>
      <c r="KJY147" s="24"/>
      <c r="KJZ147" s="24"/>
      <c r="KKA147" s="24"/>
      <c r="KKB147" s="24"/>
      <c r="KKC147" s="24"/>
      <c r="KKD147" s="24"/>
      <c r="KKE147" s="24"/>
      <c r="KKF147" s="24"/>
      <c r="KKG147" s="24"/>
      <c r="KKH147" s="24"/>
      <c r="KKI147" s="24"/>
      <c r="KKJ147" s="24"/>
      <c r="KKK147" s="24"/>
      <c r="KKL147" s="24"/>
      <c r="KKM147" s="24"/>
      <c r="KKN147" s="24"/>
      <c r="KKO147" s="24"/>
      <c r="KKP147" s="24"/>
      <c r="KKQ147" s="24"/>
      <c r="KKR147" s="24"/>
      <c r="KKS147" s="24"/>
      <c r="KKT147" s="24"/>
      <c r="KKU147" s="24"/>
      <c r="KKV147" s="24"/>
      <c r="KKW147" s="24"/>
      <c r="KKX147" s="24"/>
      <c r="KKY147" s="24"/>
      <c r="KKZ147" s="24"/>
      <c r="KLA147" s="24"/>
      <c r="KLB147" s="24"/>
      <c r="KLC147" s="24"/>
      <c r="KLD147" s="24"/>
      <c r="KLE147" s="24"/>
      <c r="KLF147" s="24"/>
      <c r="KLG147" s="24"/>
      <c r="KLH147" s="24"/>
      <c r="KLI147" s="24"/>
      <c r="KLJ147" s="24"/>
      <c r="KLK147" s="24"/>
      <c r="KLL147" s="24"/>
      <c r="KLM147" s="24"/>
      <c r="KLN147" s="24"/>
      <c r="KLO147" s="24"/>
      <c r="KLP147" s="24"/>
      <c r="KLQ147" s="24"/>
      <c r="KLR147" s="24"/>
      <c r="KLS147" s="24"/>
      <c r="KLT147" s="24"/>
      <c r="KLU147" s="24"/>
      <c r="KLV147" s="24"/>
      <c r="KLW147" s="24"/>
      <c r="KLX147" s="24"/>
      <c r="KLY147" s="24"/>
      <c r="KLZ147" s="24"/>
      <c r="KMA147" s="24"/>
      <c r="KMB147" s="24"/>
      <c r="KMC147" s="24"/>
      <c r="KMD147" s="24"/>
      <c r="KME147" s="24"/>
      <c r="KMF147" s="24"/>
      <c r="KMG147" s="24"/>
      <c r="KMH147" s="24"/>
      <c r="KMI147" s="24"/>
      <c r="KMJ147" s="24"/>
      <c r="KMK147" s="24"/>
      <c r="KML147" s="24"/>
      <c r="KMM147" s="24"/>
      <c r="KMN147" s="24"/>
      <c r="KMO147" s="24"/>
      <c r="KMP147" s="24"/>
      <c r="KMQ147" s="24"/>
      <c r="KMR147" s="24"/>
      <c r="KMS147" s="24"/>
      <c r="KMT147" s="24"/>
      <c r="KMU147" s="24"/>
      <c r="KMV147" s="24"/>
      <c r="KMW147" s="24"/>
      <c r="KMX147" s="24"/>
      <c r="KMY147" s="24"/>
      <c r="KMZ147" s="24"/>
      <c r="KNA147" s="24"/>
      <c r="KNB147" s="24"/>
      <c r="KNC147" s="24"/>
      <c r="KND147" s="24"/>
      <c r="KNE147" s="24"/>
      <c r="KNF147" s="24"/>
      <c r="KNG147" s="24"/>
      <c r="KNH147" s="24"/>
      <c r="KNI147" s="24"/>
      <c r="KNJ147" s="24"/>
      <c r="KNK147" s="24"/>
      <c r="KNL147" s="24"/>
      <c r="KNM147" s="24"/>
      <c r="KNN147" s="24"/>
      <c r="KNO147" s="24"/>
      <c r="KNP147" s="24"/>
      <c r="KNQ147" s="24"/>
      <c r="KNR147" s="24"/>
      <c r="KNS147" s="24"/>
      <c r="KNT147" s="24"/>
      <c r="KNU147" s="24"/>
      <c r="KNV147" s="24"/>
      <c r="KNW147" s="24"/>
      <c r="KNX147" s="24"/>
      <c r="KNY147" s="24"/>
      <c r="KNZ147" s="24"/>
      <c r="KOA147" s="24"/>
      <c r="KOB147" s="24"/>
      <c r="KOC147" s="24"/>
      <c r="KOD147" s="24"/>
      <c r="KOE147" s="24"/>
      <c r="KOF147" s="24"/>
      <c r="KOG147" s="24"/>
      <c r="KOH147" s="24"/>
      <c r="KOI147" s="24"/>
      <c r="KOJ147" s="24"/>
      <c r="KOK147" s="24"/>
      <c r="KOL147" s="24"/>
      <c r="KOM147" s="24"/>
      <c r="KON147" s="24"/>
      <c r="KOO147" s="24"/>
      <c r="KOP147" s="24"/>
      <c r="KOQ147" s="24"/>
      <c r="KOR147" s="24"/>
      <c r="KOS147" s="24"/>
      <c r="KOT147" s="24"/>
      <c r="KOU147" s="24"/>
      <c r="KOV147" s="24"/>
      <c r="KOW147" s="24"/>
      <c r="KOX147" s="24"/>
      <c r="KOY147" s="24"/>
      <c r="KOZ147" s="24"/>
      <c r="KPA147" s="24"/>
      <c r="KPB147" s="24"/>
      <c r="KPC147" s="24"/>
      <c r="KPD147" s="24"/>
      <c r="KPE147" s="24"/>
      <c r="KPF147" s="24"/>
      <c r="KPG147" s="24"/>
      <c r="KPH147" s="24"/>
      <c r="KPI147" s="24"/>
      <c r="KPJ147" s="24"/>
      <c r="KPK147" s="24"/>
      <c r="KPL147" s="24"/>
      <c r="KPM147" s="24"/>
      <c r="KPN147" s="24"/>
      <c r="KPO147" s="24"/>
      <c r="KPP147" s="24"/>
      <c r="KPQ147" s="24"/>
      <c r="KPR147" s="24"/>
      <c r="KPS147" s="24"/>
      <c r="KPT147" s="24"/>
      <c r="KPU147" s="24"/>
      <c r="KPV147" s="24"/>
      <c r="KPW147" s="24"/>
      <c r="KPX147" s="24"/>
      <c r="KPY147" s="24"/>
      <c r="KPZ147" s="24"/>
      <c r="KQA147" s="24"/>
      <c r="KQB147" s="24"/>
      <c r="KQC147" s="24"/>
      <c r="KQD147" s="24"/>
      <c r="KQE147" s="24"/>
      <c r="KQF147" s="24"/>
      <c r="KQG147" s="24"/>
      <c r="KQH147" s="24"/>
      <c r="KQI147" s="24"/>
      <c r="KQJ147" s="24"/>
      <c r="KQK147" s="24"/>
      <c r="KQL147" s="24"/>
      <c r="KQM147" s="24"/>
      <c r="KQN147" s="24"/>
      <c r="KQO147" s="24"/>
      <c r="KQP147" s="24"/>
      <c r="KQQ147" s="24"/>
      <c r="KQR147" s="24"/>
      <c r="KQS147" s="24"/>
      <c r="KQT147" s="24"/>
      <c r="KQU147" s="24"/>
      <c r="KQV147" s="24"/>
      <c r="KQW147" s="24"/>
      <c r="KQX147" s="24"/>
      <c r="KQY147" s="24"/>
      <c r="KQZ147" s="24"/>
      <c r="KRA147" s="24"/>
      <c r="KRB147" s="24"/>
      <c r="KRC147" s="24"/>
      <c r="KRD147" s="24"/>
      <c r="KRE147" s="24"/>
      <c r="KRF147" s="24"/>
      <c r="KRG147" s="24"/>
      <c r="KRH147" s="24"/>
      <c r="KRI147" s="24"/>
      <c r="KRJ147" s="24"/>
      <c r="KRK147" s="24"/>
      <c r="KRL147" s="24"/>
      <c r="KRM147" s="24"/>
      <c r="KRN147" s="24"/>
      <c r="KRO147" s="24"/>
      <c r="KRP147" s="24"/>
      <c r="KRQ147" s="24"/>
      <c r="KRR147" s="24"/>
      <c r="KRS147" s="24"/>
      <c r="KRT147" s="24"/>
      <c r="KRU147" s="24"/>
      <c r="KRV147" s="24"/>
      <c r="KRW147" s="24"/>
      <c r="KRX147" s="24"/>
      <c r="KRY147" s="24"/>
      <c r="KRZ147" s="24"/>
      <c r="KSA147" s="24"/>
      <c r="KSB147" s="24"/>
      <c r="KSC147" s="24"/>
      <c r="KSD147" s="24"/>
      <c r="KSE147" s="24"/>
      <c r="KSF147" s="24"/>
      <c r="KSG147" s="24"/>
      <c r="KSH147" s="24"/>
      <c r="KSI147" s="24"/>
      <c r="KSJ147" s="24"/>
      <c r="KSK147" s="24"/>
      <c r="KSL147" s="24"/>
      <c r="KSM147" s="24"/>
      <c r="KSN147" s="24"/>
      <c r="KSO147" s="24"/>
      <c r="KSP147" s="24"/>
      <c r="KSQ147" s="24"/>
      <c r="KSR147" s="24"/>
      <c r="KSS147" s="24"/>
      <c r="KST147" s="24"/>
      <c r="KSU147" s="24"/>
      <c r="KSV147" s="24"/>
      <c r="KSW147" s="24"/>
      <c r="KSX147" s="24"/>
      <c r="KSY147" s="24"/>
      <c r="KSZ147" s="24"/>
      <c r="KTA147" s="24"/>
      <c r="KTB147" s="24"/>
      <c r="KTC147" s="24"/>
      <c r="KTD147" s="24"/>
      <c r="KTE147" s="24"/>
      <c r="KTF147" s="24"/>
      <c r="KTG147" s="24"/>
      <c r="KTH147" s="24"/>
      <c r="KTI147" s="24"/>
      <c r="KTJ147" s="24"/>
      <c r="KTK147" s="24"/>
      <c r="KTL147" s="24"/>
      <c r="KTM147" s="24"/>
      <c r="KTN147" s="24"/>
      <c r="KTO147" s="24"/>
      <c r="KTP147" s="24"/>
      <c r="KTQ147" s="24"/>
      <c r="KTR147" s="24"/>
      <c r="KTS147" s="24"/>
      <c r="KTT147" s="24"/>
      <c r="KTU147" s="24"/>
      <c r="KTV147" s="24"/>
      <c r="KTW147" s="24"/>
      <c r="KTX147" s="24"/>
      <c r="KTY147" s="24"/>
      <c r="KTZ147" s="24"/>
      <c r="KUA147" s="24"/>
      <c r="KUB147" s="24"/>
      <c r="KUC147" s="24"/>
      <c r="KUD147" s="24"/>
      <c r="KUE147" s="24"/>
      <c r="KUF147" s="24"/>
      <c r="KUG147" s="24"/>
      <c r="KUH147" s="24"/>
      <c r="KUI147" s="24"/>
      <c r="KUJ147" s="24"/>
      <c r="KUK147" s="24"/>
      <c r="KUL147" s="24"/>
      <c r="KUM147" s="24"/>
      <c r="KUN147" s="24"/>
      <c r="KUO147" s="24"/>
      <c r="KUP147" s="24"/>
      <c r="KUQ147" s="24"/>
      <c r="KUR147" s="24"/>
      <c r="KUS147" s="24"/>
      <c r="KUT147" s="24"/>
      <c r="KUU147" s="24"/>
      <c r="KUV147" s="24"/>
      <c r="KUW147" s="24"/>
      <c r="KUX147" s="24"/>
      <c r="KUY147" s="24"/>
      <c r="KUZ147" s="24"/>
      <c r="KVA147" s="24"/>
      <c r="KVB147" s="24"/>
      <c r="KVC147" s="24"/>
      <c r="KVD147" s="24"/>
      <c r="KVE147" s="24"/>
      <c r="KVF147" s="24"/>
      <c r="KVG147" s="24"/>
      <c r="KVH147" s="24"/>
      <c r="KVI147" s="24"/>
      <c r="KVJ147" s="24"/>
      <c r="KVK147" s="24"/>
      <c r="KVL147" s="24"/>
      <c r="KVM147" s="24"/>
      <c r="KVN147" s="24"/>
      <c r="KVO147" s="24"/>
      <c r="KVP147" s="24"/>
      <c r="KVQ147" s="24"/>
      <c r="KVR147" s="24"/>
      <c r="KVS147" s="24"/>
      <c r="KVT147" s="24"/>
      <c r="KVU147" s="24"/>
      <c r="KVV147" s="24"/>
      <c r="KVW147" s="24"/>
      <c r="KVX147" s="24"/>
      <c r="KVY147" s="24"/>
      <c r="KVZ147" s="24"/>
      <c r="KWA147" s="24"/>
      <c r="KWB147" s="24"/>
      <c r="KWC147" s="24"/>
      <c r="KWD147" s="24"/>
      <c r="KWE147" s="24"/>
      <c r="KWF147" s="24"/>
      <c r="KWG147" s="24"/>
      <c r="KWH147" s="24"/>
      <c r="KWI147" s="24"/>
      <c r="KWJ147" s="24"/>
      <c r="KWK147" s="24"/>
      <c r="KWL147" s="24"/>
      <c r="KWM147" s="24"/>
      <c r="KWN147" s="24"/>
      <c r="KWO147" s="24"/>
      <c r="KWP147" s="24"/>
      <c r="KWQ147" s="24"/>
      <c r="KWR147" s="24"/>
      <c r="KWS147" s="24"/>
      <c r="KWT147" s="24"/>
      <c r="KWU147" s="24"/>
      <c r="KWV147" s="24"/>
      <c r="KWW147" s="24"/>
      <c r="KWX147" s="24"/>
      <c r="KWY147" s="24"/>
      <c r="KWZ147" s="24"/>
      <c r="KXA147" s="24"/>
      <c r="KXB147" s="24"/>
      <c r="KXC147" s="24"/>
      <c r="KXD147" s="24"/>
      <c r="KXE147" s="24"/>
      <c r="KXF147" s="24"/>
      <c r="KXG147" s="24"/>
      <c r="KXH147" s="24"/>
      <c r="KXI147" s="24"/>
      <c r="KXJ147" s="24"/>
      <c r="KXK147" s="24"/>
      <c r="KXL147" s="24"/>
      <c r="KXM147" s="24"/>
      <c r="KXN147" s="24"/>
      <c r="KXO147" s="24"/>
      <c r="KXP147" s="24"/>
      <c r="KXQ147" s="24"/>
      <c r="KXR147" s="24"/>
      <c r="KXS147" s="24"/>
      <c r="KXT147" s="24"/>
      <c r="KXU147" s="24"/>
      <c r="KXV147" s="24"/>
      <c r="KXW147" s="24"/>
      <c r="KXX147" s="24"/>
      <c r="KXY147" s="24"/>
      <c r="KXZ147" s="24"/>
      <c r="KYA147" s="24"/>
      <c r="KYB147" s="24"/>
      <c r="KYC147" s="24"/>
      <c r="KYD147" s="24"/>
      <c r="KYE147" s="24"/>
      <c r="KYF147" s="24"/>
      <c r="KYG147" s="24"/>
      <c r="KYH147" s="24"/>
      <c r="KYI147" s="24"/>
      <c r="KYJ147" s="24"/>
      <c r="KYK147" s="24"/>
      <c r="KYL147" s="24"/>
      <c r="KYM147" s="24"/>
      <c r="KYN147" s="24"/>
      <c r="KYO147" s="24"/>
      <c r="KYP147" s="24"/>
      <c r="KYQ147" s="24"/>
      <c r="KYR147" s="24"/>
      <c r="KYS147" s="24"/>
      <c r="KYT147" s="24"/>
      <c r="KYU147" s="24"/>
      <c r="KYV147" s="24"/>
      <c r="KYW147" s="24"/>
      <c r="KYX147" s="24"/>
      <c r="KYY147" s="24"/>
      <c r="KYZ147" s="24"/>
      <c r="KZA147" s="24"/>
      <c r="KZB147" s="24"/>
      <c r="KZC147" s="24"/>
      <c r="KZD147" s="24"/>
      <c r="KZE147" s="24"/>
      <c r="KZF147" s="24"/>
      <c r="KZG147" s="24"/>
      <c r="KZH147" s="24"/>
      <c r="KZI147" s="24"/>
      <c r="KZJ147" s="24"/>
      <c r="KZK147" s="24"/>
      <c r="KZL147" s="24"/>
      <c r="KZM147" s="24"/>
      <c r="KZN147" s="24"/>
      <c r="KZO147" s="24"/>
      <c r="KZP147" s="24"/>
      <c r="KZQ147" s="24"/>
      <c r="KZR147" s="24"/>
      <c r="KZS147" s="24"/>
      <c r="KZT147" s="24"/>
      <c r="KZU147" s="24"/>
      <c r="KZV147" s="24"/>
      <c r="KZW147" s="24"/>
      <c r="KZX147" s="24"/>
      <c r="KZY147" s="24"/>
      <c r="KZZ147" s="24"/>
      <c r="LAA147" s="24"/>
      <c r="LAB147" s="24"/>
      <c r="LAC147" s="24"/>
      <c r="LAD147" s="24"/>
      <c r="LAE147" s="24"/>
      <c r="LAF147" s="24"/>
      <c r="LAG147" s="24"/>
      <c r="LAH147" s="24"/>
      <c r="LAI147" s="24"/>
      <c r="LAJ147" s="24"/>
      <c r="LAK147" s="24"/>
      <c r="LAL147" s="24"/>
      <c r="LAM147" s="24"/>
      <c r="LAN147" s="24"/>
      <c r="LAO147" s="24"/>
      <c r="LAP147" s="24"/>
      <c r="LAQ147" s="24"/>
      <c r="LAR147" s="24"/>
      <c r="LAS147" s="24"/>
      <c r="LAT147" s="24"/>
      <c r="LAU147" s="24"/>
      <c r="LAV147" s="24"/>
      <c r="LAW147" s="24"/>
      <c r="LAX147" s="24"/>
      <c r="LAY147" s="24"/>
      <c r="LAZ147" s="24"/>
      <c r="LBA147" s="24"/>
      <c r="LBB147" s="24"/>
      <c r="LBC147" s="24"/>
      <c r="LBD147" s="24"/>
      <c r="LBE147" s="24"/>
      <c r="LBF147" s="24"/>
      <c r="LBG147" s="24"/>
      <c r="LBH147" s="24"/>
      <c r="LBI147" s="24"/>
      <c r="LBJ147" s="24"/>
      <c r="LBK147" s="24"/>
      <c r="LBL147" s="24"/>
      <c r="LBM147" s="24"/>
      <c r="LBN147" s="24"/>
      <c r="LBO147" s="24"/>
      <c r="LBP147" s="24"/>
      <c r="LBQ147" s="24"/>
      <c r="LBR147" s="24"/>
      <c r="LBS147" s="24"/>
      <c r="LBT147" s="24"/>
      <c r="LBU147" s="24"/>
      <c r="LBV147" s="24"/>
      <c r="LBW147" s="24"/>
      <c r="LBX147" s="24"/>
      <c r="LBY147" s="24"/>
      <c r="LBZ147" s="24"/>
      <c r="LCA147" s="24"/>
      <c r="LCB147" s="24"/>
      <c r="LCC147" s="24"/>
      <c r="LCD147" s="24"/>
      <c r="LCE147" s="24"/>
      <c r="LCF147" s="24"/>
      <c r="LCG147" s="24"/>
      <c r="LCH147" s="24"/>
      <c r="LCI147" s="24"/>
      <c r="LCJ147" s="24"/>
      <c r="LCK147" s="24"/>
      <c r="LCL147" s="24"/>
      <c r="LCM147" s="24"/>
      <c r="LCN147" s="24"/>
      <c r="LCO147" s="24"/>
      <c r="LCP147" s="24"/>
      <c r="LCQ147" s="24"/>
      <c r="LCR147" s="24"/>
      <c r="LCS147" s="24"/>
      <c r="LCT147" s="24"/>
      <c r="LCU147" s="24"/>
      <c r="LCV147" s="24"/>
      <c r="LCW147" s="24"/>
      <c r="LCX147" s="24"/>
      <c r="LCY147" s="24"/>
      <c r="LCZ147" s="24"/>
      <c r="LDA147" s="24"/>
      <c r="LDB147" s="24"/>
      <c r="LDC147" s="24"/>
      <c r="LDD147" s="24"/>
      <c r="LDE147" s="24"/>
      <c r="LDF147" s="24"/>
      <c r="LDG147" s="24"/>
      <c r="LDH147" s="24"/>
      <c r="LDI147" s="24"/>
      <c r="LDJ147" s="24"/>
      <c r="LDK147" s="24"/>
      <c r="LDL147" s="24"/>
      <c r="LDM147" s="24"/>
      <c r="LDN147" s="24"/>
      <c r="LDO147" s="24"/>
      <c r="LDP147" s="24"/>
      <c r="LDQ147" s="24"/>
      <c r="LDR147" s="24"/>
      <c r="LDS147" s="24"/>
      <c r="LDT147" s="24"/>
      <c r="LDU147" s="24"/>
      <c r="LDV147" s="24"/>
      <c r="LDW147" s="24"/>
      <c r="LDX147" s="24"/>
      <c r="LDY147" s="24"/>
      <c r="LDZ147" s="24"/>
      <c r="LEA147" s="24"/>
      <c r="LEB147" s="24"/>
      <c r="LEC147" s="24"/>
      <c r="LED147" s="24"/>
      <c r="LEE147" s="24"/>
      <c r="LEF147" s="24"/>
      <c r="LEG147" s="24"/>
      <c r="LEH147" s="24"/>
      <c r="LEI147" s="24"/>
      <c r="LEJ147" s="24"/>
      <c r="LEK147" s="24"/>
      <c r="LEL147" s="24"/>
      <c r="LEM147" s="24"/>
      <c r="LEN147" s="24"/>
      <c r="LEO147" s="24"/>
      <c r="LEP147" s="24"/>
      <c r="LEQ147" s="24"/>
      <c r="LER147" s="24"/>
      <c r="LES147" s="24"/>
      <c r="LET147" s="24"/>
      <c r="LEU147" s="24"/>
      <c r="LEV147" s="24"/>
      <c r="LEW147" s="24"/>
      <c r="LEX147" s="24"/>
      <c r="LEY147" s="24"/>
      <c r="LEZ147" s="24"/>
      <c r="LFA147" s="24"/>
      <c r="LFB147" s="24"/>
      <c r="LFC147" s="24"/>
      <c r="LFD147" s="24"/>
      <c r="LFE147" s="24"/>
      <c r="LFF147" s="24"/>
      <c r="LFG147" s="24"/>
      <c r="LFH147" s="24"/>
      <c r="LFI147" s="24"/>
      <c r="LFJ147" s="24"/>
      <c r="LFK147" s="24"/>
      <c r="LFL147" s="24"/>
      <c r="LFM147" s="24"/>
      <c r="LFN147" s="24"/>
      <c r="LFO147" s="24"/>
      <c r="LFP147" s="24"/>
      <c r="LFQ147" s="24"/>
      <c r="LFR147" s="24"/>
      <c r="LFS147" s="24"/>
      <c r="LFT147" s="24"/>
      <c r="LFU147" s="24"/>
      <c r="LFV147" s="24"/>
      <c r="LFW147" s="24"/>
      <c r="LFX147" s="24"/>
      <c r="LFY147" s="24"/>
      <c r="LFZ147" s="24"/>
      <c r="LGA147" s="24"/>
      <c r="LGB147" s="24"/>
      <c r="LGC147" s="24"/>
      <c r="LGD147" s="24"/>
      <c r="LGE147" s="24"/>
      <c r="LGF147" s="24"/>
      <c r="LGG147" s="24"/>
      <c r="LGH147" s="24"/>
      <c r="LGI147" s="24"/>
      <c r="LGJ147" s="24"/>
      <c r="LGK147" s="24"/>
      <c r="LGL147" s="24"/>
      <c r="LGM147" s="24"/>
      <c r="LGN147" s="24"/>
      <c r="LGO147" s="24"/>
      <c r="LGP147" s="24"/>
      <c r="LGQ147" s="24"/>
      <c r="LGR147" s="24"/>
      <c r="LGS147" s="24"/>
      <c r="LGT147" s="24"/>
      <c r="LGU147" s="24"/>
      <c r="LGV147" s="24"/>
      <c r="LGW147" s="24"/>
      <c r="LGX147" s="24"/>
      <c r="LGY147" s="24"/>
      <c r="LGZ147" s="24"/>
      <c r="LHA147" s="24"/>
      <c r="LHB147" s="24"/>
      <c r="LHC147" s="24"/>
      <c r="LHD147" s="24"/>
      <c r="LHE147" s="24"/>
      <c r="LHF147" s="24"/>
      <c r="LHG147" s="24"/>
      <c r="LHH147" s="24"/>
      <c r="LHI147" s="24"/>
      <c r="LHJ147" s="24"/>
      <c r="LHK147" s="24"/>
      <c r="LHL147" s="24"/>
      <c r="LHM147" s="24"/>
      <c r="LHN147" s="24"/>
      <c r="LHO147" s="24"/>
      <c r="LHP147" s="24"/>
      <c r="LHQ147" s="24"/>
      <c r="LHR147" s="24"/>
      <c r="LHS147" s="24"/>
      <c r="LHT147" s="24"/>
      <c r="LHU147" s="24"/>
      <c r="LHV147" s="24"/>
      <c r="LHW147" s="24"/>
      <c r="LHX147" s="24"/>
      <c r="LHY147" s="24"/>
      <c r="LHZ147" s="24"/>
      <c r="LIA147" s="24"/>
      <c r="LIB147" s="24"/>
      <c r="LIC147" s="24"/>
      <c r="LID147" s="24"/>
      <c r="LIE147" s="24"/>
      <c r="LIF147" s="24"/>
      <c r="LIG147" s="24"/>
      <c r="LIH147" s="24"/>
      <c r="LII147" s="24"/>
      <c r="LIJ147" s="24"/>
      <c r="LIK147" s="24"/>
      <c r="LIL147" s="24"/>
      <c r="LIM147" s="24"/>
      <c r="LIN147" s="24"/>
      <c r="LIO147" s="24"/>
      <c r="LIP147" s="24"/>
      <c r="LIQ147" s="24"/>
      <c r="LIR147" s="24"/>
      <c r="LIS147" s="24"/>
      <c r="LIT147" s="24"/>
      <c r="LIU147" s="24"/>
      <c r="LIV147" s="24"/>
      <c r="LIW147" s="24"/>
      <c r="LIX147" s="24"/>
      <c r="LIY147" s="24"/>
      <c r="LIZ147" s="24"/>
      <c r="LJA147" s="24"/>
      <c r="LJB147" s="24"/>
      <c r="LJC147" s="24"/>
      <c r="LJD147" s="24"/>
      <c r="LJE147" s="24"/>
      <c r="LJF147" s="24"/>
      <c r="LJG147" s="24"/>
      <c r="LJH147" s="24"/>
      <c r="LJI147" s="24"/>
      <c r="LJJ147" s="24"/>
      <c r="LJK147" s="24"/>
      <c r="LJL147" s="24"/>
      <c r="LJM147" s="24"/>
      <c r="LJN147" s="24"/>
      <c r="LJO147" s="24"/>
      <c r="LJP147" s="24"/>
      <c r="LJQ147" s="24"/>
      <c r="LJR147" s="24"/>
      <c r="LJS147" s="24"/>
      <c r="LJT147" s="24"/>
      <c r="LJU147" s="24"/>
      <c r="LJV147" s="24"/>
      <c r="LJW147" s="24"/>
      <c r="LJX147" s="24"/>
      <c r="LJY147" s="24"/>
      <c r="LJZ147" s="24"/>
      <c r="LKA147" s="24"/>
      <c r="LKB147" s="24"/>
      <c r="LKC147" s="24"/>
      <c r="LKD147" s="24"/>
      <c r="LKE147" s="24"/>
      <c r="LKF147" s="24"/>
      <c r="LKG147" s="24"/>
      <c r="LKH147" s="24"/>
      <c r="LKI147" s="24"/>
      <c r="LKJ147" s="24"/>
      <c r="LKK147" s="24"/>
      <c r="LKL147" s="24"/>
      <c r="LKM147" s="24"/>
      <c r="LKN147" s="24"/>
      <c r="LKO147" s="24"/>
      <c r="LKP147" s="24"/>
      <c r="LKQ147" s="24"/>
      <c r="LKR147" s="24"/>
      <c r="LKS147" s="24"/>
      <c r="LKT147" s="24"/>
      <c r="LKU147" s="24"/>
      <c r="LKV147" s="24"/>
      <c r="LKW147" s="24"/>
      <c r="LKX147" s="24"/>
      <c r="LKY147" s="24"/>
      <c r="LKZ147" s="24"/>
      <c r="LLA147" s="24"/>
      <c r="LLB147" s="24"/>
      <c r="LLC147" s="24"/>
      <c r="LLD147" s="24"/>
      <c r="LLE147" s="24"/>
      <c r="LLF147" s="24"/>
      <c r="LLG147" s="24"/>
      <c r="LLH147" s="24"/>
      <c r="LLI147" s="24"/>
      <c r="LLJ147" s="24"/>
      <c r="LLK147" s="24"/>
      <c r="LLL147" s="24"/>
      <c r="LLM147" s="24"/>
      <c r="LLN147" s="24"/>
      <c r="LLO147" s="24"/>
      <c r="LLP147" s="24"/>
      <c r="LLQ147" s="24"/>
      <c r="LLR147" s="24"/>
      <c r="LLS147" s="24"/>
      <c r="LLT147" s="24"/>
      <c r="LLU147" s="24"/>
      <c r="LLV147" s="24"/>
      <c r="LLW147" s="24"/>
      <c r="LLX147" s="24"/>
      <c r="LLY147" s="24"/>
      <c r="LLZ147" s="24"/>
      <c r="LMA147" s="24"/>
      <c r="LMB147" s="24"/>
      <c r="LMC147" s="24"/>
      <c r="LMD147" s="24"/>
      <c r="LME147" s="24"/>
      <c r="LMF147" s="24"/>
      <c r="LMG147" s="24"/>
      <c r="LMH147" s="24"/>
      <c r="LMI147" s="24"/>
      <c r="LMJ147" s="24"/>
      <c r="LMK147" s="24"/>
      <c r="LML147" s="24"/>
      <c r="LMM147" s="24"/>
      <c r="LMN147" s="24"/>
      <c r="LMO147" s="24"/>
      <c r="LMP147" s="24"/>
      <c r="LMQ147" s="24"/>
      <c r="LMR147" s="24"/>
      <c r="LMS147" s="24"/>
      <c r="LMT147" s="24"/>
      <c r="LMU147" s="24"/>
      <c r="LMV147" s="24"/>
      <c r="LMW147" s="24"/>
      <c r="LMX147" s="24"/>
      <c r="LMY147" s="24"/>
      <c r="LMZ147" s="24"/>
      <c r="LNA147" s="24"/>
      <c r="LNB147" s="24"/>
      <c r="LNC147" s="24"/>
      <c r="LND147" s="24"/>
      <c r="LNE147" s="24"/>
      <c r="LNF147" s="24"/>
      <c r="LNG147" s="24"/>
      <c r="LNH147" s="24"/>
      <c r="LNI147" s="24"/>
      <c r="LNJ147" s="24"/>
      <c r="LNK147" s="24"/>
      <c r="LNL147" s="24"/>
      <c r="LNM147" s="24"/>
      <c r="LNN147" s="24"/>
      <c r="LNO147" s="24"/>
      <c r="LNP147" s="24"/>
      <c r="LNQ147" s="24"/>
      <c r="LNR147" s="24"/>
      <c r="LNS147" s="24"/>
      <c r="LNT147" s="24"/>
      <c r="LNU147" s="24"/>
      <c r="LNV147" s="24"/>
      <c r="LNW147" s="24"/>
      <c r="LNX147" s="24"/>
      <c r="LNY147" s="24"/>
      <c r="LNZ147" s="24"/>
      <c r="LOA147" s="24"/>
      <c r="LOB147" s="24"/>
      <c r="LOC147" s="24"/>
      <c r="LOD147" s="24"/>
      <c r="LOE147" s="24"/>
      <c r="LOF147" s="24"/>
      <c r="LOG147" s="24"/>
      <c r="LOH147" s="24"/>
      <c r="LOI147" s="24"/>
      <c r="LOJ147" s="24"/>
      <c r="LOK147" s="24"/>
      <c r="LOL147" s="24"/>
      <c r="LOM147" s="24"/>
      <c r="LON147" s="24"/>
      <c r="LOO147" s="24"/>
      <c r="LOP147" s="24"/>
      <c r="LOQ147" s="24"/>
      <c r="LOR147" s="24"/>
      <c r="LOS147" s="24"/>
      <c r="LOT147" s="24"/>
      <c r="LOU147" s="24"/>
      <c r="LOV147" s="24"/>
      <c r="LOW147" s="24"/>
      <c r="LOX147" s="24"/>
      <c r="LOY147" s="24"/>
      <c r="LOZ147" s="24"/>
      <c r="LPA147" s="24"/>
      <c r="LPB147" s="24"/>
      <c r="LPC147" s="24"/>
      <c r="LPD147" s="24"/>
      <c r="LPE147" s="24"/>
      <c r="LPF147" s="24"/>
      <c r="LPG147" s="24"/>
      <c r="LPH147" s="24"/>
      <c r="LPI147" s="24"/>
      <c r="LPJ147" s="24"/>
      <c r="LPK147" s="24"/>
      <c r="LPL147" s="24"/>
      <c r="LPM147" s="24"/>
      <c r="LPN147" s="24"/>
      <c r="LPO147" s="24"/>
      <c r="LPP147" s="24"/>
      <c r="LPQ147" s="24"/>
      <c r="LPR147" s="24"/>
      <c r="LPS147" s="24"/>
      <c r="LPT147" s="24"/>
      <c r="LPU147" s="24"/>
      <c r="LPV147" s="24"/>
      <c r="LPW147" s="24"/>
      <c r="LPX147" s="24"/>
      <c r="LPY147" s="24"/>
      <c r="LPZ147" s="24"/>
      <c r="LQA147" s="24"/>
      <c r="LQB147" s="24"/>
      <c r="LQC147" s="24"/>
      <c r="LQD147" s="24"/>
      <c r="LQE147" s="24"/>
      <c r="LQF147" s="24"/>
      <c r="LQG147" s="24"/>
      <c r="LQH147" s="24"/>
      <c r="LQI147" s="24"/>
      <c r="LQJ147" s="24"/>
      <c r="LQK147" s="24"/>
      <c r="LQL147" s="24"/>
      <c r="LQM147" s="24"/>
      <c r="LQN147" s="24"/>
      <c r="LQO147" s="24"/>
      <c r="LQP147" s="24"/>
      <c r="LQQ147" s="24"/>
      <c r="LQR147" s="24"/>
      <c r="LQS147" s="24"/>
      <c r="LQT147" s="24"/>
      <c r="LQU147" s="24"/>
      <c r="LQV147" s="24"/>
      <c r="LQW147" s="24"/>
      <c r="LQX147" s="24"/>
      <c r="LQY147" s="24"/>
      <c r="LQZ147" s="24"/>
      <c r="LRA147" s="24"/>
      <c r="LRB147" s="24"/>
      <c r="LRC147" s="24"/>
      <c r="LRD147" s="24"/>
      <c r="LRE147" s="24"/>
      <c r="LRF147" s="24"/>
      <c r="LRG147" s="24"/>
      <c r="LRH147" s="24"/>
      <c r="LRI147" s="24"/>
      <c r="LRJ147" s="24"/>
      <c r="LRK147" s="24"/>
      <c r="LRL147" s="24"/>
      <c r="LRM147" s="24"/>
      <c r="LRN147" s="24"/>
      <c r="LRO147" s="24"/>
      <c r="LRP147" s="24"/>
      <c r="LRQ147" s="24"/>
      <c r="LRR147" s="24"/>
      <c r="LRS147" s="24"/>
      <c r="LRT147" s="24"/>
      <c r="LRU147" s="24"/>
      <c r="LRV147" s="24"/>
      <c r="LRW147" s="24"/>
      <c r="LRX147" s="24"/>
      <c r="LRY147" s="24"/>
      <c r="LRZ147" s="24"/>
      <c r="LSA147" s="24"/>
      <c r="LSB147" s="24"/>
      <c r="LSC147" s="24"/>
      <c r="LSD147" s="24"/>
      <c r="LSE147" s="24"/>
      <c r="LSF147" s="24"/>
      <c r="LSG147" s="24"/>
      <c r="LSH147" s="24"/>
      <c r="LSI147" s="24"/>
      <c r="LSJ147" s="24"/>
      <c r="LSK147" s="24"/>
      <c r="LSL147" s="24"/>
      <c r="LSM147" s="24"/>
      <c r="LSN147" s="24"/>
      <c r="LSO147" s="24"/>
      <c r="LSP147" s="24"/>
      <c r="LSQ147" s="24"/>
      <c r="LSR147" s="24"/>
      <c r="LSS147" s="24"/>
      <c r="LST147" s="24"/>
      <c r="LSU147" s="24"/>
      <c r="LSV147" s="24"/>
      <c r="LSW147" s="24"/>
      <c r="LSX147" s="24"/>
      <c r="LSY147" s="24"/>
      <c r="LSZ147" s="24"/>
      <c r="LTA147" s="24"/>
      <c r="LTB147" s="24"/>
      <c r="LTC147" s="24"/>
      <c r="LTD147" s="24"/>
      <c r="LTE147" s="24"/>
      <c r="LTF147" s="24"/>
      <c r="LTG147" s="24"/>
      <c r="LTH147" s="24"/>
      <c r="LTI147" s="24"/>
      <c r="LTJ147" s="24"/>
      <c r="LTK147" s="24"/>
      <c r="LTL147" s="24"/>
      <c r="LTM147" s="24"/>
      <c r="LTN147" s="24"/>
      <c r="LTO147" s="24"/>
      <c r="LTP147" s="24"/>
      <c r="LTQ147" s="24"/>
      <c r="LTR147" s="24"/>
      <c r="LTS147" s="24"/>
      <c r="LTT147" s="24"/>
      <c r="LTU147" s="24"/>
      <c r="LTV147" s="24"/>
      <c r="LTW147" s="24"/>
      <c r="LTX147" s="24"/>
      <c r="LTY147" s="24"/>
      <c r="LTZ147" s="24"/>
      <c r="LUA147" s="24"/>
      <c r="LUB147" s="24"/>
      <c r="LUC147" s="24"/>
      <c r="LUD147" s="24"/>
      <c r="LUE147" s="24"/>
      <c r="LUF147" s="24"/>
      <c r="LUG147" s="24"/>
      <c r="LUH147" s="24"/>
      <c r="LUI147" s="24"/>
      <c r="LUJ147" s="24"/>
      <c r="LUK147" s="24"/>
      <c r="LUL147" s="24"/>
      <c r="LUM147" s="24"/>
      <c r="LUN147" s="24"/>
      <c r="LUO147" s="24"/>
      <c r="LUP147" s="24"/>
      <c r="LUQ147" s="24"/>
      <c r="LUR147" s="24"/>
      <c r="LUS147" s="24"/>
      <c r="LUT147" s="24"/>
      <c r="LUU147" s="24"/>
      <c r="LUV147" s="24"/>
      <c r="LUW147" s="24"/>
      <c r="LUX147" s="24"/>
      <c r="LUY147" s="24"/>
      <c r="LUZ147" s="24"/>
      <c r="LVA147" s="24"/>
      <c r="LVB147" s="24"/>
      <c r="LVC147" s="24"/>
      <c r="LVD147" s="24"/>
      <c r="LVE147" s="24"/>
      <c r="LVF147" s="24"/>
      <c r="LVG147" s="24"/>
      <c r="LVH147" s="24"/>
      <c r="LVI147" s="24"/>
      <c r="LVJ147" s="24"/>
      <c r="LVK147" s="24"/>
      <c r="LVL147" s="24"/>
      <c r="LVM147" s="24"/>
      <c r="LVN147" s="24"/>
      <c r="LVO147" s="24"/>
      <c r="LVP147" s="24"/>
      <c r="LVQ147" s="24"/>
      <c r="LVR147" s="24"/>
      <c r="LVS147" s="24"/>
      <c r="LVT147" s="24"/>
      <c r="LVU147" s="24"/>
      <c r="LVV147" s="24"/>
      <c r="LVW147" s="24"/>
      <c r="LVX147" s="24"/>
      <c r="LVY147" s="24"/>
      <c r="LVZ147" s="24"/>
      <c r="LWA147" s="24"/>
      <c r="LWB147" s="24"/>
      <c r="LWC147" s="24"/>
      <c r="LWD147" s="24"/>
      <c r="LWE147" s="24"/>
      <c r="LWF147" s="24"/>
      <c r="LWG147" s="24"/>
      <c r="LWH147" s="24"/>
      <c r="LWI147" s="24"/>
      <c r="LWJ147" s="24"/>
      <c r="LWK147" s="24"/>
      <c r="LWL147" s="24"/>
      <c r="LWM147" s="24"/>
      <c r="LWN147" s="24"/>
      <c r="LWO147" s="24"/>
      <c r="LWP147" s="24"/>
      <c r="LWQ147" s="24"/>
      <c r="LWR147" s="24"/>
      <c r="LWS147" s="24"/>
      <c r="LWT147" s="24"/>
      <c r="LWU147" s="24"/>
      <c r="LWV147" s="24"/>
      <c r="LWW147" s="24"/>
      <c r="LWX147" s="24"/>
      <c r="LWY147" s="24"/>
      <c r="LWZ147" s="24"/>
      <c r="LXA147" s="24"/>
      <c r="LXB147" s="24"/>
      <c r="LXC147" s="24"/>
      <c r="LXD147" s="24"/>
      <c r="LXE147" s="24"/>
      <c r="LXF147" s="24"/>
      <c r="LXG147" s="24"/>
      <c r="LXH147" s="24"/>
      <c r="LXI147" s="24"/>
      <c r="LXJ147" s="24"/>
      <c r="LXK147" s="24"/>
      <c r="LXL147" s="24"/>
      <c r="LXM147" s="24"/>
      <c r="LXN147" s="24"/>
      <c r="LXO147" s="24"/>
      <c r="LXP147" s="24"/>
      <c r="LXQ147" s="24"/>
      <c r="LXR147" s="24"/>
      <c r="LXS147" s="24"/>
      <c r="LXT147" s="24"/>
      <c r="LXU147" s="24"/>
      <c r="LXV147" s="24"/>
      <c r="LXW147" s="24"/>
      <c r="LXX147" s="24"/>
      <c r="LXY147" s="24"/>
      <c r="LXZ147" s="24"/>
      <c r="LYA147" s="24"/>
      <c r="LYB147" s="24"/>
      <c r="LYC147" s="24"/>
      <c r="LYD147" s="24"/>
      <c r="LYE147" s="24"/>
      <c r="LYF147" s="24"/>
      <c r="LYG147" s="24"/>
      <c r="LYH147" s="24"/>
      <c r="LYI147" s="24"/>
      <c r="LYJ147" s="24"/>
      <c r="LYK147" s="24"/>
      <c r="LYL147" s="24"/>
      <c r="LYM147" s="24"/>
      <c r="LYN147" s="24"/>
      <c r="LYO147" s="24"/>
      <c r="LYP147" s="24"/>
      <c r="LYQ147" s="24"/>
      <c r="LYR147" s="24"/>
      <c r="LYS147" s="24"/>
      <c r="LYT147" s="24"/>
      <c r="LYU147" s="24"/>
      <c r="LYV147" s="24"/>
      <c r="LYW147" s="24"/>
      <c r="LYX147" s="24"/>
      <c r="LYY147" s="24"/>
      <c r="LYZ147" s="24"/>
      <c r="LZA147" s="24"/>
      <c r="LZB147" s="24"/>
      <c r="LZC147" s="24"/>
      <c r="LZD147" s="24"/>
      <c r="LZE147" s="24"/>
      <c r="LZF147" s="24"/>
      <c r="LZG147" s="24"/>
      <c r="LZH147" s="24"/>
      <c r="LZI147" s="24"/>
      <c r="LZJ147" s="24"/>
      <c r="LZK147" s="24"/>
      <c r="LZL147" s="24"/>
      <c r="LZM147" s="24"/>
      <c r="LZN147" s="24"/>
      <c r="LZO147" s="24"/>
      <c r="LZP147" s="24"/>
      <c r="LZQ147" s="24"/>
      <c r="LZR147" s="24"/>
      <c r="LZS147" s="24"/>
      <c r="LZT147" s="24"/>
      <c r="LZU147" s="24"/>
      <c r="LZV147" s="24"/>
      <c r="LZW147" s="24"/>
      <c r="LZX147" s="24"/>
      <c r="LZY147" s="24"/>
      <c r="LZZ147" s="24"/>
      <c r="MAA147" s="24"/>
      <c r="MAB147" s="24"/>
      <c r="MAC147" s="24"/>
      <c r="MAD147" s="24"/>
      <c r="MAE147" s="24"/>
      <c r="MAF147" s="24"/>
      <c r="MAG147" s="24"/>
      <c r="MAH147" s="24"/>
      <c r="MAI147" s="24"/>
      <c r="MAJ147" s="24"/>
      <c r="MAK147" s="24"/>
      <c r="MAL147" s="24"/>
      <c r="MAM147" s="24"/>
      <c r="MAN147" s="24"/>
      <c r="MAO147" s="24"/>
      <c r="MAP147" s="24"/>
      <c r="MAQ147" s="24"/>
      <c r="MAR147" s="24"/>
      <c r="MAS147" s="24"/>
      <c r="MAT147" s="24"/>
      <c r="MAU147" s="24"/>
      <c r="MAV147" s="24"/>
      <c r="MAW147" s="24"/>
      <c r="MAX147" s="24"/>
      <c r="MAY147" s="24"/>
      <c r="MAZ147" s="24"/>
      <c r="MBA147" s="24"/>
      <c r="MBB147" s="24"/>
      <c r="MBC147" s="24"/>
      <c r="MBD147" s="24"/>
      <c r="MBE147" s="24"/>
      <c r="MBF147" s="24"/>
      <c r="MBG147" s="24"/>
      <c r="MBH147" s="24"/>
      <c r="MBI147" s="24"/>
      <c r="MBJ147" s="24"/>
      <c r="MBK147" s="24"/>
      <c r="MBL147" s="24"/>
      <c r="MBM147" s="24"/>
      <c r="MBN147" s="24"/>
      <c r="MBO147" s="24"/>
      <c r="MBP147" s="24"/>
      <c r="MBQ147" s="24"/>
      <c r="MBR147" s="24"/>
      <c r="MBS147" s="24"/>
      <c r="MBT147" s="24"/>
      <c r="MBU147" s="24"/>
      <c r="MBV147" s="24"/>
      <c r="MBW147" s="24"/>
      <c r="MBX147" s="24"/>
      <c r="MBY147" s="24"/>
      <c r="MBZ147" s="24"/>
      <c r="MCA147" s="24"/>
      <c r="MCB147" s="24"/>
      <c r="MCC147" s="24"/>
      <c r="MCD147" s="24"/>
      <c r="MCE147" s="24"/>
      <c r="MCF147" s="24"/>
      <c r="MCG147" s="24"/>
      <c r="MCH147" s="24"/>
      <c r="MCI147" s="24"/>
      <c r="MCJ147" s="24"/>
      <c r="MCK147" s="24"/>
      <c r="MCL147" s="24"/>
      <c r="MCM147" s="24"/>
      <c r="MCN147" s="24"/>
      <c r="MCO147" s="24"/>
      <c r="MCP147" s="24"/>
      <c r="MCQ147" s="24"/>
      <c r="MCR147" s="24"/>
      <c r="MCS147" s="24"/>
      <c r="MCT147" s="24"/>
      <c r="MCU147" s="24"/>
      <c r="MCV147" s="24"/>
      <c r="MCW147" s="24"/>
      <c r="MCX147" s="24"/>
      <c r="MCY147" s="24"/>
      <c r="MCZ147" s="24"/>
      <c r="MDA147" s="24"/>
      <c r="MDB147" s="24"/>
      <c r="MDC147" s="24"/>
      <c r="MDD147" s="24"/>
      <c r="MDE147" s="24"/>
      <c r="MDF147" s="24"/>
      <c r="MDG147" s="24"/>
      <c r="MDH147" s="24"/>
      <c r="MDI147" s="24"/>
      <c r="MDJ147" s="24"/>
      <c r="MDK147" s="24"/>
      <c r="MDL147" s="24"/>
      <c r="MDM147" s="24"/>
      <c r="MDN147" s="24"/>
      <c r="MDO147" s="24"/>
      <c r="MDP147" s="24"/>
      <c r="MDQ147" s="24"/>
      <c r="MDR147" s="24"/>
      <c r="MDS147" s="24"/>
      <c r="MDT147" s="24"/>
      <c r="MDU147" s="24"/>
      <c r="MDV147" s="24"/>
      <c r="MDW147" s="24"/>
      <c r="MDX147" s="24"/>
      <c r="MDY147" s="24"/>
      <c r="MDZ147" s="24"/>
      <c r="MEA147" s="24"/>
      <c r="MEB147" s="24"/>
      <c r="MEC147" s="24"/>
      <c r="MED147" s="24"/>
      <c r="MEE147" s="24"/>
      <c r="MEF147" s="24"/>
      <c r="MEG147" s="24"/>
      <c r="MEH147" s="24"/>
      <c r="MEI147" s="24"/>
      <c r="MEJ147" s="24"/>
      <c r="MEK147" s="24"/>
      <c r="MEL147" s="24"/>
      <c r="MEM147" s="24"/>
      <c r="MEN147" s="24"/>
      <c r="MEO147" s="24"/>
      <c r="MEP147" s="24"/>
      <c r="MEQ147" s="24"/>
      <c r="MER147" s="24"/>
      <c r="MES147" s="24"/>
      <c r="MET147" s="24"/>
      <c r="MEU147" s="24"/>
      <c r="MEV147" s="24"/>
      <c r="MEW147" s="24"/>
      <c r="MEX147" s="24"/>
      <c r="MEY147" s="24"/>
      <c r="MEZ147" s="24"/>
      <c r="MFA147" s="24"/>
      <c r="MFB147" s="24"/>
      <c r="MFC147" s="24"/>
      <c r="MFD147" s="24"/>
      <c r="MFE147" s="24"/>
      <c r="MFF147" s="24"/>
      <c r="MFG147" s="24"/>
      <c r="MFH147" s="24"/>
      <c r="MFI147" s="24"/>
      <c r="MFJ147" s="24"/>
      <c r="MFK147" s="24"/>
      <c r="MFL147" s="24"/>
      <c r="MFM147" s="24"/>
      <c r="MFN147" s="24"/>
      <c r="MFO147" s="24"/>
      <c r="MFP147" s="24"/>
      <c r="MFQ147" s="24"/>
      <c r="MFR147" s="24"/>
      <c r="MFS147" s="24"/>
      <c r="MFT147" s="24"/>
      <c r="MFU147" s="24"/>
      <c r="MFV147" s="24"/>
      <c r="MFW147" s="24"/>
      <c r="MFX147" s="24"/>
      <c r="MFY147" s="24"/>
      <c r="MFZ147" s="24"/>
      <c r="MGA147" s="24"/>
      <c r="MGB147" s="24"/>
      <c r="MGC147" s="24"/>
      <c r="MGD147" s="24"/>
      <c r="MGE147" s="24"/>
      <c r="MGF147" s="24"/>
      <c r="MGG147" s="24"/>
      <c r="MGH147" s="24"/>
      <c r="MGI147" s="24"/>
      <c r="MGJ147" s="24"/>
      <c r="MGK147" s="24"/>
      <c r="MGL147" s="24"/>
      <c r="MGM147" s="24"/>
      <c r="MGN147" s="24"/>
      <c r="MGO147" s="24"/>
      <c r="MGP147" s="24"/>
      <c r="MGQ147" s="24"/>
      <c r="MGR147" s="24"/>
      <c r="MGS147" s="24"/>
      <c r="MGT147" s="24"/>
      <c r="MGU147" s="24"/>
      <c r="MGV147" s="24"/>
      <c r="MGW147" s="24"/>
      <c r="MGX147" s="24"/>
      <c r="MGY147" s="24"/>
      <c r="MGZ147" s="24"/>
      <c r="MHA147" s="24"/>
      <c r="MHB147" s="24"/>
      <c r="MHC147" s="24"/>
      <c r="MHD147" s="24"/>
      <c r="MHE147" s="24"/>
      <c r="MHF147" s="24"/>
      <c r="MHG147" s="24"/>
      <c r="MHH147" s="24"/>
      <c r="MHI147" s="24"/>
      <c r="MHJ147" s="24"/>
      <c r="MHK147" s="24"/>
      <c r="MHL147" s="24"/>
      <c r="MHM147" s="24"/>
      <c r="MHN147" s="24"/>
      <c r="MHO147" s="24"/>
      <c r="MHP147" s="24"/>
      <c r="MHQ147" s="24"/>
      <c r="MHR147" s="24"/>
      <c r="MHS147" s="24"/>
      <c r="MHT147" s="24"/>
      <c r="MHU147" s="24"/>
      <c r="MHV147" s="24"/>
      <c r="MHW147" s="24"/>
      <c r="MHX147" s="24"/>
      <c r="MHY147" s="24"/>
      <c r="MHZ147" s="24"/>
      <c r="MIA147" s="24"/>
      <c r="MIB147" s="24"/>
      <c r="MIC147" s="24"/>
      <c r="MID147" s="24"/>
      <c r="MIE147" s="24"/>
      <c r="MIF147" s="24"/>
      <c r="MIG147" s="24"/>
      <c r="MIH147" s="24"/>
      <c r="MII147" s="24"/>
      <c r="MIJ147" s="24"/>
      <c r="MIK147" s="24"/>
      <c r="MIL147" s="24"/>
      <c r="MIM147" s="24"/>
      <c r="MIN147" s="24"/>
      <c r="MIO147" s="24"/>
      <c r="MIP147" s="24"/>
      <c r="MIQ147" s="24"/>
      <c r="MIR147" s="24"/>
      <c r="MIS147" s="24"/>
      <c r="MIT147" s="24"/>
      <c r="MIU147" s="24"/>
      <c r="MIV147" s="24"/>
      <c r="MIW147" s="24"/>
      <c r="MIX147" s="24"/>
      <c r="MIY147" s="24"/>
      <c r="MIZ147" s="24"/>
      <c r="MJA147" s="24"/>
      <c r="MJB147" s="24"/>
      <c r="MJC147" s="24"/>
      <c r="MJD147" s="24"/>
      <c r="MJE147" s="24"/>
      <c r="MJF147" s="24"/>
      <c r="MJG147" s="24"/>
      <c r="MJH147" s="24"/>
      <c r="MJI147" s="24"/>
      <c r="MJJ147" s="24"/>
      <c r="MJK147" s="24"/>
      <c r="MJL147" s="24"/>
      <c r="MJM147" s="24"/>
      <c r="MJN147" s="24"/>
      <c r="MJO147" s="24"/>
      <c r="MJP147" s="24"/>
      <c r="MJQ147" s="24"/>
      <c r="MJR147" s="24"/>
      <c r="MJS147" s="24"/>
      <c r="MJT147" s="24"/>
      <c r="MJU147" s="24"/>
      <c r="MJV147" s="24"/>
      <c r="MJW147" s="24"/>
      <c r="MJX147" s="24"/>
      <c r="MJY147" s="24"/>
      <c r="MJZ147" s="24"/>
      <c r="MKA147" s="24"/>
      <c r="MKB147" s="24"/>
      <c r="MKC147" s="24"/>
      <c r="MKD147" s="24"/>
      <c r="MKE147" s="24"/>
      <c r="MKF147" s="24"/>
      <c r="MKG147" s="24"/>
      <c r="MKH147" s="24"/>
      <c r="MKI147" s="24"/>
      <c r="MKJ147" s="24"/>
      <c r="MKK147" s="24"/>
      <c r="MKL147" s="24"/>
      <c r="MKM147" s="24"/>
      <c r="MKN147" s="24"/>
      <c r="MKO147" s="24"/>
      <c r="MKP147" s="24"/>
      <c r="MKQ147" s="24"/>
      <c r="MKR147" s="24"/>
      <c r="MKS147" s="24"/>
      <c r="MKT147" s="24"/>
      <c r="MKU147" s="24"/>
      <c r="MKV147" s="24"/>
      <c r="MKW147" s="24"/>
      <c r="MKX147" s="24"/>
      <c r="MKY147" s="24"/>
      <c r="MKZ147" s="24"/>
      <c r="MLA147" s="24"/>
      <c r="MLB147" s="24"/>
      <c r="MLC147" s="24"/>
      <c r="MLD147" s="24"/>
      <c r="MLE147" s="24"/>
      <c r="MLF147" s="24"/>
      <c r="MLG147" s="24"/>
      <c r="MLH147" s="24"/>
      <c r="MLI147" s="24"/>
      <c r="MLJ147" s="24"/>
      <c r="MLK147" s="24"/>
      <c r="MLL147" s="24"/>
      <c r="MLM147" s="24"/>
      <c r="MLN147" s="24"/>
      <c r="MLO147" s="24"/>
      <c r="MLP147" s="24"/>
      <c r="MLQ147" s="24"/>
      <c r="MLR147" s="24"/>
      <c r="MLS147" s="24"/>
      <c r="MLT147" s="24"/>
      <c r="MLU147" s="24"/>
      <c r="MLV147" s="24"/>
      <c r="MLW147" s="24"/>
      <c r="MLX147" s="24"/>
      <c r="MLY147" s="24"/>
      <c r="MLZ147" s="24"/>
      <c r="MMA147" s="24"/>
      <c r="MMB147" s="24"/>
      <c r="MMC147" s="24"/>
      <c r="MMD147" s="24"/>
      <c r="MME147" s="24"/>
      <c r="MMF147" s="24"/>
      <c r="MMG147" s="24"/>
      <c r="MMH147" s="24"/>
      <c r="MMI147" s="24"/>
      <c r="MMJ147" s="24"/>
      <c r="MMK147" s="24"/>
      <c r="MML147" s="24"/>
      <c r="MMM147" s="24"/>
      <c r="MMN147" s="24"/>
      <c r="MMO147" s="24"/>
      <c r="MMP147" s="24"/>
      <c r="MMQ147" s="24"/>
      <c r="MMR147" s="24"/>
      <c r="MMS147" s="24"/>
      <c r="MMT147" s="24"/>
      <c r="MMU147" s="24"/>
      <c r="MMV147" s="24"/>
      <c r="MMW147" s="24"/>
      <c r="MMX147" s="24"/>
      <c r="MMY147" s="24"/>
      <c r="MMZ147" s="24"/>
      <c r="MNA147" s="24"/>
      <c r="MNB147" s="24"/>
      <c r="MNC147" s="24"/>
      <c r="MND147" s="24"/>
      <c r="MNE147" s="24"/>
      <c r="MNF147" s="24"/>
      <c r="MNG147" s="24"/>
      <c r="MNH147" s="24"/>
      <c r="MNI147" s="24"/>
      <c r="MNJ147" s="24"/>
      <c r="MNK147" s="24"/>
      <c r="MNL147" s="24"/>
      <c r="MNM147" s="24"/>
      <c r="MNN147" s="24"/>
      <c r="MNO147" s="24"/>
      <c r="MNP147" s="24"/>
      <c r="MNQ147" s="24"/>
      <c r="MNR147" s="24"/>
      <c r="MNS147" s="24"/>
      <c r="MNT147" s="24"/>
      <c r="MNU147" s="24"/>
      <c r="MNV147" s="24"/>
      <c r="MNW147" s="24"/>
      <c r="MNX147" s="24"/>
      <c r="MNY147" s="24"/>
      <c r="MNZ147" s="24"/>
      <c r="MOA147" s="24"/>
      <c r="MOB147" s="24"/>
      <c r="MOC147" s="24"/>
      <c r="MOD147" s="24"/>
      <c r="MOE147" s="24"/>
      <c r="MOF147" s="24"/>
      <c r="MOG147" s="24"/>
      <c r="MOH147" s="24"/>
      <c r="MOI147" s="24"/>
      <c r="MOJ147" s="24"/>
      <c r="MOK147" s="24"/>
      <c r="MOL147" s="24"/>
      <c r="MOM147" s="24"/>
      <c r="MON147" s="24"/>
      <c r="MOO147" s="24"/>
      <c r="MOP147" s="24"/>
      <c r="MOQ147" s="24"/>
      <c r="MOR147" s="24"/>
      <c r="MOS147" s="24"/>
      <c r="MOT147" s="24"/>
      <c r="MOU147" s="24"/>
      <c r="MOV147" s="24"/>
      <c r="MOW147" s="24"/>
      <c r="MOX147" s="24"/>
      <c r="MOY147" s="24"/>
      <c r="MOZ147" s="24"/>
      <c r="MPA147" s="24"/>
      <c r="MPB147" s="24"/>
      <c r="MPC147" s="24"/>
      <c r="MPD147" s="24"/>
      <c r="MPE147" s="24"/>
      <c r="MPF147" s="24"/>
      <c r="MPG147" s="24"/>
      <c r="MPH147" s="24"/>
      <c r="MPI147" s="24"/>
      <c r="MPJ147" s="24"/>
      <c r="MPK147" s="24"/>
      <c r="MPL147" s="24"/>
      <c r="MPM147" s="24"/>
      <c r="MPN147" s="24"/>
      <c r="MPO147" s="24"/>
      <c r="MPP147" s="24"/>
      <c r="MPQ147" s="24"/>
      <c r="MPR147" s="24"/>
      <c r="MPS147" s="24"/>
      <c r="MPT147" s="24"/>
      <c r="MPU147" s="24"/>
      <c r="MPV147" s="24"/>
      <c r="MPW147" s="24"/>
      <c r="MPX147" s="24"/>
      <c r="MPY147" s="24"/>
      <c r="MPZ147" s="24"/>
      <c r="MQA147" s="24"/>
      <c r="MQB147" s="24"/>
      <c r="MQC147" s="24"/>
      <c r="MQD147" s="24"/>
      <c r="MQE147" s="24"/>
      <c r="MQF147" s="24"/>
      <c r="MQG147" s="24"/>
      <c r="MQH147" s="24"/>
      <c r="MQI147" s="24"/>
      <c r="MQJ147" s="24"/>
      <c r="MQK147" s="24"/>
      <c r="MQL147" s="24"/>
      <c r="MQM147" s="24"/>
      <c r="MQN147" s="24"/>
      <c r="MQO147" s="24"/>
      <c r="MQP147" s="24"/>
      <c r="MQQ147" s="24"/>
      <c r="MQR147" s="24"/>
      <c r="MQS147" s="24"/>
      <c r="MQT147" s="24"/>
      <c r="MQU147" s="24"/>
      <c r="MQV147" s="24"/>
      <c r="MQW147" s="24"/>
      <c r="MQX147" s="24"/>
      <c r="MQY147" s="24"/>
      <c r="MQZ147" s="24"/>
      <c r="MRA147" s="24"/>
      <c r="MRB147" s="24"/>
      <c r="MRC147" s="24"/>
      <c r="MRD147" s="24"/>
      <c r="MRE147" s="24"/>
      <c r="MRF147" s="24"/>
      <c r="MRG147" s="24"/>
      <c r="MRH147" s="24"/>
      <c r="MRI147" s="24"/>
      <c r="MRJ147" s="24"/>
      <c r="MRK147" s="24"/>
      <c r="MRL147" s="24"/>
      <c r="MRM147" s="24"/>
      <c r="MRN147" s="24"/>
      <c r="MRO147" s="24"/>
      <c r="MRP147" s="24"/>
      <c r="MRQ147" s="24"/>
      <c r="MRR147" s="24"/>
      <c r="MRS147" s="24"/>
      <c r="MRT147" s="24"/>
      <c r="MRU147" s="24"/>
      <c r="MRV147" s="24"/>
      <c r="MRW147" s="24"/>
      <c r="MRX147" s="24"/>
      <c r="MRY147" s="24"/>
      <c r="MRZ147" s="24"/>
      <c r="MSA147" s="24"/>
      <c r="MSB147" s="24"/>
      <c r="MSC147" s="24"/>
      <c r="MSD147" s="24"/>
      <c r="MSE147" s="24"/>
      <c r="MSF147" s="24"/>
      <c r="MSG147" s="24"/>
      <c r="MSH147" s="24"/>
      <c r="MSI147" s="24"/>
      <c r="MSJ147" s="24"/>
      <c r="MSK147" s="24"/>
      <c r="MSL147" s="24"/>
      <c r="MSM147" s="24"/>
      <c r="MSN147" s="24"/>
      <c r="MSO147" s="24"/>
      <c r="MSP147" s="24"/>
      <c r="MSQ147" s="24"/>
      <c r="MSR147" s="24"/>
      <c r="MSS147" s="24"/>
      <c r="MST147" s="24"/>
      <c r="MSU147" s="24"/>
      <c r="MSV147" s="24"/>
      <c r="MSW147" s="24"/>
      <c r="MSX147" s="24"/>
      <c r="MSY147" s="24"/>
      <c r="MSZ147" s="24"/>
      <c r="MTA147" s="24"/>
      <c r="MTB147" s="24"/>
      <c r="MTC147" s="24"/>
      <c r="MTD147" s="24"/>
      <c r="MTE147" s="24"/>
      <c r="MTF147" s="24"/>
      <c r="MTG147" s="24"/>
      <c r="MTH147" s="24"/>
      <c r="MTI147" s="24"/>
      <c r="MTJ147" s="24"/>
      <c r="MTK147" s="24"/>
      <c r="MTL147" s="24"/>
      <c r="MTM147" s="24"/>
      <c r="MTN147" s="24"/>
      <c r="MTO147" s="24"/>
      <c r="MTP147" s="24"/>
      <c r="MTQ147" s="24"/>
      <c r="MTR147" s="24"/>
      <c r="MTS147" s="24"/>
      <c r="MTT147" s="24"/>
      <c r="MTU147" s="24"/>
      <c r="MTV147" s="24"/>
      <c r="MTW147" s="24"/>
      <c r="MTX147" s="24"/>
      <c r="MTY147" s="24"/>
      <c r="MTZ147" s="24"/>
      <c r="MUA147" s="24"/>
      <c r="MUB147" s="24"/>
      <c r="MUC147" s="24"/>
      <c r="MUD147" s="24"/>
      <c r="MUE147" s="24"/>
      <c r="MUF147" s="24"/>
      <c r="MUG147" s="24"/>
      <c r="MUH147" s="24"/>
      <c r="MUI147" s="24"/>
      <c r="MUJ147" s="24"/>
      <c r="MUK147" s="24"/>
      <c r="MUL147" s="24"/>
      <c r="MUM147" s="24"/>
      <c r="MUN147" s="24"/>
      <c r="MUO147" s="24"/>
      <c r="MUP147" s="24"/>
      <c r="MUQ147" s="24"/>
      <c r="MUR147" s="24"/>
      <c r="MUS147" s="24"/>
      <c r="MUT147" s="24"/>
      <c r="MUU147" s="24"/>
      <c r="MUV147" s="24"/>
      <c r="MUW147" s="24"/>
      <c r="MUX147" s="24"/>
      <c r="MUY147" s="24"/>
      <c r="MUZ147" s="24"/>
      <c r="MVA147" s="24"/>
      <c r="MVB147" s="24"/>
      <c r="MVC147" s="24"/>
      <c r="MVD147" s="24"/>
      <c r="MVE147" s="24"/>
      <c r="MVF147" s="24"/>
      <c r="MVG147" s="24"/>
      <c r="MVH147" s="24"/>
      <c r="MVI147" s="24"/>
      <c r="MVJ147" s="24"/>
      <c r="MVK147" s="24"/>
      <c r="MVL147" s="24"/>
      <c r="MVM147" s="24"/>
      <c r="MVN147" s="24"/>
      <c r="MVO147" s="24"/>
      <c r="MVP147" s="24"/>
      <c r="MVQ147" s="24"/>
      <c r="MVR147" s="24"/>
      <c r="MVS147" s="24"/>
      <c r="MVT147" s="24"/>
      <c r="MVU147" s="24"/>
      <c r="MVV147" s="24"/>
      <c r="MVW147" s="24"/>
      <c r="MVX147" s="24"/>
      <c r="MVY147" s="24"/>
      <c r="MVZ147" s="24"/>
      <c r="MWA147" s="24"/>
      <c r="MWB147" s="24"/>
      <c r="MWC147" s="24"/>
      <c r="MWD147" s="24"/>
      <c r="MWE147" s="24"/>
      <c r="MWF147" s="24"/>
      <c r="MWG147" s="24"/>
      <c r="MWH147" s="24"/>
      <c r="MWI147" s="24"/>
      <c r="MWJ147" s="24"/>
      <c r="MWK147" s="24"/>
      <c r="MWL147" s="24"/>
      <c r="MWM147" s="24"/>
      <c r="MWN147" s="24"/>
      <c r="MWO147" s="24"/>
      <c r="MWP147" s="24"/>
      <c r="MWQ147" s="24"/>
      <c r="MWR147" s="24"/>
      <c r="MWS147" s="24"/>
      <c r="MWT147" s="24"/>
      <c r="MWU147" s="24"/>
      <c r="MWV147" s="24"/>
      <c r="MWW147" s="24"/>
      <c r="MWX147" s="24"/>
      <c r="MWY147" s="24"/>
      <c r="MWZ147" s="24"/>
      <c r="MXA147" s="24"/>
      <c r="MXB147" s="24"/>
      <c r="MXC147" s="24"/>
      <c r="MXD147" s="24"/>
      <c r="MXE147" s="24"/>
      <c r="MXF147" s="24"/>
      <c r="MXG147" s="24"/>
      <c r="MXH147" s="24"/>
      <c r="MXI147" s="24"/>
      <c r="MXJ147" s="24"/>
      <c r="MXK147" s="24"/>
      <c r="MXL147" s="24"/>
      <c r="MXM147" s="24"/>
      <c r="MXN147" s="24"/>
      <c r="MXO147" s="24"/>
      <c r="MXP147" s="24"/>
      <c r="MXQ147" s="24"/>
      <c r="MXR147" s="24"/>
      <c r="MXS147" s="24"/>
      <c r="MXT147" s="24"/>
      <c r="MXU147" s="24"/>
      <c r="MXV147" s="24"/>
      <c r="MXW147" s="24"/>
      <c r="MXX147" s="24"/>
      <c r="MXY147" s="24"/>
      <c r="MXZ147" s="24"/>
      <c r="MYA147" s="24"/>
      <c r="MYB147" s="24"/>
      <c r="MYC147" s="24"/>
      <c r="MYD147" s="24"/>
      <c r="MYE147" s="24"/>
      <c r="MYF147" s="24"/>
      <c r="MYG147" s="24"/>
      <c r="MYH147" s="24"/>
      <c r="MYI147" s="24"/>
      <c r="MYJ147" s="24"/>
      <c r="MYK147" s="24"/>
      <c r="MYL147" s="24"/>
      <c r="MYM147" s="24"/>
      <c r="MYN147" s="24"/>
      <c r="MYO147" s="24"/>
      <c r="MYP147" s="24"/>
      <c r="MYQ147" s="24"/>
      <c r="MYR147" s="24"/>
      <c r="MYS147" s="24"/>
      <c r="MYT147" s="24"/>
      <c r="MYU147" s="24"/>
      <c r="MYV147" s="24"/>
      <c r="MYW147" s="24"/>
      <c r="MYX147" s="24"/>
      <c r="MYY147" s="24"/>
      <c r="MYZ147" s="24"/>
      <c r="MZA147" s="24"/>
      <c r="MZB147" s="24"/>
      <c r="MZC147" s="24"/>
      <c r="MZD147" s="24"/>
      <c r="MZE147" s="24"/>
      <c r="MZF147" s="24"/>
      <c r="MZG147" s="24"/>
      <c r="MZH147" s="24"/>
      <c r="MZI147" s="24"/>
      <c r="MZJ147" s="24"/>
      <c r="MZK147" s="24"/>
      <c r="MZL147" s="24"/>
      <c r="MZM147" s="24"/>
      <c r="MZN147" s="24"/>
      <c r="MZO147" s="24"/>
      <c r="MZP147" s="24"/>
      <c r="MZQ147" s="24"/>
      <c r="MZR147" s="24"/>
      <c r="MZS147" s="24"/>
      <c r="MZT147" s="24"/>
      <c r="MZU147" s="24"/>
      <c r="MZV147" s="24"/>
      <c r="MZW147" s="24"/>
      <c r="MZX147" s="24"/>
      <c r="MZY147" s="24"/>
      <c r="MZZ147" s="24"/>
      <c r="NAA147" s="24"/>
      <c r="NAB147" s="24"/>
      <c r="NAC147" s="24"/>
      <c r="NAD147" s="24"/>
      <c r="NAE147" s="24"/>
      <c r="NAF147" s="24"/>
      <c r="NAG147" s="24"/>
      <c r="NAH147" s="24"/>
      <c r="NAI147" s="24"/>
      <c r="NAJ147" s="24"/>
      <c r="NAK147" s="24"/>
      <c r="NAL147" s="24"/>
      <c r="NAM147" s="24"/>
      <c r="NAN147" s="24"/>
      <c r="NAO147" s="24"/>
      <c r="NAP147" s="24"/>
      <c r="NAQ147" s="24"/>
      <c r="NAR147" s="24"/>
      <c r="NAS147" s="24"/>
      <c r="NAT147" s="24"/>
      <c r="NAU147" s="24"/>
      <c r="NAV147" s="24"/>
      <c r="NAW147" s="24"/>
      <c r="NAX147" s="24"/>
      <c r="NAY147" s="24"/>
      <c r="NAZ147" s="24"/>
      <c r="NBA147" s="24"/>
      <c r="NBB147" s="24"/>
      <c r="NBC147" s="24"/>
      <c r="NBD147" s="24"/>
      <c r="NBE147" s="24"/>
      <c r="NBF147" s="24"/>
      <c r="NBG147" s="24"/>
      <c r="NBH147" s="24"/>
      <c r="NBI147" s="24"/>
      <c r="NBJ147" s="24"/>
      <c r="NBK147" s="24"/>
      <c r="NBL147" s="24"/>
      <c r="NBM147" s="24"/>
      <c r="NBN147" s="24"/>
      <c r="NBO147" s="24"/>
      <c r="NBP147" s="24"/>
      <c r="NBQ147" s="24"/>
      <c r="NBR147" s="24"/>
      <c r="NBS147" s="24"/>
      <c r="NBT147" s="24"/>
      <c r="NBU147" s="24"/>
      <c r="NBV147" s="24"/>
      <c r="NBW147" s="24"/>
      <c r="NBX147" s="24"/>
      <c r="NBY147" s="24"/>
      <c r="NBZ147" s="24"/>
      <c r="NCA147" s="24"/>
      <c r="NCB147" s="24"/>
      <c r="NCC147" s="24"/>
      <c r="NCD147" s="24"/>
      <c r="NCE147" s="24"/>
      <c r="NCF147" s="24"/>
      <c r="NCG147" s="24"/>
      <c r="NCH147" s="24"/>
      <c r="NCI147" s="24"/>
      <c r="NCJ147" s="24"/>
      <c r="NCK147" s="24"/>
      <c r="NCL147" s="24"/>
      <c r="NCM147" s="24"/>
      <c r="NCN147" s="24"/>
      <c r="NCO147" s="24"/>
      <c r="NCP147" s="24"/>
      <c r="NCQ147" s="24"/>
      <c r="NCR147" s="24"/>
      <c r="NCS147" s="24"/>
      <c r="NCT147" s="24"/>
      <c r="NCU147" s="24"/>
      <c r="NCV147" s="24"/>
      <c r="NCW147" s="24"/>
      <c r="NCX147" s="24"/>
      <c r="NCY147" s="24"/>
      <c r="NCZ147" s="24"/>
      <c r="NDA147" s="24"/>
      <c r="NDB147" s="24"/>
      <c r="NDC147" s="24"/>
      <c r="NDD147" s="24"/>
      <c r="NDE147" s="24"/>
      <c r="NDF147" s="24"/>
      <c r="NDG147" s="24"/>
      <c r="NDH147" s="24"/>
      <c r="NDI147" s="24"/>
      <c r="NDJ147" s="24"/>
      <c r="NDK147" s="24"/>
      <c r="NDL147" s="24"/>
      <c r="NDM147" s="24"/>
      <c r="NDN147" s="24"/>
      <c r="NDO147" s="24"/>
      <c r="NDP147" s="24"/>
      <c r="NDQ147" s="24"/>
      <c r="NDR147" s="24"/>
      <c r="NDS147" s="24"/>
      <c r="NDT147" s="24"/>
      <c r="NDU147" s="24"/>
      <c r="NDV147" s="24"/>
      <c r="NDW147" s="24"/>
      <c r="NDX147" s="24"/>
      <c r="NDY147" s="24"/>
      <c r="NDZ147" s="24"/>
      <c r="NEA147" s="24"/>
      <c r="NEB147" s="24"/>
      <c r="NEC147" s="24"/>
      <c r="NED147" s="24"/>
      <c r="NEE147" s="24"/>
      <c r="NEF147" s="24"/>
      <c r="NEG147" s="24"/>
      <c r="NEH147" s="24"/>
      <c r="NEI147" s="24"/>
      <c r="NEJ147" s="24"/>
      <c r="NEK147" s="24"/>
      <c r="NEL147" s="24"/>
      <c r="NEM147" s="24"/>
      <c r="NEN147" s="24"/>
      <c r="NEO147" s="24"/>
      <c r="NEP147" s="24"/>
      <c r="NEQ147" s="24"/>
      <c r="NER147" s="24"/>
      <c r="NES147" s="24"/>
      <c r="NET147" s="24"/>
      <c r="NEU147" s="24"/>
      <c r="NEV147" s="24"/>
      <c r="NEW147" s="24"/>
      <c r="NEX147" s="24"/>
      <c r="NEY147" s="24"/>
      <c r="NEZ147" s="24"/>
      <c r="NFA147" s="24"/>
      <c r="NFB147" s="24"/>
      <c r="NFC147" s="24"/>
      <c r="NFD147" s="24"/>
      <c r="NFE147" s="24"/>
      <c r="NFF147" s="24"/>
      <c r="NFG147" s="24"/>
      <c r="NFH147" s="24"/>
      <c r="NFI147" s="24"/>
      <c r="NFJ147" s="24"/>
      <c r="NFK147" s="24"/>
      <c r="NFL147" s="24"/>
      <c r="NFM147" s="24"/>
      <c r="NFN147" s="24"/>
      <c r="NFO147" s="24"/>
      <c r="NFP147" s="24"/>
      <c r="NFQ147" s="24"/>
      <c r="NFR147" s="24"/>
      <c r="NFS147" s="24"/>
      <c r="NFT147" s="24"/>
      <c r="NFU147" s="24"/>
      <c r="NFV147" s="24"/>
      <c r="NFW147" s="24"/>
      <c r="NFX147" s="24"/>
      <c r="NFY147" s="24"/>
      <c r="NFZ147" s="24"/>
      <c r="NGA147" s="24"/>
      <c r="NGB147" s="24"/>
      <c r="NGC147" s="24"/>
      <c r="NGD147" s="24"/>
      <c r="NGE147" s="24"/>
      <c r="NGF147" s="24"/>
      <c r="NGG147" s="24"/>
      <c r="NGH147" s="24"/>
      <c r="NGI147" s="24"/>
      <c r="NGJ147" s="24"/>
      <c r="NGK147" s="24"/>
      <c r="NGL147" s="24"/>
      <c r="NGM147" s="24"/>
      <c r="NGN147" s="24"/>
      <c r="NGO147" s="24"/>
      <c r="NGP147" s="24"/>
      <c r="NGQ147" s="24"/>
      <c r="NGR147" s="24"/>
      <c r="NGS147" s="24"/>
      <c r="NGT147" s="24"/>
      <c r="NGU147" s="24"/>
      <c r="NGV147" s="24"/>
      <c r="NGW147" s="24"/>
      <c r="NGX147" s="24"/>
      <c r="NGY147" s="24"/>
      <c r="NGZ147" s="24"/>
      <c r="NHA147" s="24"/>
      <c r="NHB147" s="24"/>
      <c r="NHC147" s="24"/>
      <c r="NHD147" s="24"/>
      <c r="NHE147" s="24"/>
      <c r="NHF147" s="24"/>
      <c r="NHG147" s="24"/>
      <c r="NHH147" s="24"/>
      <c r="NHI147" s="24"/>
      <c r="NHJ147" s="24"/>
      <c r="NHK147" s="24"/>
      <c r="NHL147" s="24"/>
      <c r="NHM147" s="24"/>
      <c r="NHN147" s="24"/>
      <c r="NHO147" s="24"/>
      <c r="NHP147" s="24"/>
      <c r="NHQ147" s="24"/>
      <c r="NHR147" s="24"/>
      <c r="NHS147" s="24"/>
      <c r="NHT147" s="24"/>
      <c r="NHU147" s="24"/>
      <c r="NHV147" s="24"/>
      <c r="NHW147" s="24"/>
      <c r="NHX147" s="24"/>
      <c r="NHY147" s="24"/>
      <c r="NHZ147" s="24"/>
      <c r="NIA147" s="24"/>
      <c r="NIB147" s="24"/>
      <c r="NIC147" s="24"/>
      <c r="NID147" s="24"/>
      <c r="NIE147" s="24"/>
      <c r="NIF147" s="24"/>
      <c r="NIG147" s="24"/>
      <c r="NIH147" s="24"/>
      <c r="NII147" s="24"/>
      <c r="NIJ147" s="24"/>
      <c r="NIK147" s="24"/>
      <c r="NIL147" s="24"/>
      <c r="NIM147" s="24"/>
      <c r="NIN147" s="24"/>
      <c r="NIO147" s="24"/>
      <c r="NIP147" s="24"/>
      <c r="NIQ147" s="24"/>
      <c r="NIR147" s="24"/>
      <c r="NIS147" s="24"/>
      <c r="NIT147" s="24"/>
      <c r="NIU147" s="24"/>
      <c r="NIV147" s="24"/>
      <c r="NIW147" s="24"/>
      <c r="NIX147" s="24"/>
      <c r="NIY147" s="24"/>
      <c r="NIZ147" s="24"/>
      <c r="NJA147" s="24"/>
      <c r="NJB147" s="24"/>
      <c r="NJC147" s="24"/>
      <c r="NJD147" s="24"/>
      <c r="NJE147" s="24"/>
      <c r="NJF147" s="24"/>
      <c r="NJG147" s="24"/>
      <c r="NJH147" s="24"/>
      <c r="NJI147" s="24"/>
      <c r="NJJ147" s="24"/>
      <c r="NJK147" s="24"/>
      <c r="NJL147" s="24"/>
      <c r="NJM147" s="24"/>
      <c r="NJN147" s="24"/>
      <c r="NJO147" s="24"/>
      <c r="NJP147" s="24"/>
      <c r="NJQ147" s="24"/>
      <c r="NJR147" s="24"/>
      <c r="NJS147" s="24"/>
      <c r="NJT147" s="24"/>
      <c r="NJU147" s="24"/>
      <c r="NJV147" s="24"/>
      <c r="NJW147" s="24"/>
      <c r="NJX147" s="24"/>
      <c r="NJY147" s="24"/>
      <c r="NJZ147" s="24"/>
      <c r="NKA147" s="24"/>
      <c r="NKB147" s="24"/>
      <c r="NKC147" s="24"/>
      <c r="NKD147" s="24"/>
      <c r="NKE147" s="24"/>
      <c r="NKF147" s="24"/>
      <c r="NKG147" s="24"/>
      <c r="NKH147" s="24"/>
      <c r="NKI147" s="24"/>
      <c r="NKJ147" s="24"/>
      <c r="NKK147" s="24"/>
      <c r="NKL147" s="24"/>
      <c r="NKM147" s="24"/>
      <c r="NKN147" s="24"/>
      <c r="NKO147" s="24"/>
      <c r="NKP147" s="24"/>
      <c r="NKQ147" s="24"/>
      <c r="NKR147" s="24"/>
      <c r="NKS147" s="24"/>
      <c r="NKT147" s="24"/>
      <c r="NKU147" s="24"/>
      <c r="NKV147" s="24"/>
      <c r="NKW147" s="24"/>
      <c r="NKX147" s="24"/>
      <c r="NKY147" s="24"/>
      <c r="NKZ147" s="24"/>
      <c r="NLA147" s="24"/>
      <c r="NLB147" s="24"/>
      <c r="NLC147" s="24"/>
      <c r="NLD147" s="24"/>
      <c r="NLE147" s="24"/>
      <c r="NLF147" s="24"/>
      <c r="NLG147" s="24"/>
      <c r="NLH147" s="24"/>
      <c r="NLI147" s="24"/>
      <c r="NLJ147" s="24"/>
      <c r="NLK147" s="24"/>
      <c r="NLL147" s="24"/>
      <c r="NLM147" s="24"/>
      <c r="NLN147" s="24"/>
      <c r="NLO147" s="24"/>
      <c r="NLP147" s="24"/>
      <c r="NLQ147" s="24"/>
      <c r="NLR147" s="24"/>
      <c r="NLS147" s="24"/>
      <c r="NLT147" s="24"/>
      <c r="NLU147" s="24"/>
      <c r="NLV147" s="24"/>
      <c r="NLW147" s="24"/>
      <c r="NLX147" s="24"/>
      <c r="NLY147" s="24"/>
      <c r="NLZ147" s="24"/>
      <c r="NMA147" s="24"/>
      <c r="NMB147" s="24"/>
      <c r="NMC147" s="24"/>
      <c r="NMD147" s="24"/>
      <c r="NME147" s="24"/>
      <c r="NMF147" s="24"/>
      <c r="NMG147" s="24"/>
      <c r="NMH147" s="24"/>
      <c r="NMI147" s="24"/>
      <c r="NMJ147" s="24"/>
      <c r="NMK147" s="24"/>
      <c r="NML147" s="24"/>
      <c r="NMM147" s="24"/>
      <c r="NMN147" s="24"/>
      <c r="NMO147" s="24"/>
      <c r="NMP147" s="24"/>
      <c r="NMQ147" s="24"/>
      <c r="NMR147" s="24"/>
      <c r="NMS147" s="24"/>
      <c r="NMT147" s="24"/>
      <c r="NMU147" s="24"/>
      <c r="NMV147" s="24"/>
      <c r="NMW147" s="24"/>
      <c r="NMX147" s="24"/>
      <c r="NMY147" s="24"/>
      <c r="NMZ147" s="24"/>
      <c r="NNA147" s="24"/>
      <c r="NNB147" s="24"/>
      <c r="NNC147" s="24"/>
      <c r="NND147" s="24"/>
      <c r="NNE147" s="24"/>
      <c r="NNF147" s="24"/>
      <c r="NNG147" s="24"/>
      <c r="NNH147" s="24"/>
      <c r="NNI147" s="24"/>
      <c r="NNJ147" s="24"/>
      <c r="NNK147" s="24"/>
      <c r="NNL147" s="24"/>
      <c r="NNM147" s="24"/>
      <c r="NNN147" s="24"/>
      <c r="NNO147" s="24"/>
      <c r="NNP147" s="24"/>
      <c r="NNQ147" s="24"/>
      <c r="NNR147" s="24"/>
      <c r="NNS147" s="24"/>
      <c r="NNT147" s="24"/>
      <c r="NNU147" s="24"/>
      <c r="NNV147" s="24"/>
      <c r="NNW147" s="24"/>
      <c r="NNX147" s="24"/>
      <c r="NNY147" s="24"/>
      <c r="NNZ147" s="24"/>
      <c r="NOA147" s="24"/>
      <c r="NOB147" s="24"/>
      <c r="NOC147" s="24"/>
      <c r="NOD147" s="24"/>
      <c r="NOE147" s="24"/>
      <c r="NOF147" s="24"/>
      <c r="NOG147" s="24"/>
      <c r="NOH147" s="24"/>
      <c r="NOI147" s="24"/>
      <c r="NOJ147" s="24"/>
      <c r="NOK147" s="24"/>
      <c r="NOL147" s="24"/>
      <c r="NOM147" s="24"/>
      <c r="NON147" s="24"/>
      <c r="NOO147" s="24"/>
      <c r="NOP147" s="24"/>
      <c r="NOQ147" s="24"/>
      <c r="NOR147" s="24"/>
      <c r="NOS147" s="24"/>
      <c r="NOT147" s="24"/>
      <c r="NOU147" s="24"/>
      <c r="NOV147" s="24"/>
      <c r="NOW147" s="24"/>
      <c r="NOX147" s="24"/>
      <c r="NOY147" s="24"/>
      <c r="NOZ147" s="24"/>
      <c r="NPA147" s="24"/>
      <c r="NPB147" s="24"/>
      <c r="NPC147" s="24"/>
      <c r="NPD147" s="24"/>
      <c r="NPE147" s="24"/>
      <c r="NPF147" s="24"/>
      <c r="NPG147" s="24"/>
      <c r="NPH147" s="24"/>
      <c r="NPI147" s="24"/>
      <c r="NPJ147" s="24"/>
      <c r="NPK147" s="24"/>
      <c r="NPL147" s="24"/>
      <c r="NPM147" s="24"/>
      <c r="NPN147" s="24"/>
      <c r="NPO147" s="24"/>
      <c r="NPP147" s="24"/>
      <c r="NPQ147" s="24"/>
      <c r="NPR147" s="24"/>
      <c r="NPS147" s="24"/>
      <c r="NPT147" s="24"/>
      <c r="NPU147" s="24"/>
      <c r="NPV147" s="24"/>
      <c r="NPW147" s="24"/>
      <c r="NPX147" s="24"/>
      <c r="NPY147" s="24"/>
      <c r="NPZ147" s="24"/>
      <c r="NQA147" s="24"/>
      <c r="NQB147" s="24"/>
      <c r="NQC147" s="24"/>
      <c r="NQD147" s="24"/>
      <c r="NQE147" s="24"/>
      <c r="NQF147" s="24"/>
      <c r="NQG147" s="24"/>
      <c r="NQH147" s="24"/>
      <c r="NQI147" s="24"/>
      <c r="NQJ147" s="24"/>
      <c r="NQK147" s="24"/>
      <c r="NQL147" s="24"/>
      <c r="NQM147" s="24"/>
      <c r="NQN147" s="24"/>
      <c r="NQO147" s="24"/>
      <c r="NQP147" s="24"/>
      <c r="NQQ147" s="24"/>
      <c r="NQR147" s="24"/>
      <c r="NQS147" s="24"/>
      <c r="NQT147" s="24"/>
      <c r="NQU147" s="24"/>
      <c r="NQV147" s="24"/>
      <c r="NQW147" s="24"/>
      <c r="NQX147" s="24"/>
      <c r="NQY147" s="24"/>
      <c r="NQZ147" s="24"/>
      <c r="NRA147" s="24"/>
      <c r="NRB147" s="24"/>
      <c r="NRC147" s="24"/>
      <c r="NRD147" s="24"/>
      <c r="NRE147" s="24"/>
      <c r="NRF147" s="24"/>
      <c r="NRG147" s="24"/>
      <c r="NRH147" s="24"/>
      <c r="NRI147" s="24"/>
      <c r="NRJ147" s="24"/>
      <c r="NRK147" s="24"/>
      <c r="NRL147" s="24"/>
      <c r="NRM147" s="24"/>
      <c r="NRN147" s="24"/>
      <c r="NRO147" s="24"/>
      <c r="NRP147" s="24"/>
      <c r="NRQ147" s="24"/>
      <c r="NRR147" s="24"/>
      <c r="NRS147" s="24"/>
      <c r="NRT147" s="24"/>
      <c r="NRU147" s="24"/>
      <c r="NRV147" s="24"/>
      <c r="NRW147" s="24"/>
      <c r="NRX147" s="24"/>
      <c r="NRY147" s="24"/>
      <c r="NRZ147" s="24"/>
      <c r="NSA147" s="24"/>
      <c r="NSB147" s="24"/>
      <c r="NSC147" s="24"/>
      <c r="NSD147" s="24"/>
      <c r="NSE147" s="24"/>
      <c r="NSF147" s="24"/>
      <c r="NSG147" s="24"/>
      <c r="NSH147" s="24"/>
      <c r="NSI147" s="24"/>
      <c r="NSJ147" s="24"/>
      <c r="NSK147" s="24"/>
      <c r="NSL147" s="24"/>
      <c r="NSM147" s="24"/>
      <c r="NSN147" s="24"/>
      <c r="NSO147" s="24"/>
      <c r="NSP147" s="24"/>
      <c r="NSQ147" s="24"/>
      <c r="NSR147" s="24"/>
      <c r="NSS147" s="24"/>
      <c r="NST147" s="24"/>
      <c r="NSU147" s="24"/>
      <c r="NSV147" s="24"/>
      <c r="NSW147" s="24"/>
      <c r="NSX147" s="24"/>
      <c r="NSY147" s="24"/>
      <c r="NSZ147" s="24"/>
      <c r="NTA147" s="24"/>
      <c r="NTB147" s="24"/>
      <c r="NTC147" s="24"/>
      <c r="NTD147" s="24"/>
      <c r="NTE147" s="24"/>
      <c r="NTF147" s="24"/>
      <c r="NTG147" s="24"/>
      <c r="NTH147" s="24"/>
      <c r="NTI147" s="24"/>
      <c r="NTJ147" s="24"/>
      <c r="NTK147" s="24"/>
      <c r="NTL147" s="24"/>
      <c r="NTM147" s="24"/>
      <c r="NTN147" s="24"/>
      <c r="NTO147" s="24"/>
      <c r="NTP147" s="24"/>
      <c r="NTQ147" s="24"/>
      <c r="NTR147" s="24"/>
      <c r="NTS147" s="24"/>
      <c r="NTT147" s="24"/>
      <c r="NTU147" s="24"/>
      <c r="NTV147" s="24"/>
      <c r="NTW147" s="24"/>
      <c r="NTX147" s="24"/>
      <c r="NTY147" s="24"/>
      <c r="NTZ147" s="24"/>
      <c r="NUA147" s="24"/>
      <c r="NUB147" s="24"/>
      <c r="NUC147" s="24"/>
      <c r="NUD147" s="24"/>
      <c r="NUE147" s="24"/>
      <c r="NUF147" s="24"/>
      <c r="NUG147" s="24"/>
      <c r="NUH147" s="24"/>
      <c r="NUI147" s="24"/>
      <c r="NUJ147" s="24"/>
      <c r="NUK147" s="24"/>
      <c r="NUL147" s="24"/>
      <c r="NUM147" s="24"/>
      <c r="NUN147" s="24"/>
      <c r="NUO147" s="24"/>
      <c r="NUP147" s="24"/>
      <c r="NUQ147" s="24"/>
      <c r="NUR147" s="24"/>
      <c r="NUS147" s="24"/>
      <c r="NUT147" s="24"/>
      <c r="NUU147" s="24"/>
      <c r="NUV147" s="24"/>
      <c r="NUW147" s="24"/>
      <c r="NUX147" s="24"/>
      <c r="NUY147" s="24"/>
      <c r="NUZ147" s="24"/>
      <c r="NVA147" s="24"/>
      <c r="NVB147" s="24"/>
      <c r="NVC147" s="24"/>
      <c r="NVD147" s="24"/>
      <c r="NVE147" s="24"/>
      <c r="NVF147" s="24"/>
      <c r="NVG147" s="24"/>
      <c r="NVH147" s="24"/>
      <c r="NVI147" s="24"/>
      <c r="NVJ147" s="24"/>
      <c r="NVK147" s="24"/>
      <c r="NVL147" s="24"/>
      <c r="NVM147" s="24"/>
      <c r="NVN147" s="24"/>
      <c r="NVO147" s="24"/>
      <c r="NVP147" s="24"/>
      <c r="NVQ147" s="24"/>
      <c r="NVR147" s="24"/>
      <c r="NVS147" s="24"/>
      <c r="NVT147" s="24"/>
      <c r="NVU147" s="24"/>
      <c r="NVV147" s="24"/>
      <c r="NVW147" s="24"/>
      <c r="NVX147" s="24"/>
      <c r="NVY147" s="24"/>
      <c r="NVZ147" s="24"/>
      <c r="NWA147" s="24"/>
      <c r="NWB147" s="24"/>
      <c r="NWC147" s="24"/>
      <c r="NWD147" s="24"/>
      <c r="NWE147" s="24"/>
      <c r="NWF147" s="24"/>
      <c r="NWG147" s="24"/>
      <c r="NWH147" s="24"/>
      <c r="NWI147" s="24"/>
      <c r="NWJ147" s="24"/>
      <c r="NWK147" s="24"/>
      <c r="NWL147" s="24"/>
      <c r="NWM147" s="24"/>
      <c r="NWN147" s="24"/>
      <c r="NWO147" s="24"/>
      <c r="NWP147" s="24"/>
      <c r="NWQ147" s="24"/>
      <c r="NWR147" s="24"/>
      <c r="NWS147" s="24"/>
      <c r="NWT147" s="24"/>
      <c r="NWU147" s="24"/>
      <c r="NWV147" s="24"/>
      <c r="NWW147" s="24"/>
      <c r="NWX147" s="24"/>
      <c r="NWY147" s="24"/>
      <c r="NWZ147" s="24"/>
      <c r="NXA147" s="24"/>
      <c r="NXB147" s="24"/>
      <c r="NXC147" s="24"/>
      <c r="NXD147" s="24"/>
      <c r="NXE147" s="24"/>
      <c r="NXF147" s="24"/>
      <c r="NXG147" s="24"/>
      <c r="NXH147" s="24"/>
      <c r="NXI147" s="24"/>
      <c r="NXJ147" s="24"/>
      <c r="NXK147" s="24"/>
      <c r="NXL147" s="24"/>
      <c r="NXM147" s="24"/>
      <c r="NXN147" s="24"/>
      <c r="NXO147" s="24"/>
      <c r="NXP147" s="24"/>
      <c r="NXQ147" s="24"/>
      <c r="NXR147" s="24"/>
      <c r="NXS147" s="24"/>
      <c r="NXT147" s="24"/>
      <c r="NXU147" s="24"/>
      <c r="NXV147" s="24"/>
      <c r="NXW147" s="24"/>
      <c r="NXX147" s="24"/>
      <c r="NXY147" s="24"/>
      <c r="NXZ147" s="24"/>
      <c r="NYA147" s="24"/>
      <c r="NYB147" s="24"/>
      <c r="NYC147" s="24"/>
      <c r="NYD147" s="24"/>
      <c r="NYE147" s="24"/>
      <c r="NYF147" s="24"/>
      <c r="NYG147" s="24"/>
      <c r="NYH147" s="24"/>
      <c r="NYI147" s="24"/>
      <c r="NYJ147" s="24"/>
      <c r="NYK147" s="24"/>
      <c r="NYL147" s="24"/>
      <c r="NYM147" s="24"/>
      <c r="NYN147" s="24"/>
      <c r="NYO147" s="24"/>
      <c r="NYP147" s="24"/>
      <c r="NYQ147" s="24"/>
      <c r="NYR147" s="24"/>
      <c r="NYS147" s="24"/>
      <c r="NYT147" s="24"/>
      <c r="NYU147" s="24"/>
      <c r="NYV147" s="24"/>
      <c r="NYW147" s="24"/>
      <c r="NYX147" s="24"/>
      <c r="NYY147" s="24"/>
      <c r="NYZ147" s="24"/>
      <c r="NZA147" s="24"/>
      <c r="NZB147" s="24"/>
      <c r="NZC147" s="24"/>
      <c r="NZD147" s="24"/>
      <c r="NZE147" s="24"/>
      <c r="NZF147" s="24"/>
      <c r="NZG147" s="24"/>
      <c r="NZH147" s="24"/>
      <c r="NZI147" s="24"/>
      <c r="NZJ147" s="24"/>
      <c r="NZK147" s="24"/>
      <c r="NZL147" s="24"/>
      <c r="NZM147" s="24"/>
      <c r="NZN147" s="24"/>
      <c r="NZO147" s="24"/>
      <c r="NZP147" s="24"/>
      <c r="NZQ147" s="24"/>
      <c r="NZR147" s="24"/>
      <c r="NZS147" s="24"/>
      <c r="NZT147" s="24"/>
      <c r="NZU147" s="24"/>
      <c r="NZV147" s="24"/>
      <c r="NZW147" s="24"/>
      <c r="NZX147" s="24"/>
      <c r="NZY147" s="24"/>
      <c r="NZZ147" s="24"/>
      <c r="OAA147" s="24"/>
      <c r="OAB147" s="24"/>
      <c r="OAC147" s="24"/>
      <c r="OAD147" s="24"/>
      <c r="OAE147" s="24"/>
      <c r="OAF147" s="24"/>
      <c r="OAG147" s="24"/>
      <c r="OAH147" s="24"/>
      <c r="OAI147" s="24"/>
      <c r="OAJ147" s="24"/>
      <c r="OAK147" s="24"/>
      <c r="OAL147" s="24"/>
      <c r="OAM147" s="24"/>
      <c r="OAN147" s="24"/>
      <c r="OAO147" s="24"/>
      <c r="OAP147" s="24"/>
      <c r="OAQ147" s="24"/>
      <c r="OAR147" s="24"/>
      <c r="OAS147" s="24"/>
      <c r="OAT147" s="24"/>
      <c r="OAU147" s="24"/>
      <c r="OAV147" s="24"/>
      <c r="OAW147" s="24"/>
      <c r="OAX147" s="24"/>
      <c r="OAY147" s="24"/>
      <c r="OAZ147" s="24"/>
      <c r="OBA147" s="24"/>
      <c r="OBB147" s="24"/>
      <c r="OBC147" s="24"/>
      <c r="OBD147" s="24"/>
      <c r="OBE147" s="24"/>
      <c r="OBF147" s="24"/>
      <c r="OBG147" s="24"/>
      <c r="OBH147" s="24"/>
      <c r="OBI147" s="24"/>
      <c r="OBJ147" s="24"/>
      <c r="OBK147" s="24"/>
      <c r="OBL147" s="24"/>
      <c r="OBM147" s="24"/>
      <c r="OBN147" s="24"/>
      <c r="OBO147" s="24"/>
      <c r="OBP147" s="24"/>
      <c r="OBQ147" s="24"/>
      <c r="OBR147" s="24"/>
      <c r="OBS147" s="24"/>
      <c r="OBT147" s="24"/>
      <c r="OBU147" s="24"/>
      <c r="OBV147" s="24"/>
      <c r="OBW147" s="24"/>
      <c r="OBX147" s="24"/>
      <c r="OBY147" s="24"/>
      <c r="OBZ147" s="24"/>
      <c r="OCA147" s="24"/>
      <c r="OCB147" s="24"/>
      <c r="OCC147" s="24"/>
      <c r="OCD147" s="24"/>
      <c r="OCE147" s="24"/>
      <c r="OCF147" s="24"/>
      <c r="OCG147" s="24"/>
      <c r="OCH147" s="24"/>
      <c r="OCI147" s="24"/>
      <c r="OCJ147" s="24"/>
      <c r="OCK147" s="24"/>
      <c r="OCL147" s="24"/>
      <c r="OCM147" s="24"/>
      <c r="OCN147" s="24"/>
      <c r="OCO147" s="24"/>
      <c r="OCP147" s="24"/>
      <c r="OCQ147" s="24"/>
      <c r="OCR147" s="24"/>
      <c r="OCS147" s="24"/>
      <c r="OCT147" s="24"/>
      <c r="OCU147" s="24"/>
      <c r="OCV147" s="24"/>
      <c r="OCW147" s="24"/>
      <c r="OCX147" s="24"/>
      <c r="OCY147" s="24"/>
      <c r="OCZ147" s="24"/>
      <c r="ODA147" s="24"/>
      <c r="ODB147" s="24"/>
      <c r="ODC147" s="24"/>
      <c r="ODD147" s="24"/>
      <c r="ODE147" s="24"/>
      <c r="ODF147" s="24"/>
      <c r="ODG147" s="24"/>
      <c r="ODH147" s="24"/>
      <c r="ODI147" s="24"/>
      <c r="ODJ147" s="24"/>
      <c r="ODK147" s="24"/>
      <c r="ODL147" s="24"/>
      <c r="ODM147" s="24"/>
      <c r="ODN147" s="24"/>
      <c r="ODO147" s="24"/>
      <c r="ODP147" s="24"/>
      <c r="ODQ147" s="24"/>
      <c r="ODR147" s="24"/>
      <c r="ODS147" s="24"/>
      <c r="ODT147" s="24"/>
      <c r="ODU147" s="24"/>
      <c r="ODV147" s="24"/>
      <c r="ODW147" s="24"/>
      <c r="ODX147" s="24"/>
      <c r="ODY147" s="24"/>
      <c r="ODZ147" s="24"/>
      <c r="OEA147" s="24"/>
      <c r="OEB147" s="24"/>
      <c r="OEC147" s="24"/>
      <c r="OED147" s="24"/>
      <c r="OEE147" s="24"/>
      <c r="OEF147" s="24"/>
      <c r="OEG147" s="24"/>
      <c r="OEH147" s="24"/>
      <c r="OEI147" s="24"/>
      <c r="OEJ147" s="24"/>
      <c r="OEK147" s="24"/>
      <c r="OEL147" s="24"/>
      <c r="OEM147" s="24"/>
      <c r="OEN147" s="24"/>
      <c r="OEO147" s="24"/>
      <c r="OEP147" s="24"/>
      <c r="OEQ147" s="24"/>
      <c r="OER147" s="24"/>
      <c r="OES147" s="24"/>
      <c r="OET147" s="24"/>
      <c r="OEU147" s="24"/>
      <c r="OEV147" s="24"/>
      <c r="OEW147" s="24"/>
      <c r="OEX147" s="24"/>
      <c r="OEY147" s="24"/>
      <c r="OEZ147" s="24"/>
      <c r="OFA147" s="24"/>
      <c r="OFB147" s="24"/>
      <c r="OFC147" s="24"/>
      <c r="OFD147" s="24"/>
      <c r="OFE147" s="24"/>
      <c r="OFF147" s="24"/>
      <c r="OFG147" s="24"/>
      <c r="OFH147" s="24"/>
      <c r="OFI147" s="24"/>
      <c r="OFJ147" s="24"/>
      <c r="OFK147" s="24"/>
      <c r="OFL147" s="24"/>
      <c r="OFM147" s="24"/>
      <c r="OFN147" s="24"/>
      <c r="OFO147" s="24"/>
      <c r="OFP147" s="24"/>
      <c r="OFQ147" s="24"/>
      <c r="OFR147" s="24"/>
      <c r="OFS147" s="24"/>
      <c r="OFT147" s="24"/>
      <c r="OFU147" s="24"/>
      <c r="OFV147" s="24"/>
      <c r="OFW147" s="24"/>
      <c r="OFX147" s="24"/>
      <c r="OFY147" s="24"/>
      <c r="OFZ147" s="24"/>
      <c r="OGA147" s="24"/>
      <c r="OGB147" s="24"/>
      <c r="OGC147" s="24"/>
      <c r="OGD147" s="24"/>
      <c r="OGE147" s="24"/>
      <c r="OGF147" s="24"/>
      <c r="OGG147" s="24"/>
      <c r="OGH147" s="24"/>
      <c r="OGI147" s="24"/>
      <c r="OGJ147" s="24"/>
      <c r="OGK147" s="24"/>
      <c r="OGL147" s="24"/>
      <c r="OGM147" s="24"/>
      <c r="OGN147" s="24"/>
      <c r="OGO147" s="24"/>
      <c r="OGP147" s="24"/>
      <c r="OGQ147" s="24"/>
      <c r="OGR147" s="24"/>
      <c r="OGS147" s="24"/>
      <c r="OGT147" s="24"/>
      <c r="OGU147" s="24"/>
      <c r="OGV147" s="24"/>
      <c r="OGW147" s="24"/>
      <c r="OGX147" s="24"/>
      <c r="OGY147" s="24"/>
      <c r="OGZ147" s="24"/>
      <c r="OHA147" s="24"/>
      <c r="OHB147" s="24"/>
      <c r="OHC147" s="24"/>
      <c r="OHD147" s="24"/>
      <c r="OHE147" s="24"/>
      <c r="OHF147" s="24"/>
      <c r="OHG147" s="24"/>
      <c r="OHH147" s="24"/>
      <c r="OHI147" s="24"/>
      <c r="OHJ147" s="24"/>
      <c r="OHK147" s="24"/>
      <c r="OHL147" s="24"/>
      <c r="OHM147" s="24"/>
      <c r="OHN147" s="24"/>
      <c r="OHO147" s="24"/>
      <c r="OHP147" s="24"/>
      <c r="OHQ147" s="24"/>
      <c r="OHR147" s="24"/>
      <c r="OHS147" s="24"/>
      <c r="OHT147" s="24"/>
      <c r="OHU147" s="24"/>
      <c r="OHV147" s="24"/>
      <c r="OHW147" s="24"/>
      <c r="OHX147" s="24"/>
      <c r="OHY147" s="24"/>
      <c r="OHZ147" s="24"/>
      <c r="OIA147" s="24"/>
      <c r="OIB147" s="24"/>
      <c r="OIC147" s="24"/>
      <c r="OID147" s="24"/>
      <c r="OIE147" s="24"/>
      <c r="OIF147" s="24"/>
      <c r="OIG147" s="24"/>
      <c r="OIH147" s="24"/>
      <c r="OII147" s="24"/>
      <c r="OIJ147" s="24"/>
      <c r="OIK147" s="24"/>
      <c r="OIL147" s="24"/>
      <c r="OIM147" s="24"/>
      <c r="OIN147" s="24"/>
      <c r="OIO147" s="24"/>
      <c r="OIP147" s="24"/>
      <c r="OIQ147" s="24"/>
      <c r="OIR147" s="24"/>
      <c r="OIS147" s="24"/>
      <c r="OIT147" s="24"/>
      <c r="OIU147" s="24"/>
      <c r="OIV147" s="24"/>
      <c r="OIW147" s="24"/>
      <c r="OIX147" s="24"/>
      <c r="OIY147" s="24"/>
      <c r="OIZ147" s="24"/>
      <c r="OJA147" s="24"/>
      <c r="OJB147" s="24"/>
      <c r="OJC147" s="24"/>
      <c r="OJD147" s="24"/>
      <c r="OJE147" s="24"/>
      <c r="OJF147" s="24"/>
      <c r="OJG147" s="24"/>
      <c r="OJH147" s="24"/>
      <c r="OJI147" s="24"/>
      <c r="OJJ147" s="24"/>
      <c r="OJK147" s="24"/>
      <c r="OJL147" s="24"/>
      <c r="OJM147" s="24"/>
      <c r="OJN147" s="24"/>
      <c r="OJO147" s="24"/>
      <c r="OJP147" s="24"/>
      <c r="OJQ147" s="24"/>
      <c r="OJR147" s="24"/>
      <c r="OJS147" s="24"/>
      <c r="OJT147" s="24"/>
      <c r="OJU147" s="24"/>
      <c r="OJV147" s="24"/>
      <c r="OJW147" s="24"/>
      <c r="OJX147" s="24"/>
      <c r="OJY147" s="24"/>
      <c r="OJZ147" s="24"/>
      <c r="OKA147" s="24"/>
      <c r="OKB147" s="24"/>
      <c r="OKC147" s="24"/>
      <c r="OKD147" s="24"/>
      <c r="OKE147" s="24"/>
      <c r="OKF147" s="24"/>
      <c r="OKG147" s="24"/>
      <c r="OKH147" s="24"/>
      <c r="OKI147" s="24"/>
      <c r="OKJ147" s="24"/>
      <c r="OKK147" s="24"/>
      <c r="OKL147" s="24"/>
      <c r="OKM147" s="24"/>
      <c r="OKN147" s="24"/>
      <c r="OKO147" s="24"/>
      <c r="OKP147" s="24"/>
      <c r="OKQ147" s="24"/>
      <c r="OKR147" s="24"/>
      <c r="OKS147" s="24"/>
      <c r="OKT147" s="24"/>
      <c r="OKU147" s="24"/>
      <c r="OKV147" s="24"/>
      <c r="OKW147" s="24"/>
      <c r="OKX147" s="24"/>
      <c r="OKY147" s="24"/>
      <c r="OKZ147" s="24"/>
      <c r="OLA147" s="24"/>
      <c r="OLB147" s="24"/>
      <c r="OLC147" s="24"/>
      <c r="OLD147" s="24"/>
      <c r="OLE147" s="24"/>
      <c r="OLF147" s="24"/>
      <c r="OLG147" s="24"/>
      <c r="OLH147" s="24"/>
      <c r="OLI147" s="24"/>
      <c r="OLJ147" s="24"/>
      <c r="OLK147" s="24"/>
      <c r="OLL147" s="24"/>
      <c r="OLM147" s="24"/>
      <c r="OLN147" s="24"/>
      <c r="OLO147" s="24"/>
      <c r="OLP147" s="24"/>
      <c r="OLQ147" s="24"/>
      <c r="OLR147" s="24"/>
      <c r="OLS147" s="24"/>
      <c r="OLT147" s="24"/>
      <c r="OLU147" s="24"/>
      <c r="OLV147" s="24"/>
      <c r="OLW147" s="24"/>
      <c r="OLX147" s="24"/>
      <c r="OLY147" s="24"/>
      <c r="OLZ147" s="24"/>
      <c r="OMA147" s="24"/>
      <c r="OMB147" s="24"/>
      <c r="OMC147" s="24"/>
      <c r="OMD147" s="24"/>
      <c r="OME147" s="24"/>
      <c r="OMF147" s="24"/>
      <c r="OMG147" s="24"/>
      <c r="OMH147" s="24"/>
      <c r="OMI147" s="24"/>
      <c r="OMJ147" s="24"/>
      <c r="OMK147" s="24"/>
      <c r="OML147" s="24"/>
      <c r="OMM147" s="24"/>
      <c r="OMN147" s="24"/>
      <c r="OMO147" s="24"/>
      <c r="OMP147" s="24"/>
      <c r="OMQ147" s="24"/>
      <c r="OMR147" s="24"/>
      <c r="OMS147" s="24"/>
      <c r="OMT147" s="24"/>
      <c r="OMU147" s="24"/>
      <c r="OMV147" s="24"/>
      <c r="OMW147" s="24"/>
      <c r="OMX147" s="24"/>
      <c r="OMY147" s="24"/>
      <c r="OMZ147" s="24"/>
      <c r="ONA147" s="24"/>
      <c r="ONB147" s="24"/>
      <c r="ONC147" s="24"/>
      <c r="OND147" s="24"/>
      <c r="ONE147" s="24"/>
      <c r="ONF147" s="24"/>
      <c r="ONG147" s="24"/>
      <c r="ONH147" s="24"/>
      <c r="ONI147" s="24"/>
      <c r="ONJ147" s="24"/>
      <c r="ONK147" s="24"/>
      <c r="ONL147" s="24"/>
      <c r="ONM147" s="24"/>
      <c r="ONN147" s="24"/>
      <c r="ONO147" s="24"/>
      <c r="ONP147" s="24"/>
      <c r="ONQ147" s="24"/>
      <c r="ONR147" s="24"/>
      <c r="ONS147" s="24"/>
      <c r="ONT147" s="24"/>
      <c r="ONU147" s="24"/>
      <c r="ONV147" s="24"/>
      <c r="ONW147" s="24"/>
      <c r="ONX147" s="24"/>
      <c r="ONY147" s="24"/>
      <c r="ONZ147" s="24"/>
      <c r="OOA147" s="24"/>
      <c r="OOB147" s="24"/>
      <c r="OOC147" s="24"/>
      <c r="OOD147" s="24"/>
      <c r="OOE147" s="24"/>
      <c r="OOF147" s="24"/>
      <c r="OOG147" s="24"/>
      <c r="OOH147" s="24"/>
      <c r="OOI147" s="24"/>
      <c r="OOJ147" s="24"/>
      <c r="OOK147" s="24"/>
      <c r="OOL147" s="24"/>
      <c r="OOM147" s="24"/>
      <c r="OON147" s="24"/>
      <c r="OOO147" s="24"/>
      <c r="OOP147" s="24"/>
      <c r="OOQ147" s="24"/>
      <c r="OOR147" s="24"/>
      <c r="OOS147" s="24"/>
      <c r="OOT147" s="24"/>
      <c r="OOU147" s="24"/>
      <c r="OOV147" s="24"/>
      <c r="OOW147" s="24"/>
      <c r="OOX147" s="24"/>
      <c r="OOY147" s="24"/>
      <c r="OOZ147" s="24"/>
      <c r="OPA147" s="24"/>
      <c r="OPB147" s="24"/>
      <c r="OPC147" s="24"/>
      <c r="OPD147" s="24"/>
      <c r="OPE147" s="24"/>
      <c r="OPF147" s="24"/>
      <c r="OPG147" s="24"/>
      <c r="OPH147" s="24"/>
      <c r="OPI147" s="24"/>
      <c r="OPJ147" s="24"/>
      <c r="OPK147" s="24"/>
      <c r="OPL147" s="24"/>
      <c r="OPM147" s="24"/>
      <c r="OPN147" s="24"/>
      <c r="OPO147" s="24"/>
      <c r="OPP147" s="24"/>
      <c r="OPQ147" s="24"/>
      <c r="OPR147" s="24"/>
      <c r="OPS147" s="24"/>
      <c r="OPT147" s="24"/>
      <c r="OPU147" s="24"/>
      <c r="OPV147" s="24"/>
      <c r="OPW147" s="24"/>
      <c r="OPX147" s="24"/>
      <c r="OPY147" s="24"/>
      <c r="OPZ147" s="24"/>
      <c r="OQA147" s="24"/>
      <c r="OQB147" s="24"/>
      <c r="OQC147" s="24"/>
      <c r="OQD147" s="24"/>
      <c r="OQE147" s="24"/>
      <c r="OQF147" s="24"/>
      <c r="OQG147" s="24"/>
      <c r="OQH147" s="24"/>
      <c r="OQI147" s="24"/>
      <c r="OQJ147" s="24"/>
      <c r="OQK147" s="24"/>
      <c r="OQL147" s="24"/>
      <c r="OQM147" s="24"/>
      <c r="OQN147" s="24"/>
      <c r="OQO147" s="24"/>
      <c r="OQP147" s="24"/>
      <c r="OQQ147" s="24"/>
      <c r="OQR147" s="24"/>
      <c r="OQS147" s="24"/>
      <c r="OQT147" s="24"/>
      <c r="OQU147" s="24"/>
      <c r="OQV147" s="24"/>
      <c r="OQW147" s="24"/>
      <c r="OQX147" s="24"/>
      <c r="OQY147" s="24"/>
      <c r="OQZ147" s="24"/>
      <c r="ORA147" s="24"/>
      <c r="ORB147" s="24"/>
      <c r="ORC147" s="24"/>
      <c r="ORD147" s="24"/>
      <c r="ORE147" s="24"/>
      <c r="ORF147" s="24"/>
      <c r="ORG147" s="24"/>
      <c r="ORH147" s="24"/>
      <c r="ORI147" s="24"/>
      <c r="ORJ147" s="24"/>
      <c r="ORK147" s="24"/>
      <c r="ORL147" s="24"/>
      <c r="ORM147" s="24"/>
      <c r="ORN147" s="24"/>
      <c r="ORO147" s="24"/>
      <c r="ORP147" s="24"/>
      <c r="ORQ147" s="24"/>
      <c r="ORR147" s="24"/>
      <c r="ORS147" s="24"/>
      <c r="ORT147" s="24"/>
      <c r="ORU147" s="24"/>
      <c r="ORV147" s="24"/>
      <c r="ORW147" s="24"/>
      <c r="ORX147" s="24"/>
      <c r="ORY147" s="24"/>
      <c r="ORZ147" s="24"/>
      <c r="OSA147" s="24"/>
      <c r="OSB147" s="24"/>
      <c r="OSC147" s="24"/>
      <c r="OSD147" s="24"/>
      <c r="OSE147" s="24"/>
      <c r="OSF147" s="24"/>
      <c r="OSG147" s="24"/>
      <c r="OSH147" s="24"/>
      <c r="OSI147" s="24"/>
      <c r="OSJ147" s="24"/>
      <c r="OSK147" s="24"/>
      <c r="OSL147" s="24"/>
      <c r="OSM147" s="24"/>
      <c r="OSN147" s="24"/>
      <c r="OSO147" s="24"/>
      <c r="OSP147" s="24"/>
      <c r="OSQ147" s="24"/>
      <c r="OSR147" s="24"/>
      <c r="OSS147" s="24"/>
      <c r="OST147" s="24"/>
      <c r="OSU147" s="24"/>
      <c r="OSV147" s="24"/>
      <c r="OSW147" s="24"/>
      <c r="OSX147" s="24"/>
      <c r="OSY147" s="24"/>
      <c r="OSZ147" s="24"/>
      <c r="OTA147" s="24"/>
      <c r="OTB147" s="24"/>
      <c r="OTC147" s="24"/>
      <c r="OTD147" s="24"/>
      <c r="OTE147" s="24"/>
      <c r="OTF147" s="24"/>
      <c r="OTG147" s="24"/>
      <c r="OTH147" s="24"/>
      <c r="OTI147" s="24"/>
      <c r="OTJ147" s="24"/>
      <c r="OTK147" s="24"/>
      <c r="OTL147" s="24"/>
      <c r="OTM147" s="24"/>
      <c r="OTN147" s="24"/>
      <c r="OTO147" s="24"/>
      <c r="OTP147" s="24"/>
      <c r="OTQ147" s="24"/>
      <c r="OTR147" s="24"/>
      <c r="OTS147" s="24"/>
      <c r="OTT147" s="24"/>
      <c r="OTU147" s="24"/>
      <c r="OTV147" s="24"/>
      <c r="OTW147" s="24"/>
      <c r="OTX147" s="24"/>
      <c r="OTY147" s="24"/>
      <c r="OTZ147" s="24"/>
      <c r="OUA147" s="24"/>
      <c r="OUB147" s="24"/>
      <c r="OUC147" s="24"/>
      <c r="OUD147" s="24"/>
      <c r="OUE147" s="24"/>
      <c r="OUF147" s="24"/>
      <c r="OUG147" s="24"/>
      <c r="OUH147" s="24"/>
      <c r="OUI147" s="24"/>
      <c r="OUJ147" s="24"/>
      <c r="OUK147" s="24"/>
      <c r="OUL147" s="24"/>
      <c r="OUM147" s="24"/>
      <c r="OUN147" s="24"/>
      <c r="OUO147" s="24"/>
      <c r="OUP147" s="24"/>
      <c r="OUQ147" s="24"/>
      <c r="OUR147" s="24"/>
      <c r="OUS147" s="24"/>
      <c r="OUT147" s="24"/>
      <c r="OUU147" s="24"/>
      <c r="OUV147" s="24"/>
      <c r="OUW147" s="24"/>
      <c r="OUX147" s="24"/>
      <c r="OUY147" s="24"/>
      <c r="OUZ147" s="24"/>
      <c r="OVA147" s="24"/>
      <c r="OVB147" s="24"/>
      <c r="OVC147" s="24"/>
      <c r="OVD147" s="24"/>
      <c r="OVE147" s="24"/>
      <c r="OVF147" s="24"/>
      <c r="OVG147" s="24"/>
      <c r="OVH147" s="24"/>
      <c r="OVI147" s="24"/>
      <c r="OVJ147" s="24"/>
      <c r="OVK147" s="24"/>
      <c r="OVL147" s="24"/>
      <c r="OVM147" s="24"/>
      <c r="OVN147" s="24"/>
      <c r="OVO147" s="24"/>
      <c r="OVP147" s="24"/>
      <c r="OVQ147" s="24"/>
      <c r="OVR147" s="24"/>
      <c r="OVS147" s="24"/>
      <c r="OVT147" s="24"/>
      <c r="OVU147" s="24"/>
      <c r="OVV147" s="24"/>
      <c r="OVW147" s="24"/>
      <c r="OVX147" s="24"/>
      <c r="OVY147" s="24"/>
      <c r="OVZ147" s="24"/>
      <c r="OWA147" s="24"/>
      <c r="OWB147" s="24"/>
      <c r="OWC147" s="24"/>
      <c r="OWD147" s="24"/>
      <c r="OWE147" s="24"/>
      <c r="OWF147" s="24"/>
      <c r="OWG147" s="24"/>
      <c r="OWH147" s="24"/>
      <c r="OWI147" s="24"/>
      <c r="OWJ147" s="24"/>
      <c r="OWK147" s="24"/>
      <c r="OWL147" s="24"/>
      <c r="OWM147" s="24"/>
      <c r="OWN147" s="24"/>
      <c r="OWO147" s="24"/>
      <c r="OWP147" s="24"/>
      <c r="OWQ147" s="24"/>
      <c r="OWR147" s="24"/>
      <c r="OWS147" s="24"/>
      <c r="OWT147" s="24"/>
      <c r="OWU147" s="24"/>
      <c r="OWV147" s="24"/>
      <c r="OWW147" s="24"/>
      <c r="OWX147" s="24"/>
      <c r="OWY147" s="24"/>
      <c r="OWZ147" s="24"/>
      <c r="OXA147" s="24"/>
      <c r="OXB147" s="24"/>
      <c r="OXC147" s="24"/>
      <c r="OXD147" s="24"/>
      <c r="OXE147" s="24"/>
      <c r="OXF147" s="24"/>
      <c r="OXG147" s="24"/>
      <c r="OXH147" s="24"/>
      <c r="OXI147" s="24"/>
      <c r="OXJ147" s="24"/>
      <c r="OXK147" s="24"/>
      <c r="OXL147" s="24"/>
      <c r="OXM147" s="24"/>
      <c r="OXN147" s="24"/>
      <c r="OXO147" s="24"/>
      <c r="OXP147" s="24"/>
      <c r="OXQ147" s="24"/>
      <c r="OXR147" s="24"/>
      <c r="OXS147" s="24"/>
      <c r="OXT147" s="24"/>
      <c r="OXU147" s="24"/>
      <c r="OXV147" s="24"/>
      <c r="OXW147" s="24"/>
      <c r="OXX147" s="24"/>
      <c r="OXY147" s="24"/>
      <c r="OXZ147" s="24"/>
      <c r="OYA147" s="24"/>
      <c r="OYB147" s="24"/>
      <c r="OYC147" s="24"/>
      <c r="OYD147" s="24"/>
      <c r="OYE147" s="24"/>
      <c r="OYF147" s="24"/>
      <c r="OYG147" s="24"/>
      <c r="OYH147" s="24"/>
      <c r="OYI147" s="24"/>
      <c r="OYJ147" s="24"/>
      <c r="OYK147" s="24"/>
      <c r="OYL147" s="24"/>
      <c r="OYM147" s="24"/>
      <c r="OYN147" s="24"/>
      <c r="OYO147" s="24"/>
      <c r="OYP147" s="24"/>
      <c r="OYQ147" s="24"/>
      <c r="OYR147" s="24"/>
      <c r="OYS147" s="24"/>
      <c r="OYT147" s="24"/>
      <c r="OYU147" s="24"/>
      <c r="OYV147" s="24"/>
      <c r="OYW147" s="24"/>
      <c r="OYX147" s="24"/>
      <c r="OYY147" s="24"/>
      <c r="OYZ147" s="24"/>
      <c r="OZA147" s="24"/>
      <c r="OZB147" s="24"/>
      <c r="OZC147" s="24"/>
      <c r="OZD147" s="24"/>
      <c r="OZE147" s="24"/>
      <c r="OZF147" s="24"/>
      <c r="OZG147" s="24"/>
      <c r="OZH147" s="24"/>
      <c r="OZI147" s="24"/>
      <c r="OZJ147" s="24"/>
      <c r="OZK147" s="24"/>
      <c r="OZL147" s="24"/>
      <c r="OZM147" s="24"/>
      <c r="OZN147" s="24"/>
      <c r="OZO147" s="24"/>
      <c r="OZP147" s="24"/>
      <c r="OZQ147" s="24"/>
      <c r="OZR147" s="24"/>
      <c r="OZS147" s="24"/>
      <c r="OZT147" s="24"/>
      <c r="OZU147" s="24"/>
      <c r="OZV147" s="24"/>
      <c r="OZW147" s="24"/>
      <c r="OZX147" s="24"/>
      <c r="OZY147" s="24"/>
      <c r="OZZ147" s="24"/>
      <c r="PAA147" s="24"/>
      <c r="PAB147" s="24"/>
      <c r="PAC147" s="24"/>
      <c r="PAD147" s="24"/>
      <c r="PAE147" s="24"/>
      <c r="PAF147" s="24"/>
      <c r="PAG147" s="24"/>
      <c r="PAH147" s="24"/>
      <c r="PAI147" s="24"/>
      <c r="PAJ147" s="24"/>
      <c r="PAK147" s="24"/>
      <c r="PAL147" s="24"/>
      <c r="PAM147" s="24"/>
      <c r="PAN147" s="24"/>
      <c r="PAO147" s="24"/>
      <c r="PAP147" s="24"/>
      <c r="PAQ147" s="24"/>
      <c r="PAR147" s="24"/>
      <c r="PAS147" s="24"/>
      <c r="PAT147" s="24"/>
      <c r="PAU147" s="24"/>
      <c r="PAV147" s="24"/>
      <c r="PAW147" s="24"/>
      <c r="PAX147" s="24"/>
      <c r="PAY147" s="24"/>
      <c r="PAZ147" s="24"/>
      <c r="PBA147" s="24"/>
      <c r="PBB147" s="24"/>
      <c r="PBC147" s="24"/>
      <c r="PBD147" s="24"/>
      <c r="PBE147" s="24"/>
      <c r="PBF147" s="24"/>
      <c r="PBG147" s="24"/>
      <c r="PBH147" s="24"/>
      <c r="PBI147" s="24"/>
      <c r="PBJ147" s="24"/>
      <c r="PBK147" s="24"/>
      <c r="PBL147" s="24"/>
      <c r="PBM147" s="24"/>
      <c r="PBN147" s="24"/>
      <c r="PBO147" s="24"/>
      <c r="PBP147" s="24"/>
      <c r="PBQ147" s="24"/>
      <c r="PBR147" s="24"/>
      <c r="PBS147" s="24"/>
      <c r="PBT147" s="24"/>
      <c r="PBU147" s="24"/>
      <c r="PBV147" s="24"/>
      <c r="PBW147" s="24"/>
      <c r="PBX147" s="24"/>
      <c r="PBY147" s="24"/>
      <c r="PBZ147" s="24"/>
      <c r="PCA147" s="24"/>
      <c r="PCB147" s="24"/>
      <c r="PCC147" s="24"/>
      <c r="PCD147" s="24"/>
      <c r="PCE147" s="24"/>
      <c r="PCF147" s="24"/>
      <c r="PCG147" s="24"/>
      <c r="PCH147" s="24"/>
      <c r="PCI147" s="24"/>
      <c r="PCJ147" s="24"/>
      <c r="PCK147" s="24"/>
      <c r="PCL147" s="24"/>
      <c r="PCM147" s="24"/>
      <c r="PCN147" s="24"/>
      <c r="PCO147" s="24"/>
      <c r="PCP147" s="24"/>
      <c r="PCQ147" s="24"/>
      <c r="PCR147" s="24"/>
      <c r="PCS147" s="24"/>
      <c r="PCT147" s="24"/>
      <c r="PCU147" s="24"/>
      <c r="PCV147" s="24"/>
      <c r="PCW147" s="24"/>
      <c r="PCX147" s="24"/>
      <c r="PCY147" s="24"/>
      <c r="PCZ147" s="24"/>
      <c r="PDA147" s="24"/>
      <c r="PDB147" s="24"/>
      <c r="PDC147" s="24"/>
      <c r="PDD147" s="24"/>
      <c r="PDE147" s="24"/>
      <c r="PDF147" s="24"/>
      <c r="PDG147" s="24"/>
      <c r="PDH147" s="24"/>
      <c r="PDI147" s="24"/>
      <c r="PDJ147" s="24"/>
      <c r="PDK147" s="24"/>
      <c r="PDL147" s="24"/>
      <c r="PDM147" s="24"/>
      <c r="PDN147" s="24"/>
      <c r="PDO147" s="24"/>
      <c r="PDP147" s="24"/>
      <c r="PDQ147" s="24"/>
      <c r="PDR147" s="24"/>
      <c r="PDS147" s="24"/>
      <c r="PDT147" s="24"/>
      <c r="PDU147" s="24"/>
      <c r="PDV147" s="24"/>
      <c r="PDW147" s="24"/>
      <c r="PDX147" s="24"/>
      <c r="PDY147" s="24"/>
      <c r="PDZ147" s="24"/>
      <c r="PEA147" s="24"/>
      <c r="PEB147" s="24"/>
      <c r="PEC147" s="24"/>
      <c r="PED147" s="24"/>
      <c r="PEE147" s="24"/>
      <c r="PEF147" s="24"/>
      <c r="PEG147" s="24"/>
      <c r="PEH147" s="24"/>
      <c r="PEI147" s="24"/>
      <c r="PEJ147" s="24"/>
      <c r="PEK147" s="24"/>
      <c r="PEL147" s="24"/>
      <c r="PEM147" s="24"/>
      <c r="PEN147" s="24"/>
      <c r="PEO147" s="24"/>
      <c r="PEP147" s="24"/>
      <c r="PEQ147" s="24"/>
      <c r="PER147" s="24"/>
      <c r="PES147" s="24"/>
      <c r="PET147" s="24"/>
      <c r="PEU147" s="24"/>
      <c r="PEV147" s="24"/>
      <c r="PEW147" s="24"/>
      <c r="PEX147" s="24"/>
      <c r="PEY147" s="24"/>
      <c r="PEZ147" s="24"/>
      <c r="PFA147" s="24"/>
      <c r="PFB147" s="24"/>
      <c r="PFC147" s="24"/>
      <c r="PFD147" s="24"/>
      <c r="PFE147" s="24"/>
      <c r="PFF147" s="24"/>
      <c r="PFG147" s="24"/>
      <c r="PFH147" s="24"/>
      <c r="PFI147" s="24"/>
      <c r="PFJ147" s="24"/>
      <c r="PFK147" s="24"/>
      <c r="PFL147" s="24"/>
      <c r="PFM147" s="24"/>
      <c r="PFN147" s="24"/>
      <c r="PFO147" s="24"/>
      <c r="PFP147" s="24"/>
      <c r="PFQ147" s="24"/>
      <c r="PFR147" s="24"/>
      <c r="PFS147" s="24"/>
      <c r="PFT147" s="24"/>
      <c r="PFU147" s="24"/>
      <c r="PFV147" s="24"/>
      <c r="PFW147" s="24"/>
      <c r="PFX147" s="24"/>
      <c r="PFY147" s="24"/>
      <c r="PFZ147" s="24"/>
      <c r="PGA147" s="24"/>
      <c r="PGB147" s="24"/>
      <c r="PGC147" s="24"/>
      <c r="PGD147" s="24"/>
      <c r="PGE147" s="24"/>
      <c r="PGF147" s="24"/>
      <c r="PGG147" s="24"/>
      <c r="PGH147" s="24"/>
      <c r="PGI147" s="24"/>
      <c r="PGJ147" s="24"/>
      <c r="PGK147" s="24"/>
      <c r="PGL147" s="24"/>
      <c r="PGM147" s="24"/>
      <c r="PGN147" s="24"/>
      <c r="PGO147" s="24"/>
      <c r="PGP147" s="24"/>
      <c r="PGQ147" s="24"/>
      <c r="PGR147" s="24"/>
      <c r="PGS147" s="24"/>
      <c r="PGT147" s="24"/>
      <c r="PGU147" s="24"/>
      <c r="PGV147" s="24"/>
      <c r="PGW147" s="24"/>
      <c r="PGX147" s="24"/>
      <c r="PGY147" s="24"/>
      <c r="PGZ147" s="24"/>
      <c r="PHA147" s="24"/>
      <c r="PHB147" s="24"/>
      <c r="PHC147" s="24"/>
      <c r="PHD147" s="24"/>
      <c r="PHE147" s="24"/>
      <c r="PHF147" s="24"/>
      <c r="PHG147" s="24"/>
      <c r="PHH147" s="24"/>
      <c r="PHI147" s="24"/>
      <c r="PHJ147" s="24"/>
      <c r="PHK147" s="24"/>
      <c r="PHL147" s="24"/>
      <c r="PHM147" s="24"/>
      <c r="PHN147" s="24"/>
      <c r="PHO147" s="24"/>
      <c r="PHP147" s="24"/>
      <c r="PHQ147" s="24"/>
      <c r="PHR147" s="24"/>
      <c r="PHS147" s="24"/>
      <c r="PHT147" s="24"/>
      <c r="PHU147" s="24"/>
      <c r="PHV147" s="24"/>
      <c r="PHW147" s="24"/>
      <c r="PHX147" s="24"/>
      <c r="PHY147" s="24"/>
      <c r="PHZ147" s="24"/>
      <c r="PIA147" s="24"/>
      <c r="PIB147" s="24"/>
      <c r="PIC147" s="24"/>
      <c r="PID147" s="24"/>
      <c r="PIE147" s="24"/>
      <c r="PIF147" s="24"/>
      <c r="PIG147" s="24"/>
      <c r="PIH147" s="24"/>
      <c r="PII147" s="24"/>
      <c r="PIJ147" s="24"/>
      <c r="PIK147" s="24"/>
      <c r="PIL147" s="24"/>
      <c r="PIM147" s="24"/>
      <c r="PIN147" s="24"/>
      <c r="PIO147" s="24"/>
      <c r="PIP147" s="24"/>
      <c r="PIQ147" s="24"/>
      <c r="PIR147" s="24"/>
      <c r="PIS147" s="24"/>
      <c r="PIT147" s="24"/>
      <c r="PIU147" s="24"/>
      <c r="PIV147" s="24"/>
      <c r="PIW147" s="24"/>
      <c r="PIX147" s="24"/>
      <c r="PIY147" s="24"/>
      <c r="PIZ147" s="24"/>
      <c r="PJA147" s="24"/>
      <c r="PJB147" s="24"/>
      <c r="PJC147" s="24"/>
      <c r="PJD147" s="24"/>
      <c r="PJE147" s="24"/>
      <c r="PJF147" s="24"/>
      <c r="PJG147" s="24"/>
      <c r="PJH147" s="24"/>
      <c r="PJI147" s="24"/>
      <c r="PJJ147" s="24"/>
      <c r="PJK147" s="24"/>
      <c r="PJL147" s="24"/>
      <c r="PJM147" s="24"/>
      <c r="PJN147" s="24"/>
      <c r="PJO147" s="24"/>
      <c r="PJP147" s="24"/>
      <c r="PJQ147" s="24"/>
      <c r="PJR147" s="24"/>
      <c r="PJS147" s="24"/>
      <c r="PJT147" s="24"/>
      <c r="PJU147" s="24"/>
      <c r="PJV147" s="24"/>
      <c r="PJW147" s="24"/>
      <c r="PJX147" s="24"/>
      <c r="PJY147" s="24"/>
      <c r="PJZ147" s="24"/>
      <c r="PKA147" s="24"/>
      <c r="PKB147" s="24"/>
      <c r="PKC147" s="24"/>
      <c r="PKD147" s="24"/>
      <c r="PKE147" s="24"/>
      <c r="PKF147" s="24"/>
      <c r="PKG147" s="24"/>
      <c r="PKH147" s="24"/>
      <c r="PKI147" s="24"/>
      <c r="PKJ147" s="24"/>
      <c r="PKK147" s="24"/>
      <c r="PKL147" s="24"/>
      <c r="PKM147" s="24"/>
      <c r="PKN147" s="24"/>
      <c r="PKO147" s="24"/>
      <c r="PKP147" s="24"/>
      <c r="PKQ147" s="24"/>
      <c r="PKR147" s="24"/>
      <c r="PKS147" s="24"/>
      <c r="PKT147" s="24"/>
      <c r="PKU147" s="24"/>
      <c r="PKV147" s="24"/>
      <c r="PKW147" s="24"/>
      <c r="PKX147" s="24"/>
      <c r="PKY147" s="24"/>
      <c r="PKZ147" s="24"/>
      <c r="PLA147" s="24"/>
      <c r="PLB147" s="24"/>
      <c r="PLC147" s="24"/>
      <c r="PLD147" s="24"/>
      <c r="PLE147" s="24"/>
      <c r="PLF147" s="24"/>
      <c r="PLG147" s="24"/>
      <c r="PLH147" s="24"/>
      <c r="PLI147" s="24"/>
      <c r="PLJ147" s="24"/>
      <c r="PLK147" s="24"/>
      <c r="PLL147" s="24"/>
      <c r="PLM147" s="24"/>
      <c r="PLN147" s="24"/>
      <c r="PLO147" s="24"/>
      <c r="PLP147" s="24"/>
      <c r="PLQ147" s="24"/>
      <c r="PLR147" s="24"/>
      <c r="PLS147" s="24"/>
      <c r="PLT147" s="24"/>
      <c r="PLU147" s="24"/>
      <c r="PLV147" s="24"/>
      <c r="PLW147" s="24"/>
      <c r="PLX147" s="24"/>
      <c r="PLY147" s="24"/>
      <c r="PLZ147" s="24"/>
      <c r="PMA147" s="24"/>
      <c r="PMB147" s="24"/>
      <c r="PMC147" s="24"/>
      <c r="PMD147" s="24"/>
      <c r="PME147" s="24"/>
      <c r="PMF147" s="24"/>
      <c r="PMG147" s="24"/>
      <c r="PMH147" s="24"/>
      <c r="PMI147" s="24"/>
      <c r="PMJ147" s="24"/>
      <c r="PMK147" s="24"/>
      <c r="PML147" s="24"/>
      <c r="PMM147" s="24"/>
      <c r="PMN147" s="24"/>
      <c r="PMO147" s="24"/>
      <c r="PMP147" s="24"/>
      <c r="PMQ147" s="24"/>
      <c r="PMR147" s="24"/>
      <c r="PMS147" s="24"/>
      <c r="PMT147" s="24"/>
      <c r="PMU147" s="24"/>
      <c r="PMV147" s="24"/>
      <c r="PMW147" s="24"/>
      <c r="PMX147" s="24"/>
      <c r="PMY147" s="24"/>
      <c r="PMZ147" s="24"/>
      <c r="PNA147" s="24"/>
      <c r="PNB147" s="24"/>
      <c r="PNC147" s="24"/>
      <c r="PND147" s="24"/>
      <c r="PNE147" s="24"/>
      <c r="PNF147" s="24"/>
      <c r="PNG147" s="24"/>
      <c r="PNH147" s="24"/>
      <c r="PNI147" s="24"/>
      <c r="PNJ147" s="24"/>
      <c r="PNK147" s="24"/>
      <c r="PNL147" s="24"/>
      <c r="PNM147" s="24"/>
      <c r="PNN147" s="24"/>
      <c r="PNO147" s="24"/>
      <c r="PNP147" s="24"/>
      <c r="PNQ147" s="24"/>
      <c r="PNR147" s="24"/>
      <c r="PNS147" s="24"/>
      <c r="PNT147" s="24"/>
      <c r="PNU147" s="24"/>
      <c r="PNV147" s="24"/>
      <c r="PNW147" s="24"/>
      <c r="PNX147" s="24"/>
      <c r="PNY147" s="24"/>
      <c r="PNZ147" s="24"/>
      <c r="POA147" s="24"/>
      <c r="POB147" s="24"/>
      <c r="POC147" s="24"/>
      <c r="POD147" s="24"/>
      <c r="POE147" s="24"/>
      <c r="POF147" s="24"/>
      <c r="POG147" s="24"/>
      <c r="POH147" s="24"/>
      <c r="POI147" s="24"/>
      <c r="POJ147" s="24"/>
      <c r="POK147" s="24"/>
      <c r="POL147" s="24"/>
      <c r="POM147" s="24"/>
      <c r="PON147" s="24"/>
      <c r="POO147" s="24"/>
      <c r="POP147" s="24"/>
      <c r="POQ147" s="24"/>
      <c r="POR147" s="24"/>
      <c r="POS147" s="24"/>
      <c r="POT147" s="24"/>
      <c r="POU147" s="24"/>
      <c r="POV147" s="24"/>
      <c r="POW147" s="24"/>
      <c r="POX147" s="24"/>
      <c r="POY147" s="24"/>
      <c r="POZ147" s="24"/>
      <c r="PPA147" s="24"/>
      <c r="PPB147" s="24"/>
      <c r="PPC147" s="24"/>
      <c r="PPD147" s="24"/>
      <c r="PPE147" s="24"/>
      <c r="PPF147" s="24"/>
      <c r="PPG147" s="24"/>
      <c r="PPH147" s="24"/>
      <c r="PPI147" s="24"/>
      <c r="PPJ147" s="24"/>
      <c r="PPK147" s="24"/>
      <c r="PPL147" s="24"/>
      <c r="PPM147" s="24"/>
      <c r="PPN147" s="24"/>
      <c r="PPO147" s="24"/>
      <c r="PPP147" s="24"/>
      <c r="PPQ147" s="24"/>
      <c r="PPR147" s="24"/>
      <c r="PPS147" s="24"/>
      <c r="PPT147" s="24"/>
      <c r="PPU147" s="24"/>
      <c r="PPV147" s="24"/>
      <c r="PPW147" s="24"/>
      <c r="PPX147" s="24"/>
      <c r="PPY147" s="24"/>
      <c r="PPZ147" s="24"/>
      <c r="PQA147" s="24"/>
      <c r="PQB147" s="24"/>
      <c r="PQC147" s="24"/>
      <c r="PQD147" s="24"/>
      <c r="PQE147" s="24"/>
      <c r="PQF147" s="24"/>
      <c r="PQG147" s="24"/>
      <c r="PQH147" s="24"/>
      <c r="PQI147" s="24"/>
      <c r="PQJ147" s="24"/>
      <c r="PQK147" s="24"/>
      <c r="PQL147" s="24"/>
      <c r="PQM147" s="24"/>
      <c r="PQN147" s="24"/>
      <c r="PQO147" s="24"/>
      <c r="PQP147" s="24"/>
      <c r="PQQ147" s="24"/>
      <c r="PQR147" s="24"/>
      <c r="PQS147" s="24"/>
      <c r="PQT147" s="24"/>
      <c r="PQU147" s="24"/>
      <c r="PQV147" s="24"/>
      <c r="PQW147" s="24"/>
      <c r="PQX147" s="24"/>
      <c r="PQY147" s="24"/>
      <c r="PQZ147" s="24"/>
      <c r="PRA147" s="24"/>
      <c r="PRB147" s="24"/>
      <c r="PRC147" s="24"/>
      <c r="PRD147" s="24"/>
      <c r="PRE147" s="24"/>
      <c r="PRF147" s="24"/>
      <c r="PRG147" s="24"/>
      <c r="PRH147" s="24"/>
      <c r="PRI147" s="24"/>
      <c r="PRJ147" s="24"/>
      <c r="PRK147" s="24"/>
      <c r="PRL147" s="24"/>
      <c r="PRM147" s="24"/>
      <c r="PRN147" s="24"/>
      <c r="PRO147" s="24"/>
      <c r="PRP147" s="24"/>
      <c r="PRQ147" s="24"/>
      <c r="PRR147" s="24"/>
      <c r="PRS147" s="24"/>
      <c r="PRT147" s="24"/>
      <c r="PRU147" s="24"/>
      <c r="PRV147" s="24"/>
      <c r="PRW147" s="24"/>
      <c r="PRX147" s="24"/>
      <c r="PRY147" s="24"/>
      <c r="PRZ147" s="24"/>
      <c r="PSA147" s="24"/>
      <c r="PSB147" s="24"/>
      <c r="PSC147" s="24"/>
      <c r="PSD147" s="24"/>
      <c r="PSE147" s="24"/>
      <c r="PSF147" s="24"/>
      <c r="PSG147" s="24"/>
      <c r="PSH147" s="24"/>
      <c r="PSI147" s="24"/>
      <c r="PSJ147" s="24"/>
      <c r="PSK147" s="24"/>
      <c r="PSL147" s="24"/>
      <c r="PSM147" s="24"/>
      <c r="PSN147" s="24"/>
      <c r="PSO147" s="24"/>
      <c r="PSP147" s="24"/>
      <c r="PSQ147" s="24"/>
      <c r="PSR147" s="24"/>
      <c r="PSS147" s="24"/>
      <c r="PST147" s="24"/>
      <c r="PSU147" s="24"/>
      <c r="PSV147" s="24"/>
      <c r="PSW147" s="24"/>
      <c r="PSX147" s="24"/>
      <c r="PSY147" s="24"/>
      <c r="PSZ147" s="24"/>
      <c r="PTA147" s="24"/>
      <c r="PTB147" s="24"/>
      <c r="PTC147" s="24"/>
      <c r="PTD147" s="24"/>
      <c r="PTE147" s="24"/>
      <c r="PTF147" s="24"/>
      <c r="PTG147" s="24"/>
      <c r="PTH147" s="24"/>
      <c r="PTI147" s="24"/>
      <c r="PTJ147" s="24"/>
      <c r="PTK147" s="24"/>
      <c r="PTL147" s="24"/>
      <c r="PTM147" s="24"/>
      <c r="PTN147" s="24"/>
      <c r="PTO147" s="24"/>
      <c r="PTP147" s="24"/>
      <c r="PTQ147" s="24"/>
      <c r="PTR147" s="24"/>
      <c r="PTS147" s="24"/>
      <c r="PTT147" s="24"/>
      <c r="PTU147" s="24"/>
      <c r="PTV147" s="24"/>
      <c r="PTW147" s="24"/>
      <c r="PTX147" s="24"/>
      <c r="PTY147" s="24"/>
      <c r="PTZ147" s="24"/>
      <c r="PUA147" s="24"/>
      <c r="PUB147" s="24"/>
      <c r="PUC147" s="24"/>
      <c r="PUD147" s="24"/>
      <c r="PUE147" s="24"/>
      <c r="PUF147" s="24"/>
      <c r="PUG147" s="24"/>
      <c r="PUH147" s="24"/>
      <c r="PUI147" s="24"/>
      <c r="PUJ147" s="24"/>
      <c r="PUK147" s="24"/>
      <c r="PUL147" s="24"/>
      <c r="PUM147" s="24"/>
      <c r="PUN147" s="24"/>
      <c r="PUO147" s="24"/>
      <c r="PUP147" s="24"/>
      <c r="PUQ147" s="24"/>
      <c r="PUR147" s="24"/>
      <c r="PUS147" s="24"/>
      <c r="PUT147" s="24"/>
      <c r="PUU147" s="24"/>
      <c r="PUV147" s="24"/>
      <c r="PUW147" s="24"/>
      <c r="PUX147" s="24"/>
      <c r="PUY147" s="24"/>
      <c r="PUZ147" s="24"/>
      <c r="PVA147" s="24"/>
      <c r="PVB147" s="24"/>
      <c r="PVC147" s="24"/>
      <c r="PVD147" s="24"/>
      <c r="PVE147" s="24"/>
      <c r="PVF147" s="24"/>
      <c r="PVG147" s="24"/>
      <c r="PVH147" s="24"/>
      <c r="PVI147" s="24"/>
      <c r="PVJ147" s="24"/>
      <c r="PVK147" s="24"/>
      <c r="PVL147" s="24"/>
      <c r="PVM147" s="24"/>
      <c r="PVN147" s="24"/>
      <c r="PVO147" s="24"/>
      <c r="PVP147" s="24"/>
      <c r="PVQ147" s="24"/>
      <c r="PVR147" s="24"/>
      <c r="PVS147" s="24"/>
      <c r="PVT147" s="24"/>
      <c r="PVU147" s="24"/>
      <c r="PVV147" s="24"/>
      <c r="PVW147" s="24"/>
      <c r="PVX147" s="24"/>
      <c r="PVY147" s="24"/>
      <c r="PVZ147" s="24"/>
      <c r="PWA147" s="24"/>
      <c r="PWB147" s="24"/>
      <c r="PWC147" s="24"/>
      <c r="PWD147" s="24"/>
      <c r="PWE147" s="24"/>
      <c r="PWF147" s="24"/>
      <c r="PWG147" s="24"/>
      <c r="PWH147" s="24"/>
      <c r="PWI147" s="24"/>
      <c r="PWJ147" s="24"/>
      <c r="PWK147" s="24"/>
      <c r="PWL147" s="24"/>
      <c r="PWM147" s="24"/>
      <c r="PWN147" s="24"/>
      <c r="PWO147" s="24"/>
      <c r="PWP147" s="24"/>
      <c r="PWQ147" s="24"/>
      <c r="PWR147" s="24"/>
      <c r="PWS147" s="24"/>
      <c r="PWT147" s="24"/>
      <c r="PWU147" s="24"/>
      <c r="PWV147" s="24"/>
      <c r="PWW147" s="24"/>
      <c r="PWX147" s="24"/>
      <c r="PWY147" s="24"/>
      <c r="PWZ147" s="24"/>
      <c r="PXA147" s="24"/>
      <c r="PXB147" s="24"/>
      <c r="PXC147" s="24"/>
      <c r="PXD147" s="24"/>
      <c r="PXE147" s="24"/>
      <c r="PXF147" s="24"/>
      <c r="PXG147" s="24"/>
      <c r="PXH147" s="24"/>
      <c r="PXI147" s="24"/>
      <c r="PXJ147" s="24"/>
      <c r="PXK147" s="24"/>
      <c r="PXL147" s="24"/>
      <c r="PXM147" s="24"/>
      <c r="PXN147" s="24"/>
      <c r="PXO147" s="24"/>
      <c r="PXP147" s="24"/>
      <c r="PXQ147" s="24"/>
      <c r="PXR147" s="24"/>
      <c r="PXS147" s="24"/>
      <c r="PXT147" s="24"/>
      <c r="PXU147" s="24"/>
      <c r="PXV147" s="24"/>
      <c r="PXW147" s="24"/>
      <c r="PXX147" s="24"/>
      <c r="PXY147" s="24"/>
      <c r="PXZ147" s="24"/>
      <c r="PYA147" s="24"/>
      <c r="PYB147" s="24"/>
      <c r="PYC147" s="24"/>
      <c r="PYD147" s="24"/>
      <c r="PYE147" s="24"/>
      <c r="PYF147" s="24"/>
      <c r="PYG147" s="24"/>
      <c r="PYH147" s="24"/>
      <c r="PYI147" s="24"/>
      <c r="PYJ147" s="24"/>
      <c r="PYK147" s="24"/>
      <c r="PYL147" s="24"/>
      <c r="PYM147" s="24"/>
      <c r="PYN147" s="24"/>
      <c r="PYO147" s="24"/>
      <c r="PYP147" s="24"/>
      <c r="PYQ147" s="24"/>
      <c r="PYR147" s="24"/>
      <c r="PYS147" s="24"/>
      <c r="PYT147" s="24"/>
      <c r="PYU147" s="24"/>
      <c r="PYV147" s="24"/>
      <c r="PYW147" s="24"/>
      <c r="PYX147" s="24"/>
      <c r="PYY147" s="24"/>
      <c r="PYZ147" s="24"/>
      <c r="PZA147" s="24"/>
      <c r="PZB147" s="24"/>
      <c r="PZC147" s="24"/>
      <c r="PZD147" s="24"/>
      <c r="PZE147" s="24"/>
      <c r="PZF147" s="24"/>
      <c r="PZG147" s="24"/>
      <c r="PZH147" s="24"/>
      <c r="PZI147" s="24"/>
      <c r="PZJ147" s="24"/>
      <c r="PZK147" s="24"/>
      <c r="PZL147" s="24"/>
      <c r="PZM147" s="24"/>
      <c r="PZN147" s="24"/>
      <c r="PZO147" s="24"/>
      <c r="PZP147" s="24"/>
      <c r="PZQ147" s="24"/>
      <c r="PZR147" s="24"/>
      <c r="PZS147" s="24"/>
      <c r="PZT147" s="24"/>
      <c r="PZU147" s="24"/>
      <c r="PZV147" s="24"/>
      <c r="PZW147" s="24"/>
      <c r="PZX147" s="24"/>
      <c r="PZY147" s="24"/>
      <c r="PZZ147" s="24"/>
      <c r="QAA147" s="24"/>
      <c r="QAB147" s="24"/>
      <c r="QAC147" s="24"/>
      <c r="QAD147" s="24"/>
      <c r="QAE147" s="24"/>
      <c r="QAF147" s="24"/>
      <c r="QAG147" s="24"/>
      <c r="QAH147" s="24"/>
      <c r="QAI147" s="24"/>
      <c r="QAJ147" s="24"/>
      <c r="QAK147" s="24"/>
      <c r="QAL147" s="24"/>
      <c r="QAM147" s="24"/>
      <c r="QAN147" s="24"/>
      <c r="QAO147" s="24"/>
      <c r="QAP147" s="24"/>
      <c r="QAQ147" s="24"/>
      <c r="QAR147" s="24"/>
      <c r="QAS147" s="24"/>
      <c r="QAT147" s="24"/>
      <c r="QAU147" s="24"/>
      <c r="QAV147" s="24"/>
      <c r="QAW147" s="24"/>
      <c r="QAX147" s="24"/>
      <c r="QAY147" s="24"/>
      <c r="QAZ147" s="24"/>
      <c r="QBA147" s="24"/>
      <c r="QBB147" s="24"/>
      <c r="QBC147" s="24"/>
      <c r="QBD147" s="24"/>
      <c r="QBE147" s="24"/>
      <c r="QBF147" s="24"/>
      <c r="QBG147" s="24"/>
      <c r="QBH147" s="24"/>
      <c r="QBI147" s="24"/>
      <c r="QBJ147" s="24"/>
      <c r="QBK147" s="24"/>
      <c r="QBL147" s="24"/>
      <c r="QBM147" s="24"/>
      <c r="QBN147" s="24"/>
      <c r="QBO147" s="24"/>
      <c r="QBP147" s="24"/>
      <c r="QBQ147" s="24"/>
      <c r="QBR147" s="24"/>
      <c r="QBS147" s="24"/>
      <c r="QBT147" s="24"/>
      <c r="QBU147" s="24"/>
      <c r="QBV147" s="24"/>
      <c r="QBW147" s="24"/>
      <c r="QBX147" s="24"/>
      <c r="QBY147" s="24"/>
      <c r="QBZ147" s="24"/>
      <c r="QCA147" s="24"/>
      <c r="QCB147" s="24"/>
      <c r="QCC147" s="24"/>
      <c r="QCD147" s="24"/>
      <c r="QCE147" s="24"/>
      <c r="QCF147" s="24"/>
      <c r="QCG147" s="24"/>
      <c r="QCH147" s="24"/>
      <c r="QCI147" s="24"/>
      <c r="QCJ147" s="24"/>
      <c r="QCK147" s="24"/>
      <c r="QCL147" s="24"/>
      <c r="QCM147" s="24"/>
      <c r="QCN147" s="24"/>
      <c r="QCO147" s="24"/>
      <c r="QCP147" s="24"/>
      <c r="QCQ147" s="24"/>
      <c r="QCR147" s="24"/>
      <c r="QCS147" s="24"/>
      <c r="QCT147" s="24"/>
      <c r="QCU147" s="24"/>
      <c r="QCV147" s="24"/>
      <c r="QCW147" s="24"/>
      <c r="QCX147" s="24"/>
      <c r="QCY147" s="24"/>
      <c r="QCZ147" s="24"/>
      <c r="QDA147" s="24"/>
      <c r="QDB147" s="24"/>
      <c r="QDC147" s="24"/>
      <c r="QDD147" s="24"/>
      <c r="QDE147" s="24"/>
      <c r="QDF147" s="24"/>
      <c r="QDG147" s="24"/>
      <c r="QDH147" s="24"/>
      <c r="QDI147" s="24"/>
      <c r="QDJ147" s="24"/>
      <c r="QDK147" s="24"/>
      <c r="QDL147" s="24"/>
      <c r="QDM147" s="24"/>
      <c r="QDN147" s="24"/>
      <c r="QDO147" s="24"/>
      <c r="QDP147" s="24"/>
      <c r="QDQ147" s="24"/>
      <c r="QDR147" s="24"/>
      <c r="QDS147" s="24"/>
      <c r="QDT147" s="24"/>
      <c r="QDU147" s="24"/>
      <c r="QDV147" s="24"/>
      <c r="QDW147" s="24"/>
      <c r="QDX147" s="24"/>
      <c r="QDY147" s="24"/>
      <c r="QDZ147" s="24"/>
      <c r="QEA147" s="24"/>
      <c r="QEB147" s="24"/>
      <c r="QEC147" s="24"/>
      <c r="QED147" s="24"/>
      <c r="QEE147" s="24"/>
      <c r="QEF147" s="24"/>
      <c r="QEG147" s="24"/>
      <c r="QEH147" s="24"/>
      <c r="QEI147" s="24"/>
      <c r="QEJ147" s="24"/>
      <c r="QEK147" s="24"/>
      <c r="QEL147" s="24"/>
      <c r="QEM147" s="24"/>
      <c r="QEN147" s="24"/>
      <c r="QEO147" s="24"/>
      <c r="QEP147" s="24"/>
      <c r="QEQ147" s="24"/>
      <c r="QER147" s="24"/>
      <c r="QES147" s="24"/>
      <c r="QET147" s="24"/>
      <c r="QEU147" s="24"/>
      <c r="QEV147" s="24"/>
      <c r="QEW147" s="24"/>
      <c r="QEX147" s="24"/>
      <c r="QEY147" s="24"/>
      <c r="QEZ147" s="24"/>
      <c r="QFA147" s="24"/>
      <c r="QFB147" s="24"/>
      <c r="QFC147" s="24"/>
      <c r="QFD147" s="24"/>
      <c r="QFE147" s="24"/>
      <c r="QFF147" s="24"/>
      <c r="QFG147" s="24"/>
      <c r="QFH147" s="24"/>
      <c r="QFI147" s="24"/>
      <c r="QFJ147" s="24"/>
      <c r="QFK147" s="24"/>
      <c r="QFL147" s="24"/>
      <c r="QFM147" s="24"/>
      <c r="QFN147" s="24"/>
      <c r="QFO147" s="24"/>
      <c r="QFP147" s="24"/>
      <c r="QFQ147" s="24"/>
      <c r="QFR147" s="24"/>
      <c r="QFS147" s="24"/>
      <c r="QFT147" s="24"/>
      <c r="QFU147" s="24"/>
      <c r="QFV147" s="24"/>
      <c r="QFW147" s="24"/>
      <c r="QFX147" s="24"/>
      <c r="QFY147" s="24"/>
      <c r="QFZ147" s="24"/>
      <c r="QGA147" s="24"/>
      <c r="QGB147" s="24"/>
      <c r="QGC147" s="24"/>
      <c r="QGD147" s="24"/>
      <c r="QGE147" s="24"/>
      <c r="QGF147" s="24"/>
      <c r="QGG147" s="24"/>
      <c r="QGH147" s="24"/>
      <c r="QGI147" s="24"/>
      <c r="QGJ147" s="24"/>
      <c r="QGK147" s="24"/>
      <c r="QGL147" s="24"/>
      <c r="QGM147" s="24"/>
      <c r="QGN147" s="24"/>
      <c r="QGO147" s="24"/>
      <c r="QGP147" s="24"/>
      <c r="QGQ147" s="24"/>
      <c r="QGR147" s="24"/>
      <c r="QGS147" s="24"/>
      <c r="QGT147" s="24"/>
      <c r="QGU147" s="24"/>
      <c r="QGV147" s="24"/>
      <c r="QGW147" s="24"/>
      <c r="QGX147" s="24"/>
      <c r="QGY147" s="24"/>
      <c r="QGZ147" s="24"/>
      <c r="QHA147" s="24"/>
      <c r="QHB147" s="24"/>
      <c r="QHC147" s="24"/>
      <c r="QHD147" s="24"/>
      <c r="QHE147" s="24"/>
      <c r="QHF147" s="24"/>
      <c r="QHG147" s="24"/>
      <c r="QHH147" s="24"/>
      <c r="QHI147" s="24"/>
      <c r="QHJ147" s="24"/>
      <c r="QHK147" s="24"/>
      <c r="QHL147" s="24"/>
      <c r="QHM147" s="24"/>
      <c r="QHN147" s="24"/>
      <c r="QHO147" s="24"/>
      <c r="QHP147" s="24"/>
      <c r="QHQ147" s="24"/>
      <c r="QHR147" s="24"/>
      <c r="QHS147" s="24"/>
      <c r="QHT147" s="24"/>
      <c r="QHU147" s="24"/>
      <c r="QHV147" s="24"/>
      <c r="QHW147" s="24"/>
      <c r="QHX147" s="24"/>
      <c r="QHY147" s="24"/>
      <c r="QHZ147" s="24"/>
      <c r="QIA147" s="24"/>
      <c r="QIB147" s="24"/>
      <c r="QIC147" s="24"/>
      <c r="QID147" s="24"/>
      <c r="QIE147" s="24"/>
      <c r="QIF147" s="24"/>
      <c r="QIG147" s="24"/>
      <c r="QIH147" s="24"/>
      <c r="QII147" s="24"/>
      <c r="QIJ147" s="24"/>
      <c r="QIK147" s="24"/>
      <c r="QIL147" s="24"/>
      <c r="QIM147" s="24"/>
      <c r="QIN147" s="24"/>
      <c r="QIO147" s="24"/>
      <c r="QIP147" s="24"/>
      <c r="QIQ147" s="24"/>
      <c r="QIR147" s="24"/>
      <c r="QIS147" s="24"/>
      <c r="QIT147" s="24"/>
      <c r="QIU147" s="24"/>
      <c r="QIV147" s="24"/>
      <c r="QIW147" s="24"/>
      <c r="QIX147" s="24"/>
      <c r="QIY147" s="24"/>
      <c r="QIZ147" s="24"/>
      <c r="QJA147" s="24"/>
      <c r="QJB147" s="24"/>
      <c r="QJC147" s="24"/>
      <c r="QJD147" s="24"/>
      <c r="QJE147" s="24"/>
      <c r="QJF147" s="24"/>
      <c r="QJG147" s="24"/>
      <c r="QJH147" s="24"/>
      <c r="QJI147" s="24"/>
      <c r="QJJ147" s="24"/>
      <c r="QJK147" s="24"/>
      <c r="QJL147" s="24"/>
      <c r="QJM147" s="24"/>
      <c r="QJN147" s="24"/>
      <c r="QJO147" s="24"/>
      <c r="QJP147" s="24"/>
      <c r="QJQ147" s="24"/>
      <c r="QJR147" s="24"/>
      <c r="QJS147" s="24"/>
      <c r="QJT147" s="24"/>
      <c r="QJU147" s="24"/>
      <c r="QJV147" s="24"/>
      <c r="QJW147" s="24"/>
      <c r="QJX147" s="24"/>
      <c r="QJY147" s="24"/>
      <c r="QJZ147" s="24"/>
      <c r="QKA147" s="24"/>
      <c r="QKB147" s="24"/>
      <c r="QKC147" s="24"/>
      <c r="QKD147" s="24"/>
      <c r="QKE147" s="24"/>
      <c r="QKF147" s="24"/>
      <c r="QKG147" s="24"/>
      <c r="QKH147" s="24"/>
      <c r="QKI147" s="24"/>
      <c r="QKJ147" s="24"/>
      <c r="QKK147" s="24"/>
      <c r="QKL147" s="24"/>
      <c r="QKM147" s="24"/>
      <c r="QKN147" s="24"/>
      <c r="QKO147" s="24"/>
      <c r="QKP147" s="24"/>
      <c r="QKQ147" s="24"/>
      <c r="QKR147" s="24"/>
      <c r="QKS147" s="24"/>
      <c r="QKT147" s="24"/>
      <c r="QKU147" s="24"/>
      <c r="QKV147" s="24"/>
      <c r="QKW147" s="24"/>
      <c r="QKX147" s="24"/>
      <c r="QKY147" s="24"/>
      <c r="QKZ147" s="24"/>
      <c r="QLA147" s="24"/>
      <c r="QLB147" s="24"/>
      <c r="QLC147" s="24"/>
      <c r="QLD147" s="24"/>
      <c r="QLE147" s="24"/>
      <c r="QLF147" s="24"/>
      <c r="QLG147" s="24"/>
      <c r="QLH147" s="24"/>
      <c r="QLI147" s="24"/>
      <c r="QLJ147" s="24"/>
      <c r="QLK147" s="24"/>
      <c r="QLL147" s="24"/>
      <c r="QLM147" s="24"/>
      <c r="QLN147" s="24"/>
      <c r="QLO147" s="24"/>
      <c r="QLP147" s="24"/>
      <c r="QLQ147" s="24"/>
      <c r="QLR147" s="24"/>
      <c r="QLS147" s="24"/>
      <c r="QLT147" s="24"/>
      <c r="QLU147" s="24"/>
      <c r="QLV147" s="24"/>
      <c r="QLW147" s="24"/>
      <c r="QLX147" s="24"/>
      <c r="QLY147" s="24"/>
      <c r="QLZ147" s="24"/>
      <c r="QMA147" s="24"/>
      <c r="QMB147" s="24"/>
      <c r="QMC147" s="24"/>
      <c r="QMD147" s="24"/>
      <c r="QME147" s="24"/>
      <c r="QMF147" s="24"/>
      <c r="QMG147" s="24"/>
      <c r="QMH147" s="24"/>
      <c r="QMI147" s="24"/>
      <c r="QMJ147" s="24"/>
      <c r="QMK147" s="24"/>
      <c r="QML147" s="24"/>
      <c r="QMM147" s="24"/>
      <c r="QMN147" s="24"/>
      <c r="QMO147" s="24"/>
      <c r="QMP147" s="24"/>
      <c r="QMQ147" s="24"/>
      <c r="QMR147" s="24"/>
      <c r="QMS147" s="24"/>
      <c r="QMT147" s="24"/>
      <c r="QMU147" s="24"/>
      <c r="QMV147" s="24"/>
      <c r="QMW147" s="24"/>
      <c r="QMX147" s="24"/>
      <c r="QMY147" s="24"/>
      <c r="QMZ147" s="24"/>
      <c r="QNA147" s="24"/>
      <c r="QNB147" s="24"/>
      <c r="QNC147" s="24"/>
      <c r="QND147" s="24"/>
      <c r="QNE147" s="24"/>
      <c r="QNF147" s="24"/>
      <c r="QNG147" s="24"/>
      <c r="QNH147" s="24"/>
      <c r="QNI147" s="24"/>
      <c r="QNJ147" s="24"/>
      <c r="QNK147" s="24"/>
      <c r="QNL147" s="24"/>
      <c r="QNM147" s="24"/>
      <c r="QNN147" s="24"/>
      <c r="QNO147" s="24"/>
      <c r="QNP147" s="24"/>
      <c r="QNQ147" s="24"/>
      <c r="QNR147" s="24"/>
      <c r="QNS147" s="24"/>
      <c r="QNT147" s="24"/>
      <c r="QNU147" s="24"/>
      <c r="QNV147" s="24"/>
      <c r="QNW147" s="24"/>
      <c r="QNX147" s="24"/>
      <c r="QNY147" s="24"/>
      <c r="QNZ147" s="24"/>
      <c r="QOA147" s="24"/>
      <c r="QOB147" s="24"/>
      <c r="QOC147" s="24"/>
      <c r="QOD147" s="24"/>
      <c r="QOE147" s="24"/>
      <c r="QOF147" s="24"/>
      <c r="QOG147" s="24"/>
      <c r="QOH147" s="24"/>
      <c r="QOI147" s="24"/>
      <c r="QOJ147" s="24"/>
      <c r="QOK147" s="24"/>
      <c r="QOL147" s="24"/>
      <c r="QOM147" s="24"/>
      <c r="QON147" s="24"/>
      <c r="QOO147" s="24"/>
      <c r="QOP147" s="24"/>
      <c r="QOQ147" s="24"/>
      <c r="QOR147" s="24"/>
      <c r="QOS147" s="24"/>
      <c r="QOT147" s="24"/>
      <c r="QOU147" s="24"/>
      <c r="QOV147" s="24"/>
      <c r="QOW147" s="24"/>
      <c r="QOX147" s="24"/>
      <c r="QOY147" s="24"/>
      <c r="QOZ147" s="24"/>
      <c r="QPA147" s="24"/>
      <c r="QPB147" s="24"/>
      <c r="QPC147" s="24"/>
      <c r="QPD147" s="24"/>
      <c r="QPE147" s="24"/>
      <c r="QPF147" s="24"/>
      <c r="QPG147" s="24"/>
      <c r="QPH147" s="24"/>
      <c r="QPI147" s="24"/>
      <c r="QPJ147" s="24"/>
      <c r="QPK147" s="24"/>
      <c r="QPL147" s="24"/>
      <c r="QPM147" s="24"/>
      <c r="QPN147" s="24"/>
      <c r="QPO147" s="24"/>
      <c r="QPP147" s="24"/>
      <c r="QPQ147" s="24"/>
      <c r="QPR147" s="24"/>
      <c r="QPS147" s="24"/>
      <c r="QPT147" s="24"/>
      <c r="QPU147" s="24"/>
      <c r="QPV147" s="24"/>
      <c r="QPW147" s="24"/>
      <c r="QPX147" s="24"/>
      <c r="QPY147" s="24"/>
      <c r="QPZ147" s="24"/>
      <c r="QQA147" s="24"/>
      <c r="QQB147" s="24"/>
      <c r="QQC147" s="24"/>
      <c r="QQD147" s="24"/>
      <c r="QQE147" s="24"/>
      <c r="QQF147" s="24"/>
      <c r="QQG147" s="24"/>
      <c r="QQH147" s="24"/>
      <c r="QQI147" s="24"/>
      <c r="QQJ147" s="24"/>
      <c r="QQK147" s="24"/>
      <c r="QQL147" s="24"/>
      <c r="QQM147" s="24"/>
      <c r="QQN147" s="24"/>
      <c r="QQO147" s="24"/>
      <c r="QQP147" s="24"/>
      <c r="QQQ147" s="24"/>
      <c r="QQR147" s="24"/>
      <c r="QQS147" s="24"/>
      <c r="QQT147" s="24"/>
      <c r="QQU147" s="24"/>
      <c r="QQV147" s="24"/>
      <c r="QQW147" s="24"/>
      <c r="QQX147" s="24"/>
      <c r="QQY147" s="24"/>
      <c r="QQZ147" s="24"/>
      <c r="QRA147" s="24"/>
      <c r="QRB147" s="24"/>
      <c r="QRC147" s="24"/>
      <c r="QRD147" s="24"/>
      <c r="QRE147" s="24"/>
      <c r="QRF147" s="24"/>
      <c r="QRG147" s="24"/>
      <c r="QRH147" s="24"/>
      <c r="QRI147" s="24"/>
      <c r="QRJ147" s="24"/>
      <c r="QRK147" s="24"/>
      <c r="QRL147" s="24"/>
      <c r="QRM147" s="24"/>
      <c r="QRN147" s="24"/>
      <c r="QRO147" s="24"/>
      <c r="QRP147" s="24"/>
      <c r="QRQ147" s="24"/>
      <c r="QRR147" s="24"/>
      <c r="QRS147" s="24"/>
      <c r="QRT147" s="24"/>
      <c r="QRU147" s="24"/>
      <c r="QRV147" s="24"/>
      <c r="QRW147" s="24"/>
      <c r="QRX147" s="24"/>
      <c r="QRY147" s="24"/>
      <c r="QRZ147" s="24"/>
      <c r="QSA147" s="24"/>
      <c r="QSB147" s="24"/>
      <c r="QSC147" s="24"/>
      <c r="QSD147" s="24"/>
      <c r="QSE147" s="24"/>
      <c r="QSF147" s="24"/>
      <c r="QSG147" s="24"/>
      <c r="QSH147" s="24"/>
      <c r="QSI147" s="24"/>
      <c r="QSJ147" s="24"/>
      <c r="QSK147" s="24"/>
      <c r="QSL147" s="24"/>
      <c r="QSM147" s="24"/>
      <c r="QSN147" s="24"/>
      <c r="QSO147" s="24"/>
      <c r="QSP147" s="24"/>
      <c r="QSQ147" s="24"/>
      <c r="QSR147" s="24"/>
      <c r="QSS147" s="24"/>
      <c r="QST147" s="24"/>
      <c r="QSU147" s="24"/>
      <c r="QSV147" s="24"/>
      <c r="QSW147" s="24"/>
      <c r="QSX147" s="24"/>
      <c r="QSY147" s="24"/>
      <c r="QSZ147" s="24"/>
      <c r="QTA147" s="24"/>
      <c r="QTB147" s="24"/>
      <c r="QTC147" s="24"/>
      <c r="QTD147" s="24"/>
      <c r="QTE147" s="24"/>
      <c r="QTF147" s="24"/>
      <c r="QTG147" s="24"/>
      <c r="QTH147" s="24"/>
      <c r="QTI147" s="24"/>
      <c r="QTJ147" s="24"/>
      <c r="QTK147" s="24"/>
      <c r="QTL147" s="24"/>
      <c r="QTM147" s="24"/>
      <c r="QTN147" s="24"/>
      <c r="QTO147" s="24"/>
      <c r="QTP147" s="24"/>
      <c r="QTQ147" s="24"/>
      <c r="QTR147" s="24"/>
      <c r="QTS147" s="24"/>
      <c r="QTT147" s="24"/>
      <c r="QTU147" s="24"/>
      <c r="QTV147" s="24"/>
      <c r="QTW147" s="24"/>
      <c r="QTX147" s="24"/>
      <c r="QTY147" s="24"/>
      <c r="QTZ147" s="24"/>
      <c r="QUA147" s="24"/>
      <c r="QUB147" s="24"/>
      <c r="QUC147" s="24"/>
      <c r="QUD147" s="24"/>
      <c r="QUE147" s="24"/>
      <c r="QUF147" s="24"/>
      <c r="QUG147" s="24"/>
      <c r="QUH147" s="24"/>
      <c r="QUI147" s="24"/>
      <c r="QUJ147" s="24"/>
      <c r="QUK147" s="24"/>
      <c r="QUL147" s="24"/>
      <c r="QUM147" s="24"/>
      <c r="QUN147" s="24"/>
      <c r="QUO147" s="24"/>
      <c r="QUP147" s="24"/>
      <c r="QUQ147" s="24"/>
      <c r="QUR147" s="24"/>
      <c r="QUS147" s="24"/>
      <c r="QUT147" s="24"/>
      <c r="QUU147" s="24"/>
      <c r="QUV147" s="24"/>
      <c r="QUW147" s="24"/>
      <c r="QUX147" s="24"/>
      <c r="QUY147" s="24"/>
      <c r="QUZ147" s="24"/>
      <c r="QVA147" s="24"/>
      <c r="QVB147" s="24"/>
      <c r="QVC147" s="24"/>
      <c r="QVD147" s="24"/>
      <c r="QVE147" s="24"/>
      <c r="QVF147" s="24"/>
      <c r="QVG147" s="24"/>
      <c r="QVH147" s="24"/>
      <c r="QVI147" s="24"/>
      <c r="QVJ147" s="24"/>
      <c r="QVK147" s="24"/>
      <c r="QVL147" s="24"/>
      <c r="QVM147" s="24"/>
      <c r="QVN147" s="24"/>
      <c r="QVO147" s="24"/>
      <c r="QVP147" s="24"/>
      <c r="QVQ147" s="24"/>
      <c r="QVR147" s="24"/>
      <c r="QVS147" s="24"/>
      <c r="QVT147" s="24"/>
      <c r="QVU147" s="24"/>
      <c r="QVV147" s="24"/>
      <c r="QVW147" s="24"/>
      <c r="QVX147" s="24"/>
      <c r="QVY147" s="24"/>
      <c r="QVZ147" s="24"/>
      <c r="QWA147" s="24"/>
      <c r="QWB147" s="24"/>
      <c r="QWC147" s="24"/>
      <c r="QWD147" s="24"/>
      <c r="QWE147" s="24"/>
      <c r="QWF147" s="24"/>
      <c r="QWG147" s="24"/>
      <c r="QWH147" s="24"/>
      <c r="QWI147" s="24"/>
      <c r="QWJ147" s="24"/>
      <c r="QWK147" s="24"/>
      <c r="QWL147" s="24"/>
      <c r="QWM147" s="24"/>
      <c r="QWN147" s="24"/>
      <c r="QWO147" s="24"/>
      <c r="QWP147" s="24"/>
      <c r="QWQ147" s="24"/>
      <c r="QWR147" s="24"/>
      <c r="QWS147" s="24"/>
      <c r="QWT147" s="24"/>
      <c r="QWU147" s="24"/>
      <c r="QWV147" s="24"/>
      <c r="QWW147" s="24"/>
      <c r="QWX147" s="24"/>
      <c r="QWY147" s="24"/>
      <c r="QWZ147" s="24"/>
      <c r="QXA147" s="24"/>
      <c r="QXB147" s="24"/>
      <c r="QXC147" s="24"/>
      <c r="QXD147" s="24"/>
      <c r="QXE147" s="24"/>
      <c r="QXF147" s="24"/>
      <c r="QXG147" s="24"/>
      <c r="QXH147" s="24"/>
      <c r="QXI147" s="24"/>
      <c r="QXJ147" s="24"/>
      <c r="QXK147" s="24"/>
      <c r="QXL147" s="24"/>
      <c r="QXM147" s="24"/>
      <c r="QXN147" s="24"/>
      <c r="QXO147" s="24"/>
      <c r="QXP147" s="24"/>
      <c r="QXQ147" s="24"/>
      <c r="QXR147" s="24"/>
      <c r="QXS147" s="24"/>
      <c r="QXT147" s="24"/>
      <c r="QXU147" s="24"/>
      <c r="QXV147" s="24"/>
      <c r="QXW147" s="24"/>
      <c r="QXX147" s="24"/>
      <c r="QXY147" s="24"/>
      <c r="QXZ147" s="24"/>
      <c r="QYA147" s="24"/>
      <c r="QYB147" s="24"/>
      <c r="QYC147" s="24"/>
      <c r="QYD147" s="24"/>
      <c r="QYE147" s="24"/>
      <c r="QYF147" s="24"/>
      <c r="QYG147" s="24"/>
      <c r="QYH147" s="24"/>
      <c r="QYI147" s="24"/>
      <c r="QYJ147" s="24"/>
      <c r="QYK147" s="24"/>
      <c r="QYL147" s="24"/>
      <c r="QYM147" s="24"/>
      <c r="QYN147" s="24"/>
      <c r="QYO147" s="24"/>
      <c r="QYP147" s="24"/>
      <c r="QYQ147" s="24"/>
      <c r="QYR147" s="24"/>
      <c r="QYS147" s="24"/>
      <c r="QYT147" s="24"/>
      <c r="QYU147" s="24"/>
      <c r="QYV147" s="24"/>
      <c r="QYW147" s="24"/>
      <c r="QYX147" s="24"/>
      <c r="QYY147" s="24"/>
      <c r="QYZ147" s="24"/>
      <c r="QZA147" s="24"/>
      <c r="QZB147" s="24"/>
      <c r="QZC147" s="24"/>
      <c r="QZD147" s="24"/>
      <c r="QZE147" s="24"/>
      <c r="QZF147" s="24"/>
      <c r="QZG147" s="24"/>
      <c r="QZH147" s="24"/>
      <c r="QZI147" s="24"/>
      <c r="QZJ147" s="24"/>
      <c r="QZK147" s="24"/>
      <c r="QZL147" s="24"/>
      <c r="QZM147" s="24"/>
      <c r="QZN147" s="24"/>
      <c r="QZO147" s="24"/>
      <c r="QZP147" s="24"/>
      <c r="QZQ147" s="24"/>
      <c r="QZR147" s="24"/>
      <c r="QZS147" s="24"/>
      <c r="QZT147" s="24"/>
      <c r="QZU147" s="24"/>
      <c r="QZV147" s="24"/>
      <c r="QZW147" s="24"/>
      <c r="QZX147" s="24"/>
      <c r="QZY147" s="24"/>
      <c r="QZZ147" s="24"/>
      <c r="RAA147" s="24"/>
      <c r="RAB147" s="24"/>
      <c r="RAC147" s="24"/>
      <c r="RAD147" s="24"/>
      <c r="RAE147" s="24"/>
      <c r="RAF147" s="24"/>
      <c r="RAG147" s="24"/>
      <c r="RAH147" s="24"/>
      <c r="RAI147" s="24"/>
      <c r="RAJ147" s="24"/>
      <c r="RAK147" s="24"/>
      <c r="RAL147" s="24"/>
      <c r="RAM147" s="24"/>
      <c r="RAN147" s="24"/>
      <c r="RAO147" s="24"/>
      <c r="RAP147" s="24"/>
      <c r="RAQ147" s="24"/>
      <c r="RAR147" s="24"/>
      <c r="RAS147" s="24"/>
      <c r="RAT147" s="24"/>
      <c r="RAU147" s="24"/>
      <c r="RAV147" s="24"/>
      <c r="RAW147" s="24"/>
      <c r="RAX147" s="24"/>
      <c r="RAY147" s="24"/>
      <c r="RAZ147" s="24"/>
      <c r="RBA147" s="24"/>
      <c r="RBB147" s="24"/>
      <c r="RBC147" s="24"/>
      <c r="RBD147" s="24"/>
      <c r="RBE147" s="24"/>
      <c r="RBF147" s="24"/>
      <c r="RBG147" s="24"/>
      <c r="RBH147" s="24"/>
      <c r="RBI147" s="24"/>
      <c r="RBJ147" s="24"/>
      <c r="RBK147" s="24"/>
      <c r="RBL147" s="24"/>
      <c r="RBM147" s="24"/>
      <c r="RBN147" s="24"/>
      <c r="RBO147" s="24"/>
      <c r="RBP147" s="24"/>
      <c r="RBQ147" s="24"/>
      <c r="RBR147" s="24"/>
      <c r="RBS147" s="24"/>
      <c r="RBT147" s="24"/>
      <c r="RBU147" s="24"/>
      <c r="RBV147" s="24"/>
      <c r="RBW147" s="24"/>
      <c r="RBX147" s="24"/>
      <c r="RBY147" s="24"/>
      <c r="RBZ147" s="24"/>
      <c r="RCA147" s="24"/>
      <c r="RCB147" s="24"/>
      <c r="RCC147" s="24"/>
      <c r="RCD147" s="24"/>
      <c r="RCE147" s="24"/>
      <c r="RCF147" s="24"/>
      <c r="RCG147" s="24"/>
      <c r="RCH147" s="24"/>
      <c r="RCI147" s="24"/>
      <c r="RCJ147" s="24"/>
      <c r="RCK147" s="24"/>
      <c r="RCL147" s="24"/>
      <c r="RCM147" s="24"/>
      <c r="RCN147" s="24"/>
      <c r="RCO147" s="24"/>
      <c r="RCP147" s="24"/>
      <c r="RCQ147" s="24"/>
      <c r="RCR147" s="24"/>
      <c r="RCS147" s="24"/>
      <c r="RCT147" s="24"/>
      <c r="RCU147" s="24"/>
      <c r="RCV147" s="24"/>
      <c r="RCW147" s="24"/>
      <c r="RCX147" s="24"/>
      <c r="RCY147" s="24"/>
      <c r="RCZ147" s="24"/>
      <c r="RDA147" s="24"/>
      <c r="RDB147" s="24"/>
      <c r="RDC147" s="24"/>
      <c r="RDD147" s="24"/>
      <c r="RDE147" s="24"/>
      <c r="RDF147" s="24"/>
      <c r="RDG147" s="24"/>
      <c r="RDH147" s="24"/>
      <c r="RDI147" s="24"/>
      <c r="RDJ147" s="24"/>
      <c r="RDK147" s="24"/>
      <c r="RDL147" s="24"/>
      <c r="RDM147" s="24"/>
      <c r="RDN147" s="24"/>
      <c r="RDO147" s="24"/>
      <c r="RDP147" s="24"/>
      <c r="RDQ147" s="24"/>
      <c r="RDR147" s="24"/>
      <c r="RDS147" s="24"/>
      <c r="RDT147" s="24"/>
      <c r="RDU147" s="24"/>
      <c r="RDV147" s="24"/>
      <c r="RDW147" s="24"/>
      <c r="RDX147" s="24"/>
      <c r="RDY147" s="24"/>
      <c r="RDZ147" s="24"/>
      <c r="REA147" s="24"/>
      <c r="REB147" s="24"/>
      <c r="REC147" s="24"/>
      <c r="RED147" s="24"/>
      <c r="REE147" s="24"/>
      <c r="REF147" s="24"/>
      <c r="REG147" s="24"/>
      <c r="REH147" s="24"/>
      <c r="REI147" s="24"/>
      <c r="REJ147" s="24"/>
      <c r="REK147" s="24"/>
      <c r="REL147" s="24"/>
      <c r="REM147" s="24"/>
      <c r="REN147" s="24"/>
      <c r="REO147" s="24"/>
      <c r="REP147" s="24"/>
      <c r="REQ147" s="24"/>
      <c r="RER147" s="24"/>
      <c r="RES147" s="24"/>
      <c r="RET147" s="24"/>
      <c r="REU147" s="24"/>
      <c r="REV147" s="24"/>
      <c r="REW147" s="24"/>
      <c r="REX147" s="24"/>
      <c r="REY147" s="24"/>
      <c r="REZ147" s="24"/>
      <c r="RFA147" s="24"/>
      <c r="RFB147" s="24"/>
      <c r="RFC147" s="24"/>
      <c r="RFD147" s="24"/>
      <c r="RFE147" s="24"/>
      <c r="RFF147" s="24"/>
      <c r="RFG147" s="24"/>
      <c r="RFH147" s="24"/>
      <c r="RFI147" s="24"/>
      <c r="RFJ147" s="24"/>
      <c r="RFK147" s="24"/>
      <c r="RFL147" s="24"/>
      <c r="RFM147" s="24"/>
      <c r="RFN147" s="24"/>
      <c r="RFO147" s="24"/>
      <c r="RFP147" s="24"/>
      <c r="RFQ147" s="24"/>
      <c r="RFR147" s="24"/>
      <c r="RFS147" s="24"/>
      <c r="RFT147" s="24"/>
      <c r="RFU147" s="24"/>
      <c r="RFV147" s="24"/>
      <c r="RFW147" s="24"/>
      <c r="RFX147" s="24"/>
      <c r="RFY147" s="24"/>
      <c r="RFZ147" s="24"/>
      <c r="RGA147" s="24"/>
      <c r="RGB147" s="24"/>
      <c r="RGC147" s="24"/>
      <c r="RGD147" s="24"/>
      <c r="RGE147" s="24"/>
      <c r="RGF147" s="24"/>
      <c r="RGG147" s="24"/>
      <c r="RGH147" s="24"/>
      <c r="RGI147" s="24"/>
      <c r="RGJ147" s="24"/>
      <c r="RGK147" s="24"/>
      <c r="RGL147" s="24"/>
      <c r="RGM147" s="24"/>
      <c r="RGN147" s="24"/>
      <c r="RGO147" s="24"/>
      <c r="RGP147" s="24"/>
      <c r="RGQ147" s="24"/>
      <c r="RGR147" s="24"/>
      <c r="RGS147" s="24"/>
      <c r="RGT147" s="24"/>
      <c r="RGU147" s="24"/>
      <c r="RGV147" s="24"/>
      <c r="RGW147" s="24"/>
      <c r="RGX147" s="24"/>
      <c r="RGY147" s="24"/>
      <c r="RGZ147" s="24"/>
      <c r="RHA147" s="24"/>
      <c r="RHB147" s="24"/>
      <c r="RHC147" s="24"/>
      <c r="RHD147" s="24"/>
      <c r="RHE147" s="24"/>
      <c r="RHF147" s="24"/>
      <c r="RHG147" s="24"/>
      <c r="RHH147" s="24"/>
      <c r="RHI147" s="24"/>
      <c r="RHJ147" s="24"/>
      <c r="RHK147" s="24"/>
      <c r="RHL147" s="24"/>
      <c r="RHM147" s="24"/>
      <c r="RHN147" s="24"/>
      <c r="RHO147" s="24"/>
      <c r="RHP147" s="24"/>
      <c r="RHQ147" s="24"/>
      <c r="RHR147" s="24"/>
      <c r="RHS147" s="24"/>
      <c r="RHT147" s="24"/>
      <c r="RHU147" s="24"/>
      <c r="RHV147" s="24"/>
      <c r="RHW147" s="24"/>
      <c r="RHX147" s="24"/>
      <c r="RHY147" s="24"/>
      <c r="RHZ147" s="24"/>
      <c r="RIA147" s="24"/>
      <c r="RIB147" s="24"/>
      <c r="RIC147" s="24"/>
      <c r="RID147" s="24"/>
      <c r="RIE147" s="24"/>
      <c r="RIF147" s="24"/>
      <c r="RIG147" s="24"/>
      <c r="RIH147" s="24"/>
      <c r="RII147" s="24"/>
      <c r="RIJ147" s="24"/>
      <c r="RIK147" s="24"/>
      <c r="RIL147" s="24"/>
      <c r="RIM147" s="24"/>
      <c r="RIN147" s="24"/>
      <c r="RIO147" s="24"/>
      <c r="RIP147" s="24"/>
      <c r="RIQ147" s="24"/>
      <c r="RIR147" s="24"/>
      <c r="RIS147" s="24"/>
      <c r="RIT147" s="24"/>
      <c r="RIU147" s="24"/>
      <c r="RIV147" s="24"/>
      <c r="RIW147" s="24"/>
      <c r="RIX147" s="24"/>
      <c r="RIY147" s="24"/>
      <c r="RIZ147" s="24"/>
      <c r="RJA147" s="24"/>
      <c r="RJB147" s="24"/>
      <c r="RJC147" s="24"/>
      <c r="RJD147" s="24"/>
      <c r="RJE147" s="24"/>
      <c r="RJF147" s="24"/>
      <c r="RJG147" s="24"/>
      <c r="RJH147" s="24"/>
      <c r="RJI147" s="24"/>
      <c r="RJJ147" s="24"/>
      <c r="RJK147" s="24"/>
      <c r="RJL147" s="24"/>
      <c r="RJM147" s="24"/>
      <c r="RJN147" s="24"/>
      <c r="RJO147" s="24"/>
      <c r="RJP147" s="24"/>
      <c r="RJQ147" s="24"/>
      <c r="RJR147" s="24"/>
      <c r="RJS147" s="24"/>
      <c r="RJT147" s="24"/>
      <c r="RJU147" s="24"/>
      <c r="RJV147" s="24"/>
      <c r="RJW147" s="24"/>
      <c r="RJX147" s="24"/>
      <c r="RJY147" s="24"/>
      <c r="RJZ147" s="24"/>
      <c r="RKA147" s="24"/>
      <c r="RKB147" s="24"/>
      <c r="RKC147" s="24"/>
      <c r="RKD147" s="24"/>
      <c r="RKE147" s="24"/>
      <c r="RKF147" s="24"/>
      <c r="RKG147" s="24"/>
      <c r="RKH147" s="24"/>
      <c r="RKI147" s="24"/>
      <c r="RKJ147" s="24"/>
      <c r="RKK147" s="24"/>
      <c r="RKL147" s="24"/>
      <c r="RKM147" s="24"/>
      <c r="RKN147" s="24"/>
      <c r="RKO147" s="24"/>
      <c r="RKP147" s="24"/>
      <c r="RKQ147" s="24"/>
      <c r="RKR147" s="24"/>
      <c r="RKS147" s="24"/>
      <c r="RKT147" s="24"/>
      <c r="RKU147" s="24"/>
      <c r="RKV147" s="24"/>
      <c r="RKW147" s="24"/>
      <c r="RKX147" s="24"/>
      <c r="RKY147" s="24"/>
      <c r="RKZ147" s="24"/>
      <c r="RLA147" s="24"/>
      <c r="RLB147" s="24"/>
      <c r="RLC147" s="24"/>
      <c r="RLD147" s="24"/>
      <c r="RLE147" s="24"/>
      <c r="RLF147" s="24"/>
      <c r="RLG147" s="24"/>
      <c r="RLH147" s="24"/>
      <c r="RLI147" s="24"/>
      <c r="RLJ147" s="24"/>
      <c r="RLK147" s="24"/>
      <c r="RLL147" s="24"/>
      <c r="RLM147" s="24"/>
      <c r="RLN147" s="24"/>
      <c r="RLO147" s="24"/>
      <c r="RLP147" s="24"/>
      <c r="RLQ147" s="24"/>
      <c r="RLR147" s="24"/>
      <c r="RLS147" s="24"/>
      <c r="RLT147" s="24"/>
      <c r="RLU147" s="24"/>
      <c r="RLV147" s="24"/>
      <c r="RLW147" s="24"/>
      <c r="RLX147" s="24"/>
      <c r="RLY147" s="24"/>
      <c r="RLZ147" s="24"/>
      <c r="RMA147" s="24"/>
      <c r="RMB147" s="24"/>
      <c r="RMC147" s="24"/>
      <c r="RMD147" s="24"/>
      <c r="RME147" s="24"/>
      <c r="RMF147" s="24"/>
      <c r="RMG147" s="24"/>
      <c r="RMH147" s="24"/>
      <c r="RMI147" s="24"/>
      <c r="RMJ147" s="24"/>
      <c r="RMK147" s="24"/>
      <c r="RML147" s="24"/>
      <c r="RMM147" s="24"/>
      <c r="RMN147" s="24"/>
      <c r="RMO147" s="24"/>
      <c r="RMP147" s="24"/>
      <c r="RMQ147" s="24"/>
      <c r="RMR147" s="24"/>
      <c r="RMS147" s="24"/>
      <c r="RMT147" s="24"/>
      <c r="RMU147" s="24"/>
      <c r="RMV147" s="24"/>
      <c r="RMW147" s="24"/>
      <c r="RMX147" s="24"/>
      <c r="RMY147" s="24"/>
      <c r="RMZ147" s="24"/>
      <c r="RNA147" s="24"/>
      <c r="RNB147" s="24"/>
      <c r="RNC147" s="24"/>
      <c r="RND147" s="24"/>
      <c r="RNE147" s="24"/>
      <c r="RNF147" s="24"/>
      <c r="RNG147" s="24"/>
      <c r="RNH147" s="24"/>
      <c r="RNI147" s="24"/>
      <c r="RNJ147" s="24"/>
      <c r="RNK147" s="24"/>
      <c r="RNL147" s="24"/>
      <c r="RNM147" s="24"/>
      <c r="RNN147" s="24"/>
      <c r="RNO147" s="24"/>
      <c r="RNP147" s="24"/>
      <c r="RNQ147" s="24"/>
      <c r="RNR147" s="24"/>
      <c r="RNS147" s="24"/>
      <c r="RNT147" s="24"/>
      <c r="RNU147" s="24"/>
      <c r="RNV147" s="24"/>
      <c r="RNW147" s="24"/>
      <c r="RNX147" s="24"/>
      <c r="RNY147" s="24"/>
      <c r="RNZ147" s="24"/>
      <c r="ROA147" s="24"/>
      <c r="ROB147" s="24"/>
      <c r="ROC147" s="24"/>
      <c r="ROD147" s="24"/>
      <c r="ROE147" s="24"/>
      <c r="ROF147" s="24"/>
      <c r="ROG147" s="24"/>
      <c r="ROH147" s="24"/>
      <c r="ROI147" s="24"/>
      <c r="ROJ147" s="24"/>
      <c r="ROK147" s="24"/>
      <c r="ROL147" s="24"/>
      <c r="ROM147" s="24"/>
      <c r="RON147" s="24"/>
      <c r="ROO147" s="24"/>
      <c r="ROP147" s="24"/>
      <c r="ROQ147" s="24"/>
      <c r="ROR147" s="24"/>
      <c r="ROS147" s="24"/>
      <c r="ROT147" s="24"/>
      <c r="ROU147" s="24"/>
      <c r="ROV147" s="24"/>
      <c r="ROW147" s="24"/>
      <c r="ROX147" s="24"/>
      <c r="ROY147" s="24"/>
      <c r="ROZ147" s="24"/>
      <c r="RPA147" s="24"/>
      <c r="RPB147" s="24"/>
      <c r="RPC147" s="24"/>
      <c r="RPD147" s="24"/>
      <c r="RPE147" s="24"/>
      <c r="RPF147" s="24"/>
      <c r="RPG147" s="24"/>
      <c r="RPH147" s="24"/>
      <c r="RPI147" s="24"/>
      <c r="RPJ147" s="24"/>
      <c r="RPK147" s="24"/>
      <c r="RPL147" s="24"/>
      <c r="RPM147" s="24"/>
      <c r="RPN147" s="24"/>
      <c r="RPO147" s="24"/>
      <c r="RPP147" s="24"/>
      <c r="RPQ147" s="24"/>
      <c r="RPR147" s="24"/>
      <c r="RPS147" s="24"/>
      <c r="RPT147" s="24"/>
      <c r="RPU147" s="24"/>
      <c r="RPV147" s="24"/>
      <c r="RPW147" s="24"/>
      <c r="RPX147" s="24"/>
      <c r="RPY147" s="24"/>
      <c r="RPZ147" s="24"/>
      <c r="RQA147" s="24"/>
      <c r="RQB147" s="24"/>
      <c r="RQC147" s="24"/>
      <c r="RQD147" s="24"/>
      <c r="RQE147" s="24"/>
      <c r="RQF147" s="24"/>
      <c r="RQG147" s="24"/>
      <c r="RQH147" s="24"/>
      <c r="RQI147" s="24"/>
      <c r="RQJ147" s="24"/>
      <c r="RQK147" s="24"/>
      <c r="RQL147" s="24"/>
      <c r="RQM147" s="24"/>
      <c r="RQN147" s="24"/>
      <c r="RQO147" s="24"/>
      <c r="RQP147" s="24"/>
      <c r="RQQ147" s="24"/>
      <c r="RQR147" s="24"/>
      <c r="RQS147" s="24"/>
      <c r="RQT147" s="24"/>
      <c r="RQU147" s="24"/>
      <c r="RQV147" s="24"/>
      <c r="RQW147" s="24"/>
      <c r="RQX147" s="24"/>
      <c r="RQY147" s="24"/>
      <c r="RQZ147" s="24"/>
      <c r="RRA147" s="24"/>
      <c r="RRB147" s="24"/>
      <c r="RRC147" s="24"/>
      <c r="RRD147" s="24"/>
      <c r="RRE147" s="24"/>
      <c r="RRF147" s="24"/>
      <c r="RRG147" s="24"/>
      <c r="RRH147" s="24"/>
      <c r="RRI147" s="24"/>
      <c r="RRJ147" s="24"/>
      <c r="RRK147" s="24"/>
      <c r="RRL147" s="24"/>
      <c r="RRM147" s="24"/>
      <c r="RRN147" s="24"/>
      <c r="RRO147" s="24"/>
      <c r="RRP147" s="24"/>
      <c r="RRQ147" s="24"/>
      <c r="RRR147" s="24"/>
      <c r="RRS147" s="24"/>
      <c r="RRT147" s="24"/>
      <c r="RRU147" s="24"/>
      <c r="RRV147" s="24"/>
      <c r="RRW147" s="24"/>
      <c r="RRX147" s="24"/>
      <c r="RRY147" s="24"/>
      <c r="RRZ147" s="24"/>
      <c r="RSA147" s="24"/>
      <c r="RSB147" s="24"/>
      <c r="RSC147" s="24"/>
      <c r="RSD147" s="24"/>
      <c r="RSE147" s="24"/>
      <c r="RSF147" s="24"/>
      <c r="RSG147" s="24"/>
      <c r="RSH147" s="24"/>
      <c r="RSI147" s="24"/>
      <c r="RSJ147" s="24"/>
      <c r="RSK147" s="24"/>
      <c r="RSL147" s="24"/>
      <c r="RSM147" s="24"/>
      <c r="RSN147" s="24"/>
      <c r="RSO147" s="24"/>
      <c r="RSP147" s="24"/>
      <c r="RSQ147" s="24"/>
      <c r="RSR147" s="24"/>
      <c r="RSS147" s="24"/>
      <c r="RST147" s="24"/>
      <c r="RSU147" s="24"/>
      <c r="RSV147" s="24"/>
      <c r="RSW147" s="24"/>
      <c r="RSX147" s="24"/>
      <c r="RSY147" s="24"/>
      <c r="RSZ147" s="24"/>
      <c r="RTA147" s="24"/>
      <c r="RTB147" s="24"/>
      <c r="RTC147" s="24"/>
      <c r="RTD147" s="24"/>
      <c r="RTE147" s="24"/>
      <c r="RTF147" s="24"/>
      <c r="RTG147" s="24"/>
      <c r="RTH147" s="24"/>
      <c r="RTI147" s="24"/>
      <c r="RTJ147" s="24"/>
      <c r="RTK147" s="24"/>
      <c r="RTL147" s="24"/>
      <c r="RTM147" s="24"/>
      <c r="RTN147" s="24"/>
      <c r="RTO147" s="24"/>
      <c r="RTP147" s="24"/>
      <c r="RTQ147" s="24"/>
      <c r="RTR147" s="24"/>
      <c r="RTS147" s="24"/>
      <c r="RTT147" s="24"/>
      <c r="RTU147" s="24"/>
      <c r="RTV147" s="24"/>
      <c r="RTW147" s="24"/>
      <c r="RTX147" s="24"/>
      <c r="RTY147" s="24"/>
      <c r="RTZ147" s="24"/>
      <c r="RUA147" s="24"/>
      <c r="RUB147" s="24"/>
      <c r="RUC147" s="24"/>
      <c r="RUD147" s="24"/>
      <c r="RUE147" s="24"/>
      <c r="RUF147" s="24"/>
      <c r="RUG147" s="24"/>
      <c r="RUH147" s="24"/>
      <c r="RUI147" s="24"/>
      <c r="RUJ147" s="24"/>
      <c r="RUK147" s="24"/>
      <c r="RUL147" s="24"/>
      <c r="RUM147" s="24"/>
      <c r="RUN147" s="24"/>
      <c r="RUO147" s="24"/>
      <c r="RUP147" s="24"/>
      <c r="RUQ147" s="24"/>
      <c r="RUR147" s="24"/>
      <c r="RUS147" s="24"/>
      <c r="RUT147" s="24"/>
      <c r="RUU147" s="24"/>
      <c r="RUV147" s="24"/>
      <c r="RUW147" s="24"/>
      <c r="RUX147" s="24"/>
      <c r="RUY147" s="24"/>
      <c r="RUZ147" s="24"/>
      <c r="RVA147" s="24"/>
      <c r="RVB147" s="24"/>
      <c r="RVC147" s="24"/>
      <c r="RVD147" s="24"/>
      <c r="RVE147" s="24"/>
      <c r="RVF147" s="24"/>
      <c r="RVG147" s="24"/>
      <c r="RVH147" s="24"/>
      <c r="RVI147" s="24"/>
      <c r="RVJ147" s="24"/>
      <c r="RVK147" s="24"/>
      <c r="RVL147" s="24"/>
      <c r="RVM147" s="24"/>
      <c r="RVN147" s="24"/>
      <c r="RVO147" s="24"/>
      <c r="RVP147" s="24"/>
      <c r="RVQ147" s="24"/>
      <c r="RVR147" s="24"/>
      <c r="RVS147" s="24"/>
      <c r="RVT147" s="24"/>
      <c r="RVU147" s="24"/>
      <c r="RVV147" s="24"/>
      <c r="RVW147" s="24"/>
      <c r="RVX147" s="24"/>
      <c r="RVY147" s="24"/>
      <c r="RVZ147" s="24"/>
      <c r="RWA147" s="24"/>
      <c r="RWB147" s="24"/>
      <c r="RWC147" s="24"/>
      <c r="RWD147" s="24"/>
      <c r="RWE147" s="24"/>
      <c r="RWF147" s="24"/>
      <c r="RWG147" s="24"/>
      <c r="RWH147" s="24"/>
      <c r="RWI147" s="24"/>
      <c r="RWJ147" s="24"/>
      <c r="RWK147" s="24"/>
      <c r="RWL147" s="24"/>
      <c r="RWM147" s="24"/>
      <c r="RWN147" s="24"/>
      <c r="RWO147" s="24"/>
      <c r="RWP147" s="24"/>
      <c r="RWQ147" s="24"/>
      <c r="RWR147" s="24"/>
      <c r="RWS147" s="24"/>
      <c r="RWT147" s="24"/>
      <c r="RWU147" s="24"/>
      <c r="RWV147" s="24"/>
      <c r="RWW147" s="24"/>
      <c r="RWX147" s="24"/>
      <c r="RWY147" s="24"/>
      <c r="RWZ147" s="24"/>
      <c r="RXA147" s="24"/>
      <c r="RXB147" s="24"/>
      <c r="RXC147" s="24"/>
      <c r="RXD147" s="24"/>
      <c r="RXE147" s="24"/>
      <c r="RXF147" s="24"/>
      <c r="RXG147" s="24"/>
      <c r="RXH147" s="24"/>
      <c r="RXI147" s="24"/>
      <c r="RXJ147" s="24"/>
      <c r="RXK147" s="24"/>
      <c r="RXL147" s="24"/>
      <c r="RXM147" s="24"/>
      <c r="RXN147" s="24"/>
      <c r="RXO147" s="24"/>
      <c r="RXP147" s="24"/>
      <c r="RXQ147" s="24"/>
      <c r="RXR147" s="24"/>
      <c r="RXS147" s="24"/>
      <c r="RXT147" s="24"/>
      <c r="RXU147" s="24"/>
      <c r="RXV147" s="24"/>
      <c r="RXW147" s="24"/>
      <c r="RXX147" s="24"/>
      <c r="RXY147" s="24"/>
      <c r="RXZ147" s="24"/>
      <c r="RYA147" s="24"/>
      <c r="RYB147" s="24"/>
      <c r="RYC147" s="24"/>
      <c r="RYD147" s="24"/>
      <c r="RYE147" s="24"/>
      <c r="RYF147" s="24"/>
      <c r="RYG147" s="24"/>
      <c r="RYH147" s="24"/>
      <c r="RYI147" s="24"/>
      <c r="RYJ147" s="24"/>
      <c r="RYK147" s="24"/>
      <c r="RYL147" s="24"/>
      <c r="RYM147" s="24"/>
      <c r="RYN147" s="24"/>
      <c r="RYO147" s="24"/>
      <c r="RYP147" s="24"/>
      <c r="RYQ147" s="24"/>
      <c r="RYR147" s="24"/>
      <c r="RYS147" s="24"/>
      <c r="RYT147" s="24"/>
      <c r="RYU147" s="24"/>
      <c r="RYV147" s="24"/>
      <c r="RYW147" s="24"/>
      <c r="RYX147" s="24"/>
      <c r="RYY147" s="24"/>
      <c r="RYZ147" s="24"/>
      <c r="RZA147" s="24"/>
      <c r="RZB147" s="24"/>
      <c r="RZC147" s="24"/>
      <c r="RZD147" s="24"/>
      <c r="RZE147" s="24"/>
      <c r="RZF147" s="24"/>
      <c r="RZG147" s="24"/>
      <c r="RZH147" s="24"/>
      <c r="RZI147" s="24"/>
      <c r="RZJ147" s="24"/>
      <c r="RZK147" s="24"/>
      <c r="RZL147" s="24"/>
      <c r="RZM147" s="24"/>
      <c r="RZN147" s="24"/>
      <c r="RZO147" s="24"/>
      <c r="RZP147" s="24"/>
      <c r="RZQ147" s="24"/>
      <c r="RZR147" s="24"/>
      <c r="RZS147" s="24"/>
      <c r="RZT147" s="24"/>
      <c r="RZU147" s="24"/>
      <c r="RZV147" s="24"/>
      <c r="RZW147" s="24"/>
      <c r="RZX147" s="24"/>
      <c r="RZY147" s="24"/>
      <c r="RZZ147" s="24"/>
      <c r="SAA147" s="24"/>
      <c r="SAB147" s="24"/>
      <c r="SAC147" s="24"/>
      <c r="SAD147" s="24"/>
      <c r="SAE147" s="24"/>
      <c r="SAF147" s="24"/>
      <c r="SAG147" s="24"/>
      <c r="SAH147" s="24"/>
      <c r="SAI147" s="24"/>
      <c r="SAJ147" s="24"/>
      <c r="SAK147" s="24"/>
      <c r="SAL147" s="24"/>
      <c r="SAM147" s="24"/>
      <c r="SAN147" s="24"/>
      <c r="SAO147" s="24"/>
      <c r="SAP147" s="24"/>
      <c r="SAQ147" s="24"/>
      <c r="SAR147" s="24"/>
      <c r="SAS147" s="24"/>
      <c r="SAT147" s="24"/>
      <c r="SAU147" s="24"/>
      <c r="SAV147" s="24"/>
      <c r="SAW147" s="24"/>
      <c r="SAX147" s="24"/>
      <c r="SAY147" s="24"/>
      <c r="SAZ147" s="24"/>
      <c r="SBA147" s="24"/>
      <c r="SBB147" s="24"/>
      <c r="SBC147" s="24"/>
      <c r="SBD147" s="24"/>
      <c r="SBE147" s="24"/>
      <c r="SBF147" s="24"/>
      <c r="SBG147" s="24"/>
      <c r="SBH147" s="24"/>
      <c r="SBI147" s="24"/>
      <c r="SBJ147" s="24"/>
      <c r="SBK147" s="24"/>
      <c r="SBL147" s="24"/>
      <c r="SBM147" s="24"/>
      <c r="SBN147" s="24"/>
      <c r="SBO147" s="24"/>
      <c r="SBP147" s="24"/>
      <c r="SBQ147" s="24"/>
      <c r="SBR147" s="24"/>
      <c r="SBS147" s="24"/>
      <c r="SBT147" s="24"/>
      <c r="SBU147" s="24"/>
      <c r="SBV147" s="24"/>
      <c r="SBW147" s="24"/>
      <c r="SBX147" s="24"/>
      <c r="SBY147" s="24"/>
      <c r="SBZ147" s="24"/>
      <c r="SCA147" s="24"/>
      <c r="SCB147" s="24"/>
      <c r="SCC147" s="24"/>
      <c r="SCD147" s="24"/>
      <c r="SCE147" s="24"/>
      <c r="SCF147" s="24"/>
      <c r="SCG147" s="24"/>
      <c r="SCH147" s="24"/>
      <c r="SCI147" s="24"/>
      <c r="SCJ147" s="24"/>
      <c r="SCK147" s="24"/>
      <c r="SCL147" s="24"/>
      <c r="SCM147" s="24"/>
      <c r="SCN147" s="24"/>
      <c r="SCO147" s="24"/>
      <c r="SCP147" s="24"/>
      <c r="SCQ147" s="24"/>
      <c r="SCR147" s="24"/>
      <c r="SCS147" s="24"/>
      <c r="SCT147" s="24"/>
      <c r="SCU147" s="24"/>
      <c r="SCV147" s="24"/>
      <c r="SCW147" s="24"/>
      <c r="SCX147" s="24"/>
      <c r="SCY147" s="24"/>
      <c r="SCZ147" s="24"/>
      <c r="SDA147" s="24"/>
      <c r="SDB147" s="24"/>
      <c r="SDC147" s="24"/>
      <c r="SDD147" s="24"/>
      <c r="SDE147" s="24"/>
      <c r="SDF147" s="24"/>
      <c r="SDG147" s="24"/>
      <c r="SDH147" s="24"/>
      <c r="SDI147" s="24"/>
      <c r="SDJ147" s="24"/>
      <c r="SDK147" s="24"/>
      <c r="SDL147" s="24"/>
      <c r="SDM147" s="24"/>
      <c r="SDN147" s="24"/>
      <c r="SDO147" s="24"/>
      <c r="SDP147" s="24"/>
      <c r="SDQ147" s="24"/>
      <c r="SDR147" s="24"/>
      <c r="SDS147" s="24"/>
      <c r="SDT147" s="24"/>
      <c r="SDU147" s="24"/>
      <c r="SDV147" s="24"/>
      <c r="SDW147" s="24"/>
      <c r="SDX147" s="24"/>
      <c r="SDY147" s="24"/>
      <c r="SDZ147" s="24"/>
      <c r="SEA147" s="24"/>
      <c r="SEB147" s="24"/>
      <c r="SEC147" s="24"/>
      <c r="SED147" s="24"/>
      <c r="SEE147" s="24"/>
      <c r="SEF147" s="24"/>
      <c r="SEG147" s="24"/>
      <c r="SEH147" s="24"/>
      <c r="SEI147" s="24"/>
      <c r="SEJ147" s="24"/>
      <c r="SEK147" s="24"/>
      <c r="SEL147" s="24"/>
      <c r="SEM147" s="24"/>
      <c r="SEN147" s="24"/>
      <c r="SEO147" s="24"/>
      <c r="SEP147" s="24"/>
      <c r="SEQ147" s="24"/>
      <c r="SER147" s="24"/>
      <c r="SES147" s="24"/>
      <c r="SET147" s="24"/>
      <c r="SEU147" s="24"/>
      <c r="SEV147" s="24"/>
      <c r="SEW147" s="24"/>
      <c r="SEX147" s="24"/>
      <c r="SEY147" s="24"/>
      <c r="SEZ147" s="24"/>
      <c r="SFA147" s="24"/>
      <c r="SFB147" s="24"/>
      <c r="SFC147" s="24"/>
      <c r="SFD147" s="24"/>
      <c r="SFE147" s="24"/>
      <c r="SFF147" s="24"/>
      <c r="SFG147" s="24"/>
      <c r="SFH147" s="24"/>
      <c r="SFI147" s="24"/>
      <c r="SFJ147" s="24"/>
      <c r="SFK147" s="24"/>
      <c r="SFL147" s="24"/>
      <c r="SFM147" s="24"/>
      <c r="SFN147" s="24"/>
      <c r="SFO147" s="24"/>
      <c r="SFP147" s="24"/>
      <c r="SFQ147" s="24"/>
      <c r="SFR147" s="24"/>
      <c r="SFS147" s="24"/>
      <c r="SFT147" s="24"/>
      <c r="SFU147" s="24"/>
      <c r="SFV147" s="24"/>
      <c r="SFW147" s="24"/>
      <c r="SFX147" s="24"/>
      <c r="SFY147" s="24"/>
      <c r="SFZ147" s="24"/>
      <c r="SGA147" s="24"/>
      <c r="SGB147" s="24"/>
      <c r="SGC147" s="24"/>
      <c r="SGD147" s="24"/>
      <c r="SGE147" s="24"/>
      <c r="SGF147" s="24"/>
      <c r="SGG147" s="24"/>
      <c r="SGH147" s="24"/>
      <c r="SGI147" s="24"/>
      <c r="SGJ147" s="24"/>
      <c r="SGK147" s="24"/>
      <c r="SGL147" s="24"/>
      <c r="SGM147" s="24"/>
      <c r="SGN147" s="24"/>
      <c r="SGO147" s="24"/>
      <c r="SGP147" s="24"/>
      <c r="SGQ147" s="24"/>
      <c r="SGR147" s="24"/>
      <c r="SGS147" s="24"/>
      <c r="SGT147" s="24"/>
      <c r="SGU147" s="24"/>
      <c r="SGV147" s="24"/>
      <c r="SGW147" s="24"/>
      <c r="SGX147" s="24"/>
      <c r="SGY147" s="24"/>
      <c r="SGZ147" s="24"/>
      <c r="SHA147" s="24"/>
      <c r="SHB147" s="24"/>
      <c r="SHC147" s="24"/>
      <c r="SHD147" s="24"/>
      <c r="SHE147" s="24"/>
      <c r="SHF147" s="24"/>
      <c r="SHG147" s="24"/>
      <c r="SHH147" s="24"/>
      <c r="SHI147" s="24"/>
      <c r="SHJ147" s="24"/>
      <c r="SHK147" s="24"/>
      <c r="SHL147" s="24"/>
      <c r="SHM147" s="24"/>
      <c r="SHN147" s="24"/>
      <c r="SHO147" s="24"/>
      <c r="SHP147" s="24"/>
      <c r="SHQ147" s="24"/>
      <c r="SHR147" s="24"/>
      <c r="SHS147" s="24"/>
      <c r="SHT147" s="24"/>
      <c r="SHU147" s="24"/>
      <c r="SHV147" s="24"/>
      <c r="SHW147" s="24"/>
      <c r="SHX147" s="24"/>
      <c r="SHY147" s="24"/>
      <c r="SHZ147" s="24"/>
      <c r="SIA147" s="24"/>
      <c r="SIB147" s="24"/>
      <c r="SIC147" s="24"/>
      <c r="SID147" s="24"/>
      <c r="SIE147" s="24"/>
      <c r="SIF147" s="24"/>
      <c r="SIG147" s="24"/>
      <c r="SIH147" s="24"/>
      <c r="SII147" s="24"/>
      <c r="SIJ147" s="24"/>
      <c r="SIK147" s="24"/>
      <c r="SIL147" s="24"/>
      <c r="SIM147" s="24"/>
      <c r="SIN147" s="24"/>
      <c r="SIO147" s="24"/>
      <c r="SIP147" s="24"/>
      <c r="SIQ147" s="24"/>
      <c r="SIR147" s="24"/>
      <c r="SIS147" s="24"/>
      <c r="SIT147" s="24"/>
      <c r="SIU147" s="24"/>
      <c r="SIV147" s="24"/>
      <c r="SIW147" s="24"/>
      <c r="SIX147" s="24"/>
      <c r="SIY147" s="24"/>
      <c r="SIZ147" s="24"/>
      <c r="SJA147" s="24"/>
      <c r="SJB147" s="24"/>
      <c r="SJC147" s="24"/>
      <c r="SJD147" s="24"/>
      <c r="SJE147" s="24"/>
      <c r="SJF147" s="24"/>
      <c r="SJG147" s="24"/>
      <c r="SJH147" s="24"/>
      <c r="SJI147" s="24"/>
      <c r="SJJ147" s="24"/>
      <c r="SJK147" s="24"/>
      <c r="SJL147" s="24"/>
      <c r="SJM147" s="24"/>
      <c r="SJN147" s="24"/>
      <c r="SJO147" s="24"/>
      <c r="SJP147" s="24"/>
      <c r="SJQ147" s="24"/>
      <c r="SJR147" s="24"/>
      <c r="SJS147" s="24"/>
      <c r="SJT147" s="24"/>
      <c r="SJU147" s="24"/>
      <c r="SJV147" s="24"/>
      <c r="SJW147" s="24"/>
      <c r="SJX147" s="24"/>
      <c r="SJY147" s="24"/>
      <c r="SJZ147" s="24"/>
      <c r="SKA147" s="24"/>
      <c r="SKB147" s="24"/>
      <c r="SKC147" s="24"/>
      <c r="SKD147" s="24"/>
      <c r="SKE147" s="24"/>
      <c r="SKF147" s="24"/>
      <c r="SKG147" s="24"/>
      <c r="SKH147" s="24"/>
      <c r="SKI147" s="24"/>
      <c r="SKJ147" s="24"/>
      <c r="SKK147" s="24"/>
      <c r="SKL147" s="24"/>
      <c r="SKM147" s="24"/>
      <c r="SKN147" s="24"/>
      <c r="SKO147" s="24"/>
      <c r="SKP147" s="24"/>
      <c r="SKQ147" s="24"/>
      <c r="SKR147" s="24"/>
      <c r="SKS147" s="24"/>
      <c r="SKT147" s="24"/>
      <c r="SKU147" s="24"/>
      <c r="SKV147" s="24"/>
      <c r="SKW147" s="24"/>
      <c r="SKX147" s="24"/>
      <c r="SKY147" s="24"/>
      <c r="SKZ147" s="24"/>
      <c r="SLA147" s="24"/>
      <c r="SLB147" s="24"/>
      <c r="SLC147" s="24"/>
      <c r="SLD147" s="24"/>
      <c r="SLE147" s="24"/>
      <c r="SLF147" s="24"/>
      <c r="SLG147" s="24"/>
      <c r="SLH147" s="24"/>
      <c r="SLI147" s="24"/>
      <c r="SLJ147" s="24"/>
      <c r="SLK147" s="24"/>
      <c r="SLL147" s="24"/>
      <c r="SLM147" s="24"/>
      <c r="SLN147" s="24"/>
      <c r="SLO147" s="24"/>
      <c r="SLP147" s="24"/>
      <c r="SLQ147" s="24"/>
      <c r="SLR147" s="24"/>
      <c r="SLS147" s="24"/>
      <c r="SLT147" s="24"/>
      <c r="SLU147" s="24"/>
      <c r="SLV147" s="24"/>
      <c r="SLW147" s="24"/>
      <c r="SLX147" s="24"/>
      <c r="SLY147" s="24"/>
      <c r="SLZ147" s="24"/>
      <c r="SMA147" s="24"/>
      <c r="SMB147" s="24"/>
      <c r="SMC147" s="24"/>
      <c r="SMD147" s="24"/>
      <c r="SME147" s="24"/>
      <c r="SMF147" s="24"/>
      <c r="SMG147" s="24"/>
      <c r="SMH147" s="24"/>
      <c r="SMI147" s="24"/>
      <c r="SMJ147" s="24"/>
      <c r="SMK147" s="24"/>
      <c r="SML147" s="24"/>
      <c r="SMM147" s="24"/>
      <c r="SMN147" s="24"/>
      <c r="SMO147" s="24"/>
      <c r="SMP147" s="24"/>
      <c r="SMQ147" s="24"/>
      <c r="SMR147" s="24"/>
      <c r="SMS147" s="24"/>
      <c r="SMT147" s="24"/>
      <c r="SMU147" s="24"/>
      <c r="SMV147" s="24"/>
      <c r="SMW147" s="24"/>
      <c r="SMX147" s="24"/>
      <c r="SMY147" s="24"/>
      <c r="SMZ147" s="24"/>
      <c r="SNA147" s="24"/>
      <c r="SNB147" s="24"/>
      <c r="SNC147" s="24"/>
      <c r="SND147" s="24"/>
      <c r="SNE147" s="24"/>
      <c r="SNF147" s="24"/>
      <c r="SNG147" s="24"/>
      <c r="SNH147" s="24"/>
      <c r="SNI147" s="24"/>
      <c r="SNJ147" s="24"/>
      <c r="SNK147" s="24"/>
      <c r="SNL147" s="24"/>
      <c r="SNM147" s="24"/>
      <c r="SNN147" s="24"/>
      <c r="SNO147" s="24"/>
      <c r="SNP147" s="24"/>
      <c r="SNQ147" s="24"/>
      <c r="SNR147" s="24"/>
      <c r="SNS147" s="24"/>
      <c r="SNT147" s="24"/>
      <c r="SNU147" s="24"/>
      <c r="SNV147" s="24"/>
      <c r="SNW147" s="24"/>
      <c r="SNX147" s="24"/>
      <c r="SNY147" s="24"/>
      <c r="SNZ147" s="24"/>
      <c r="SOA147" s="24"/>
      <c r="SOB147" s="24"/>
      <c r="SOC147" s="24"/>
      <c r="SOD147" s="24"/>
      <c r="SOE147" s="24"/>
      <c r="SOF147" s="24"/>
      <c r="SOG147" s="24"/>
      <c r="SOH147" s="24"/>
      <c r="SOI147" s="24"/>
      <c r="SOJ147" s="24"/>
      <c r="SOK147" s="24"/>
      <c r="SOL147" s="24"/>
      <c r="SOM147" s="24"/>
      <c r="SON147" s="24"/>
      <c r="SOO147" s="24"/>
      <c r="SOP147" s="24"/>
      <c r="SOQ147" s="24"/>
      <c r="SOR147" s="24"/>
      <c r="SOS147" s="24"/>
      <c r="SOT147" s="24"/>
      <c r="SOU147" s="24"/>
      <c r="SOV147" s="24"/>
      <c r="SOW147" s="24"/>
      <c r="SOX147" s="24"/>
      <c r="SOY147" s="24"/>
      <c r="SOZ147" s="24"/>
      <c r="SPA147" s="24"/>
      <c r="SPB147" s="24"/>
      <c r="SPC147" s="24"/>
      <c r="SPD147" s="24"/>
      <c r="SPE147" s="24"/>
      <c r="SPF147" s="24"/>
      <c r="SPG147" s="24"/>
      <c r="SPH147" s="24"/>
      <c r="SPI147" s="24"/>
      <c r="SPJ147" s="24"/>
      <c r="SPK147" s="24"/>
      <c r="SPL147" s="24"/>
      <c r="SPM147" s="24"/>
      <c r="SPN147" s="24"/>
      <c r="SPO147" s="24"/>
      <c r="SPP147" s="24"/>
      <c r="SPQ147" s="24"/>
      <c r="SPR147" s="24"/>
      <c r="SPS147" s="24"/>
      <c r="SPT147" s="24"/>
      <c r="SPU147" s="24"/>
      <c r="SPV147" s="24"/>
      <c r="SPW147" s="24"/>
      <c r="SPX147" s="24"/>
      <c r="SPY147" s="24"/>
      <c r="SPZ147" s="24"/>
      <c r="SQA147" s="24"/>
      <c r="SQB147" s="24"/>
      <c r="SQC147" s="24"/>
      <c r="SQD147" s="24"/>
      <c r="SQE147" s="24"/>
      <c r="SQF147" s="24"/>
      <c r="SQG147" s="24"/>
      <c r="SQH147" s="24"/>
      <c r="SQI147" s="24"/>
      <c r="SQJ147" s="24"/>
      <c r="SQK147" s="24"/>
      <c r="SQL147" s="24"/>
      <c r="SQM147" s="24"/>
      <c r="SQN147" s="24"/>
      <c r="SQO147" s="24"/>
      <c r="SQP147" s="24"/>
      <c r="SQQ147" s="24"/>
      <c r="SQR147" s="24"/>
      <c r="SQS147" s="24"/>
      <c r="SQT147" s="24"/>
      <c r="SQU147" s="24"/>
      <c r="SQV147" s="24"/>
      <c r="SQW147" s="24"/>
      <c r="SQX147" s="24"/>
      <c r="SQY147" s="24"/>
      <c r="SQZ147" s="24"/>
      <c r="SRA147" s="24"/>
      <c r="SRB147" s="24"/>
      <c r="SRC147" s="24"/>
      <c r="SRD147" s="24"/>
      <c r="SRE147" s="24"/>
      <c r="SRF147" s="24"/>
      <c r="SRG147" s="24"/>
      <c r="SRH147" s="24"/>
      <c r="SRI147" s="24"/>
      <c r="SRJ147" s="24"/>
      <c r="SRK147" s="24"/>
      <c r="SRL147" s="24"/>
      <c r="SRM147" s="24"/>
      <c r="SRN147" s="24"/>
      <c r="SRO147" s="24"/>
      <c r="SRP147" s="24"/>
      <c r="SRQ147" s="24"/>
      <c r="SRR147" s="24"/>
      <c r="SRS147" s="24"/>
      <c r="SRT147" s="24"/>
      <c r="SRU147" s="24"/>
      <c r="SRV147" s="24"/>
      <c r="SRW147" s="24"/>
      <c r="SRX147" s="24"/>
      <c r="SRY147" s="24"/>
      <c r="SRZ147" s="24"/>
      <c r="SSA147" s="24"/>
      <c r="SSB147" s="24"/>
      <c r="SSC147" s="24"/>
      <c r="SSD147" s="24"/>
      <c r="SSE147" s="24"/>
      <c r="SSF147" s="24"/>
      <c r="SSG147" s="24"/>
      <c r="SSH147" s="24"/>
      <c r="SSI147" s="24"/>
      <c r="SSJ147" s="24"/>
      <c r="SSK147" s="24"/>
      <c r="SSL147" s="24"/>
      <c r="SSM147" s="24"/>
      <c r="SSN147" s="24"/>
      <c r="SSO147" s="24"/>
      <c r="SSP147" s="24"/>
      <c r="SSQ147" s="24"/>
      <c r="SSR147" s="24"/>
      <c r="SSS147" s="24"/>
      <c r="SST147" s="24"/>
      <c r="SSU147" s="24"/>
      <c r="SSV147" s="24"/>
      <c r="SSW147" s="24"/>
      <c r="SSX147" s="24"/>
      <c r="SSY147" s="24"/>
      <c r="SSZ147" s="24"/>
      <c r="STA147" s="24"/>
      <c r="STB147" s="24"/>
      <c r="STC147" s="24"/>
      <c r="STD147" s="24"/>
      <c r="STE147" s="24"/>
      <c r="STF147" s="24"/>
      <c r="STG147" s="24"/>
      <c r="STH147" s="24"/>
      <c r="STI147" s="24"/>
      <c r="STJ147" s="24"/>
      <c r="STK147" s="24"/>
      <c r="STL147" s="24"/>
      <c r="STM147" s="24"/>
      <c r="STN147" s="24"/>
      <c r="STO147" s="24"/>
      <c r="STP147" s="24"/>
      <c r="STQ147" s="24"/>
      <c r="STR147" s="24"/>
      <c r="STS147" s="24"/>
      <c r="STT147" s="24"/>
      <c r="STU147" s="24"/>
      <c r="STV147" s="24"/>
      <c r="STW147" s="24"/>
      <c r="STX147" s="24"/>
      <c r="STY147" s="24"/>
      <c r="STZ147" s="24"/>
      <c r="SUA147" s="24"/>
      <c r="SUB147" s="24"/>
      <c r="SUC147" s="24"/>
      <c r="SUD147" s="24"/>
      <c r="SUE147" s="24"/>
      <c r="SUF147" s="24"/>
      <c r="SUG147" s="24"/>
      <c r="SUH147" s="24"/>
      <c r="SUI147" s="24"/>
      <c r="SUJ147" s="24"/>
      <c r="SUK147" s="24"/>
      <c r="SUL147" s="24"/>
      <c r="SUM147" s="24"/>
      <c r="SUN147" s="24"/>
      <c r="SUO147" s="24"/>
      <c r="SUP147" s="24"/>
      <c r="SUQ147" s="24"/>
      <c r="SUR147" s="24"/>
      <c r="SUS147" s="24"/>
      <c r="SUT147" s="24"/>
      <c r="SUU147" s="24"/>
      <c r="SUV147" s="24"/>
      <c r="SUW147" s="24"/>
      <c r="SUX147" s="24"/>
      <c r="SUY147" s="24"/>
      <c r="SUZ147" s="24"/>
      <c r="SVA147" s="24"/>
      <c r="SVB147" s="24"/>
      <c r="SVC147" s="24"/>
      <c r="SVD147" s="24"/>
      <c r="SVE147" s="24"/>
      <c r="SVF147" s="24"/>
      <c r="SVG147" s="24"/>
      <c r="SVH147" s="24"/>
      <c r="SVI147" s="24"/>
      <c r="SVJ147" s="24"/>
      <c r="SVK147" s="24"/>
      <c r="SVL147" s="24"/>
      <c r="SVM147" s="24"/>
      <c r="SVN147" s="24"/>
      <c r="SVO147" s="24"/>
      <c r="SVP147" s="24"/>
      <c r="SVQ147" s="24"/>
      <c r="SVR147" s="24"/>
      <c r="SVS147" s="24"/>
      <c r="SVT147" s="24"/>
      <c r="SVU147" s="24"/>
      <c r="SVV147" s="24"/>
      <c r="SVW147" s="24"/>
      <c r="SVX147" s="24"/>
      <c r="SVY147" s="24"/>
      <c r="SVZ147" s="24"/>
      <c r="SWA147" s="24"/>
      <c r="SWB147" s="24"/>
      <c r="SWC147" s="24"/>
      <c r="SWD147" s="24"/>
      <c r="SWE147" s="24"/>
      <c r="SWF147" s="24"/>
      <c r="SWG147" s="24"/>
      <c r="SWH147" s="24"/>
      <c r="SWI147" s="24"/>
      <c r="SWJ147" s="24"/>
      <c r="SWK147" s="24"/>
      <c r="SWL147" s="24"/>
      <c r="SWM147" s="24"/>
      <c r="SWN147" s="24"/>
      <c r="SWO147" s="24"/>
      <c r="SWP147" s="24"/>
      <c r="SWQ147" s="24"/>
      <c r="SWR147" s="24"/>
      <c r="SWS147" s="24"/>
      <c r="SWT147" s="24"/>
      <c r="SWU147" s="24"/>
      <c r="SWV147" s="24"/>
      <c r="SWW147" s="24"/>
      <c r="SWX147" s="24"/>
      <c r="SWY147" s="24"/>
      <c r="SWZ147" s="24"/>
      <c r="SXA147" s="24"/>
      <c r="SXB147" s="24"/>
      <c r="SXC147" s="24"/>
      <c r="SXD147" s="24"/>
      <c r="SXE147" s="24"/>
      <c r="SXF147" s="24"/>
      <c r="SXG147" s="24"/>
      <c r="SXH147" s="24"/>
      <c r="SXI147" s="24"/>
      <c r="SXJ147" s="24"/>
      <c r="SXK147" s="24"/>
      <c r="SXL147" s="24"/>
      <c r="SXM147" s="24"/>
      <c r="SXN147" s="24"/>
      <c r="SXO147" s="24"/>
      <c r="SXP147" s="24"/>
      <c r="SXQ147" s="24"/>
      <c r="SXR147" s="24"/>
      <c r="SXS147" s="24"/>
      <c r="SXT147" s="24"/>
      <c r="SXU147" s="24"/>
      <c r="SXV147" s="24"/>
      <c r="SXW147" s="24"/>
      <c r="SXX147" s="24"/>
      <c r="SXY147" s="24"/>
      <c r="SXZ147" s="24"/>
      <c r="SYA147" s="24"/>
      <c r="SYB147" s="24"/>
      <c r="SYC147" s="24"/>
      <c r="SYD147" s="24"/>
      <c r="SYE147" s="24"/>
      <c r="SYF147" s="24"/>
      <c r="SYG147" s="24"/>
      <c r="SYH147" s="24"/>
      <c r="SYI147" s="24"/>
      <c r="SYJ147" s="24"/>
      <c r="SYK147" s="24"/>
      <c r="SYL147" s="24"/>
      <c r="SYM147" s="24"/>
      <c r="SYN147" s="24"/>
      <c r="SYO147" s="24"/>
      <c r="SYP147" s="24"/>
      <c r="SYQ147" s="24"/>
      <c r="SYR147" s="24"/>
      <c r="SYS147" s="24"/>
      <c r="SYT147" s="24"/>
      <c r="SYU147" s="24"/>
      <c r="SYV147" s="24"/>
      <c r="SYW147" s="24"/>
      <c r="SYX147" s="24"/>
      <c r="SYY147" s="24"/>
      <c r="SYZ147" s="24"/>
      <c r="SZA147" s="24"/>
      <c r="SZB147" s="24"/>
      <c r="SZC147" s="24"/>
      <c r="SZD147" s="24"/>
      <c r="SZE147" s="24"/>
      <c r="SZF147" s="24"/>
      <c r="SZG147" s="24"/>
      <c r="SZH147" s="24"/>
      <c r="SZI147" s="24"/>
      <c r="SZJ147" s="24"/>
      <c r="SZK147" s="24"/>
      <c r="SZL147" s="24"/>
      <c r="SZM147" s="24"/>
      <c r="SZN147" s="24"/>
      <c r="SZO147" s="24"/>
      <c r="SZP147" s="24"/>
      <c r="SZQ147" s="24"/>
      <c r="SZR147" s="24"/>
      <c r="SZS147" s="24"/>
      <c r="SZT147" s="24"/>
      <c r="SZU147" s="24"/>
      <c r="SZV147" s="24"/>
      <c r="SZW147" s="24"/>
      <c r="SZX147" s="24"/>
      <c r="SZY147" s="24"/>
      <c r="SZZ147" s="24"/>
      <c r="TAA147" s="24"/>
      <c r="TAB147" s="24"/>
      <c r="TAC147" s="24"/>
      <c r="TAD147" s="24"/>
      <c r="TAE147" s="24"/>
      <c r="TAF147" s="24"/>
      <c r="TAG147" s="24"/>
      <c r="TAH147" s="24"/>
      <c r="TAI147" s="24"/>
      <c r="TAJ147" s="24"/>
      <c r="TAK147" s="24"/>
      <c r="TAL147" s="24"/>
      <c r="TAM147" s="24"/>
      <c r="TAN147" s="24"/>
      <c r="TAO147" s="24"/>
      <c r="TAP147" s="24"/>
      <c r="TAQ147" s="24"/>
      <c r="TAR147" s="24"/>
      <c r="TAS147" s="24"/>
      <c r="TAT147" s="24"/>
      <c r="TAU147" s="24"/>
      <c r="TAV147" s="24"/>
      <c r="TAW147" s="24"/>
      <c r="TAX147" s="24"/>
      <c r="TAY147" s="24"/>
      <c r="TAZ147" s="24"/>
      <c r="TBA147" s="24"/>
      <c r="TBB147" s="24"/>
      <c r="TBC147" s="24"/>
      <c r="TBD147" s="24"/>
      <c r="TBE147" s="24"/>
      <c r="TBF147" s="24"/>
      <c r="TBG147" s="24"/>
      <c r="TBH147" s="24"/>
      <c r="TBI147" s="24"/>
      <c r="TBJ147" s="24"/>
      <c r="TBK147" s="24"/>
      <c r="TBL147" s="24"/>
      <c r="TBM147" s="24"/>
      <c r="TBN147" s="24"/>
      <c r="TBO147" s="24"/>
      <c r="TBP147" s="24"/>
      <c r="TBQ147" s="24"/>
      <c r="TBR147" s="24"/>
      <c r="TBS147" s="24"/>
      <c r="TBT147" s="24"/>
      <c r="TBU147" s="24"/>
      <c r="TBV147" s="24"/>
      <c r="TBW147" s="24"/>
      <c r="TBX147" s="24"/>
      <c r="TBY147" s="24"/>
      <c r="TBZ147" s="24"/>
      <c r="TCA147" s="24"/>
      <c r="TCB147" s="24"/>
      <c r="TCC147" s="24"/>
      <c r="TCD147" s="24"/>
      <c r="TCE147" s="24"/>
      <c r="TCF147" s="24"/>
      <c r="TCG147" s="24"/>
      <c r="TCH147" s="24"/>
      <c r="TCI147" s="24"/>
      <c r="TCJ147" s="24"/>
      <c r="TCK147" s="24"/>
      <c r="TCL147" s="24"/>
      <c r="TCM147" s="24"/>
      <c r="TCN147" s="24"/>
      <c r="TCO147" s="24"/>
      <c r="TCP147" s="24"/>
      <c r="TCQ147" s="24"/>
      <c r="TCR147" s="24"/>
      <c r="TCS147" s="24"/>
      <c r="TCT147" s="24"/>
      <c r="TCU147" s="24"/>
      <c r="TCV147" s="24"/>
      <c r="TCW147" s="24"/>
      <c r="TCX147" s="24"/>
      <c r="TCY147" s="24"/>
      <c r="TCZ147" s="24"/>
      <c r="TDA147" s="24"/>
      <c r="TDB147" s="24"/>
      <c r="TDC147" s="24"/>
      <c r="TDD147" s="24"/>
      <c r="TDE147" s="24"/>
      <c r="TDF147" s="24"/>
      <c r="TDG147" s="24"/>
      <c r="TDH147" s="24"/>
      <c r="TDI147" s="24"/>
      <c r="TDJ147" s="24"/>
      <c r="TDK147" s="24"/>
      <c r="TDL147" s="24"/>
      <c r="TDM147" s="24"/>
      <c r="TDN147" s="24"/>
      <c r="TDO147" s="24"/>
      <c r="TDP147" s="24"/>
      <c r="TDQ147" s="24"/>
      <c r="TDR147" s="24"/>
      <c r="TDS147" s="24"/>
      <c r="TDT147" s="24"/>
      <c r="TDU147" s="24"/>
      <c r="TDV147" s="24"/>
      <c r="TDW147" s="24"/>
      <c r="TDX147" s="24"/>
      <c r="TDY147" s="24"/>
      <c r="TDZ147" s="24"/>
      <c r="TEA147" s="24"/>
      <c r="TEB147" s="24"/>
      <c r="TEC147" s="24"/>
      <c r="TED147" s="24"/>
      <c r="TEE147" s="24"/>
      <c r="TEF147" s="24"/>
      <c r="TEG147" s="24"/>
      <c r="TEH147" s="24"/>
      <c r="TEI147" s="24"/>
      <c r="TEJ147" s="24"/>
      <c r="TEK147" s="24"/>
      <c r="TEL147" s="24"/>
      <c r="TEM147" s="24"/>
      <c r="TEN147" s="24"/>
      <c r="TEO147" s="24"/>
      <c r="TEP147" s="24"/>
      <c r="TEQ147" s="24"/>
      <c r="TER147" s="24"/>
      <c r="TES147" s="24"/>
      <c r="TET147" s="24"/>
      <c r="TEU147" s="24"/>
      <c r="TEV147" s="24"/>
      <c r="TEW147" s="24"/>
      <c r="TEX147" s="24"/>
      <c r="TEY147" s="24"/>
      <c r="TEZ147" s="24"/>
      <c r="TFA147" s="24"/>
      <c r="TFB147" s="24"/>
      <c r="TFC147" s="24"/>
      <c r="TFD147" s="24"/>
      <c r="TFE147" s="24"/>
      <c r="TFF147" s="24"/>
      <c r="TFG147" s="24"/>
      <c r="TFH147" s="24"/>
      <c r="TFI147" s="24"/>
      <c r="TFJ147" s="24"/>
      <c r="TFK147" s="24"/>
      <c r="TFL147" s="24"/>
      <c r="TFM147" s="24"/>
      <c r="TFN147" s="24"/>
      <c r="TFO147" s="24"/>
      <c r="TFP147" s="24"/>
      <c r="TFQ147" s="24"/>
      <c r="TFR147" s="24"/>
      <c r="TFS147" s="24"/>
      <c r="TFT147" s="24"/>
      <c r="TFU147" s="24"/>
      <c r="TFV147" s="24"/>
      <c r="TFW147" s="24"/>
      <c r="TFX147" s="24"/>
      <c r="TFY147" s="24"/>
      <c r="TFZ147" s="24"/>
      <c r="TGA147" s="24"/>
      <c r="TGB147" s="24"/>
      <c r="TGC147" s="24"/>
      <c r="TGD147" s="24"/>
      <c r="TGE147" s="24"/>
      <c r="TGF147" s="24"/>
      <c r="TGG147" s="24"/>
      <c r="TGH147" s="24"/>
      <c r="TGI147" s="24"/>
      <c r="TGJ147" s="24"/>
      <c r="TGK147" s="24"/>
      <c r="TGL147" s="24"/>
      <c r="TGM147" s="24"/>
      <c r="TGN147" s="24"/>
      <c r="TGO147" s="24"/>
      <c r="TGP147" s="24"/>
      <c r="TGQ147" s="24"/>
      <c r="TGR147" s="24"/>
      <c r="TGS147" s="24"/>
      <c r="TGT147" s="24"/>
      <c r="TGU147" s="24"/>
      <c r="TGV147" s="24"/>
      <c r="TGW147" s="24"/>
      <c r="TGX147" s="24"/>
      <c r="TGY147" s="24"/>
      <c r="TGZ147" s="24"/>
      <c r="THA147" s="24"/>
      <c r="THB147" s="24"/>
      <c r="THC147" s="24"/>
      <c r="THD147" s="24"/>
      <c r="THE147" s="24"/>
      <c r="THF147" s="24"/>
      <c r="THG147" s="24"/>
      <c r="THH147" s="24"/>
      <c r="THI147" s="24"/>
      <c r="THJ147" s="24"/>
      <c r="THK147" s="24"/>
      <c r="THL147" s="24"/>
      <c r="THM147" s="24"/>
      <c r="THN147" s="24"/>
      <c r="THO147" s="24"/>
      <c r="THP147" s="24"/>
      <c r="THQ147" s="24"/>
      <c r="THR147" s="24"/>
      <c r="THS147" s="24"/>
      <c r="THT147" s="24"/>
      <c r="THU147" s="24"/>
      <c r="THV147" s="24"/>
      <c r="THW147" s="24"/>
      <c r="THX147" s="24"/>
      <c r="THY147" s="24"/>
      <c r="THZ147" s="24"/>
      <c r="TIA147" s="24"/>
      <c r="TIB147" s="24"/>
      <c r="TIC147" s="24"/>
      <c r="TID147" s="24"/>
      <c r="TIE147" s="24"/>
      <c r="TIF147" s="24"/>
      <c r="TIG147" s="24"/>
      <c r="TIH147" s="24"/>
      <c r="TII147" s="24"/>
      <c r="TIJ147" s="24"/>
      <c r="TIK147" s="24"/>
      <c r="TIL147" s="24"/>
      <c r="TIM147" s="24"/>
      <c r="TIN147" s="24"/>
      <c r="TIO147" s="24"/>
      <c r="TIP147" s="24"/>
      <c r="TIQ147" s="24"/>
      <c r="TIR147" s="24"/>
      <c r="TIS147" s="24"/>
      <c r="TIT147" s="24"/>
      <c r="TIU147" s="24"/>
      <c r="TIV147" s="24"/>
      <c r="TIW147" s="24"/>
      <c r="TIX147" s="24"/>
      <c r="TIY147" s="24"/>
      <c r="TIZ147" s="24"/>
      <c r="TJA147" s="24"/>
      <c r="TJB147" s="24"/>
      <c r="TJC147" s="24"/>
      <c r="TJD147" s="24"/>
      <c r="TJE147" s="24"/>
      <c r="TJF147" s="24"/>
      <c r="TJG147" s="24"/>
      <c r="TJH147" s="24"/>
      <c r="TJI147" s="24"/>
      <c r="TJJ147" s="24"/>
      <c r="TJK147" s="24"/>
      <c r="TJL147" s="24"/>
      <c r="TJM147" s="24"/>
      <c r="TJN147" s="24"/>
      <c r="TJO147" s="24"/>
      <c r="TJP147" s="24"/>
      <c r="TJQ147" s="24"/>
      <c r="TJR147" s="24"/>
      <c r="TJS147" s="24"/>
      <c r="TJT147" s="24"/>
      <c r="TJU147" s="24"/>
      <c r="TJV147" s="24"/>
      <c r="TJW147" s="24"/>
      <c r="TJX147" s="24"/>
      <c r="TJY147" s="24"/>
      <c r="TJZ147" s="24"/>
      <c r="TKA147" s="24"/>
      <c r="TKB147" s="24"/>
      <c r="TKC147" s="24"/>
      <c r="TKD147" s="24"/>
      <c r="TKE147" s="24"/>
      <c r="TKF147" s="24"/>
      <c r="TKG147" s="24"/>
      <c r="TKH147" s="24"/>
      <c r="TKI147" s="24"/>
      <c r="TKJ147" s="24"/>
      <c r="TKK147" s="24"/>
      <c r="TKL147" s="24"/>
      <c r="TKM147" s="24"/>
      <c r="TKN147" s="24"/>
      <c r="TKO147" s="24"/>
      <c r="TKP147" s="24"/>
      <c r="TKQ147" s="24"/>
      <c r="TKR147" s="24"/>
      <c r="TKS147" s="24"/>
      <c r="TKT147" s="24"/>
      <c r="TKU147" s="24"/>
      <c r="TKV147" s="24"/>
      <c r="TKW147" s="24"/>
      <c r="TKX147" s="24"/>
      <c r="TKY147" s="24"/>
      <c r="TKZ147" s="24"/>
      <c r="TLA147" s="24"/>
      <c r="TLB147" s="24"/>
      <c r="TLC147" s="24"/>
      <c r="TLD147" s="24"/>
      <c r="TLE147" s="24"/>
      <c r="TLF147" s="24"/>
      <c r="TLG147" s="24"/>
      <c r="TLH147" s="24"/>
      <c r="TLI147" s="24"/>
      <c r="TLJ147" s="24"/>
      <c r="TLK147" s="24"/>
      <c r="TLL147" s="24"/>
      <c r="TLM147" s="24"/>
      <c r="TLN147" s="24"/>
      <c r="TLO147" s="24"/>
      <c r="TLP147" s="24"/>
      <c r="TLQ147" s="24"/>
      <c r="TLR147" s="24"/>
      <c r="TLS147" s="24"/>
      <c r="TLT147" s="24"/>
      <c r="TLU147" s="24"/>
      <c r="TLV147" s="24"/>
      <c r="TLW147" s="24"/>
      <c r="TLX147" s="24"/>
      <c r="TLY147" s="24"/>
      <c r="TLZ147" s="24"/>
      <c r="TMA147" s="24"/>
      <c r="TMB147" s="24"/>
      <c r="TMC147" s="24"/>
      <c r="TMD147" s="24"/>
      <c r="TME147" s="24"/>
      <c r="TMF147" s="24"/>
      <c r="TMG147" s="24"/>
      <c r="TMH147" s="24"/>
      <c r="TMI147" s="24"/>
      <c r="TMJ147" s="24"/>
      <c r="TMK147" s="24"/>
      <c r="TML147" s="24"/>
      <c r="TMM147" s="24"/>
      <c r="TMN147" s="24"/>
      <c r="TMO147" s="24"/>
      <c r="TMP147" s="24"/>
      <c r="TMQ147" s="24"/>
      <c r="TMR147" s="24"/>
      <c r="TMS147" s="24"/>
      <c r="TMT147" s="24"/>
      <c r="TMU147" s="24"/>
      <c r="TMV147" s="24"/>
      <c r="TMW147" s="24"/>
      <c r="TMX147" s="24"/>
      <c r="TMY147" s="24"/>
      <c r="TMZ147" s="24"/>
      <c r="TNA147" s="24"/>
      <c r="TNB147" s="24"/>
      <c r="TNC147" s="24"/>
      <c r="TND147" s="24"/>
      <c r="TNE147" s="24"/>
      <c r="TNF147" s="24"/>
      <c r="TNG147" s="24"/>
      <c r="TNH147" s="24"/>
      <c r="TNI147" s="24"/>
      <c r="TNJ147" s="24"/>
      <c r="TNK147" s="24"/>
      <c r="TNL147" s="24"/>
      <c r="TNM147" s="24"/>
      <c r="TNN147" s="24"/>
      <c r="TNO147" s="24"/>
      <c r="TNP147" s="24"/>
      <c r="TNQ147" s="24"/>
      <c r="TNR147" s="24"/>
      <c r="TNS147" s="24"/>
      <c r="TNT147" s="24"/>
      <c r="TNU147" s="24"/>
      <c r="TNV147" s="24"/>
      <c r="TNW147" s="24"/>
      <c r="TNX147" s="24"/>
      <c r="TNY147" s="24"/>
      <c r="TNZ147" s="24"/>
      <c r="TOA147" s="24"/>
      <c r="TOB147" s="24"/>
      <c r="TOC147" s="24"/>
      <c r="TOD147" s="24"/>
      <c r="TOE147" s="24"/>
      <c r="TOF147" s="24"/>
      <c r="TOG147" s="24"/>
      <c r="TOH147" s="24"/>
      <c r="TOI147" s="24"/>
      <c r="TOJ147" s="24"/>
      <c r="TOK147" s="24"/>
      <c r="TOL147" s="24"/>
      <c r="TOM147" s="24"/>
      <c r="TON147" s="24"/>
      <c r="TOO147" s="24"/>
      <c r="TOP147" s="24"/>
      <c r="TOQ147" s="24"/>
      <c r="TOR147" s="24"/>
      <c r="TOS147" s="24"/>
      <c r="TOT147" s="24"/>
      <c r="TOU147" s="24"/>
      <c r="TOV147" s="24"/>
      <c r="TOW147" s="24"/>
      <c r="TOX147" s="24"/>
      <c r="TOY147" s="24"/>
      <c r="TOZ147" s="24"/>
      <c r="TPA147" s="24"/>
      <c r="TPB147" s="24"/>
      <c r="TPC147" s="24"/>
      <c r="TPD147" s="24"/>
      <c r="TPE147" s="24"/>
      <c r="TPF147" s="24"/>
      <c r="TPG147" s="24"/>
      <c r="TPH147" s="24"/>
      <c r="TPI147" s="24"/>
      <c r="TPJ147" s="24"/>
      <c r="TPK147" s="24"/>
      <c r="TPL147" s="24"/>
      <c r="TPM147" s="24"/>
      <c r="TPN147" s="24"/>
      <c r="TPO147" s="24"/>
      <c r="TPP147" s="24"/>
      <c r="TPQ147" s="24"/>
      <c r="TPR147" s="24"/>
      <c r="TPS147" s="24"/>
      <c r="TPT147" s="24"/>
      <c r="TPU147" s="24"/>
      <c r="TPV147" s="24"/>
      <c r="TPW147" s="24"/>
      <c r="TPX147" s="24"/>
      <c r="TPY147" s="24"/>
      <c r="TPZ147" s="24"/>
      <c r="TQA147" s="24"/>
      <c r="TQB147" s="24"/>
      <c r="TQC147" s="24"/>
      <c r="TQD147" s="24"/>
      <c r="TQE147" s="24"/>
      <c r="TQF147" s="24"/>
      <c r="TQG147" s="24"/>
      <c r="TQH147" s="24"/>
      <c r="TQI147" s="24"/>
      <c r="TQJ147" s="24"/>
      <c r="TQK147" s="24"/>
      <c r="TQL147" s="24"/>
      <c r="TQM147" s="24"/>
      <c r="TQN147" s="24"/>
      <c r="TQO147" s="24"/>
      <c r="TQP147" s="24"/>
      <c r="TQQ147" s="24"/>
      <c r="TQR147" s="24"/>
      <c r="TQS147" s="24"/>
      <c r="TQT147" s="24"/>
      <c r="TQU147" s="24"/>
      <c r="TQV147" s="24"/>
      <c r="TQW147" s="24"/>
      <c r="TQX147" s="24"/>
      <c r="TQY147" s="24"/>
      <c r="TQZ147" s="24"/>
      <c r="TRA147" s="24"/>
      <c r="TRB147" s="24"/>
      <c r="TRC147" s="24"/>
      <c r="TRD147" s="24"/>
      <c r="TRE147" s="24"/>
      <c r="TRF147" s="24"/>
      <c r="TRG147" s="24"/>
      <c r="TRH147" s="24"/>
      <c r="TRI147" s="24"/>
      <c r="TRJ147" s="24"/>
      <c r="TRK147" s="24"/>
      <c r="TRL147" s="24"/>
      <c r="TRM147" s="24"/>
      <c r="TRN147" s="24"/>
      <c r="TRO147" s="24"/>
      <c r="TRP147" s="24"/>
      <c r="TRQ147" s="24"/>
      <c r="TRR147" s="24"/>
      <c r="TRS147" s="24"/>
      <c r="TRT147" s="24"/>
      <c r="TRU147" s="24"/>
      <c r="TRV147" s="24"/>
      <c r="TRW147" s="24"/>
      <c r="TRX147" s="24"/>
      <c r="TRY147" s="24"/>
      <c r="TRZ147" s="24"/>
      <c r="TSA147" s="24"/>
      <c r="TSB147" s="24"/>
      <c r="TSC147" s="24"/>
      <c r="TSD147" s="24"/>
      <c r="TSE147" s="24"/>
      <c r="TSF147" s="24"/>
      <c r="TSG147" s="24"/>
      <c r="TSH147" s="24"/>
      <c r="TSI147" s="24"/>
      <c r="TSJ147" s="24"/>
      <c r="TSK147" s="24"/>
      <c r="TSL147" s="24"/>
      <c r="TSM147" s="24"/>
      <c r="TSN147" s="24"/>
      <c r="TSO147" s="24"/>
      <c r="TSP147" s="24"/>
      <c r="TSQ147" s="24"/>
      <c r="TSR147" s="24"/>
      <c r="TSS147" s="24"/>
      <c r="TST147" s="24"/>
      <c r="TSU147" s="24"/>
      <c r="TSV147" s="24"/>
      <c r="TSW147" s="24"/>
      <c r="TSX147" s="24"/>
      <c r="TSY147" s="24"/>
      <c r="TSZ147" s="24"/>
      <c r="TTA147" s="24"/>
      <c r="TTB147" s="24"/>
      <c r="TTC147" s="24"/>
      <c r="TTD147" s="24"/>
      <c r="TTE147" s="24"/>
      <c r="TTF147" s="24"/>
      <c r="TTG147" s="24"/>
      <c r="TTH147" s="24"/>
      <c r="TTI147" s="24"/>
      <c r="TTJ147" s="24"/>
      <c r="TTK147" s="24"/>
      <c r="TTL147" s="24"/>
      <c r="TTM147" s="24"/>
      <c r="TTN147" s="24"/>
      <c r="TTO147" s="24"/>
      <c r="TTP147" s="24"/>
      <c r="TTQ147" s="24"/>
      <c r="TTR147" s="24"/>
      <c r="TTS147" s="24"/>
      <c r="TTT147" s="24"/>
      <c r="TTU147" s="24"/>
      <c r="TTV147" s="24"/>
      <c r="TTW147" s="24"/>
      <c r="TTX147" s="24"/>
      <c r="TTY147" s="24"/>
      <c r="TTZ147" s="24"/>
      <c r="TUA147" s="24"/>
      <c r="TUB147" s="24"/>
      <c r="TUC147" s="24"/>
      <c r="TUD147" s="24"/>
      <c r="TUE147" s="24"/>
      <c r="TUF147" s="24"/>
      <c r="TUG147" s="24"/>
      <c r="TUH147" s="24"/>
      <c r="TUI147" s="24"/>
      <c r="TUJ147" s="24"/>
      <c r="TUK147" s="24"/>
      <c r="TUL147" s="24"/>
      <c r="TUM147" s="24"/>
      <c r="TUN147" s="24"/>
      <c r="TUO147" s="24"/>
      <c r="TUP147" s="24"/>
      <c r="TUQ147" s="24"/>
      <c r="TUR147" s="24"/>
      <c r="TUS147" s="24"/>
      <c r="TUT147" s="24"/>
      <c r="TUU147" s="24"/>
      <c r="TUV147" s="24"/>
      <c r="TUW147" s="24"/>
      <c r="TUX147" s="24"/>
      <c r="TUY147" s="24"/>
      <c r="TUZ147" s="24"/>
      <c r="TVA147" s="24"/>
      <c r="TVB147" s="24"/>
      <c r="TVC147" s="24"/>
      <c r="TVD147" s="24"/>
      <c r="TVE147" s="24"/>
      <c r="TVF147" s="24"/>
      <c r="TVG147" s="24"/>
      <c r="TVH147" s="24"/>
      <c r="TVI147" s="24"/>
      <c r="TVJ147" s="24"/>
      <c r="TVK147" s="24"/>
      <c r="TVL147" s="24"/>
      <c r="TVM147" s="24"/>
      <c r="TVN147" s="24"/>
      <c r="TVO147" s="24"/>
      <c r="TVP147" s="24"/>
      <c r="TVQ147" s="24"/>
      <c r="TVR147" s="24"/>
      <c r="TVS147" s="24"/>
      <c r="TVT147" s="24"/>
      <c r="TVU147" s="24"/>
      <c r="TVV147" s="24"/>
      <c r="TVW147" s="24"/>
      <c r="TVX147" s="24"/>
      <c r="TVY147" s="24"/>
      <c r="TVZ147" s="24"/>
      <c r="TWA147" s="24"/>
      <c r="TWB147" s="24"/>
      <c r="TWC147" s="24"/>
      <c r="TWD147" s="24"/>
      <c r="TWE147" s="24"/>
      <c r="TWF147" s="24"/>
      <c r="TWG147" s="24"/>
      <c r="TWH147" s="24"/>
      <c r="TWI147" s="24"/>
      <c r="TWJ147" s="24"/>
      <c r="TWK147" s="24"/>
      <c r="TWL147" s="24"/>
      <c r="TWM147" s="24"/>
      <c r="TWN147" s="24"/>
      <c r="TWO147" s="24"/>
      <c r="TWP147" s="24"/>
      <c r="TWQ147" s="24"/>
      <c r="TWR147" s="24"/>
      <c r="TWS147" s="24"/>
      <c r="TWT147" s="24"/>
      <c r="TWU147" s="24"/>
      <c r="TWV147" s="24"/>
      <c r="TWW147" s="24"/>
      <c r="TWX147" s="24"/>
      <c r="TWY147" s="24"/>
      <c r="TWZ147" s="24"/>
      <c r="TXA147" s="24"/>
      <c r="TXB147" s="24"/>
      <c r="TXC147" s="24"/>
      <c r="TXD147" s="24"/>
      <c r="TXE147" s="24"/>
      <c r="TXF147" s="24"/>
      <c r="TXG147" s="24"/>
      <c r="TXH147" s="24"/>
      <c r="TXI147" s="24"/>
      <c r="TXJ147" s="24"/>
      <c r="TXK147" s="24"/>
      <c r="TXL147" s="24"/>
      <c r="TXM147" s="24"/>
      <c r="TXN147" s="24"/>
      <c r="TXO147" s="24"/>
      <c r="TXP147" s="24"/>
      <c r="TXQ147" s="24"/>
      <c r="TXR147" s="24"/>
      <c r="TXS147" s="24"/>
      <c r="TXT147" s="24"/>
      <c r="TXU147" s="24"/>
      <c r="TXV147" s="24"/>
      <c r="TXW147" s="24"/>
      <c r="TXX147" s="24"/>
      <c r="TXY147" s="24"/>
      <c r="TXZ147" s="24"/>
      <c r="TYA147" s="24"/>
      <c r="TYB147" s="24"/>
      <c r="TYC147" s="24"/>
      <c r="TYD147" s="24"/>
      <c r="TYE147" s="24"/>
      <c r="TYF147" s="24"/>
      <c r="TYG147" s="24"/>
      <c r="TYH147" s="24"/>
      <c r="TYI147" s="24"/>
      <c r="TYJ147" s="24"/>
      <c r="TYK147" s="24"/>
      <c r="TYL147" s="24"/>
      <c r="TYM147" s="24"/>
      <c r="TYN147" s="24"/>
      <c r="TYO147" s="24"/>
      <c r="TYP147" s="24"/>
      <c r="TYQ147" s="24"/>
      <c r="TYR147" s="24"/>
      <c r="TYS147" s="24"/>
      <c r="TYT147" s="24"/>
      <c r="TYU147" s="24"/>
      <c r="TYV147" s="24"/>
      <c r="TYW147" s="24"/>
      <c r="TYX147" s="24"/>
      <c r="TYY147" s="24"/>
      <c r="TYZ147" s="24"/>
      <c r="TZA147" s="24"/>
      <c r="TZB147" s="24"/>
      <c r="TZC147" s="24"/>
      <c r="TZD147" s="24"/>
      <c r="TZE147" s="24"/>
      <c r="TZF147" s="24"/>
      <c r="TZG147" s="24"/>
      <c r="TZH147" s="24"/>
      <c r="TZI147" s="24"/>
      <c r="TZJ147" s="24"/>
      <c r="TZK147" s="24"/>
      <c r="TZL147" s="24"/>
      <c r="TZM147" s="24"/>
      <c r="TZN147" s="24"/>
      <c r="TZO147" s="24"/>
      <c r="TZP147" s="24"/>
      <c r="TZQ147" s="24"/>
      <c r="TZR147" s="24"/>
      <c r="TZS147" s="24"/>
      <c r="TZT147" s="24"/>
      <c r="TZU147" s="24"/>
      <c r="TZV147" s="24"/>
      <c r="TZW147" s="24"/>
      <c r="TZX147" s="24"/>
      <c r="TZY147" s="24"/>
      <c r="TZZ147" s="24"/>
      <c r="UAA147" s="24"/>
      <c r="UAB147" s="24"/>
      <c r="UAC147" s="24"/>
      <c r="UAD147" s="24"/>
      <c r="UAE147" s="24"/>
      <c r="UAF147" s="24"/>
      <c r="UAG147" s="24"/>
      <c r="UAH147" s="24"/>
      <c r="UAI147" s="24"/>
      <c r="UAJ147" s="24"/>
      <c r="UAK147" s="24"/>
      <c r="UAL147" s="24"/>
      <c r="UAM147" s="24"/>
      <c r="UAN147" s="24"/>
      <c r="UAO147" s="24"/>
      <c r="UAP147" s="24"/>
      <c r="UAQ147" s="24"/>
      <c r="UAR147" s="24"/>
      <c r="UAS147" s="24"/>
      <c r="UAT147" s="24"/>
      <c r="UAU147" s="24"/>
      <c r="UAV147" s="24"/>
      <c r="UAW147" s="24"/>
      <c r="UAX147" s="24"/>
      <c r="UAY147" s="24"/>
      <c r="UAZ147" s="24"/>
      <c r="UBA147" s="24"/>
      <c r="UBB147" s="24"/>
      <c r="UBC147" s="24"/>
      <c r="UBD147" s="24"/>
      <c r="UBE147" s="24"/>
      <c r="UBF147" s="24"/>
      <c r="UBG147" s="24"/>
      <c r="UBH147" s="24"/>
      <c r="UBI147" s="24"/>
      <c r="UBJ147" s="24"/>
      <c r="UBK147" s="24"/>
      <c r="UBL147" s="24"/>
      <c r="UBM147" s="24"/>
      <c r="UBN147" s="24"/>
      <c r="UBO147" s="24"/>
      <c r="UBP147" s="24"/>
      <c r="UBQ147" s="24"/>
      <c r="UBR147" s="24"/>
      <c r="UBS147" s="24"/>
      <c r="UBT147" s="24"/>
      <c r="UBU147" s="24"/>
      <c r="UBV147" s="24"/>
      <c r="UBW147" s="24"/>
      <c r="UBX147" s="24"/>
      <c r="UBY147" s="24"/>
      <c r="UBZ147" s="24"/>
      <c r="UCA147" s="24"/>
      <c r="UCB147" s="24"/>
      <c r="UCC147" s="24"/>
      <c r="UCD147" s="24"/>
      <c r="UCE147" s="24"/>
      <c r="UCF147" s="24"/>
      <c r="UCG147" s="24"/>
      <c r="UCH147" s="24"/>
      <c r="UCI147" s="24"/>
      <c r="UCJ147" s="24"/>
      <c r="UCK147" s="24"/>
      <c r="UCL147" s="24"/>
      <c r="UCM147" s="24"/>
      <c r="UCN147" s="24"/>
      <c r="UCO147" s="24"/>
      <c r="UCP147" s="24"/>
      <c r="UCQ147" s="24"/>
      <c r="UCR147" s="24"/>
      <c r="UCS147" s="24"/>
      <c r="UCT147" s="24"/>
      <c r="UCU147" s="24"/>
      <c r="UCV147" s="24"/>
      <c r="UCW147" s="24"/>
      <c r="UCX147" s="24"/>
      <c r="UCY147" s="24"/>
      <c r="UCZ147" s="24"/>
      <c r="UDA147" s="24"/>
      <c r="UDB147" s="24"/>
      <c r="UDC147" s="24"/>
      <c r="UDD147" s="24"/>
      <c r="UDE147" s="24"/>
      <c r="UDF147" s="24"/>
      <c r="UDG147" s="24"/>
      <c r="UDH147" s="24"/>
      <c r="UDI147" s="24"/>
      <c r="UDJ147" s="24"/>
      <c r="UDK147" s="24"/>
      <c r="UDL147" s="24"/>
      <c r="UDM147" s="24"/>
      <c r="UDN147" s="24"/>
      <c r="UDO147" s="24"/>
      <c r="UDP147" s="24"/>
      <c r="UDQ147" s="24"/>
      <c r="UDR147" s="24"/>
      <c r="UDS147" s="24"/>
      <c r="UDT147" s="24"/>
      <c r="UDU147" s="24"/>
      <c r="UDV147" s="24"/>
      <c r="UDW147" s="24"/>
      <c r="UDX147" s="24"/>
      <c r="UDY147" s="24"/>
      <c r="UDZ147" s="24"/>
      <c r="UEA147" s="24"/>
      <c r="UEB147" s="24"/>
      <c r="UEC147" s="24"/>
      <c r="UED147" s="24"/>
      <c r="UEE147" s="24"/>
      <c r="UEF147" s="24"/>
      <c r="UEG147" s="24"/>
      <c r="UEH147" s="24"/>
      <c r="UEI147" s="24"/>
      <c r="UEJ147" s="24"/>
      <c r="UEK147" s="24"/>
      <c r="UEL147" s="24"/>
      <c r="UEM147" s="24"/>
      <c r="UEN147" s="24"/>
      <c r="UEO147" s="24"/>
      <c r="UEP147" s="24"/>
      <c r="UEQ147" s="24"/>
      <c r="UER147" s="24"/>
      <c r="UES147" s="24"/>
      <c r="UET147" s="24"/>
      <c r="UEU147" s="24"/>
      <c r="UEV147" s="24"/>
      <c r="UEW147" s="24"/>
      <c r="UEX147" s="24"/>
      <c r="UEY147" s="24"/>
      <c r="UEZ147" s="24"/>
      <c r="UFA147" s="24"/>
      <c r="UFB147" s="24"/>
      <c r="UFC147" s="24"/>
      <c r="UFD147" s="24"/>
      <c r="UFE147" s="24"/>
      <c r="UFF147" s="24"/>
      <c r="UFG147" s="24"/>
      <c r="UFH147" s="24"/>
      <c r="UFI147" s="24"/>
      <c r="UFJ147" s="24"/>
      <c r="UFK147" s="24"/>
      <c r="UFL147" s="24"/>
      <c r="UFM147" s="24"/>
      <c r="UFN147" s="24"/>
      <c r="UFO147" s="24"/>
      <c r="UFP147" s="24"/>
      <c r="UFQ147" s="24"/>
      <c r="UFR147" s="24"/>
      <c r="UFS147" s="24"/>
      <c r="UFT147" s="24"/>
      <c r="UFU147" s="24"/>
      <c r="UFV147" s="24"/>
      <c r="UFW147" s="24"/>
      <c r="UFX147" s="24"/>
      <c r="UFY147" s="24"/>
      <c r="UFZ147" s="24"/>
      <c r="UGA147" s="24"/>
      <c r="UGB147" s="24"/>
      <c r="UGC147" s="24"/>
      <c r="UGD147" s="24"/>
      <c r="UGE147" s="24"/>
      <c r="UGF147" s="24"/>
      <c r="UGG147" s="24"/>
      <c r="UGH147" s="24"/>
      <c r="UGI147" s="24"/>
      <c r="UGJ147" s="24"/>
      <c r="UGK147" s="24"/>
      <c r="UGL147" s="24"/>
      <c r="UGM147" s="24"/>
      <c r="UGN147" s="24"/>
      <c r="UGO147" s="24"/>
      <c r="UGP147" s="24"/>
      <c r="UGQ147" s="24"/>
      <c r="UGR147" s="24"/>
      <c r="UGS147" s="24"/>
      <c r="UGT147" s="24"/>
      <c r="UGU147" s="24"/>
      <c r="UGV147" s="24"/>
      <c r="UGW147" s="24"/>
      <c r="UGX147" s="24"/>
      <c r="UGY147" s="24"/>
      <c r="UGZ147" s="24"/>
      <c r="UHA147" s="24"/>
      <c r="UHB147" s="24"/>
      <c r="UHC147" s="24"/>
      <c r="UHD147" s="24"/>
      <c r="UHE147" s="24"/>
      <c r="UHF147" s="24"/>
      <c r="UHG147" s="24"/>
      <c r="UHH147" s="24"/>
      <c r="UHI147" s="24"/>
      <c r="UHJ147" s="24"/>
      <c r="UHK147" s="24"/>
      <c r="UHL147" s="24"/>
      <c r="UHM147" s="24"/>
      <c r="UHN147" s="24"/>
      <c r="UHO147" s="24"/>
      <c r="UHP147" s="24"/>
      <c r="UHQ147" s="24"/>
      <c r="UHR147" s="24"/>
      <c r="UHS147" s="24"/>
      <c r="UHT147" s="24"/>
      <c r="UHU147" s="24"/>
      <c r="UHV147" s="24"/>
      <c r="UHW147" s="24"/>
      <c r="UHX147" s="24"/>
      <c r="UHY147" s="24"/>
      <c r="UHZ147" s="24"/>
      <c r="UIA147" s="24"/>
      <c r="UIB147" s="24"/>
      <c r="UIC147" s="24"/>
      <c r="UID147" s="24"/>
      <c r="UIE147" s="24"/>
      <c r="UIF147" s="24"/>
      <c r="UIG147" s="24"/>
      <c r="UIH147" s="24"/>
      <c r="UII147" s="24"/>
      <c r="UIJ147" s="24"/>
      <c r="UIK147" s="24"/>
      <c r="UIL147" s="24"/>
      <c r="UIM147" s="24"/>
      <c r="UIN147" s="24"/>
      <c r="UIO147" s="24"/>
      <c r="UIP147" s="24"/>
      <c r="UIQ147" s="24"/>
      <c r="UIR147" s="24"/>
      <c r="UIS147" s="24"/>
      <c r="UIT147" s="24"/>
      <c r="UIU147" s="24"/>
      <c r="UIV147" s="24"/>
      <c r="UIW147" s="24"/>
      <c r="UIX147" s="24"/>
      <c r="UIY147" s="24"/>
      <c r="UIZ147" s="24"/>
      <c r="UJA147" s="24"/>
      <c r="UJB147" s="24"/>
      <c r="UJC147" s="24"/>
      <c r="UJD147" s="24"/>
      <c r="UJE147" s="24"/>
      <c r="UJF147" s="24"/>
      <c r="UJG147" s="24"/>
      <c r="UJH147" s="24"/>
      <c r="UJI147" s="24"/>
      <c r="UJJ147" s="24"/>
      <c r="UJK147" s="24"/>
      <c r="UJL147" s="24"/>
      <c r="UJM147" s="24"/>
      <c r="UJN147" s="24"/>
      <c r="UJO147" s="24"/>
      <c r="UJP147" s="24"/>
      <c r="UJQ147" s="24"/>
      <c r="UJR147" s="24"/>
      <c r="UJS147" s="24"/>
      <c r="UJT147" s="24"/>
      <c r="UJU147" s="24"/>
      <c r="UJV147" s="24"/>
      <c r="UJW147" s="24"/>
      <c r="UJX147" s="24"/>
      <c r="UJY147" s="24"/>
      <c r="UJZ147" s="24"/>
      <c r="UKA147" s="24"/>
      <c r="UKB147" s="24"/>
      <c r="UKC147" s="24"/>
      <c r="UKD147" s="24"/>
      <c r="UKE147" s="24"/>
      <c r="UKF147" s="24"/>
      <c r="UKG147" s="24"/>
      <c r="UKH147" s="24"/>
      <c r="UKI147" s="24"/>
      <c r="UKJ147" s="24"/>
      <c r="UKK147" s="24"/>
      <c r="UKL147" s="24"/>
      <c r="UKM147" s="24"/>
      <c r="UKN147" s="24"/>
      <c r="UKO147" s="24"/>
      <c r="UKP147" s="24"/>
      <c r="UKQ147" s="24"/>
      <c r="UKR147" s="24"/>
      <c r="UKS147" s="24"/>
      <c r="UKT147" s="24"/>
      <c r="UKU147" s="24"/>
      <c r="UKV147" s="24"/>
      <c r="UKW147" s="24"/>
      <c r="UKX147" s="24"/>
      <c r="UKY147" s="24"/>
      <c r="UKZ147" s="24"/>
      <c r="ULA147" s="24"/>
      <c r="ULB147" s="24"/>
      <c r="ULC147" s="24"/>
      <c r="ULD147" s="24"/>
      <c r="ULE147" s="24"/>
      <c r="ULF147" s="24"/>
      <c r="ULG147" s="24"/>
      <c r="ULH147" s="24"/>
      <c r="ULI147" s="24"/>
      <c r="ULJ147" s="24"/>
      <c r="ULK147" s="24"/>
      <c r="ULL147" s="24"/>
      <c r="ULM147" s="24"/>
      <c r="ULN147" s="24"/>
      <c r="ULO147" s="24"/>
      <c r="ULP147" s="24"/>
      <c r="ULQ147" s="24"/>
      <c r="ULR147" s="24"/>
      <c r="ULS147" s="24"/>
      <c r="ULT147" s="24"/>
      <c r="ULU147" s="24"/>
      <c r="ULV147" s="24"/>
      <c r="ULW147" s="24"/>
      <c r="ULX147" s="24"/>
      <c r="ULY147" s="24"/>
      <c r="ULZ147" s="24"/>
      <c r="UMA147" s="24"/>
      <c r="UMB147" s="24"/>
      <c r="UMC147" s="24"/>
      <c r="UMD147" s="24"/>
      <c r="UME147" s="24"/>
      <c r="UMF147" s="24"/>
      <c r="UMG147" s="24"/>
      <c r="UMH147" s="24"/>
      <c r="UMI147" s="24"/>
      <c r="UMJ147" s="24"/>
      <c r="UMK147" s="24"/>
      <c r="UML147" s="24"/>
      <c r="UMM147" s="24"/>
      <c r="UMN147" s="24"/>
      <c r="UMO147" s="24"/>
      <c r="UMP147" s="24"/>
      <c r="UMQ147" s="24"/>
      <c r="UMR147" s="24"/>
      <c r="UMS147" s="24"/>
      <c r="UMT147" s="24"/>
      <c r="UMU147" s="24"/>
      <c r="UMV147" s="24"/>
      <c r="UMW147" s="24"/>
      <c r="UMX147" s="24"/>
      <c r="UMY147" s="24"/>
      <c r="UMZ147" s="24"/>
      <c r="UNA147" s="24"/>
      <c r="UNB147" s="24"/>
      <c r="UNC147" s="24"/>
      <c r="UND147" s="24"/>
      <c r="UNE147" s="24"/>
      <c r="UNF147" s="24"/>
      <c r="UNG147" s="24"/>
      <c r="UNH147" s="24"/>
      <c r="UNI147" s="24"/>
      <c r="UNJ147" s="24"/>
      <c r="UNK147" s="24"/>
      <c r="UNL147" s="24"/>
      <c r="UNM147" s="24"/>
      <c r="UNN147" s="24"/>
      <c r="UNO147" s="24"/>
      <c r="UNP147" s="24"/>
      <c r="UNQ147" s="24"/>
      <c r="UNR147" s="24"/>
      <c r="UNS147" s="24"/>
      <c r="UNT147" s="24"/>
      <c r="UNU147" s="24"/>
      <c r="UNV147" s="24"/>
      <c r="UNW147" s="24"/>
      <c r="UNX147" s="24"/>
      <c r="UNY147" s="24"/>
      <c r="UNZ147" s="24"/>
      <c r="UOA147" s="24"/>
      <c r="UOB147" s="24"/>
      <c r="UOC147" s="24"/>
      <c r="UOD147" s="24"/>
      <c r="UOE147" s="24"/>
      <c r="UOF147" s="24"/>
      <c r="UOG147" s="24"/>
      <c r="UOH147" s="24"/>
      <c r="UOI147" s="24"/>
      <c r="UOJ147" s="24"/>
      <c r="UOK147" s="24"/>
      <c r="UOL147" s="24"/>
      <c r="UOM147" s="24"/>
      <c r="UON147" s="24"/>
      <c r="UOO147" s="24"/>
      <c r="UOP147" s="24"/>
      <c r="UOQ147" s="24"/>
      <c r="UOR147" s="24"/>
      <c r="UOS147" s="24"/>
      <c r="UOT147" s="24"/>
      <c r="UOU147" s="24"/>
      <c r="UOV147" s="24"/>
      <c r="UOW147" s="24"/>
      <c r="UOX147" s="24"/>
      <c r="UOY147" s="24"/>
      <c r="UOZ147" s="24"/>
      <c r="UPA147" s="24"/>
      <c r="UPB147" s="24"/>
      <c r="UPC147" s="24"/>
      <c r="UPD147" s="24"/>
      <c r="UPE147" s="24"/>
      <c r="UPF147" s="24"/>
      <c r="UPG147" s="24"/>
      <c r="UPH147" s="24"/>
      <c r="UPI147" s="24"/>
      <c r="UPJ147" s="24"/>
      <c r="UPK147" s="24"/>
      <c r="UPL147" s="24"/>
      <c r="UPM147" s="24"/>
      <c r="UPN147" s="24"/>
      <c r="UPO147" s="24"/>
      <c r="UPP147" s="24"/>
      <c r="UPQ147" s="24"/>
      <c r="UPR147" s="24"/>
      <c r="UPS147" s="24"/>
      <c r="UPT147" s="24"/>
      <c r="UPU147" s="24"/>
      <c r="UPV147" s="24"/>
      <c r="UPW147" s="24"/>
      <c r="UPX147" s="24"/>
      <c r="UPY147" s="24"/>
      <c r="UPZ147" s="24"/>
      <c r="UQA147" s="24"/>
      <c r="UQB147" s="24"/>
      <c r="UQC147" s="24"/>
      <c r="UQD147" s="24"/>
      <c r="UQE147" s="24"/>
      <c r="UQF147" s="24"/>
      <c r="UQG147" s="24"/>
      <c r="UQH147" s="24"/>
      <c r="UQI147" s="24"/>
      <c r="UQJ147" s="24"/>
      <c r="UQK147" s="24"/>
      <c r="UQL147" s="24"/>
      <c r="UQM147" s="24"/>
      <c r="UQN147" s="24"/>
      <c r="UQO147" s="24"/>
      <c r="UQP147" s="24"/>
      <c r="UQQ147" s="24"/>
      <c r="UQR147" s="24"/>
      <c r="UQS147" s="24"/>
      <c r="UQT147" s="24"/>
      <c r="UQU147" s="24"/>
      <c r="UQV147" s="24"/>
      <c r="UQW147" s="24"/>
      <c r="UQX147" s="24"/>
      <c r="UQY147" s="24"/>
      <c r="UQZ147" s="24"/>
      <c r="URA147" s="24"/>
      <c r="URB147" s="24"/>
      <c r="URC147" s="24"/>
      <c r="URD147" s="24"/>
      <c r="URE147" s="24"/>
      <c r="URF147" s="24"/>
      <c r="URG147" s="24"/>
      <c r="URH147" s="24"/>
      <c r="URI147" s="24"/>
      <c r="URJ147" s="24"/>
      <c r="URK147" s="24"/>
      <c r="URL147" s="24"/>
      <c r="URM147" s="24"/>
      <c r="URN147" s="24"/>
      <c r="URO147" s="24"/>
      <c r="URP147" s="24"/>
      <c r="URQ147" s="24"/>
      <c r="URR147" s="24"/>
      <c r="URS147" s="24"/>
      <c r="URT147" s="24"/>
      <c r="URU147" s="24"/>
      <c r="URV147" s="24"/>
      <c r="URW147" s="24"/>
      <c r="URX147" s="24"/>
      <c r="URY147" s="24"/>
      <c r="URZ147" s="24"/>
      <c r="USA147" s="24"/>
      <c r="USB147" s="24"/>
      <c r="USC147" s="24"/>
      <c r="USD147" s="24"/>
      <c r="USE147" s="24"/>
      <c r="USF147" s="24"/>
      <c r="USG147" s="24"/>
      <c r="USH147" s="24"/>
      <c r="USI147" s="24"/>
      <c r="USJ147" s="24"/>
      <c r="USK147" s="24"/>
      <c r="USL147" s="24"/>
      <c r="USM147" s="24"/>
      <c r="USN147" s="24"/>
      <c r="USO147" s="24"/>
      <c r="USP147" s="24"/>
      <c r="USQ147" s="24"/>
      <c r="USR147" s="24"/>
      <c r="USS147" s="24"/>
      <c r="UST147" s="24"/>
      <c r="USU147" s="24"/>
      <c r="USV147" s="24"/>
      <c r="USW147" s="24"/>
      <c r="USX147" s="24"/>
      <c r="USY147" s="24"/>
      <c r="USZ147" s="24"/>
      <c r="UTA147" s="24"/>
      <c r="UTB147" s="24"/>
      <c r="UTC147" s="24"/>
      <c r="UTD147" s="24"/>
      <c r="UTE147" s="24"/>
      <c r="UTF147" s="24"/>
      <c r="UTG147" s="24"/>
      <c r="UTH147" s="24"/>
      <c r="UTI147" s="24"/>
      <c r="UTJ147" s="24"/>
      <c r="UTK147" s="24"/>
      <c r="UTL147" s="24"/>
      <c r="UTM147" s="24"/>
      <c r="UTN147" s="24"/>
      <c r="UTO147" s="24"/>
      <c r="UTP147" s="24"/>
      <c r="UTQ147" s="24"/>
      <c r="UTR147" s="24"/>
      <c r="UTS147" s="24"/>
      <c r="UTT147" s="24"/>
      <c r="UTU147" s="24"/>
      <c r="UTV147" s="24"/>
      <c r="UTW147" s="24"/>
      <c r="UTX147" s="24"/>
      <c r="UTY147" s="24"/>
      <c r="UTZ147" s="24"/>
      <c r="UUA147" s="24"/>
      <c r="UUB147" s="24"/>
      <c r="UUC147" s="24"/>
      <c r="UUD147" s="24"/>
      <c r="UUE147" s="24"/>
      <c r="UUF147" s="24"/>
      <c r="UUG147" s="24"/>
      <c r="UUH147" s="24"/>
      <c r="UUI147" s="24"/>
      <c r="UUJ147" s="24"/>
      <c r="UUK147" s="24"/>
      <c r="UUL147" s="24"/>
      <c r="UUM147" s="24"/>
      <c r="UUN147" s="24"/>
      <c r="UUO147" s="24"/>
      <c r="UUP147" s="24"/>
      <c r="UUQ147" s="24"/>
      <c r="UUR147" s="24"/>
      <c r="UUS147" s="24"/>
      <c r="UUT147" s="24"/>
      <c r="UUU147" s="24"/>
      <c r="UUV147" s="24"/>
      <c r="UUW147" s="24"/>
      <c r="UUX147" s="24"/>
      <c r="UUY147" s="24"/>
      <c r="UUZ147" s="24"/>
      <c r="UVA147" s="24"/>
      <c r="UVB147" s="24"/>
      <c r="UVC147" s="24"/>
      <c r="UVD147" s="24"/>
      <c r="UVE147" s="24"/>
      <c r="UVF147" s="24"/>
      <c r="UVG147" s="24"/>
      <c r="UVH147" s="24"/>
      <c r="UVI147" s="24"/>
      <c r="UVJ147" s="24"/>
      <c r="UVK147" s="24"/>
      <c r="UVL147" s="24"/>
      <c r="UVM147" s="24"/>
      <c r="UVN147" s="24"/>
      <c r="UVO147" s="24"/>
      <c r="UVP147" s="24"/>
      <c r="UVQ147" s="24"/>
      <c r="UVR147" s="24"/>
      <c r="UVS147" s="24"/>
      <c r="UVT147" s="24"/>
      <c r="UVU147" s="24"/>
      <c r="UVV147" s="24"/>
      <c r="UVW147" s="24"/>
      <c r="UVX147" s="24"/>
      <c r="UVY147" s="24"/>
      <c r="UVZ147" s="24"/>
      <c r="UWA147" s="24"/>
      <c r="UWB147" s="24"/>
      <c r="UWC147" s="24"/>
      <c r="UWD147" s="24"/>
      <c r="UWE147" s="24"/>
      <c r="UWF147" s="24"/>
      <c r="UWG147" s="24"/>
      <c r="UWH147" s="24"/>
      <c r="UWI147" s="24"/>
      <c r="UWJ147" s="24"/>
      <c r="UWK147" s="24"/>
      <c r="UWL147" s="24"/>
      <c r="UWM147" s="24"/>
      <c r="UWN147" s="24"/>
      <c r="UWO147" s="24"/>
      <c r="UWP147" s="24"/>
      <c r="UWQ147" s="24"/>
      <c r="UWR147" s="24"/>
      <c r="UWS147" s="24"/>
      <c r="UWT147" s="24"/>
      <c r="UWU147" s="24"/>
      <c r="UWV147" s="24"/>
      <c r="UWW147" s="24"/>
      <c r="UWX147" s="24"/>
      <c r="UWY147" s="24"/>
      <c r="UWZ147" s="24"/>
      <c r="UXA147" s="24"/>
      <c r="UXB147" s="24"/>
      <c r="UXC147" s="24"/>
      <c r="UXD147" s="24"/>
      <c r="UXE147" s="24"/>
      <c r="UXF147" s="24"/>
      <c r="UXG147" s="24"/>
      <c r="UXH147" s="24"/>
      <c r="UXI147" s="24"/>
      <c r="UXJ147" s="24"/>
      <c r="UXK147" s="24"/>
      <c r="UXL147" s="24"/>
      <c r="UXM147" s="24"/>
      <c r="UXN147" s="24"/>
      <c r="UXO147" s="24"/>
      <c r="UXP147" s="24"/>
      <c r="UXQ147" s="24"/>
      <c r="UXR147" s="24"/>
      <c r="UXS147" s="24"/>
      <c r="UXT147" s="24"/>
      <c r="UXU147" s="24"/>
      <c r="UXV147" s="24"/>
      <c r="UXW147" s="24"/>
      <c r="UXX147" s="24"/>
      <c r="UXY147" s="24"/>
      <c r="UXZ147" s="24"/>
      <c r="UYA147" s="24"/>
      <c r="UYB147" s="24"/>
      <c r="UYC147" s="24"/>
      <c r="UYD147" s="24"/>
      <c r="UYE147" s="24"/>
      <c r="UYF147" s="24"/>
      <c r="UYG147" s="24"/>
      <c r="UYH147" s="24"/>
      <c r="UYI147" s="24"/>
      <c r="UYJ147" s="24"/>
      <c r="UYK147" s="24"/>
      <c r="UYL147" s="24"/>
      <c r="UYM147" s="24"/>
      <c r="UYN147" s="24"/>
      <c r="UYO147" s="24"/>
      <c r="UYP147" s="24"/>
      <c r="UYQ147" s="24"/>
      <c r="UYR147" s="24"/>
      <c r="UYS147" s="24"/>
      <c r="UYT147" s="24"/>
      <c r="UYU147" s="24"/>
      <c r="UYV147" s="24"/>
      <c r="UYW147" s="24"/>
      <c r="UYX147" s="24"/>
      <c r="UYY147" s="24"/>
      <c r="UYZ147" s="24"/>
      <c r="UZA147" s="24"/>
      <c r="UZB147" s="24"/>
      <c r="UZC147" s="24"/>
      <c r="UZD147" s="24"/>
      <c r="UZE147" s="24"/>
      <c r="UZF147" s="24"/>
      <c r="UZG147" s="24"/>
      <c r="UZH147" s="24"/>
      <c r="UZI147" s="24"/>
      <c r="UZJ147" s="24"/>
      <c r="UZK147" s="24"/>
      <c r="UZL147" s="24"/>
      <c r="UZM147" s="24"/>
      <c r="UZN147" s="24"/>
      <c r="UZO147" s="24"/>
      <c r="UZP147" s="24"/>
      <c r="UZQ147" s="24"/>
      <c r="UZR147" s="24"/>
      <c r="UZS147" s="24"/>
      <c r="UZT147" s="24"/>
      <c r="UZU147" s="24"/>
      <c r="UZV147" s="24"/>
      <c r="UZW147" s="24"/>
      <c r="UZX147" s="24"/>
      <c r="UZY147" s="24"/>
      <c r="UZZ147" s="24"/>
      <c r="VAA147" s="24"/>
      <c r="VAB147" s="24"/>
      <c r="VAC147" s="24"/>
      <c r="VAD147" s="24"/>
      <c r="VAE147" s="24"/>
      <c r="VAF147" s="24"/>
      <c r="VAG147" s="24"/>
      <c r="VAH147" s="24"/>
      <c r="VAI147" s="24"/>
      <c r="VAJ147" s="24"/>
      <c r="VAK147" s="24"/>
      <c r="VAL147" s="24"/>
      <c r="VAM147" s="24"/>
      <c r="VAN147" s="24"/>
      <c r="VAO147" s="24"/>
      <c r="VAP147" s="24"/>
      <c r="VAQ147" s="24"/>
      <c r="VAR147" s="24"/>
      <c r="VAS147" s="24"/>
      <c r="VAT147" s="24"/>
      <c r="VAU147" s="24"/>
      <c r="VAV147" s="24"/>
      <c r="VAW147" s="24"/>
      <c r="VAX147" s="24"/>
      <c r="VAY147" s="24"/>
      <c r="VAZ147" s="24"/>
      <c r="VBA147" s="24"/>
      <c r="VBB147" s="24"/>
      <c r="VBC147" s="24"/>
      <c r="VBD147" s="24"/>
      <c r="VBE147" s="24"/>
      <c r="VBF147" s="24"/>
      <c r="VBG147" s="24"/>
      <c r="VBH147" s="24"/>
      <c r="VBI147" s="24"/>
      <c r="VBJ147" s="24"/>
      <c r="VBK147" s="24"/>
      <c r="VBL147" s="24"/>
      <c r="VBM147" s="24"/>
      <c r="VBN147" s="24"/>
      <c r="VBO147" s="24"/>
      <c r="VBP147" s="24"/>
      <c r="VBQ147" s="24"/>
      <c r="VBR147" s="24"/>
      <c r="VBS147" s="24"/>
      <c r="VBT147" s="24"/>
      <c r="VBU147" s="24"/>
      <c r="VBV147" s="24"/>
      <c r="VBW147" s="24"/>
      <c r="VBX147" s="24"/>
      <c r="VBY147" s="24"/>
      <c r="VBZ147" s="24"/>
      <c r="VCA147" s="24"/>
      <c r="VCB147" s="24"/>
      <c r="VCC147" s="24"/>
      <c r="VCD147" s="24"/>
      <c r="VCE147" s="24"/>
      <c r="VCF147" s="24"/>
      <c r="VCG147" s="24"/>
      <c r="VCH147" s="24"/>
      <c r="VCI147" s="24"/>
      <c r="VCJ147" s="24"/>
      <c r="VCK147" s="24"/>
      <c r="VCL147" s="24"/>
      <c r="VCM147" s="24"/>
      <c r="VCN147" s="24"/>
      <c r="VCO147" s="24"/>
      <c r="VCP147" s="24"/>
      <c r="VCQ147" s="24"/>
      <c r="VCR147" s="24"/>
      <c r="VCS147" s="24"/>
      <c r="VCT147" s="24"/>
      <c r="VCU147" s="24"/>
      <c r="VCV147" s="24"/>
      <c r="VCW147" s="24"/>
      <c r="VCX147" s="24"/>
      <c r="VCY147" s="24"/>
      <c r="VCZ147" s="24"/>
      <c r="VDA147" s="24"/>
      <c r="VDB147" s="24"/>
      <c r="VDC147" s="24"/>
      <c r="VDD147" s="24"/>
      <c r="VDE147" s="24"/>
      <c r="VDF147" s="24"/>
      <c r="VDG147" s="24"/>
      <c r="VDH147" s="24"/>
      <c r="VDI147" s="24"/>
      <c r="VDJ147" s="24"/>
      <c r="VDK147" s="24"/>
      <c r="VDL147" s="24"/>
      <c r="VDM147" s="24"/>
      <c r="VDN147" s="24"/>
      <c r="VDO147" s="24"/>
      <c r="VDP147" s="24"/>
      <c r="VDQ147" s="24"/>
      <c r="VDR147" s="24"/>
      <c r="VDS147" s="24"/>
      <c r="VDT147" s="24"/>
      <c r="VDU147" s="24"/>
      <c r="VDV147" s="24"/>
      <c r="VDW147" s="24"/>
      <c r="VDX147" s="24"/>
      <c r="VDY147" s="24"/>
      <c r="VDZ147" s="24"/>
      <c r="VEA147" s="24"/>
      <c r="VEB147" s="24"/>
      <c r="VEC147" s="24"/>
      <c r="VED147" s="24"/>
      <c r="VEE147" s="24"/>
      <c r="VEF147" s="24"/>
      <c r="VEG147" s="24"/>
      <c r="VEH147" s="24"/>
      <c r="VEI147" s="24"/>
      <c r="VEJ147" s="24"/>
      <c r="VEK147" s="24"/>
      <c r="VEL147" s="24"/>
      <c r="VEM147" s="24"/>
      <c r="VEN147" s="24"/>
      <c r="VEO147" s="24"/>
      <c r="VEP147" s="24"/>
      <c r="VEQ147" s="24"/>
      <c r="VER147" s="24"/>
      <c r="VES147" s="24"/>
      <c r="VET147" s="24"/>
      <c r="VEU147" s="24"/>
      <c r="VEV147" s="24"/>
      <c r="VEW147" s="24"/>
      <c r="VEX147" s="24"/>
      <c r="VEY147" s="24"/>
      <c r="VEZ147" s="24"/>
      <c r="VFA147" s="24"/>
      <c r="VFB147" s="24"/>
      <c r="VFC147" s="24"/>
      <c r="VFD147" s="24"/>
      <c r="VFE147" s="24"/>
      <c r="VFF147" s="24"/>
      <c r="VFG147" s="24"/>
      <c r="VFH147" s="24"/>
      <c r="VFI147" s="24"/>
      <c r="VFJ147" s="24"/>
      <c r="VFK147" s="24"/>
      <c r="VFL147" s="24"/>
      <c r="VFM147" s="24"/>
      <c r="VFN147" s="24"/>
      <c r="VFO147" s="24"/>
      <c r="VFP147" s="24"/>
      <c r="VFQ147" s="24"/>
      <c r="VFR147" s="24"/>
      <c r="VFS147" s="24"/>
      <c r="VFT147" s="24"/>
      <c r="VFU147" s="24"/>
      <c r="VFV147" s="24"/>
      <c r="VFW147" s="24"/>
      <c r="VFX147" s="24"/>
      <c r="VFY147" s="24"/>
      <c r="VFZ147" s="24"/>
      <c r="VGA147" s="24"/>
      <c r="VGB147" s="24"/>
      <c r="VGC147" s="24"/>
      <c r="VGD147" s="24"/>
      <c r="VGE147" s="24"/>
      <c r="VGF147" s="24"/>
      <c r="VGG147" s="24"/>
      <c r="VGH147" s="24"/>
      <c r="VGI147" s="24"/>
      <c r="VGJ147" s="24"/>
      <c r="VGK147" s="24"/>
      <c r="VGL147" s="24"/>
      <c r="VGM147" s="24"/>
      <c r="VGN147" s="24"/>
      <c r="VGO147" s="24"/>
      <c r="VGP147" s="24"/>
      <c r="VGQ147" s="24"/>
      <c r="VGR147" s="24"/>
      <c r="VGS147" s="24"/>
      <c r="VGT147" s="24"/>
      <c r="VGU147" s="24"/>
      <c r="VGV147" s="24"/>
      <c r="VGW147" s="24"/>
      <c r="VGX147" s="24"/>
      <c r="VGY147" s="24"/>
      <c r="VGZ147" s="24"/>
      <c r="VHA147" s="24"/>
      <c r="VHB147" s="24"/>
      <c r="VHC147" s="24"/>
      <c r="VHD147" s="24"/>
      <c r="VHE147" s="24"/>
      <c r="VHF147" s="24"/>
      <c r="VHG147" s="24"/>
      <c r="VHH147" s="24"/>
      <c r="VHI147" s="24"/>
      <c r="VHJ147" s="24"/>
      <c r="VHK147" s="24"/>
      <c r="VHL147" s="24"/>
      <c r="VHM147" s="24"/>
      <c r="VHN147" s="24"/>
      <c r="VHO147" s="24"/>
      <c r="VHP147" s="24"/>
      <c r="VHQ147" s="24"/>
      <c r="VHR147" s="24"/>
      <c r="VHS147" s="24"/>
      <c r="VHT147" s="24"/>
      <c r="VHU147" s="24"/>
      <c r="VHV147" s="24"/>
      <c r="VHW147" s="24"/>
      <c r="VHX147" s="24"/>
      <c r="VHY147" s="24"/>
      <c r="VHZ147" s="24"/>
      <c r="VIA147" s="24"/>
      <c r="VIB147" s="24"/>
      <c r="VIC147" s="24"/>
      <c r="VID147" s="24"/>
      <c r="VIE147" s="24"/>
      <c r="VIF147" s="24"/>
      <c r="VIG147" s="24"/>
      <c r="VIH147" s="24"/>
      <c r="VII147" s="24"/>
      <c r="VIJ147" s="24"/>
      <c r="VIK147" s="24"/>
      <c r="VIL147" s="24"/>
      <c r="VIM147" s="24"/>
      <c r="VIN147" s="24"/>
      <c r="VIO147" s="24"/>
      <c r="VIP147" s="24"/>
      <c r="VIQ147" s="24"/>
      <c r="VIR147" s="24"/>
      <c r="VIS147" s="24"/>
      <c r="VIT147" s="24"/>
      <c r="VIU147" s="24"/>
      <c r="VIV147" s="24"/>
      <c r="VIW147" s="24"/>
      <c r="VIX147" s="24"/>
      <c r="VIY147" s="24"/>
      <c r="VIZ147" s="24"/>
      <c r="VJA147" s="24"/>
      <c r="VJB147" s="24"/>
      <c r="VJC147" s="24"/>
      <c r="VJD147" s="24"/>
      <c r="VJE147" s="24"/>
      <c r="VJF147" s="24"/>
      <c r="VJG147" s="24"/>
      <c r="VJH147" s="24"/>
      <c r="VJI147" s="24"/>
      <c r="VJJ147" s="24"/>
      <c r="VJK147" s="24"/>
      <c r="VJL147" s="24"/>
      <c r="VJM147" s="24"/>
      <c r="VJN147" s="24"/>
      <c r="VJO147" s="24"/>
      <c r="VJP147" s="24"/>
      <c r="VJQ147" s="24"/>
      <c r="VJR147" s="24"/>
      <c r="VJS147" s="24"/>
      <c r="VJT147" s="24"/>
      <c r="VJU147" s="24"/>
      <c r="VJV147" s="24"/>
      <c r="VJW147" s="24"/>
      <c r="VJX147" s="24"/>
      <c r="VJY147" s="24"/>
      <c r="VJZ147" s="24"/>
      <c r="VKA147" s="24"/>
      <c r="VKB147" s="24"/>
      <c r="VKC147" s="24"/>
      <c r="VKD147" s="24"/>
      <c r="VKE147" s="24"/>
      <c r="VKF147" s="24"/>
      <c r="VKG147" s="24"/>
      <c r="VKH147" s="24"/>
      <c r="VKI147" s="24"/>
      <c r="VKJ147" s="24"/>
      <c r="VKK147" s="24"/>
      <c r="VKL147" s="24"/>
      <c r="VKM147" s="24"/>
      <c r="VKN147" s="24"/>
      <c r="VKO147" s="24"/>
      <c r="VKP147" s="24"/>
      <c r="VKQ147" s="24"/>
      <c r="VKR147" s="24"/>
      <c r="VKS147" s="24"/>
      <c r="VKT147" s="24"/>
      <c r="VKU147" s="24"/>
      <c r="VKV147" s="24"/>
      <c r="VKW147" s="24"/>
      <c r="VKX147" s="24"/>
      <c r="VKY147" s="24"/>
      <c r="VKZ147" s="24"/>
      <c r="VLA147" s="24"/>
      <c r="VLB147" s="24"/>
      <c r="VLC147" s="24"/>
      <c r="VLD147" s="24"/>
      <c r="VLE147" s="24"/>
      <c r="VLF147" s="24"/>
      <c r="VLG147" s="24"/>
      <c r="VLH147" s="24"/>
      <c r="VLI147" s="24"/>
      <c r="VLJ147" s="24"/>
      <c r="VLK147" s="24"/>
      <c r="VLL147" s="24"/>
      <c r="VLM147" s="24"/>
      <c r="VLN147" s="24"/>
      <c r="VLO147" s="24"/>
      <c r="VLP147" s="24"/>
      <c r="VLQ147" s="24"/>
      <c r="VLR147" s="24"/>
      <c r="VLS147" s="24"/>
      <c r="VLT147" s="24"/>
      <c r="VLU147" s="24"/>
      <c r="VLV147" s="24"/>
      <c r="VLW147" s="24"/>
      <c r="VLX147" s="24"/>
      <c r="VLY147" s="24"/>
      <c r="VLZ147" s="24"/>
      <c r="VMA147" s="24"/>
      <c r="VMB147" s="24"/>
      <c r="VMC147" s="24"/>
      <c r="VMD147" s="24"/>
      <c r="VME147" s="24"/>
      <c r="VMF147" s="24"/>
      <c r="VMG147" s="24"/>
      <c r="VMH147" s="24"/>
      <c r="VMI147" s="24"/>
      <c r="VMJ147" s="24"/>
      <c r="VMK147" s="24"/>
      <c r="VML147" s="24"/>
      <c r="VMM147" s="24"/>
      <c r="VMN147" s="24"/>
      <c r="VMO147" s="24"/>
      <c r="VMP147" s="24"/>
      <c r="VMQ147" s="24"/>
      <c r="VMR147" s="24"/>
      <c r="VMS147" s="24"/>
      <c r="VMT147" s="24"/>
      <c r="VMU147" s="24"/>
      <c r="VMV147" s="24"/>
      <c r="VMW147" s="24"/>
      <c r="VMX147" s="24"/>
      <c r="VMY147" s="24"/>
      <c r="VMZ147" s="24"/>
      <c r="VNA147" s="24"/>
      <c r="VNB147" s="24"/>
      <c r="VNC147" s="24"/>
      <c r="VND147" s="24"/>
      <c r="VNE147" s="24"/>
      <c r="VNF147" s="24"/>
      <c r="VNG147" s="24"/>
      <c r="VNH147" s="24"/>
      <c r="VNI147" s="24"/>
      <c r="VNJ147" s="24"/>
      <c r="VNK147" s="24"/>
      <c r="VNL147" s="24"/>
      <c r="VNM147" s="24"/>
      <c r="VNN147" s="24"/>
      <c r="VNO147" s="24"/>
      <c r="VNP147" s="24"/>
      <c r="VNQ147" s="24"/>
      <c r="VNR147" s="24"/>
      <c r="VNS147" s="24"/>
      <c r="VNT147" s="24"/>
      <c r="VNU147" s="24"/>
      <c r="VNV147" s="24"/>
      <c r="VNW147" s="24"/>
      <c r="VNX147" s="24"/>
      <c r="VNY147" s="24"/>
      <c r="VNZ147" s="24"/>
      <c r="VOA147" s="24"/>
      <c r="VOB147" s="24"/>
      <c r="VOC147" s="24"/>
      <c r="VOD147" s="24"/>
      <c r="VOE147" s="24"/>
      <c r="VOF147" s="24"/>
      <c r="VOG147" s="24"/>
      <c r="VOH147" s="24"/>
      <c r="VOI147" s="24"/>
      <c r="VOJ147" s="24"/>
      <c r="VOK147" s="24"/>
      <c r="VOL147" s="24"/>
      <c r="VOM147" s="24"/>
      <c r="VON147" s="24"/>
      <c r="VOO147" s="24"/>
      <c r="VOP147" s="24"/>
      <c r="VOQ147" s="24"/>
      <c r="VOR147" s="24"/>
      <c r="VOS147" s="24"/>
      <c r="VOT147" s="24"/>
      <c r="VOU147" s="24"/>
      <c r="VOV147" s="24"/>
      <c r="VOW147" s="24"/>
      <c r="VOX147" s="24"/>
      <c r="VOY147" s="24"/>
      <c r="VOZ147" s="24"/>
      <c r="VPA147" s="24"/>
      <c r="VPB147" s="24"/>
      <c r="VPC147" s="24"/>
      <c r="VPD147" s="24"/>
      <c r="VPE147" s="24"/>
      <c r="VPF147" s="24"/>
      <c r="VPG147" s="24"/>
      <c r="VPH147" s="24"/>
      <c r="VPI147" s="24"/>
      <c r="VPJ147" s="24"/>
      <c r="VPK147" s="24"/>
      <c r="VPL147" s="24"/>
      <c r="VPM147" s="24"/>
      <c r="VPN147" s="24"/>
      <c r="VPO147" s="24"/>
      <c r="VPP147" s="24"/>
      <c r="VPQ147" s="24"/>
      <c r="VPR147" s="24"/>
      <c r="VPS147" s="24"/>
      <c r="VPT147" s="24"/>
      <c r="VPU147" s="24"/>
      <c r="VPV147" s="24"/>
      <c r="VPW147" s="24"/>
      <c r="VPX147" s="24"/>
      <c r="VPY147" s="24"/>
      <c r="VPZ147" s="24"/>
      <c r="VQA147" s="24"/>
      <c r="VQB147" s="24"/>
      <c r="VQC147" s="24"/>
      <c r="VQD147" s="24"/>
      <c r="VQE147" s="24"/>
      <c r="VQF147" s="24"/>
      <c r="VQG147" s="24"/>
      <c r="VQH147" s="24"/>
      <c r="VQI147" s="24"/>
      <c r="VQJ147" s="24"/>
      <c r="VQK147" s="24"/>
      <c r="VQL147" s="24"/>
      <c r="VQM147" s="24"/>
      <c r="VQN147" s="24"/>
      <c r="VQO147" s="24"/>
      <c r="VQP147" s="24"/>
      <c r="VQQ147" s="24"/>
      <c r="VQR147" s="24"/>
      <c r="VQS147" s="24"/>
      <c r="VQT147" s="24"/>
      <c r="VQU147" s="24"/>
      <c r="VQV147" s="24"/>
      <c r="VQW147" s="24"/>
      <c r="VQX147" s="24"/>
      <c r="VQY147" s="24"/>
      <c r="VQZ147" s="24"/>
      <c r="VRA147" s="24"/>
      <c r="VRB147" s="24"/>
      <c r="VRC147" s="24"/>
      <c r="VRD147" s="24"/>
      <c r="VRE147" s="24"/>
      <c r="VRF147" s="24"/>
      <c r="VRG147" s="24"/>
      <c r="VRH147" s="24"/>
      <c r="VRI147" s="24"/>
      <c r="VRJ147" s="24"/>
      <c r="VRK147" s="24"/>
      <c r="VRL147" s="24"/>
      <c r="VRM147" s="24"/>
      <c r="VRN147" s="24"/>
      <c r="VRO147" s="24"/>
      <c r="VRP147" s="24"/>
      <c r="VRQ147" s="24"/>
      <c r="VRR147" s="24"/>
      <c r="VRS147" s="24"/>
      <c r="VRT147" s="24"/>
      <c r="VRU147" s="24"/>
      <c r="VRV147" s="24"/>
      <c r="VRW147" s="24"/>
      <c r="VRX147" s="24"/>
      <c r="VRY147" s="24"/>
      <c r="VRZ147" s="24"/>
      <c r="VSA147" s="24"/>
      <c r="VSB147" s="24"/>
      <c r="VSC147" s="24"/>
      <c r="VSD147" s="24"/>
      <c r="VSE147" s="24"/>
      <c r="VSF147" s="24"/>
      <c r="VSG147" s="24"/>
      <c r="VSH147" s="24"/>
      <c r="VSI147" s="24"/>
      <c r="VSJ147" s="24"/>
      <c r="VSK147" s="24"/>
      <c r="VSL147" s="24"/>
      <c r="VSM147" s="24"/>
      <c r="VSN147" s="24"/>
      <c r="VSO147" s="24"/>
      <c r="VSP147" s="24"/>
      <c r="VSQ147" s="24"/>
      <c r="VSR147" s="24"/>
      <c r="VSS147" s="24"/>
      <c r="VST147" s="24"/>
      <c r="VSU147" s="24"/>
      <c r="VSV147" s="24"/>
      <c r="VSW147" s="24"/>
      <c r="VSX147" s="24"/>
      <c r="VSY147" s="24"/>
      <c r="VSZ147" s="24"/>
      <c r="VTA147" s="24"/>
      <c r="VTB147" s="24"/>
      <c r="VTC147" s="24"/>
      <c r="VTD147" s="24"/>
      <c r="VTE147" s="24"/>
      <c r="VTF147" s="24"/>
      <c r="VTG147" s="24"/>
      <c r="VTH147" s="24"/>
      <c r="VTI147" s="24"/>
      <c r="VTJ147" s="24"/>
      <c r="VTK147" s="24"/>
      <c r="VTL147" s="24"/>
      <c r="VTM147" s="24"/>
      <c r="VTN147" s="24"/>
      <c r="VTO147" s="24"/>
      <c r="VTP147" s="24"/>
      <c r="VTQ147" s="24"/>
      <c r="VTR147" s="24"/>
      <c r="VTS147" s="24"/>
      <c r="VTT147" s="24"/>
      <c r="VTU147" s="24"/>
      <c r="VTV147" s="24"/>
      <c r="VTW147" s="24"/>
      <c r="VTX147" s="24"/>
      <c r="VTY147" s="24"/>
      <c r="VTZ147" s="24"/>
      <c r="VUA147" s="24"/>
      <c r="VUB147" s="24"/>
      <c r="VUC147" s="24"/>
      <c r="VUD147" s="24"/>
      <c r="VUE147" s="24"/>
      <c r="VUF147" s="24"/>
      <c r="VUG147" s="24"/>
      <c r="VUH147" s="24"/>
      <c r="VUI147" s="24"/>
      <c r="VUJ147" s="24"/>
      <c r="VUK147" s="24"/>
      <c r="VUL147" s="24"/>
      <c r="VUM147" s="24"/>
      <c r="VUN147" s="24"/>
      <c r="VUO147" s="24"/>
      <c r="VUP147" s="24"/>
      <c r="VUQ147" s="24"/>
      <c r="VUR147" s="24"/>
      <c r="VUS147" s="24"/>
      <c r="VUT147" s="24"/>
      <c r="VUU147" s="24"/>
      <c r="VUV147" s="24"/>
      <c r="VUW147" s="24"/>
      <c r="VUX147" s="24"/>
      <c r="VUY147" s="24"/>
      <c r="VUZ147" s="24"/>
      <c r="VVA147" s="24"/>
      <c r="VVB147" s="24"/>
      <c r="VVC147" s="24"/>
      <c r="VVD147" s="24"/>
      <c r="VVE147" s="24"/>
      <c r="VVF147" s="24"/>
      <c r="VVG147" s="24"/>
      <c r="VVH147" s="24"/>
      <c r="VVI147" s="24"/>
      <c r="VVJ147" s="24"/>
      <c r="VVK147" s="24"/>
      <c r="VVL147" s="24"/>
      <c r="VVM147" s="24"/>
      <c r="VVN147" s="24"/>
      <c r="VVO147" s="24"/>
      <c r="VVP147" s="24"/>
      <c r="VVQ147" s="24"/>
      <c r="VVR147" s="24"/>
      <c r="VVS147" s="24"/>
      <c r="VVT147" s="24"/>
      <c r="VVU147" s="24"/>
      <c r="VVV147" s="24"/>
      <c r="VVW147" s="24"/>
      <c r="VVX147" s="24"/>
      <c r="VVY147" s="24"/>
      <c r="VVZ147" s="24"/>
      <c r="VWA147" s="24"/>
      <c r="VWB147" s="24"/>
      <c r="VWC147" s="24"/>
      <c r="VWD147" s="24"/>
      <c r="VWE147" s="24"/>
      <c r="VWF147" s="24"/>
      <c r="VWG147" s="24"/>
      <c r="VWH147" s="24"/>
      <c r="VWI147" s="24"/>
      <c r="VWJ147" s="24"/>
      <c r="VWK147" s="24"/>
      <c r="VWL147" s="24"/>
      <c r="VWM147" s="24"/>
      <c r="VWN147" s="24"/>
      <c r="VWO147" s="24"/>
      <c r="VWP147" s="24"/>
      <c r="VWQ147" s="24"/>
      <c r="VWR147" s="24"/>
      <c r="VWS147" s="24"/>
      <c r="VWT147" s="24"/>
      <c r="VWU147" s="24"/>
      <c r="VWV147" s="24"/>
      <c r="VWW147" s="24"/>
      <c r="VWX147" s="24"/>
      <c r="VWY147" s="24"/>
      <c r="VWZ147" s="24"/>
      <c r="VXA147" s="24"/>
      <c r="VXB147" s="24"/>
      <c r="VXC147" s="24"/>
      <c r="VXD147" s="24"/>
      <c r="VXE147" s="24"/>
      <c r="VXF147" s="24"/>
      <c r="VXG147" s="24"/>
      <c r="VXH147" s="24"/>
      <c r="VXI147" s="24"/>
      <c r="VXJ147" s="24"/>
      <c r="VXK147" s="24"/>
      <c r="VXL147" s="24"/>
      <c r="VXM147" s="24"/>
      <c r="VXN147" s="24"/>
      <c r="VXO147" s="24"/>
      <c r="VXP147" s="24"/>
      <c r="VXQ147" s="24"/>
      <c r="VXR147" s="24"/>
      <c r="VXS147" s="24"/>
      <c r="VXT147" s="24"/>
      <c r="VXU147" s="24"/>
      <c r="VXV147" s="24"/>
      <c r="VXW147" s="24"/>
      <c r="VXX147" s="24"/>
      <c r="VXY147" s="24"/>
      <c r="VXZ147" s="24"/>
      <c r="VYA147" s="24"/>
      <c r="VYB147" s="24"/>
      <c r="VYC147" s="24"/>
      <c r="VYD147" s="24"/>
      <c r="VYE147" s="24"/>
      <c r="VYF147" s="24"/>
      <c r="VYG147" s="24"/>
      <c r="VYH147" s="24"/>
      <c r="VYI147" s="24"/>
      <c r="VYJ147" s="24"/>
      <c r="VYK147" s="24"/>
      <c r="VYL147" s="24"/>
      <c r="VYM147" s="24"/>
      <c r="VYN147" s="24"/>
      <c r="VYO147" s="24"/>
      <c r="VYP147" s="24"/>
      <c r="VYQ147" s="24"/>
      <c r="VYR147" s="24"/>
      <c r="VYS147" s="24"/>
      <c r="VYT147" s="24"/>
      <c r="VYU147" s="24"/>
      <c r="VYV147" s="24"/>
      <c r="VYW147" s="24"/>
      <c r="VYX147" s="24"/>
      <c r="VYY147" s="24"/>
      <c r="VYZ147" s="24"/>
      <c r="VZA147" s="24"/>
      <c r="VZB147" s="24"/>
      <c r="VZC147" s="24"/>
      <c r="VZD147" s="24"/>
      <c r="VZE147" s="24"/>
      <c r="VZF147" s="24"/>
      <c r="VZG147" s="24"/>
      <c r="VZH147" s="24"/>
      <c r="VZI147" s="24"/>
      <c r="VZJ147" s="24"/>
      <c r="VZK147" s="24"/>
      <c r="VZL147" s="24"/>
      <c r="VZM147" s="24"/>
      <c r="VZN147" s="24"/>
      <c r="VZO147" s="24"/>
      <c r="VZP147" s="24"/>
      <c r="VZQ147" s="24"/>
      <c r="VZR147" s="24"/>
      <c r="VZS147" s="24"/>
      <c r="VZT147" s="24"/>
      <c r="VZU147" s="24"/>
      <c r="VZV147" s="24"/>
      <c r="VZW147" s="24"/>
      <c r="VZX147" s="24"/>
      <c r="VZY147" s="24"/>
      <c r="VZZ147" s="24"/>
      <c r="WAA147" s="24"/>
      <c r="WAB147" s="24"/>
      <c r="WAC147" s="24"/>
      <c r="WAD147" s="24"/>
      <c r="WAE147" s="24"/>
      <c r="WAF147" s="24"/>
      <c r="WAG147" s="24"/>
      <c r="WAH147" s="24"/>
      <c r="WAI147" s="24"/>
      <c r="WAJ147" s="24"/>
      <c r="WAK147" s="24"/>
      <c r="WAL147" s="24"/>
      <c r="WAM147" s="24"/>
      <c r="WAN147" s="24"/>
      <c r="WAO147" s="24"/>
      <c r="WAP147" s="24"/>
      <c r="WAQ147" s="24"/>
      <c r="WAR147" s="24"/>
      <c r="WAS147" s="24"/>
      <c r="WAT147" s="24"/>
      <c r="WAU147" s="24"/>
      <c r="WAV147" s="24"/>
      <c r="WAW147" s="24"/>
      <c r="WAX147" s="24"/>
      <c r="WAY147" s="24"/>
      <c r="WAZ147" s="24"/>
      <c r="WBA147" s="24"/>
      <c r="WBB147" s="24"/>
      <c r="WBC147" s="24"/>
      <c r="WBD147" s="24"/>
      <c r="WBE147" s="24"/>
      <c r="WBF147" s="24"/>
      <c r="WBG147" s="24"/>
      <c r="WBH147" s="24"/>
      <c r="WBI147" s="24"/>
      <c r="WBJ147" s="24"/>
      <c r="WBK147" s="24"/>
      <c r="WBL147" s="24"/>
      <c r="WBM147" s="24"/>
      <c r="WBN147" s="24"/>
      <c r="WBO147" s="24"/>
      <c r="WBP147" s="24"/>
      <c r="WBQ147" s="24"/>
      <c r="WBR147" s="24"/>
      <c r="WBS147" s="24"/>
      <c r="WBT147" s="24"/>
      <c r="WBU147" s="24"/>
      <c r="WBV147" s="24"/>
      <c r="WBW147" s="24"/>
      <c r="WBX147" s="24"/>
      <c r="WBY147" s="24"/>
      <c r="WBZ147" s="24"/>
      <c r="WCA147" s="24"/>
      <c r="WCB147" s="24"/>
      <c r="WCC147" s="24"/>
      <c r="WCD147" s="24"/>
      <c r="WCE147" s="24"/>
      <c r="WCF147" s="24"/>
      <c r="WCG147" s="24"/>
      <c r="WCH147" s="24"/>
      <c r="WCI147" s="24"/>
      <c r="WCJ147" s="24"/>
      <c r="WCK147" s="24"/>
      <c r="WCL147" s="24"/>
      <c r="WCM147" s="24"/>
      <c r="WCN147" s="24"/>
      <c r="WCO147" s="24"/>
      <c r="WCP147" s="24"/>
      <c r="WCQ147" s="24"/>
      <c r="WCR147" s="24"/>
      <c r="WCS147" s="24"/>
      <c r="WCT147" s="24"/>
      <c r="WCU147" s="24"/>
      <c r="WCV147" s="24"/>
      <c r="WCW147" s="24"/>
      <c r="WCX147" s="24"/>
      <c r="WCY147" s="24"/>
      <c r="WCZ147" s="24"/>
      <c r="WDA147" s="24"/>
      <c r="WDB147" s="24"/>
      <c r="WDC147" s="24"/>
      <c r="WDD147" s="24"/>
      <c r="WDE147" s="24"/>
      <c r="WDF147" s="24"/>
      <c r="WDG147" s="24"/>
      <c r="WDH147" s="24"/>
      <c r="WDI147" s="24"/>
      <c r="WDJ147" s="24"/>
      <c r="WDK147" s="24"/>
      <c r="WDL147" s="24"/>
      <c r="WDM147" s="24"/>
      <c r="WDN147" s="24"/>
      <c r="WDO147" s="24"/>
      <c r="WDP147" s="24"/>
      <c r="WDQ147" s="24"/>
      <c r="WDR147" s="24"/>
      <c r="WDS147" s="24"/>
      <c r="WDT147" s="24"/>
      <c r="WDU147" s="24"/>
      <c r="WDV147" s="24"/>
      <c r="WDW147" s="24"/>
      <c r="WDX147" s="24"/>
      <c r="WDY147" s="24"/>
      <c r="WDZ147" s="24"/>
      <c r="WEA147" s="24"/>
      <c r="WEB147" s="24"/>
      <c r="WEC147" s="24"/>
      <c r="WED147" s="24"/>
      <c r="WEE147" s="24"/>
      <c r="WEF147" s="24"/>
      <c r="WEG147" s="24"/>
      <c r="WEH147" s="24"/>
      <c r="WEI147" s="24"/>
      <c r="WEJ147" s="24"/>
      <c r="WEK147" s="24"/>
      <c r="WEL147" s="24"/>
      <c r="WEM147" s="24"/>
      <c r="WEN147" s="24"/>
      <c r="WEO147" s="24"/>
      <c r="WEP147" s="24"/>
      <c r="WEQ147" s="24"/>
      <c r="WER147" s="24"/>
      <c r="WES147" s="24"/>
      <c r="WET147" s="24"/>
      <c r="WEU147" s="24"/>
      <c r="WEV147" s="24"/>
      <c r="WEW147" s="24"/>
      <c r="WEX147" s="24"/>
      <c r="WEY147" s="24"/>
      <c r="WEZ147" s="24"/>
      <c r="WFA147" s="24"/>
      <c r="WFB147" s="24"/>
      <c r="WFC147" s="24"/>
      <c r="WFD147" s="24"/>
      <c r="WFE147" s="24"/>
      <c r="WFF147" s="24"/>
      <c r="WFG147" s="24"/>
      <c r="WFH147" s="24"/>
      <c r="WFI147" s="24"/>
      <c r="WFJ147" s="24"/>
      <c r="WFK147" s="24"/>
      <c r="WFL147" s="24"/>
      <c r="WFM147" s="24"/>
      <c r="WFN147" s="24"/>
      <c r="WFO147" s="24"/>
      <c r="WFP147" s="24"/>
      <c r="WFQ147" s="24"/>
      <c r="WFR147" s="24"/>
      <c r="WFS147" s="24"/>
      <c r="WFT147" s="24"/>
      <c r="WFU147" s="24"/>
      <c r="WFV147" s="24"/>
      <c r="WFW147" s="24"/>
      <c r="WFX147" s="24"/>
      <c r="WFY147" s="24"/>
      <c r="WFZ147" s="24"/>
      <c r="WGA147" s="24"/>
      <c r="WGB147" s="24"/>
      <c r="WGC147" s="24"/>
      <c r="WGD147" s="24"/>
      <c r="WGE147" s="24"/>
      <c r="WGF147" s="24"/>
      <c r="WGG147" s="24"/>
      <c r="WGH147" s="24"/>
      <c r="WGI147" s="24"/>
      <c r="WGJ147" s="24"/>
      <c r="WGK147" s="24"/>
      <c r="WGL147" s="24"/>
      <c r="WGM147" s="24"/>
      <c r="WGN147" s="24"/>
      <c r="WGO147" s="24"/>
      <c r="WGP147" s="24"/>
      <c r="WGQ147" s="24"/>
      <c r="WGR147" s="24"/>
      <c r="WGS147" s="24"/>
      <c r="WGT147" s="24"/>
      <c r="WGU147" s="24"/>
      <c r="WGV147" s="24"/>
      <c r="WGW147" s="24"/>
      <c r="WGX147" s="24"/>
      <c r="WGY147" s="24"/>
      <c r="WGZ147" s="24"/>
      <c r="WHA147" s="24"/>
      <c r="WHB147" s="24"/>
      <c r="WHC147" s="24"/>
      <c r="WHD147" s="24"/>
      <c r="WHE147" s="24"/>
      <c r="WHF147" s="24"/>
      <c r="WHG147" s="24"/>
      <c r="WHH147" s="24"/>
      <c r="WHI147" s="24"/>
      <c r="WHJ147" s="24"/>
      <c r="WHK147" s="24"/>
      <c r="WHL147" s="24"/>
      <c r="WHM147" s="24"/>
      <c r="WHN147" s="24"/>
      <c r="WHO147" s="24"/>
      <c r="WHP147" s="24"/>
      <c r="WHQ147" s="24"/>
      <c r="WHR147" s="24"/>
      <c r="WHS147" s="24"/>
      <c r="WHT147" s="24"/>
      <c r="WHU147" s="24"/>
      <c r="WHV147" s="24"/>
      <c r="WHW147" s="24"/>
      <c r="WHX147" s="24"/>
      <c r="WHY147" s="24"/>
      <c r="WHZ147" s="24"/>
      <c r="WIA147" s="24"/>
      <c r="WIB147" s="24"/>
      <c r="WIC147" s="24"/>
      <c r="WID147" s="24"/>
      <c r="WIE147" s="24"/>
      <c r="WIF147" s="24"/>
      <c r="WIG147" s="24"/>
      <c r="WIH147" s="24"/>
      <c r="WII147" s="24"/>
      <c r="WIJ147" s="24"/>
      <c r="WIK147" s="24"/>
      <c r="WIL147" s="24"/>
      <c r="WIM147" s="24"/>
      <c r="WIN147" s="24"/>
      <c r="WIO147" s="24"/>
      <c r="WIP147" s="24"/>
      <c r="WIQ147" s="24"/>
      <c r="WIR147" s="24"/>
      <c r="WIS147" s="24"/>
      <c r="WIT147" s="24"/>
      <c r="WIU147" s="24"/>
      <c r="WIV147" s="24"/>
      <c r="WIW147" s="24"/>
      <c r="WIX147" s="24"/>
      <c r="WIY147" s="24"/>
      <c r="WIZ147" s="24"/>
      <c r="WJA147" s="24"/>
      <c r="WJB147" s="24"/>
      <c r="WJC147" s="24"/>
      <c r="WJD147" s="24"/>
      <c r="WJE147" s="24"/>
      <c r="WJF147" s="24"/>
      <c r="WJG147" s="24"/>
      <c r="WJH147" s="24"/>
      <c r="WJI147" s="24"/>
      <c r="WJJ147" s="24"/>
      <c r="WJK147" s="24"/>
      <c r="WJL147" s="24"/>
      <c r="WJM147" s="24"/>
      <c r="WJN147" s="24"/>
      <c r="WJO147" s="24"/>
      <c r="WJP147" s="24"/>
      <c r="WJQ147" s="24"/>
      <c r="WJR147" s="24"/>
      <c r="WJS147" s="24"/>
      <c r="WJT147" s="24"/>
      <c r="WJU147" s="24"/>
      <c r="WJV147" s="24"/>
      <c r="WJW147" s="24"/>
      <c r="WJX147" s="24"/>
      <c r="WJY147" s="24"/>
      <c r="WJZ147" s="24"/>
      <c r="WKA147" s="24"/>
      <c r="WKB147" s="24"/>
      <c r="WKC147" s="24"/>
      <c r="WKD147" s="24"/>
      <c r="WKE147" s="24"/>
      <c r="WKF147" s="24"/>
      <c r="WKG147" s="24"/>
      <c r="WKH147" s="24"/>
      <c r="WKI147" s="24"/>
      <c r="WKJ147" s="24"/>
      <c r="WKK147" s="24"/>
      <c r="WKL147" s="24"/>
      <c r="WKM147" s="24"/>
      <c r="WKN147" s="24"/>
      <c r="WKO147" s="24"/>
      <c r="WKP147" s="24"/>
      <c r="WKQ147" s="24"/>
      <c r="WKR147" s="24"/>
      <c r="WKS147" s="24"/>
      <c r="WKT147" s="24"/>
      <c r="WKU147" s="24"/>
      <c r="WKV147" s="24"/>
      <c r="WKW147" s="24"/>
      <c r="WKX147" s="24"/>
      <c r="WKY147" s="24"/>
      <c r="WKZ147" s="24"/>
      <c r="WLA147" s="24"/>
      <c r="WLB147" s="24"/>
      <c r="WLC147" s="24"/>
      <c r="WLD147" s="24"/>
      <c r="WLE147" s="24"/>
      <c r="WLF147" s="24"/>
      <c r="WLG147" s="24"/>
      <c r="WLH147" s="24"/>
      <c r="WLI147" s="24"/>
      <c r="WLJ147" s="24"/>
      <c r="WLK147" s="24"/>
      <c r="WLL147" s="24"/>
      <c r="WLM147" s="24"/>
      <c r="WLN147" s="24"/>
      <c r="WLO147" s="24"/>
      <c r="WLP147" s="24"/>
      <c r="WLQ147" s="24"/>
      <c r="WLR147" s="24"/>
      <c r="WLS147" s="24"/>
      <c r="WLT147" s="24"/>
      <c r="WLU147" s="24"/>
      <c r="WLV147" s="24"/>
      <c r="WLW147" s="24"/>
      <c r="WLX147" s="24"/>
      <c r="WLY147" s="24"/>
      <c r="WLZ147" s="24"/>
      <c r="WMA147" s="24"/>
      <c r="WMB147" s="24"/>
      <c r="WMC147" s="24"/>
      <c r="WMD147" s="24"/>
      <c r="WME147" s="24"/>
      <c r="WMF147" s="24"/>
      <c r="WMG147" s="24"/>
      <c r="WMH147" s="24"/>
      <c r="WMI147" s="24"/>
      <c r="WMJ147" s="24"/>
      <c r="WMK147" s="24"/>
      <c r="WML147" s="24"/>
      <c r="WMM147" s="24"/>
      <c r="WMN147" s="24"/>
      <c r="WMO147" s="24"/>
      <c r="WMP147" s="24"/>
      <c r="WMQ147" s="24"/>
      <c r="WMR147" s="24"/>
      <c r="WMS147" s="24"/>
      <c r="WMT147" s="24"/>
      <c r="WMU147" s="24"/>
      <c r="WMV147" s="24"/>
      <c r="WMW147" s="24"/>
      <c r="WMX147" s="24"/>
      <c r="WMY147" s="24"/>
      <c r="WMZ147" s="24"/>
      <c r="WNA147" s="24"/>
      <c r="WNB147" s="24"/>
      <c r="WNC147" s="24"/>
      <c r="WND147" s="24"/>
      <c r="WNE147" s="24"/>
      <c r="WNF147" s="24"/>
      <c r="WNG147" s="24"/>
      <c r="WNH147" s="24"/>
      <c r="WNI147" s="24"/>
      <c r="WNJ147" s="24"/>
      <c r="WNK147" s="24"/>
      <c r="WNL147" s="24"/>
      <c r="WNM147" s="24"/>
      <c r="WNN147" s="24"/>
      <c r="WNO147" s="24"/>
      <c r="WNP147" s="24"/>
      <c r="WNQ147" s="24"/>
      <c r="WNR147" s="24"/>
      <c r="WNS147" s="24"/>
      <c r="WNT147" s="24"/>
      <c r="WNU147" s="24"/>
      <c r="WNV147" s="24"/>
      <c r="WNW147" s="24"/>
      <c r="WNX147" s="24"/>
      <c r="WNY147" s="24"/>
      <c r="WNZ147" s="24"/>
      <c r="WOA147" s="24"/>
      <c r="WOB147" s="24"/>
      <c r="WOC147" s="24"/>
      <c r="WOD147" s="24"/>
      <c r="WOE147" s="24"/>
      <c r="WOF147" s="24"/>
      <c r="WOG147" s="24"/>
      <c r="WOH147" s="24"/>
      <c r="WOI147" s="24"/>
      <c r="WOJ147" s="24"/>
      <c r="WOK147" s="24"/>
      <c r="WOL147" s="24"/>
      <c r="WOM147" s="24"/>
      <c r="WON147" s="24"/>
      <c r="WOO147" s="24"/>
      <c r="WOP147" s="24"/>
      <c r="WOQ147" s="24"/>
      <c r="WOR147" s="24"/>
      <c r="WOS147" s="24"/>
      <c r="WOT147" s="24"/>
      <c r="WOU147" s="24"/>
      <c r="WOV147" s="24"/>
      <c r="WOW147" s="24"/>
      <c r="WOX147" s="24"/>
      <c r="WOY147" s="24"/>
      <c r="WOZ147" s="24"/>
      <c r="WPA147" s="24"/>
      <c r="WPB147" s="24"/>
      <c r="WPC147" s="24"/>
      <c r="WPD147" s="24"/>
      <c r="WPE147" s="24"/>
      <c r="WPF147" s="24"/>
      <c r="WPG147" s="24"/>
      <c r="WPH147" s="24"/>
      <c r="WPI147" s="24"/>
      <c r="WPJ147" s="24"/>
      <c r="WPK147" s="24"/>
      <c r="WPL147" s="24"/>
      <c r="WPM147" s="24"/>
      <c r="WPN147" s="24"/>
      <c r="WPO147" s="24"/>
      <c r="WPP147" s="24"/>
      <c r="WPQ147" s="24"/>
      <c r="WPR147" s="24"/>
      <c r="WPS147" s="24"/>
      <c r="WPT147" s="24"/>
      <c r="WPU147" s="24"/>
      <c r="WPV147" s="24"/>
      <c r="WPW147" s="24"/>
      <c r="WPX147" s="24"/>
      <c r="WPY147" s="24"/>
      <c r="WPZ147" s="24"/>
      <c r="WQA147" s="24"/>
      <c r="WQB147" s="24"/>
      <c r="WQC147" s="24"/>
      <c r="WQD147" s="24"/>
      <c r="WQE147" s="24"/>
      <c r="WQF147" s="24"/>
      <c r="WQG147" s="24"/>
      <c r="WQH147" s="24"/>
      <c r="WQI147" s="24"/>
      <c r="WQJ147" s="24"/>
      <c r="WQK147" s="24"/>
      <c r="WQL147" s="24"/>
      <c r="WQM147" s="24"/>
      <c r="WQN147" s="24"/>
      <c r="WQO147" s="24"/>
      <c r="WQP147" s="24"/>
      <c r="WQQ147" s="24"/>
      <c r="WQR147" s="24"/>
      <c r="WQS147" s="24"/>
      <c r="WQT147" s="24"/>
      <c r="WQU147" s="24"/>
      <c r="WQV147" s="24"/>
      <c r="WQW147" s="24"/>
      <c r="WQX147" s="24"/>
      <c r="WQY147" s="24"/>
      <c r="WQZ147" s="24"/>
      <c r="WRA147" s="24"/>
      <c r="WRB147" s="24"/>
      <c r="WRC147" s="24"/>
      <c r="WRD147" s="24"/>
      <c r="WRE147" s="24"/>
      <c r="WRF147" s="24"/>
      <c r="WRG147" s="24"/>
      <c r="WRH147" s="24"/>
      <c r="WRI147" s="24"/>
      <c r="WRJ147" s="24"/>
      <c r="WRK147" s="24"/>
      <c r="WRL147" s="24"/>
      <c r="WRM147" s="24"/>
      <c r="WRN147" s="24"/>
      <c r="WRO147" s="24"/>
      <c r="WRP147" s="24"/>
      <c r="WRQ147" s="24"/>
      <c r="WRR147" s="24"/>
      <c r="WRS147" s="24"/>
      <c r="WRT147" s="24"/>
      <c r="WRU147" s="24"/>
      <c r="WRV147" s="24"/>
      <c r="WRW147" s="24"/>
      <c r="WRX147" s="24"/>
      <c r="WRY147" s="24"/>
      <c r="WRZ147" s="24"/>
      <c r="WSA147" s="24"/>
      <c r="WSB147" s="24"/>
      <c r="WSC147" s="24"/>
      <c r="WSD147" s="24"/>
      <c r="WSE147" s="24"/>
      <c r="WSF147" s="24"/>
      <c r="WSG147" s="24"/>
      <c r="WSH147" s="24"/>
      <c r="WSI147" s="24"/>
      <c r="WSJ147" s="24"/>
      <c r="WSK147" s="24"/>
      <c r="WSL147" s="24"/>
      <c r="WSM147" s="24"/>
      <c r="WSN147" s="24"/>
      <c r="WSO147" s="24"/>
      <c r="WSP147" s="24"/>
      <c r="WSQ147" s="24"/>
      <c r="WSR147" s="24"/>
      <c r="WSS147" s="24"/>
      <c r="WST147" s="24"/>
      <c r="WSU147" s="24"/>
      <c r="WSV147" s="24"/>
      <c r="WSW147" s="24"/>
      <c r="WSX147" s="24"/>
      <c r="WSY147" s="24"/>
      <c r="WSZ147" s="24"/>
      <c r="WTA147" s="24"/>
      <c r="WTB147" s="24"/>
      <c r="WTC147" s="24"/>
      <c r="WTD147" s="24"/>
      <c r="WTE147" s="24"/>
      <c r="WTF147" s="24"/>
      <c r="WTG147" s="24"/>
      <c r="WTH147" s="24"/>
      <c r="WTI147" s="24"/>
      <c r="WTJ147" s="24"/>
      <c r="WTK147" s="24"/>
      <c r="WTL147" s="24"/>
      <c r="WTM147" s="24"/>
      <c r="WTN147" s="24"/>
      <c r="WTO147" s="24"/>
      <c r="WTP147" s="24"/>
      <c r="WTQ147" s="24"/>
      <c r="WTR147" s="24"/>
      <c r="WTS147" s="24"/>
      <c r="WTT147" s="24"/>
      <c r="WTU147" s="24"/>
      <c r="WTV147" s="24"/>
      <c r="WTW147" s="24"/>
      <c r="WTX147" s="24"/>
      <c r="WTY147" s="24"/>
      <c r="WTZ147" s="24"/>
      <c r="WUA147" s="24"/>
      <c r="WUB147" s="24"/>
      <c r="WUC147" s="24"/>
      <c r="WUD147" s="24"/>
      <c r="WUE147" s="24"/>
      <c r="WUF147" s="24"/>
      <c r="WUG147" s="24"/>
      <c r="WUH147" s="24"/>
      <c r="WUI147" s="24"/>
      <c r="WUJ147" s="24"/>
      <c r="WUK147" s="24"/>
      <c r="WUL147" s="24"/>
      <c r="WUM147" s="24"/>
      <c r="WUN147" s="24"/>
      <c r="WUO147" s="24"/>
      <c r="WUP147" s="24"/>
      <c r="WUQ147" s="24"/>
      <c r="WUR147" s="24"/>
      <c r="WUS147" s="24"/>
      <c r="WUT147" s="24"/>
      <c r="WUU147" s="24"/>
      <c r="WUV147" s="24"/>
      <c r="WUW147" s="24"/>
      <c r="WUX147" s="24"/>
      <c r="WUY147" s="24"/>
      <c r="WUZ147" s="24"/>
      <c r="WVA147" s="24"/>
      <c r="WVB147" s="24"/>
      <c r="WVC147" s="24"/>
      <c r="WVD147" s="24"/>
      <c r="WVE147" s="24"/>
      <c r="WVF147" s="24"/>
      <c r="WVG147" s="24"/>
      <c r="WVH147" s="24"/>
      <c r="WVI147" s="24"/>
      <c r="WVJ147" s="24"/>
      <c r="WVK147" s="24"/>
      <c r="WVL147" s="24"/>
      <c r="WVM147" s="24"/>
      <c r="WVN147" s="24"/>
      <c r="WVO147" s="24"/>
      <c r="WVP147" s="24"/>
      <c r="WVQ147" s="24"/>
      <c r="WVR147" s="24"/>
      <c r="WVS147" s="24"/>
      <c r="WVT147" s="24"/>
      <c r="WVU147" s="24"/>
      <c r="WVV147" s="24"/>
      <c r="WVW147" s="24"/>
      <c r="WVX147" s="24"/>
      <c r="WVY147" s="24"/>
      <c r="WVZ147" s="24"/>
      <c r="WWA147" s="24"/>
      <c r="WWB147" s="24"/>
      <c r="WWC147" s="24"/>
      <c r="WWD147" s="24"/>
      <c r="WWE147" s="24"/>
      <c r="WWF147" s="24"/>
      <c r="WWG147" s="24"/>
      <c r="WWH147" s="24"/>
      <c r="WWI147" s="24"/>
      <c r="WWJ147" s="24"/>
      <c r="WWK147" s="24"/>
      <c r="WWL147" s="24"/>
      <c r="WWM147" s="24"/>
      <c r="WWN147" s="24"/>
      <c r="WWO147" s="24"/>
      <c r="WWP147" s="24"/>
      <c r="WWQ147" s="24"/>
      <c r="WWR147" s="24"/>
      <c r="WWS147" s="24"/>
      <c r="WWT147" s="24"/>
      <c r="WWU147" s="24"/>
      <c r="WWV147" s="24"/>
      <c r="WWW147" s="24"/>
      <c r="WWX147" s="24"/>
      <c r="WWY147" s="24"/>
      <c r="WWZ147" s="24"/>
      <c r="WXA147" s="24"/>
      <c r="WXB147" s="24"/>
      <c r="WXC147" s="24"/>
      <c r="WXD147" s="24"/>
      <c r="WXE147" s="24"/>
      <c r="WXF147" s="24"/>
      <c r="WXG147" s="24"/>
      <c r="WXH147" s="24"/>
      <c r="WXI147" s="24"/>
      <c r="WXJ147" s="24"/>
      <c r="WXK147" s="24"/>
      <c r="WXL147" s="24"/>
      <c r="WXM147" s="24"/>
      <c r="WXN147" s="24"/>
      <c r="WXO147" s="24"/>
      <c r="WXP147" s="24"/>
      <c r="WXQ147" s="24"/>
      <c r="WXR147" s="24"/>
      <c r="WXS147" s="24"/>
      <c r="WXT147" s="24"/>
      <c r="WXU147" s="24"/>
      <c r="WXV147" s="24"/>
      <c r="WXW147" s="24"/>
      <c r="WXX147" s="24"/>
      <c r="WXY147" s="24"/>
      <c r="WXZ147" s="24"/>
      <c r="WYA147" s="24"/>
      <c r="WYB147" s="24"/>
      <c r="WYC147" s="24"/>
      <c r="WYD147" s="24"/>
      <c r="WYE147" s="24"/>
      <c r="WYF147" s="24"/>
      <c r="WYG147" s="24"/>
      <c r="WYH147" s="24"/>
      <c r="WYI147" s="24"/>
      <c r="WYJ147" s="24"/>
      <c r="WYK147" s="24"/>
      <c r="WYL147" s="24"/>
      <c r="WYM147" s="24"/>
      <c r="WYN147" s="24"/>
      <c r="WYO147" s="24"/>
      <c r="WYP147" s="24"/>
      <c r="WYQ147" s="24"/>
      <c r="WYR147" s="24"/>
      <c r="WYS147" s="24"/>
      <c r="WYT147" s="24"/>
      <c r="WYU147" s="24"/>
      <c r="WYV147" s="24"/>
      <c r="WYW147" s="24"/>
      <c r="WYX147" s="24"/>
      <c r="WYY147" s="24"/>
      <c r="WYZ147" s="24"/>
      <c r="WZA147" s="24"/>
      <c r="WZB147" s="24"/>
      <c r="WZC147" s="24"/>
      <c r="WZD147" s="24"/>
      <c r="WZE147" s="24"/>
      <c r="WZF147" s="24"/>
      <c r="WZG147" s="24"/>
      <c r="WZH147" s="24"/>
      <c r="WZI147" s="24"/>
      <c r="WZJ147" s="24"/>
      <c r="WZK147" s="24"/>
      <c r="WZL147" s="24"/>
      <c r="WZM147" s="24"/>
      <c r="WZN147" s="24"/>
      <c r="WZO147" s="24"/>
      <c r="WZP147" s="24"/>
      <c r="WZQ147" s="24"/>
      <c r="WZR147" s="24"/>
      <c r="WZS147" s="24"/>
      <c r="WZT147" s="24"/>
      <c r="WZU147" s="24"/>
      <c r="WZV147" s="24"/>
      <c r="WZW147" s="24"/>
      <c r="WZX147" s="24"/>
      <c r="WZY147" s="24"/>
      <c r="WZZ147" s="24"/>
      <c r="XAA147" s="24"/>
      <c r="XAB147" s="24"/>
      <c r="XAC147" s="24"/>
      <c r="XAD147" s="24"/>
      <c r="XAE147" s="24"/>
      <c r="XAF147" s="24"/>
      <c r="XAG147" s="24"/>
      <c r="XAH147" s="24"/>
      <c r="XAI147" s="24"/>
      <c r="XAJ147" s="24"/>
      <c r="XAK147" s="24"/>
      <c r="XAL147" s="24"/>
      <c r="XAM147" s="24"/>
      <c r="XAN147" s="24"/>
      <c r="XAO147" s="24"/>
      <c r="XAP147" s="24"/>
      <c r="XAQ147" s="24"/>
      <c r="XAR147" s="24"/>
      <c r="XAS147" s="24"/>
      <c r="XAT147" s="24"/>
      <c r="XAU147" s="24"/>
      <c r="XAV147" s="24"/>
      <c r="XAW147" s="24"/>
      <c r="XAX147" s="24"/>
      <c r="XAY147" s="24"/>
      <c r="XAZ147" s="24"/>
      <c r="XBA147" s="24"/>
      <c r="XBB147" s="24"/>
      <c r="XBC147" s="24"/>
      <c r="XBD147" s="24"/>
      <c r="XBE147" s="24"/>
      <c r="XBF147" s="24"/>
      <c r="XBG147" s="24"/>
      <c r="XBH147" s="24"/>
      <c r="XBI147" s="24"/>
      <c r="XBJ147" s="24"/>
      <c r="XBK147" s="24"/>
      <c r="XBL147" s="24"/>
      <c r="XBM147" s="24"/>
      <c r="XBN147" s="24"/>
      <c r="XBO147" s="24"/>
      <c r="XBP147" s="24"/>
      <c r="XBQ147" s="24"/>
      <c r="XBR147" s="24"/>
      <c r="XBS147" s="24"/>
      <c r="XBT147" s="24"/>
      <c r="XBU147" s="24"/>
      <c r="XBV147" s="24"/>
      <c r="XBW147" s="24"/>
      <c r="XBX147" s="24"/>
      <c r="XBY147" s="24"/>
      <c r="XBZ147" s="24"/>
      <c r="XCA147" s="24"/>
      <c r="XCB147" s="24"/>
      <c r="XCC147" s="24"/>
      <c r="XCD147" s="24"/>
      <c r="XCE147" s="24"/>
      <c r="XCF147" s="24"/>
      <c r="XCG147" s="24"/>
      <c r="XCH147" s="24"/>
      <c r="XCI147" s="24"/>
      <c r="XCJ147" s="24"/>
      <c r="XCK147" s="24"/>
      <c r="XCL147" s="24"/>
      <c r="XCM147" s="24"/>
      <c r="XCN147" s="24"/>
      <c r="XCO147" s="24"/>
      <c r="XCP147" s="24"/>
      <c r="XCQ147" s="24"/>
      <c r="XCR147" s="24"/>
      <c r="XCS147" s="24"/>
      <c r="XCT147" s="24"/>
      <c r="XCU147" s="24"/>
      <c r="XCV147" s="24"/>
      <c r="XCW147" s="24"/>
      <c r="XCX147" s="24"/>
      <c r="XCY147" s="24"/>
      <c r="XCZ147" s="24"/>
      <c r="XDA147" s="24"/>
      <c r="XDB147" s="24"/>
      <c r="XDC147" s="24"/>
      <c r="XDD147" s="24"/>
      <c r="XDE147" s="24"/>
      <c r="XDF147" s="24"/>
      <c r="XDG147" s="24"/>
      <c r="XDH147" s="24"/>
      <c r="XDI147" s="24"/>
      <c r="XDJ147" s="24"/>
      <c r="XDK147" s="24"/>
      <c r="XDL147" s="24"/>
      <c r="XDM147" s="24"/>
      <c r="XDN147" s="24"/>
      <c r="XDO147" s="24"/>
      <c r="XDP147" s="24"/>
      <c r="XDQ147" s="24"/>
      <c r="XDR147" s="24"/>
      <c r="XDS147" s="24"/>
      <c r="XDT147" s="24"/>
      <c r="XDU147" s="24"/>
      <c r="XDV147" s="24"/>
      <c r="XDW147" s="24"/>
      <c r="XDX147" s="24"/>
      <c r="XDY147" s="24"/>
      <c r="XDZ147" s="24"/>
      <c r="XEA147" s="24"/>
      <c r="XEB147" s="24"/>
      <c r="XEC147" s="24"/>
      <c r="XED147" s="24"/>
      <c r="XEE147" s="24"/>
      <c r="XEF147" s="24"/>
      <c r="XEG147" s="24"/>
      <c r="XEH147" s="24"/>
      <c r="XEI147" s="24"/>
      <c r="XEJ147" s="24"/>
      <c r="XEK147" s="24"/>
      <c r="XEL147" s="24"/>
      <c r="XEM147" s="24"/>
      <c r="XEN147" s="24"/>
      <c r="XEO147" s="24"/>
      <c r="XEP147" s="24"/>
      <c r="XEQ147" s="24"/>
      <c r="XER147" s="24"/>
      <c r="XES147" s="24"/>
      <c r="XET147" s="24"/>
      <c r="XEU147" s="24"/>
      <c r="XEV147" s="24"/>
      <c r="XEW147" s="24"/>
      <c r="XEX147" s="24"/>
      <c r="XEY147" s="24"/>
      <c r="XEZ147" s="24"/>
      <c r="XFA147" s="24"/>
      <c r="XFB147" s="24"/>
      <c r="XFC147" s="24"/>
      <c r="XFD147" s="24"/>
    </row>
    <row r="148" spans="1:16384" s="144" customFormat="1" ht="12.75" x14ac:dyDescent="0.25">
      <c r="A148" s="138"/>
      <c r="B148" s="135"/>
      <c r="C148" s="135"/>
      <c r="D148" s="135"/>
      <c r="E148" s="135"/>
      <c r="F148" s="135"/>
      <c r="G148" s="135"/>
      <c r="H148" s="135"/>
      <c r="I148" s="135"/>
      <c r="J148" s="136"/>
      <c r="K148" s="136"/>
      <c r="L148" s="136"/>
      <c r="M148" s="136"/>
      <c r="N148" s="136"/>
      <c r="O148" s="135"/>
      <c r="P148" s="135"/>
      <c r="Q148" s="135"/>
      <c r="R148" s="138"/>
      <c r="S148" s="135"/>
      <c r="T148" s="135"/>
      <c r="U148" s="135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  <c r="IZ148" s="22"/>
      <c r="JA148" s="22"/>
      <c r="JB148" s="22"/>
      <c r="JC148" s="22"/>
      <c r="JD148" s="22"/>
      <c r="JE148" s="22"/>
      <c r="JF148" s="22"/>
      <c r="JG148" s="22"/>
      <c r="JH148" s="22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2"/>
      <c r="LK148" s="22"/>
      <c r="LL148" s="22"/>
      <c r="LM148" s="22"/>
      <c r="LN148" s="22"/>
      <c r="LO148" s="22"/>
      <c r="LP148" s="22"/>
      <c r="LQ148" s="22"/>
      <c r="LR148" s="22"/>
      <c r="LS148" s="22"/>
      <c r="LT148" s="22"/>
      <c r="LU148" s="22"/>
      <c r="LV148" s="22"/>
      <c r="LW148" s="22"/>
      <c r="LX148" s="22"/>
      <c r="LY148" s="22"/>
      <c r="LZ148" s="22"/>
      <c r="MA148" s="22"/>
      <c r="MB148" s="22"/>
      <c r="MC148" s="22"/>
      <c r="MD148" s="22"/>
      <c r="ME148" s="22"/>
      <c r="MF148" s="22"/>
      <c r="MG148" s="22"/>
      <c r="MH148" s="22"/>
      <c r="MI148" s="22"/>
      <c r="MJ148" s="22"/>
      <c r="MK148" s="22"/>
      <c r="ML148" s="22"/>
      <c r="MM148" s="22"/>
      <c r="MN148" s="22"/>
      <c r="MO148" s="22"/>
      <c r="MP148" s="22"/>
      <c r="MQ148" s="22"/>
      <c r="MR148" s="22"/>
      <c r="MS148" s="22"/>
      <c r="MT148" s="22"/>
      <c r="MU148" s="22"/>
      <c r="MV148" s="22"/>
      <c r="MW148" s="22"/>
      <c r="MX148" s="22"/>
      <c r="MY148" s="22"/>
      <c r="MZ148" s="22"/>
      <c r="NA148" s="22"/>
      <c r="NB148" s="22"/>
      <c r="NC148" s="22"/>
      <c r="ND148" s="22"/>
      <c r="NE148" s="22"/>
      <c r="NF148" s="22"/>
      <c r="NG148" s="22"/>
      <c r="NH148" s="22"/>
      <c r="NI148" s="22"/>
      <c r="NJ148" s="22"/>
      <c r="NK148" s="22"/>
      <c r="NL148" s="22"/>
      <c r="NM148" s="22"/>
      <c r="NN148" s="22"/>
      <c r="NO148" s="22"/>
      <c r="NP148" s="22"/>
      <c r="NQ148" s="22"/>
      <c r="NR148" s="22"/>
      <c r="NS148" s="22"/>
      <c r="NT148" s="22"/>
      <c r="NU148" s="22"/>
      <c r="NV148" s="22"/>
      <c r="NW148" s="22"/>
      <c r="NX148" s="22"/>
      <c r="NY148" s="22"/>
      <c r="NZ148" s="22"/>
      <c r="OA148" s="22"/>
      <c r="OB148" s="22"/>
      <c r="OC148" s="22"/>
      <c r="OD148" s="22"/>
      <c r="OE148" s="22"/>
      <c r="OF148" s="22"/>
      <c r="OG148" s="22"/>
      <c r="OH148" s="22"/>
      <c r="OI148" s="22"/>
      <c r="OJ148" s="22"/>
      <c r="OK148" s="22"/>
      <c r="OL148" s="22"/>
      <c r="OM148" s="22"/>
      <c r="ON148" s="22"/>
      <c r="OO148" s="22"/>
      <c r="OP148" s="22"/>
      <c r="OQ148" s="22"/>
      <c r="OR148" s="22"/>
      <c r="OS148" s="22"/>
      <c r="OT148" s="22"/>
      <c r="OU148" s="22"/>
      <c r="OV148" s="22"/>
      <c r="OW148" s="22"/>
      <c r="OX148" s="22"/>
      <c r="OY148" s="22"/>
      <c r="OZ148" s="22"/>
      <c r="PA148" s="22"/>
      <c r="PB148" s="22"/>
      <c r="PC148" s="22"/>
      <c r="PD148" s="22"/>
      <c r="PE148" s="22"/>
      <c r="PF148" s="22"/>
      <c r="PG148" s="22"/>
      <c r="PH148" s="22"/>
      <c r="PI148" s="22"/>
      <c r="PJ148" s="22"/>
      <c r="PK148" s="22"/>
      <c r="PL148" s="22"/>
      <c r="PM148" s="22"/>
      <c r="PN148" s="22"/>
      <c r="PO148" s="22"/>
      <c r="PP148" s="22"/>
      <c r="PQ148" s="22"/>
      <c r="PR148" s="22"/>
      <c r="PS148" s="22"/>
      <c r="PT148" s="22"/>
      <c r="PU148" s="22"/>
      <c r="PV148" s="22"/>
      <c r="PW148" s="22"/>
      <c r="PX148" s="22"/>
      <c r="PY148" s="22"/>
      <c r="PZ148" s="22"/>
      <c r="QA148" s="22"/>
      <c r="QB148" s="22"/>
      <c r="QC148" s="22"/>
      <c r="QD148" s="22"/>
      <c r="QE148" s="22"/>
      <c r="QF148" s="22"/>
      <c r="QG148" s="22"/>
      <c r="QH148" s="22"/>
      <c r="QI148" s="22"/>
      <c r="QJ148" s="22"/>
      <c r="QK148" s="22"/>
      <c r="QL148" s="22"/>
      <c r="QM148" s="22"/>
      <c r="QN148" s="22"/>
      <c r="QO148" s="22"/>
      <c r="QP148" s="22"/>
      <c r="QQ148" s="22"/>
      <c r="QR148" s="22"/>
      <c r="QS148" s="22"/>
      <c r="QT148" s="22"/>
      <c r="QU148" s="22"/>
      <c r="QV148" s="22"/>
      <c r="QW148" s="22"/>
      <c r="QX148" s="22"/>
      <c r="QY148" s="22"/>
      <c r="QZ148" s="22"/>
      <c r="RA148" s="22"/>
      <c r="RB148" s="22"/>
      <c r="RC148" s="22"/>
      <c r="RD148" s="22"/>
      <c r="RE148" s="22"/>
      <c r="RF148" s="22"/>
      <c r="RG148" s="22"/>
      <c r="RH148" s="22"/>
      <c r="RI148" s="22"/>
      <c r="RJ148" s="22"/>
      <c r="RK148" s="22"/>
      <c r="RL148" s="22"/>
      <c r="RM148" s="22"/>
      <c r="RN148" s="22"/>
      <c r="RO148" s="22"/>
      <c r="RP148" s="22"/>
      <c r="RQ148" s="22"/>
      <c r="RR148" s="22"/>
      <c r="RS148" s="22"/>
      <c r="RT148" s="22"/>
      <c r="RU148" s="22"/>
      <c r="RV148" s="22"/>
      <c r="RW148" s="22"/>
      <c r="RX148" s="22"/>
      <c r="RY148" s="22"/>
      <c r="RZ148" s="22"/>
      <c r="SA148" s="22"/>
      <c r="SB148" s="22"/>
      <c r="SC148" s="22"/>
      <c r="SD148" s="22"/>
      <c r="SE148" s="22"/>
      <c r="SF148" s="22"/>
      <c r="SG148" s="22"/>
      <c r="SH148" s="22"/>
      <c r="SI148" s="22"/>
      <c r="SJ148" s="22"/>
      <c r="SK148" s="22"/>
      <c r="SL148" s="22"/>
      <c r="SM148" s="22"/>
      <c r="SN148" s="22"/>
      <c r="SO148" s="22"/>
      <c r="SP148" s="22"/>
      <c r="SQ148" s="22"/>
      <c r="SR148" s="22"/>
      <c r="SS148" s="22"/>
      <c r="ST148" s="22"/>
      <c r="SU148" s="22"/>
      <c r="SV148" s="22"/>
      <c r="SW148" s="22"/>
      <c r="SX148" s="22"/>
      <c r="SY148" s="22"/>
      <c r="SZ148" s="22"/>
      <c r="TA148" s="22"/>
      <c r="TB148" s="22"/>
      <c r="TC148" s="22"/>
      <c r="TD148" s="22"/>
      <c r="TE148" s="22"/>
      <c r="TF148" s="22"/>
      <c r="TG148" s="22"/>
      <c r="TH148" s="22"/>
      <c r="TI148" s="22"/>
      <c r="TJ148" s="22"/>
      <c r="TK148" s="22"/>
      <c r="TL148" s="22"/>
      <c r="TM148" s="22"/>
      <c r="TN148" s="22"/>
      <c r="TO148" s="22"/>
      <c r="TP148" s="22"/>
      <c r="TQ148" s="22"/>
      <c r="TR148" s="22"/>
      <c r="TS148" s="22"/>
      <c r="TT148" s="22"/>
      <c r="TU148" s="22"/>
      <c r="TV148" s="22"/>
      <c r="TW148" s="22"/>
      <c r="TX148" s="22"/>
      <c r="TY148" s="22"/>
      <c r="TZ148" s="22"/>
      <c r="UA148" s="22"/>
      <c r="UB148" s="22"/>
      <c r="UC148" s="22"/>
      <c r="UD148" s="22"/>
      <c r="UE148" s="22"/>
      <c r="UF148" s="22"/>
      <c r="UG148" s="22"/>
      <c r="UH148" s="22"/>
      <c r="UI148" s="22"/>
      <c r="UJ148" s="22"/>
      <c r="UK148" s="22"/>
      <c r="UL148" s="22"/>
      <c r="UM148" s="22"/>
      <c r="UN148" s="22"/>
      <c r="UO148" s="22"/>
      <c r="UP148" s="22"/>
      <c r="UQ148" s="22"/>
      <c r="UR148" s="22"/>
      <c r="US148" s="22"/>
      <c r="UT148" s="22"/>
      <c r="UU148" s="22"/>
      <c r="UV148" s="22"/>
      <c r="UW148" s="22"/>
      <c r="UX148" s="22"/>
      <c r="UY148" s="22"/>
      <c r="UZ148" s="22"/>
      <c r="VA148" s="22"/>
      <c r="VB148" s="22"/>
      <c r="VC148" s="22"/>
      <c r="VD148" s="22"/>
      <c r="VE148" s="22"/>
      <c r="VF148" s="22"/>
      <c r="VG148" s="22"/>
      <c r="VH148" s="22"/>
      <c r="VI148" s="22"/>
      <c r="VJ148" s="22"/>
      <c r="VK148" s="22"/>
      <c r="VL148" s="22"/>
      <c r="VM148" s="22"/>
      <c r="VN148" s="22"/>
      <c r="VO148" s="22"/>
      <c r="VP148" s="22"/>
      <c r="VQ148" s="22"/>
      <c r="VR148" s="22"/>
      <c r="VS148" s="22"/>
      <c r="VT148" s="22"/>
      <c r="VU148" s="22"/>
      <c r="VV148" s="22"/>
      <c r="VW148" s="22"/>
      <c r="VX148" s="22"/>
      <c r="VY148" s="22"/>
      <c r="VZ148" s="22"/>
      <c r="WA148" s="22"/>
      <c r="WB148" s="22"/>
      <c r="WC148" s="22"/>
      <c r="WD148" s="22"/>
      <c r="WE148" s="22"/>
      <c r="WF148" s="22"/>
      <c r="WG148" s="22"/>
      <c r="WH148" s="22"/>
      <c r="WI148" s="22"/>
      <c r="WJ148" s="22"/>
      <c r="WK148" s="22"/>
      <c r="WL148" s="22"/>
      <c r="WM148" s="22"/>
      <c r="WN148" s="22"/>
      <c r="WO148" s="22"/>
      <c r="WP148" s="22"/>
      <c r="WQ148" s="22"/>
      <c r="WR148" s="22"/>
      <c r="WS148" s="22"/>
      <c r="WT148" s="22"/>
      <c r="WU148" s="22"/>
      <c r="WV148" s="22"/>
      <c r="WW148" s="22"/>
      <c r="WX148" s="22"/>
      <c r="WY148" s="22"/>
      <c r="WZ148" s="22"/>
      <c r="XA148" s="22"/>
      <c r="XB148" s="22"/>
      <c r="XC148" s="22"/>
      <c r="XD148" s="22"/>
      <c r="XE148" s="22"/>
      <c r="XF148" s="22"/>
      <c r="XG148" s="22"/>
      <c r="XH148" s="22"/>
      <c r="XI148" s="22"/>
      <c r="XJ148" s="22"/>
      <c r="XK148" s="22"/>
      <c r="XL148" s="22"/>
      <c r="XM148" s="22"/>
      <c r="XN148" s="22"/>
      <c r="XO148" s="22"/>
      <c r="XP148" s="22"/>
      <c r="XQ148" s="22"/>
      <c r="XR148" s="22"/>
      <c r="XS148" s="22"/>
      <c r="XT148" s="22"/>
      <c r="XU148" s="22"/>
      <c r="XV148" s="22"/>
      <c r="XW148" s="22"/>
      <c r="XX148" s="22"/>
      <c r="XY148" s="22"/>
      <c r="XZ148" s="22"/>
      <c r="YA148" s="22"/>
      <c r="YB148" s="22"/>
      <c r="YC148" s="22"/>
      <c r="YD148" s="22"/>
      <c r="YE148" s="22"/>
      <c r="YF148" s="22"/>
      <c r="YG148" s="22"/>
      <c r="YH148" s="22"/>
      <c r="YI148" s="22"/>
      <c r="YJ148" s="22"/>
      <c r="YK148" s="22"/>
      <c r="YL148" s="22"/>
      <c r="YM148" s="22"/>
      <c r="YN148" s="22"/>
      <c r="YO148" s="22"/>
      <c r="YP148" s="22"/>
      <c r="YQ148" s="22"/>
      <c r="YR148" s="22"/>
      <c r="YS148" s="22"/>
      <c r="YT148" s="22"/>
      <c r="YU148" s="22"/>
      <c r="YV148" s="22"/>
      <c r="YW148" s="22"/>
      <c r="YX148" s="22"/>
      <c r="YY148" s="22"/>
      <c r="YZ148" s="22"/>
      <c r="ZA148" s="22"/>
      <c r="ZB148" s="22"/>
      <c r="ZC148" s="22"/>
      <c r="ZD148" s="22"/>
      <c r="ZE148" s="22"/>
      <c r="ZF148" s="22"/>
      <c r="ZG148" s="22"/>
      <c r="ZH148" s="22"/>
      <c r="ZI148" s="22"/>
      <c r="ZJ148" s="22"/>
      <c r="ZK148" s="22"/>
      <c r="ZL148" s="22"/>
      <c r="ZM148" s="22"/>
      <c r="ZN148" s="22"/>
      <c r="ZO148" s="22"/>
      <c r="ZP148" s="22"/>
      <c r="ZQ148" s="22"/>
      <c r="ZR148" s="22"/>
      <c r="ZS148" s="22"/>
      <c r="ZT148" s="22"/>
      <c r="ZU148" s="22"/>
      <c r="ZV148" s="22"/>
      <c r="ZW148" s="22"/>
      <c r="ZX148" s="22"/>
      <c r="ZY148" s="22"/>
      <c r="ZZ148" s="22"/>
      <c r="AAA148" s="22"/>
      <c r="AAB148" s="22"/>
      <c r="AAC148" s="22"/>
      <c r="AAD148" s="22"/>
      <c r="AAE148" s="22"/>
      <c r="AAF148" s="22"/>
      <c r="AAG148" s="22"/>
      <c r="AAH148" s="22"/>
      <c r="AAI148" s="22"/>
      <c r="AAJ148" s="22"/>
      <c r="AAK148" s="22"/>
      <c r="AAL148" s="22"/>
      <c r="AAM148" s="22"/>
      <c r="AAN148" s="22"/>
      <c r="AAO148" s="22"/>
      <c r="AAP148" s="22"/>
      <c r="AAQ148" s="22"/>
      <c r="AAR148" s="22"/>
      <c r="AAS148" s="22"/>
      <c r="AAT148" s="22"/>
      <c r="AAU148" s="22"/>
      <c r="AAV148" s="22"/>
      <c r="AAW148" s="22"/>
      <c r="AAX148" s="22"/>
      <c r="AAY148" s="22"/>
      <c r="AAZ148" s="22"/>
      <c r="ABA148" s="22"/>
      <c r="ABB148" s="22"/>
      <c r="ABC148" s="22"/>
      <c r="ABD148" s="22"/>
      <c r="ABE148" s="22"/>
      <c r="ABF148" s="22"/>
      <c r="ABG148" s="22"/>
      <c r="ABH148" s="22"/>
      <c r="ABI148" s="22"/>
      <c r="ABJ148" s="22"/>
      <c r="ABK148" s="22"/>
      <c r="ABL148" s="22"/>
      <c r="ABM148" s="22"/>
      <c r="ABN148" s="22"/>
      <c r="ABO148" s="22"/>
      <c r="ABP148" s="22"/>
      <c r="ABQ148" s="22"/>
      <c r="ABR148" s="22"/>
      <c r="ABS148" s="22"/>
      <c r="ABT148" s="22"/>
      <c r="ABU148" s="22"/>
      <c r="ABV148" s="22"/>
      <c r="ABW148" s="22"/>
      <c r="ABX148" s="22"/>
      <c r="ABY148" s="22"/>
      <c r="ABZ148" s="22"/>
      <c r="ACA148" s="22"/>
      <c r="ACB148" s="22"/>
      <c r="ACC148" s="22"/>
      <c r="ACD148" s="22"/>
      <c r="ACE148" s="22"/>
      <c r="ACF148" s="22"/>
      <c r="ACG148" s="22"/>
      <c r="ACH148" s="22"/>
      <c r="ACI148" s="22"/>
      <c r="ACJ148" s="22"/>
      <c r="ACK148" s="22"/>
      <c r="ACL148" s="22"/>
      <c r="ACM148" s="22"/>
      <c r="ACN148" s="22"/>
      <c r="ACO148" s="22"/>
      <c r="ACP148" s="22"/>
      <c r="ACQ148" s="22"/>
      <c r="ACR148" s="22"/>
      <c r="ACS148" s="22"/>
      <c r="ACT148" s="22"/>
      <c r="ACU148" s="22"/>
      <c r="ACV148" s="22"/>
      <c r="ACW148" s="22"/>
      <c r="ACX148" s="22"/>
      <c r="ACY148" s="22"/>
      <c r="ACZ148" s="22"/>
      <c r="ADA148" s="22"/>
      <c r="ADB148" s="22"/>
      <c r="ADC148" s="22"/>
      <c r="ADD148" s="22"/>
      <c r="ADE148" s="22"/>
      <c r="ADF148" s="22"/>
      <c r="ADG148" s="22"/>
      <c r="ADH148" s="22"/>
      <c r="ADI148" s="22"/>
      <c r="ADJ148" s="22"/>
      <c r="ADK148" s="22"/>
      <c r="ADL148" s="22"/>
      <c r="ADM148" s="22"/>
      <c r="ADN148" s="22"/>
      <c r="ADO148" s="22"/>
      <c r="ADP148" s="22"/>
      <c r="ADQ148" s="22"/>
      <c r="ADR148" s="22"/>
      <c r="ADS148" s="22"/>
      <c r="ADT148" s="22"/>
      <c r="ADU148" s="22"/>
      <c r="ADV148" s="22"/>
      <c r="ADW148" s="22"/>
      <c r="ADX148" s="22"/>
      <c r="ADY148" s="22"/>
      <c r="ADZ148" s="22"/>
      <c r="AEA148" s="22"/>
      <c r="AEB148" s="22"/>
      <c r="AEC148" s="22"/>
      <c r="AED148" s="22"/>
      <c r="AEE148" s="22"/>
      <c r="AEF148" s="22"/>
      <c r="AEG148" s="22"/>
      <c r="AEH148" s="22"/>
      <c r="AEI148" s="22"/>
      <c r="AEJ148" s="22"/>
      <c r="AEK148" s="22"/>
      <c r="AEL148" s="22"/>
      <c r="AEM148" s="22"/>
      <c r="AEN148" s="22"/>
      <c r="AEO148" s="22"/>
      <c r="AEP148" s="22"/>
      <c r="AEQ148" s="22"/>
      <c r="AER148" s="22"/>
      <c r="AES148" s="22"/>
      <c r="AET148" s="22"/>
      <c r="AEU148" s="22"/>
      <c r="AEV148" s="22"/>
      <c r="AEW148" s="22"/>
      <c r="AEX148" s="22"/>
      <c r="AEY148" s="22"/>
      <c r="AEZ148" s="22"/>
      <c r="AFA148" s="22"/>
      <c r="AFB148" s="22"/>
      <c r="AFC148" s="22"/>
      <c r="AFD148" s="22"/>
      <c r="AFE148" s="22"/>
      <c r="AFF148" s="22"/>
      <c r="AFG148" s="22"/>
      <c r="AFH148" s="22"/>
      <c r="AFI148" s="22"/>
      <c r="AFJ148" s="22"/>
      <c r="AFK148" s="22"/>
      <c r="AFL148" s="22"/>
      <c r="AFM148" s="22"/>
      <c r="AFN148" s="22"/>
      <c r="AFO148" s="22"/>
      <c r="AFP148" s="22"/>
      <c r="AFQ148" s="22"/>
      <c r="AFR148" s="22"/>
      <c r="AFS148" s="22"/>
      <c r="AFT148" s="22"/>
      <c r="AFU148" s="22"/>
      <c r="AFV148" s="22"/>
      <c r="AFW148" s="22"/>
      <c r="AFX148" s="22"/>
      <c r="AFY148" s="22"/>
      <c r="AFZ148" s="22"/>
      <c r="AGA148" s="22"/>
      <c r="AGB148" s="22"/>
      <c r="AGC148" s="22"/>
      <c r="AGD148" s="22"/>
      <c r="AGE148" s="22"/>
      <c r="AGF148" s="22"/>
      <c r="AGG148" s="22"/>
      <c r="AGH148" s="22"/>
      <c r="AGI148" s="22"/>
      <c r="AGJ148" s="22"/>
      <c r="AGK148" s="22"/>
      <c r="AGL148" s="22"/>
      <c r="AGM148" s="22"/>
      <c r="AGN148" s="22"/>
      <c r="AGO148" s="22"/>
      <c r="AGP148" s="22"/>
      <c r="AGQ148" s="22"/>
      <c r="AGR148" s="22"/>
      <c r="AGS148" s="22"/>
      <c r="AGT148" s="22"/>
      <c r="AGU148" s="22"/>
      <c r="AGV148" s="22"/>
      <c r="AGW148" s="22"/>
      <c r="AGX148" s="22"/>
      <c r="AGY148" s="22"/>
      <c r="AGZ148" s="22"/>
      <c r="AHA148" s="22"/>
      <c r="AHB148" s="22"/>
      <c r="AHC148" s="22"/>
      <c r="AHD148" s="22"/>
      <c r="AHE148" s="22"/>
      <c r="AHF148" s="22"/>
      <c r="AHG148" s="22"/>
      <c r="AHH148" s="22"/>
      <c r="AHI148" s="22"/>
      <c r="AHJ148" s="22"/>
      <c r="AHK148" s="22"/>
      <c r="AHL148" s="22"/>
      <c r="AHM148" s="22"/>
      <c r="AHN148" s="22"/>
      <c r="AHO148" s="22"/>
      <c r="AHP148" s="22"/>
      <c r="AHQ148" s="22"/>
      <c r="AHR148" s="22"/>
      <c r="AHS148" s="22"/>
      <c r="AHT148" s="22"/>
      <c r="AHU148" s="22"/>
      <c r="AHV148" s="22"/>
      <c r="AHW148" s="22"/>
      <c r="AHX148" s="22"/>
      <c r="AHY148" s="22"/>
      <c r="AHZ148" s="22"/>
      <c r="AIA148" s="22"/>
      <c r="AIB148" s="22"/>
      <c r="AIC148" s="22"/>
      <c r="AID148" s="22"/>
      <c r="AIE148" s="22"/>
      <c r="AIF148" s="22"/>
      <c r="AIG148" s="22"/>
      <c r="AIH148" s="22"/>
      <c r="AII148" s="22"/>
      <c r="AIJ148" s="22"/>
      <c r="AIK148" s="22"/>
      <c r="AIL148" s="22"/>
      <c r="AIM148" s="22"/>
      <c r="AIN148" s="22"/>
      <c r="AIO148" s="22"/>
      <c r="AIP148" s="22"/>
      <c r="AIQ148" s="22"/>
      <c r="AIR148" s="22"/>
      <c r="AIS148" s="22"/>
      <c r="AIT148" s="22"/>
      <c r="AIU148" s="22"/>
      <c r="AIV148" s="22"/>
      <c r="AIW148" s="22"/>
      <c r="AIX148" s="22"/>
      <c r="AIY148" s="22"/>
      <c r="AIZ148" s="22"/>
      <c r="AJA148" s="22"/>
      <c r="AJB148" s="22"/>
      <c r="AJC148" s="22"/>
      <c r="AJD148" s="22"/>
      <c r="AJE148" s="22"/>
      <c r="AJF148" s="22"/>
      <c r="AJG148" s="22"/>
      <c r="AJH148" s="22"/>
      <c r="AJI148" s="22"/>
      <c r="AJJ148" s="22"/>
      <c r="AJK148" s="22"/>
      <c r="AJL148" s="22"/>
      <c r="AJM148" s="22"/>
      <c r="AJN148" s="22"/>
      <c r="AJO148" s="22"/>
      <c r="AJP148" s="22"/>
      <c r="AJQ148" s="22"/>
      <c r="AJR148" s="22"/>
      <c r="AJS148" s="22"/>
      <c r="AJT148" s="22"/>
      <c r="AJU148" s="22"/>
      <c r="AJV148" s="22"/>
      <c r="AJW148" s="22"/>
      <c r="AJX148" s="22"/>
      <c r="AJY148" s="22"/>
      <c r="AJZ148" s="22"/>
      <c r="AKA148" s="22"/>
      <c r="AKB148" s="22"/>
      <c r="AKC148" s="22"/>
      <c r="AKD148" s="22"/>
      <c r="AKE148" s="22"/>
      <c r="AKF148" s="22"/>
      <c r="AKG148" s="22"/>
      <c r="AKH148" s="22"/>
      <c r="AKI148" s="22"/>
      <c r="AKJ148" s="22"/>
      <c r="AKK148" s="22"/>
      <c r="AKL148" s="22"/>
      <c r="AKM148" s="22"/>
      <c r="AKN148" s="22"/>
      <c r="AKO148" s="22"/>
      <c r="AKP148" s="22"/>
      <c r="AKQ148" s="22"/>
      <c r="AKR148" s="22"/>
      <c r="AKS148" s="22"/>
      <c r="AKT148" s="22"/>
      <c r="AKU148" s="22"/>
      <c r="AKV148" s="22"/>
      <c r="AKW148" s="22"/>
      <c r="AKX148" s="22"/>
      <c r="AKY148" s="22"/>
      <c r="AKZ148" s="22"/>
      <c r="ALA148" s="22"/>
      <c r="ALB148" s="22"/>
      <c r="ALC148" s="22"/>
      <c r="ALD148" s="22"/>
      <c r="ALE148" s="22"/>
      <c r="ALF148" s="22"/>
      <c r="ALG148" s="22"/>
      <c r="ALH148" s="22"/>
      <c r="ALI148" s="22"/>
      <c r="ALJ148" s="22"/>
      <c r="ALK148" s="22"/>
      <c r="ALL148" s="22"/>
      <c r="ALM148" s="22"/>
      <c r="ALN148" s="22"/>
      <c r="ALO148" s="22"/>
      <c r="ALP148" s="22"/>
      <c r="ALQ148" s="22"/>
      <c r="ALR148" s="22"/>
      <c r="ALS148" s="22"/>
      <c r="ALT148" s="22"/>
      <c r="ALU148" s="22"/>
      <c r="ALV148" s="22"/>
      <c r="ALW148" s="22"/>
      <c r="ALX148" s="22"/>
      <c r="ALY148" s="22"/>
      <c r="ALZ148" s="22"/>
      <c r="AMA148" s="22"/>
      <c r="AMB148" s="22"/>
      <c r="AMC148" s="22"/>
      <c r="AMD148" s="22"/>
      <c r="AME148" s="22"/>
      <c r="AMF148" s="22"/>
      <c r="AMG148" s="22"/>
      <c r="AMH148" s="22"/>
      <c r="AMI148" s="22"/>
      <c r="AMJ148" s="22"/>
      <c r="AMK148" s="22"/>
      <c r="AML148" s="22"/>
      <c r="AMM148" s="22"/>
      <c r="AMN148" s="22"/>
      <c r="AMO148" s="22"/>
      <c r="AMP148" s="22"/>
      <c r="AMQ148" s="22"/>
      <c r="AMR148" s="22"/>
      <c r="AMS148" s="22"/>
      <c r="AMT148" s="22"/>
      <c r="AMU148" s="22"/>
      <c r="AMV148" s="22"/>
      <c r="AMW148" s="22"/>
      <c r="AMX148" s="22"/>
      <c r="AMY148" s="22"/>
      <c r="AMZ148" s="22"/>
      <c r="ANA148" s="22"/>
      <c r="ANB148" s="22"/>
      <c r="ANC148" s="22"/>
      <c r="AND148" s="22"/>
      <c r="ANE148" s="22"/>
      <c r="ANF148" s="22"/>
      <c r="ANG148" s="22"/>
      <c r="ANH148" s="22"/>
      <c r="ANI148" s="22"/>
      <c r="ANJ148" s="22"/>
      <c r="ANK148" s="22"/>
      <c r="ANL148" s="22"/>
      <c r="ANM148" s="22"/>
      <c r="ANN148" s="22"/>
      <c r="ANO148" s="22"/>
      <c r="ANP148" s="22"/>
      <c r="ANQ148" s="22"/>
      <c r="ANR148" s="22"/>
      <c r="ANS148" s="22"/>
      <c r="ANT148" s="22"/>
      <c r="ANU148" s="22"/>
      <c r="ANV148" s="22"/>
      <c r="ANW148" s="22"/>
      <c r="ANX148" s="22"/>
      <c r="ANY148" s="22"/>
      <c r="ANZ148" s="22"/>
      <c r="AOA148" s="22"/>
      <c r="AOB148" s="22"/>
      <c r="AOC148" s="22"/>
      <c r="AOD148" s="22"/>
      <c r="AOE148" s="22"/>
      <c r="AOF148" s="22"/>
      <c r="AOG148" s="22"/>
      <c r="AOH148" s="22"/>
      <c r="AOI148" s="22"/>
      <c r="AOJ148" s="22"/>
      <c r="AOK148" s="22"/>
      <c r="AOL148" s="22"/>
      <c r="AOM148" s="22"/>
      <c r="AON148" s="22"/>
      <c r="AOO148" s="22"/>
      <c r="AOP148" s="22"/>
      <c r="AOQ148" s="22"/>
      <c r="AOR148" s="22"/>
      <c r="AOS148" s="22"/>
      <c r="AOT148" s="22"/>
      <c r="AOU148" s="22"/>
      <c r="AOV148" s="22"/>
      <c r="AOW148" s="22"/>
      <c r="AOX148" s="22"/>
      <c r="AOY148" s="22"/>
      <c r="AOZ148" s="22"/>
      <c r="APA148" s="22"/>
      <c r="APB148" s="22"/>
      <c r="APC148" s="22"/>
      <c r="APD148" s="22"/>
      <c r="APE148" s="22"/>
      <c r="APF148" s="22"/>
      <c r="APG148" s="22"/>
      <c r="APH148" s="22"/>
      <c r="API148" s="22"/>
      <c r="APJ148" s="22"/>
      <c r="APK148" s="22"/>
      <c r="APL148" s="22"/>
      <c r="APM148" s="22"/>
      <c r="APN148" s="22"/>
      <c r="APO148" s="22"/>
      <c r="APP148" s="22"/>
      <c r="APQ148" s="22"/>
      <c r="APR148" s="22"/>
      <c r="APS148" s="22"/>
      <c r="APT148" s="22"/>
      <c r="APU148" s="22"/>
      <c r="APV148" s="22"/>
      <c r="APW148" s="22"/>
      <c r="APX148" s="22"/>
      <c r="APY148" s="22"/>
      <c r="APZ148" s="22"/>
      <c r="AQA148" s="22"/>
      <c r="AQB148" s="22"/>
      <c r="AQC148" s="22"/>
      <c r="AQD148" s="22"/>
      <c r="AQE148" s="22"/>
      <c r="AQF148" s="22"/>
      <c r="AQG148" s="22"/>
      <c r="AQH148" s="22"/>
      <c r="AQI148" s="22"/>
      <c r="AQJ148" s="22"/>
      <c r="AQK148" s="22"/>
      <c r="AQL148" s="22"/>
      <c r="AQM148" s="22"/>
      <c r="AQN148" s="22"/>
      <c r="AQO148" s="22"/>
      <c r="AQP148" s="22"/>
      <c r="AQQ148" s="22"/>
      <c r="AQR148" s="22"/>
      <c r="AQS148" s="22"/>
      <c r="AQT148" s="22"/>
      <c r="AQU148" s="22"/>
      <c r="AQV148" s="22"/>
      <c r="AQW148" s="22"/>
      <c r="AQX148" s="22"/>
      <c r="AQY148" s="22"/>
      <c r="AQZ148" s="22"/>
      <c r="ARA148" s="22"/>
      <c r="ARB148" s="22"/>
      <c r="ARC148" s="22"/>
      <c r="ARD148" s="22"/>
      <c r="ARE148" s="22"/>
      <c r="ARF148" s="22"/>
      <c r="ARG148" s="22"/>
      <c r="ARH148" s="22"/>
      <c r="ARI148" s="22"/>
      <c r="ARJ148" s="22"/>
      <c r="ARK148" s="22"/>
      <c r="ARL148" s="22"/>
      <c r="ARM148" s="22"/>
      <c r="ARN148" s="22"/>
      <c r="ARO148" s="22"/>
      <c r="ARP148" s="22"/>
      <c r="ARQ148" s="22"/>
      <c r="ARR148" s="22"/>
      <c r="ARS148" s="22"/>
      <c r="ART148" s="22"/>
      <c r="ARU148" s="22"/>
      <c r="ARV148" s="22"/>
      <c r="ARW148" s="22"/>
      <c r="ARX148" s="22"/>
      <c r="ARY148" s="22"/>
      <c r="ARZ148" s="22"/>
      <c r="ASA148" s="22"/>
      <c r="ASB148" s="22"/>
      <c r="ASC148" s="22"/>
      <c r="ASD148" s="22"/>
      <c r="ASE148" s="22"/>
      <c r="ASF148" s="22"/>
      <c r="ASG148" s="22"/>
      <c r="ASH148" s="22"/>
      <c r="ASI148" s="22"/>
      <c r="ASJ148" s="22"/>
      <c r="ASK148" s="22"/>
      <c r="ASL148" s="22"/>
      <c r="ASM148" s="22"/>
      <c r="ASN148" s="22"/>
      <c r="ASO148" s="22"/>
      <c r="ASP148" s="22"/>
      <c r="ASQ148" s="22"/>
      <c r="ASR148" s="22"/>
      <c r="ASS148" s="22"/>
      <c r="AST148" s="22"/>
      <c r="ASU148" s="22"/>
      <c r="ASV148" s="22"/>
      <c r="ASW148" s="22"/>
      <c r="ASX148" s="22"/>
      <c r="ASY148" s="22"/>
      <c r="ASZ148" s="22"/>
      <c r="ATA148" s="22"/>
      <c r="ATB148" s="22"/>
      <c r="ATC148" s="22"/>
      <c r="ATD148" s="22"/>
      <c r="ATE148" s="22"/>
      <c r="ATF148" s="22"/>
      <c r="ATG148" s="22"/>
      <c r="ATH148" s="22"/>
      <c r="ATI148" s="22"/>
      <c r="ATJ148" s="22"/>
      <c r="ATK148" s="22"/>
      <c r="ATL148" s="22"/>
      <c r="ATM148" s="22"/>
      <c r="ATN148" s="22"/>
      <c r="ATO148" s="22"/>
      <c r="ATP148" s="22"/>
      <c r="ATQ148" s="22"/>
      <c r="ATR148" s="22"/>
      <c r="ATS148" s="22"/>
      <c r="ATT148" s="22"/>
      <c r="ATU148" s="22"/>
      <c r="ATV148" s="22"/>
      <c r="ATW148" s="22"/>
      <c r="ATX148" s="22"/>
      <c r="ATY148" s="22"/>
      <c r="ATZ148" s="22"/>
      <c r="AUA148" s="22"/>
      <c r="AUB148" s="22"/>
      <c r="AUC148" s="22"/>
      <c r="AUD148" s="22"/>
      <c r="AUE148" s="22"/>
      <c r="AUF148" s="22"/>
      <c r="AUG148" s="22"/>
      <c r="AUH148" s="22"/>
      <c r="AUI148" s="22"/>
      <c r="AUJ148" s="22"/>
      <c r="AUK148" s="22"/>
      <c r="AUL148" s="22"/>
      <c r="AUM148" s="22"/>
      <c r="AUN148" s="22"/>
      <c r="AUO148" s="22"/>
      <c r="AUP148" s="22"/>
      <c r="AUQ148" s="22"/>
      <c r="AUR148" s="22"/>
      <c r="AUS148" s="22"/>
      <c r="AUT148" s="22"/>
      <c r="AUU148" s="22"/>
      <c r="AUV148" s="22"/>
      <c r="AUW148" s="22"/>
      <c r="AUX148" s="22"/>
      <c r="AUY148" s="22"/>
      <c r="AUZ148" s="22"/>
      <c r="AVA148" s="22"/>
      <c r="AVB148" s="22"/>
      <c r="AVC148" s="22"/>
      <c r="AVD148" s="22"/>
      <c r="AVE148" s="22"/>
      <c r="AVF148" s="22"/>
      <c r="AVG148" s="22"/>
      <c r="AVH148" s="22"/>
      <c r="AVI148" s="22"/>
      <c r="AVJ148" s="22"/>
      <c r="AVK148" s="22"/>
      <c r="AVL148" s="22"/>
      <c r="AVM148" s="22"/>
      <c r="AVN148" s="22"/>
      <c r="AVO148" s="22"/>
      <c r="AVP148" s="22"/>
      <c r="AVQ148" s="22"/>
      <c r="AVR148" s="22"/>
      <c r="AVS148" s="22"/>
      <c r="AVT148" s="22"/>
      <c r="AVU148" s="22"/>
      <c r="AVV148" s="22"/>
      <c r="AVW148" s="22"/>
      <c r="AVX148" s="22"/>
      <c r="AVY148" s="22"/>
      <c r="AVZ148" s="22"/>
      <c r="AWA148" s="22"/>
      <c r="AWB148" s="22"/>
      <c r="AWC148" s="22"/>
      <c r="AWD148" s="22"/>
      <c r="AWE148" s="22"/>
      <c r="AWF148" s="22"/>
      <c r="AWG148" s="22"/>
      <c r="AWH148" s="22"/>
      <c r="AWI148" s="22"/>
      <c r="AWJ148" s="22"/>
      <c r="AWK148" s="22"/>
      <c r="AWL148" s="22"/>
      <c r="AWM148" s="22"/>
      <c r="AWN148" s="22"/>
      <c r="AWO148" s="22"/>
      <c r="AWP148" s="22"/>
      <c r="AWQ148" s="22"/>
      <c r="AWR148" s="22"/>
      <c r="AWS148" s="22"/>
      <c r="AWT148" s="22"/>
      <c r="AWU148" s="22"/>
      <c r="AWV148" s="22"/>
      <c r="AWW148" s="22"/>
      <c r="AWX148" s="22"/>
      <c r="AWY148" s="22"/>
      <c r="AWZ148" s="22"/>
      <c r="AXA148" s="22"/>
      <c r="AXB148" s="22"/>
      <c r="AXC148" s="22"/>
      <c r="AXD148" s="22"/>
      <c r="AXE148" s="22"/>
      <c r="AXF148" s="22"/>
      <c r="AXG148" s="22"/>
      <c r="AXH148" s="22"/>
      <c r="AXI148" s="22"/>
      <c r="AXJ148" s="22"/>
      <c r="AXK148" s="22"/>
      <c r="AXL148" s="22"/>
      <c r="AXM148" s="22"/>
      <c r="AXN148" s="22"/>
      <c r="AXO148" s="22"/>
      <c r="AXP148" s="22"/>
      <c r="AXQ148" s="22"/>
      <c r="AXR148" s="22"/>
      <c r="AXS148" s="22"/>
      <c r="AXT148" s="22"/>
      <c r="AXU148" s="22"/>
      <c r="AXV148" s="22"/>
      <c r="AXW148" s="22"/>
      <c r="AXX148" s="22"/>
      <c r="AXY148" s="22"/>
      <c r="AXZ148" s="22"/>
      <c r="AYA148" s="22"/>
      <c r="AYB148" s="22"/>
      <c r="AYC148" s="22"/>
      <c r="AYD148" s="22"/>
      <c r="AYE148" s="22"/>
      <c r="AYF148" s="22"/>
      <c r="AYG148" s="22"/>
      <c r="AYH148" s="22"/>
      <c r="AYI148" s="22"/>
      <c r="AYJ148" s="22"/>
      <c r="AYK148" s="22"/>
      <c r="AYL148" s="22"/>
      <c r="AYM148" s="22"/>
      <c r="AYN148" s="22"/>
      <c r="AYO148" s="22"/>
      <c r="AYP148" s="22"/>
      <c r="AYQ148" s="22"/>
      <c r="AYR148" s="22"/>
      <c r="AYS148" s="22"/>
      <c r="AYT148" s="22"/>
      <c r="AYU148" s="22"/>
      <c r="AYV148" s="22"/>
      <c r="AYW148" s="22"/>
      <c r="AYX148" s="22"/>
      <c r="AYY148" s="22"/>
      <c r="AYZ148" s="22"/>
      <c r="AZA148" s="22"/>
      <c r="AZB148" s="22"/>
      <c r="AZC148" s="22"/>
      <c r="AZD148" s="22"/>
      <c r="AZE148" s="22"/>
      <c r="AZF148" s="22"/>
      <c r="AZG148" s="22"/>
      <c r="AZH148" s="22"/>
      <c r="AZI148" s="22"/>
      <c r="AZJ148" s="22"/>
      <c r="AZK148" s="22"/>
      <c r="AZL148" s="22"/>
      <c r="AZM148" s="22"/>
      <c r="AZN148" s="22"/>
      <c r="AZO148" s="22"/>
      <c r="AZP148" s="22"/>
      <c r="AZQ148" s="22"/>
      <c r="AZR148" s="22"/>
      <c r="AZS148" s="22"/>
      <c r="AZT148" s="22"/>
      <c r="AZU148" s="22"/>
      <c r="AZV148" s="22"/>
      <c r="AZW148" s="22"/>
      <c r="AZX148" s="22"/>
      <c r="AZY148" s="22"/>
      <c r="AZZ148" s="22"/>
      <c r="BAA148" s="22"/>
      <c r="BAB148" s="22"/>
      <c r="BAC148" s="22"/>
      <c r="BAD148" s="22"/>
      <c r="BAE148" s="22"/>
      <c r="BAF148" s="22"/>
      <c r="BAG148" s="22"/>
      <c r="BAH148" s="22"/>
      <c r="BAI148" s="22"/>
      <c r="BAJ148" s="22"/>
      <c r="BAK148" s="22"/>
      <c r="BAL148" s="22"/>
      <c r="BAM148" s="22"/>
      <c r="BAN148" s="22"/>
      <c r="BAO148" s="22"/>
      <c r="BAP148" s="22"/>
      <c r="BAQ148" s="22"/>
      <c r="BAR148" s="22"/>
      <c r="BAS148" s="22"/>
      <c r="BAT148" s="22"/>
      <c r="BAU148" s="22"/>
      <c r="BAV148" s="22"/>
      <c r="BAW148" s="22"/>
      <c r="BAX148" s="22"/>
      <c r="BAY148" s="22"/>
      <c r="BAZ148" s="22"/>
      <c r="BBA148" s="22"/>
      <c r="BBB148" s="22"/>
      <c r="BBC148" s="22"/>
      <c r="BBD148" s="22"/>
      <c r="BBE148" s="22"/>
      <c r="BBF148" s="22"/>
      <c r="BBG148" s="22"/>
      <c r="BBH148" s="22"/>
      <c r="BBI148" s="22"/>
      <c r="BBJ148" s="22"/>
      <c r="BBK148" s="22"/>
      <c r="BBL148" s="22"/>
      <c r="BBM148" s="22"/>
      <c r="BBN148" s="22"/>
      <c r="BBO148" s="22"/>
      <c r="BBP148" s="22"/>
      <c r="BBQ148" s="22"/>
      <c r="BBR148" s="22"/>
      <c r="BBS148" s="22"/>
      <c r="BBT148" s="22"/>
      <c r="BBU148" s="22"/>
      <c r="BBV148" s="22"/>
      <c r="BBW148" s="22"/>
      <c r="BBX148" s="22"/>
      <c r="BBY148" s="22"/>
      <c r="BBZ148" s="22"/>
      <c r="BCA148" s="22"/>
      <c r="BCB148" s="22"/>
      <c r="BCC148" s="22"/>
      <c r="BCD148" s="22"/>
      <c r="BCE148" s="22"/>
      <c r="BCF148" s="22"/>
      <c r="BCG148" s="22"/>
      <c r="BCH148" s="22"/>
      <c r="BCI148" s="22"/>
      <c r="BCJ148" s="22"/>
      <c r="BCK148" s="22"/>
      <c r="BCL148" s="22"/>
      <c r="BCM148" s="22"/>
      <c r="BCN148" s="22"/>
      <c r="BCO148" s="22"/>
      <c r="BCP148" s="22"/>
      <c r="BCQ148" s="22"/>
      <c r="BCR148" s="22"/>
      <c r="BCS148" s="22"/>
      <c r="BCT148" s="22"/>
      <c r="BCU148" s="22"/>
      <c r="BCV148" s="22"/>
      <c r="BCW148" s="22"/>
      <c r="BCX148" s="22"/>
      <c r="BCY148" s="22"/>
      <c r="BCZ148" s="22"/>
      <c r="BDA148" s="22"/>
      <c r="BDB148" s="22"/>
      <c r="BDC148" s="22"/>
      <c r="BDD148" s="22"/>
      <c r="BDE148" s="22"/>
      <c r="BDF148" s="22"/>
      <c r="BDG148" s="22"/>
      <c r="BDH148" s="22"/>
      <c r="BDI148" s="22"/>
      <c r="BDJ148" s="22"/>
      <c r="BDK148" s="22"/>
      <c r="BDL148" s="22"/>
      <c r="BDM148" s="22"/>
      <c r="BDN148" s="22"/>
      <c r="BDO148" s="22"/>
      <c r="BDP148" s="22"/>
      <c r="BDQ148" s="22"/>
      <c r="BDR148" s="22"/>
      <c r="BDS148" s="22"/>
      <c r="BDT148" s="22"/>
      <c r="BDU148" s="22"/>
      <c r="BDV148" s="22"/>
      <c r="BDW148" s="22"/>
      <c r="BDX148" s="22"/>
      <c r="BDY148" s="22"/>
      <c r="BDZ148" s="22"/>
      <c r="BEA148" s="22"/>
      <c r="BEB148" s="22"/>
      <c r="BEC148" s="22"/>
      <c r="BED148" s="22"/>
      <c r="BEE148" s="22"/>
      <c r="BEF148" s="22"/>
      <c r="BEG148" s="22"/>
      <c r="BEH148" s="22"/>
      <c r="BEI148" s="22"/>
      <c r="BEJ148" s="22"/>
      <c r="BEK148" s="22"/>
      <c r="BEL148" s="22"/>
      <c r="BEM148" s="22"/>
      <c r="BEN148" s="22"/>
      <c r="BEO148" s="22"/>
      <c r="BEP148" s="22"/>
      <c r="BEQ148" s="22"/>
      <c r="BER148" s="22"/>
      <c r="BES148" s="22"/>
      <c r="BET148" s="22"/>
      <c r="BEU148" s="22"/>
      <c r="BEV148" s="22"/>
      <c r="BEW148" s="22"/>
      <c r="BEX148" s="22"/>
      <c r="BEY148" s="22"/>
      <c r="BEZ148" s="22"/>
      <c r="BFA148" s="22"/>
      <c r="BFB148" s="22"/>
      <c r="BFC148" s="22"/>
      <c r="BFD148" s="22"/>
      <c r="BFE148" s="22"/>
      <c r="BFF148" s="22"/>
      <c r="BFG148" s="22"/>
      <c r="BFH148" s="22"/>
      <c r="BFI148" s="22"/>
      <c r="BFJ148" s="22"/>
      <c r="BFK148" s="22"/>
      <c r="BFL148" s="22"/>
      <c r="BFM148" s="22"/>
      <c r="BFN148" s="22"/>
      <c r="BFO148" s="22"/>
      <c r="BFP148" s="22"/>
      <c r="BFQ148" s="22"/>
      <c r="BFR148" s="22"/>
      <c r="BFS148" s="22"/>
      <c r="BFT148" s="22"/>
      <c r="BFU148" s="22"/>
      <c r="BFV148" s="22"/>
      <c r="BFW148" s="22"/>
      <c r="BFX148" s="22"/>
      <c r="BFY148" s="22"/>
      <c r="BFZ148" s="22"/>
      <c r="BGA148" s="22"/>
      <c r="BGB148" s="22"/>
      <c r="BGC148" s="22"/>
      <c r="BGD148" s="22"/>
      <c r="BGE148" s="22"/>
      <c r="BGF148" s="22"/>
      <c r="BGG148" s="22"/>
      <c r="BGH148" s="22"/>
      <c r="BGI148" s="22"/>
      <c r="BGJ148" s="22"/>
      <c r="BGK148" s="22"/>
      <c r="BGL148" s="22"/>
      <c r="BGM148" s="22"/>
      <c r="BGN148" s="22"/>
      <c r="BGO148" s="22"/>
      <c r="BGP148" s="22"/>
      <c r="BGQ148" s="22"/>
      <c r="BGR148" s="22"/>
      <c r="BGS148" s="22"/>
      <c r="BGT148" s="22"/>
      <c r="BGU148" s="22"/>
      <c r="BGV148" s="22"/>
      <c r="BGW148" s="22"/>
      <c r="BGX148" s="22"/>
      <c r="BGY148" s="22"/>
      <c r="BGZ148" s="22"/>
      <c r="BHA148" s="22"/>
      <c r="BHB148" s="22"/>
      <c r="BHC148" s="22"/>
      <c r="BHD148" s="22"/>
      <c r="BHE148" s="22"/>
      <c r="BHF148" s="22"/>
      <c r="BHG148" s="22"/>
      <c r="BHH148" s="22"/>
      <c r="BHI148" s="22"/>
      <c r="BHJ148" s="22"/>
      <c r="BHK148" s="22"/>
      <c r="BHL148" s="22"/>
      <c r="BHM148" s="22"/>
      <c r="BHN148" s="22"/>
      <c r="BHO148" s="22"/>
      <c r="BHP148" s="22"/>
      <c r="BHQ148" s="22"/>
      <c r="BHR148" s="22"/>
      <c r="BHS148" s="22"/>
      <c r="BHT148" s="22"/>
      <c r="BHU148" s="22"/>
      <c r="BHV148" s="22"/>
      <c r="BHW148" s="22"/>
      <c r="BHX148" s="22"/>
      <c r="BHY148" s="22"/>
      <c r="BHZ148" s="22"/>
      <c r="BIA148" s="22"/>
      <c r="BIB148" s="22"/>
      <c r="BIC148" s="22"/>
      <c r="BID148" s="22"/>
      <c r="BIE148" s="22"/>
      <c r="BIF148" s="22"/>
      <c r="BIG148" s="22"/>
      <c r="BIH148" s="22"/>
      <c r="BII148" s="22"/>
      <c r="BIJ148" s="22"/>
      <c r="BIK148" s="22"/>
      <c r="BIL148" s="22"/>
      <c r="BIM148" s="22"/>
      <c r="BIN148" s="22"/>
      <c r="BIO148" s="22"/>
      <c r="BIP148" s="22"/>
      <c r="BIQ148" s="22"/>
      <c r="BIR148" s="22"/>
      <c r="BIS148" s="22"/>
      <c r="BIT148" s="22"/>
      <c r="BIU148" s="22"/>
      <c r="BIV148" s="22"/>
      <c r="BIW148" s="22"/>
      <c r="BIX148" s="22"/>
      <c r="BIY148" s="22"/>
      <c r="BIZ148" s="22"/>
      <c r="BJA148" s="22"/>
      <c r="BJB148" s="22"/>
      <c r="BJC148" s="22"/>
      <c r="BJD148" s="22"/>
      <c r="BJE148" s="22"/>
      <c r="BJF148" s="22"/>
      <c r="BJG148" s="22"/>
      <c r="BJH148" s="22"/>
      <c r="BJI148" s="22"/>
      <c r="BJJ148" s="22"/>
      <c r="BJK148" s="22"/>
      <c r="BJL148" s="22"/>
      <c r="BJM148" s="22"/>
      <c r="BJN148" s="22"/>
      <c r="BJO148" s="22"/>
      <c r="BJP148" s="22"/>
      <c r="BJQ148" s="22"/>
      <c r="BJR148" s="22"/>
      <c r="BJS148" s="22"/>
      <c r="BJT148" s="22"/>
      <c r="BJU148" s="22"/>
      <c r="BJV148" s="22"/>
      <c r="BJW148" s="22"/>
      <c r="BJX148" s="22"/>
      <c r="BJY148" s="22"/>
      <c r="BJZ148" s="22"/>
      <c r="BKA148" s="22"/>
      <c r="BKB148" s="22"/>
      <c r="BKC148" s="22"/>
      <c r="BKD148" s="22"/>
      <c r="BKE148" s="22"/>
      <c r="BKF148" s="22"/>
      <c r="BKG148" s="22"/>
      <c r="BKH148" s="22"/>
      <c r="BKI148" s="22"/>
      <c r="BKJ148" s="22"/>
      <c r="BKK148" s="22"/>
      <c r="BKL148" s="22"/>
      <c r="BKM148" s="22"/>
      <c r="BKN148" s="22"/>
      <c r="BKO148" s="22"/>
      <c r="BKP148" s="22"/>
      <c r="BKQ148" s="22"/>
      <c r="BKR148" s="22"/>
      <c r="BKS148" s="22"/>
      <c r="BKT148" s="22"/>
      <c r="BKU148" s="22"/>
      <c r="BKV148" s="22"/>
      <c r="BKW148" s="22"/>
      <c r="BKX148" s="22"/>
      <c r="BKY148" s="22"/>
      <c r="BKZ148" s="22"/>
      <c r="BLA148" s="22"/>
      <c r="BLB148" s="22"/>
      <c r="BLC148" s="22"/>
      <c r="BLD148" s="22"/>
      <c r="BLE148" s="22"/>
      <c r="BLF148" s="22"/>
      <c r="BLG148" s="22"/>
      <c r="BLH148" s="22"/>
      <c r="BLI148" s="22"/>
      <c r="BLJ148" s="22"/>
      <c r="BLK148" s="22"/>
      <c r="BLL148" s="22"/>
      <c r="BLM148" s="22"/>
      <c r="BLN148" s="22"/>
      <c r="BLO148" s="22"/>
      <c r="BLP148" s="22"/>
      <c r="BLQ148" s="22"/>
      <c r="BLR148" s="22"/>
      <c r="BLS148" s="22"/>
      <c r="BLT148" s="22"/>
      <c r="BLU148" s="22"/>
      <c r="BLV148" s="22"/>
      <c r="BLW148" s="22"/>
      <c r="BLX148" s="22"/>
      <c r="BLY148" s="22"/>
      <c r="BLZ148" s="22"/>
      <c r="BMA148" s="22"/>
      <c r="BMB148" s="22"/>
      <c r="BMC148" s="22"/>
      <c r="BMD148" s="22"/>
      <c r="BME148" s="22"/>
      <c r="BMF148" s="22"/>
      <c r="BMG148" s="22"/>
      <c r="BMH148" s="22"/>
      <c r="BMI148" s="22"/>
      <c r="BMJ148" s="22"/>
      <c r="BMK148" s="22"/>
      <c r="BML148" s="22"/>
      <c r="BMM148" s="22"/>
      <c r="BMN148" s="22"/>
      <c r="BMO148" s="22"/>
      <c r="BMP148" s="22"/>
      <c r="BMQ148" s="22"/>
      <c r="BMR148" s="22"/>
      <c r="BMS148" s="22"/>
      <c r="BMT148" s="22"/>
      <c r="BMU148" s="22"/>
      <c r="BMV148" s="22"/>
      <c r="BMW148" s="22"/>
      <c r="BMX148" s="22"/>
      <c r="BMY148" s="22"/>
      <c r="BMZ148" s="22"/>
      <c r="BNA148" s="22"/>
      <c r="BNB148" s="22"/>
      <c r="BNC148" s="22"/>
      <c r="BND148" s="22"/>
      <c r="BNE148" s="22"/>
      <c r="BNF148" s="22"/>
      <c r="BNG148" s="22"/>
      <c r="BNH148" s="22"/>
      <c r="BNI148" s="22"/>
      <c r="BNJ148" s="22"/>
      <c r="BNK148" s="22"/>
      <c r="BNL148" s="22"/>
      <c r="BNM148" s="22"/>
      <c r="BNN148" s="22"/>
      <c r="BNO148" s="22"/>
      <c r="BNP148" s="22"/>
      <c r="BNQ148" s="22"/>
      <c r="BNR148" s="22"/>
      <c r="BNS148" s="22"/>
      <c r="BNT148" s="22"/>
      <c r="BNU148" s="22"/>
      <c r="BNV148" s="22"/>
      <c r="BNW148" s="22"/>
      <c r="BNX148" s="22"/>
      <c r="BNY148" s="22"/>
      <c r="BNZ148" s="22"/>
      <c r="BOA148" s="22"/>
      <c r="BOB148" s="22"/>
      <c r="BOC148" s="22"/>
      <c r="BOD148" s="22"/>
      <c r="BOE148" s="22"/>
      <c r="BOF148" s="22"/>
      <c r="BOG148" s="22"/>
      <c r="BOH148" s="22"/>
      <c r="BOI148" s="22"/>
      <c r="BOJ148" s="22"/>
      <c r="BOK148" s="22"/>
      <c r="BOL148" s="22"/>
      <c r="BOM148" s="22"/>
      <c r="BON148" s="22"/>
      <c r="BOO148" s="22"/>
      <c r="BOP148" s="22"/>
      <c r="BOQ148" s="22"/>
      <c r="BOR148" s="22"/>
      <c r="BOS148" s="22"/>
      <c r="BOT148" s="22"/>
      <c r="BOU148" s="22"/>
      <c r="BOV148" s="22"/>
      <c r="BOW148" s="22"/>
      <c r="BOX148" s="22"/>
      <c r="BOY148" s="22"/>
      <c r="BOZ148" s="22"/>
      <c r="BPA148" s="22"/>
      <c r="BPB148" s="22"/>
      <c r="BPC148" s="22"/>
      <c r="BPD148" s="22"/>
      <c r="BPE148" s="22"/>
      <c r="BPF148" s="22"/>
      <c r="BPG148" s="22"/>
      <c r="BPH148" s="22"/>
      <c r="BPI148" s="22"/>
      <c r="BPJ148" s="22"/>
      <c r="BPK148" s="22"/>
      <c r="BPL148" s="22"/>
      <c r="BPM148" s="22"/>
      <c r="BPN148" s="22"/>
      <c r="BPO148" s="22"/>
      <c r="BPP148" s="22"/>
      <c r="BPQ148" s="22"/>
      <c r="BPR148" s="22"/>
      <c r="BPS148" s="22"/>
      <c r="BPT148" s="22"/>
      <c r="BPU148" s="22"/>
      <c r="BPV148" s="22"/>
      <c r="BPW148" s="22"/>
      <c r="BPX148" s="22"/>
      <c r="BPY148" s="22"/>
      <c r="BPZ148" s="22"/>
      <c r="BQA148" s="22"/>
      <c r="BQB148" s="22"/>
      <c r="BQC148" s="22"/>
      <c r="BQD148" s="22"/>
      <c r="BQE148" s="22"/>
      <c r="BQF148" s="22"/>
      <c r="BQG148" s="22"/>
      <c r="BQH148" s="22"/>
      <c r="BQI148" s="22"/>
      <c r="BQJ148" s="22"/>
      <c r="BQK148" s="22"/>
      <c r="BQL148" s="22"/>
      <c r="BQM148" s="22"/>
      <c r="BQN148" s="22"/>
      <c r="BQO148" s="22"/>
      <c r="BQP148" s="22"/>
      <c r="BQQ148" s="22"/>
      <c r="BQR148" s="22"/>
      <c r="BQS148" s="22"/>
      <c r="BQT148" s="22"/>
      <c r="BQU148" s="22"/>
      <c r="BQV148" s="22"/>
      <c r="BQW148" s="22"/>
      <c r="BQX148" s="22"/>
      <c r="BQY148" s="22"/>
      <c r="BQZ148" s="22"/>
      <c r="BRA148" s="22"/>
      <c r="BRB148" s="22"/>
      <c r="BRC148" s="22"/>
      <c r="BRD148" s="22"/>
      <c r="BRE148" s="22"/>
      <c r="BRF148" s="22"/>
      <c r="BRG148" s="22"/>
      <c r="BRH148" s="22"/>
      <c r="BRI148" s="22"/>
      <c r="BRJ148" s="22"/>
      <c r="BRK148" s="22"/>
      <c r="BRL148" s="22"/>
      <c r="BRM148" s="22"/>
      <c r="BRN148" s="22"/>
      <c r="BRO148" s="22"/>
      <c r="BRP148" s="22"/>
      <c r="BRQ148" s="22"/>
      <c r="BRR148" s="22"/>
      <c r="BRS148" s="22"/>
      <c r="BRT148" s="22"/>
      <c r="BRU148" s="22"/>
      <c r="BRV148" s="22"/>
      <c r="BRW148" s="22"/>
      <c r="BRX148" s="22"/>
      <c r="BRY148" s="22"/>
      <c r="BRZ148" s="22"/>
      <c r="BSA148" s="22"/>
      <c r="BSB148" s="22"/>
      <c r="BSC148" s="22"/>
      <c r="BSD148" s="22"/>
      <c r="BSE148" s="22"/>
      <c r="BSF148" s="22"/>
      <c r="BSG148" s="22"/>
      <c r="BSH148" s="22"/>
      <c r="BSI148" s="22"/>
      <c r="BSJ148" s="22"/>
      <c r="BSK148" s="22"/>
      <c r="BSL148" s="22"/>
      <c r="BSM148" s="22"/>
      <c r="BSN148" s="22"/>
      <c r="BSO148" s="22"/>
      <c r="BSP148" s="22"/>
      <c r="BSQ148" s="22"/>
      <c r="BSR148" s="22"/>
      <c r="BSS148" s="22"/>
      <c r="BST148" s="22"/>
      <c r="BSU148" s="22"/>
      <c r="BSV148" s="22"/>
      <c r="BSW148" s="22"/>
      <c r="BSX148" s="22"/>
      <c r="BSY148" s="22"/>
      <c r="BSZ148" s="22"/>
      <c r="BTA148" s="22"/>
      <c r="BTB148" s="22"/>
      <c r="BTC148" s="22"/>
      <c r="BTD148" s="22"/>
      <c r="BTE148" s="22"/>
      <c r="BTF148" s="22"/>
      <c r="BTG148" s="22"/>
      <c r="BTH148" s="22"/>
      <c r="BTI148" s="22"/>
      <c r="BTJ148" s="22"/>
      <c r="BTK148" s="22"/>
      <c r="BTL148" s="22"/>
      <c r="BTM148" s="22"/>
      <c r="BTN148" s="22"/>
      <c r="BTO148" s="22"/>
      <c r="BTP148" s="22"/>
      <c r="BTQ148" s="22"/>
      <c r="BTR148" s="22"/>
      <c r="BTS148" s="22"/>
      <c r="BTT148" s="22"/>
      <c r="BTU148" s="22"/>
      <c r="BTV148" s="22"/>
      <c r="BTW148" s="22"/>
      <c r="BTX148" s="22"/>
      <c r="BTY148" s="22"/>
      <c r="BTZ148" s="22"/>
      <c r="BUA148" s="22"/>
      <c r="BUB148" s="22"/>
      <c r="BUC148" s="22"/>
      <c r="BUD148" s="22"/>
      <c r="BUE148" s="22"/>
      <c r="BUF148" s="22"/>
      <c r="BUG148" s="22"/>
      <c r="BUH148" s="22"/>
      <c r="BUI148" s="22"/>
      <c r="BUJ148" s="22"/>
      <c r="BUK148" s="22"/>
      <c r="BUL148" s="22"/>
      <c r="BUM148" s="22"/>
      <c r="BUN148" s="22"/>
      <c r="BUO148" s="22"/>
      <c r="BUP148" s="22"/>
      <c r="BUQ148" s="22"/>
      <c r="BUR148" s="22"/>
      <c r="BUS148" s="22"/>
      <c r="BUT148" s="22"/>
      <c r="BUU148" s="22"/>
      <c r="BUV148" s="22"/>
      <c r="BUW148" s="22"/>
      <c r="BUX148" s="22"/>
      <c r="BUY148" s="22"/>
      <c r="BUZ148" s="22"/>
      <c r="BVA148" s="22"/>
      <c r="BVB148" s="22"/>
      <c r="BVC148" s="22"/>
      <c r="BVD148" s="22"/>
      <c r="BVE148" s="22"/>
      <c r="BVF148" s="22"/>
      <c r="BVG148" s="22"/>
      <c r="BVH148" s="22"/>
      <c r="BVI148" s="22"/>
      <c r="BVJ148" s="22"/>
      <c r="BVK148" s="22"/>
      <c r="BVL148" s="22"/>
      <c r="BVM148" s="22"/>
      <c r="BVN148" s="22"/>
      <c r="BVO148" s="22"/>
      <c r="BVP148" s="22"/>
      <c r="BVQ148" s="22"/>
      <c r="BVR148" s="22"/>
      <c r="BVS148" s="22"/>
      <c r="BVT148" s="22"/>
      <c r="BVU148" s="22"/>
      <c r="BVV148" s="22"/>
      <c r="BVW148" s="22"/>
      <c r="BVX148" s="22"/>
      <c r="BVY148" s="22"/>
      <c r="BVZ148" s="22"/>
      <c r="BWA148" s="22"/>
      <c r="BWB148" s="22"/>
      <c r="BWC148" s="22"/>
      <c r="BWD148" s="22"/>
      <c r="BWE148" s="22"/>
      <c r="BWF148" s="22"/>
      <c r="BWG148" s="22"/>
      <c r="BWH148" s="22"/>
      <c r="BWI148" s="22"/>
      <c r="BWJ148" s="22"/>
      <c r="BWK148" s="22"/>
      <c r="BWL148" s="22"/>
      <c r="BWM148" s="22"/>
      <c r="BWN148" s="22"/>
      <c r="BWO148" s="22"/>
      <c r="BWP148" s="22"/>
      <c r="BWQ148" s="22"/>
      <c r="BWR148" s="22"/>
      <c r="BWS148" s="22"/>
      <c r="BWT148" s="22"/>
      <c r="BWU148" s="22"/>
      <c r="BWV148" s="22"/>
      <c r="BWW148" s="22"/>
      <c r="BWX148" s="22"/>
      <c r="BWY148" s="22"/>
      <c r="BWZ148" s="22"/>
      <c r="BXA148" s="22"/>
      <c r="BXB148" s="22"/>
      <c r="BXC148" s="22"/>
      <c r="BXD148" s="22"/>
      <c r="BXE148" s="22"/>
      <c r="BXF148" s="22"/>
      <c r="BXG148" s="22"/>
      <c r="BXH148" s="22"/>
      <c r="BXI148" s="22"/>
      <c r="BXJ148" s="22"/>
      <c r="BXK148" s="22"/>
      <c r="BXL148" s="22"/>
      <c r="BXM148" s="22"/>
      <c r="BXN148" s="22"/>
      <c r="BXO148" s="22"/>
      <c r="BXP148" s="22"/>
      <c r="BXQ148" s="22"/>
      <c r="BXR148" s="22"/>
      <c r="BXS148" s="22"/>
      <c r="BXT148" s="22"/>
      <c r="BXU148" s="22"/>
      <c r="BXV148" s="22"/>
      <c r="BXW148" s="22"/>
      <c r="BXX148" s="22"/>
      <c r="BXY148" s="22"/>
      <c r="BXZ148" s="22"/>
      <c r="BYA148" s="22"/>
      <c r="BYB148" s="22"/>
      <c r="BYC148" s="22"/>
      <c r="BYD148" s="22"/>
      <c r="BYE148" s="22"/>
      <c r="BYF148" s="22"/>
      <c r="BYG148" s="22"/>
      <c r="BYH148" s="22"/>
      <c r="BYI148" s="22"/>
      <c r="BYJ148" s="22"/>
      <c r="BYK148" s="22"/>
      <c r="BYL148" s="22"/>
      <c r="BYM148" s="22"/>
      <c r="BYN148" s="22"/>
      <c r="BYO148" s="22"/>
      <c r="BYP148" s="22"/>
      <c r="BYQ148" s="22"/>
      <c r="BYR148" s="22"/>
      <c r="BYS148" s="22"/>
      <c r="BYT148" s="22"/>
      <c r="BYU148" s="22"/>
      <c r="BYV148" s="22"/>
      <c r="BYW148" s="22"/>
      <c r="BYX148" s="22"/>
      <c r="BYY148" s="22"/>
      <c r="BYZ148" s="22"/>
      <c r="BZA148" s="22"/>
      <c r="BZB148" s="22"/>
      <c r="BZC148" s="22"/>
      <c r="BZD148" s="22"/>
      <c r="BZE148" s="22"/>
      <c r="BZF148" s="22"/>
      <c r="BZG148" s="22"/>
      <c r="BZH148" s="22"/>
      <c r="BZI148" s="22"/>
      <c r="BZJ148" s="22"/>
      <c r="BZK148" s="22"/>
      <c r="BZL148" s="22"/>
      <c r="BZM148" s="22"/>
      <c r="BZN148" s="22"/>
      <c r="BZO148" s="22"/>
      <c r="BZP148" s="22"/>
      <c r="BZQ148" s="22"/>
      <c r="BZR148" s="22"/>
      <c r="BZS148" s="22"/>
      <c r="BZT148" s="22"/>
      <c r="BZU148" s="22"/>
      <c r="BZV148" s="22"/>
      <c r="BZW148" s="22"/>
      <c r="BZX148" s="22"/>
      <c r="BZY148" s="22"/>
      <c r="BZZ148" s="22"/>
      <c r="CAA148" s="22"/>
      <c r="CAB148" s="22"/>
      <c r="CAC148" s="22"/>
      <c r="CAD148" s="22"/>
      <c r="CAE148" s="22"/>
      <c r="CAF148" s="22"/>
      <c r="CAG148" s="22"/>
      <c r="CAH148" s="22"/>
      <c r="CAI148" s="22"/>
      <c r="CAJ148" s="22"/>
      <c r="CAK148" s="22"/>
      <c r="CAL148" s="22"/>
      <c r="CAM148" s="22"/>
      <c r="CAN148" s="22"/>
      <c r="CAO148" s="22"/>
      <c r="CAP148" s="22"/>
      <c r="CAQ148" s="22"/>
      <c r="CAR148" s="22"/>
      <c r="CAS148" s="22"/>
      <c r="CAT148" s="22"/>
      <c r="CAU148" s="22"/>
      <c r="CAV148" s="22"/>
      <c r="CAW148" s="22"/>
      <c r="CAX148" s="22"/>
      <c r="CAY148" s="22"/>
      <c r="CAZ148" s="22"/>
      <c r="CBA148" s="22"/>
      <c r="CBB148" s="22"/>
      <c r="CBC148" s="22"/>
      <c r="CBD148" s="22"/>
      <c r="CBE148" s="22"/>
      <c r="CBF148" s="22"/>
      <c r="CBG148" s="22"/>
      <c r="CBH148" s="22"/>
      <c r="CBI148" s="22"/>
      <c r="CBJ148" s="22"/>
      <c r="CBK148" s="22"/>
      <c r="CBL148" s="22"/>
      <c r="CBM148" s="22"/>
      <c r="CBN148" s="22"/>
      <c r="CBO148" s="22"/>
      <c r="CBP148" s="22"/>
      <c r="CBQ148" s="22"/>
      <c r="CBR148" s="22"/>
      <c r="CBS148" s="22"/>
      <c r="CBT148" s="22"/>
      <c r="CBU148" s="22"/>
      <c r="CBV148" s="22"/>
      <c r="CBW148" s="22"/>
      <c r="CBX148" s="22"/>
      <c r="CBY148" s="22"/>
      <c r="CBZ148" s="22"/>
      <c r="CCA148" s="22"/>
      <c r="CCB148" s="22"/>
      <c r="CCC148" s="22"/>
      <c r="CCD148" s="22"/>
      <c r="CCE148" s="22"/>
      <c r="CCF148" s="22"/>
      <c r="CCG148" s="22"/>
      <c r="CCH148" s="22"/>
      <c r="CCI148" s="22"/>
      <c r="CCJ148" s="22"/>
      <c r="CCK148" s="22"/>
      <c r="CCL148" s="22"/>
      <c r="CCM148" s="22"/>
      <c r="CCN148" s="22"/>
      <c r="CCO148" s="22"/>
      <c r="CCP148" s="22"/>
      <c r="CCQ148" s="22"/>
      <c r="CCR148" s="22"/>
      <c r="CCS148" s="22"/>
      <c r="CCT148" s="22"/>
      <c r="CCU148" s="22"/>
      <c r="CCV148" s="22"/>
      <c r="CCW148" s="22"/>
      <c r="CCX148" s="22"/>
      <c r="CCY148" s="22"/>
      <c r="CCZ148" s="22"/>
      <c r="CDA148" s="22"/>
      <c r="CDB148" s="22"/>
      <c r="CDC148" s="22"/>
      <c r="CDD148" s="22"/>
      <c r="CDE148" s="22"/>
      <c r="CDF148" s="22"/>
      <c r="CDG148" s="22"/>
      <c r="CDH148" s="22"/>
      <c r="CDI148" s="22"/>
      <c r="CDJ148" s="22"/>
      <c r="CDK148" s="22"/>
      <c r="CDL148" s="22"/>
      <c r="CDM148" s="22"/>
      <c r="CDN148" s="22"/>
      <c r="CDO148" s="22"/>
      <c r="CDP148" s="22"/>
      <c r="CDQ148" s="22"/>
      <c r="CDR148" s="22"/>
      <c r="CDS148" s="22"/>
      <c r="CDT148" s="22"/>
      <c r="CDU148" s="22"/>
      <c r="CDV148" s="22"/>
      <c r="CDW148" s="22"/>
      <c r="CDX148" s="22"/>
      <c r="CDY148" s="22"/>
      <c r="CDZ148" s="22"/>
      <c r="CEA148" s="22"/>
      <c r="CEB148" s="22"/>
      <c r="CEC148" s="22"/>
      <c r="CED148" s="22"/>
      <c r="CEE148" s="22"/>
      <c r="CEF148" s="22"/>
      <c r="CEG148" s="22"/>
      <c r="CEH148" s="22"/>
      <c r="CEI148" s="22"/>
      <c r="CEJ148" s="22"/>
      <c r="CEK148" s="22"/>
      <c r="CEL148" s="22"/>
      <c r="CEM148" s="22"/>
      <c r="CEN148" s="22"/>
      <c r="CEO148" s="22"/>
      <c r="CEP148" s="22"/>
      <c r="CEQ148" s="22"/>
      <c r="CER148" s="22"/>
      <c r="CES148" s="22"/>
      <c r="CET148" s="22"/>
      <c r="CEU148" s="22"/>
      <c r="CEV148" s="22"/>
      <c r="CEW148" s="22"/>
      <c r="CEX148" s="22"/>
      <c r="CEY148" s="22"/>
      <c r="CEZ148" s="22"/>
      <c r="CFA148" s="22"/>
      <c r="CFB148" s="22"/>
      <c r="CFC148" s="22"/>
      <c r="CFD148" s="22"/>
      <c r="CFE148" s="22"/>
      <c r="CFF148" s="22"/>
      <c r="CFG148" s="22"/>
      <c r="CFH148" s="22"/>
      <c r="CFI148" s="22"/>
      <c r="CFJ148" s="22"/>
      <c r="CFK148" s="22"/>
      <c r="CFL148" s="22"/>
      <c r="CFM148" s="22"/>
      <c r="CFN148" s="22"/>
      <c r="CFO148" s="22"/>
      <c r="CFP148" s="22"/>
      <c r="CFQ148" s="22"/>
      <c r="CFR148" s="22"/>
      <c r="CFS148" s="22"/>
      <c r="CFT148" s="22"/>
      <c r="CFU148" s="22"/>
      <c r="CFV148" s="22"/>
      <c r="CFW148" s="22"/>
      <c r="CFX148" s="22"/>
      <c r="CFY148" s="22"/>
      <c r="CFZ148" s="22"/>
      <c r="CGA148" s="22"/>
      <c r="CGB148" s="22"/>
      <c r="CGC148" s="22"/>
      <c r="CGD148" s="22"/>
      <c r="CGE148" s="22"/>
      <c r="CGF148" s="22"/>
      <c r="CGG148" s="22"/>
      <c r="CGH148" s="22"/>
      <c r="CGI148" s="22"/>
      <c r="CGJ148" s="22"/>
      <c r="CGK148" s="22"/>
      <c r="CGL148" s="22"/>
      <c r="CGM148" s="22"/>
      <c r="CGN148" s="22"/>
      <c r="CGO148" s="22"/>
      <c r="CGP148" s="22"/>
      <c r="CGQ148" s="22"/>
      <c r="CGR148" s="22"/>
      <c r="CGS148" s="22"/>
      <c r="CGT148" s="22"/>
      <c r="CGU148" s="22"/>
      <c r="CGV148" s="22"/>
      <c r="CGW148" s="22"/>
      <c r="CGX148" s="22"/>
      <c r="CGY148" s="22"/>
      <c r="CGZ148" s="22"/>
      <c r="CHA148" s="22"/>
      <c r="CHB148" s="22"/>
      <c r="CHC148" s="22"/>
      <c r="CHD148" s="22"/>
      <c r="CHE148" s="22"/>
      <c r="CHF148" s="22"/>
      <c r="CHG148" s="22"/>
      <c r="CHH148" s="22"/>
      <c r="CHI148" s="22"/>
      <c r="CHJ148" s="22"/>
      <c r="CHK148" s="22"/>
      <c r="CHL148" s="22"/>
      <c r="CHM148" s="22"/>
      <c r="CHN148" s="22"/>
      <c r="CHO148" s="22"/>
      <c r="CHP148" s="22"/>
      <c r="CHQ148" s="22"/>
      <c r="CHR148" s="22"/>
      <c r="CHS148" s="22"/>
      <c r="CHT148" s="22"/>
      <c r="CHU148" s="22"/>
      <c r="CHV148" s="22"/>
      <c r="CHW148" s="22"/>
      <c r="CHX148" s="22"/>
      <c r="CHY148" s="22"/>
      <c r="CHZ148" s="22"/>
      <c r="CIA148" s="22"/>
      <c r="CIB148" s="22"/>
      <c r="CIC148" s="22"/>
      <c r="CID148" s="22"/>
      <c r="CIE148" s="22"/>
      <c r="CIF148" s="22"/>
      <c r="CIG148" s="22"/>
      <c r="CIH148" s="22"/>
      <c r="CII148" s="22"/>
      <c r="CIJ148" s="22"/>
      <c r="CIK148" s="22"/>
      <c r="CIL148" s="22"/>
      <c r="CIM148" s="22"/>
      <c r="CIN148" s="22"/>
      <c r="CIO148" s="22"/>
      <c r="CIP148" s="22"/>
      <c r="CIQ148" s="22"/>
      <c r="CIR148" s="22"/>
      <c r="CIS148" s="22"/>
      <c r="CIT148" s="22"/>
      <c r="CIU148" s="22"/>
      <c r="CIV148" s="22"/>
      <c r="CIW148" s="22"/>
      <c r="CIX148" s="22"/>
      <c r="CIY148" s="22"/>
      <c r="CIZ148" s="22"/>
      <c r="CJA148" s="22"/>
      <c r="CJB148" s="22"/>
      <c r="CJC148" s="22"/>
      <c r="CJD148" s="22"/>
      <c r="CJE148" s="22"/>
      <c r="CJF148" s="22"/>
      <c r="CJG148" s="22"/>
      <c r="CJH148" s="22"/>
      <c r="CJI148" s="22"/>
      <c r="CJJ148" s="22"/>
      <c r="CJK148" s="22"/>
      <c r="CJL148" s="22"/>
      <c r="CJM148" s="22"/>
      <c r="CJN148" s="22"/>
      <c r="CJO148" s="22"/>
      <c r="CJP148" s="22"/>
      <c r="CJQ148" s="22"/>
      <c r="CJR148" s="22"/>
      <c r="CJS148" s="22"/>
      <c r="CJT148" s="22"/>
      <c r="CJU148" s="22"/>
      <c r="CJV148" s="22"/>
      <c r="CJW148" s="22"/>
      <c r="CJX148" s="22"/>
      <c r="CJY148" s="22"/>
      <c r="CJZ148" s="22"/>
      <c r="CKA148" s="22"/>
      <c r="CKB148" s="22"/>
      <c r="CKC148" s="22"/>
      <c r="CKD148" s="22"/>
      <c r="CKE148" s="22"/>
      <c r="CKF148" s="22"/>
      <c r="CKG148" s="22"/>
      <c r="CKH148" s="22"/>
      <c r="CKI148" s="22"/>
      <c r="CKJ148" s="22"/>
      <c r="CKK148" s="22"/>
      <c r="CKL148" s="22"/>
      <c r="CKM148" s="22"/>
      <c r="CKN148" s="22"/>
      <c r="CKO148" s="22"/>
      <c r="CKP148" s="22"/>
      <c r="CKQ148" s="22"/>
      <c r="CKR148" s="22"/>
      <c r="CKS148" s="22"/>
      <c r="CKT148" s="22"/>
      <c r="CKU148" s="22"/>
      <c r="CKV148" s="22"/>
      <c r="CKW148" s="22"/>
      <c r="CKX148" s="22"/>
      <c r="CKY148" s="22"/>
      <c r="CKZ148" s="22"/>
      <c r="CLA148" s="22"/>
      <c r="CLB148" s="22"/>
      <c r="CLC148" s="22"/>
      <c r="CLD148" s="22"/>
      <c r="CLE148" s="22"/>
      <c r="CLF148" s="22"/>
      <c r="CLG148" s="22"/>
      <c r="CLH148" s="22"/>
      <c r="CLI148" s="22"/>
      <c r="CLJ148" s="22"/>
      <c r="CLK148" s="22"/>
      <c r="CLL148" s="22"/>
      <c r="CLM148" s="22"/>
      <c r="CLN148" s="22"/>
      <c r="CLO148" s="22"/>
      <c r="CLP148" s="22"/>
      <c r="CLQ148" s="22"/>
      <c r="CLR148" s="22"/>
      <c r="CLS148" s="22"/>
      <c r="CLT148" s="22"/>
      <c r="CLU148" s="22"/>
      <c r="CLV148" s="22"/>
      <c r="CLW148" s="22"/>
      <c r="CLX148" s="22"/>
      <c r="CLY148" s="22"/>
      <c r="CLZ148" s="22"/>
      <c r="CMA148" s="22"/>
      <c r="CMB148" s="22"/>
      <c r="CMC148" s="22"/>
      <c r="CMD148" s="22"/>
      <c r="CME148" s="22"/>
      <c r="CMF148" s="22"/>
      <c r="CMG148" s="22"/>
      <c r="CMH148" s="22"/>
      <c r="CMI148" s="22"/>
      <c r="CMJ148" s="22"/>
      <c r="CMK148" s="22"/>
      <c r="CML148" s="22"/>
      <c r="CMM148" s="22"/>
      <c r="CMN148" s="22"/>
      <c r="CMO148" s="22"/>
      <c r="CMP148" s="22"/>
      <c r="CMQ148" s="22"/>
      <c r="CMR148" s="22"/>
      <c r="CMS148" s="22"/>
      <c r="CMT148" s="22"/>
      <c r="CMU148" s="22"/>
      <c r="CMV148" s="22"/>
      <c r="CMW148" s="22"/>
      <c r="CMX148" s="22"/>
      <c r="CMY148" s="22"/>
      <c r="CMZ148" s="22"/>
      <c r="CNA148" s="22"/>
      <c r="CNB148" s="22"/>
      <c r="CNC148" s="22"/>
      <c r="CND148" s="22"/>
      <c r="CNE148" s="22"/>
      <c r="CNF148" s="22"/>
      <c r="CNG148" s="22"/>
      <c r="CNH148" s="22"/>
      <c r="CNI148" s="22"/>
      <c r="CNJ148" s="22"/>
      <c r="CNK148" s="22"/>
      <c r="CNL148" s="22"/>
      <c r="CNM148" s="22"/>
      <c r="CNN148" s="22"/>
      <c r="CNO148" s="22"/>
      <c r="CNP148" s="22"/>
      <c r="CNQ148" s="22"/>
      <c r="CNR148" s="22"/>
      <c r="CNS148" s="22"/>
      <c r="CNT148" s="22"/>
      <c r="CNU148" s="22"/>
      <c r="CNV148" s="22"/>
      <c r="CNW148" s="22"/>
      <c r="CNX148" s="22"/>
      <c r="CNY148" s="22"/>
      <c r="CNZ148" s="22"/>
      <c r="COA148" s="22"/>
      <c r="COB148" s="22"/>
      <c r="COC148" s="22"/>
      <c r="COD148" s="22"/>
      <c r="COE148" s="22"/>
      <c r="COF148" s="22"/>
      <c r="COG148" s="22"/>
      <c r="COH148" s="22"/>
      <c r="COI148" s="22"/>
      <c r="COJ148" s="22"/>
      <c r="COK148" s="22"/>
      <c r="COL148" s="22"/>
      <c r="COM148" s="22"/>
      <c r="CON148" s="22"/>
      <c r="COO148" s="22"/>
      <c r="COP148" s="22"/>
      <c r="COQ148" s="22"/>
      <c r="COR148" s="22"/>
      <c r="COS148" s="22"/>
      <c r="COT148" s="22"/>
      <c r="COU148" s="22"/>
      <c r="COV148" s="22"/>
      <c r="COW148" s="22"/>
      <c r="COX148" s="22"/>
      <c r="COY148" s="22"/>
      <c r="COZ148" s="22"/>
      <c r="CPA148" s="22"/>
      <c r="CPB148" s="22"/>
      <c r="CPC148" s="22"/>
      <c r="CPD148" s="22"/>
      <c r="CPE148" s="22"/>
      <c r="CPF148" s="22"/>
      <c r="CPG148" s="22"/>
      <c r="CPH148" s="22"/>
      <c r="CPI148" s="22"/>
      <c r="CPJ148" s="22"/>
      <c r="CPK148" s="22"/>
      <c r="CPL148" s="22"/>
      <c r="CPM148" s="22"/>
      <c r="CPN148" s="22"/>
      <c r="CPO148" s="22"/>
      <c r="CPP148" s="22"/>
      <c r="CPQ148" s="22"/>
      <c r="CPR148" s="22"/>
      <c r="CPS148" s="22"/>
      <c r="CPT148" s="22"/>
      <c r="CPU148" s="22"/>
      <c r="CPV148" s="22"/>
      <c r="CPW148" s="22"/>
      <c r="CPX148" s="22"/>
      <c r="CPY148" s="22"/>
      <c r="CPZ148" s="22"/>
      <c r="CQA148" s="22"/>
      <c r="CQB148" s="22"/>
      <c r="CQC148" s="22"/>
      <c r="CQD148" s="22"/>
      <c r="CQE148" s="22"/>
      <c r="CQF148" s="22"/>
      <c r="CQG148" s="22"/>
      <c r="CQH148" s="22"/>
      <c r="CQI148" s="22"/>
      <c r="CQJ148" s="22"/>
      <c r="CQK148" s="22"/>
      <c r="CQL148" s="22"/>
      <c r="CQM148" s="22"/>
      <c r="CQN148" s="22"/>
      <c r="CQO148" s="22"/>
      <c r="CQP148" s="22"/>
      <c r="CQQ148" s="22"/>
      <c r="CQR148" s="22"/>
      <c r="CQS148" s="22"/>
      <c r="CQT148" s="22"/>
      <c r="CQU148" s="22"/>
      <c r="CQV148" s="22"/>
      <c r="CQW148" s="22"/>
      <c r="CQX148" s="22"/>
      <c r="CQY148" s="22"/>
      <c r="CQZ148" s="22"/>
      <c r="CRA148" s="22"/>
      <c r="CRB148" s="22"/>
      <c r="CRC148" s="22"/>
      <c r="CRD148" s="22"/>
      <c r="CRE148" s="22"/>
      <c r="CRF148" s="22"/>
      <c r="CRG148" s="22"/>
      <c r="CRH148" s="22"/>
      <c r="CRI148" s="22"/>
      <c r="CRJ148" s="22"/>
      <c r="CRK148" s="22"/>
      <c r="CRL148" s="22"/>
      <c r="CRM148" s="22"/>
      <c r="CRN148" s="22"/>
      <c r="CRO148" s="22"/>
      <c r="CRP148" s="22"/>
      <c r="CRQ148" s="22"/>
      <c r="CRR148" s="22"/>
      <c r="CRS148" s="22"/>
      <c r="CRT148" s="22"/>
      <c r="CRU148" s="22"/>
      <c r="CRV148" s="22"/>
      <c r="CRW148" s="22"/>
      <c r="CRX148" s="22"/>
      <c r="CRY148" s="22"/>
      <c r="CRZ148" s="22"/>
      <c r="CSA148" s="22"/>
      <c r="CSB148" s="22"/>
      <c r="CSC148" s="22"/>
      <c r="CSD148" s="22"/>
      <c r="CSE148" s="22"/>
      <c r="CSF148" s="22"/>
      <c r="CSG148" s="22"/>
      <c r="CSH148" s="22"/>
      <c r="CSI148" s="22"/>
      <c r="CSJ148" s="22"/>
      <c r="CSK148" s="22"/>
      <c r="CSL148" s="22"/>
      <c r="CSM148" s="22"/>
      <c r="CSN148" s="22"/>
      <c r="CSO148" s="22"/>
      <c r="CSP148" s="22"/>
      <c r="CSQ148" s="22"/>
      <c r="CSR148" s="22"/>
      <c r="CSS148" s="22"/>
      <c r="CST148" s="22"/>
      <c r="CSU148" s="22"/>
      <c r="CSV148" s="22"/>
      <c r="CSW148" s="22"/>
      <c r="CSX148" s="22"/>
      <c r="CSY148" s="22"/>
      <c r="CSZ148" s="22"/>
      <c r="CTA148" s="22"/>
      <c r="CTB148" s="22"/>
      <c r="CTC148" s="22"/>
      <c r="CTD148" s="22"/>
      <c r="CTE148" s="22"/>
      <c r="CTF148" s="22"/>
      <c r="CTG148" s="22"/>
      <c r="CTH148" s="22"/>
      <c r="CTI148" s="22"/>
      <c r="CTJ148" s="22"/>
      <c r="CTK148" s="22"/>
      <c r="CTL148" s="22"/>
      <c r="CTM148" s="22"/>
      <c r="CTN148" s="22"/>
      <c r="CTO148" s="22"/>
      <c r="CTP148" s="22"/>
      <c r="CTQ148" s="22"/>
      <c r="CTR148" s="22"/>
      <c r="CTS148" s="22"/>
      <c r="CTT148" s="22"/>
      <c r="CTU148" s="22"/>
      <c r="CTV148" s="22"/>
      <c r="CTW148" s="22"/>
      <c r="CTX148" s="22"/>
      <c r="CTY148" s="22"/>
      <c r="CTZ148" s="22"/>
      <c r="CUA148" s="22"/>
      <c r="CUB148" s="22"/>
      <c r="CUC148" s="22"/>
      <c r="CUD148" s="22"/>
      <c r="CUE148" s="22"/>
      <c r="CUF148" s="22"/>
      <c r="CUG148" s="22"/>
      <c r="CUH148" s="22"/>
      <c r="CUI148" s="22"/>
      <c r="CUJ148" s="22"/>
      <c r="CUK148" s="22"/>
      <c r="CUL148" s="22"/>
      <c r="CUM148" s="22"/>
      <c r="CUN148" s="22"/>
      <c r="CUO148" s="22"/>
      <c r="CUP148" s="22"/>
      <c r="CUQ148" s="22"/>
      <c r="CUR148" s="22"/>
      <c r="CUS148" s="22"/>
      <c r="CUT148" s="22"/>
      <c r="CUU148" s="22"/>
      <c r="CUV148" s="22"/>
      <c r="CUW148" s="22"/>
      <c r="CUX148" s="22"/>
      <c r="CUY148" s="22"/>
      <c r="CUZ148" s="22"/>
      <c r="CVA148" s="22"/>
      <c r="CVB148" s="22"/>
      <c r="CVC148" s="22"/>
      <c r="CVD148" s="22"/>
      <c r="CVE148" s="22"/>
      <c r="CVF148" s="22"/>
      <c r="CVG148" s="22"/>
      <c r="CVH148" s="22"/>
      <c r="CVI148" s="22"/>
      <c r="CVJ148" s="22"/>
      <c r="CVK148" s="22"/>
      <c r="CVL148" s="22"/>
      <c r="CVM148" s="22"/>
      <c r="CVN148" s="22"/>
      <c r="CVO148" s="22"/>
      <c r="CVP148" s="22"/>
      <c r="CVQ148" s="22"/>
      <c r="CVR148" s="22"/>
      <c r="CVS148" s="22"/>
      <c r="CVT148" s="22"/>
      <c r="CVU148" s="22"/>
      <c r="CVV148" s="22"/>
      <c r="CVW148" s="22"/>
      <c r="CVX148" s="22"/>
      <c r="CVY148" s="22"/>
      <c r="CVZ148" s="22"/>
      <c r="CWA148" s="22"/>
      <c r="CWB148" s="22"/>
      <c r="CWC148" s="22"/>
      <c r="CWD148" s="22"/>
      <c r="CWE148" s="22"/>
      <c r="CWF148" s="22"/>
      <c r="CWG148" s="22"/>
      <c r="CWH148" s="22"/>
      <c r="CWI148" s="22"/>
      <c r="CWJ148" s="22"/>
      <c r="CWK148" s="22"/>
      <c r="CWL148" s="22"/>
      <c r="CWM148" s="22"/>
      <c r="CWN148" s="22"/>
      <c r="CWO148" s="22"/>
      <c r="CWP148" s="22"/>
      <c r="CWQ148" s="22"/>
      <c r="CWR148" s="22"/>
      <c r="CWS148" s="22"/>
      <c r="CWT148" s="22"/>
      <c r="CWU148" s="22"/>
      <c r="CWV148" s="22"/>
      <c r="CWW148" s="22"/>
      <c r="CWX148" s="22"/>
      <c r="CWY148" s="22"/>
      <c r="CWZ148" s="22"/>
      <c r="CXA148" s="22"/>
      <c r="CXB148" s="22"/>
      <c r="CXC148" s="22"/>
      <c r="CXD148" s="22"/>
      <c r="CXE148" s="22"/>
      <c r="CXF148" s="22"/>
      <c r="CXG148" s="22"/>
      <c r="CXH148" s="22"/>
      <c r="CXI148" s="22"/>
      <c r="CXJ148" s="22"/>
      <c r="CXK148" s="22"/>
      <c r="CXL148" s="22"/>
      <c r="CXM148" s="22"/>
      <c r="CXN148" s="22"/>
      <c r="CXO148" s="22"/>
      <c r="CXP148" s="22"/>
      <c r="CXQ148" s="22"/>
      <c r="CXR148" s="22"/>
      <c r="CXS148" s="22"/>
      <c r="CXT148" s="22"/>
      <c r="CXU148" s="22"/>
      <c r="CXV148" s="22"/>
      <c r="CXW148" s="22"/>
      <c r="CXX148" s="22"/>
      <c r="CXY148" s="22"/>
      <c r="CXZ148" s="22"/>
      <c r="CYA148" s="22"/>
      <c r="CYB148" s="22"/>
      <c r="CYC148" s="22"/>
      <c r="CYD148" s="22"/>
      <c r="CYE148" s="22"/>
      <c r="CYF148" s="22"/>
      <c r="CYG148" s="22"/>
      <c r="CYH148" s="22"/>
      <c r="CYI148" s="22"/>
      <c r="CYJ148" s="22"/>
      <c r="CYK148" s="22"/>
      <c r="CYL148" s="22"/>
      <c r="CYM148" s="22"/>
      <c r="CYN148" s="22"/>
      <c r="CYO148" s="22"/>
      <c r="CYP148" s="22"/>
      <c r="CYQ148" s="22"/>
      <c r="CYR148" s="22"/>
      <c r="CYS148" s="22"/>
      <c r="CYT148" s="22"/>
      <c r="CYU148" s="22"/>
      <c r="CYV148" s="22"/>
      <c r="CYW148" s="22"/>
      <c r="CYX148" s="22"/>
      <c r="CYY148" s="22"/>
      <c r="CYZ148" s="22"/>
      <c r="CZA148" s="22"/>
      <c r="CZB148" s="22"/>
      <c r="CZC148" s="22"/>
      <c r="CZD148" s="22"/>
      <c r="CZE148" s="22"/>
      <c r="CZF148" s="22"/>
      <c r="CZG148" s="22"/>
      <c r="CZH148" s="22"/>
      <c r="CZI148" s="22"/>
      <c r="CZJ148" s="22"/>
      <c r="CZK148" s="22"/>
      <c r="CZL148" s="22"/>
      <c r="CZM148" s="22"/>
      <c r="CZN148" s="22"/>
      <c r="CZO148" s="22"/>
      <c r="CZP148" s="22"/>
      <c r="CZQ148" s="22"/>
      <c r="CZR148" s="22"/>
      <c r="CZS148" s="22"/>
      <c r="CZT148" s="22"/>
      <c r="CZU148" s="22"/>
      <c r="CZV148" s="22"/>
      <c r="CZW148" s="22"/>
      <c r="CZX148" s="22"/>
      <c r="CZY148" s="22"/>
      <c r="CZZ148" s="22"/>
      <c r="DAA148" s="22"/>
      <c r="DAB148" s="22"/>
      <c r="DAC148" s="22"/>
      <c r="DAD148" s="22"/>
      <c r="DAE148" s="22"/>
      <c r="DAF148" s="22"/>
      <c r="DAG148" s="22"/>
      <c r="DAH148" s="22"/>
      <c r="DAI148" s="22"/>
      <c r="DAJ148" s="22"/>
      <c r="DAK148" s="22"/>
      <c r="DAL148" s="22"/>
      <c r="DAM148" s="22"/>
      <c r="DAN148" s="22"/>
      <c r="DAO148" s="22"/>
      <c r="DAP148" s="22"/>
      <c r="DAQ148" s="22"/>
      <c r="DAR148" s="22"/>
      <c r="DAS148" s="22"/>
      <c r="DAT148" s="22"/>
      <c r="DAU148" s="22"/>
      <c r="DAV148" s="22"/>
      <c r="DAW148" s="22"/>
      <c r="DAX148" s="22"/>
      <c r="DAY148" s="22"/>
      <c r="DAZ148" s="22"/>
      <c r="DBA148" s="22"/>
      <c r="DBB148" s="22"/>
      <c r="DBC148" s="22"/>
      <c r="DBD148" s="22"/>
      <c r="DBE148" s="22"/>
      <c r="DBF148" s="22"/>
      <c r="DBG148" s="22"/>
      <c r="DBH148" s="22"/>
      <c r="DBI148" s="22"/>
      <c r="DBJ148" s="22"/>
      <c r="DBK148" s="22"/>
      <c r="DBL148" s="22"/>
      <c r="DBM148" s="22"/>
      <c r="DBN148" s="22"/>
      <c r="DBO148" s="22"/>
      <c r="DBP148" s="22"/>
      <c r="DBQ148" s="22"/>
      <c r="DBR148" s="22"/>
      <c r="DBS148" s="22"/>
      <c r="DBT148" s="22"/>
      <c r="DBU148" s="22"/>
      <c r="DBV148" s="22"/>
      <c r="DBW148" s="22"/>
      <c r="DBX148" s="22"/>
      <c r="DBY148" s="22"/>
      <c r="DBZ148" s="22"/>
      <c r="DCA148" s="22"/>
      <c r="DCB148" s="22"/>
      <c r="DCC148" s="22"/>
      <c r="DCD148" s="22"/>
      <c r="DCE148" s="22"/>
      <c r="DCF148" s="22"/>
      <c r="DCG148" s="22"/>
      <c r="DCH148" s="22"/>
      <c r="DCI148" s="22"/>
      <c r="DCJ148" s="22"/>
      <c r="DCK148" s="22"/>
      <c r="DCL148" s="22"/>
      <c r="DCM148" s="22"/>
      <c r="DCN148" s="22"/>
      <c r="DCO148" s="22"/>
      <c r="DCP148" s="22"/>
      <c r="DCQ148" s="22"/>
      <c r="DCR148" s="22"/>
      <c r="DCS148" s="22"/>
      <c r="DCT148" s="22"/>
      <c r="DCU148" s="22"/>
      <c r="DCV148" s="22"/>
      <c r="DCW148" s="22"/>
      <c r="DCX148" s="22"/>
      <c r="DCY148" s="22"/>
      <c r="DCZ148" s="22"/>
      <c r="DDA148" s="22"/>
      <c r="DDB148" s="22"/>
      <c r="DDC148" s="22"/>
      <c r="DDD148" s="22"/>
      <c r="DDE148" s="22"/>
      <c r="DDF148" s="22"/>
      <c r="DDG148" s="22"/>
      <c r="DDH148" s="22"/>
      <c r="DDI148" s="22"/>
      <c r="DDJ148" s="22"/>
      <c r="DDK148" s="22"/>
      <c r="DDL148" s="22"/>
      <c r="DDM148" s="22"/>
      <c r="DDN148" s="22"/>
      <c r="DDO148" s="22"/>
      <c r="DDP148" s="22"/>
      <c r="DDQ148" s="22"/>
      <c r="DDR148" s="22"/>
      <c r="DDS148" s="22"/>
      <c r="DDT148" s="22"/>
      <c r="DDU148" s="22"/>
      <c r="DDV148" s="22"/>
      <c r="DDW148" s="22"/>
      <c r="DDX148" s="22"/>
      <c r="DDY148" s="22"/>
      <c r="DDZ148" s="22"/>
      <c r="DEA148" s="22"/>
      <c r="DEB148" s="22"/>
      <c r="DEC148" s="22"/>
      <c r="DED148" s="22"/>
      <c r="DEE148" s="22"/>
      <c r="DEF148" s="22"/>
      <c r="DEG148" s="22"/>
      <c r="DEH148" s="22"/>
      <c r="DEI148" s="22"/>
      <c r="DEJ148" s="22"/>
      <c r="DEK148" s="22"/>
      <c r="DEL148" s="22"/>
      <c r="DEM148" s="22"/>
      <c r="DEN148" s="22"/>
      <c r="DEO148" s="22"/>
      <c r="DEP148" s="22"/>
      <c r="DEQ148" s="22"/>
      <c r="DER148" s="22"/>
      <c r="DES148" s="22"/>
      <c r="DET148" s="22"/>
      <c r="DEU148" s="22"/>
      <c r="DEV148" s="22"/>
      <c r="DEW148" s="22"/>
      <c r="DEX148" s="22"/>
      <c r="DEY148" s="22"/>
      <c r="DEZ148" s="22"/>
      <c r="DFA148" s="22"/>
      <c r="DFB148" s="22"/>
      <c r="DFC148" s="22"/>
      <c r="DFD148" s="22"/>
      <c r="DFE148" s="22"/>
      <c r="DFF148" s="22"/>
      <c r="DFG148" s="22"/>
      <c r="DFH148" s="22"/>
      <c r="DFI148" s="22"/>
      <c r="DFJ148" s="22"/>
      <c r="DFK148" s="22"/>
      <c r="DFL148" s="22"/>
      <c r="DFM148" s="22"/>
      <c r="DFN148" s="22"/>
      <c r="DFO148" s="22"/>
      <c r="DFP148" s="22"/>
      <c r="DFQ148" s="22"/>
      <c r="DFR148" s="22"/>
      <c r="DFS148" s="22"/>
      <c r="DFT148" s="22"/>
      <c r="DFU148" s="22"/>
      <c r="DFV148" s="22"/>
      <c r="DFW148" s="22"/>
      <c r="DFX148" s="22"/>
      <c r="DFY148" s="22"/>
      <c r="DFZ148" s="22"/>
      <c r="DGA148" s="22"/>
      <c r="DGB148" s="22"/>
      <c r="DGC148" s="22"/>
      <c r="DGD148" s="22"/>
      <c r="DGE148" s="22"/>
      <c r="DGF148" s="22"/>
      <c r="DGG148" s="22"/>
      <c r="DGH148" s="22"/>
      <c r="DGI148" s="22"/>
      <c r="DGJ148" s="22"/>
      <c r="DGK148" s="22"/>
      <c r="DGL148" s="22"/>
      <c r="DGM148" s="22"/>
      <c r="DGN148" s="22"/>
      <c r="DGO148" s="22"/>
      <c r="DGP148" s="22"/>
      <c r="DGQ148" s="22"/>
      <c r="DGR148" s="22"/>
      <c r="DGS148" s="22"/>
      <c r="DGT148" s="22"/>
      <c r="DGU148" s="22"/>
      <c r="DGV148" s="22"/>
      <c r="DGW148" s="22"/>
      <c r="DGX148" s="22"/>
      <c r="DGY148" s="22"/>
      <c r="DGZ148" s="22"/>
      <c r="DHA148" s="22"/>
      <c r="DHB148" s="22"/>
      <c r="DHC148" s="22"/>
      <c r="DHD148" s="22"/>
      <c r="DHE148" s="22"/>
      <c r="DHF148" s="22"/>
      <c r="DHG148" s="22"/>
      <c r="DHH148" s="22"/>
      <c r="DHI148" s="22"/>
      <c r="DHJ148" s="22"/>
      <c r="DHK148" s="22"/>
      <c r="DHL148" s="22"/>
      <c r="DHM148" s="22"/>
      <c r="DHN148" s="22"/>
      <c r="DHO148" s="22"/>
      <c r="DHP148" s="22"/>
      <c r="DHQ148" s="22"/>
      <c r="DHR148" s="22"/>
      <c r="DHS148" s="22"/>
      <c r="DHT148" s="22"/>
      <c r="DHU148" s="22"/>
      <c r="DHV148" s="22"/>
      <c r="DHW148" s="22"/>
      <c r="DHX148" s="22"/>
      <c r="DHY148" s="22"/>
      <c r="DHZ148" s="22"/>
      <c r="DIA148" s="22"/>
      <c r="DIB148" s="22"/>
      <c r="DIC148" s="22"/>
      <c r="DID148" s="22"/>
      <c r="DIE148" s="22"/>
      <c r="DIF148" s="22"/>
      <c r="DIG148" s="22"/>
      <c r="DIH148" s="22"/>
      <c r="DII148" s="22"/>
      <c r="DIJ148" s="22"/>
      <c r="DIK148" s="22"/>
      <c r="DIL148" s="22"/>
      <c r="DIM148" s="22"/>
      <c r="DIN148" s="22"/>
      <c r="DIO148" s="22"/>
      <c r="DIP148" s="22"/>
      <c r="DIQ148" s="22"/>
      <c r="DIR148" s="22"/>
      <c r="DIS148" s="22"/>
      <c r="DIT148" s="22"/>
      <c r="DIU148" s="22"/>
      <c r="DIV148" s="22"/>
      <c r="DIW148" s="22"/>
      <c r="DIX148" s="22"/>
      <c r="DIY148" s="22"/>
      <c r="DIZ148" s="22"/>
      <c r="DJA148" s="22"/>
      <c r="DJB148" s="22"/>
      <c r="DJC148" s="22"/>
      <c r="DJD148" s="22"/>
      <c r="DJE148" s="22"/>
      <c r="DJF148" s="22"/>
      <c r="DJG148" s="22"/>
      <c r="DJH148" s="22"/>
      <c r="DJI148" s="22"/>
      <c r="DJJ148" s="22"/>
      <c r="DJK148" s="22"/>
      <c r="DJL148" s="22"/>
      <c r="DJM148" s="22"/>
      <c r="DJN148" s="22"/>
      <c r="DJO148" s="22"/>
      <c r="DJP148" s="22"/>
      <c r="DJQ148" s="22"/>
      <c r="DJR148" s="22"/>
      <c r="DJS148" s="22"/>
      <c r="DJT148" s="22"/>
      <c r="DJU148" s="22"/>
      <c r="DJV148" s="22"/>
      <c r="DJW148" s="22"/>
      <c r="DJX148" s="22"/>
      <c r="DJY148" s="22"/>
      <c r="DJZ148" s="22"/>
      <c r="DKA148" s="22"/>
      <c r="DKB148" s="22"/>
      <c r="DKC148" s="22"/>
      <c r="DKD148" s="22"/>
      <c r="DKE148" s="22"/>
      <c r="DKF148" s="22"/>
      <c r="DKG148" s="22"/>
      <c r="DKH148" s="22"/>
      <c r="DKI148" s="22"/>
      <c r="DKJ148" s="22"/>
      <c r="DKK148" s="22"/>
      <c r="DKL148" s="22"/>
      <c r="DKM148" s="22"/>
      <c r="DKN148" s="22"/>
      <c r="DKO148" s="22"/>
      <c r="DKP148" s="22"/>
      <c r="DKQ148" s="22"/>
      <c r="DKR148" s="22"/>
      <c r="DKS148" s="22"/>
      <c r="DKT148" s="22"/>
      <c r="DKU148" s="22"/>
      <c r="DKV148" s="22"/>
      <c r="DKW148" s="22"/>
      <c r="DKX148" s="22"/>
      <c r="DKY148" s="22"/>
      <c r="DKZ148" s="22"/>
      <c r="DLA148" s="22"/>
      <c r="DLB148" s="22"/>
      <c r="DLC148" s="22"/>
      <c r="DLD148" s="22"/>
      <c r="DLE148" s="22"/>
      <c r="DLF148" s="22"/>
      <c r="DLG148" s="22"/>
      <c r="DLH148" s="22"/>
      <c r="DLI148" s="22"/>
      <c r="DLJ148" s="22"/>
      <c r="DLK148" s="22"/>
      <c r="DLL148" s="22"/>
      <c r="DLM148" s="22"/>
      <c r="DLN148" s="22"/>
      <c r="DLO148" s="22"/>
      <c r="DLP148" s="22"/>
      <c r="DLQ148" s="22"/>
      <c r="DLR148" s="22"/>
      <c r="DLS148" s="22"/>
      <c r="DLT148" s="22"/>
      <c r="DLU148" s="22"/>
      <c r="DLV148" s="22"/>
      <c r="DLW148" s="22"/>
      <c r="DLX148" s="22"/>
      <c r="DLY148" s="22"/>
      <c r="DLZ148" s="22"/>
      <c r="DMA148" s="22"/>
      <c r="DMB148" s="22"/>
      <c r="DMC148" s="22"/>
      <c r="DMD148" s="22"/>
      <c r="DME148" s="22"/>
      <c r="DMF148" s="22"/>
      <c r="DMG148" s="22"/>
      <c r="DMH148" s="22"/>
      <c r="DMI148" s="22"/>
      <c r="DMJ148" s="22"/>
      <c r="DMK148" s="22"/>
      <c r="DML148" s="22"/>
      <c r="DMM148" s="22"/>
      <c r="DMN148" s="22"/>
      <c r="DMO148" s="22"/>
      <c r="DMP148" s="22"/>
      <c r="DMQ148" s="22"/>
      <c r="DMR148" s="22"/>
      <c r="DMS148" s="22"/>
      <c r="DMT148" s="22"/>
      <c r="DMU148" s="22"/>
      <c r="DMV148" s="22"/>
      <c r="DMW148" s="22"/>
      <c r="DMX148" s="22"/>
      <c r="DMY148" s="22"/>
      <c r="DMZ148" s="22"/>
      <c r="DNA148" s="22"/>
      <c r="DNB148" s="22"/>
      <c r="DNC148" s="22"/>
      <c r="DND148" s="22"/>
      <c r="DNE148" s="22"/>
      <c r="DNF148" s="22"/>
      <c r="DNG148" s="22"/>
      <c r="DNH148" s="22"/>
      <c r="DNI148" s="22"/>
      <c r="DNJ148" s="22"/>
      <c r="DNK148" s="22"/>
      <c r="DNL148" s="22"/>
      <c r="DNM148" s="22"/>
      <c r="DNN148" s="22"/>
      <c r="DNO148" s="22"/>
      <c r="DNP148" s="22"/>
      <c r="DNQ148" s="22"/>
      <c r="DNR148" s="22"/>
      <c r="DNS148" s="22"/>
      <c r="DNT148" s="22"/>
      <c r="DNU148" s="22"/>
      <c r="DNV148" s="22"/>
      <c r="DNW148" s="22"/>
      <c r="DNX148" s="22"/>
      <c r="DNY148" s="22"/>
      <c r="DNZ148" s="22"/>
      <c r="DOA148" s="22"/>
      <c r="DOB148" s="22"/>
      <c r="DOC148" s="22"/>
      <c r="DOD148" s="22"/>
      <c r="DOE148" s="22"/>
      <c r="DOF148" s="22"/>
      <c r="DOG148" s="22"/>
      <c r="DOH148" s="22"/>
      <c r="DOI148" s="22"/>
      <c r="DOJ148" s="22"/>
      <c r="DOK148" s="22"/>
      <c r="DOL148" s="22"/>
      <c r="DOM148" s="22"/>
      <c r="DON148" s="22"/>
      <c r="DOO148" s="22"/>
      <c r="DOP148" s="22"/>
      <c r="DOQ148" s="22"/>
      <c r="DOR148" s="22"/>
      <c r="DOS148" s="22"/>
      <c r="DOT148" s="22"/>
      <c r="DOU148" s="22"/>
      <c r="DOV148" s="22"/>
      <c r="DOW148" s="22"/>
      <c r="DOX148" s="22"/>
      <c r="DOY148" s="22"/>
      <c r="DOZ148" s="22"/>
      <c r="DPA148" s="22"/>
      <c r="DPB148" s="22"/>
      <c r="DPC148" s="22"/>
      <c r="DPD148" s="22"/>
      <c r="DPE148" s="22"/>
      <c r="DPF148" s="22"/>
      <c r="DPG148" s="22"/>
      <c r="DPH148" s="22"/>
      <c r="DPI148" s="22"/>
      <c r="DPJ148" s="22"/>
      <c r="DPK148" s="22"/>
      <c r="DPL148" s="22"/>
      <c r="DPM148" s="22"/>
      <c r="DPN148" s="22"/>
      <c r="DPO148" s="22"/>
      <c r="DPP148" s="22"/>
      <c r="DPQ148" s="22"/>
      <c r="DPR148" s="22"/>
      <c r="DPS148" s="22"/>
      <c r="DPT148" s="22"/>
      <c r="DPU148" s="22"/>
      <c r="DPV148" s="22"/>
      <c r="DPW148" s="22"/>
      <c r="DPX148" s="22"/>
      <c r="DPY148" s="22"/>
      <c r="DPZ148" s="22"/>
      <c r="DQA148" s="22"/>
      <c r="DQB148" s="22"/>
      <c r="DQC148" s="22"/>
      <c r="DQD148" s="22"/>
      <c r="DQE148" s="22"/>
      <c r="DQF148" s="22"/>
      <c r="DQG148" s="22"/>
      <c r="DQH148" s="22"/>
      <c r="DQI148" s="22"/>
      <c r="DQJ148" s="22"/>
      <c r="DQK148" s="22"/>
      <c r="DQL148" s="22"/>
      <c r="DQM148" s="22"/>
      <c r="DQN148" s="22"/>
      <c r="DQO148" s="22"/>
      <c r="DQP148" s="22"/>
      <c r="DQQ148" s="22"/>
      <c r="DQR148" s="22"/>
      <c r="DQS148" s="22"/>
      <c r="DQT148" s="22"/>
      <c r="DQU148" s="22"/>
      <c r="DQV148" s="22"/>
      <c r="DQW148" s="22"/>
      <c r="DQX148" s="22"/>
      <c r="DQY148" s="22"/>
      <c r="DQZ148" s="22"/>
      <c r="DRA148" s="22"/>
      <c r="DRB148" s="22"/>
      <c r="DRC148" s="22"/>
      <c r="DRD148" s="22"/>
      <c r="DRE148" s="22"/>
      <c r="DRF148" s="22"/>
      <c r="DRG148" s="22"/>
      <c r="DRH148" s="22"/>
      <c r="DRI148" s="22"/>
      <c r="DRJ148" s="22"/>
      <c r="DRK148" s="22"/>
      <c r="DRL148" s="22"/>
      <c r="DRM148" s="22"/>
      <c r="DRN148" s="22"/>
      <c r="DRO148" s="22"/>
      <c r="DRP148" s="22"/>
      <c r="DRQ148" s="22"/>
      <c r="DRR148" s="22"/>
      <c r="DRS148" s="22"/>
      <c r="DRT148" s="22"/>
      <c r="DRU148" s="22"/>
      <c r="DRV148" s="22"/>
      <c r="DRW148" s="22"/>
      <c r="DRX148" s="22"/>
      <c r="DRY148" s="22"/>
      <c r="DRZ148" s="22"/>
      <c r="DSA148" s="22"/>
      <c r="DSB148" s="22"/>
      <c r="DSC148" s="22"/>
      <c r="DSD148" s="22"/>
      <c r="DSE148" s="22"/>
      <c r="DSF148" s="22"/>
      <c r="DSG148" s="22"/>
      <c r="DSH148" s="22"/>
      <c r="DSI148" s="22"/>
      <c r="DSJ148" s="22"/>
      <c r="DSK148" s="22"/>
      <c r="DSL148" s="22"/>
      <c r="DSM148" s="22"/>
      <c r="DSN148" s="22"/>
      <c r="DSO148" s="22"/>
      <c r="DSP148" s="22"/>
      <c r="DSQ148" s="22"/>
      <c r="DSR148" s="22"/>
      <c r="DSS148" s="22"/>
      <c r="DST148" s="22"/>
      <c r="DSU148" s="22"/>
      <c r="DSV148" s="22"/>
      <c r="DSW148" s="22"/>
      <c r="DSX148" s="22"/>
      <c r="DSY148" s="22"/>
      <c r="DSZ148" s="22"/>
      <c r="DTA148" s="22"/>
      <c r="DTB148" s="22"/>
      <c r="DTC148" s="22"/>
      <c r="DTD148" s="22"/>
      <c r="DTE148" s="22"/>
      <c r="DTF148" s="22"/>
      <c r="DTG148" s="22"/>
      <c r="DTH148" s="22"/>
      <c r="DTI148" s="22"/>
      <c r="DTJ148" s="22"/>
      <c r="DTK148" s="22"/>
      <c r="DTL148" s="22"/>
      <c r="DTM148" s="22"/>
      <c r="DTN148" s="22"/>
      <c r="DTO148" s="22"/>
      <c r="DTP148" s="22"/>
      <c r="DTQ148" s="22"/>
      <c r="DTR148" s="22"/>
      <c r="DTS148" s="22"/>
      <c r="DTT148" s="22"/>
      <c r="DTU148" s="22"/>
      <c r="DTV148" s="22"/>
      <c r="DTW148" s="22"/>
      <c r="DTX148" s="22"/>
      <c r="DTY148" s="22"/>
      <c r="DTZ148" s="22"/>
      <c r="DUA148" s="22"/>
      <c r="DUB148" s="22"/>
      <c r="DUC148" s="22"/>
      <c r="DUD148" s="22"/>
      <c r="DUE148" s="22"/>
      <c r="DUF148" s="22"/>
      <c r="DUG148" s="22"/>
      <c r="DUH148" s="22"/>
      <c r="DUI148" s="22"/>
      <c r="DUJ148" s="22"/>
      <c r="DUK148" s="22"/>
      <c r="DUL148" s="22"/>
      <c r="DUM148" s="22"/>
      <c r="DUN148" s="22"/>
      <c r="DUO148" s="22"/>
      <c r="DUP148" s="22"/>
      <c r="DUQ148" s="22"/>
      <c r="DUR148" s="22"/>
      <c r="DUS148" s="22"/>
      <c r="DUT148" s="22"/>
      <c r="DUU148" s="22"/>
      <c r="DUV148" s="22"/>
      <c r="DUW148" s="22"/>
      <c r="DUX148" s="22"/>
      <c r="DUY148" s="22"/>
      <c r="DUZ148" s="22"/>
      <c r="DVA148" s="22"/>
      <c r="DVB148" s="22"/>
      <c r="DVC148" s="22"/>
      <c r="DVD148" s="22"/>
      <c r="DVE148" s="22"/>
      <c r="DVF148" s="22"/>
      <c r="DVG148" s="22"/>
      <c r="DVH148" s="22"/>
      <c r="DVI148" s="22"/>
      <c r="DVJ148" s="22"/>
      <c r="DVK148" s="22"/>
      <c r="DVL148" s="22"/>
      <c r="DVM148" s="22"/>
      <c r="DVN148" s="22"/>
      <c r="DVO148" s="22"/>
      <c r="DVP148" s="22"/>
      <c r="DVQ148" s="22"/>
      <c r="DVR148" s="22"/>
      <c r="DVS148" s="22"/>
      <c r="DVT148" s="22"/>
      <c r="DVU148" s="22"/>
      <c r="DVV148" s="22"/>
      <c r="DVW148" s="22"/>
      <c r="DVX148" s="22"/>
      <c r="DVY148" s="22"/>
      <c r="DVZ148" s="22"/>
      <c r="DWA148" s="22"/>
      <c r="DWB148" s="22"/>
      <c r="DWC148" s="22"/>
      <c r="DWD148" s="22"/>
      <c r="DWE148" s="22"/>
      <c r="DWF148" s="22"/>
      <c r="DWG148" s="22"/>
      <c r="DWH148" s="22"/>
      <c r="DWI148" s="22"/>
      <c r="DWJ148" s="22"/>
      <c r="DWK148" s="22"/>
      <c r="DWL148" s="22"/>
      <c r="DWM148" s="22"/>
      <c r="DWN148" s="22"/>
      <c r="DWO148" s="22"/>
      <c r="DWP148" s="22"/>
      <c r="DWQ148" s="22"/>
      <c r="DWR148" s="22"/>
      <c r="DWS148" s="22"/>
      <c r="DWT148" s="22"/>
      <c r="DWU148" s="22"/>
      <c r="DWV148" s="22"/>
      <c r="DWW148" s="22"/>
      <c r="DWX148" s="22"/>
      <c r="DWY148" s="22"/>
      <c r="DWZ148" s="22"/>
      <c r="DXA148" s="22"/>
      <c r="DXB148" s="22"/>
      <c r="DXC148" s="22"/>
      <c r="DXD148" s="22"/>
      <c r="DXE148" s="22"/>
      <c r="DXF148" s="22"/>
      <c r="DXG148" s="22"/>
      <c r="DXH148" s="22"/>
      <c r="DXI148" s="22"/>
      <c r="DXJ148" s="22"/>
      <c r="DXK148" s="22"/>
      <c r="DXL148" s="22"/>
      <c r="DXM148" s="22"/>
      <c r="DXN148" s="22"/>
      <c r="DXO148" s="22"/>
      <c r="DXP148" s="22"/>
      <c r="DXQ148" s="22"/>
      <c r="DXR148" s="22"/>
      <c r="DXS148" s="22"/>
      <c r="DXT148" s="22"/>
      <c r="DXU148" s="22"/>
      <c r="DXV148" s="22"/>
      <c r="DXW148" s="22"/>
      <c r="DXX148" s="22"/>
      <c r="DXY148" s="22"/>
      <c r="DXZ148" s="22"/>
      <c r="DYA148" s="22"/>
      <c r="DYB148" s="22"/>
      <c r="DYC148" s="22"/>
      <c r="DYD148" s="22"/>
      <c r="DYE148" s="22"/>
      <c r="DYF148" s="22"/>
      <c r="DYG148" s="22"/>
      <c r="DYH148" s="22"/>
      <c r="DYI148" s="22"/>
      <c r="DYJ148" s="22"/>
      <c r="DYK148" s="22"/>
      <c r="DYL148" s="22"/>
      <c r="DYM148" s="22"/>
      <c r="DYN148" s="22"/>
      <c r="DYO148" s="22"/>
      <c r="DYP148" s="22"/>
      <c r="DYQ148" s="22"/>
      <c r="DYR148" s="22"/>
      <c r="DYS148" s="22"/>
      <c r="DYT148" s="22"/>
      <c r="DYU148" s="22"/>
      <c r="DYV148" s="22"/>
      <c r="DYW148" s="22"/>
      <c r="DYX148" s="22"/>
      <c r="DYY148" s="22"/>
      <c r="DYZ148" s="22"/>
      <c r="DZA148" s="22"/>
      <c r="DZB148" s="22"/>
      <c r="DZC148" s="22"/>
      <c r="DZD148" s="22"/>
      <c r="DZE148" s="22"/>
      <c r="DZF148" s="22"/>
      <c r="DZG148" s="22"/>
      <c r="DZH148" s="22"/>
      <c r="DZI148" s="22"/>
      <c r="DZJ148" s="22"/>
      <c r="DZK148" s="22"/>
      <c r="DZL148" s="22"/>
      <c r="DZM148" s="22"/>
      <c r="DZN148" s="22"/>
      <c r="DZO148" s="22"/>
      <c r="DZP148" s="22"/>
      <c r="DZQ148" s="22"/>
      <c r="DZR148" s="22"/>
      <c r="DZS148" s="22"/>
      <c r="DZT148" s="22"/>
      <c r="DZU148" s="22"/>
      <c r="DZV148" s="22"/>
      <c r="DZW148" s="22"/>
      <c r="DZX148" s="22"/>
      <c r="DZY148" s="22"/>
      <c r="DZZ148" s="22"/>
      <c r="EAA148" s="22"/>
      <c r="EAB148" s="22"/>
      <c r="EAC148" s="22"/>
      <c r="EAD148" s="22"/>
      <c r="EAE148" s="22"/>
      <c r="EAF148" s="22"/>
      <c r="EAG148" s="22"/>
      <c r="EAH148" s="22"/>
      <c r="EAI148" s="22"/>
      <c r="EAJ148" s="22"/>
      <c r="EAK148" s="22"/>
      <c r="EAL148" s="22"/>
      <c r="EAM148" s="22"/>
      <c r="EAN148" s="22"/>
      <c r="EAO148" s="22"/>
      <c r="EAP148" s="22"/>
      <c r="EAQ148" s="22"/>
      <c r="EAR148" s="22"/>
      <c r="EAS148" s="22"/>
      <c r="EAT148" s="22"/>
      <c r="EAU148" s="22"/>
      <c r="EAV148" s="22"/>
      <c r="EAW148" s="22"/>
      <c r="EAX148" s="22"/>
      <c r="EAY148" s="22"/>
      <c r="EAZ148" s="22"/>
      <c r="EBA148" s="22"/>
      <c r="EBB148" s="22"/>
      <c r="EBC148" s="22"/>
      <c r="EBD148" s="22"/>
      <c r="EBE148" s="22"/>
      <c r="EBF148" s="22"/>
      <c r="EBG148" s="22"/>
      <c r="EBH148" s="22"/>
      <c r="EBI148" s="22"/>
      <c r="EBJ148" s="22"/>
      <c r="EBK148" s="22"/>
      <c r="EBL148" s="22"/>
      <c r="EBM148" s="22"/>
      <c r="EBN148" s="22"/>
      <c r="EBO148" s="22"/>
      <c r="EBP148" s="22"/>
      <c r="EBQ148" s="22"/>
      <c r="EBR148" s="22"/>
      <c r="EBS148" s="22"/>
      <c r="EBT148" s="22"/>
      <c r="EBU148" s="22"/>
      <c r="EBV148" s="22"/>
      <c r="EBW148" s="22"/>
      <c r="EBX148" s="22"/>
      <c r="EBY148" s="22"/>
      <c r="EBZ148" s="22"/>
      <c r="ECA148" s="22"/>
      <c r="ECB148" s="22"/>
      <c r="ECC148" s="22"/>
      <c r="ECD148" s="22"/>
      <c r="ECE148" s="22"/>
      <c r="ECF148" s="22"/>
      <c r="ECG148" s="22"/>
      <c r="ECH148" s="22"/>
      <c r="ECI148" s="22"/>
      <c r="ECJ148" s="22"/>
      <c r="ECK148" s="22"/>
      <c r="ECL148" s="22"/>
      <c r="ECM148" s="22"/>
      <c r="ECN148" s="22"/>
      <c r="ECO148" s="22"/>
      <c r="ECP148" s="22"/>
      <c r="ECQ148" s="22"/>
      <c r="ECR148" s="22"/>
      <c r="ECS148" s="22"/>
      <c r="ECT148" s="22"/>
      <c r="ECU148" s="22"/>
      <c r="ECV148" s="22"/>
      <c r="ECW148" s="22"/>
      <c r="ECX148" s="22"/>
      <c r="ECY148" s="22"/>
      <c r="ECZ148" s="22"/>
      <c r="EDA148" s="22"/>
      <c r="EDB148" s="22"/>
      <c r="EDC148" s="22"/>
      <c r="EDD148" s="22"/>
      <c r="EDE148" s="22"/>
      <c r="EDF148" s="22"/>
      <c r="EDG148" s="22"/>
      <c r="EDH148" s="22"/>
      <c r="EDI148" s="22"/>
      <c r="EDJ148" s="22"/>
      <c r="EDK148" s="22"/>
      <c r="EDL148" s="22"/>
      <c r="EDM148" s="22"/>
      <c r="EDN148" s="22"/>
      <c r="EDO148" s="22"/>
      <c r="EDP148" s="22"/>
      <c r="EDQ148" s="22"/>
      <c r="EDR148" s="22"/>
      <c r="EDS148" s="22"/>
      <c r="EDT148" s="22"/>
      <c r="EDU148" s="22"/>
      <c r="EDV148" s="22"/>
      <c r="EDW148" s="22"/>
      <c r="EDX148" s="22"/>
      <c r="EDY148" s="22"/>
      <c r="EDZ148" s="22"/>
      <c r="EEA148" s="22"/>
      <c r="EEB148" s="22"/>
      <c r="EEC148" s="22"/>
      <c r="EED148" s="22"/>
      <c r="EEE148" s="22"/>
      <c r="EEF148" s="22"/>
      <c r="EEG148" s="22"/>
      <c r="EEH148" s="22"/>
      <c r="EEI148" s="22"/>
      <c r="EEJ148" s="22"/>
      <c r="EEK148" s="22"/>
      <c r="EEL148" s="22"/>
      <c r="EEM148" s="22"/>
      <c r="EEN148" s="22"/>
      <c r="EEO148" s="22"/>
      <c r="EEP148" s="22"/>
      <c r="EEQ148" s="22"/>
      <c r="EER148" s="22"/>
      <c r="EES148" s="22"/>
      <c r="EET148" s="22"/>
      <c r="EEU148" s="22"/>
      <c r="EEV148" s="22"/>
      <c r="EEW148" s="22"/>
      <c r="EEX148" s="22"/>
      <c r="EEY148" s="22"/>
      <c r="EEZ148" s="22"/>
      <c r="EFA148" s="22"/>
      <c r="EFB148" s="22"/>
      <c r="EFC148" s="22"/>
      <c r="EFD148" s="22"/>
      <c r="EFE148" s="22"/>
      <c r="EFF148" s="22"/>
      <c r="EFG148" s="22"/>
      <c r="EFH148" s="22"/>
      <c r="EFI148" s="22"/>
      <c r="EFJ148" s="22"/>
      <c r="EFK148" s="22"/>
      <c r="EFL148" s="22"/>
      <c r="EFM148" s="22"/>
      <c r="EFN148" s="22"/>
      <c r="EFO148" s="22"/>
      <c r="EFP148" s="22"/>
      <c r="EFQ148" s="22"/>
      <c r="EFR148" s="22"/>
      <c r="EFS148" s="22"/>
      <c r="EFT148" s="22"/>
      <c r="EFU148" s="22"/>
      <c r="EFV148" s="22"/>
      <c r="EFW148" s="22"/>
      <c r="EFX148" s="22"/>
      <c r="EFY148" s="22"/>
      <c r="EFZ148" s="22"/>
      <c r="EGA148" s="22"/>
      <c r="EGB148" s="22"/>
      <c r="EGC148" s="22"/>
      <c r="EGD148" s="22"/>
      <c r="EGE148" s="22"/>
      <c r="EGF148" s="22"/>
      <c r="EGG148" s="22"/>
      <c r="EGH148" s="22"/>
      <c r="EGI148" s="22"/>
      <c r="EGJ148" s="22"/>
      <c r="EGK148" s="22"/>
      <c r="EGL148" s="22"/>
      <c r="EGM148" s="22"/>
      <c r="EGN148" s="22"/>
      <c r="EGO148" s="22"/>
      <c r="EGP148" s="22"/>
      <c r="EGQ148" s="22"/>
      <c r="EGR148" s="22"/>
      <c r="EGS148" s="22"/>
      <c r="EGT148" s="22"/>
      <c r="EGU148" s="22"/>
      <c r="EGV148" s="22"/>
      <c r="EGW148" s="22"/>
      <c r="EGX148" s="22"/>
      <c r="EGY148" s="22"/>
      <c r="EGZ148" s="22"/>
      <c r="EHA148" s="22"/>
      <c r="EHB148" s="22"/>
      <c r="EHC148" s="22"/>
      <c r="EHD148" s="22"/>
      <c r="EHE148" s="22"/>
      <c r="EHF148" s="22"/>
      <c r="EHG148" s="22"/>
      <c r="EHH148" s="22"/>
      <c r="EHI148" s="22"/>
      <c r="EHJ148" s="22"/>
      <c r="EHK148" s="22"/>
      <c r="EHL148" s="22"/>
      <c r="EHM148" s="22"/>
      <c r="EHN148" s="22"/>
      <c r="EHO148" s="22"/>
      <c r="EHP148" s="22"/>
      <c r="EHQ148" s="22"/>
      <c r="EHR148" s="22"/>
      <c r="EHS148" s="22"/>
      <c r="EHT148" s="22"/>
      <c r="EHU148" s="22"/>
      <c r="EHV148" s="22"/>
      <c r="EHW148" s="22"/>
      <c r="EHX148" s="22"/>
      <c r="EHY148" s="22"/>
      <c r="EHZ148" s="22"/>
      <c r="EIA148" s="22"/>
      <c r="EIB148" s="22"/>
      <c r="EIC148" s="22"/>
      <c r="EID148" s="22"/>
      <c r="EIE148" s="22"/>
      <c r="EIF148" s="22"/>
      <c r="EIG148" s="22"/>
      <c r="EIH148" s="22"/>
      <c r="EII148" s="22"/>
      <c r="EIJ148" s="22"/>
      <c r="EIK148" s="22"/>
      <c r="EIL148" s="22"/>
      <c r="EIM148" s="22"/>
      <c r="EIN148" s="22"/>
      <c r="EIO148" s="22"/>
      <c r="EIP148" s="22"/>
      <c r="EIQ148" s="22"/>
      <c r="EIR148" s="22"/>
      <c r="EIS148" s="22"/>
      <c r="EIT148" s="22"/>
      <c r="EIU148" s="22"/>
      <c r="EIV148" s="22"/>
      <c r="EIW148" s="22"/>
      <c r="EIX148" s="22"/>
      <c r="EIY148" s="22"/>
      <c r="EIZ148" s="22"/>
      <c r="EJA148" s="22"/>
      <c r="EJB148" s="22"/>
      <c r="EJC148" s="22"/>
      <c r="EJD148" s="22"/>
      <c r="EJE148" s="22"/>
      <c r="EJF148" s="22"/>
      <c r="EJG148" s="22"/>
      <c r="EJH148" s="22"/>
      <c r="EJI148" s="22"/>
      <c r="EJJ148" s="22"/>
      <c r="EJK148" s="22"/>
      <c r="EJL148" s="22"/>
      <c r="EJM148" s="22"/>
      <c r="EJN148" s="22"/>
      <c r="EJO148" s="22"/>
      <c r="EJP148" s="22"/>
      <c r="EJQ148" s="22"/>
      <c r="EJR148" s="22"/>
      <c r="EJS148" s="22"/>
      <c r="EJT148" s="22"/>
      <c r="EJU148" s="22"/>
      <c r="EJV148" s="22"/>
      <c r="EJW148" s="22"/>
      <c r="EJX148" s="22"/>
      <c r="EJY148" s="22"/>
      <c r="EJZ148" s="22"/>
      <c r="EKA148" s="22"/>
      <c r="EKB148" s="22"/>
      <c r="EKC148" s="22"/>
      <c r="EKD148" s="22"/>
      <c r="EKE148" s="22"/>
      <c r="EKF148" s="22"/>
      <c r="EKG148" s="22"/>
      <c r="EKH148" s="22"/>
      <c r="EKI148" s="22"/>
      <c r="EKJ148" s="22"/>
      <c r="EKK148" s="22"/>
      <c r="EKL148" s="22"/>
      <c r="EKM148" s="22"/>
      <c r="EKN148" s="22"/>
      <c r="EKO148" s="22"/>
      <c r="EKP148" s="22"/>
      <c r="EKQ148" s="22"/>
      <c r="EKR148" s="22"/>
      <c r="EKS148" s="22"/>
      <c r="EKT148" s="22"/>
      <c r="EKU148" s="22"/>
      <c r="EKV148" s="22"/>
      <c r="EKW148" s="22"/>
      <c r="EKX148" s="22"/>
      <c r="EKY148" s="22"/>
      <c r="EKZ148" s="22"/>
      <c r="ELA148" s="22"/>
      <c r="ELB148" s="22"/>
      <c r="ELC148" s="22"/>
      <c r="ELD148" s="22"/>
      <c r="ELE148" s="22"/>
      <c r="ELF148" s="22"/>
      <c r="ELG148" s="22"/>
      <c r="ELH148" s="22"/>
      <c r="ELI148" s="22"/>
      <c r="ELJ148" s="22"/>
      <c r="ELK148" s="22"/>
      <c r="ELL148" s="22"/>
      <c r="ELM148" s="22"/>
      <c r="ELN148" s="22"/>
      <c r="ELO148" s="22"/>
      <c r="ELP148" s="22"/>
      <c r="ELQ148" s="22"/>
      <c r="ELR148" s="22"/>
      <c r="ELS148" s="22"/>
      <c r="ELT148" s="22"/>
      <c r="ELU148" s="22"/>
      <c r="ELV148" s="22"/>
      <c r="ELW148" s="22"/>
      <c r="ELX148" s="22"/>
      <c r="ELY148" s="22"/>
      <c r="ELZ148" s="22"/>
      <c r="EMA148" s="22"/>
      <c r="EMB148" s="22"/>
      <c r="EMC148" s="22"/>
      <c r="EMD148" s="22"/>
      <c r="EME148" s="22"/>
      <c r="EMF148" s="22"/>
      <c r="EMG148" s="22"/>
      <c r="EMH148" s="22"/>
      <c r="EMI148" s="22"/>
      <c r="EMJ148" s="22"/>
      <c r="EMK148" s="22"/>
      <c r="EML148" s="22"/>
      <c r="EMM148" s="22"/>
      <c r="EMN148" s="22"/>
      <c r="EMO148" s="22"/>
      <c r="EMP148" s="22"/>
      <c r="EMQ148" s="22"/>
      <c r="EMR148" s="22"/>
      <c r="EMS148" s="22"/>
      <c r="EMT148" s="22"/>
      <c r="EMU148" s="22"/>
      <c r="EMV148" s="22"/>
      <c r="EMW148" s="22"/>
      <c r="EMX148" s="22"/>
      <c r="EMY148" s="22"/>
      <c r="EMZ148" s="22"/>
      <c r="ENA148" s="22"/>
      <c r="ENB148" s="22"/>
      <c r="ENC148" s="22"/>
      <c r="END148" s="22"/>
      <c r="ENE148" s="22"/>
      <c r="ENF148" s="22"/>
      <c r="ENG148" s="22"/>
      <c r="ENH148" s="22"/>
      <c r="ENI148" s="22"/>
      <c r="ENJ148" s="22"/>
      <c r="ENK148" s="22"/>
      <c r="ENL148" s="22"/>
      <c r="ENM148" s="22"/>
      <c r="ENN148" s="22"/>
      <c r="ENO148" s="22"/>
      <c r="ENP148" s="22"/>
      <c r="ENQ148" s="22"/>
      <c r="ENR148" s="22"/>
      <c r="ENS148" s="22"/>
      <c r="ENT148" s="22"/>
      <c r="ENU148" s="22"/>
      <c r="ENV148" s="22"/>
      <c r="ENW148" s="22"/>
      <c r="ENX148" s="22"/>
      <c r="ENY148" s="22"/>
      <c r="ENZ148" s="22"/>
      <c r="EOA148" s="22"/>
      <c r="EOB148" s="22"/>
      <c r="EOC148" s="22"/>
      <c r="EOD148" s="22"/>
      <c r="EOE148" s="22"/>
      <c r="EOF148" s="22"/>
      <c r="EOG148" s="22"/>
      <c r="EOH148" s="22"/>
      <c r="EOI148" s="22"/>
      <c r="EOJ148" s="22"/>
      <c r="EOK148" s="22"/>
      <c r="EOL148" s="22"/>
      <c r="EOM148" s="22"/>
      <c r="EON148" s="22"/>
      <c r="EOO148" s="22"/>
      <c r="EOP148" s="22"/>
      <c r="EOQ148" s="22"/>
      <c r="EOR148" s="22"/>
      <c r="EOS148" s="22"/>
      <c r="EOT148" s="22"/>
      <c r="EOU148" s="22"/>
      <c r="EOV148" s="22"/>
      <c r="EOW148" s="22"/>
      <c r="EOX148" s="22"/>
      <c r="EOY148" s="22"/>
      <c r="EOZ148" s="22"/>
      <c r="EPA148" s="22"/>
      <c r="EPB148" s="22"/>
      <c r="EPC148" s="22"/>
      <c r="EPD148" s="22"/>
      <c r="EPE148" s="22"/>
      <c r="EPF148" s="22"/>
      <c r="EPG148" s="22"/>
      <c r="EPH148" s="22"/>
      <c r="EPI148" s="22"/>
      <c r="EPJ148" s="22"/>
      <c r="EPK148" s="22"/>
      <c r="EPL148" s="22"/>
      <c r="EPM148" s="22"/>
      <c r="EPN148" s="22"/>
      <c r="EPO148" s="22"/>
      <c r="EPP148" s="22"/>
      <c r="EPQ148" s="22"/>
      <c r="EPR148" s="22"/>
      <c r="EPS148" s="22"/>
      <c r="EPT148" s="22"/>
      <c r="EPU148" s="22"/>
      <c r="EPV148" s="22"/>
      <c r="EPW148" s="22"/>
      <c r="EPX148" s="22"/>
      <c r="EPY148" s="22"/>
      <c r="EPZ148" s="22"/>
      <c r="EQA148" s="22"/>
      <c r="EQB148" s="22"/>
      <c r="EQC148" s="22"/>
      <c r="EQD148" s="22"/>
      <c r="EQE148" s="22"/>
      <c r="EQF148" s="22"/>
      <c r="EQG148" s="22"/>
      <c r="EQH148" s="22"/>
      <c r="EQI148" s="22"/>
      <c r="EQJ148" s="22"/>
      <c r="EQK148" s="22"/>
      <c r="EQL148" s="22"/>
      <c r="EQM148" s="22"/>
      <c r="EQN148" s="22"/>
      <c r="EQO148" s="22"/>
      <c r="EQP148" s="22"/>
      <c r="EQQ148" s="22"/>
      <c r="EQR148" s="22"/>
      <c r="EQS148" s="22"/>
      <c r="EQT148" s="22"/>
      <c r="EQU148" s="22"/>
      <c r="EQV148" s="22"/>
      <c r="EQW148" s="22"/>
      <c r="EQX148" s="22"/>
      <c r="EQY148" s="22"/>
      <c r="EQZ148" s="22"/>
      <c r="ERA148" s="22"/>
      <c r="ERB148" s="22"/>
      <c r="ERC148" s="22"/>
      <c r="ERD148" s="22"/>
      <c r="ERE148" s="22"/>
      <c r="ERF148" s="22"/>
      <c r="ERG148" s="22"/>
      <c r="ERH148" s="22"/>
      <c r="ERI148" s="22"/>
      <c r="ERJ148" s="22"/>
      <c r="ERK148" s="22"/>
      <c r="ERL148" s="22"/>
      <c r="ERM148" s="22"/>
      <c r="ERN148" s="22"/>
      <c r="ERO148" s="22"/>
      <c r="ERP148" s="22"/>
      <c r="ERQ148" s="22"/>
      <c r="ERR148" s="22"/>
      <c r="ERS148" s="22"/>
      <c r="ERT148" s="22"/>
      <c r="ERU148" s="22"/>
      <c r="ERV148" s="22"/>
      <c r="ERW148" s="22"/>
      <c r="ERX148" s="22"/>
      <c r="ERY148" s="22"/>
      <c r="ERZ148" s="22"/>
      <c r="ESA148" s="22"/>
      <c r="ESB148" s="22"/>
      <c r="ESC148" s="22"/>
      <c r="ESD148" s="22"/>
      <c r="ESE148" s="22"/>
      <c r="ESF148" s="22"/>
      <c r="ESG148" s="22"/>
      <c r="ESH148" s="22"/>
      <c r="ESI148" s="22"/>
      <c r="ESJ148" s="22"/>
      <c r="ESK148" s="22"/>
      <c r="ESL148" s="22"/>
      <c r="ESM148" s="22"/>
      <c r="ESN148" s="22"/>
      <c r="ESO148" s="22"/>
      <c r="ESP148" s="22"/>
      <c r="ESQ148" s="22"/>
      <c r="ESR148" s="22"/>
      <c r="ESS148" s="22"/>
      <c r="EST148" s="22"/>
      <c r="ESU148" s="22"/>
      <c r="ESV148" s="22"/>
      <c r="ESW148" s="22"/>
      <c r="ESX148" s="22"/>
      <c r="ESY148" s="22"/>
      <c r="ESZ148" s="22"/>
      <c r="ETA148" s="22"/>
      <c r="ETB148" s="22"/>
      <c r="ETC148" s="22"/>
      <c r="ETD148" s="22"/>
      <c r="ETE148" s="22"/>
      <c r="ETF148" s="22"/>
      <c r="ETG148" s="22"/>
      <c r="ETH148" s="22"/>
      <c r="ETI148" s="22"/>
      <c r="ETJ148" s="22"/>
      <c r="ETK148" s="22"/>
      <c r="ETL148" s="22"/>
      <c r="ETM148" s="22"/>
      <c r="ETN148" s="22"/>
      <c r="ETO148" s="22"/>
      <c r="ETP148" s="22"/>
      <c r="ETQ148" s="22"/>
      <c r="ETR148" s="22"/>
      <c r="ETS148" s="22"/>
      <c r="ETT148" s="22"/>
      <c r="ETU148" s="22"/>
      <c r="ETV148" s="22"/>
      <c r="ETW148" s="22"/>
      <c r="ETX148" s="22"/>
      <c r="ETY148" s="22"/>
      <c r="ETZ148" s="22"/>
      <c r="EUA148" s="22"/>
      <c r="EUB148" s="22"/>
      <c r="EUC148" s="22"/>
      <c r="EUD148" s="22"/>
      <c r="EUE148" s="22"/>
      <c r="EUF148" s="22"/>
      <c r="EUG148" s="22"/>
      <c r="EUH148" s="22"/>
      <c r="EUI148" s="22"/>
      <c r="EUJ148" s="22"/>
      <c r="EUK148" s="22"/>
      <c r="EUL148" s="22"/>
      <c r="EUM148" s="22"/>
      <c r="EUN148" s="22"/>
      <c r="EUO148" s="22"/>
      <c r="EUP148" s="22"/>
      <c r="EUQ148" s="22"/>
      <c r="EUR148" s="22"/>
      <c r="EUS148" s="22"/>
      <c r="EUT148" s="22"/>
      <c r="EUU148" s="22"/>
      <c r="EUV148" s="22"/>
      <c r="EUW148" s="22"/>
      <c r="EUX148" s="22"/>
      <c r="EUY148" s="22"/>
      <c r="EUZ148" s="22"/>
      <c r="EVA148" s="22"/>
      <c r="EVB148" s="22"/>
      <c r="EVC148" s="22"/>
      <c r="EVD148" s="22"/>
      <c r="EVE148" s="22"/>
      <c r="EVF148" s="22"/>
      <c r="EVG148" s="22"/>
      <c r="EVH148" s="22"/>
      <c r="EVI148" s="22"/>
      <c r="EVJ148" s="22"/>
      <c r="EVK148" s="22"/>
      <c r="EVL148" s="22"/>
      <c r="EVM148" s="22"/>
      <c r="EVN148" s="22"/>
      <c r="EVO148" s="22"/>
      <c r="EVP148" s="22"/>
      <c r="EVQ148" s="22"/>
      <c r="EVR148" s="22"/>
      <c r="EVS148" s="22"/>
      <c r="EVT148" s="22"/>
      <c r="EVU148" s="22"/>
      <c r="EVV148" s="22"/>
      <c r="EVW148" s="22"/>
      <c r="EVX148" s="22"/>
      <c r="EVY148" s="22"/>
      <c r="EVZ148" s="22"/>
      <c r="EWA148" s="22"/>
      <c r="EWB148" s="22"/>
      <c r="EWC148" s="22"/>
      <c r="EWD148" s="22"/>
      <c r="EWE148" s="22"/>
      <c r="EWF148" s="22"/>
      <c r="EWG148" s="22"/>
      <c r="EWH148" s="22"/>
      <c r="EWI148" s="22"/>
      <c r="EWJ148" s="22"/>
      <c r="EWK148" s="22"/>
      <c r="EWL148" s="22"/>
      <c r="EWM148" s="22"/>
      <c r="EWN148" s="22"/>
      <c r="EWO148" s="22"/>
      <c r="EWP148" s="22"/>
      <c r="EWQ148" s="22"/>
      <c r="EWR148" s="22"/>
      <c r="EWS148" s="22"/>
      <c r="EWT148" s="22"/>
      <c r="EWU148" s="22"/>
      <c r="EWV148" s="22"/>
      <c r="EWW148" s="22"/>
      <c r="EWX148" s="22"/>
      <c r="EWY148" s="22"/>
      <c r="EWZ148" s="22"/>
      <c r="EXA148" s="22"/>
      <c r="EXB148" s="22"/>
      <c r="EXC148" s="22"/>
      <c r="EXD148" s="22"/>
      <c r="EXE148" s="22"/>
      <c r="EXF148" s="22"/>
      <c r="EXG148" s="22"/>
      <c r="EXH148" s="22"/>
      <c r="EXI148" s="22"/>
      <c r="EXJ148" s="22"/>
      <c r="EXK148" s="22"/>
      <c r="EXL148" s="22"/>
      <c r="EXM148" s="22"/>
      <c r="EXN148" s="22"/>
      <c r="EXO148" s="22"/>
      <c r="EXP148" s="22"/>
      <c r="EXQ148" s="22"/>
      <c r="EXR148" s="22"/>
      <c r="EXS148" s="22"/>
      <c r="EXT148" s="22"/>
      <c r="EXU148" s="22"/>
      <c r="EXV148" s="22"/>
      <c r="EXW148" s="22"/>
      <c r="EXX148" s="22"/>
      <c r="EXY148" s="22"/>
      <c r="EXZ148" s="22"/>
      <c r="EYA148" s="22"/>
      <c r="EYB148" s="22"/>
      <c r="EYC148" s="22"/>
      <c r="EYD148" s="22"/>
      <c r="EYE148" s="22"/>
      <c r="EYF148" s="22"/>
      <c r="EYG148" s="22"/>
      <c r="EYH148" s="22"/>
      <c r="EYI148" s="22"/>
      <c r="EYJ148" s="22"/>
      <c r="EYK148" s="22"/>
      <c r="EYL148" s="22"/>
      <c r="EYM148" s="22"/>
      <c r="EYN148" s="22"/>
      <c r="EYO148" s="22"/>
      <c r="EYP148" s="22"/>
      <c r="EYQ148" s="22"/>
      <c r="EYR148" s="22"/>
      <c r="EYS148" s="22"/>
      <c r="EYT148" s="22"/>
      <c r="EYU148" s="22"/>
      <c r="EYV148" s="22"/>
      <c r="EYW148" s="22"/>
      <c r="EYX148" s="22"/>
      <c r="EYY148" s="22"/>
      <c r="EYZ148" s="22"/>
      <c r="EZA148" s="22"/>
      <c r="EZB148" s="22"/>
      <c r="EZC148" s="22"/>
      <c r="EZD148" s="22"/>
      <c r="EZE148" s="22"/>
      <c r="EZF148" s="22"/>
      <c r="EZG148" s="22"/>
      <c r="EZH148" s="22"/>
      <c r="EZI148" s="22"/>
      <c r="EZJ148" s="22"/>
      <c r="EZK148" s="22"/>
      <c r="EZL148" s="22"/>
      <c r="EZM148" s="22"/>
      <c r="EZN148" s="22"/>
      <c r="EZO148" s="22"/>
      <c r="EZP148" s="22"/>
      <c r="EZQ148" s="22"/>
      <c r="EZR148" s="22"/>
      <c r="EZS148" s="22"/>
      <c r="EZT148" s="22"/>
      <c r="EZU148" s="22"/>
      <c r="EZV148" s="22"/>
      <c r="EZW148" s="22"/>
      <c r="EZX148" s="22"/>
      <c r="EZY148" s="22"/>
      <c r="EZZ148" s="22"/>
      <c r="FAA148" s="22"/>
      <c r="FAB148" s="22"/>
      <c r="FAC148" s="22"/>
      <c r="FAD148" s="22"/>
      <c r="FAE148" s="22"/>
      <c r="FAF148" s="22"/>
      <c r="FAG148" s="22"/>
      <c r="FAH148" s="22"/>
      <c r="FAI148" s="22"/>
      <c r="FAJ148" s="22"/>
      <c r="FAK148" s="22"/>
      <c r="FAL148" s="22"/>
      <c r="FAM148" s="22"/>
      <c r="FAN148" s="22"/>
      <c r="FAO148" s="22"/>
      <c r="FAP148" s="22"/>
      <c r="FAQ148" s="22"/>
      <c r="FAR148" s="22"/>
      <c r="FAS148" s="22"/>
      <c r="FAT148" s="22"/>
      <c r="FAU148" s="22"/>
      <c r="FAV148" s="22"/>
      <c r="FAW148" s="22"/>
      <c r="FAX148" s="22"/>
      <c r="FAY148" s="22"/>
      <c r="FAZ148" s="22"/>
      <c r="FBA148" s="22"/>
      <c r="FBB148" s="22"/>
      <c r="FBC148" s="22"/>
      <c r="FBD148" s="22"/>
      <c r="FBE148" s="22"/>
      <c r="FBF148" s="22"/>
      <c r="FBG148" s="22"/>
      <c r="FBH148" s="22"/>
      <c r="FBI148" s="22"/>
      <c r="FBJ148" s="22"/>
      <c r="FBK148" s="22"/>
      <c r="FBL148" s="22"/>
      <c r="FBM148" s="22"/>
      <c r="FBN148" s="22"/>
      <c r="FBO148" s="22"/>
      <c r="FBP148" s="22"/>
      <c r="FBQ148" s="22"/>
      <c r="FBR148" s="22"/>
      <c r="FBS148" s="22"/>
      <c r="FBT148" s="22"/>
      <c r="FBU148" s="22"/>
      <c r="FBV148" s="22"/>
      <c r="FBW148" s="22"/>
      <c r="FBX148" s="22"/>
      <c r="FBY148" s="22"/>
      <c r="FBZ148" s="22"/>
      <c r="FCA148" s="22"/>
      <c r="FCB148" s="22"/>
      <c r="FCC148" s="22"/>
      <c r="FCD148" s="22"/>
      <c r="FCE148" s="22"/>
      <c r="FCF148" s="22"/>
      <c r="FCG148" s="22"/>
      <c r="FCH148" s="22"/>
      <c r="FCI148" s="22"/>
      <c r="FCJ148" s="22"/>
      <c r="FCK148" s="22"/>
      <c r="FCL148" s="22"/>
      <c r="FCM148" s="22"/>
      <c r="FCN148" s="22"/>
      <c r="FCO148" s="22"/>
      <c r="FCP148" s="22"/>
      <c r="FCQ148" s="22"/>
      <c r="FCR148" s="22"/>
      <c r="FCS148" s="22"/>
      <c r="FCT148" s="22"/>
      <c r="FCU148" s="22"/>
      <c r="FCV148" s="22"/>
      <c r="FCW148" s="22"/>
      <c r="FCX148" s="22"/>
      <c r="FCY148" s="22"/>
      <c r="FCZ148" s="22"/>
      <c r="FDA148" s="22"/>
      <c r="FDB148" s="22"/>
      <c r="FDC148" s="22"/>
      <c r="FDD148" s="22"/>
      <c r="FDE148" s="22"/>
      <c r="FDF148" s="22"/>
      <c r="FDG148" s="22"/>
      <c r="FDH148" s="22"/>
      <c r="FDI148" s="22"/>
      <c r="FDJ148" s="22"/>
      <c r="FDK148" s="22"/>
      <c r="FDL148" s="22"/>
      <c r="FDM148" s="22"/>
      <c r="FDN148" s="22"/>
      <c r="FDO148" s="22"/>
      <c r="FDP148" s="22"/>
      <c r="FDQ148" s="22"/>
      <c r="FDR148" s="22"/>
      <c r="FDS148" s="22"/>
      <c r="FDT148" s="22"/>
      <c r="FDU148" s="22"/>
      <c r="FDV148" s="22"/>
      <c r="FDW148" s="22"/>
      <c r="FDX148" s="22"/>
      <c r="FDY148" s="22"/>
      <c r="FDZ148" s="22"/>
      <c r="FEA148" s="22"/>
      <c r="FEB148" s="22"/>
      <c r="FEC148" s="22"/>
      <c r="FED148" s="22"/>
      <c r="FEE148" s="22"/>
      <c r="FEF148" s="22"/>
      <c r="FEG148" s="22"/>
      <c r="FEH148" s="22"/>
      <c r="FEI148" s="22"/>
      <c r="FEJ148" s="22"/>
      <c r="FEK148" s="22"/>
      <c r="FEL148" s="22"/>
      <c r="FEM148" s="22"/>
      <c r="FEN148" s="22"/>
      <c r="FEO148" s="22"/>
      <c r="FEP148" s="22"/>
      <c r="FEQ148" s="22"/>
      <c r="FER148" s="22"/>
      <c r="FES148" s="22"/>
      <c r="FET148" s="22"/>
      <c r="FEU148" s="22"/>
      <c r="FEV148" s="22"/>
      <c r="FEW148" s="22"/>
      <c r="FEX148" s="22"/>
      <c r="FEY148" s="22"/>
      <c r="FEZ148" s="22"/>
      <c r="FFA148" s="22"/>
      <c r="FFB148" s="22"/>
      <c r="FFC148" s="22"/>
      <c r="FFD148" s="22"/>
      <c r="FFE148" s="22"/>
      <c r="FFF148" s="22"/>
      <c r="FFG148" s="22"/>
      <c r="FFH148" s="22"/>
      <c r="FFI148" s="22"/>
      <c r="FFJ148" s="22"/>
      <c r="FFK148" s="22"/>
      <c r="FFL148" s="22"/>
      <c r="FFM148" s="22"/>
      <c r="FFN148" s="22"/>
      <c r="FFO148" s="22"/>
      <c r="FFP148" s="22"/>
      <c r="FFQ148" s="22"/>
      <c r="FFR148" s="22"/>
      <c r="FFS148" s="22"/>
      <c r="FFT148" s="22"/>
      <c r="FFU148" s="22"/>
      <c r="FFV148" s="22"/>
      <c r="FFW148" s="22"/>
      <c r="FFX148" s="22"/>
      <c r="FFY148" s="22"/>
      <c r="FFZ148" s="22"/>
      <c r="FGA148" s="22"/>
      <c r="FGB148" s="22"/>
      <c r="FGC148" s="22"/>
      <c r="FGD148" s="22"/>
      <c r="FGE148" s="22"/>
      <c r="FGF148" s="22"/>
      <c r="FGG148" s="22"/>
      <c r="FGH148" s="22"/>
      <c r="FGI148" s="22"/>
      <c r="FGJ148" s="22"/>
      <c r="FGK148" s="22"/>
      <c r="FGL148" s="22"/>
      <c r="FGM148" s="22"/>
      <c r="FGN148" s="22"/>
      <c r="FGO148" s="22"/>
      <c r="FGP148" s="22"/>
      <c r="FGQ148" s="22"/>
      <c r="FGR148" s="22"/>
      <c r="FGS148" s="22"/>
      <c r="FGT148" s="22"/>
      <c r="FGU148" s="22"/>
      <c r="FGV148" s="22"/>
      <c r="FGW148" s="22"/>
      <c r="FGX148" s="22"/>
      <c r="FGY148" s="22"/>
      <c r="FGZ148" s="22"/>
      <c r="FHA148" s="22"/>
      <c r="FHB148" s="22"/>
      <c r="FHC148" s="22"/>
      <c r="FHD148" s="22"/>
      <c r="FHE148" s="22"/>
      <c r="FHF148" s="22"/>
      <c r="FHG148" s="22"/>
      <c r="FHH148" s="22"/>
      <c r="FHI148" s="22"/>
      <c r="FHJ148" s="22"/>
      <c r="FHK148" s="22"/>
      <c r="FHL148" s="22"/>
      <c r="FHM148" s="22"/>
      <c r="FHN148" s="22"/>
      <c r="FHO148" s="22"/>
      <c r="FHP148" s="22"/>
      <c r="FHQ148" s="22"/>
      <c r="FHR148" s="22"/>
      <c r="FHS148" s="22"/>
      <c r="FHT148" s="22"/>
      <c r="FHU148" s="22"/>
      <c r="FHV148" s="22"/>
      <c r="FHW148" s="22"/>
      <c r="FHX148" s="22"/>
      <c r="FHY148" s="22"/>
      <c r="FHZ148" s="22"/>
      <c r="FIA148" s="22"/>
      <c r="FIB148" s="22"/>
      <c r="FIC148" s="22"/>
      <c r="FID148" s="22"/>
      <c r="FIE148" s="22"/>
      <c r="FIF148" s="22"/>
      <c r="FIG148" s="22"/>
      <c r="FIH148" s="22"/>
      <c r="FII148" s="22"/>
      <c r="FIJ148" s="22"/>
      <c r="FIK148" s="22"/>
      <c r="FIL148" s="22"/>
      <c r="FIM148" s="22"/>
      <c r="FIN148" s="22"/>
      <c r="FIO148" s="22"/>
      <c r="FIP148" s="22"/>
      <c r="FIQ148" s="22"/>
      <c r="FIR148" s="22"/>
      <c r="FIS148" s="22"/>
      <c r="FIT148" s="22"/>
      <c r="FIU148" s="22"/>
      <c r="FIV148" s="22"/>
      <c r="FIW148" s="22"/>
      <c r="FIX148" s="22"/>
      <c r="FIY148" s="22"/>
      <c r="FIZ148" s="22"/>
      <c r="FJA148" s="22"/>
      <c r="FJB148" s="22"/>
      <c r="FJC148" s="22"/>
      <c r="FJD148" s="22"/>
      <c r="FJE148" s="22"/>
      <c r="FJF148" s="22"/>
      <c r="FJG148" s="22"/>
      <c r="FJH148" s="22"/>
      <c r="FJI148" s="22"/>
      <c r="FJJ148" s="22"/>
      <c r="FJK148" s="22"/>
      <c r="FJL148" s="22"/>
      <c r="FJM148" s="22"/>
      <c r="FJN148" s="22"/>
      <c r="FJO148" s="22"/>
      <c r="FJP148" s="22"/>
      <c r="FJQ148" s="22"/>
      <c r="FJR148" s="22"/>
      <c r="FJS148" s="22"/>
      <c r="FJT148" s="22"/>
      <c r="FJU148" s="22"/>
      <c r="FJV148" s="22"/>
      <c r="FJW148" s="22"/>
      <c r="FJX148" s="22"/>
      <c r="FJY148" s="22"/>
      <c r="FJZ148" s="22"/>
      <c r="FKA148" s="22"/>
      <c r="FKB148" s="22"/>
      <c r="FKC148" s="22"/>
      <c r="FKD148" s="22"/>
      <c r="FKE148" s="22"/>
      <c r="FKF148" s="22"/>
      <c r="FKG148" s="22"/>
      <c r="FKH148" s="22"/>
      <c r="FKI148" s="22"/>
      <c r="FKJ148" s="22"/>
      <c r="FKK148" s="22"/>
      <c r="FKL148" s="22"/>
      <c r="FKM148" s="22"/>
      <c r="FKN148" s="22"/>
      <c r="FKO148" s="22"/>
      <c r="FKP148" s="22"/>
      <c r="FKQ148" s="22"/>
      <c r="FKR148" s="22"/>
      <c r="FKS148" s="22"/>
      <c r="FKT148" s="22"/>
      <c r="FKU148" s="22"/>
      <c r="FKV148" s="22"/>
      <c r="FKW148" s="22"/>
      <c r="FKX148" s="22"/>
      <c r="FKY148" s="22"/>
      <c r="FKZ148" s="22"/>
      <c r="FLA148" s="22"/>
      <c r="FLB148" s="22"/>
      <c r="FLC148" s="22"/>
      <c r="FLD148" s="22"/>
      <c r="FLE148" s="22"/>
      <c r="FLF148" s="22"/>
      <c r="FLG148" s="22"/>
      <c r="FLH148" s="22"/>
      <c r="FLI148" s="22"/>
      <c r="FLJ148" s="22"/>
      <c r="FLK148" s="22"/>
      <c r="FLL148" s="22"/>
      <c r="FLM148" s="22"/>
      <c r="FLN148" s="22"/>
      <c r="FLO148" s="22"/>
      <c r="FLP148" s="22"/>
      <c r="FLQ148" s="22"/>
      <c r="FLR148" s="22"/>
      <c r="FLS148" s="22"/>
      <c r="FLT148" s="22"/>
      <c r="FLU148" s="22"/>
      <c r="FLV148" s="22"/>
      <c r="FLW148" s="22"/>
      <c r="FLX148" s="22"/>
      <c r="FLY148" s="22"/>
      <c r="FLZ148" s="22"/>
      <c r="FMA148" s="22"/>
      <c r="FMB148" s="22"/>
      <c r="FMC148" s="22"/>
      <c r="FMD148" s="22"/>
      <c r="FME148" s="22"/>
      <c r="FMF148" s="22"/>
      <c r="FMG148" s="22"/>
      <c r="FMH148" s="22"/>
      <c r="FMI148" s="22"/>
      <c r="FMJ148" s="22"/>
      <c r="FMK148" s="22"/>
      <c r="FML148" s="22"/>
      <c r="FMM148" s="22"/>
      <c r="FMN148" s="22"/>
      <c r="FMO148" s="22"/>
      <c r="FMP148" s="22"/>
      <c r="FMQ148" s="22"/>
      <c r="FMR148" s="22"/>
      <c r="FMS148" s="22"/>
      <c r="FMT148" s="22"/>
      <c r="FMU148" s="22"/>
      <c r="FMV148" s="22"/>
      <c r="FMW148" s="22"/>
      <c r="FMX148" s="22"/>
      <c r="FMY148" s="22"/>
      <c r="FMZ148" s="22"/>
      <c r="FNA148" s="22"/>
      <c r="FNB148" s="22"/>
      <c r="FNC148" s="22"/>
      <c r="FND148" s="22"/>
      <c r="FNE148" s="22"/>
      <c r="FNF148" s="22"/>
      <c r="FNG148" s="22"/>
      <c r="FNH148" s="22"/>
      <c r="FNI148" s="22"/>
      <c r="FNJ148" s="22"/>
      <c r="FNK148" s="22"/>
      <c r="FNL148" s="22"/>
      <c r="FNM148" s="22"/>
      <c r="FNN148" s="22"/>
      <c r="FNO148" s="22"/>
      <c r="FNP148" s="22"/>
      <c r="FNQ148" s="22"/>
      <c r="FNR148" s="22"/>
      <c r="FNS148" s="22"/>
      <c r="FNT148" s="22"/>
      <c r="FNU148" s="22"/>
      <c r="FNV148" s="22"/>
      <c r="FNW148" s="22"/>
      <c r="FNX148" s="22"/>
      <c r="FNY148" s="22"/>
      <c r="FNZ148" s="22"/>
      <c r="FOA148" s="22"/>
      <c r="FOB148" s="22"/>
      <c r="FOC148" s="22"/>
      <c r="FOD148" s="22"/>
      <c r="FOE148" s="22"/>
      <c r="FOF148" s="22"/>
      <c r="FOG148" s="22"/>
      <c r="FOH148" s="22"/>
      <c r="FOI148" s="22"/>
      <c r="FOJ148" s="22"/>
      <c r="FOK148" s="22"/>
      <c r="FOL148" s="22"/>
      <c r="FOM148" s="22"/>
      <c r="FON148" s="22"/>
      <c r="FOO148" s="22"/>
      <c r="FOP148" s="22"/>
      <c r="FOQ148" s="22"/>
      <c r="FOR148" s="22"/>
      <c r="FOS148" s="22"/>
      <c r="FOT148" s="22"/>
      <c r="FOU148" s="22"/>
      <c r="FOV148" s="22"/>
      <c r="FOW148" s="22"/>
      <c r="FOX148" s="22"/>
      <c r="FOY148" s="22"/>
      <c r="FOZ148" s="22"/>
      <c r="FPA148" s="22"/>
      <c r="FPB148" s="22"/>
      <c r="FPC148" s="22"/>
      <c r="FPD148" s="22"/>
      <c r="FPE148" s="22"/>
      <c r="FPF148" s="22"/>
      <c r="FPG148" s="22"/>
      <c r="FPH148" s="22"/>
      <c r="FPI148" s="22"/>
      <c r="FPJ148" s="22"/>
      <c r="FPK148" s="22"/>
      <c r="FPL148" s="22"/>
      <c r="FPM148" s="22"/>
      <c r="FPN148" s="22"/>
      <c r="FPO148" s="22"/>
      <c r="FPP148" s="22"/>
      <c r="FPQ148" s="22"/>
      <c r="FPR148" s="22"/>
      <c r="FPS148" s="22"/>
      <c r="FPT148" s="22"/>
      <c r="FPU148" s="22"/>
      <c r="FPV148" s="22"/>
      <c r="FPW148" s="22"/>
      <c r="FPX148" s="22"/>
      <c r="FPY148" s="22"/>
      <c r="FPZ148" s="22"/>
      <c r="FQA148" s="22"/>
      <c r="FQB148" s="22"/>
      <c r="FQC148" s="22"/>
      <c r="FQD148" s="22"/>
      <c r="FQE148" s="22"/>
      <c r="FQF148" s="22"/>
      <c r="FQG148" s="22"/>
      <c r="FQH148" s="22"/>
      <c r="FQI148" s="22"/>
      <c r="FQJ148" s="22"/>
      <c r="FQK148" s="22"/>
      <c r="FQL148" s="22"/>
      <c r="FQM148" s="22"/>
      <c r="FQN148" s="22"/>
      <c r="FQO148" s="22"/>
      <c r="FQP148" s="22"/>
      <c r="FQQ148" s="22"/>
      <c r="FQR148" s="22"/>
      <c r="FQS148" s="22"/>
      <c r="FQT148" s="22"/>
      <c r="FQU148" s="22"/>
      <c r="FQV148" s="22"/>
      <c r="FQW148" s="22"/>
      <c r="FQX148" s="22"/>
      <c r="FQY148" s="22"/>
      <c r="FQZ148" s="22"/>
      <c r="FRA148" s="22"/>
      <c r="FRB148" s="22"/>
      <c r="FRC148" s="22"/>
      <c r="FRD148" s="22"/>
      <c r="FRE148" s="22"/>
      <c r="FRF148" s="22"/>
      <c r="FRG148" s="22"/>
      <c r="FRH148" s="22"/>
      <c r="FRI148" s="22"/>
      <c r="FRJ148" s="22"/>
      <c r="FRK148" s="22"/>
      <c r="FRL148" s="22"/>
      <c r="FRM148" s="22"/>
      <c r="FRN148" s="22"/>
      <c r="FRO148" s="22"/>
      <c r="FRP148" s="22"/>
      <c r="FRQ148" s="22"/>
      <c r="FRR148" s="22"/>
      <c r="FRS148" s="22"/>
      <c r="FRT148" s="22"/>
      <c r="FRU148" s="22"/>
      <c r="FRV148" s="22"/>
      <c r="FRW148" s="22"/>
      <c r="FRX148" s="22"/>
      <c r="FRY148" s="22"/>
      <c r="FRZ148" s="22"/>
      <c r="FSA148" s="22"/>
      <c r="FSB148" s="22"/>
      <c r="FSC148" s="22"/>
      <c r="FSD148" s="22"/>
      <c r="FSE148" s="22"/>
      <c r="FSF148" s="22"/>
      <c r="FSG148" s="22"/>
      <c r="FSH148" s="22"/>
      <c r="FSI148" s="22"/>
      <c r="FSJ148" s="22"/>
      <c r="FSK148" s="22"/>
      <c r="FSL148" s="22"/>
      <c r="FSM148" s="22"/>
      <c r="FSN148" s="22"/>
      <c r="FSO148" s="22"/>
      <c r="FSP148" s="22"/>
      <c r="FSQ148" s="22"/>
      <c r="FSR148" s="22"/>
      <c r="FSS148" s="22"/>
      <c r="FST148" s="22"/>
      <c r="FSU148" s="22"/>
      <c r="FSV148" s="22"/>
      <c r="FSW148" s="22"/>
      <c r="FSX148" s="22"/>
      <c r="FSY148" s="22"/>
      <c r="FSZ148" s="22"/>
      <c r="FTA148" s="22"/>
      <c r="FTB148" s="22"/>
      <c r="FTC148" s="22"/>
      <c r="FTD148" s="22"/>
      <c r="FTE148" s="22"/>
      <c r="FTF148" s="22"/>
      <c r="FTG148" s="22"/>
      <c r="FTH148" s="22"/>
      <c r="FTI148" s="22"/>
      <c r="FTJ148" s="22"/>
      <c r="FTK148" s="22"/>
      <c r="FTL148" s="22"/>
      <c r="FTM148" s="22"/>
      <c r="FTN148" s="22"/>
      <c r="FTO148" s="22"/>
      <c r="FTP148" s="22"/>
      <c r="FTQ148" s="22"/>
      <c r="FTR148" s="22"/>
      <c r="FTS148" s="22"/>
      <c r="FTT148" s="22"/>
      <c r="FTU148" s="22"/>
      <c r="FTV148" s="22"/>
      <c r="FTW148" s="22"/>
      <c r="FTX148" s="22"/>
      <c r="FTY148" s="22"/>
      <c r="FTZ148" s="22"/>
      <c r="FUA148" s="22"/>
      <c r="FUB148" s="22"/>
      <c r="FUC148" s="22"/>
      <c r="FUD148" s="22"/>
      <c r="FUE148" s="22"/>
      <c r="FUF148" s="22"/>
      <c r="FUG148" s="22"/>
      <c r="FUH148" s="22"/>
      <c r="FUI148" s="22"/>
      <c r="FUJ148" s="22"/>
      <c r="FUK148" s="22"/>
      <c r="FUL148" s="22"/>
      <c r="FUM148" s="22"/>
      <c r="FUN148" s="22"/>
      <c r="FUO148" s="22"/>
      <c r="FUP148" s="22"/>
      <c r="FUQ148" s="22"/>
      <c r="FUR148" s="22"/>
      <c r="FUS148" s="22"/>
      <c r="FUT148" s="22"/>
      <c r="FUU148" s="22"/>
      <c r="FUV148" s="22"/>
      <c r="FUW148" s="22"/>
      <c r="FUX148" s="22"/>
      <c r="FUY148" s="22"/>
      <c r="FUZ148" s="22"/>
      <c r="FVA148" s="22"/>
      <c r="FVB148" s="22"/>
      <c r="FVC148" s="22"/>
      <c r="FVD148" s="22"/>
      <c r="FVE148" s="22"/>
      <c r="FVF148" s="22"/>
      <c r="FVG148" s="22"/>
      <c r="FVH148" s="22"/>
      <c r="FVI148" s="22"/>
      <c r="FVJ148" s="22"/>
      <c r="FVK148" s="22"/>
      <c r="FVL148" s="22"/>
      <c r="FVM148" s="22"/>
      <c r="FVN148" s="22"/>
      <c r="FVO148" s="22"/>
      <c r="FVP148" s="22"/>
      <c r="FVQ148" s="22"/>
      <c r="FVR148" s="22"/>
      <c r="FVS148" s="22"/>
      <c r="FVT148" s="22"/>
      <c r="FVU148" s="22"/>
      <c r="FVV148" s="22"/>
      <c r="FVW148" s="22"/>
      <c r="FVX148" s="22"/>
      <c r="FVY148" s="22"/>
      <c r="FVZ148" s="22"/>
      <c r="FWA148" s="22"/>
      <c r="FWB148" s="22"/>
      <c r="FWC148" s="22"/>
      <c r="FWD148" s="22"/>
      <c r="FWE148" s="22"/>
      <c r="FWF148" s="22"/>
      <c r="FWG148" s="22"/>
      <c r="FWH148" s="22"/>
      <c r="FWI148" s="22"/>
      <c r="FWJ148" s="22"/>
      <c r="FWK148" s="22"/>
      <c r="FWL148" s="22"/>
      <c r="FWM148" s="22"/>
      <c r="FWN148" s="22"/>
      <c r="FWO148" s="22"/>
      <c r="FWP148" s="22"/>
      <c r="FWQ148" s="22"/>
      <c r="FWR148" s="22"/>
      <c r="FWS148" s="22"/>
      <c r="FWT148" s="22"/>
      <c r="FWU148" s="22"/>
      <c r="FWV148" s="22"/>
      <c r="FWW148" s="22"/>
      <c r="FWX148" s="22"/>
      <c r="FWY148" s="22"/>
      <c r="FWZ148" s="22"/>
      <c r="FXA148" s="22"/>
      <c r="FXB148" s="22"/>
      <c r="FXC148" s="22"/>
      <c r="FXD148" s="22"/>
      <c r="FXE148" s="22"/>
      <c r="FXF148" s="22"/>
      <c r="FXG148" s="22"/>
      <c r="FXH148" s="22"/>
      <c r="FXI148" s="22"/>
      <c r="FXJ148" s="22"/>
      <c r="FXK148" s="22"/>
      <c r="FXL148" s="22"/>
      <c r="FXM148" s="22"/>
      <c r="FXN148" s="22"/>
      <c r="FXO148" s="22"/>
      <c r="FXP148" s="22"/>
      <c r="FXQ148" s="22"/>
      <c r="FXR148" s="22"/>
      <c r="FXS148" s="22"/>
      <c r="FXT148" s="22"/>
      <c r="FXU148" s="22"/>
      <c r="FXV148" s="22"/>
      <c r="FXW148" s="22"/>
      <c r="FXX148" s="22"/>
      <c r="FXY148" s="22"/>
      <c r="FXZ148" s="22"/>
      <c r="FYA148" s="22"/>
      <c r="FYB148" s="22"/>
      <c r="FYC148" s="22"/>
      <c r="FYD148" s="22"/>
      <c r="FYE148" s="22"/>
      <c r="FYF148" s="22"/>
      <c r="FYG148" s="22"/>
      <c r="FYH148" s="22"/>
      <c r="FYI148" s="22"/>
      <c r="FYJ148" s="22"/>
      <c r="FYK148" s="22"/>
      <c r="FYL148" s="22"/>
      <c r="FYM148" s="22"/>
      <c r="FYN148" s="22"/>
      <c r="FYO148" s="22"/>
      <c r="FYP148" s="22"/>
      <c r="FYQ148" s="22"/>
      <c r="FYR148" s="22"/>
      <c r="FYS148" s="22"/>
      <c r="FYT148" s="22"/>
      <c r="FYU148" s="22"/>
      <c r="FYV148" s="22"/>
      <c r="FYW148" s="22"/>
      <c r="FYX148" s="22"/>
      <c r="FYY148" s="22"/>
      <c r="FYZ148" s="22"/>
      <c r="FZA148" s="22"/>
      <c r="FZB148" s="22"/>
      <c r="FZC148" s="22"/>
      <c r="FZD148" s="22"/>
      <c r="FZE148" s="22"/>
      <c r="FZF148" s="22"/>
      <c r="FZG148" s="22"/>
      <c r="FZH148" s="22"/>
      <c r="FZI148" s="22"/>
      <c r="FZJ148" s="22"/>
      <c r="FZK148" s="22"/>
      <c r="FZL148" s="22"/>
      <c r="FZM148" s="22"/>
      <c r="FZN148" s="22"/>
      <c r="FZO148" s="22"/>
      <c r="FZP148" s="22"/>
      <c r="FZQ148" s="22"/>
      <c r="FZR148" s="22"/>
      <c r="FZS148" s="22"/>
      <c r="FZT148" s="22"/>
      <c r="FZU148" s="22"/>
      <c r="FZV148" s="22"/>
      <c r="FZW148" s="22"/>
      <c r="FZX148" s="22"/>
      <c r="FZY148" s="22"/>
      <c r="FZZ148" s="22"/>
      <c r="GAA148" s="22"/>
      <c r="GAB148" s="22"/>
      <c r="GAC148" s="22"/>
      <c r="GAD148" s="22"/>
      <c r="GAE148" s="22"/>
      <c r="GAF148" s="22"/>
      <c r="GAG148" s="22"/>
      <c r="GAH148" s="22"/>
      <c r="GAI148" s="22"/>
      <c r="GAJ148" s="22"/>
      <c r="GAK148" s="22"/>
      <c r="GAL148" s="22"/>
      <c r="GAM148" s="22"/>
      <c r="GAN148" s="22"/>
      <c r="GAO148" s="22"/>
      <c r="GAP148" s="22"/>
      <c r="GAQ148" s="22"/>
      <c r="GAR148" s="22"/>
      <c r="GAS148" s="22"/>
      <c r="GAT148" s="22"/>
      <c r="GAU148" s="22"/>
      <c r="GAV148" s="22"/>
      <c r="GAW148" s="22"/>
      <c r="GAX148" s="22"/>
      <c r="GAY148" s="22"/>
      <c r="GAZ148" s="22"/>
      <c r="GBA148" s="22"/>
      <c r="GBB148" s="22"/>
      <c r="GBC148" s="22"/>
      <c r="GBD148" s="22"/>
      <c r="GBE148" s="22"/>
      <c r="GBF148" s="22"/>
      <c r="GBG148" s="22"/>
      <c r="GBH148" s="22"/>
      <c r="GBI148" s="22"/>
      <c r="GBJ148" s="22"/>
      <c r="GBK148" s="22"/>
      <c r="GBL148" s="22"/>
      <c r="GBM148" s="22"/>
      <c r="GBN148" s="22"/>
      <c r="GBO148" s="22"/>
      <c r="GBP148" s="22"/>
      <c r="GBQ148" s="22"/>
      <c r="GBR148" s="22"/>
      <c r="GBS148" s="22"/>
      <c r="GBT148" s="22"/>
      <c r="GBU148" s="22"/>
      <c r="GBV148" s="22"/>
      <c r="GBW148" s="22"/>
      <c r="GBX148" s="22"/>
      <c r="GBY148" s="22"/>
      <c r="GBZ148" s="22"/>
      <c r="GCA148" s="22"/>
      <c r="GCB148" s="22"/>
      <c r="GCC148" s="22"/>
      <c r="GCD148" s="22"/>
      <c r="GCE148" s="22"/>
      <c r="GCF148" s="22"/>
      <c r="GCG148" s="22"/>
      <c r="GCH148" s="22"/>
      <c r="GCI148" s="22"/>
      <c r="GCJ148" s="22"/>
      <c r="GCK148" s="22"/>
      <c r="GCL148" s="22"/>
      <c r="GCM148" s="22"/>
      <c r="GCN148" s="22"/>
      <c r="GCO148" s="22"/>
      <c r="GCP148" s="22"/>
      <c r="GCQ148" s="22"/>
      <c r="GCR148" s="22"/>
      <c r="GCS148" s="22"/>
      <c r="GCT148" s="22"/>
      <c r="GCU148" s="22"/>
      <c r="GCV148" s="22"/>
      <c r="GCW148" s="22"/>
      <c r="GCX148" s="22"/>
      <c r="GCY148" s="22"/>
      <c r="GCZ148" s="22"/>
      <c r="GDA148" s="22"/>
      <c r="GDB148" s="22"/>
      <c r="GDC148" s="22"/>
      <c r="GDD148" s="22"/>
      <c r="GDE148" s="22"/>
      <c r="GDF148" s="22"/>
      <c r="GDG148" s="22"/>
      <c r="GDH148" s="22"/>
      <c r="GDI148" s="22"/>
      <c r="GDJ148" s="22"/>
      <c r="GDK148" s="22"/>
      <c r="GDL148" s="22"/>
      <c r="GDM148" s="22"/>
      <c r="GDN148" s="22"/>
      <c r="GDO148" s="22"/>
      <c r="GDP148" s="22"/>
      <c r="GDQ148" s="22"/>
      <c r="GDR148" s="22"/>
      <c r="GDS148" s="22"/>
      <c r="GDT148" s="22"/>
      <c r="GDU148" s="22"/>
      <c r="GDV148" s="22"/>
      <c r="GDW148" s="22"/>
      <c r="GDX148" s="22"/>
      <c r="GDY148" s="22"/>
      <c r="GDZ148" s="22"/>
      <c r="GEA148" s="22"/>
      <c r="GEB148" s="22"/>
      <c r="GEC148" s="22"/>
      <c r="GED148" s="22"/>
      <c r="GEE148" s="22"/>
      <c r="GEF148" s="22"/>
      <c r="GEG148" s="22"/>
      <c r="GEH148" s="22"/>
      <c r="GEI148" s="22"/>
      <c r="GEJ148" s="22"/>
      <c r="GEK148" s="22"/>
      <c r="GEL148" s="22"/>
      <c r="GEM148" s="22"/>
      <c r="GEN148" s="22"/>
      <c r="GEO148" s="22"/>
      <c r="GEP148" s="22"/>
      <c r="GEQ148" s="22"/>
      <c r="GER148" s="22"/>
      <c r="GES148" s="22"/>
      <c r="GET148" s="22"/>
      <c r="GEU148" s="22"/>
      <c r="GEV148" s="22"/>
      <c r="GEW148" s="22"/>
      <c r="GEX148" s="22"/>
      <c r="GEY148" s="22"/>
      <c r="GEZ148" s="22"/>
      <c r="GFA148" s="22"/>
      <c r="GFB148" s="22"/>
      <c r="GFC148" s="22"/>
      <c r="GFD148" s="22"/>
      <c r="GFE148" s="22"/>
      <c r="GFF148" s="22"/>
      <c r="GFG148" s="22"/>
      <c r="GFH148" s="22"/>
      <c r="GFI148" s="22"/>
      <c r="GFJ148" s="22"/>
      <c r="GFK148" s="22"/>
      <c r="GFL148" s="22"/>
      <c r="GFM148" s="22"/>
      <c r="GFN148" s="22"/>
      <c r="GFO148" s="22"/>
      <c r="GFP148" s="22"/>
      <c r="GFQ148" s="22"/>
      <c r="GFR148" s="22"/>
      <c r="GFS148" s="22"/>
      <c r="GFT148" s="22"/>
      <c r="GFU148" s="22"/>
      <c r="GFV148" s="22"/>
      <c r="GFW148" s="22"/>
      <c r="GFX148" s="22"/>
      <c r="GFY148" s="22"/>
      <c r="GFZ148" s="22"/>
      <c r="GGA148" s="22"/>
      <c r="GGB148" s="22"/>
      <c r="GGC148" s="22"/>
      <c r="GGD148" s="22"/>
      <c r="GGE148" s="22"/>
      <c r="GGF148" s="22"/>
      <c r="GGG148" s="22"/>
      <c r="GGH148" s="22"/>
      <c r="GGI148" s="22"/>
      <c r="GGJ148" s="22"/>
      <c r="GGK148" s="22"/>
      <c r="GGL148" s="22"/>
      <c r="GGM148" s="22"/>
      <c r="GGN148" s="22"/>
      <c r="GGO148" s="22"/>
      <c r="GGP148" s="22"/>
      <c r="GGQ148" s="22"/>
      <c r="GGR148" s="22"/>
      <c r="GGS148" s="22"/>
      <c r="GGT148" s="22"/>
      <c r="GGU148" s="22"/>
      <c r="GGV148" s="22"/>
      <c r="GGW148" s="22"/>
      <c r="GGX148" s="22"/>
      <c r="GGY148" s="22"/>
      <c r="GGZ148" s="22"/>
      <c r="GHA148" s="22"/>
      <c r="GHB148" s="22"/>
      <c r="GHC148" s="22"/>
      <c r="GHD148" s="22"/>
      <c r="GHE148" s="22"/>
      <c r="GHF148" s="22"/>
      <c r="GHG148" s="22"/>
      <c r="GHH148" s="22"/>
      <c r="GHI148" s="22"/>
      <c r="GHJ148" s="22"/>
      <c r="GHK148" s="22"/>
      <c r="GHL148" s="22"/>
      <c r="GHM148" s="22"/>
      <c r="GHN148" s="22"/>
      <c r="GHO148" s="22"/>
      <c r="GHP148" s="22"/>
      <c r="GHQ148" s="22"/>
      <c r="GHR148" s="22"/>
      <c r="GHS148" s="22"/>
      <c r="GHT148" s="22"/>
      <c r="GHU148" s="22"/>
      <c r="GHV148" s="22"/>
      <c r="GHW148" s="22"/>
      <c r="GHX148" s="22"/>
      <c r="GHY148" s="22"/>
      <c r="GHZ148" s="22"/>
      <c r="GIA148" s="22"/>
      <c r="GIB148" s="22"/>
      <c r="GIC148" s="22"/>
      <c r="GID148" s="22"/>
      <c r="GIE148" s="22"/>
      <c r="GIF148" s="22"/>
      <c r="GIG148" s="22"/>
      <c r="GIH148" s="22"/>
      <c r="GII148" s="22"/>
      <c r="GIJ148" s="22"/>
      <c r="GIK148" s="22"/>
      <c r="GIL148" s="22"/>
      <c r="GIM148" s="22"/>
      <c r="GIN148" s="22"/>
      <c r="GIO148" s="22"/>
      <c r="GIP148" s="22"/>
      <c r="GIQ148" s="22"/>
      <c r="GIR148" s="22"/>
      <c r="GIS148" s="22"/>
      <c r="GIT148" s="22"/>
      <c r="GIU148" s="22"/>
      <c r="GIV148" s="22"/>
      <c r="GIW148" s="22"/>
      <c r="GIX148" s="22"/>
      <c r="GIY148" s="22"/>
      <c r="GIZ148" s="22"/>
      <c r="GJA148" s="22"/>
      <c r="GJB148" s="22"/>
      <c r="GJC148" s="22"/>
      <c r="GJD148" s="22"/>
      <c r="GJE148" s="22"/>
      <c r="GJF148" s="22"/>
      <c r="GJG148" s="22"/>
      <c r="GJH148" s="22"/>
      <c r="GJI148" s="22"/>
      <c r="GJJ148" s="22"/>
      <c r="GJK148" s="22"/>
      <c r="GJL148" s="22"/>
      <c r="GJM148" s="22"/>
      <c r="GJN148" s="22"/>
      <c r="GJO148" s="22"/>
      <c r="GJP148" s="22"/>
      <c r="GJQ148" s="22"/>
      <c r="GJR148" s="22"/>
      <c r="GJS148" s="22"/>
      <c r="GJT148" s="22"/>
      <c r="GJU148" s="22"/>
      <c r="GJV148" s="22"/>
      <c r="GJW148" s="22"/>
      <c r="GJX148" s="22"/>
      <c r="GJY148" s="22"/>
      <c r="GJZ148" s="22"/>
      <c r="GKA148" s="22"/>
      <c r="GKB148" s="22"/>
      <c r="GKC148" s="22"/>
      <c r="GKD148" s="22"/>
      <c r="GKE148" s="22"/>
      <c r="GKF148" s="22"/>
      <c r="GKG148" s="22"/>
      <c r="GKH148" s="22"/>
      <c r="GKI148" s="22"/>
      <c r="GKJ148" s="22"/>
      <c r="GKK148" s="22"/>
      <c r="GKL148" s="22"/>
      <c r="GKM148" s="22"/>
      <c r="GKN148" s="22"/>
      <c r="GKO148" s="22"/>
      <c r="GKP148" s="22"/>
      <c r="GKQ148" s="22"/>
      <c r="GKR148" s="22"/>
      <c r="GKS148" s="22"/>
      <c r="GKT148" s="22"/>
      <c r="GKU148" s="22"/>
      <c r="GKV148" s="22"/>
      <c r="GKW148" s="22"/>
      <c r="GKX148" s="22"/>
      <c r="GKY148" s="22"/>
      <c r="GKZ148" s="22"/>
      <c r="GLA148" s="22"/>
      <c r="GLB148" s="22"/>
      <c r="GLC148" s="22"/>
      <c r="GLD148" s="22"/>
      <c r="GLE148" s="22"/>
      <c r="GLF148" s="22"/>
      <c r="GLG148" s="22"/>
      <c r="GLH148" s="22"/>
      <c r="GLI148" s="22"/>
      <c r="GLJ148" s="22"/>
      <c r="GLK148" s="22"/>
      <c r="GLL148" s="22"/>
      <c r="GLM148" s="22"/>
      <c r="GLN148" s="22"/>
      <c r="GLO148" s="22"/>
      <c r="GLP148" s="22"/>
      <c r="GLQ148" s="22"/>
      <c r="GLR148" s="22"/>
      <c r="GLS148" s="22"/>
      <c r="GLT148" s="22"/>
      <c r="GLU148" s="22"/>
      <c r="GLV148" s="22"/>
      <c r="GLW148" s="22"/>
      <c r="GLX148" s="22"/>
      <c r="GLY148" s="22"/>
      <c r="GLZ148" s="22"/>
      <c r="GMA148" s="22"/>
      <c r="GMB148" s="22"/>
      <c r="GMC148" s="22"/>
      <c r="GMD148" s="22"/>
      <c r="GME148" s="22"/>
      <c r="GMF148" s="22"/>
      <c r="GMG148" s="22"/>
      <c r="GMH148" s="22"/>
      <c r="GMI148" s="22"/>
      <c r="GMJ148" s="22"/>
      <c r="GMK148" s="22"/>
      <c r="GML148" s="22"/>
      <c r="GMM148" s="22"/>
      <c r="GMN148" s="22"/>
      <c r="GMO148" s="22"/>
      <c r="GMP148" s="22"/>
      <c r="GMQ148" s="22"/>
      <c r="GMR148" s="22"/>
      <c r="GMS148" s="22"/>
      <c r="GMT148" s="22"/>
      <c r="GMU148" s="22"/>
      <c r="GMV148" s="22"/>
      <c r="GMW148" s="22"/>
      <c r="GMX148" s="22"/>
      <c r="GMY148" s="22"/>
      <c r="GMZ148" s="22"/>
      <c r="GNA148" s="22"/>
      <c r="GNB148" s="22"/>
      <c r="GNC148" s="22"/>
      <c r="GND148" s="22"/>
      <c r="GNE148" s="22"/>
      <c r="GNF148" s="22"/>
      <c r="GNG148" s="22"/>
      <c r="GNH148" s="22"/>
      <c r="GNI148" s="22"/>
      <c r="GNJ148" s="22"/>
      <c r="GNK148" s="22"/>
      <c r="GNL148" s="22"/>
      <c r="GNM148" s="22"/>
      <c r="GNN148" s="22"/>
      <c r="GNO148" s="22"/>
      <c r="GNP148" s="22"/>
      <c r="GNQ148" s="22"/>
      <c r="GNR148" s="22"/>
      <c r="GNS148" s="22"/>
      <c r="GNT148" s="22"/>
      <c r="GNU148" s="22"/>
      <c r="GNV148" s="22"/>
      <c r="GNW148" s="22"/>
      <c r="GNX148" s="22"/>
      <c r="GNY148" s="22"/>
      <c r="GNZ148" s="22"/>
      <c r="GOA148" s="22"/>
      <c r="GOB148" s="22"/>
      <c r="GOC148" s="22"/>
      <c r="GOD148" s="22"/>
      <c r="GOE148" s="22"/>
      <c r="GOF148" s="22"/>
      <c r="GOG148" s="22"/>
      <c r="GOH148" s="22"/>
      <c r="GOI148" s="22"/>
      <c r="GOJ148" s="22"/>
      <c r="GOK148" s="22"/>
      <c r="GOL148" s="22"/>
      <c r="GOM148" s="22"/>
      <c r="GON148" s="22"/>
      <c r="GOO148" s="22"/>
      <c r="GOP148" s="22"/>
      <c r="GOQ148" s="22"/>
      <c r="GOR148" s="22"/>
      <c r="GOS148" s="22"/>
      <c r="GOT148" s="22"/>
      <c r="GOU148" s="22"/>
      <c r="GOV148" s="22"/>
      <c r="GOW148" s="22"/>
      <c r="GOX148" s="22"/>
      <c r="GOY148" s="22"/>
      <c r="GOZ148" s="22"/>
      <c r="GPA148" s="22"/>
      <c r="GPB148" s="22"/>
      <c r="GPC148" s="22"/>
      <c r="GPD148" s="22"/>
      <c r="GPE148" s="22"/>
      <c r="GPF148" s="22"/>
      <c r="GPG148" s="22"/>
      <c r="GPH148" s="22"/>
      <c r="GPI148" s="22"/>
      <c r="GPJ148" s="22"/>
      <c r="GPK148" s="22"/>
      <c r="GPL148" s="22"/>
      <c r="GPM148" s="22"/>
      <c r="GPN148" s="22"/>
      <c r="GPO148" s="22"/>
      <c r="GPP148" s="22"/>
      <c r="GPQ148" s="22"/>
      <c r="GPR148" s="22"/>
      <c r="GPS148" s="22"/>
      <c r="GPT148" s="22"/>
      <c r="GPU148" s="22"/>
      <c r="GPV148" s="22"/>
      <c r="GPW148" s="22"/>
      <c r="GPX148" s="22"/>
      <c r="GPY148" s="22"/>
      <c r="GPZ148" s="22"/>
      <c r="GQA148" s="22"/>
      <c r="GQB148" s="22"/>
      <c r="GQC148" s="22"/>
      <c r="GQD148" s="22"/>
      <c r="GQE148" s="22"/>
      <c r="GQF148" s="22"/>
      <c r="GQG148" s="22"/>
      <c r="GQH148" s="22"/>
      <c r="GQI148" s="22"/>
      <c r="GQJ148" s="22"/>
      <c r="GQK148" s="22"/>
      <c r="GQL148" s="22"/>
      <c r="GQM148" s="22"/>
      <c r="GQN148" s="22"/>
      <c r="GQO148" s="22"/>
      <c r="GQP148" s="22"/>
      <c r="GQQ148" s="22"/>
      <c r="GQR148" s="22"/>
      <c r="GQS148" s="22"/>
      <c r="GQT148" s="22"/>
      <c r="GQU148" s="22"/>
      <c r="GQV148" s="22"/>
      <c r="GQW148" s="22"/>
      <c r="GQX148" s="22"/>
      <c r="GQY148" s="22"/>
      <c r="GQZ148" s="22"/>
      <c r="GRA148" s="22"/>
      <c r="GRB148" s="22"/>
      <c r="GRC148" s="22"/>
      <c r="GRD148" s="22"/>
      <c r="GRE148" s="22"/>
      <c r="GRF148" s="22"/>
      <c r="GRG148" s="22"/>
      <c r="GRH148" s="22"/>
      <c r="GRI148" s="22"/>
      <c r="GRJ148" s="22"/>
      <c r="GRK148" s="22"/>
      <c r="GRL148" s="22"/>
      <c r="GRM148" s="22"/>
      <c r="GRN148" s="22"/>
      <c r="GRO148" s="22"/>
      <c r="GRP148" s="22"/>
      <c r="GRQ148" s="22"/>
      <c r="GRR148" s="22"/>
      <c r="GRS148" s="22"/>
      <c r="GRT148" s="22"/>
      <c r="GRU148" s="22"/>
      <c r="GRV148" s="22"/>
      <c r="GRW148" s="22"/>
      <c r="GRX148" s="22"/>
      <c r="GRY148" s="22"/>
      <c r="GRZ148" s="22"/>
      <c r="GSA148" s="22"/>
      <c r="GSB148" s="22"/>
      <c r="GSC148" s="22"/>
      <c r="GSD148" s="22"/>
      <c r="GSE148" s="22"/>
      <c r="GSF148" s="22"/>
      <c r="GSG148" s="22"/>
      <c r="GSH148" s="22"/>
      <c r="GSI148" s="22"/>
      <c r="GSJ148" s="22"/>
      <c r="GSK148" s="22"/>
      <c r="GSL148" s="22"/>
      <c r="GSM148" s="22"/>
      <c r="GSN148" s="22"/>
      <c r="GSO148" s="22"/>
      <c r="GSP148" s="22"/>
      <c r="GSQ148" s="22"/>
      <c r="GSR148" s="22"/>
      <c r="GSS148" s="22"/>
      <c r="GST148" s="22"/>
      <c r="GSU148" s="22"/>
      <c r="GSV148" s="22"/>
      <c r="GSW148" s="22"/>
      <c r="GSX148" s="22"/>
      <c r="GSY148" s="22"/>
      <c r="GSZ148" s="22"/>
      <c r="GTA148" s="22"/>
      <c r="GTB148" s="22"/>
      <c r="GTC148" s="22"/>
      <c r="GTD148" s="22"/>
      <c r="GTE148" s="22"/>
      <c r="GTF148" s="22"/>
      <c r="GTG148" s="22"/>
      <c r="GTH148" s="22"/>
      <c r="GTI148" s="22"/>
      <c r="GTJ148" s="22"/>
      <c r="GTK148" s="22"/>
      <c r="GTL148" s="22"/>
      <c r="GTM148" s="22"/>
      <c r="GTN148" s="22"/>
      <c r="GTO148" s="22"/>
      <c r="GTP148" s="22"/>
      <c r="GTQ148" s="22"/>
      <c r="GTR148" s="22"/>
      <c r="GTS148" s="22"/>
      <c r="GTT148" s="22"/>
      <c r="GTU148" s="22"/>
      <c r="GTV148" s="22"/>
      <c r="GTW148" s="22"/>
      <c r="GTX148" s="22"/>
      <c r="GTY148" s="22"/>
      <c r="GTZ148" s="22"/>
      <c r="GUA148" s="22"/>
      <c r="GUB148" s="22"/>
      <c r="GUC148" s="22"/>
      <c r="GUD148" s="22"/>
      <c r="GUE148" s="22"/>
      <c r="GUF148" s="22"/>
      <c r="GUG148" s="22"/>
      <c r="GUH148" s="22"/>
      <c r="GUI148" s="22"/>
      <c r="GUJ148" s="22"/>
      <c r="GUK148" s="22"/>
      <c r="GUL148" s="22"/>
      <c r="GUM148" s="22"/>
      <c r="GUN148" s="22"/>
      <c r="GUO148" s="22"/>
      <c r="GUP148" s="22"/>
      <c r="GUQ148" s="22"/>
      <c r="GUR148" s="22"/>
      <c r="GUS148" s="22"/>
      <c r="GUT148" s="22"/>
      <c r="GUU148" s="22"/>
      <c r="GUV148" s="22"/>
      <c r="GUW148" s="22"/>
      <c r="GUX148" s="22"/>
      <c r="GUY148" s="22"/>
      <c r="GUZ148" s="22"/>
      <c r="GVA148" s="22"/>
      <c r="GVB148" s="22"/>
      <c r="GVC148" s="22"/>
      <c r="GVD148" s="22"/>
      <c r="GVE148" s="22"/>
      <c r="GVF148" s="22"/>
      <c r="GVG148" s="22"/>
      <c r="GVH148" s="22"/>
      <c r="GVI148" s="22"/>
      <c r="GVJ148" s="22"/>
      <c r="GVK148" s="22"/>
      <c r="GVL148" s="22"/>
      <c r="GVM148" s="22"/>
      <c r="GVN148" s="22"/>
      <c r="GVO148" s="22"/>
      <c r="GVP148" s="22"/>
      <c r="GVQ148" s="22"/>
      <c r="GVR148" s="22"/>
      <c r="GVS148" s="22"/>
      <c r="GVT148" s="22"/>
      <c r="GVU148" s="22"/>
      <c r="GVV148" s="22"/>
      <c r="GVW148" s="22"/>
      <c r="GVX148" s="22"/>
      <c r="GVY148" s="22"/>
      <c r="GVZ148" s="22"/>
      <c r="GWA148" s="22"/>
      <c r="GWB148" s="22"/>
      <c r="GWC148" s="22"/>
      <c r="GWD148" s="22"/>
      <c r="GWE148" s="22"/>
      <c r="GWF148" s="22"/>
      <c r="GWG148" s="22"/>
      <c r="GWH148" s="22"/>
      <c r="GWI148" s="22"/>
      <c r="GWJ148" s="22"/>
      <c r="GWK148" s="22"/>
      <c r="GWL148" s="22"/>
      <c r="GWM148" s="22"/>
      <c r="GWN148" s="22"/>
      <c r="GWO148" s="22"/>
      <c r="GWP148" s="22"/>
      <c r="GWQ148" s="22"/>
      <c r="GWR148" s="22"/>
      <c r="GWS148" s="22"/>
      <c r="GWT148" s="22"/>
      <c r="GWU148" s="22"/>
      <c r="GWV148" s="22"/>
      <c r="GWW148" s="22"/>
      <c r="GWX148" s="22"/>
      <c r="GWY148" s="22"/>
      <c r="GWZ148" s="22"/>
      <c r="GXA148" s="22"/>
      <c r="GXB148" s="22"/>
      <c r="GXC148" s="22"/>
      <c r="GXD148" s="22"/>
      <c r="GXE148" s="22"/>
      <c r="GXF148" s="22"/>
      <c r="GXG148" s="22"/>
      <c r="GXH148" s="22"/>
      <c r="GXI148" s="22"/>
      <c r="GXJ148" s="22"/>
      <c r="GXK148" s="22"/>
      <c r="GXL148" s="22"/>
      <c r="GXM148" s="22"/>
      <c r="GXN148" s="22"/>
      <c r="GXO148" s="22"/>
      <c r="GXP148" s="22"/>
      <c r="GXQ148" s="22"/>
      <c r="GXR148" s="22"/>
      <c r="GXS148" s="22"/>
      <c r="GXT148" s="22"/>
      <c r="GXU148" s="22"/>
      <c r="GXV148" s="22"/>
      <c r="GXW148" s="22"/>
      <c r="GXX148" s="22"/>
      <c r="GXY148" s="22"/>
      <c r="GXZ148" s="22"/>
      <c r="GYA148" s="22"/>
      <c r="GYB148" s="22"/>
      <c r="GYC148" s="22"/>
      <c r="GYD148" s="22"/>
      <c r="GYE148" s="22"/>
      <c r="GYF148" s="22"/>
      <c r="GYG148" s="22"/>
      <c r="GYH148" s="22"/>
      <c r="GYI148" s="22"/>
      <c r="GYJ148" s="22"/>
      <c r="GYK148" s="22"/>
      <c r="GYL148" s="22"/>
      <c r="GYM148" s="22"/>
      <c r="GYN148" s="22"/>
      <c r="GYO148" s="22"/>
      <c r="GYP148" s="22"/>
      <c r="GYQ148" s="22"/>
      <c r="GYR148" s="22"/>
      <c r="GYS148" s="22"/>
      <c r="GYT148" s="22"/>
      <c r="GYU148" s="22"/>
      <c r="GYV148" s="22"/>
      <c r="GYW148" s="22"/>
      <c r="GYX148" s="22"/>
      <c r="GYY148" s="22"/>
      <c r="GYZ148" s="22"/>
      <c r="GZA148" s="22"/>
      <c r="GZB148" s="22"/>
      <c r="GZC148" s="22"/>
      <c r="GZD148" s="22"/>
      <c r="GZE148" s="22"/>
      <c r="GZF148" s="22"/>
      <c r="GZG148" s="22"/>
      <c r="GZH148" s="22"/>
      <c r="GZI148" s="22"/>
      <c r="GZJ148" s="22"/>
      <c r="GZK148" s="22"/>
      <c r="GZL148" s="22"/>
      <c r="GZM148" s="22"/>
      <c r="GZN148" s="22"/>
      <c r="GZO148" s="22"/>
      <c r="GZP148" s="22"/>
      <c r="GZQ148" s="22"/>
      <c r="GZR148" s="22"/>
      <c r="GZS148" s="22"/>
      <c r="GZT148" s="22"/>
      <c r="GZU148" s="22"/>
      <c r="GZV148" s="22"/>
      <c r="GZW148" s="22"/>
      <c r="GZX148" s="22"/>
      <c r="GZY148" s="22"/>
      <c r="GZZ148" s="22"/>
      <c r="HAA148" s="22"/>
      <c r="HAB148" s="22"/>
      <c r="HAC148" s="22"/>
      <c r="HAD148" s="22"/>
      <c r="HAE148" s="22"/>
      <c r="HAF148" s="22"/>
      <c r="HAG148" s="22"/>
      <c r="HAH148" s="22"/>
      <c r="HAI148" s="22"/>
      <c r="HAJ148" s="22"/>
      <c r="HAK148" s="22"/>
      <c r="HAL148" s="22"/>
      <c r="HAM148" s="22"/>
      <c r="HAN148" s="22"/>
      <c r="HAO148" s="22"/>
      <c r="HAP148" s="22"/>
      <c r="HAQ148" s="22"/>
      <c r="HAR148" s="22"/>
      <c r="HAS148" s="22"/>
      <c r="HAT148" s="22"/>
      <c r="HAU148" s="22"/>
      <c r="HAV148" s="22"/>
      <c r="HAW148" s="22"/>
      <c r="HAX148" s="22"/>
      <c r="HAY148" s="22"/>
      <c r="HAZ148" s="22"/>
      <c r="HBA148" s="22"/>
      <c r="HBB148" s="22"/>
      <c r="HBC148" s="22"/>
      <c r="HBD148" s="22"/>
      <c r="HBE148" s="22"/>
      <c r="HBF148" s="22"/>
      <c r="HBG148" s="22"/>
      <c r="HBH148" s="22"/>
      <c r="HBI148" s="22"/>
      <c r="HBJ148" s="22"/>
      <c r="HBK148" s="22"/>
      <c r="HBL148" s="22"/>
      <c r="HBM148" s="22"/>
      <c r="HBN148" s="22"/>
      <c r="HBO148" s="22"/>
      <c r="HBP148" s="22"/>
      <c r="HBQ148" s="22"/>
      <c r="HBR148" s="22"/>
      <c r="HBS148" s="22"/>
      <c r="HBT148" s="22"/>
      <c r="HBU148" s="22"/>
      <c r="HBV148" s="22"/>
      <c r="HBW148" s="22"/>
      <c r="HBX148" s="22"/>
      <c r="HBY148" s="22"/>
      <c r="HBZ148" s="22"/>
      <c r="HCA148" s="22"/>
      <c r="HCB148" s="22"/>
      <c r="HCC148" s="22"/>
      <c r="HCD148" s="22"/>
      <c r="HCE148" s="22"/>
      <c r="HCF148" s="22"/>
      <c r="HCG148" s="22"/>
      <c r="HCH148" s="22"/>
      <c r="HCI148" s="22"/>
      <c r="HCJ148" s="22"/>
      <c r="HCK148" s="22"/>
      <c r="HCL148" s="22"/>
      <c r="HCM148" s="22"/>
      <c r="HCN148" s="22"/>
      <c r="HCO148" s="22"/>
      <c r="HCP148" s="22"/>
      <c r="HCQ148" s="22"/>
      <c r="HCR148" s="22"/>
      <c r="HCS148" s="22"/>
      <c r="HCT148" s="22"/>
      <c r="HCU148" s="22"/>
      <c r="HCV148" s="22"/>
      <c r="HCW148" s="22"/>
      <c r="HCX148" s="22"/>
      <c r="HCY148" s="22"/>
      <c r="HCZ148" s="22"/>
      <c r="HDA148" s="22"/>
      <c r="HDB148" s="22"/>
      <c r="HDC148" s="22"/>
      <c r="HDD148" s="22"/>
      <c r="HDE148" s="22"/>
      <c r="HDF148" s="22"/>
      <c r="HDG148" s="22"/>
      <c r="HDH148" s="22"/>
      <c r="HDI148" s="22"/>
      <c r="HDJ148" s="22"/>
      <c r="HDK148" s="22"/>
      <c r="HDL148" s="22"/>
      <c r="HDM148" s="22"/>
      <c r="HDN148" s="22"/>
      <c r="HDO148" s="22"/>
      <c r="HDP148" s="22"/>
      <c r="HDQ148" s="22"/>
      <c r="HDR148" s="22"/>
      <c r="HDS148" s="22"/>
      <c r="HDT148" s="22"/>
      <c r="HDU148" s="22"/>
      <c r="HDV148" s="22"/>
      <c r="HDW148" s="22"/>
      <c r="HDX148" s="22"/>
      <c r="HDY148" s="22"/>
      <c r="HDZ148" s="22"/>
      <c r="HEA148" s="22"/>
      <c r="HEB148" s="22"/>
      <c r="HEC148" s="22"/>
      <c r="HED148" s="22"/>
      <c r="HEE148" s="22"/>
      <c r="HEF148" s="22"/>
      <c r="HEG148" s="22"/>
      <c r="HEH148" s="22"/>
      <c r="HEI148" s="22"/>
      <c r="HEJ148" s="22"/>
      <c r="HEK148" s="22"/>
      <c r="HEL148" s="22"/>
      <c r="HEM148" s="22"/>
      <c r="HEN148" s="22"/>
      <c r="HEO148" s="22"/>
      <c r="HEP148" s="22"/>
      <c r="HEQ148" s="22"/>
      <c r="HER148" s="22"/>
      <c r="HES148" s="22"/>
      <c r="HET148" s="22"/>
      <c r="HEU148" s="22"/>
      <c r="HEV148" s="22"/>
      <c r="HEW148" s="22"/>
      <c r="HEX148" s="22"/>
      <c r="HEY148" s="22"/>
      <c r="HEZ148" s="22"/>
      <c r="HFA148" s="22"/>
      <c r="HFB148" s="22"/>
      <c r="HFC148" s="22"/>
      <c r="HFD148" s="22"/>
      <c r="HFE148" s="22"/>
      <c r="HFF148" s="22"/>
      <c r="HFG148" s="22"/>
      <c r="HFH148" s="22"/>
      <c r="HFI148" s="22"/>
      <c r="HFJ148" s="22"/>
      <c r="HFK148" s="22"/>
      <c r="HFL148" s="22"/>
      <c r="HFM148" s="22"/>
      <c r="HFN148" s="22"/>
      <c r="HFO148" s="22"/>
      <c r="HFP148" s="22"/>
      <c r="HFQ148" s="22"/>
      <c r="HFR148" s="22"/>
      <c r="HFS148" s="22"/>
      <c r="HFT148" s="22"/>
      <c r="HFU148" s="22"/>
      <c r="HFV148" s="22"/>
      <c r="HFW148" s="22"/>
      <c r="HFX148" s="22"/>
      <c r="HFY148" s="22"/>
      <c r="HFZ148" s="22"/>
      <c r="HGA148" s="22"/>
      <c r="HGB148" s="22"/>
      <c r="HGC148" s="22"/>
      <c r="HGD148" s="22"/>
      <c r="HGE148" s="22"/>
      <c r="HGF148" s="22"/>
      <c r="HGG148" s="22"/>
      <c r="HGH148" s="22"/>
      <c r="HGI148" s="22"/>
      <c r="HGJ148" s="22"/>
      <c r="HGK148" s="22"/>
      <c r="HGL148" s="22"/>
      <c r="HGM148" s="22"/>
      <c r="HGN148" s="22"/>
      <c r="HGO148" s="22"/>
      <c r="HGP148" s="22"/>
      <c r="HGQ148" s="22"/>
      <c r="HGR148" s="22"/>
      <c r="HGS148" s="22"/>
      <c r="HGT148" s="22"/>
      <c r="HGU148" s="22"/>
      <c r="HGV148" s="22"/>
      <c r="HGW148" s="22"/>
      <c r="HGX148" s="22"/>
      <c r="HGY148" s="22"/>
      <c r="HGZ148" s="22"/>
      <c r="HHA148" s="22"/>
      <c r="HHB148" s="22"/>
      <c r="HHC148" s="22"/>
      <c r="HHD148" s="22"/>
      <c r="HHE148" s="22"/>
      <c r="HHF148" s="22"/>
      <c r="HHG148" s="22"/>
      <c r="HHH148" s="22"/>
      <c r="HHI148" s="22"/>
      <c r="HHJ148" s="22"/>
      <c r="HHK148" s="22"/>
      <c r="HHL148" s="22"/>
      <c r="HHM148" s="22"/>
      <c r="HHN148" s="22"/>
      <c r="HHO148" s="22"/>
      <c r="HHP148" s="22"/>
      <c r="HHQ148" s="22"/>
      <c r="HHR148" s="22"/>
      <c r="HHS148" s="22"/>
      <c r="HHT148" s="22"/>
      <c r="HHU148" s="22"/>
      <c r="HHV148" s="22"/>
      <c r="HHW148" s="22"/>
      <c r="HHX148" s="22"/>
      <c r="HHY148" s="22"/>
      <c r="HHZ148" s="22"/>
      <c r="HIA148" s="22"/>
      <c r="HIB148" s="22"/>
      <c r="HIC148" s="22"/>
      <c r="HID148" s="22"/>
      <c r="HIE148" s="22"/>
      <c r="HIF148" s="22"/>
      <c r="HIG148" s="22"/>
      <c r="HIH148" s="22"/>
      <c r="HII148" s="22"/>
      <c r="HIJ148" s="22"/>
      <c r="HIK148" s="22"/>
      <c r="HIL148" s="22"/>
      <c r="HIM148" s="22"/>
      <c r="HIN148" s="22"/>
      <c r="HIO148" s="22"/>
      <c r="HIP148" s="22"/>
      <c r="HIQ148" s="22"/>
      <c r="HIR148" s="22"/>
      <c r="HIS148" s="22"/>
      <c r="HIT148" s="22"/>
      <c r="HIU148" s="22"/>
      <c r="HIV148" s="22"/>
      <c r="HIW148" s="22"/>
      <c r="HIX148" s="22"/>
      <c r="HIY148" s="22"/>
      <c r="HIZ148" s="22"/>
      <c r="HJA148" s="22"/>
      <c r="HJB148" s="22"/>
      <c r="HJC148" s="22"/>
      <c r="HJD148" s="22"/>
      <c r="HJE148" s="22"/>
      <c r="HJF148" s="22"/>
      <c r="HJG148" s="22"/>
      <c r="HJH148" s="22"/>
      <c r="HJI148" s="22"/>
      <c r="HJJ148" s="22"/>
      <c r="HJK148" s="22"/>
      <c r="HJL148" s="22"/>
      <c r="HJM148" s="22"/>
      <c r="HJN148" s="22"/>
      <c r="HJO148" s="22"/>
      <c r="HJP148" s="22"/>
      <c r="HJQ148" s="22"/>
      <c r="HJR148" s="22"/>
      <c r="HJS148" s="22"/>
      <c r="HJT148" s="22"/>
      <c r="HJU148" s="22"/>
      <c r="HJV148" s="22"/>
      <c r="HJW148" s="22"/>
      <c r="HJX148" s="22"/>
      <c r="HJY148" s="22"/>
      <c r="HJZ148" s="22"/>
      <c r="HKA148" s="22"/>
      <c r="HKB148" s="22"/>
      <c r="HKC148" s="22"/>
      <c r="HKD148" s="22"/>
      <c r="HKE148" s="22"/>
      <c r="HKF148" s="22"/>
      <c r="HKG148" s="22"/>
      <c r="HKH148" s="22"/>
      <c r="HKI148" s="22"/>
      <c r="HKJ148" s="22"/>
      <c r="HKK148" s="22"/>
      <c r="HKL148" s="22"/>
      <c r="HKM148" s="22"/>
      <c r="HKN148" s="22"/>
      <c r="HKO148" s="22"/>
      <c r="HKP148" s="22"/>
      <c r="HKQ148" s="22"/>
      <c r="HKR148" s="22"/>
      <c r="HKS148" s="22"/>
      <c r="HKT148" s="22"/>
      <c r="HKU148" s="22"/>
      <c r="HKV148" s="22"/>
      <c r="HKW148" s="22"/>
      <c r="HKX148" s="22"/>
      <c r="HKY148" s="22"/>
      <c r="HKZ148" s="22"/>
      <c r="HLA148" s="22"/>
      <c r="HLB148" s="22"/>
      <c r="HLC148" s="22"/>
      <c r="HLD148" s="22"/>
      <c r="HLE148" s="22"/>
      <c r="HLF148" s="22"/>
      <c r="HLG148" s="22"/>
      <c r="HLH148" s="22"/>
      <c r="HLI148" s="22"/>
      <c r="HLJ148" s="22"/>
      <c r="HLK148" s="22"/>
      <c r="HLL148" s="22"/>
      <c r="HLM148" s="22"/>
      <c r="HLN148" s="22"/>
      <c r="HLO148" s="22"/>
      <c r="HLP148" s="22"/>
      <c r="HLQ148" s="22"/>
      <c r="HLR148" s="22"/>
      <c r="HLS148" s="22"/>
      <c r="HLT148" s="22"/>
      <c r="HLU148" s="22"/>
      <c r="HLV148" s="22"/>
      <c r="HLW148" s="22"/>
      <c r="HLX148" s="22"/>
      <c r="HLY148" s="22"/>
      <c r="HLZ148" s="22"/>
      <c r="HMA148" s="22"/>
      <c r="HMB148" s="22"/>
      <c r="HMC148" s="22"/>
      <c r="HMD148" s="22"/>
      <c r="HME148" s="22"/>
      <c r="HMF148" s="22"/>
      <c r="HMG148" s="22"/>
      <c r="HMH148" s="22"/>
      <c r="HMI148" s="22"/>
      <c r="HMJ148" s="22"/>
      <c r="HMK148" s="22"/>
      <c r="HML148" s="22"/>
      <c r="HMM148" s="22"/>
      <c r="HMN148" s="22"/>
      <c r="HMO148" s="22"/>
      <c r="HMP148" s="22"/>
      <c r="HMQ148" s="22"/>
      <c r="HMR148" s="22"/>
      <c r="HMS148" s="22"/>
      <c r="HMT148" s="22"/>
      <c r="HMU148" s="22"/>
      <c r="HMV148" s="22"/>
      <c r="HMW148" s="22"/>
      <c r="HMX148" s="22"/>
      <c r="HMY148" s="22"/>
      <c r="HMZ148" s="22"/>
      <c r="HNA148" s="22"/>
      <c r="HNB148" s="22"/>
      <c r="HNC148" s="22"/>
      <c r="HND148" s="22"/>
      <c r="HNE148" s="22"/>
      <c r="HNF148" s="22"/>
      <c r="HNG148" s="22"/>
      <c r="HNH148" s="22"/>
      <c r="HNI148" s="22"/>
      <c r="HNJ148" s="22"/>
      <c r="HNK148" s="22"/>
      <c r="HNL148" s="22"/>
      <c r="HNM148" s="22"/>
      <c r="HNN148" s="22"/>
      <c r="HNO148" s="22"/>
      <c r="HNP148" s="22"/>
      <c r="HNQ148" s="22"/>
      <c r="HNR148" s="22"/>
      <c r="HNS148" s="22"/>
      <c r="HNT148" s="22"/>
      <c r="HNU148" s="22"/>
      <c r="HNV148" s="22"/>
      <c r="HNW148" s="22"/>
      <c r="HNX148" s="22"/>
      <c r="HNY148" s="22"/>
      <c r="HNZ148" s="22"/>
      <c r="HOA148" s="22"/>
      <c r="HOB148" s="22"/>
      <c r="HOC148" s="22"/>
      <c r="HOD148" s="22"/>
      <c r="HOE148" s="22"/>
      <c r="HOF148" s="22"/>
      <c r="HOG148" s="22"/>
      <c r="HOH148" s="22"/>
      <c r="HOI148" s="22"/>
      <c r="HOJ148" s="22"/>
      <c r="HOK148" s="22"/>
      <c r="HOL148" s="22"/>
      <c r="HOM148" s="22"/>
      <c r="HON148" s="22"/>
      <c r="HOO148" s="22"/>
      <c r="HOP148" s="22"/>
      <c r="HOQ148" s="22"/>
      <c r="HOR148" s="22"/>
      <c r="HOS148" s="22"/>
      <c r="HOT148" s="22"/>
      <c r="HOU148" s="22"/>
      <c r="HOV148" s="22"/>
      <c r="HOW148" s="22"/>
      <c r="HOX148" s="22"/>
      <c r="HOY148" s="22"/>
      <c r="HOZ148" s="22"/>
      <c r="HPA148" s="22"/>
      <c r="HPB148" s="22"/>
      <c r="HPC148" s="22"/>
      <c r="HPD148" s="22"/>
      <c r="HPE148" s="22"/>
      <c r="HPF148" s="22"/>
      <c r="HPG148" s="22"/>
      <c r="HPH148" s="22"/>
      <c r="HPI148" s="22"/>
      <c r="HPJ148" s="22"/>
      <c r="HPK148" s="22"/>
      <c r="HPL148" s="22"/>
      <c r="HPM148" s="22"/>
      <c r="HPN148" s="22"/>
      <c r="HPO148" s="22"/>
      <c r="HPP148" s="22"/>
      <c r="HPQ148" s="22"/>
      <c r="HPR148" s="22"/>
      <c r="HPS148" s="22"/>
      <c r="HPT148" s="22"/>
      <c r="HPU148" s="22"/>
      <c r="HPV148" s="22"/>
      <c r="HPW148" s="22"/>
      <c r="HPX148" s="22"/>
      <c r="HPY148" s="22"/>
      <c r="HPZ148" s="22"/>
      <c r="HQA148" s="22"/>
      <c r="HQB148" s="22"/>
      <c r="HQC148" s="22"/>
      <c r="HQD148" s="22"/>
      <c r="HQE148" s="22"/>
      <c r="HQF148" s="22"/>
      <c r="HQG148" s="22"/>
      <c r="HQH148" s="22"/>
      <c r="HQI148" s="22"/>
      <c r="HQJ148" s="22"/>
      <c r="HQK148" s="22"/>
      <c r="HQL148" s="22"/>
      <c r="HQM148" s="22"/>
      <c r="HQN148" s="22"/>
      <c r="HQO148" s="22"/>
      <c r="HQP148" s="22"/>
      <c r="HQQ148" s="22"/>
      <c r="HQR148" s="22"/>
      <c r="HQS148" s="22"/>
      <c r="HQT148" s="22"/>
      <c r="HQU148" s="22"/>
      <c r="HQV148" s="22"/>
      <c r="HQW148" s="22"/>
      <c r="HQX148" s="22"/>
      <c r="HQY148" s="22"/>
      <c r="HQZ148" s="22"/>
      <c r="HRA148" s="22"/>
      <c r="HRB148" s="22"/>
      <c r="HRC148" s="22"/>
      <c r="HRD148" s="22"/>
      <c r="HRE148" s="22"/>
      <c r="HRF148" s="22"/>
      <c r="HRG148" s="22"/>
      <c r="HRH148" s="22"/>
      <c r="HRI148" s="22"/>
      <c r="HRJ148" s="22"/>
      <c r="HRK148" s="22"/>
      <c r="HRL148" s="22"/>
      <c r="HRM148" s="22"/>
      <c r="HRN148" s="22"/>
      <c r="HRO148" s="22"/>
      <c r="HRP148" s="22"/>
      <c r="HRQ148" s="22"/>
      <c r="HRR148" s="22"/>
      <c r="HRS148" s="22"/>
      <c r="HRT148" s="22"/>
      <c r="HRU148" s="22"/>
      <c r="HRV148" s="22"/>
      <c r="HRW148" s="22"/>
      <c r="HRX148" s="22"/>
      <c r="HRY148" s="22"/>
      <c r="HRZ148" s="22"/>
      <c r="HSA148" s="22"/>
      <c r="HSB148" s="22"/>
      <c r="HSC148" s="22"/>
      <c r="HSD148" s="22"/>
      <c r="HSE148" s="22"/>
      <c r="HSF148" s="22"/>
      <c r="HSG148" s="22"/>
      <c r="HSH148" s="22"/>
      <c r="HSI148" s="22"/>
      <c r="HSJ148" s="22"/>
      <c r="HSK148" s="22"/>
      <c r="HSL148" s="22"/>
      <c r="HSM148" s="22"/>
      <c r="HSN148" s="22"/>
      <c r="HSO148" s="22"/>
      <c r="HSP148" s="22"/>
      <c r="HSQ148" s="22"/>
      <c r="HSR148" s="22"/>
      <c r="HSS148" s="22"/>
      <c r="HST148" s="22"/>
      <c r="HSU148" s="22"/>
      <c r="HSV148" s="22"/>
      <c r="HSW148" s="22"/>
      <c r="HSX148" s="22"/>
      <c r="HSY148" s="22"/>
      <c r="HSZ148" s="22"/>
      <c r="HTA148" s="22"/>
      <c r="HTB148" s="22"/>
      <c r="HTC148" s="22"/>
      <c r="HTD148" s="22"/>
      <c r="HTE148" s="22"/>
      <c r="HTF148" s="22"/>
      <c r="HTG148" s="22"/>
      <c r="HTH148" s="22"/>
      <c r="HTI148" s="22"/>
      <c r="HTJ148" s="22"/>
      <c r="HTK148" s="22"/>
      <c r="HTL148" s="22"/>
      <c r="HTM148" s="22"/>
      <c r="HTN148" s="22"/>
      <c r="HTO148" s="22"/>
      <c r="HTP148" s="22"/>
      <c r="HTQ148" s="22"/>
      <c r="HTR148" s="22"/>
      <c r="HTS148" s="22"/>
      <c r="HTT148" s="22"/>
      <c r="HTU148" s="22"/>
      <c r="HTV148" s="22"/>
      <c r="HTW148" s="22"/>
      <c r="HTX148" s="22"/>
      <c r="HTY148" s="22"/>
      <c r="HTZ148" s="22"/>
      <c r="HUA148" s="22"/>
      <c r="HUB148" s="22"/>
      <c r="HUC148" s="22"/>
      <c r="HUD148" s="22"/>
      <c r="HUE148" s="22"/>
      <c r="HUF148" s="22"/>
      <c r="HUG148" s="22"/>
      <c r="HUH148" s="22"/>
      <c r="HUI148" s="22"/>
      <c r="HUJ148" s="22"/>
      <c r="HUK148" s="22"/>
      <c r="HUL148" s="22"/>
      <c r="HUM148" s="22"/>
      <c r="HUN148" s="22"/>
      <c r="HUO148" s="22"/>
      <c r="HUP148" s="22"/>
      <c r="HUQ148" s="22"/>
      <c r="HUR148" s="22"/>
      <c r="HUS148" s="22"/>
      <c r="HUT148" s="22"/>
      <c r="HUU148" s="22"/>
      <c r="HUV148" s="22"/>
      <c r="HUW148" s="22"/>
      <c r="HUX148" s="22"/>
      <c r="HUY148" s="22"/>
      <c r="HUZ148" s="22"/>
      <c r="HVA148" s="22"/>
      <c r="HVB148" s="22"/>
      <c r="HVC148" s="22"/>
      <c r="HVD148" s="22"/>
      <c r="HVE148" s="22"/>
      <c r="HVF148" s="22"/>
      <c r="HVG148" s="22"/>
      <c r="HVH148" s="22"/>
      <c r="HVI148" s="22"/>
      <c r="HVJ148" s="22"/>
      <c r="HVK148" s="22"/>
      <c r="HVL148" s="22"/>
      <c r="HVM148" s="22"/>
      <c r="HVN148" s="22"/>
      <c r="HVO148" s="22"/>
      <c r="HVP148" s="22"/>
      <c r="HVQ148" s="22"/>
      <c r="HVR148" s="22"/>
      <c r="HVS148" s="22"/>
      <c r="HVT148" s="22"/>
      <c r="HVU148" s="22"/>
      <c r="HVV148" s="22"/>
      <c r="HVW148" s="22"/>
      <c r="HVX148" s="22"/>
      <c r="HVY148" s="22"/>
      <c r="HVZ148" s="22"/>
      <c r="HWA148" s="22"/>
      <c r="HWB148" s="22"/>
      <c r="HWC148" s="22"/>
      <c r="HWD148" s="22"/>
      <c r="HWE148" s="22"/>
      <c r="HWF148" s="22"/>
      <c r="HWG148" s="22"/>
      <c r="HWH148" s="22"/>
      <c r="HWI148" s="22"/>
      <c r="HWJ148" s="22"/>
      <c r="HWK148" s="22"/>
      <c r="HWL148" s="22"/>
      <c r="HWM148" s="22"/>
      <c r="HWN148" s="22"/>
      <c r="HWO148" s="22"/>
      <c r="HWP148" s="22"/>
      <c r="HWQ148" s="22"/>
      <c r="HWR148" s="22"/>
      <c r="HWS148" s="22"/>
      <c r="HWT148" s="22"/>
      <c r="HWU148" s="22"/>
      <c r="HWV148" s="22"/>
      <c r="HWW148" s="22"/>
      <c r="HWX148" s="22"/>
      <c r="HWY148" s="22"/>
      <c r="HWZ148" s="22"/>
      <c r="HXA148" s="22"/>
      <c r="HXB148" s="22"/>
      <c r="HXC148" s="22"/>
      <c r="HXD148" s="22"/>
      <c r="HXE148" s="22"/>
      <c r="HXF148" s="22"/>
      <c r="HXG148" s="22"/>
      <c r="HXH148" s="22"/>
      <c r="HXI148" s="22"/>
      <c r="HXJ148" s="22"/>
      <c r="HXK148" s="22"/>
      <c r="HXL148" s="22"/>
      <c r="HXM148" s="22"/>
      <c r="HXN148" s="22"/>
      <c r="HXO148" s="22"/>
      <c r="HXP148" s="22"/>
      <c r="HXQ148" s="22"/>
      <c r="HXR148" s="22"/>
      <c r="HXS148" s="22"/>
      <c r="HXT148" s="22"/>
      <c r="HXU148" s="22"/>
      <c r="HXV148" s="22"/>
      <c r="HXW148" s="22"/>
      <c r="HXX148" s="22"/>
      <c r="HXY148" s="22"/>
      <c r="HXZ148" s="22"/>
      <c r="HYA148" s="22"/>
      <c r="HYB148" s="22"/>
      <c r="HYC148" s="22"/>
      <c r="HYD148" s="22"/>
      <c r="HYE148" s="22"/>
      <c r="HYF148" s="22"/>
      <c r="HYG148" s="22"/>
      <c r="HYH148" s="22"/>
      <c r="HYI148" s="22"/>
      <c r="HYJ148" s="22"/>
      <c r="HYK148" s="22"/>
      <c r="HYL148" s="22"/>
      <c r="HYM148" s="22"/>
      <c r="HYN148" s="22"/>
      <c r="HYO148" s="22"/>
      <c r="HYP148" s="22"/>
      <c r="HYQ148" s="22"/>
      <c r="HYR148" s="22"/>
      <c r="HYS148" s="22"/>
      <c r="HYT148" s="22"/>
      <c r="HYU148" s="22"/>
      <c r="HYV148" s="22"/>
      <c r="HYW148" s="22"/>
      <c r="HYX148" s="22"/>
      <c r="HYY148" s="22"/>
      <c r="HYZ148" s="22"/>
      <c r="HZA148" s="22"/>
      <c r="HZB148" s="22"/>
      <c r="HZC148" s="22"/>
      <c r="HZD148" s="22"/>
      <c r="HZE148" s="22"/>
      <c r="HZF148" s="22"/>
      <c r="HZG148" s="22"/>
      <c r="HZH148" s="22"/>
      <c r="HZI148" s="22"/>
      <c r="HZJ148" s="22"/>
      <c r="HZK148" s="22"/>
      <c r="HZL148" s="22"/>
      <c r="HZM148" s="22"/>
      <c r="HZN148" s="22"/>
      <c r="HZO148" s="22"/>
      <c r="HZP148" s="22"/>
      <c r="HZQ148" s="22"/>
      <c r="HZR148" s="22"/>
      <c r="HZS148" s="22"/>
      <c r="HZT148" s="22"/>
      <c r="HZU148" s="22"/>
      <c r="HZV148" s="22"/>
      <c r="HZW148" s="22"/>
      <c r="HZX148" s="22"/>
      <c r="HZY148" s="22"/>
      <c r="HZZ148" s="22"/>
      <c r="IAA148" s="22"/>
      <c r="IAB148" s="22"/>
      <c r="IAC148" s="22"/>
      <c r="IAD148" s="22"/>
      <c r="IAE148" s="22"/>
      <c r="IAF148" s="22"/>
      <c r="IAG148" s="22"/>
      <c r="IAH148" s="22"/>
      <c r="IAI148" s="22"/>
      <c r="IAJ148" s="22"/>
      <c r="IAK148" s="22"/>
      <c r="IAL148" s="22"/>
      <c r="IAM148" s="22"/>
      <c r="IAN148" s="22"/>
      <c r="IAO148" s="22"/>
      <c r="IAP148" s="22"/>
      <c r="IAQ148" s="22"/>
      <c r="IAR148" s="22"/>
      <c r="IAS148" s="22"/>
      <c r="IAT148" s="22"/>
      <c r="IAU148" s="22"/>
      <c r="IAV148" s="22"/>
      <c r="IAW148" s="22"/>
      <c r="IAX148" s="22"/>
      <c r="IAY148" s="22"/>
      <c r="IAZ148" s="22"/>
      <c r="IBA148" s="22"/>
      <c r="IBB148" s="22"/>
      <c r="IBC148" s="22"/>
      <c r="IBD148" s="22"/>
      <c r="IBE148" s="22"/>
      <c r="IBF148" s="22"/>
      <c r="IBG148" s="22"/>
      <c r="IBH148" s="22"/>
      <c r="IBI148" s="22"/>
      <c r="IBJ148" s="22"/>
      <c r="IBK148" s="22"/>
      <c r="IBL148" s="22"/>
      <c r="IBM148" s="22"/>
      <c r="IBN148" s="22"/>
      <c r="IBO148" s="22"/>
      <c r="IBP148" s="22"/>
      <c r="IBQ148" s="22"/>
      <c r="IBR148" s="22"/>
      <c r="IBS148" s="22"/>
      <c r="IBT148" s="22"/>
      <c r="IBU148" s="22"/>
      <c r="IBV148" s="22"/>
      <c r="IBW148" s="22"/>
      <c r="IBX148" s="22"/>
      <c r="IBY148" s="22"/>
      <c r="IBZ148" s="22"/>
      <c r="ICA148" s="22"/>
      <c r="ICB148" s="22"/>
      <c r="ICC148" s="22"/>
      <c r="ICD148" s="22"/>
      <c r="ICE148" s="22"/>
      <c r="ICF148" s="22"/>
      <c r="ICG148" s="22"/>
      <c r="ICH148" s="22"/>
      <c r="ICI148" s="22"/>
      <c r="ICJ148" s="22"/>
      <c r="ICK148" s="22"/>
      <c r="ICL148" s="22"/>
      <c r="ICM148" s="22"/>
      <c r="ICN148" s="22"/>
      <c r="ICO148" s="22"/>
      <c r="ICP148" s="22"/>
      <c r="ICQ148" s="22"/>
      <c r="ICR148" s="22"/>
      <c r="ICS148" s="22"/>
      <c r="ICT148" s="22"/>
      <c r="ICU148" s="22"/>
      <c r="ICV148" s="22"/>
      <c r="ICW148" s="22"/>
      <c r="ICX148" s="22"/>
      <c r="ICY148" s="22"/>
      <c r="ICZ148" s="22"/>
      <c r="IDA148" s="22"/>
      <c r="IDB148" s="22"/>
      <c r="IDC148" s="22"/>
      <c r="IDD148" s="22"/>
      <c r="IDE148" s="22"/>
      <c r="IDF148" s="22"/>
      <c r="IDG148" s="22"/>
      <c r="IDH148" s="22"/>
      <c r="IDI148" s="22"/>
      <c r="IDJ148" s="22"/>
      <c r="IDK148" s="22"/>
      <c r="IDL148" s="22"/>
      <c r="IDM148" s="22"/>
      <c r="IDN148" s="22"/>
      <c r="IDO148" s="22"/>
      <c r="IDP148" s="22"/>
      <c r="IDQ148" s="22"/>
      <c r="IDR148" s="22"/>
      <c r="IDS148" s="22"/>
      <c r="IDT148" s="22"/>
      <c r="IDU148" s="22"/>
      <c r="IDV148" s="22"/>
      <c r="IDW148" s="22"/>
      <c r="IDX148" s="22"/>
      <c r="IDY148" s="22"/>
      <c r="IDZ148" s="22"/>
      <c r="IEA148" s="22"/>
      <c r="IEB148" s="22"/>
      <c r="IEC148" s="22"/>
      <c r="IED148" s="22"/>
      <c r="IEE148" s="22"/>
      <c r="IEF148" s="22"/>
      <c r="IEG148" s="22"/>
      <c r="IEH148" s="22"/>
      <c r="IEI148" s="22"/>
      <c r="IEJ148" s="22"/>
      <c r="IEK148" s="22"/>
      <c r="IEL148" s="22"/>
      <c r="IEM148" s="22"/>
      <c r="IEN148" s="22"/>
      <c r="IEO148" s="22"/>
      <c r="IEP148" s="22"/>
      <c r="IEQ148" s="22"/>
      <c r="IER148" s="22"/>
      <c r="IES148" s="22"/>
      <c r="IET148" s="22"/>
      <c r="IEU148" s="22"/>
      <c r="IEV148" s="22"/>
      <c r="IEW148" s="22"/>
      <c r="IEX148" s="22"/>
      <c r="IEY148" s="22"/>
      <c r="IEZ148" s="22"/>
      <c r="IFA148" s="22"/>
      <c r="IFB148" s="22"/>
      <c r="IFC148" s="22"/>
      <c r="IFD148" s="22"/>
      <c r="IFE148" s="22"/>
      <c r="IFF148" s="22"/>
      <c r="IFG148" s="22"/>
      <c r="IFH148" s="22"/>
      <c r="IFI148" s="22"/>
      <c r="IFJ148" s="22"/>
      <c r="IFK148" s="22"/>
      <c r="IFL148" s="22"/>
      <c r="IFM148" s="22"/>
      <c r="IFN148" s="22"/>
      <c r="IFO148" s="22"/>
      <c r="IFP148" s="22"/>
      <c r="IFQ148" s="22"/>
      <c r="IFR148" s="22"/>
      <c r="IFS148" s="22"/>
      <c r="IFT148" s="22"/>
      <c r="IFU148" s="22"/>
      <c r="IFV148" s="22"/>
      <c r="IFW148" s="22"/>
      <c r="IFX148" s="22"/>
      <c r="IFY148" s="22"/>
      <c r="IFZ148" s="22"/>
      <c r="IGA148" s="22"/>
      <c r="IGB148" s="22"/>
      <c r="IGC148" s="22"/>
      <c r="IGD148" s="22"/>
      <c r="IGE148" s="22"/>
      <c r="IGF148" s="22"/>
      <c r="IGG148" s="22"/>
      <c r="IGH148" s="22"/>
      <c r="IGI148" s="22"/>
      <c r="IGJ148" s="22"/>
      <c r="IGK148" s="22"/>
      <c r="IGL148" s="22"/>
      <c r="IGM148" s="22"/>
      <c r="IGN148" s="22"/>
      <c r="IGO148" s="22"/>
      <c r="IGP148" s="22"/>
      <c r="IGQ148" s="22"/>
      <c r="IGR148" s="22"/>
      <c r="IGS148" s="22"/>
      <c r="IGT148" s="22"/>
      <c r="IGU148" s="22"/>
      <c r="IGV148" s="22"/>
      <c r="IGW148" s="22"/>
      <c r="IGX148" s="22"/>
      <c r="IGY148" s="22"/>
      <c r="IGZ148" s="22"/>
      <c r="IHA148" s="22"/>
      <c r="IHB148" s="22"/>
      <c r="IHC148" s="22"/>
      <c r="IHD148" s="22"/>
      <c r="IHE148" s="22"/>
      <c r="IHF148" s="22"/>
      <c r="IHG148" s="22"/>
      <c r="IHH148" s="22"/>
      <c r="IHI148" s="22"/>
      <c r="IHJ148" s="22"/>
      <c r="IHK148" s="22"/>
      <c r="IHL148" s="22"/>
      <c r="IHM148" s="22"/>
      <c r="IHN148" s="22"/>
      <c r="IHO148" s="22"/>
      <c r="IHP148" s="22"/>
      <c r="IHQ148" s="22"/>
      <c r="IHR148" s="22"/>
      <c r="IHS148" s="22"/>
      <c r="IHT148" s="22"/>
      <c r="IHU148" s="22"/>
      <c r="IHV148" s="22"/>
      <c r="IHW148" s="22"/>
      <c r="IHX148" s="22"/>
      <c r="IHY148" s="22"/>
      <c r="IHZ148" s="22"/>
      <c r="IIA148" s="22"/>
      <c r="IIB148" s="22"/>
      <c r="IIC148" s="22"/>
      <c r="IID148" s="22"/>
      <c r="IIE148" s="22"/>
      <c r="IIF148" s="22"/>
      <c r="IIG148" s="22"/>
      <c r="IIH148" s="22"/>
      <c r="III148" s="22"/>
      <c r="IIJ148" s="22"/>
      <c r="IIK148" s="22"/>
      <c r="IIL148" s="22"/>
      <c r="IIM148" s="22"/>
      <c r="IIN148" s="22"/>
      <c r="IIO148" s="22"/>
      <c r="IIP148" s="22"/>
      <c r="IIQ148" s="22"/>
      <c r="IIR148" s="22"/>
      <c r="IIS148" s="22"/>
      <c r="IIT148" s="22"/>
      <c r="IIU148" s="22"/>
      <c r="IIV148" s="22"/>
      <c r="IIW148" s="22"/>
      <c r="IIX148" s="22"/>
      <c r="IIY148" s="22"/>
      <c r="IIZ148" s="22"/>
      <c r="IJA148" s="22"/>
      <c r="IJB148" s="22"/>
      <c r="IJC148" s="22"/>
      <c r="IJD148" s="22"/>
      <c r="IJE148" s="22"/>
      <c r="IJF148" s="22"/>
      <c r="IJG148" s="22"/>
      <c r="IJH148" s="22"/>
      <c r="IJI148" s="22"/>
      <c r="IJJ148" s="22"/>
      <c r="IJK148" s="22"/>
      <c r="IJL148" s="22"/>
      <c r="IJM148" s="22"/>
      <c r="IJN148" s="22"/>
      <c r="IJO148" s="22"/>
      <c r="IJP148" s="22"/>
      <c r="IJQ148" s="22"/>
      <c r="IJR148" s="22"/>
      <c r="IJS148" s="22"/>
      <c r="IJT148" s="22"/>
      <c r="IJU148" s="22"/>
      <c r="IJV148" s="22"/>
      <c r="IJW148" s="22"/>
      <c r="IJX148" s="22"/>
      <c r="IJY148" s="22"/>
      <c r="IJZ148" s="22"/>
      <c r="IKA148" s="22"/>
      <c r="IKB148" s="22"/>
      <c r="IKC148" s="22"/>
      <c r="IKD148" s="22"/>
      <c r="IKE148" s="22"/>
      <c r="IKF148" s="22"/>
      <c r="IKG148" s="22"/>
      <c r="IKH148" s="22"/>
      <c r="IKI148" s="22"/>
      <c r="IKJ148" s="22"/>
      <c r="IKK148" s="22"/>
      <c r="IKL148" s="22"/>
      <c r="IKM148" s="22"/>
      <c r="IKN148" s="22"/>
      <c r="IKO148" s="22"/>
      <c r="IKP148" s="22"/>
      <c r="IKQ148" s="22"/>
      <c r="IKR148" s="22"/>
      <c r="IKS148" s="22"/>
      <c r="IKT148" s="22"/>
      <c r="IKU148" s="22"/>
      <c r="IKV148" s="22"/>
      <c r="IKW148" s="22"/>
      <c r="IKX148" s="22"/>
      <c r="IKY148" s="22"/>
      <c r="IKZ148" s="22"/>
      <c r="ILA148" s="22"/>
      <c r="ILB148" s="22"/>
      <c r="ILC148" s="22"/>
      <c r="ILD148" s="22"/>
      <c r="ILE148" s="22"/>
      <c r="ILF148" s="22"/>
      <c r="ILG148" s="22"/>
      <c r="ILH148" s="22"/>
      <c r="ILI148" s="22"/>
      <c r="ILJ148" s="22"/>
      <c r="ILK148" s="22"/>
      <c r="ILL148" s="22"/>
      <c r="ILM148" s="22"/>
      <c r="ILN148" s="22"/>
      <c r="ILO148" s="22"/>
      <c r="ILP148" s="22"/>
      <c r="ILQ148" s="22"/>
      <c r="ILR148" s="22"/>
      <c r="ILS148" s="22"/>
      <c r="ILT148" s="22"/>
      <c r="ILU148" s="22"/>
      <c r="ILV148" s="22"/>
      <c r="ILW148" s="22"/>
      <c r="ILX148" s="22"/>
      <c r="ILY148" s="22"/>
      <c r="ILZ148" s="22"/>
      <c r="IMA148" s="22"/>
      <c r="IMB148" s="22"/>
      <c r="IMC148" s="22"/>
      <c r="IMD148" s="22"/>
      <c r="IME148" s="22"/>
      <c r="IMF148" s="22"/>
      <c r="IMG148" s="22"/>
      <c r="IMH148" s="22"/>
      <c r="IMI148" s="22"/>
      <c r="IMJ148" s="22"/>
      <c r="IMK148" s="22"/>
      <c r="IML148" s="22"/>
      <c r="IMM148" s="22"/>
      <c r="IMN148" s="22"/>
      <c r="IMO148" s="22"/>
      <c r="IMP148" s="22"/>
      <c r="IMQ148" s="22"/>
      <c r="IMR148" s="22"/>
      <c r="IMS148" s="22"/>
      <c r="IMT148" s="22"/>
      <c r="IMU148" s="22"/>
      <c r="IMV148" s="22"/>
      <c r="IMW148" s="22"/>
      <c r="IMX148" s="22"/>
      <c r="IMY148" s="22"/>
      <c r="IMZ148" s="22"/>
      <c r="INA148" s="22"/>
      <c r="INB148" s="22"/>
      <c r="INC148" s="22"/>
      <c r="IND148" s="22"/>
      <c r="INE148" s="22"/>
      <c r="INF148" s="22"/>
      <c r="ING148" s="22"/>
      <c r="INH148" s="22"/>
      <c r="INI148" s="22"/>
      <c r="INJ148" s="22"/>
      <c r="INK148" s="22"/>
      <c r="INL148" s="22"/>
      <c r="INM148" s="22"/>
      <c r="INN148" s="22"/>
      <c r="INO148" s="22"/>
      <c r="INP148" s="22"/>
      <c r="INQ148" s="22"/>
      <c r="INR148" s="22"/>
      <c r="INS148" s="22"/>
      <c r="INT148" s="22"/>
      <c r="INU148" s="22"/>
      <c r="INV148" s="22"/>
      <c r="INW148" s="22"/>
      <c r="INX148" s="22"/>
      <c r="INY148" s="22"/>
      <c r="INZ148" s="22"/>
      <c r="IOA148" s="22"/>
      <c r="IOB148" s="22"/>
      <c r="IOC148" s="22"/>
      <c r="IOD148" s="22"/>
      <c r="IOE148" s="22"/>
      <c r="IOF148" s="22"/>
      <c r="IOG148" s="22"/>
      <c r="IOH148" s="22"/>
      <c r="IOI148" s="22"/>
      <c r="IOJ148" s="22"/>
      <c r="IOK148" s="22"/>
      <c r="IOL148" s="22"/>
      <c r="IOM148" s="22"/>
      <c r="ION148" s="22"/>
      <c r="IOO148" s="22"/>
      <c r="IOP148" s="22"/>
      <c r="IOQ148" s="22"/>
      <c r="IOR148" s="22"/>
      <c r="IOS148" s="22"/>
      <c r="IOT148" s="22"/>
      <c r="IOU148" s="22"/>
      <c r="IOV148" s="22"/>
      <c r="IOW148" s="22"/>
      <c r="IOX148" s="22"/>
      <c r="IOY148" s="22"/>
      <c r="IOZ148" s="22"/>
      <c r="IPA148" s="22"/>
      <c r="IPB148" s="22"/>
      <c r="IPC148" s="22"/>
      <c r="IPD148" s="22"/>
      <c r="IPE148" s="22"/>
      <c r="IPF148" s="22"/>
      <c r="IPG148" s="22"/>
      <c r="IPH148" s="22"/>
      <c r="IPI148" s="22"/>
      <c r="IPJ148" s="22"/>
      <c r="IPK148" s="22"/>
      <c r="IPL148" s="22"/>
      <c r="IPM148" s="22"/>
      <c r="IPN148" s="22"/>
      <c r="IPO148" s="22"/>
      <c r="IPP148" s="22"/>
      <c r="IPQ148" s="22"/>
      <c r="IPR148" s="22"/>
      <c r="IPS148" s="22"/>
      <c r="IPT148" s="22"/>
      <c r="IPU148" s="22"/>
      <c r="IPV148" s="22"/>
      <c r="IPW148" s="22"/>
      <c r="IPX148" s="22"/>
      <c r="IPY148" s="22"/>
      <c r="IPZ148" s="22"/>
      <c r="IQA148" s="22"/>
      <c r="IQB148" s="22"/>
      <c r="IQC148" s="22"/>
      <c r="IQD148" s="22"/>
      <c r="IQE148" s="22"/>
      <c r="IQF148" s="22"/>
      <c r="IQG148" s="22"/>
      <c r="IQH148" s="22"/>
      <c r="IQI148" s="22"/>
      <c r="IQJ148" s="22"/>
      <c r="IQK148" s="22"/>
      <c r="IQL148" s="22"/>
      <c r="IQM148" s="22"/>
      <c r="IQN148" s="22"/>
      <c r="IQO148" s="22"/>
      <c r="IQP148" s="22"/>
      <c r="IQQ148" s="22"/>
      <c r="IQR148" s="22"/>
      <c r="IQS148" s="22"/>
      <c r="IQT148" s="22"/>
      <c r="IQU148" s="22"/>
      <c r="IQV148" s="22"/>
      <c r="IQW148" s="22"/>
      <c r="IQX148" s="22"/>
      <c r="IQY148" s="22"/>
      <c r="IQZ148" s="22"/>
      <c r="IRA148" s="22"/>
      <c r="IRB148" s="22"/>
      <c r="IRC148" s="22"/>
      <c r="IRD148" s="22"/>
      <c r="IRE148" s="22"/>
      <c r="IRF148" s="22"/>
      <c r="IRG148" s="22"/>
      <c r="IRH148" s="22"/>
      <c r="IRI148" s="22"/>
      <c r="IRJ148" s="22"/>
      <c r="IRK148" s="22"/>
      <c r="IRL148" s="22"/>
      <c r="IRM148" s="22"/>
      <c r="IRN148" s="22"/>
      <c r="IRO148" s="22"/>
      <c r="IRP148" s="22"/>
      <c r="IRQ148" s="22"/>
      <c r="IRR148" s="22"/>
      <c r="IRS148" s="22"/>
      <c r="IRT148" s="22"/>
      <c r="IRU148" s="22"/>
      <c r="IRV148" s="22"/>
      <c r="IRW148" s="22"/>
      <c r="IRX148" s="22"/>
      <c r="IRY148" s="22"/>
      <c r="IRZ148" s="22"/>
      <c r="ISA148" s="22"/>
      <c r="ISB148" s="22"/>
      <c r="ISC148" s="22"/>
      <c r="ISD148" s="22"/>
      <c r="ISE148" s="22"/>
      <c r="ISF148" s="22"/>
      <c r="ISG148" s="22"/>
      <c r="ISH148" s="22"/>
      <c r="ISI148" s="22"/>
      <c r="ISJ148" s="22"/>
      <c r="ISK148" s="22"/>
      <c r="ISL148" s="22"/>
      <c r="ISM148" s="22"/>
      <c r="ISN148" s="22"/>
      <c r="ISO148" s="22"/>
      <c r="ISP148" s="22"/>
      <c r="ISQ148" s="22"/>
      <c r="ISR148" s="22"/>
      <c r="ISS148" s="22"/>
      <c r="IST148" s="22"/>
      <c r="ISU148" s="22"/>
      <c r="ISV148" s="22"/>
      <c r="ISW148" s="22"/>
      <c r="ISX148" s="22"/>
      <c r="ISY148" s="22"/>
      <c r="ISZ148" s="22"/>
      <c r="ITA148" s="22"/>
      <c r="ITB148" s="22"/>
      <c r="ITC148" s="22"/>
      <c r="ITD148" s="22"/>
      <c r="ITE148" s="22"/>
      <c r="ITF148" s="22"/>
      <c r="ITG148" s="22"/>
      <c r="ITH148" s="22"/>
      <c r="ITI148" s="22"/>
      <c r="ITJ148" s="22"/>
      <c r="ITK148" s="22"/>
      <c r="ITL148" s="22"/>
      <c r="ITM148" s="22"/>
      <c r="ITN148" s="22"/>
      <c r="ITO148" s="22"/>
      <c r="ITP148" s="22"/>
      <c r="ITQ148" s="22"/>
      <c r="ITR148" s="22"/>
      <c r="ITS148" s="22"/>
      <c r="ITT148" s="22"/>
      <c r="ITU148" s="22"/>
      <c r="ITV148" s="22"/>
      <c r="ITW148" s="22"/>
      <c r="ITX148" s="22"/>
      <c r="ITY148" s="22"/>
      <c r="ITZ148" s="22"/>
      <c r="IUA148" s="22"/>
      <c r="IUB148" s="22"/>
      <c r="IUC148" s="22"/>
      <c r="IUD148" s="22"/>
      <c r="IUE148" s="22"/>
      <c r="IUF148" s="22"/>
      <c r="IUG148" s="22"/>
      <c r="IUH148" s="22"/>
      <c r="IUI148" s="22"/>
      <c r="IUJ148" s="22"/>
      <c r="IUK148" s="22"/>
      <c r="IUL148" s="22"/>
      <c r="IUM148" s="22"/>
      <c r="IUN148" s="22"/>
      <c r="IUO148" s="22"/>
      <c r="IUP148" s="22"/>
      <c r="IUQ148" s="22"/>
      <c r="IUR148" s="22"/>
      <c r="IUS148" s="22"/>
      <c r="IUT148" s="22"/>
      <c r="IUU148" s="22"/>
      <c r="IUV148" s="22"/>
      <c r="IUW148" s="22"/>
      <c r="IUX148" s="22"/>
      <c r="IUY148" s="22"/>
      <c r="IUZ148" s="22"/>
      <c r="IVA148" s="22"/>
      <c r="IVB148" s="22"/>
      <c r="IVC148" s="22"/>
      <c r="IVD148" s="22"/>
      <c r="IVE148" s="22"/>
      <c r="IVF148" s="22"/>
      <c r="IVG148" s="22"/>
      <c r="IVH148" s="22"/>
      <c r="IVI148" s="22"/>
      <c r="IVJ148" s="22"/>
      <c r="IVK148" s="22"/>
      <c r="IVL148" s="22"/>
      <c r="IVM148" s="22"/>
      <c r="IVN148" s="22"/>
      <c r="IVO148" s="22"/>
      <c r="IVP148" s="22"/>
      <c r="IVQ148" s="22"/>
      <c r="IVR148" s="22"/>
      <c r="IVS148" s="22"/>
      <c r="IVT148" s="22"/>
      <c r="IVU148" s="22"/>
      <c r="IVV148" s="22"/>
      <c r="IVW148" s="22"/>
      <c r="IVX148" s="22"/>
      <c r="IVY148" s="22"/>
      <c r="IVZ148" s="22"/>
      <c r="IWA148" s="22"/>
      <c r="IWB148" s="22"/>
      <c r="IWC148" s="22"/>
      <c r="IWD148" s="22"/>
      <c r="IWE148" s="22"/>
      <c r="IWF148" s="22"/>
      <c r="IWG148" s="22"/>
      <c r="IWH148" s="22"/>
      <c r="IWI148" s="22"/>
      <c r="IWJ148" s="22"/>
      <c r="IWK148" s="22"/>
      <c r="IWL148" s="22"/>
      <c r="IWM148" s="22"/>
      <c r="IWN148" s="22"/>
      <c r="IWO148" s="22"/>
      <c r="IWP148" s="22"/>
      <c r="IWQ148" s="22"/>
      <c r="IWR148" s="22"/>
      <c r="IWS148" s="22"/>
      <c r="IWT148" s="22"/>
      <c r="IWU148" s="22"/>
      <c r="IWV148" s="22"/>
      <c r="IWW148" s="22"/>
      <c r="IWX148" s="22"/>
      <c r="IWY148" s="22"/>
      <c r="IWZ148" s="22"/>
      <c r="IXA148" s="22"/>
      <c r="IXB148" s="22"/>
      <c r="IXC148" s="22"/>
      <c r="IXD148" s="22"/>
      <c r="IXE148" s="22"/>
      <c r="IXF148" s="22"/>
      <c r="IXG148" s="22"/>
      <c r="IXH148" s="22"/>
      <c r="IXI148" s="22"/>
      <c r="IXJ148" s="22"/>
      <c r="IXK148" s="22"/>
      <c r="IXL148" s="22"/>
      <c r="IXM148" s="22"/>
      <c r="IXN148" s="22"/>
      <c r="IXO148" s="22"/>
      <c r="IXP148" s="22"/>
      <c r="IXQ148" s="22"/>
      <c r="IXR148" s="22"/>
      <c r="IXS148" s="22"/>
      <c r="IXT148" s="22"/>
      <c r="IXU148" s="22"/>
      <c r="IXV148" s="22"/>
      <c r="IXW148" s="22"/>
      <c r="IXX148" s="22"/>
      <c r="IXY148" s="22"/>
      <c r="IXZ148" s="22"/>
      <c r="IYA148" s="22"/>
      <c r="IYB148" s="22"/>
      <c r="IYC148" s="22"/>
      <c r="IYD148" s="22"/>
      <c r="IYE148" s="22"/>
      <c r="IYF148" s="22"/>
      <c r="IYG148" s="22"/>
      <c r="IYH148" s="22"/>
      <c r="IYI148" s="22"/>
      <c r="IYJ148" s="22"/>
      <c r="IYK148" s="22"/>
      <c r="IYL148" s="22"/>
      <c r="IYM148" s="22"/>
      <c r="IYN148" s="22"/>
      <c r="IYO148" s="22"/>
      <c r="IYP148" s="22"/>
      <c r="IYQ148" s="22"/>
      <c r="IYR148" s="22"/>
      <c r="IYS148" s="22"/>
      <c r="IYT148" s="22"/>
      <c r="IYU148" s="22"/>
      <c r="IYV148" s="22"/>
      <c r="IYW148" s="22"/>
      <c r="IYX148" s="22"/>
      <c r="IYY148" s="22"/>
      <c r="IYZ148" s="22"/>
      <c r="IZA148" s="22"/>
      <c r="IZB148" s="22"/>
      <c r="IZC148" s="22"/>
      <c r="IZD148" s="22"/>
      <c r="IZE148" s="22"/>
      <c r="IZF148" s="22"/>
      <c r="IZG148" s="22"/>
      <c r="IZH148" s="22"/>
      <c r="IZI148" s="22"/>
      <c r="IZJ148" s="22"/>
      <c r="IZK148" s="22"/>
      <c r="IZL148" s="22"/>
      <c r="IZM148" s="22"/>
      <c r="IZN148" s="22"/>
      <c r="IZO148" s="22"/>
      <c r="IZP148" s="22"/>
      <c r="IZQ148" s="22"/>
      <c r="IZR148" s="22"/>
      <c r="IZS148" s="22"/>
      <c r="IZT148" s="22"/>
      <c r="IZU148" s="22"/>
      <c r="IZV148" s="22"/>
      <c r="IZW148" s="22"/>
      <c r="IZX148" s="22"/>
      <c r="IZY148" s="22"/>
      <c r="IZZ148" s="22"/>
      <c r="JAA148" s="22"/>
      <c r="JAB148" s="22"/>
      <c r="JAC148" s="22"/>
      <c r="JAD148" s="22"/>
      <c r="JAE148" s="22"/>
      <c r="JAF148" s="22"/>
      <c r="JAG148" s="22"/>
      <c r="JAH148" s="22"/>
      <c r="JAI148" s="22"/>
      <c r="JAJ148" s="22"/>
      <c r="JAK148" s="22"/>
      <c r="JAL148" s="22"/>
      <c r="JAM148" s="22"/>
      <c r="JAN148" s="22"/>
      <c r="JAO148" s="22"/>
      <c r="JAP148" s="22"/>
      <c r="JAQ148" s="22"/>
      <c r="JAR148" s="22"/>
      <c r="JAS148" s="22"/>
      <c r="JAT148" s="22"/>
      <c r="JAU148" s="22"/>
      <c r="JAV148" s="22"/>
      <c r="JAW148" s="22"/>
      <c r="JAX148" s="22"/>
      <c r="JAY148" s="22"/>
      <c r="JAZ148" s="22"/>
      <c r="JBA148" s="22"/>
      <c r="JBB148" s="22"/>
      <c r="JBC148" s="22"/>
      <c r="JBD148" s="22"/>
      <c r="JBE148" s="22"/>
      <c r="JBF148" s="22"/>
      <c r="JBG148" s="22"/>
      <c r="JBH148" s="22"/>
      <c r="JBI148" s="22"/>
      <c r="JBJ148" s="22"/>
      <c r="JBK148" s="22"/>
      <c r="JBL148" s="22"/>
      <c r="JBM148" s="22"/>
      <c r="JBN148" s="22"/>
      <c r="JBO148" s="22"/>
      <c r="JBP148" s="22"/>
      <c r="JBQ148" s="22"/>
      <c r="JBR148" s="22"/>
      <c r="JBS148" s="22"/>
      <c r="JBT148" s="22"/>
      <c r="JBU148" s="22"/>
      <c r="JBV148" s="22"/>
      <c r="JBW148" s="22"/>
      <c r="JBX148" s="22"/>
      <c r="JBY148" s="22"/>
      <c r="JBZ148" s="22"/>
      <c r="JCA148" s="22"/>
      <c r="JCB148" s="22"/>
      <c r="JCC148" s="22"/>
      <c r="JCD148" s="22"/>
      <c r="JCE148" s="22"/>
      <c r="JCF148" s="22"/>
      <c r="JCG148" s="22"/>
      <c r="JCH148" s="22"/>
      <c r="JCI148" s="22"/>
      <c r="JCJ148" s="22"/>
      <c r="JCK148" s="22"/>
      <c r="JCL148" s="22"/>
      <c r="JCM148" s="22"/>
      <c r="JCN148" s="22"/>
      <c r="JCO148" s="22"/>
      <c r="JCP148" s="22"/>
      <c r="JCQ148" s="22"/>
      <c r="JCR148" s="22"/>
      <c r="JCS148" s="22"/>
      <c r="JCT148" s="22"/>
      <c r="JCU148" s="22"/>
      <c r="JCV148" s="22"/>
      <c r="JCW148" s="22"/>
      <c r="JCX148" s="22"/>
      <c r="JCY148" s="22"/>
      <c r="JCZ148" s="22"/>
      <c r="JDA148" s="22"/>
      <c r="JDB148" s="22"/>
      <c r="JDC148" s="22"/>
      <c r="JDD148" s="22"/>
      <c r="JDE148" s="22"/>
      <c r="JDF148" s="22"/>
      <c r="JDG148" s="22"/>
      <c r="JDH148" s="22"/>
      <c r="JDI148" s="22"/>
      <c r="JDJ148" s="22"/>
      <c r="JDK148" s="22"/>
      <c r="JDL148" s="22"/>
      <c r="JDM148" s="22"/>
      <c r="JDN148" s="22"/>
      <c r="JDO148" s="22"/>
      <c r="JDP148" s="22"/>
      <c r="JDQ148" s="22"/>
      <c r="JDR148" s="22"/>
      <c r="JDS148" s="22"/>
      <c r="JDT148" s="22"/>
      <c r="JDU148" s="22"/>
      <c r="JDV148" s="22"/>
      <c r="JDW148" s="22"/>
      <c r="JDX148" s="22"/>
      <c r="JDY148" s="22"/>
      <c r="JDZ148" s="22"/>
      <c r="JEA148" s="22"/>
      <c r="JEB148" s="22"/>
      <c r="JEC148" s="22"/>
      <c r="JED148" s="22"/>
      <c r="JEE148" s="22"/>
      <c r="JEF148" s="22"/>
      <c r="JEG148" s="22"/>
      <c r="JEH148" s="22"/>
      <c r="JEI148" s="22"/>
      <c r="JEJ148" s="22"/>
      <c r="JEK148" s="22"/>
      <c r="JEL148" s="22"/>
      <c r="JEM148" s="22"/>
      <c r="JEN148" s="22"/>
      <c r="JEO148" s="22"/>
      <c r="JEP148" s="22"/>
      <c r="JEQ148" s="22"/>
      <c r="JER148" s="22"/>
      <c r="JES148" s="22"/>
      <c r="JET148" s="22"/>
      <c r="JEU148" s="22"/>
      <c r="JEV148" s="22"/>
      <c r="JEW148" s="22"/>
      <c r="JEX148" s="22"/>
      <c r="JEY148" s="22"/>
      <c r="JEZ148" s="22"/>
      <c r="JFA148" s="22"/>
      <c r="JFB148" s="22"/>
      <c r="JFC148" s="22"/>
      <c r="JFD148" s="22"/>
      <c r="JFE148" s="22"/>
      <c r="JFF148" s="22"/>
      <c r="JFG148" s="22"/>
      <c r="JFH148" s="22"/>
      <c r="JFI148" s="22"/>
      <c r="JFJ148" s="22"/>
      <c r="JFK148" s="22"/>
      <c r="JFL148" s="22"/>
      <c r="JFM148" s="22"/>
      <c r="JFN148" s="22"/>
      <c r="JFO148" s="22"/>
      <c r="JFP148" s="22"/>
      <c r="JFQ148" s="22"/>
      <c r="JFR148" s="22"/>
      <c r="JFS148" s="22"/>
      <c r="JFT148" s="22"/>
      <c r="JFU148" s="22"/>
      <c r="JFV148" s="22"/>
      <c r="JFW148" s="22"/>
      <c r="JFX148" s="22"/>
      <c r="JFY148" s="22"/>
      <c r="JFZ148" s="22"/>
      <c r="JGA148" s="22"/>
      <c r="JGB148" s="22"/>
      <c r="JGC148" s="22"/>
      <c r="JGD148" s="22"/>
      <c r="JGE148" s="22"/>
      <c r="JGF148" s="22"/>
      <c r="JGG148" s="22"/>
      <c r="JGH148" s="22"/>
      <c r="JGI148" s="22"/>
      <c r="JGJ148" s="22"/>
      <c r="JGK148" s="22"/>
      <c r="JGL148" s="22"/>
      <c r="JGM148" s="22"/>
      <c r="JGN148" s="22"/>
      <c r="JGO148" s="22"/>
      <c r="JGP148" s="22"/>
      <c r="JGQ148" s="22"/>
      <c r="JGR148" s="22"/>
      <c r="JGS148" s="22"/>
      <c r="JGT148" s="22"/>
      <c r="JGU148" s="22"/>
      <c r="JGV148" s="22"/>
      <c r="JGW148" s="22"/>
      <c r="JGX148" s="22"/>
      <c r="JGY148" s="22"/>
      <c r="JGZ148" s="22"/>
      <c r="JHA148" s="22"/>
      <c r="JHB148" s="22"/>
      <c r="JHC148" s="22"/>
      <c r="JHD148" s="22"/>
      <c r="JHE148" s="22"/>
      <c r="JHF148" s="22"/>
      <c r="JHG148" s="22"/>
      <c r="JHH148" s="22"/>
      <c r="JHI148" s="22"/>
      <c r="JHJ148" s="22"/>
      <c r="JHK148" s="22"/>
      <c r="JHL148" s="22"/>
      <c r="JHM148" s="22"/>
      <c r="JHN148" s="22"/>
      <c r="JHO148" s="22"/>
      <c r="JHP148" s="22"/>
      <c r="JHQ148" s="22"/>
      <c r="JHR148" s="22"/>
      <c r="JHS148" s="22"/>
      <c r="JHT148" s="22"/>
      <c r="JHU148" s="22"/>
      <c r="JHV148" s="22"/>
      <c r="JHW148" s="22"/>
      <c r="JHX148" s="22"/>
      <c r="JHY148" s="22"/>
      <c r="JHZ148" s="22"/>
      <c r="JIA148" s="22"/>
      <c r="JIB148" s="22"/>
      <c r="JIC148" s="22"/>
      <c r="JID148" s="22"/>
      <c r="JIE148" s="22"/>
      <c r="JIF148" s="22"/>
      <c r="JIG148" s="22"/>
      <c r="JIH148" s="22"/>
      <c r="JII148" s="22"/>
      <c r="JIJ148" s="22"/>
      <c r="JIK148" s="22"/>
      <c r="JIL148" s="22"/>
      <c r="JIM148" s="22"/>
      <c r="JIN148" s="22"/>
      <c r="JIO148" s="22"/>
      <c r="JIP148" s="22"/>
      <c r="JIQ148" s="22"/>
      <c r="JIR148" s="22"/>
      <c r="JIS148" s="22"/>
      <c r="JIT148" s="22"/>
      <c r="JIU148" s="22"/>
      <c r="JIV148" s="22"/>
      <c r="JIW148" s="22"/>
      <c r="JIX148" s="22"/>
      <c r="JIY148" s="22"/>
      <c r="JIZ148" s="22"/>
      <c r="JJA148" s="22"/>
      <c r="JJB148" s="22"/>
      <c r="JJC148" s="22"/>
      <c r="JJD148" s="22"/>
      <c r="JJE148" s="22"/>
      <c r="JJF148" s="22"/>
      <c r="JJG148" s="22"/>
      <c r="JJH148" s="22"/>
      <c r="JJI148" s="22"/>
      <c r="JJJ148" s="22"/>
      <c r="JJK148" s="22"/>
      <c r="JJL148" s="22"/>
      <c r="JJM148" s="22"/>
      <c r="JJN148" s="22"/>
      <c r="JJO148" s="22"/>
      <c r="JJP148" s="22"/>
      <c r="JJQ148" s="22"/>
      <c r="JJR148" s="22"/>
      <c r="JJS148" s="22"/>
      <c r="JJT148" s="22"/>
      <c r="JJU148" s="22"/>
      <c r="JJV148" s="22"/>
      <c r="JJW148" s="22"/>
      <c r="JJX148" s="22"/>
      <c r="JJY148" s="22"/>
      <c r="JJZ148" s="22"/>
      <c r="JKA148" s="22"/>
      <c r="JKB148" s="22"/>
      <c r="JKC148" s="22"/>
      <c r="JKD148" s="22"/>
      <c r="JKE148" s="22"/>
      <c r="JKF148" s="22"/>
      <c r="JKG148" s="22"/>
      <c r="JKH148" s="22"/>
      <c r="JKI148" s="22"/>
      <c r="JKJ148" s="22"/>
      <c r="JKK148" s="22"/>
      <c r="JKL148" s="22"/>
      <c r="JKM148" s="22"/>
      <c r="JKN148" s="22"/>
      <c r="JKO148" s="22"/>
      <c r="JKP148" s="22"/>
      <c r="JKQ148" s="22"/>
      <c r="JKR148" s="22"/>
      <c r="JKS148" s="22"/>
      <c r="JKT148" s="22"/>
      <c r="JKU148" s="22"/>
      <c r="JKV148" s="22"/>
      <c r="JKW148" s="22"/>
      <c r="JKX148" s="22"/>
      <c r="JKY148" s="22"/>
      <c r="JKZ148" s="22"/>
      <c r="JLA148" s="22"/>
      <c r="JLB148" s="22"/>
      <c r="JLC148" s="22"/>
      <c r="JLD148" s="22"/>
      <c r="JLE148" s="22"/>
      <c r="JLF148" s="22"/>
      <c r="JLG148" s="22"/>
      <c r="JLH148" s="22"/>
      <c r="JLI148" s="22"/>
      <c r="JLJ148" s="22"/>
      <c r="JLK148" s="22"/>
      <c r="JLL148" s="22"/>
      <c r="JLM148" s="22"/>
      <c r="JLN148" s="22"/>
      <c r="JLO148" s="22"/>
      <c r="JLP148" s="22"/>
      <c r="JLQ148" s="22"/>
      <c r="JLR148" s="22"/>
      <c r="JLS148" s="22"/>
      <c r="JLT148" s="22"/>
      <c r="JLU148" s="22"/>
      <c r="JLV148" s="22"/>
      <c r="JLW148" s="22"/>
      <c r="JLX148" s="22"/>
      <c r="JLY148" s="22"/>
      <c r="JLZ148" s="22"/>
      <c r="JMA148" s="22"/>
      <c r="JMB148" s="22"/>
      <c r="JMC148" s="22"/>
      <c r="JMD148" s="22"/>
      <c r="JME148" s="22"/>
      <c r="JMF148" s="22"/>
      <c r="JMG148" s="22"/>
      <c r="JMH148" s="22"/>
      <c r="JMI148" s="22"/>
      <c r="JMJ148" s="22"/>
      <c r="JMK148" s="22"/>
      <c r="JML148" s="22"/>
      <c r="JMM148" s="22"/>
      <c r="JMN148" s="22"/>
      <c r="JMO148" s="22"/>
      <c r="JMP148" s="22"/>
      <c r="JMQ148" s="22"/>
      <c r="JMR148" s="22"/>
      <c r="JMS148" s="22"/>
      <c r="JMT148" s="22"/>
      <c r="JMU148" s="22"/>
      <c r="JMV148" s="22"/>
      <c r="JMW148" s="22"/>
      <c r="JMX148" s="22"/>
      <c r="JMY148" s="22"/>
      <c r="JMZ148" s="22"/>
      <c r="JNA148" s="22"/>
      <c r="JNB148" s="22"/>
      <c r="JNC148" s="22"/>
      <c r="JND148" s="22"/>
      <c r="JNE148" s="22"/>
      <c r="JNF148" s="22"/>
      <c r="JNG148" s="22"/>
      <c r="JNH148" s="22"/>
      <c r="JNI148" s="22"/>
      <c r="JNJ148" s="22"/>
      <c r="JNK148" s="22"/>
      <c r="JNL148" s="22"/>
      <c r="JNM148" s="22"/>
      <c r="JNN148" s="22"/>
      <c r="JNO148" s="22"/>
      <c r="JNP148" s="22"/>
      <c r="JNQ148" s="22"/>
      <c r="JNR148" s="22"/>
      <c r="JNS148" s="22"/>
      <c r="JNT148" s="22"/>
      <c r="JNU148" s="22"/>
      <c r="JNV148" s="22"/>
      <c r="JNW148" s="22"/>
      <c r="JNX148" s="22"/>
      <c r="JNY148" s="22"/>
      <c r="JNZ148" s="22"/>
      <c r="JOA148" s="22"/>
      <c r="JOB148" s="22"/>
      <c r="JOC148" s="22"/>
      <c r="JOD148" s="22"/>
      <c r="JOE148" s="22"/>
      <c r="JOF148" s="22"/>
      <c r="JOG148" s="22"/>
      <c r="JOH148" s="22"/>
      <c r="JOI148" s="22"/>
      <c r="JOJ148" s="22"/>
      <c r="JOK148" s="22"/>
      <c r="JOL148" s="22"/>
      <c r="JOM148" s="22"/>
      <c r="JON148" s="22"/>
      <c r="JOO148" s="22"/>
      <c r="JOP148" s="22"/>
      <c r="JOQ148" s="22"/>
      <c r="JOR148" s="22"/>
      <c r="JOS148" s="22"/>
      <c r="JOT148" s="22"/>
      <c r="JOU148" s="22"/>
      <c r="JOV148" s="22"/>
      <c r="JOW148" s="22"/>
      <c r="JOX148" s="22"/>
      <c r="JOY148" s="22"/>
      <c r="JOZ148" s="22"/>
      <c r="JPA148" s="22"/>
      <c r="JPB148" s="22"/>
      <c r="JPC148" s="22"/>
      <c r="JPD148" s="22"/>
      <c r="JPE148" s="22"/>
      <c r="JPF148" s="22"/>
      <c r="JPG148" s="22"/>
      <c r="JPH148" s="22"/>
      <c r="JPI148" s="22"/>
      <c r="JPJ148" s="22"/>
      <c r="JPK148" s="22"/>
      <c r="JPL148" s="22"/>
      <c r="JPM148" s="22"/>
      <c r="JPN148" s="22"/>
      <c r="JPO148" s="22"/>
      <c r="JPP148" s="22"/>
      <c r="JPQ148" s="22"/>
      <c r="JPR148" s="22"/>
      <c r="JPS148" s="22"/>
      <c r="JPT148" s="22"/>
      <c r="JPU148" s="22"/>
      <c r="JPV148" s="22"/>
      <c r="JPW148" s="22"/>
      <c r="JPX148" s="22"/>
      <c r="JPY148" s="22"/>
      <c r="JPZ148" s="22"/>
      <c r="JQA148" s="22"/>
      <c r="JQB148" s="22"/>
      <c r="JQC148" s="22"/>
      <c r="JQD148" s="22"/>
      <c r="JQE148" s="22"/>
      <c r="JQF148" s="22"/>
      <c r="JQG148" s="22"/>
      <c r="JQH148" s="22"/>
      <c r="JQI148" s="22"/>
      <c r="JQJ148" s="22"/>
      <c r="JQK148" s="22"/>
      <c r="JQL148" s="22"/>
      <c r="JQM148" s="22"/>
      <c r="JQN148" s="22"/>
      <c r="JQO148" s="22"/>
      <c r="JQP148" s="22"/>
      <c r="JQQ148" s="22"/>
      <c r="JQR148" s="22"/>
      <c r="JQS148" s="22"/>
      <c r="JQT148" s="22"/>
      <c r="JQU148" s="22"/>
      <c r="JQV148" s="22"/>
      <c r="JQW148" s="22"/>
      <c r="JQX148" s="22"/>
      <c r="JQY148" s="22"/>
      <c r="JQZ148" s="22"/>
      <c r="JRA148" s="22"/>
      <c r="JRB148" s="22"/>
      <c r="JRC148" s="22"/>
      <c r="JRD148" s="22"/>
      <c r="JRE148" s="22"/>
      <c r="JRF148" s="22"/>
      <c r="JRG148" s="22"/>
      <c r="JRH148" s="22"/>
      <c r="JRI148" s="22"/>
      <c r="JRJ148" s="22"/>
      <c r="JRK148" s="22"/>
      <c r="JRL148" s="22"/>
      <c r="JRM148" s="22"/>
      <c r="JRN148" s="22"/>
      <c r="JRO148" s="22"/>
      <c r="JRP148" s="22"/>
      <c r="JRQ148" s="22"/>
      <c r="JRR148" s="22"/>
      <c r="JRS148" s="22"/>
      <c r="JRT148" s="22"/>
      <c r="JRU148" s="22"/>
      <c r="JRV148" s="22"/>
      <c r="JRW148" s="22"/>
      <c r="JRX148" s="22"/>
      <c r="JRY148" s="22"/>
      <c r="JRZ148" s="22"/>
      <c r="JSA148" s="22"/>
      <c r="JSB148" s="22"/>
      <c r="JSC148" s="22"/>
      <c r="JSD148" s="22"/>
      <c r="JSE148" s="22"/>
      <c r="JSF148" s="22"/>
      <c r="JSG148" s="22"/>
      <c r="JSH148" s="22"/>
      <c r="JSI148" s="22"/>
      <c r="JSJ148" s="22"/>
      <c r="JSK148" s="22"/>
      <c r="JSL148" s="22"/>
      <c r="JSM148" s="22"/>
      <c r="JSN148" s="22"/>
      <c r="JSO148" s="22"/>
      <c r="JSP148" s="22"/>
      <c r="JSQ148" s="22"/>
      <c r="JSR148" s="22"/>
      <c r="JSS148" s="22"/>
      <c r="JST148" s="22"/>
      <c r="JSU148" s="22"/>
      <c r="JSV148" s="22"/>
      <c r="JSW148" s="22"/>
      <c r="JSX148" s="22"/>
      <c r="JSY148" s="22"/>
      <c r="JSZ148" s="22"/>
      <c r="JTA148" s="22"/>
      <c r="JTB148" s="22"/>
      <c r="JTC148" s="22"/>
      <c r="JTD148" s="22"/>
      <c r="JTE148" s="22"/>
      <c r="JTF148" s="22"/>
      <c r="JTG148" s="22"/>
      <c r="JTH148" s="22"/>
      <c r="JTI148" s="22"/>
      <c r="JTJ148" s="22"/>
      <c r="JTK148" s="22"/>
      <c r="JTL148" s="22"/>
      <c r="JTM148" s="22"/>
      <c r="JTN148" s="22"/>
      <c r="JTO148" s="22"/>
      <c r="JTP148" s="22"/>
      <c r="JTQ148" s="22"/>
      <c r="JTR148" s="22"/>
      <c r="JTS148" s="22"/>
      <c r="JTT148" s="22"/>
      <c r="JTU148" s="22"/>
      <c r="JTV148" s="22"/>
      <c r="JTW148" s="22"/>
      <c r="JTX148" s="22"/>
      <c r="JTY148" s="22"/>
      <c r="JTZ148" s="22"/>
      <c r="JUA148" s="22"/>
      <c r="JUB148" s="22"/>
      <c r="JUC148" s="22"/>
      <c r="JUD148" s="22"/>
      <c r="JUE148" s="22"/>
      <c r="JUF148" s="22"/>
      <c r="JUG148" s="22"/>
      <c r="JUH148" s="22"/>
      <c r="JUI148" s="22"/>
      <c r="JUJ148" s="22"/>
      <c r="JUK148" s="22"/>
      <c r="JUL148" s="22"/>
      <c r="JUM148" s="22"/>
      <c r="JUN148" s="22"/>
      <c r="JUO148" s="22"/>
      <c r="JUP148" s="22"/>
      <c r="JUQ148" s="22"/>
      <c r="JUR148" s="22"/>
      <c r="JUS148" s="22"/>
      <c r="JUT148" s="22"/>
      <c r="JUU148" s="22"/>
      <c r="JUV148" s="22"/>
      <c r="JUW148" s="22"/>
      <c r="JUX148" s="22"/>
      <c r="JUY148" s="22"/>
      <c r="JUZ148" s="22"/>
      <c r="JVA148" s="22"/>
      <c r="JVB148" s="22"/>
      <c r="JVC148" s="22"/>
      <c r="JVD148" s="22"/>
      <c r="JVE148" s="22"/>
      <c r="JVF148" s="22"/>
      <c r="JVG148" s="22"/>
      <c r="JVH148" s="22"/>
      <c r="JVI148" s="22"/>
      <c r="JVJ148" s="22"/>
      <c r="JVK148" s="22"/>
      <c r="JVL148" s="22"/>
      <c r="JVM148" s="22"/>
      <c r="JVN148" s="22"/>
      <c r="JVO148" s="22"/>
      <c r="JVP148" s="22"/>
      <c r="JVQ148" s="22"/>
      <c r="JVR148" s="22"/>
      <c r="JVS148" s="22"/>
      <c r="JVT148" s="22"/>
      <c r="JVU148" s="22"/>
      <c r="JVV148" s="22"/>
      <c r="JVW148" s="22"/>
      <c r="JVX148" s="22"/>
      <c r="JVY148" s="22"/>
      <c r="JVZ148" s="22"/>
      <c r="JWA148" s="22"/>
      <c r="JWB148" s="22"/>
      <c r="JWC148" s="22"/>
      <c r="JWD148" s="22"/>
      <c r="JWE148" s="22"/>
      <c r="JWF148" s="22"/>
      <c r="JWG148" s="22"/>
      <c r="JWH148" s="22"/>
      <c r="JWI148" s="22"/>
      <c r="JWJ148" s="22"/>
      <c r="JWK148" s="22"/>
      <c r="JWL148" s="22"/>
      <c r="JWM148" s="22"/>
      <c r="JWN148" s="22"/>
      <c r="JWO148" s="22"/>
      <c r="JWP148" s="22"/>
      <c r="JWQ148" s="22"/>
      <c r="JWR148" s="22"/>
      <c r="JWS148" s="22"/>
      <c r="JWT148" s="22"/>
      <c r="JWU148" s="22"/>
      <c r="JWV148" s="22"/>
      <c r="JWW148" s="22"/>
      <c r="JWX148" s="22"/>
      <c r="JWY148" s="22"/>
      <c r="JWZ148" s="22"/>
      <c r="JXA148" s="22"/>
      <c r="JXB148" s="22"/>
      <c r="JXC148" s="22"/>
      <c r="JXD148" s="22"/>
      <c r="JXE148" s="22"/>
      <c r="JXF148" s="22"/>
      <c r="JXG148" s="22"/>
      <c r="JXH148" s="22"/>
      <c r="JXI148" s="22"/>
      <c r="JXJ148" s="22"/>
      <c r="JXK148" s="22"/>
      <c r="JXL148" s="22"/>
      <c r="JXM148" s="22"/>
      <c r="JXN148" s="22"/>
      <c r="JXO148" s="22"/>
      <c r="JXP148" s="22"/>
      <c r="JXQ148" s="22"/>
      <c r="JXR148" s="22"/>
      <c r="JXS148" s="22"/>
      <c r="JXT148" s="22"/>
      <c r="JXU148" s="22"/>
      <c r="JXV148" s="22"/>
      <c r="JXW148" s="22"/>
      <c r="JXX148" s="22"/>
      <c r="JXY148" s="22"/>
      <c r="JXZ148" s="22"/>
      <c r="JYA148" s="22"/>
      <c r="JYB148" s="22"/>
      <c r="JYC148" s="22"/>
      <c r="JYD148" s="22"/>
      <c r="JYE148" s="22"/>
      <c r="JYF148" s="22"/>
      <c r="JYG148" s="22"/>
      <c r="JYH148" s="22"/>
      <c r="JYI148" s="22"/>
      <c r="JYJ148" s="22"/>
      <c r="JYK148" s="22"/>
      <c r="JYL148" s="22"/>
      <c r="JYM148" s="22"/>
      <c r="JYN148" s="22"/>
      <c r="JYO148" s="22"/>
      <c r="JYP148" s="22"/>
      <c r="JYQ148" s="22"/>
      <c r="JYR148" s="22"/>
      <c r="JYS148" s="22"/>
      <c r="JYT148" s="22"/>
      <c r="JYU148" s="22"/>
      <c r="JYV148" s="22"/>
      <c r="JYW148" s="22"/>
      <c r="JYX148" s="22"/>
      <c r="JYY148" s="22"/>
      <c r="JYZ148" s="22"/>
      <c r="JZA148" s="22"/>
      <c r="JZB148" s="22"/>
      <c r="JZC148" s="22"/>
      <c r="JZD148" s="22"/>
      <c r="JZE148" s="22"/>
      <c r="JZF148" s="22"/>
      <c r="JZG148" s="22"/>
      <c r="JZH148" s="22"/>
      <c r="JZI148" s="22"/>
      <c r="JZJ148" s="22"/>
      <c r="JZK148" s="22"/>
      <c r="JZL148" s="22"/>
      <c r="JZM148" s="22"/>
      <c r="JZN148" s="22"/>
      <c r="JZO148" s="22"/>
      <c r="JZP148" s="22"/>
      <c r="JZQ148" s="22"/>
      <c r="JZR148" s="22"/>
      <c r="JZS148" s="22"/>
      <c r="JZT148" s="22"/>
      <c r="JZU148" s="22"/>
      <c r="JZV148" s="22"/>
      <c r="JZW148" s="22"/>
      <c r="JZX148" s="22"/>
      <c r="JZY148" s="22"/>
      <c r="JZZ148" s="22"/>
      <c r="KAA148" s="22"/>
      <c r="KAB148" s="22"/>
      <c r="KAC148" s="22"/>
      <c r="KAD148" s="22"/>
      <c r="KAE148" s="22"/>
      <c r="KAF148" s="22"/>
      <c r="KAG148" s="22"/>
      <c r="KAH148" s="22"/>
      <c r="KAI148" s="22"/>
      <c r="KAJ148" s="22"/>
      <c r="KAK148" s="22"/>
      <c r="KAL148" s="22"/>
      <c r="KAM148" s="22"/>
      <c r="KAN148" s="22"/>
      <c r="KAO148" s="22"/>
      <c r="KAP148" s="22"/>
      <c r="KAQ148" s="22"/>
      <c r="KAR148" s="22"/>
      <c r="KAS148" s="22"/>
      <c r="KAT148" s="22"/>
      <c r="KAU148" s="22"/>
      <c r="KAV148" s="22"/>
      <c r="KAW148" s="22"/>
      <c r="KAX148" s="22"/>
      <c r="KAY148" s="22"/>
      <c r="KAZ148" s="22"/>
      <c r="KBA148" s="22"/>
      <c r="KBB148" s="22"/>
      <c r="KBC148" s="22"/>
      <c r="KBD148" s="22"/>
      <c r="KBE148" s="22"/>
      <c r="KBF148" s="22"/>
      <c r="KBG148" s="22"/>
      <c r="KBH148" s="22"/>
      <c r="KBI148" s="22"/>
      <c r="KBJ148" s="22"/>
      <c r="KBK148" s="22"/>
      <c r="KBL148" s="22"/>
      <c r="KBM148" s="22"/>
      <c r="KBN148" s="22"/>
      <c r="KBO148" s="22"/>
      <c r="KBP148" s="22"/>
      <c r="KBQ148" s="22"/>
      <c r="KBR148" s="22"/>
      <c r="KBS148" s="22"/>
      <c r="KBT148" s="22"/>
      <c r="KBU148" s="22"/>
      <c r="KBV148" s="22"/>
      <c r="KBW148" s="22"/>
      <c r="KBX148" s="22"/>
      <c r="KBY148" s="22"/>
      <c r="KBZ148" s="22"/>
      <c r="KCA148" s="22"/>
      <c r="KCB148" s="22"/>
      <c r="KCC148" s="22"/>
      <c r="KCD148" s="22"/>
      <c r="KCE148" s="22"/>
      <c r="KCF148" s="22"/>
      <c r="KCG148" s="22"/>
      <c r="KCH148" s="22"/>
      <c r="KCI148" s="22"/>
      <c r="KCJ148" s="22"/>
      <c r="KCK148" s="22"/>
      <c r="KCL148" s="22"/>
      <c r="KCM148" s="22"/>
      <c r="KCN148" s="22"/>
      <c r="KCO148" s="22"/>
      <c r="KCP148" s="22"/>
      <c r="KCQ148" s="22"/>
      <c r="KCR148" s="22"/>
      <c r="KCS148" s="22"/>
      <c r="KCT148" s="22"/>
      <c r="KCU148" s="22"/>
      <c r="KCV148" s="22"/>
      <c r="KCW148" s="22"/>
      <c r="KCX148" s="22"/>
      <c r="KCY148" s="22"/>
      <c r="KCZ148" s="22"/>
      <c r="KDA148" s="22"/>
      <c r="KDB148" s="22"/>
      <c r="KDC148" s="22"/>
      <c r="KDD148" s="22"/>
      <c r="KDE148" s="22"/>
      <c r="KDF148" s="22"/>
      <c r="KDG148" s="22"/>
      <c r="KDH148" s="22"/>
      <c r="KDI148" s="22"/>
      <c r="KDJ148" s="22"/>
      <c r="KDK148" s="22"/>
      <c r="KDL148" s="22"/>
      <c r="KDM148" s="22"/>
      <c r="KDN148" s="22"/>
      <c r="KDO148" s="22"/>
      <c r="KDP148" s="22"/>
      <c r="KDQ148" s="22"/>
      <c r="KDR148" s="22"/>
      <c r="KDS148" s="22"/>
      <c r="KDT148" s="22"/>
      <c r="KDU148" s="22"/>
      <c r="KDV148" s="22"/>
      <c r="KDW148" s="22"/>
      <c r="KDX148" s="22"/>
      <c r="KDY148" s="22"/>
      <c r="KDZ148" s="22"/>
      <c r="KEA148" s="22"/>
      <c r="KEB148" s="22"/>
      <c r="KEC148" s="22"/>
      <c r="KED148" s="22"/>
      <c r="KEE148" s="22"/>
      <c r="KEF148" s="22"/>
      <c r="KEG148" s="22"/>
      <c r="KEH148" s="22"/>
      <c r="KEI148" s="22"/>
      <c r="KEJ148" s="22"/>
      <c r="KEK148" s="22"/>
      <c r="KEL148" s="22"/>
      <c r="KEM148" s="22"/>
      <c r="KEN148" s="22"/>
      <c r="KEO148" s="22"/>
      <c r="KEP148" s="22"/>
      <c r="KEQ148" s="22"/>
      <c r="KER148" s="22"/>
      <c r="KES148" s="22"/>
      <c r="KET148" s="22"/>
      <c r="KEU148" s="22"/>
      <c r="KEV148" s="22"/>
      <c r="KEW148" s="22"/>
      <c r="KEX148" s="22"/>
      <c r="KEY148" s="22"/>
      <c r="KEZ148" s="22"/>
      <c r="KFA148" s="22"/>
      <c r="KFB148" s="22"/>
      <c r="KFC148" s="22"/>
      <c r="KFD148" s="22"/>
      <c r="KFE148" s="22"/>
      <c r="KFF148" s="22"/>
      <c r="KFG148" s="22"/>
      <c r="KFH148" s="22"/>
      <c r="KFI148" s="22"/>
      <c r="KFJ148" s="22"/>
      <c r="KFK148" s="22"/>
      <c r="KFL148" s="22"/>
      <c r="KFM148" s="22"/>
      <c r="KFN148" s="22"/>
      <c r="KFO148" s="22"/>
      <c r="KFP148" s="22"/>
      <c r="KFQ148" s="22"/>
      <c r="KFR148" s="22"/>
      <c r="KFS148" s="22"/>
      <c r="KFT148" s="22"/>
      <c r="KFU148" s="22"/>
      <c r="KFV148" s="22"/>
      <c r="KFW148" s="22"/>
      <c r="KFX148" s="22"/>
      <c r="KFY148" s="22"/>
      <c r="KFZ148" s="22"/>
      <c r="KGA148" s="22"/>
      <c r="KGB148" s="22"/>
      <c r="KGC148" s="22"/>
      <c r="KGD148" s="22"/>
      <c r="KGE148" s="22"/>
      <c r="KGF148" s="22"/>
      <c r="KGG148" s="22"/>
      <c r="KGH148" s="22"/>
      <c r="KGI148" s="22"/>
      <c r="KGJ148" s="22"/>
      <c r="KGK148" s="22"/>
      <c r="KGL148" s="22"/>
      <c r="KGM148" s="22"/>
      <c r="KGN148" s="22"/>
      <c r="KGO148" s="22"/>
      <c r="KGP148" s="22"/>
      <c r="KGQ148" s="22"/>
      <c r="KGR148" s="22"/>
      <c r="KGS148" s="22"/>
      <c r="KGT148" s="22"/>
      <c r="KGU148" s="22"/>
      <c r="KGV148" s="22"/>
      <c r="KGW148" s="22"/>
      <c r="KGX148" s="22"/>
      <c r="KGY148" s="22"/>
      <c r="KGZ148" s="22"/>
      <c r="KHA148" s="22"/>
      <c r="KHB148" s="22"/>
      <c r="KHC148" s="22"/>
      <c r="KHD148" s="22"/>
      <c r="KHE148" s="22"/>
      <c r="KHF148" s="22"/>
      <c r="KHG148" s="22"/>
      <c r="KHH148" s="22"/>
      <c r="KHI148" s="22"/>
      <c r="KHJ148" s="22"/>
      <c r="KHK148" s="22"/>
      <c r="KHL148" s="22"/>
      <c r="KHM148" s="22"/>
      <c r="KHN148" s="22"/>
      <c r="KHO148" s="22"/>
      <c r="KHP148" s="22"/>
      <c r="KHQ148" s="22"/>
      <c r="KHR148" s="22"/>
      <c r="KHS148" s="22"/>
      <c r="KHT148" s="22"/>
      <c r="KHU148" s="22"/>
      <c r="KHV148" s="22"/>
      <c r="KHW148" s="22"/>
      <c r="KHX148" s="22"/>
      <c r="KHY148" s="22"/>
      <c r="KHZ148" s="22"/>
      <c r="KIA148" s="22"/>
      <c r="KIB148" s="22"/>
      <c r="KIC148" s="22"/>
      <c r="KID148" s="22"/>
      <c r="KIE148" s="22"/>
      <c r="KIF148" s="22"/>
      <c r="KIG148" s="22"/>
      <c r="KIH148" s="22"/>
      <c r="KII148" s="22"/>
      <c r="KIJ148" s="22"/>
      <c r="KIK148" s="22"/>
      <c r="KIL148" s="22"/>
      <c r="KIM148" s="22"/>
      <c r="KIN148" s="22"/>
      <c r="KIO148" s="22"/>
      <c r="KIP148" s="22"/>
      <c r="KIQ148" s="22"/>
      <c r="KIR148" s="22"/>
      <c r="KIS148" s="22"/>
      <c r="KIT148" s="22"/>
      <c r="KIU148" s="22"/>
      <c r="KIV148" s="22"/>
      <c r="KIW148" s="22"/>
      <c r="KIX148" s="22"/>
      <c r="KIY148" s="22"/>
      <c r="KIZ148" s="22"/>
      <c r="KJA148" s="22"/>
      <c r="KJB148" s="22"/>
      <c r="KJC148" s="22"/>
      <c r="KJD148" s="22"/>
      <c r="KJE148" s="22"/>
      <c r="KJF148" s="22"/>
      <c r="KJG148" s="22"/>
      <c r="KJH148" s="22"/>
      <c r="KJI148" s="22"/>
      <c r="KJJ148" s="22"/>
      <c r="KJK148" s="22"/>
      <c r="KJL148" s="22"/>
      <c r="KJM148" s="22"/>
      <c r="KJN148" s="22"/>
      <c r="KJO148" s="22"/>
      <c r="KJP148" s="22"/>
      <c r="KJQ148" s="22"/>
      <c r="KJR148" s="22"/>
      <c r="KJS148" s="22"/>
      <c r="KJT148" s="22"/>
      <c r="KJU148" s="22"/>
      <c r="KJV148" s="22"/>
      <c r="KJW148" s="22"/>
      <c r="KJX148" s="22"/>
      <c r="KJY148" s="22"/>
      <c r="KJZ148" s="22"/>
      <c r="KKA148" s="22"/>
      <c r="KKB148" s="22"/>
      <c r="KKC148" s="22"/>
      <c r="KKD148" s="22"/>
      <c r="KKE148" s="22"/>
      <c r="KKF148" s="22"/>
      <c r="KKG148" s="22"/>
      <c r="KKH148" s="22"/>
      <c r="KKI148" s="22"/>
      <c r="KKJ148" s="22"/>
      <c r="KKK148" s="22"/>
      <c r="KKL148" s="22"/>
      <c r="KKM148" s="22"/>
      <c r="KKN148" s="22"/>
      <c r="KKO148" s="22"/>
      <c r="KKP148" s="22"/>
      <c r="KKQ148" s="22"/>
      <c r="KKR148" s="22"/>
      <c r="KKS148" s="22"/>
      <c r="KKT148" s="22"/>
      <c r="KKU148" s="22"/>
      <c r="KKV148" s="22"/>
      <c r="KKW148" s="22"/>
      <c r="KKX148" s="22"/>
      <c r="KKY148" s="22"/>
      <c r="KKZ148" s="22"/>
      <c r="KLA148" s="22"/>
      <c r="KLB148" s="22"/>
      <c r="KLC148" s="22"/>
      <c r="KLD148" s="22"/>
      <c r="KLE148" s="22"/>
      <c r="KLF148" s="22"/>
      <c r="KLG148" s="22"/>
      <c r="KLH148" s="22"/>
      <c r="KLI148" s="22"/>
      <c r="KLJ148" s="22"/>
      <c r="KLK148" s="22"/>
      <c r="KLL148" s="22"/>
      <c r="KLM148" s="22"/>
      <c r="KLN148" s="22"/>
      <c r="KLO148" s="22"/>
      <c r="KLP148" s="22"/>
      <c r="KLQ148" s="22"/>
      <c r="KLR148" s="22"/>
      <c r="KLS148" s="22"/>
      <c r="KLT148" s="22"/>
      <c r="KLU148" s="22"/>
      <c r="KLV148" s="22"/>
      <c r="KLW148" s="22"/>
      <c r="KLX148" s="22"/>
      <c r="KLY148" s="22"/>
      <c r="KLZ148" s="22"/>
      <c r="KMA148" s="22"/>
      <c r="KMB148" s="22"/>
      <c r="KMC148" s="22"/>
      <c r="KMD148" s="22"/>
      <c r="KME148" s="22"/>
      <c r="KMF148" s="22"/>
      <c r="KMG148" s="22"/>
      <c r="KMH148" s="22"/>
      <c r="KMI148" s="22"/>
      <c r="KMJ148" s="22"/>
      <c r="KMK148" s="22"/>
      <c r="KML148" s="22"/>
      <c r="KMM148" s="22"/>
      <c r="KMN148" s="22"/>
      <c r="KMO148" s="22"/>
      <c r="KMP148" s="22"/>
      <c r="KMQ148" s="22"/>
      <c r="KMR148" s="22"/>
      <c r="KMS148" s="22"/>
      <c r="KMT148" s="22"/>
      <c r="KMU148" s="22"/>
      <c r="KMV148" s="22"/>
      <c r="KMW148" s="22"/>
      <c r="KMX148" s="22"/>
      <c r="KMY148" s="22"/>
      <c r="KMZ148" s="22"/>
      <c r="KNA148" s="22"/>
      <c r="KNB148" s="22"/>
      <c r="KNC148" s="22"/>
      <c r="KND148" s="22"/>
      <c r="KNE148" s="22"/>
      <c r="KNF148" s="22"/>
      <c r="KNG148" s="22"/>
      <c r="KNH148" s="22"/>
      <c r="KNI148" s="22"/>
      <c r="KNJ148" s="22"/>
      <c r="KNK148" s="22"/>
      <c r="KNL148" s="22"/>
      <c r="KNM148" s="22"/>
      <c r="KNN148" s="22"/>
      <c r="KNO148" s="22"/>
      <c r="KNP148" s="22"/>
      <c r="KNQ148" s="22"/>
      <c r="KNR148" s="22"/>
      <c r="KNS148" s="22"/>
      <c r="KNT148" s="22"/>
      <c r="KNU148" s="22"/>
      <c r="KNV148" s="22"/>
      <c r="KNW148" s="22"/>
      <c r="KNX148" s="22"/>
      <c r="KNY148" s="22"/>
      <c r="KNZ148" s="22"/>
      <c r="KOA148" s="22"/>
      <c r="KOB148" s="22"/>
      <c r="KOC148" s="22"/>
      <c r="KOD148" s="22"/>
      <c r="KOE148" s="22"/>
      <c r="KOF148" s="22"/>
      <c r="KOG148" s="22"/>
      <c r="KOH148" s="22"/>
      <c r="KOI148" s="22"/>
      <c r="KOJ148" s="22"/>
      <c r="KOK148" s="22"/>
      <c r="KOL148" s="22"/>
      <c r="KOM148" s="22"/>
      <c r="KON148" s="22"/>
      <c r="KOO148" s="22"/>
      <c r="KOP148" s="22"/>
      <c r="KOQ148" s="22"/>
      <c r="KOR148" s="22"/>
      <c r="KOS148" s="22"/>
      <c r="KOT148" s="22"/>
      <c r="KOU148" s="22"/>
      <c r="KOV148" s="22"/>
      <c r="KOW148" s="22"/>
      <c r="KOX148" s="22"/>
      <c r="KOY148" s="22"/>
      <c r="KOZ148" s="22"/>
      <c r="KPA148" s="22"/>
      <c r="KPB148" s="22"/>
      <c r="KPC148" s="22"/>
      <c r="KPD148" s="22"/>
      <c r="KPE148" s="22"/>
      <c r="KPF148" s="22"/>
      <c r="KPG148" s="22"/>
      <c r="KPH148" s="22"/>
      <c r="KPI148" s="22"/>
      <c r="KPJ148" s="22"/>
      <c r="KPK148" s="22"/>
      <c r="KPL148" s="22"/>
      <c r="KPM148" s="22"/>
      <c r="KPN148" s="22"/>
      <c r="KPO148" s="22"/>
      <c r="KPP148" s="22"/>
      <c r="KPQ148" s="22"/>
      <c r="KPR148" s="22"/>
      <c r="KPS148" s="22"/>
      <c r="KPT148" s="22"/>
      <c r="KPU148" s="22"/>
      <c r="KPV148" s="22"/>
      <c r="KPW148" s="22"/>
      <c r="KPX148" s="22"/>
      <c r="KPY148" s="22"/>
      <c r="KPZ148" s="22"/>
      <c r="KQA148" s="22"/>
      <c r="KQB148" s="22"/>
      <c r="KQC148" s="22"/>
      <c r="KQD148" s="22"/>
      <c r="KQE148" s="22"/>
      <c r="KQF148" s="22"/>
      <c r="KQG148" s="22"/>
      <c r="KQH148" s="22"/>
      <c r="KQI148" s="22"/>
      <c r="KQJ148" s="22"/>
      <c r="KQK148" s="22"/>
      <c r="KQL148" s="22"/>
      <c r="KQM148" s="22"/>
      <c r="KQN148" s="22"/>
      <c r="KQO148" s="22"/>
      <c r="KQP148" s="22"/>
      <c r="KQQ148" s="22"/>
      <c r="KQR148" s="22"/>
      <c r="KQS148" s="22"/>
      <c r="KQT148" s="22"/>
      <c r="KQU148" s="22"/>
      <c r="KQV148" s="22"/>
      <c r="KQW148" s="22"/>
      <c r="KQX148" s="22"/>
      <c r="KQY148" s="22"/>
      <c r="KQZ148" s="22"/>
      <c r="KRA148" s="22"/>
      <c r="KRB148" s="22"/>
      <c r="KRC148" s="22"/>
      <c r="KRD148" s="22"/>
      <c r="KRE148" s="22"/>
      <c r="KRF148" s="22"/>
      <c r="KRG148" s="22"/>
      <c r="KRH148" s="22"/>
      <c r="KRI148" s="22"/>
      <c r="KRJ148" s="22"/>
      <c r="KRK148" s="22"/>
      <c r="KRL148" s="22"/>
      <c r="KRM148" s="22"/>
      <c r="KRN148" s="22"/>
      <c r="KRO148" s="22"/>
      <c r="KRP148" s="22"/>
      <c r="KRQ148" s="22"/>
      <c r="KRR148" s="22"/>
      <c r="KRS148" s="22"/>
      <c r="KRT148" s="22"/>
      <c r="KRU148" s="22"/>
      <c r="KRV148" s="22"/>
      <c r="KRW148" s="22"/>
      <c r="KRX148" s="22"/>
      <c r="KRY148" s="22"/>
      <c r="KRZ148" s="22"/>
      <c r="KSA148" s="22"/>
      <c r="KSB148" s="22"/>
      <c r="KSC148" s="22"/>
      <c r="KSD148" s="22"/>
      <c r="KSE148" s="22"/>
      <c r="KSF148" s="22"/>
      <c r="KSG148" s="22"/>
      <c r="KSH148" s="22"/>
      <c r="KSI148" s="22"/>
      <c r="KSJ148" s="22"/>
      <c r="KSK148" s="22"/>
      <c r="KSL148" s="22"/>
      <c r="KSM148" s="22"/>
      <c r="KSN148" s="22"/>
      <c r="KSO148" s="22"/>
      <c r="KSP148" s="22"/>
      <c r="KSQ148" s="22"/>
      <c r="KSR148" s="22"/>
      <c r="KSS148" s="22"/>
      <c r="KST148" s="22"/>
      <c r="KSU148" s="22"/>
      <c r="KSV148" s="22"/>
      <c r="KSW148" s="22"/>
      <c r="KSX148" s="22"/>
      <c r="KSY148" s="22"/>
      <c r="KSZ148" s="22"/>
      <c r="KTA148" s="22"/>
      <c r="KTB148" s="22"/>
      <c r="KTC148" s="22"/>
      <c r="KTD148" s="22"/>
      <c r="KTE148" s="22"/>
      <c r="KTF148" s="22"/>
      <c r="KTG148" s="22"/>
      <c r="KTH148" s="22"/>
      <c r="KTI148" s="22"/>
      <c r="KTJ148" s="22"/>
      <c r="KTK148" s="22"/>
      <c r="KTL148" s="22"/>
      <c r="KTM148" s="22"/>
      <c r="KTN148" s="22"/>
      <c r="KTO148" s="22"/>
      <c r="KTP148" s="22"/>
      <c r="KTQ148" s="22"/>
      <c r="KTR148" s="22"/>
      <c r="KTS148" s="22"/>
      <c r="KTT148" s="22"/>
      <c r="KTU148" s="22"/>
      <c r="KTV148" s="22"/>
      <c r="KTW148" s="22"/>
      <c r="KTX148" s="22"/>
      <c r="KTY148" s="22"/>
      <c r="KTZ148" s="22"/>
      <c r="KUA148" s="22"/>
      <c r="KUB148" s="22"/>
      <c r="KUC148" s="22"/>
      <c r="KUD148" s="22"/>
      <c r="KUE148" s="22"/>
      <c r="KUF148" s="22"/>
      <c r="KUG148" s="22"/>
      <c r="KUH148" s="22"/>
      <c r="KUI148" s="22"/>
      <c r="KUJ148" s="22"/>
      <c r="KUK148" s="22"/>
      <c r="KUL148" s="22"/>
      <c r="KUM148" s="22"/>
      <c r="KUN148" s="22"/>
      <c r="KUO148" s="22"/>
      <c r="KUP148" s="22"/>
      <c r="KUQ148" s="22"/>
      <c r="KUR148" s="22"/>
      <c r="KUS148" s="22"/>
      <c r="KUT148" s="22"/>
      <c r="KUU148" s="22"/>
      <c r="KUV148" s="22"/>
      <c r="KUW148" s="22"/>
      <c r="KUX148" s="22"/>
      <c r="KUY148" s="22"/>
      <c r="KUZ148" s="22"/>
      <c r="KVA148" s="22"/>
      <c r="KVB148" s="22"/>
      <c r="KVC148" s="22"/>
      <c r="KVD148" s="22"/>
      <c r="KVE148" s="22"/>
      <c r="KVF148" s="22"/>
      <c r="KVG148" s="22"/>
      <c r="KVH148" s="22"/>
      <c r="KVI148" s="22"/>
      <c r="KVJ148" s="22"/>
      <c r="KVK148" s="22"/>
      <c r="KVL148" s="22"/>
      <c r="KVM148" s="22"/>
      <c r="KVN148" s="22"/>
      <c r="KVO148" s="22"/>
      <c r="KVP148" s="22"/>
      <c r="KVQ148" s="22"/>
      <c r="KVR148" s="22"/>
      <c r="KVS148" s="22"/>
      <c r="KVT148" s="22"/>
      <c r="KVU148" s="22"/>
      <c r="KVV148" s="22"/>
      <c r="KVW148" s="22"/>
      <c r="KVX148" s="22"/>
      <c r="KVY148" s="22"/>
      <c r="KVZ148" s="22"/>
      <c r="KWA148" s="22"/>
      <c r="KWB148" s="22"/>
      <c r="KWC148" s="22"/>
      <c r="KWD148" s="22"/>
      <c r="KWE148" s="22"/>
      <c r="KWF148" s="22"/>
      <c r="KWG148" s="22"/>
      <c r="KWH148" s="22"/>
      <c r="KWI148" s="22"/>
      <c r="KWJ148" s="22"/>
      <c r="KWK148" s="22"/>
      <c r="KWL148" s="22"/>
      <c r="KWM148" s="22"/>
      <c r="KWN148" s="22"/>
      <c r="KWO148" s="22"/>
      <c r="KWP148" s="22"/>
      <c r="KWQ148" s="22"/>
      <c r="KWR148" s="22"/>
      <c r="KWS148" s="22"/>
      <c r="KWT148" s="22"/>
      <c r="KWU148" s="22"/>
      <c r="KWV148" s="22"/>
      <c r="KWW148" s="22"/>
      <c r="KWX148" s="22"/>
      <c r="KWY148" s="22"/>
      <c r="KWZ148" s="22"/>
      <c r="KXA148" s="22"/>
      <c r="KXB148" s="22"/>
      <c r="KXC148" s="22"/>
      <c r="KXD148" s="22"/>
      <c r="KXE148" s="22"/>
      <c r="KXF148" s="22"/>
      <c r="KXG148" s="22"/>
      <c r="KXH148" s="22"/>
      <c r="KXI148" s="22"/>
      <c r="KXJ148" s="22"/>
      <c r="KXK148" s="22"/>
      <c r="KXL148" s="22"/>
      <c r="KXM148" s="22"/>
      <c r="KXN148" s="22"/>
      <c r="KXO148" s="22"/>
      <c r="KXP148" s="22"/>
      <c r="KXQ148" s="22"/>
      <c r="KXR148" s="22"/>
      <c r="KXS148" s="22"/>
      <c r="KXT148" s="22"/>
      <c r="KXU148" s="22"/>
      <c r="KXV148" s="22"/>
      <c r="KXW148" s="22"/>
      <c r="KXX148" s="22"/>
      <c r="KXY148" s="22"/>
      <c r="KXZ148" s="22"/>
      <c r="KYA148" s="22"/>
      <c r="KYB148" s="22"/>
      <c r="KYC148" s="22"/>
      <c r="KYD148" s="22"/>
      <c r="KYE148" s="22"/>
      <c r="KYF148" s="22"/>
      <c r="KYG148" s="22"/>
      <c r="KYH148" s="22"/>
      <c r="KYI148" s="22"/>
      <c r="KYJ148" s="22"/>
      <c r="KYK148" s="22"/>
      <c r="KYL148" s="22"/>
      <c r="KYM148" s="22"/>
      <c r="KYN148" s="22"/>
      <c r="KYO148" s="22"/>
      <c r="KYP148" s="22"/>
      <c r="KYQ148" s="22"/>
      <c r="KYR148" s="22"/>
      <c r="KYS148" s="22"/>
      <c r="KYT148" s="22"/>
      <c r="KYU148" s="22"/>
      <c r="KYV148" s="22"/>
      <c r="KYW148" s="22"/>
      <c r="KYX148" s="22"/>
      <c r="KYY148" s="22"/>
      <c r="KYZ148" s="22"/>
      <c r="KZA148" s="22"/>
      <c r="KZB148" s="22"/>
      <c r="KZC148" s="22"/>
      <c r="KZD148" s="22"/>
      <c r="KZE148" s="22"/>
      <c r="KZF148" s="22"/>
      <c r="KZG148" s="22"/>
      <c r="KZH148" s="22"/>
      <c r="KZI148" s="22"/>
      <c r="KZJ148" s="22"/>
      <c r="KZK148" s="22"/>
      <c r="KZL148" s="22"/>
      <c r="KZM148" s="22"/>
      <c r="KZN148" s="22"/>
      <c r="KZO148" s="22"/>
      <c r="KZP148" s="22"/>
      <c r="KZQ148" s="22"/>
      <c r="KZR148" s="22"/>
      <c r="KZS148" s="22"/>
      <c r="KZT148" s="22"/>
      <c r="KZU148" s="22"/>
      <c r="KZV148" s="22"/>
      <c r="KZW148" s="22"/>
      <c r="KZX148" s="22"/>
      <c r="KZY148" s="22"/>
      <c r="KZZ148" s="22"/>
      <c r="LAA148" s="22"/>
      <c r="LAB148" s="22"/>
      <c r="LAC148" s="22"/>
      <c r="LAD148" s="22"/>
      <c r="LAE148" s="22"/>
      <c r="LAF148" s="22"/>
      <c r="LAG148" s="22"/>
      <c r="LAH148" s="22"/>
      <c r="LAI148" s="22"/>
      <c r="LAJ148" s="22"/>
      <c r="LAK148" s="22"/>
      <c r="LAL148" s="22"/>
      <c r="LAM148" s="22"/>
      <c r="LAN148" s="22"/>
      <c r="LAO148" s="22"/>
      <c r="LAP148" s="22"/>
      <c r="LAQ148" s="22"/>
      <c r="LAR148" s="22"/>
      <c r="LAS148" s="22"/>
      <c r="LAT148" s="22"/>
      <c r="LAU148" s="22"/>
      <c r="LAV148" s="22"/>
      <c r="LAW148" s="22"/>
      <c r="LAX148" s="22"/>
      <c r="LAY148" s="22"/>
      <c r="LAZ148" s="22"/>
      <c r="LBA148" s="22"/>
      <c r="LBB148" s="22"/>
      <c r="LBC148" s="22"/>
      <c r="LBD148" s="22"/>
      <c r="LBE148" s="22"/>
      <c r="LBF148" s="22"/>
      <c r="LBG148" s="22"/>
      <c r="LBH148" s="22"/>
      <c r="LBI148" s="22"/>
      <c r="LBJ148" s="22"/>
      <c r="LBK148" s="22"/>
      <c r="LBL148" s="22"/>
      <c r="LBM148" s="22"/>
      <c r="LBN148" s="22"/>
      <c r="LBO148" s="22"/>
      <c r="LBP148" s="22"/>
      <c r="LBQ148" s="22"/>
      <c r="LBR148" s="22"/>
      <c r="LBS148" s="22"/>
      <c r="LBT148" s="22"/>
      <c r="LBU148" s="22"/>
      <c r="LBV148" s="22"/>
      <c r="LBW148" s="22"/>
      <c r="LBX148" s="22"/>
      <c r="LBY148" s="22"/>
      <c r="LBZ148" s="22"/>
      <c r="LCA148" s="22"/>
      <c r="LCB148" s="22"/>
      <c r="LCC148" s="22"/>
      <c r="LCD148" s="22"/>
      <c r="LCE148" s="22"/>
      <c r="LCF148" s="22"/>
      <c r="LCG148" s="22"/>
      <c r="LCH148" s="22"/>
      <c r="LCI148" s="22"/>
      <c r="LCJ148" s="22"/>
      <c r="LCK148" s="22"/>
      <c r="LCL148" s="22"/>
      <c r="LCM148" s="22"/>
      <c r="LCN148" s="22"/>
      <c r="LCO148" s="22"/>
      <c r="LCP148" s="22"/>
      <c r="LCQ148" s="22"/>
      <c r="LCR148" s="22"/>
      <c r="LCS148" s="22"/>
      <c r="LCT148" s="22"/>
      <c r="LCU148" s="22"/>
      <c r="LCV148" s="22"/>
      <c r="LCW148" s="22"/>
      <c r="LCX148" s="22"/>
      <c r="LCY148" s="22"/>
      <c r="LCZ148" s="22"/>
      <c r="LDA148" s="22"/>
      <c r="LDB148" s="22"/>
      <c r="LDC148" s="22"/>
      <c r="LDD148" s="22"/>
      <c r="LDE148" s="22"/>
      <c r="LDF148" s="22"/>
      <c r="LDG148" s="22"/>
      <c r="LDH148" s="22"/>
      <c r="LDI148" s="22"/>
      <c r="LDJ148" s="22"/>
      <c r="LDK148" s="22"/>
      <c r="LDL148" s="22"/>
      <c r="LDM148" s="22"/>
      <c r="LDN148" s="22"/>
      <c r="LDO148" s="22"/>
      <c r="LDP148" s="22"/>
      <c r="LDQ148" s="22"/>
      <c r="LDR148" s="22"/>
      <c r="LDS148" s="22"/>
      <c r="LDT148" s="22"/>
      <c r="LDU148" s="22"/>
      <c r="LDV148" s="22"/>
      <c r="LDW148" s="22"/>
      <c r="LDX148" s="22"/>
      <c r="LDY148" s="22"/>
      <c r="LDZ148" s="22"/>
      <c r="LEA148" s="22"/>
      <c r="LEB148" s="22"/>
      <c r="LEC148" s="22"/>
      <c r="LED148" s="22"/>
      <c r="LEE148" s="22"/>
      <c r="LEF148" s="22"/>
      <c r="LEG148" s="22"/>
      <c r="LEH148" s="22"/>
      <c r="LEI148" s="22"/>
      <c r="LEJ148" s="22"/>
      <c r="LEK148" s="22"/>
      <c r="LEL148" s="22"/>
      <c r="LEM148" s="22"/>
      <c r="LEN148" s="22"/>
      <c r="LEO148" s="22"/>
      <c r="LEP148" s="22"/>
      <c r="LEQ148" s="22"/>
      <c r="LER148" s="22"/>
      <c r="LES148" s="22"/>
      <c r="LET148" s="22"/>
      <c r="LEU148" s="22"/>
      <c r="LEV148" s="22"/>
      <c r="LEW148" s="22"/>
      <c r="LEX148" s="22"/>
      <c r="LEY148" s="22"/>
      <c r="LEZ148" s="22"/>
      <c r="LFA148" s="22"/>
      <c r="LFB148" s="22"/>
      <c r="LFC148" s="22"/>
      <c r="LFD148" s="22"/>
      <c r="LFE148" s="22"/>
      <c r="LFF148" s="22"/>
      <c r="LFG148" s="22"/>
      <c r="LFH148" s="22"/>
      <c r="LFI148" s="22"/>
      <c r="LFJ148" s="22"/>
      <c r="LFK148" s="22"/>
      <c r="LFL148" s="22"/>
      <c r="LFM148" s="22"/>
      <c r="LFN148" s="22"/>
      <c r="LFO148" s="22"/>
      <c r="LFP148" s="22"/>
      <c r="LFQ148" s="22"/>
      <c r="LFR148" s="22"/>
      <c r="LFS148" s="22"/>
      <c r="LFT148" s="22"/>
      <c r="LFU148" s="22"/>
      <c r="LFV148" s="22"/>
      <c r="LFW148" s="22"/>
      <c r="LFX148" s="22"/>
      <c r="LFY148" s="22"/>
      <c r="LFZ148" s="22"/>
      <c r="LGA148" s="22"/>
      <c r="LGB148" s="22"/>
      <c r="LGC148" s="22"/>
      <c r="LGD148" s="22"/>
      <c r="LGE148" s="22"/>
      <c r="LGF148" s="22"/>
      <c r="LGG148" s="22"/>
      <c r="LGH148" s="22"/>
      <c r="LGI148" s="22"/>
      <c r="LGJ148" s="22"/>
      <c r="LGK148" s="22"/>
      <c r="LGL148" s="22"/>
      <c r="LGM148" s="22"/>
      <c r="LGN148" s="22"/>
      <c r="LGO148" s="22"/>
      <c r="LGP148" s="22"/>
      <c r="LGQ148" s="22"/>
      <c r="LGR148" s="22"/>
      <c r="LGS148" s="22"/>
      <c r="LGT148" s="22"/>
      <c r="LGU148" s="22"/>
      <c r="LGV148" s="22"/>
      <c r="LGW148" s="22"/>
      <c r="LGX148" s="22"/>
      <c r="LGY148" s="22"/>
      <c r="LGZ148" s="22"/>
      <c r="LHA148" s="22"/>
      <c r="LHB148" s="22"/>
      <c r="LHC148" s="22"/>
      <c r="LHD148" s="22"/>
      <c r="LHE148" s="22"/>
      <c r="LHF148" s="22"/>
      <c r="LHG148" s="22"/>
      <c r="LHH148" s="22"/>
      <c r="LHI148" s="22"/>
      <c r="LHJ148" s="22"/>
      <c r="LHK148" s="22"/>
      <c r="LHL148" s="22"/>
      <c r="LHM148" s="22"/>
      <c r="LHN148" s="22"/>
      <c r="LHO148" s="22"/>
      <c r="LHP148" s="22"/>
      <c r="LHQ148" s="22"/>
      <c r="LHR148" s="22"/>
      <c r="LHS148" s="22"/>
      <c r="LHT148" s="22"/>
      <c r="LHU148" s="22"/>
      <c r="LHV148" s="22"/>
      <c r="LHW148" s="22"/>
      <c r="LHX148" s="22"/>
      <c r="LHY148" s="22"/>
      <c r="LHZ148" s="22"/>
      <c r="LIA148" s="22"/>
      <c r="LIB148" s="22"/>
      <c r="LIC148" s="22"/>
      <c r="LID148" s="22"/>
      <c r="LIE148" s="22"/>
      <c r="LIF148" s="22"/>
      <c r="LIG148" s="22"/>
      <c r="LIH148" s="22"/>
      <c r="LII148" s="22"/>
      <c r="LIJ148" s="22"/>
      <c r="LIK148" s="22"/>
      <c r="LIL148" s="22"/>
      <c r="LIM148" s="22"/>
      <c r="LIN148" s="22"/>
      <c r="LIO148" s="22"/>
      <c r="LIP148" s="22"/>
      <c r="LIQ148" s="22"/>
      <c r="LIR148" s="22"/>
      <c r="LIS148" s="22"/>
      <c r="LIT148" s="22"/>
      <c r="LIU148" s="22"/>
      <c r="LIV148" s="22"/>
      <c r="LIW148" s="22"/>
      <c r="LIX148" s="22"/>
      <c r="LIY148" s="22"/>
      <c r="LIZ148" s="22"/>
      <c r="LJA148" s="22"/>
      <c r="LJB148" s="22"/>
      <c r="LJC148" s="22"/>
      <c r="LJD148" s="22"/>
      <c r="LJE148" s="22"/>
      <c r="LJF148" s="22"/>
      <c r="LJG148" s="22"/>
      <c r="LJH148" s="22"/>
      <c r="LJI148" s="22"/>
      <c r="LJJ148" s="22"/>
      <c r="LJK148" s="22"/>
      <c r="LJL148" s="22"/>
      <c r="LJM148" s="22"/>
      <c r="LJN148" s="22"/>
      <c r="LJO148" s="22"/>
      <c r="LJP148" s="22"/>
      <c r="LJQ148" s="22"/>
      <c r="LJR148" s="22"/>
      <c r="LJS148" s="22"/>
      <c r="LJT148" s="22"/>
      <c r="LJU148" s="22"/>
      <c r="LJV148" s="22"/>
      <c r="LJW148" s="22"/>
      <c r="LJX148" s="22"/>
      <c r="LJY148" s="22"/>
      <c r="LJZ148" s="22"/>
      <c r="LKA148" s="22"/>
      <c r="LKB148" s="22"/>
      <c r="LKC148" s="22"/>
      <c r="LKD148" s="22"/>
      <c r="LKE148" s="22"/>
      <c r="LKF148" s="22"/>
      <c r="LKG148" s="22"/>
      <c r="LKH148" s="22"/>
      <c r="LKI148" s="22"/>
      <c r="LKJ148" s="22"/>
      <c r="LKK148" s="22"/>
      <c r="LKL148" s="22"/>
      <c r="LKM148" s="22"/>
      <c r="LKN148" s="22"/>
      <c r="LKO148" s="22"/>
      <c r="LKP148" s="22"/>
      <c r="LKQ148" s="22"/>
      <c r="LKR148" s="22"/>
      <c r="LKS148" s="22"/>
      <c r="LKT148" s="22"/>
      <c r="LKU148" s="22"/>
      <c r="LKV148" s="22"/>
      <c r="LKW148" s="22"/>
      <c r="LKX148" s="22"/>
      <c r="LKY148" s="22"/>
      <c r="LKZ148" s="22"/>
      <c r="LLA148" s="22"/>
      <c r="LLB148" s="22"/>
      <c r="LLC148" s="22"/>
      <c r="LLD148" s="22"/>
      <c r="LLE148" s="22"/>
      <c r="LLF148" s="22"/>
      <c r="LLG148" s="22"/>
      <c r="LLH148" s="22"/>
      <c r="LLI148" s="22"/>
      <c r="LLJ148" s="22"/>
      <c r="LLK148" s="22"/>
      <c r="LLL148" s="22"/>
      <c r="LLM148" s="22"/>
      <c r="LLN148" s="22"/>
      <c r="LLO148" s="22"/>
      <c r="LLP148" s="22"/>
      <c r="LLQ148" s="22"/>
      <c r="LLR148" s="22"/>
      <c r="LLS148" s="22"/>
      <c r="LLT148" s="22"/>
      <c r="LLU148" s="22"/>
      <c r="LLV148" s="22"/>
      <c r="LLW148" s="22"/>
      <c r="LLX148" s="22"/>
      <c r="LLY148" s="22"/>
      <c r="LLZ148" s="22"/>
      <c r="LMA148" s="22"/>
      <c r="LMB148" s="22"/>
      <c r="LMC148" s="22"/>
      <c r="LMD148" s="22"/>
      <c r="LME148" s="22"/>
      <c r="LMF148" s="22"/>
      <c r="LMG148" s="22"/>
      <c r="LMH148" s="22"/>
      <c r="LMI148" s="22"/>
      <c r="LMJ148" s="22"/>
      <c r="LMK148" s="22"/>
      <c r="LML148" s="22"/>
      <c r="LMM148" s="22"/>
      <c r="LMN148" s="22"/>
      <c r="LMO148" s="22"/>
      <c r="LMP148" s="22"/>
      <c r="LMQ148" s="22"/>
      <c r="LMR148" s="22"/>
      <c r="LMS148" s="22"/>
      <c r="LMT148" s="22"/>
      <c r="LMU148" s="22"/>
      <c r="LMV148" s="22"/>
      <c r="LMW148" s="22"/>
      <c r="LMX148" s="22"/>
      <c r="LMY148" s="22"/>
      <c r="LMZ148" s="22"/>
      <c r="LNA148" s="22"/>
      <c r="LNB148" s="22"/>
      <c r="LNC148" s="22"/>
      <c r="LND148" s="22"/>
      <c r="LNE148" s="22"/>
      <c r="LNF148" s="22"/>
      <c r="LNG148" s="22"/>
      <c r="LNH148" s="22"/>
      <c r="LNI148" s="22"/>
      <c r="LNJ148" s="22"/>
      <c r="LNK148" s="22"/>
      <c r="LNL148" s="22"/>
      <c r="LNM148" s="22"/>
      <c r="LNN148" s="22"/>
      <c r="LNO148" s="22"/>
      <c r="LNP148" s="22"/>
      <c r="LNQ148" s="22"/>
      <c r="LNR148" s="22"/>
      <c r="LNS148" s="22"/>
      <c r="LNT148" s="22"/>
      <c r="LNU148" s="22"/>
      <c r="LNV148" s="22"/>
      <c r="LNW148" s="22"/>
      <c r="LNX148" s="22"/>
      <c r="LNY148" s="22"/>
      <c r="LNZ148" s="22"/>
      <c r="LOA148" s="22"/>
      <c r="LOB148" s="22"/>
      <c r="LOC148" s="22"/>
      <c r="LOD148" s="22"/>
      <c r="LOE148" s="22"/>
      <c r="LOF148" s="22"/>
      <c r="LOG148" s="22"/>
      <c r="LOH148" s="22"/>
      <c r="LOI148" s="22"/>
      <c r="LOJ148" s="22"/>
      <c r="LOK148" s="22"/>
      <c r="LOL148" s="22"/>
      <c r="LOM148" s="22"/>
      <c r="LON148" s="22"/>
      <c r="LOO148" s="22"/>
      <c r="LOP148" s="22"/>
      <c r="LOQ148" s="22"/>
      <c r="LOR148" s="22"/>
      <c r="LOS148" s="22"/>
      <c r="LOT148" s="22"/>
      <c r="LOU148" s="22"/>
      <c r="LOV148" s="22"/>
      <c r="LOW148" s="22"/>
      <c r="LOX148" s="22"/>
      <c r="LOY148" s="22"/>
      <c r="LOZ148" s="22"/>
      <c r="LPA148" s="22"/>
      <c r="LPB148" s="22"/>
      <c r="LPC148" s="22"/>
      <c r="LPD148" s="22"/>
      <c r="LPE148" s="22"/>
      <c r="LPF148" s="22"/>
      <c r="LPG148" s="22"/>
      <c r="LPH148" s="22"/>
      <c r="LPI148" s="22"/>
      <c r="LPJ148" s="22"/>
      <c r="LPK148" s="22"/>
      <c r="LPL148" s="22"/>
      <c r="LPM148" s="22"/>
      <c r="LPN148" s="22"/>
      <c r="LPO148" s="22"/>
      <c r="LPP148" s="22"/>
      <c r="LPQ148" s="22"/>
      <c r="LPR148" s="22"/>
      <c r="LPS148" s="22"/>
      <c r="LPT148" s="22"/>
      <c r="LPU148" s="22"/>
      <c r="LPV148" s="22"/>
      <c r="LPW148" s="22"/>
      <c r="LPX148" s="22"/>
      <c r="LPY148" s="22"/>
      <c r="LPZ148" s="22"/>
      <c r="LQA148" s="22"/>
      <c r="LQB148" s="22"/>
      <c r="LQC148" s="22"/>
      <c r="LQD148" s="22"/>
      <c r="LQE148" s="22"/>
      <c r="LQF148" s="22"/>
      <c r="LQG148" s="22"/>
      <c r="LQH148" s="22"/>
      <c r="LQI148" s="22"/>
      <c r="LQJ148" s="22"/>
      <c r="LQK148" s="22"/>
      <c r="LQL148" s="22"/>
      <c r="LQM148" s="22"/>
      <c r="LQN148" s="22"/>
      <c r="LQO148" s="22"/>
      <c r="LQP148" s="22"/>
      <c r="LQQ148" s="22"/>
      <c r="LQR148" s="22"/>
      <c r="LQS148" s="22"/>
      <c r="LQT148" s="22"/>
      <c r="LQU148" s="22"/>
      <c r="LQV148" s="22"/>
      <c r="LQW148" s="22"/>
      <c r="LQX148" s="22"/>
      <c r="LQY148" s="22"/>
      <c r="LQZ148" s="22"/>
      <c r="LRA148" s="22"/>
      <c r="LRB148" s="22"/>
      <c r="LRC148" s="22"/>
      <c r="LRD148" s="22"/>
      <c r="LRE148" s="22"/>
      <c r="LRF148" s="22"/>
      <c r="LRG148" s="22"/>
      <c r="LRH148" s="22"/>
      <c r="LRI148" s="22"/>
      <c r="LRJ148" s="22"/>
      <c r="LRK148" s="22"/>
      <c r="LRL148" s="22"/>
      <c r="LRM148" s="22"/>
      <c r="LRN148" s="22"/>
      <c r="LRO148" s="22"/>
      <c r="LRP148" s="22"/>
      <c r="LRQ148" s="22"/>
      <c r="LRR148" s="22"/>
      <c r="LRS148" s="22"/>
      <c r="LRT148" s="22"/>
      <c r="LRU148" s="22"/>
      <c r="LRV148" s="22"/>
      <c r="LRW148" s="22"/>
      <c r="LRX148" s="22"/>
      <c r="LRY148" s="22"/>
      <c r="LRZ148" s="22"/>
      <c r="LSA148" s="22"/>
      <c r="LSB148" s="22"/>
      <c r="LSC148" s="22"/>
      <c r="LSD148" s="22"/>
      <c r="LSE148" s="22"/>
      <c r="LSF148" s="22"/>
      <c r="LSG148" s="22"/>
      <c r="LSH148" s="22"/>
      <c r="LSI148" s="22"/>
      <c r="LSJ148" s="22"/>
      <c r="LSK148" s="22"/>
      <c r="LSL148" s="22"/>
      <c r="LSM148" s="22"/>
      <c r="LSN148" s="22"/>
      <c r="LSO148" s="22"/>
      <c r="LSP148" s="22"/>
      <c r="LSQ148" s="22"/>
      <c r="LSR148" s="22"/>
      <c r="LSS148" s="22"/>
      <c r="LST148" s="22"/>
      <c r="LSU148" s="22"/>
      <c r="LSV148" s="22"/>
      <c r="LSW148" s="22"/>
      <c r="LSX148" s="22"/>
      <c r="LSY148" s="22"/>
      <c r="LSZ148" s="22"/>
      <c r="LTA148" s="22"/>
      <c r="LTB148" s="22"/>
      <c r="LTC148" s="22"/>
      <c r="LTD148" s="22"/>
      <c r="LTE148" s="22"/>
      <c r="LTF148" s="22"/>
      <c r="LTG148" s="22"/>
      <c r="LTH148" s="22"/>
      <c r="LTI148" s="22"/>
      <c r="LTJ148" s="22"/>
      <c r="LTK148" s="22"/>
      <c r="LTL148" s="22"/>
      <c r="LTM148" s="22"/>
      <c r="LTN148" s="22"/>
      <c r="LTO148" s="22"/>
      <c r="LTP148" s="22"/>
      <c r="LTQ148" s="22"/>
      <c r="LTR148" s="22"/>
      <c r="LTS148" s="22"/>
      <c r="LTT148" s="22"/>
      <c r="LTU148" s="22"/>
      <c r="LTV148" s="22"/>
      <c r="LTW148" s="22"/>
      <c r="LTX148" s="22"/>
      <c r="LTY148" s="22"/>
      <c r="LTZ148" s="22"/>
      <c r="LUA148" s="22"/>
      <c r="LUB148" s="22"/>
      <c r="LUC148" s="22"/>
      <c r="LUD148" s="22"/>
      <c r="LUE148" s="22"/>
      <c r="LUF148" s="22"/>
      <c r="LUG148" s="22"/>
      <c r="LUH148" s="22"/>
      <c r="LUI148" s="22"/>
      <c r="LUJ148" s="22"/>
      <c r="LUK148" s="22"/>
      <c r="LUL148" s="22"/>
      <c r="LUM148" s="22"/>
      <c r="LUN148" s="22"/>
      <c r="LUO148" s="22"/>
      <c r="LUP148" s="22"/>
      <c r="LUQ148" s="22"/>
      <c r="LUR148" s="22"/>
      <c r="LUS148" s="22"/>
      <c r="LUT148" s="22"/>
      <c r="LUU148" s="22"/>
      <c r="LUV148" s="22"/>
      <c r="LUW148" s="22"/>
      <c r="LUX148" s="22"/>
      <c r="LUY148" s="22"/>
      <c r="LUZ148" s="22"/>
      <c r="LVA148" s="22"/>
      <c r="LVB148" s="22"/>
      <c r="LVC148" s="22"/>
      <c r="LVD148" s="22"/>
      <c r="LVE148" s="22"/>
      <c r="LVF148" s="22"/>
      <c r="LVG148" s="22"/>
      <c r="LVH148" s="22"/>
      <c r="LVI148" s="22"/>
      <c r="LVJ148" s="22"/>
      <c r="LVK148" s="22"/>
      <c r="LVL148" s="22"/>
      <c r="LVM148" s="22"/>
      <c r="LVN148" s="22"/>
      <c r="LVO148" s="22"/>
      <c r="LVP148" s="22"/>
      <c r="LVQ148" s="22"/>
      <c r="LVR148" s="22"/>
      <c r="LVS148" s="22"/>
      <c r="LVT148" s="22"/>
      <c r="LVU148" s="22"/>
      <c r="LVV148" s="22"/>
      <c r="LVW148" s="22"/>
      <c r="LVX148" s="22"/>
      <c r="LVY148" s="22"/>
      <c r="LVZ148" s="22"/>
      <c r="LWA148" s="22"/>
      <c r="LWB148" s="22"/>
      <c r="LWC148" s="22"/>
      <c r="LWD148" s="22"/>
      <c r="LWE148" s="22"/>
      <c r="LWF148" s="22"/>
      <c r="LWG148" s="22"/>
      <c r="LWH148" s="22"/>
      <c r="LWI148" s="22"/>
      <c r="LWJ148" s="22"/>
      <c r="LWK148" s="22"/>
      <c r="LWL148" s="22"/>
      <c r="LWM148" s="22"/>
      <c r="LWN148" s="22"/>
      <c r="LWO148" s="22"/>
      <c r="LWP148" s="22"/>
      <c r="LWQ148" s="22"/>
      <c r="LWR148" s="22"/>
      <c r="LWS148" s="22"/>
      <c r="LWT148" s="22"/>
      <c r="LWU148" s="22"/>
      <c r="LWV148" s="22"/>
      <c r="LWW148" s="22"/>
      <c r="LWX148" s="22"/>
      <c r="LWY148" s="22"/>
      <c r="LWZ148" s="22"/>
      <c r="LXA148" s="22"/>
      <c r="LXB148" s="22"/>
      <c r="LXC148" s="22"/>
      <c r="LXD148" s="22"/>
      <c r="LXE148" s="22"/>
      <c r="LXF148" s="22"/>
      <c r="LXG148" s="22"/>
      <c r="LXH148" s="22"/>
      <c r="LXI148" s="22"/>
      <c r="LXJ148" s="22"/>
      <c r="LXK148" s="22"/>
      <c r="LXL148" s="22"/>
      <c r="LXM148" s="22"/>
      <c r="LXN148" s="22"/>
      <c r="LXO148" s="22"/>
      <c r="LXP148" s="22"/>
      <c r="LXQ148" s="22"/>
      <c r="LXR148" s="22"/>
      <c r="LXS148" s="22"/>
      <c r="LXT148" s="22"/>
      <c r="LXU148" s="22"/>
      <c r="LXV148" s="22"/>
      <c r="LXW148" s="22"/>
      <c r="LXX148" s="22"/>
      <c r="LXY148" s="22"/>
      <c r="LXZ148" s="22"/>
      <c r="LYA148" s="22"/>
      <c r="LYB148" s="22"/>
      <c r="LYC148" s="22"/>
      <c r="LYD148" s="22"/>
      <c r="LYE148" s="22"/>
      <c r="LYF148" s="22"/>
      <c r="LYG148" s="22"/>
      <c r="LYH148" s="22"/>
      <c r="LYI148" s="22"/>
      <c r="LYJ148" s="22"/>
      <c r="LYK148" s="22"/>
      <c r="LYL148" s="22"/>
      <c r="LYM148" s="22"/>
      <c r="LYN148" s="22"/>
      <c r="LYO148" s="22"/>
      <c r="LYP148" s="22"/>
      <c r="LYQ148" s="22"/>
      <c r="LYR148" s="22"/>
      <c r="LYS148" s="22"/>
      <c r="LYT148" s="22"/>
      <c r="LYU148" s="22"/>
      <c r="LYV148" s="22"/>
      <c r="LYW148" s="22"/>
      <c r="LYX148" s="22"/>
      <c r="LYY148" s="22"/>
      <c r="LYZ148" s="22"/>
      <c r="LZA148" s="22"/>
      <c r="LZB148" s="22"/>
      <c r="LZC148" s="22"/>
      <c r="LZD148" s="22"/>
      <c r="LZE148" s="22"/>
      <c r="LZF148" s="22"/>
      <c r="LZG148" s="22"/>
      <c r="LZH148" s="22"/>
      <c r="LZI148" s="22"/>
      <c r="LZJ148" s="22"/>
      <c r="LZK148" s="22"/>
      <c r="LZL148" s="22"/>
      <c r="LZM148" s="22"/>
      <c r="LZN148" s="22"/>
      <c r="LZO148" s="22"/>
      <c r="LZP148" s="22"/>
      <c r="LZQ148" s="22"/>
      <c r="LZR148" s="22"/>
      <c r="LZS148" s="22"/>
      <c r="LZT148" s="22"/>
      <c r="LZU148" s="22"/>
      <c r="LZV148" s="22"/>
      <c r="LZW148" s="22"/>
      <c r="LZX148" s="22"/>
      <c r="LZY148" s="22"/>
      <c r="LZZ148" s="22"/>
      <c r="MAA148" s="22"/>
      <c r="MAB148" s="22"/>
      <c r="MAC148" s="22"/>
      <c r="MAD148" s="22"/>
      <c r="MAE148" s="22"/>
      <c r="MAF148" s="22"/>
      <c r="MAG148" s="22"/>
      <c r="MAH148" s="22"/>
      <c r="MAI148" s="22"/>
      <c r="MAJ148" s="22"/>
      <c r="MAK148" s="22"/>
      <c r="MAL148" s="22"/>
      <c r="MAM148" s="22"/>
      <c r="MAN148" s="22"/>
      <c r="MAO148" s="22"/>
      <c r="MAP148" s="22"/>
      <c r="MAQ148" s="22"/>
      <c r="MAR148" s="22"/>
      <c r="MAS148" s="22"/>
      <c r="MAT148" s="22"/>
      <c r="MAU148" s="22"/>
      <c r="MAV148" s="22"/>
      <c r="MAW148" s="22"/>
      <c r="MAX148" s="22"/>
      <c r="MAY148" s="22"/>
      <c r="MAZ148" s="22"/>
      <c r="MBA148" s="22"/>
      <c r="MBB148" s="22"/>
      <c r="MBC148" s="22"/>
      <c r="MBD148" s="22"/>
      <c r="MBE148" s="22"/>
      <c r="MBF148" s="22"/>
      <c r="MBG148" s="22"/>
      <c r="MBH148" s="22"/>
      <c r="MBI148" s="22"/>
      <c r="MBJ148" s="22"/>
      <c r="MBK148" s="22"/>
      <c r="MBL148" s="22"/>
      <c r="MBM148" s="22"/>
      <c r="MBN148" s="22"/>
      <c r="MBO148" s="22"/>
      <c r="MBP148" s="22"/>
      <c r="MBQ148" s="22"/>
      <c r="MBR148" s="22"/>
      <c r="MBS148" s="22"/>
      <c r="MBT148" s="22"/>
      <c r="MBU148" s="22"/>
      <c r="MBV148" s="22"/>
      <c r="MBW148" s="22"/>
      <c r="MBX148" s="22"/>
      <c r="MBY148" s="22"/>
      <c r="MBZ148" s="22"/>
      <c r="MCA148" s="22"/>
      <c r="MCB148" s="22"/>
      <c r="MCC148" s="22"/>
      <c r="MCD148" s="22"/>
      <c r="MCE148" s="22"/>
      <c r="MCF148" s="22"/>
      <c r="MCG148" s="22"/>
      <c r="MCH148" s="22"/>
      <c r="MCI148" s="22"/>
      <c r="MCJ148" s="22"/>
      <c r="MCK148" s="22"/>
      <c r="MCL148" s="22"/>
      <c r="MCM148" s="22"/>
      <c r="MCN148" s="22"/>
      <c r="MCO148" s="22"/>
      <c r="MCP148" s="22"/>
      <c r="MCQ148" s="22"/>
      <c r="MCR148" s="22"/>
      <c r="MCS148" s="22"/>
      <c r="MCT148" s="22"/>
      <c r="MCU148" s="22"/>
      <c r="MCV148" s="22"/>
      <c r="MCW148" s="22"/>
      <c r="MCX148" s="22"/>
      <c r="MCY148" s="22"/>
      <c r="MCZ148" s="22"/>
      <c r="MDA148" s="22"/>
      <c r="MDB148" s="22"/>
      <c r="MDC148" s="22"/>
      <c r="MDD148" s="22"/>
      <c r="MDE148" s="22"/>
      <c r="MDF148" s="22"/>
      <c r="MDG148" s="22"/>
      <c r="MDH148" s="22"/>
      <c r="MDI148" s="22"/>
      <c r="MDJ148" s="22"/>
      <c r="MDK148" s="22"/>
      <c r="MDL148" s="22"/>
      <c r="MDM148" s="22"/>
      <c r="MDN148" s="22"/>
      <c r="MDO148" s="22"/>
      <c r="MDP148" s="22"/>
      <c r="MDQ148" s="22"/>
      <c r="MDR148" s="22"/>
      <c r="MDS148" s="22"/>
      <c r="MDT148" s="22"/>
      <c r="MDU148" s="22"/>
      <c r="MDV148" s="22"/>
      <c r="MDW148" s="22"/>
      <c r="MDX148" s="22"/>
      <c r="MDY148" s="22"/>
      <c r="MDZ148" s="22"/>
      <c r="MEA148" s="22"/>
      <c r="MEB148" s="22"/>
      <c r="MEC148" s="22"/>
      <c r="MED148" s="22"/>
      <c r="MEE148" s="22"/>
      <c r="MEF148" s="22"/>
      <c r="MEG148" s="22"/>
      <c r="MEH148" s="22"/>
      <c r="MEI148" s="22"/>
      <c r="MEJ148" s="22"/>
      <c r="MEK148" s="22"/>
      <c r="MEL148" s="22"/>
      <c r="MEM148" s="22"/>
      <c r="MEN148" s="22"/>
      <c r="MEO148" s="22"/>
      <c r="MEP148" s="22"/>
      <c r="MEQ148" s="22"/>
      <c r="MER148" s="22"/>
      <c r="MES148" s="22"/>
      <c r="MET148" s="22"/>
      <c r="MEU148" s="22"/>
      <c r="MEV148" s="22"/>
      <c r="MEW148" s="22"/>
      <c r="MEX148" s="22"/>
      <c r="MEY148" s="22"/>
      <c r="MEZ148" s="22"/>
      <c r="MFA148" s="22"/>
      <c r="MFB148" s="22"/>
      <c r="MFC148" s="22"/>
      <c r="MFD148" s="22"/>
      <c r="MFE148" s="22"/>
      <c r="MFF148" s="22"/>
      <c r="MFG148" s="22"/>
      <c r="MFH148" s="22"/>
      <c r="MFI148" s="22"/>
      <c r="MFJ148" s="22"/>
      <c r="MFK148" s="22"/>
      <c r="MFL148" s="22"/>
      <c r="MFM148" s="22"/>
      <c r="MFN148" s="22"/>
      <c r="MFO148" s="22"/>
      <c r="MFP148" s="22"/>
      <c r="MFQ148" s="22"/>
      <c r="MFR148" s="22"/>
      <c r="MFS148" s="22"/>
      <c r="MFT148" s="22"/>
      <c r="MFU148" s="22"/>
      <c r="MFV148" s="22"/>
      <c r="MFW148" s="22"/>
      <c r="MFX148" s="22"/>
      <c r="MFY148" s="22"/>
      <c r="MFZ148" s="22"/>
      <c r="MGA148" s="22"/>
      <c r="MGB148" s="22"/>
      <c r="MGC148" s="22"/>
      <c r="MGD148" s="22"/>
      <c r="MGE148" s="22"/>
      <c r="MGF148" s="22"/>
      <c r="MGG148" s="22"/>
      <c r="MGH148" s="22"/>
      <c r="MGI148" s="22"/>
      <c r="MGJ148" s="22"/>
      <c r="MGK148" s="22"/>
      <c r="MGL148" s="22"/>
      <c r="MGM148" s="22"/>
      <c r="MGN148" s="22"/>
      <c r="MGO148" s="22"/>
      <c r="MGP148" s="22"/>
      <c r="MGQ148" s="22"/>
      <c r="MGR148" s="22"/>
      <c r="MGS148" s="22"/>
      <c r="MGT148" s="22"/>
      <c r="MGU148" s="22"/>
      <c r="MGV148" s="22"/>
      <c r="MGW148" s="22"/>
      <c r="MGX148" s="22"/>
      <c r="MGY148" s="22"/>
      <c r="MGZ148" s="22"/>
      <c r="MHA148" s="22"/>
      <c r="MHB148" s="22"/>
      <c r="MHC148" s="22"/>
      <c r="MHD148" s="22"/>
      <c r="MHE148" s="22"/>
      <c r="MHF148" s="22"/>
      <c r="MHG148" s="22"/>
      <c r="MHH148" s="22"/>
      <c r="MHI148" s="22"/>
      <c r="MHJ148" s="22"/>
      <c r="MHK148" s="22"/>
      <c r="MHL148" s="22"/>
      <c r="MHM148" s="22"/>
      <c r="MHN148" s="22"/>
      <c r="MHO148" s="22"/>
      <c r="MHP148" s="22"/>
      <c r="MHQ148" s="22"/>
      <c r="MHR148" s="22"/>
      <c r="MHS148" s="22"/>
      <c r="MHT148" s="22"/>
      <c r="MHU148" s="22"/>
      <c r="MHV148" s="22"/>
      <c r="MHW148" s="22"/>
      <c r="MHX148" s="22"/>
      <c r="MHY148" s="22"/>
      <c r="MHZ148" s="22"/>
      <c r="MIA148" s="22"/>
      <c r="MIB148" s="22"/>
      <c r="MIC148" s="22"/>
      <c r="MID148" s="22"/>
      <c r="MIE148" s="22"/>
      <c r="MIF148" s="22"/>
      <c r="MIG148" s="22"/>
      <c r="MIH148" s="22"/>
      <c r="MII148" s="22"/>
      <c r="MIJ148" s="22"/>
      <c r="MIK148" s="22"/>
      <c r="MIL148" s="22"/>
      <c r="MIM148" s="22"/>
      <c r="MIN148" s="22"/>
      <c r="MIO148" s="22"/>
      <c r="MIP148" s="22"/>
      <c r="MIQ148" s="22"/>
      <c r="MIR148" s="22"/>
      <c r="MIS148" s="22"/>
      <c r="MIT148" s="22"/>
      <c r="MIU148" s="22"/>
      <c r="MIV148" s="22"/>
      <c r="MIW148" s="22"/>
      <c r="MIX148" s="22"/>
      <c r="MIY148" s="22"/>
      <c r="MIZ148" s="22"/>
      <c r="MJA148" s="22"/>
      <c r="MJB148" s="22"/>
      <c r="MJC148" s="22"/>
      <c r="MJD148" s="22"/>
      <c r="MJE148" s="22"/>
      <c r="MJF148" s="22"/>
      <c r="MJG148" s="22"/>
      <c r="MJH148" s="22"/>
      <c r="MJI148" s="22"/>
      <c r="MJJ148" s="22"/>
      <c r="MJK148" s="22"/>
      <c r="MJL148" s="22"/>
      <c r="MJM148" s="22"/>
      <c r="MJN148" s="22"/>
      <c r="MJO148" s="22"/>
      <c r="MJP148" s="22"/>
      <c r="MJQ148" s="22"/>
      <c r="MJR148" s="22"/>
      <c r="MJS148" s="22"/>
      <c r="MJT148" s="22"/>
      <c r="MJU148" s="22"/>
      <c r="MJV148" s="22"/>
      <c r="MJW148" s="22"/>
      <c r="MJX148" s="22"/>
      <c r="MJY148" s="22"/>
      <c r="MJZ148" s="22"/>
      <c r="MKA148" s="22"/>
      <c r="MKB148" s="22"/>
      <c r="MKC148" s="22"/>
      <c r="MKD148" s="22"/>
      <c r="MKE148" s="22"/>
      <c r="MKF148" s="22"/>
      <c r="MKG148" s="22"/>
      <c r="MKH148" s="22"/>
      <c r="MKI148" s="22"/>
      <c r="MKJ148" s="22"/>
      <c r="MKK148" s="22"/>
      <c r="MKL148" s="22"/>
      <c r="MKM148" s="22"/>
      <c r="MKN148" s="22"/>
      <c r="MKO148" s="22"/>
      <c r="MKP148" s="22"/>
      <c r="MKQ148" s="22"/>
      <c r="MKR148" s="22"/>
      <c r="MKS148" s="22"/>
      <c r="MKT148" s="22"/>
      <c r="MKU148" s="22"/>
      <c r="MKV148" s="22"/>
      <c r="MKW148" s="22"/>
      <c r="MKX148" s="22"/>
      <c r="MKY148" s="22"/>
      <c r="MKZ148" s="22"/>
      <c r="MLA148" s="22"/>
      <c r="MLB148" s="22"/>
      <c r="MLC148" s="22"/>
      <c r="MLD148" s="22"/>
      <c r="MLE148" s="22"/>
      <c r="MLF148" s="22"/>
      <c r="MLG148" s="22"/>
      <c r="MLH148" s="22"/>
      <c r="MLI148" s="22"/>
      <c r="MLJ148" s="22"/>
      <c r="MLK148" s="22"/>
      <c r="MLL148" s="22"/>
      <c r="MLM148" s="22"/>
      <c r="MLN148" s="22"/>
      <c r="MLO148" s="22"/>
      <c r="MLP148" s="22"/>
      <c r="MLQ148" s="22"/>
      <c r="MLR148" s="22"/>
      <c r="MLS148" s="22"/>
      <c r="MLT148" s="22"/>
      <c r="MLU148" s="22"/>
      <c r="MLV148" s="22"/>
      <c r="MLW148" s="22"/>
      <c r="MLX148" s="22"/>
      <c r="MLY148" s="22"/>
      <c r="MLZ148" s="22"/>
      <c r="MMA148" s="22"/>
      <c r="MMB148" s="22"/>
      <c r="MMC148" s="22"/>
      <c r="MMD148" s="22"/>
      <c r="MME148" s="22"/>
      <c r="MMF148" s="22"/>
      <c r="MMG148" s="22"/>
      <c r="MMH148" s="22"/>
      <c r="MMI148" s="22"/>
      <c r="MMJ148" s="22"/>
      <c r="MMK148" s="22"/>
      <c r="MML148" s="22"/>
      <c r="MMM148" s="22"/>
      <c r="MMN148" s="22"/>
      <c r="MMO148" s="22"/>
      <c r="MMP148" s="22"/>
      <c r="MMQ148" s="22"/>
      <c r="MMR148" s="22"/>
      <c r="MMS148" s="22"/>
      <c r="MMT148" s="22"/>
      <c r="MMU148" s="22"/>
      <c r="MMV148" s="22"/>
      <c r="MMW148" s="22"/>
      <c r="MMX148" s="22"/>
      <c r="MMY148" s="22"/>
      <c r="MMZ148" s="22"/>
      <c r="MNA148" s="22"/>
      <c r="MNB148" s="22"/>
      <c r="MNC148" s="22"/>
      <c r="MND148" s="22"/>
      <c r="MNE148" s="22"/>
      <c r="MNF148" s="22"/>
      <c r="MNG148" s="22"/>
      <c r="MNH148" s="22"/>
      <c r="MNI148" s="22"/>
      <c r="MNJ148" s="22"/>
      <c r="MNK148" s="22"/>
      <c r="MNL148" s="22"/>
      <c r="MNM148" s="22"/>
      <c r="MNN148" s="22"/>
      <c r="MNO148" s="22"/>
      <c r="MNP148" s="22"/>
      <c r="MNQ148" s="22"/>
      <c r="MNR148" s="22"/>
      <c r="MNS148" s="22"/>
      <c r="MNT148" s="22"/>
      <c r="MNU148" s="22"/>
      <c r="MNV148" s="22"/>
      <c r="MNW148" s="22"/>
      <c r="MNX148" s="22"/>
      <c r="MNY148" s="22"/>
      <c r="MNZ148" s="22"/>
      <c r="MOA148" s="22"/>
      <c r="MOB148" s="22"/>
      <c r="MOC148" s="22"/>
      <c r="MOD148" s="22"/>
      <c r="MOE148" s="22"/>
      <c r="MOF148" s="22"/>
      <c r="MOG148" s="22"/>
      <c r="MOH148" s="22"/>
      <c r="MOI148" s="22"/>
      <c r="MOJ148" s="22"/>
      <c r="MOK148" s="22"/>
      <c r="MOL148" s="22"/>
      <c r="MOM148" s="22"/>
      <c r="MON148" s="22"/>
      <c r="MOO148" s="22"/>
      <c r="MOP148" s="22"/>
      <c r="MOQ148" s="22"/>
      <c r="MOR148" s="22"/>
      <c r="MOS148" s="22"/>
      <c r="MOT148" s="22"/>
      <c r="MOU148" s="22"/>
      <c r="MOV148" s="22"/>
      <c r="MOW148" s="22"/>
      <c r="MOX148" s="22"/>
      <c r="MOY148" s="22"/>
      <c r="MOZ148" s="22"/>
      <c r="MPA148" s="22"/>
      <c r="MPB148" s="22"/>
      <c r="MPC148" s="22"/>
      <c r="MPD148" s="22"/>
      <c r="MPE148" s="22"/>
      <c r="MPF148" s="22"/>
      <c r="MPG148" s="22"/>
      <c r="MPH148" s="22"/>
      <c r="MPI148" s="22"/>
      <c r="MPJ148" s="22"/>
      <c r="MPK148" s="22"/>
      <c r="MPL148" s="22"/>
      <c r="MPM148" s="22"/>
      <c r="MPN148" s="22"/>
      <c r="MPO148" s="22"/>
      <c r="MPP148" s="22"/>
      <c r="MPQ148" s="22"/>
      <c r="MPR148" s="22"/>
      <c r="MPS148" s="22"/>
      <c r="MPT148" s="22"/>
      <c r="MPU148" s="22"/>
      <c r="MPV148" s="22"/>
      <c r="MPW148" s="22"/>
      <c r="MPX148" s="22"/>
      <c r="MPY148" s="22"/>
      <c r="MPZ148" s="22"/>
      <c r="MQA148" s="22"/>
      <c r="MQB148" s="22"/>
      <c r="MQC148" s="22"/>
      <c r="MQD148" s="22"/>
      <c r="MQE148" s="22"/>
      <c r="MQF148" s="22"/>
      <c r="MQG148" s="22"/>
      <c r="MQH148" s="22"/>
      <c r="MQI148" s="22"/>
      <c r="MQJ148" s="22"/>
      <c r="MQK148" s="22"/>
      <c r="MQL148" s="22"/>
      <c r="MQM148" s="22"/>
      <c r="MQN148" s="22"/>
      <c r="MQO148" s="22"/>
      <c r="MQP148" s="22"/>
      <c r="MQQ148" s="22"/>
      <c r="MQR148" s="22"/>
      <c r="MQS148" s="22"/>
      <c r="MQT148" s="22"/>
      <c r="MQU148" s="22"/>
      <c r="MQV148" s="22"/>
      <c r="MQW148" s="22"/>
      <c r="MQX148" s="22"/>
      <c r="MQY148" s="22"/>
      <c r="MQZ148" s="22"/>
      <c r="MRA148" s="22"/>
      <c r="MRB148" s="22"/>
      <c r="MRC148" s="22"/>
      <c r="MRD148" s="22"/>
      <c r="MRE148" s="22"/>
      <c r="MRF148" s="22"/>
      <c r="MRG148" s="22"/>
      <c r="MRH148" s="22"/>
      <c r="MRI148" s="22"/>
      <c r="MRJ148" s="22"/>
      <c r="MRK148" s="22"/>
      <c r="MRL148" s="22"/>
      <c r="MRM148" s="22"/>
      <c r="MRN148" s="22"/>
      <c r="MRO148" s="22"/>
      <c r="MRP148" s="22"/>
      <c r="MRQ148" s="22"/>
      <c r="MRR148" s="22"/>
      <c r="MRS148" s="22"/>
      <c r="MRT148" s="22"/>
      <c r="MRU148" s="22"/>
      <c r="MRV148" s="22"/>
      <c r="MRW148" s="22"/>
      <c r="MRX148" s="22"/>
      <c r="MRY148" s="22"/>
      <c r="MRZ148" s="22"/>
      <c r="MSA148" s="22"/>
      <c r="MSB148" s="22"/>
      <c r="MSC148" s="22"/>
      <c r="MSD148" s="22"/>
      <c r="MSE148" s="22"/>
      <c r="MSF148" s="22"/>
      <c r="MSG148" s="22"/>
      <c r="MSH148" s="22"/>
      <c r="MSI148" s="22"/>
      <c r="MSJ148" s="22"/>
      <c r="MSK148" s="22"/>
      <c r="MSL148" s="22"/>
      <c r="MSM148" s="22"/>
      <c r="MSN148" s="22"/>
      <c r="MSO148" s="22"/>
      <c r="MSP148" s="22"/>
      <c r="MSQ148" s="22"/>
      <c r="MSR148" s="22"/>
      <c r="MSS148" s="22"/>
      <c r="MST148" s="22"/>
      <c r="MSU148" s="22"/>
      <c r="MSV148" s="22"/>
      <c r="MSW148" s="22"/>
      <c r="MSX148" s="22"/>
      <c r="MSY148" s="22"/>
      <c r="MSZ148" s="22"/>
      <c r="MTA148" s="22"/>
      <c r="MTB148" s="22"/>
      <c r="MTC148" s="22"/>
      <c r="MTD148" s="22"/>
      <c r="MTE148" s="22"/>
      <c r="MTF148" s="22"/>
      <c r="MTG148" s="22"/>
      <c r="MTH148" s="22"/>
      <c r="MTI148" s="22"/>
      <c r="MTJ148" s="22"/>
      <c r="MTK148" s="22"/>
      <c r="MTL148" s="22"/>
      <c r="MTM148" s="22"/>
      <c r="MTN148" s="22"/>
      <c r="MTO148" s="22"/>
      <c r="MTP148" s="22"/>
      <c r="MTQ148" s="22"/>
      <c r="MTR148" s="22"/>
      <c r="MTS148" s="22"/>
      <c r="MTT148" s="22"/>
      <c r="MTU148" s="22"/>
      <c r="MTV148" s="22"/>
      <c r="MTW148" s="22"/>
      <c r="MTX148" s="22"/>
      <c r="MTY148" s="22"/>
      <c r="MTZ148" s="22"/>
      <c r="MUA148" s="22"/>
      <c r="MUB148" s="22"/>
      <c r="MUC148" s="22"/>
      <c r="MUD148" s="22"/>
      <c r="MUE148" s="22"/>
      <c r="MUF148" s="22"/>
      <c r="MUG148" s="22"/>
      <c r="MUH148" s="22"/>
      <c r="MUI148" s="22"/>
      <c r="MUJ148" s="22"/>
      <c r="MUK148" s="22"/>
      <c r="MUL148" s="22"/>
      <c r="MUM148" s="22"/>
      <c r="MUN148" s="22"/>
      <c r="MUO148" s="22"/>
      <c r="MUP148" s="22"/>
      <c r="MUQ148" s="22"/>
      <c r="MUR148" s="22"/>
      <c r="MUS148" s="22"/>
      <c r="MUT148" s="22"/>
      <c r="MUU148" s="22"/>
      <c r="MUV148" s="22"/>
      <c r="MUW148" s="22"/>
      <c r="MUX148" s="22"/>
      <c r="MUY148" s="22"/>
      <c r="MUZ148" s="22"/>
      <c r="MVA148" s="22"/>
      <c r="MVB148" s="22"/>
      <c r="MVC148" s="22"/>
      <c r="MVD148" s="22"/>
      <c r="MVE148" s="22"/>
      <c r="MVF148" s="22"/>
      <c r="MVG148" s="22"/>
      <c r="MVH148" s="22"/>
      <c r="MVI148" s="22"/>
      <c r="MVJ148" s="22"/>
      <c r="MVK148" s="22"/>
      <c r="MVL148" s="22"/>
      <c r="MVM148" s="22"/>
      <c r="MVN148" s="22"/>
      <c r="MVO148" s="22"/>
      <c r="MVP148" s="22"/>
      <c r="MVQ148" s="22"/>
      <c r="MVR148" s="22"/>
      <c r="MVS148" s="22"/>
      <c r="MVT148" s="22"/>
      <c r="MVU148" s="22"/>
      <c r="MVV148" s="22"/>
      <c r="MVW148" s="22"/>
      <c r="MVX148" s="22"/>
      <c r="MVY148" s="22"/>
      <c r="MVZ148" s="22"/>
      <c r="MWA148" s="22"/>
      <c r="MWB148" s="22"/>
      <c r="MWC148" s="22"/>
      <c r="MWD148" s="22"/>
      <c r="MWE148" s="22"/>
      <c r="MWF148" s="22"/>
      <c r="MWG148" s="22"/>
      <c r="MWH148" s="22"/>
      <c r="MWI148" s="22"/>
      <c r="MWJ148" s="22"/>
      <c r="MWK148" s="22"/>
      <c r="MWL148" s="22"/>
      <c r="MWM148" s="22"/>
      <c r="MWN148" s="22"/>
      <c r="MWO148" s="22"/>
      <c r="MWP148" s="22"/>
      <c r="MWQ148" s="22"/>
      <c r="MWR148" s="22"/>
      <c r="MWS148" s="22"/>
      <c r="MWT148" s="22"/>
      <c r="MWU148" s="22"/>
      <c r="MWV148" s="22"/>
      <c r="MWW148" s="22"/>
      <c r="MWX148" s="22"/>
      <c r="MWY148" s="22"/>
      <c r="MWZ148" s="22"/>
      <c r="MXA148" s="22"/>
      <c r="MXB148" s="22"/>
      <c r="MXC148" s="22"/>
      <c r="MXD148" s="22"/>
      <c r="MXE148" s="22"/>
      <c r="MXF148" s="22"/>
      <c r="MXG148" s="22"/>
      <c r="MXH148" s="22"/>
      <c r="MXI148" s="22"/>
      <c r="MXJ148" s="22"/>
      <c r="MXK148" s="22"/>
      <c r="MXL148" s="22"/>
      <c r="MXM148" s="22"/>
      <c r="MXN148" s="22"/>
      <c r="MXO148" s="22"/>
      <c r="MXP148" s="22"/>
      <c r="MXQ148" s="22"/>
      <c r="MXR148" s="22"/>
      <c r="MXS148" s="22"/>
      <c r="MXT148" s="22"/>
      <c r="MXU148" s="22"/>
      <c r="MXV148" s="22"/>
      <c r="MXW148" s="22"/>
      <c r="MXX148" s="22"/>
      <c r="MXY148" s="22"/>
      <c r="MXZ148" s="22"/>
      <c r="MYA148" s="22"/>
      <c r="MYB148" s="22"/>
      <c r="MYC148" s="22"/>
      <c r="MYD148" s="22"/>
      <c r="MYE148" s="22"/>
      <c r="MYF148" s="22"/>
      <c r="MYG148" s="22"/>
      <c r="MYH148" s="22"/>
      <c r="MYI148" s="22"/>
      <c r="MYJ148" s="22"/>
      <c r="MYK148" s="22"/>
      <c r="MYL148" s="22"/>
      <c r="MYM148" s="22"/>
      <c r="MYN148" s="22"/>
      <c r="MYO148" s="22"/>
      <c r="MYP148" s="22"/>
      <c r="MYQ148" s="22"/>
      <c r="MYR148" s="22"/>
      <c r="MYS148" s="22"/>
      <c r="MYT148" s="22"/>
      <c r="MYU148" s="22"/>
      <c r="MYV148" s="22"/>
      <c r="MYW148" s="22"/>
      <c r="MYX148" s="22"/>
      <c r="MYY148" s="22"/>
      <c r="MYZ148" s="22"/>
      <c r="MZA148" s="22"/>
      <c r="MZB148" s="22"/>
      <c r="MZC148" s="22"/>
      <c r="MZD148" s="22"/>
      <c r="MZE148" s="22"/>
      <c r="MZF148" s="22"/>
      <c r="MZG148" s="22"/>
      <c r="MZH148" s="22"/>
      <c r="MZI148" s="22"/>
      <c r="MZJ148" s="22"/>
      <c r="MZK148" s="22"/>
      <c r="MZL148" s="22"/>
      <c r="MZM148" s="22"/>
      <c r="MZN148" s="22"/>
      <c r="MZO148" s="22"/>
      <c r="MZP148" s="22"/>
      <c r="MZQ148" s="22"/>
      <c r="MZR148" s="22"/>
      <c r="MZS148" s="22"/>
      <c r="MZT148" s="22"/>
      <c r="MZU148" s="22"/>
      <c r="MZV148" s="22"/>
      <c r="MZW148" s="22"/>
      <c r="MZX148" s="22"/>
      <c r="MZY148" s="22"/>
      <c r="MZZ148" s="22"/>
      <c r="NAA148" s="22"/>
      <c r="NAB148" s="22"/>
      <c r="NAC148" s="22"/>
      <c r="NAD148" s="22"/>
      <c r="NAE148" s="22"/>
      <c r="NAF148" s="22"/>
      <c r="NAG148" s="22"/>
      <c r="NAH148" s="22"/>
      <c r="NAI148" s="22"/>
      <c r="NAJ148" s="22"/>
      <c r="NAK148" s="22"/>
      <c r="NAL148" s="22"/>
      <c r="NAM148" s="22"/>
      <c r="NAN148" s="22"/>
      <c r="NAO148" s="22"/>
      <c r="NAP148" s="22"/>
      <c r="NAQ148" s="22"/>
      <c r="NAR148" s="22"/>
      <c r="NAS148" s="22"/>
      <c r="NAT148" s="22"/>
      <c r="NAU148" s="22"/>
      <c r="NAV148" s="22"/>
      <c r="NAW148" s="22"/>
      <c r="NAX148" s="22"/>
      <c r="NAY148" s="22"/>
      <c r="NAZ148" s="22"/>
      <c r="NBA148" s="22"/>
      <c r="NBB148" s="22"/>
      <c r="NBC148" s="22"/>
      <c r="NBD148" s="22"/>
      <c r="NBE148" s="22"/>
      <c r="NBF148" s="22"/>
      <c r="NBG148" s="22"/>
      <c r="NBH148" s="22"/>
      <c r="NBI148" s="22"/>
      <c r="NBJ148" s="22"/>
      <c r="NBK148" s="22"/>
      <c r="NBL148" s="22"/>
      <c r="NBM148" s="22"/>
      <c r="NBN148" s="22"/>
      <c r="NBO148" s="22"/>
      <c r="NBP148" s="22"/>
      <c r="NBQ148" s="22"/>
      <c r="NBR148" s="22"/>
      <c r="NBS148" s="22"/>
      <c r="NBT148" s="22"/>
      <c r="NBU148" s="22"/>
      <c r="NBV148" s="22"/>
      <c r="NBW148" s="22"/>
      <c r="NBX148" s="22"/>
      <c r="NBY148" s="22"/>
      <c r="NBZ148" s="22"/>
      <c r="NCA148" s="22"/>
      <c r="NCB148" s="22"/>
      <c r="NCC148" s="22"/>
      <c r="NCD148" s="22"/>
      <c r="NCE148" s="22"/>
      <c r="NCF148" s="22"/>
      <c r="NCG148" s="22"/>
      <c r="NCH148" s="22"/>
      <c r="NCI148" s="22"/>
      <c r="NCJ148" s="22"/>
      <c r="NCK148" s="22"/>
      <c r="NCL148" s="22"/>
      <c r="NCM148" s="22"/>
      <c r="NCN148" s="22"/>
      <c r="NCO148" s="22"/>
      <c r="NCP148" s="22"/>
      <c r="NCQ148" s="22"/>
      <c r="NCR148" s="22"/>
      <c r="NCS148" s="22"/>
      <c r="NCT148" s="22"/>
      <c r="NCU148" s="22"/>
      <c r="NCV148" s="22"/>
      <c r="NCW148" s="22"/>
      <c r="NCX148" s="22"/>
      <c r="NCY148" s="22"/>
      <c r="NCZ148" s="22"/>
      <c r="NDA148" s="22"/>
      <c r="NDB148" s="22"/>
      <c r="NDC148" s="22"/>
      <c r="NDD148" s="22"/>
      <c r="NDE148" s="22"/>
      <c r="NDF148" s="22"/>
      <c r="NDG148" s="22"/>
      <c r="NDH148" s="22"/>
      <c r="NDI148" s="22"/>
      <c r="NDJ148" s="22"/>
      <c r="NDK148" s="22"/>
      <c r="NDL148" s="22"/>
      <c r="NDM148" s="22"/>
      <c r="NDN148" s="22"/>
      <c r="NDO148" s="22"/>
      <c r="NDP148" s="22"/>
      <c r="NDQ148" s="22"/>
      <c r="NDR148" s="22"/>
      <c r="NDS148" s="22"/>
      <c r="NDT148" s="22"/>
      <c r="NDU148" s="22"/>
      <c r="NDV148" s="22"/>
      <c r="NDW148" s="22"/>
      <c r="NDX148" s="22"/>
      <c r="NDY148" s="22"/>
      <c r="NDZ148" s="22"/>
      <c r="NEA148" s="22"/>
      <c r="NEB148" s="22"/>
      <c r="NEC148" s="22"/>
      <c r="NED148" s="22"/>
      <c r="NEE148" s="22"/>
      <c r="NEF148" s="22"/>
      <c r="NEG148" s="22"/>
      <c r="NEH148" s="22"/>
      <c r="NEI148" s="22"/>
      <c r="NEJ148" s="22"/>
      <c r="NEK148" s="22"/>
      <c r="NEL148" s="22"/>
      <c r="NEM148" s="22"/>
      <c r="NEN148" s="22"/>
      <c r="NEO148" s="22"/>
      <c r="NEP148" s="22"/>
      <c r="NEQ148" s="22"/>
      <c r="NER148" s="22"/>
      <c r="NES148" s="22"/>
      <c r="NET148" s="22"/>
      <c r="NEU148" s="22"/>
      <c r="NEV148" s="22"/>
      <c r="NEW148" s="22"/>
      <c r="NEX148" s="22"/>
      <c r="NEY148" s="22"/>
      <c r="NEZ148" s="22"/>
      <c r="NFA148" s="22"/>
      <c r="NFB148" s="22"/>
      <c r="NFC148" s="22"/>
      <c r="NFD148" s="22"/>
      <c r="NFE148" s="22"/>
      <c r="NFF148" s="22"/>
      <c r="NFG148" s="22"/>
      <c r="NFH148" s="22"/>
      <c r="NFI148" s="22"/>
      <c r="NFJ148" s="22"/>
      <c r="NFK148" s="22"/>
      <c r="NFL148" s="22"/>
      <c r="NFM148" s="22"/>
      <c r="NFN148" s="22"/>
      <c r="NFO148" s="22"/>
      <c r="NFP148" s="22"/>
      <c r="NFQ148" s="22"/>
      <c r="NFR148" s="22"/>
      <c r="NFS148" s="22"/>
      <c r="NFT148" s="22"/>
      <c r="NFU148" s="22"/>
      <c r="NFV148" s="22"/>
      <c r="NFW148" s="22"/>
      <c r="NFX148" s="22"/>
      <c r="NFY148" s="22"/>
      <c r="NFZ148" s="22"/>
      <c r="NGA148" s="22"/>
      <c r="NGB148" s="22"/>
      <c r="NGC148" s="22"/>
      <c r="NGD148" s="22"/>
      <c r="NGE148" s="22"/>
      <c r="NGF148" s="22"/>
      <c r="NGG148" s="22"/>
      <c r="NGH148" s="22"/>
      <c r="NGI148" s="22"/>
      <c r="NGJ148" s="22"/>
      <c r="NGK148" s="22"/>
      <c r="NGL148" s="22"/>
      <c r="NGM148" s="22"/>
      <c r="NGN148" s="22"/>
      <c r="NGO148" s="22"/>
      <c r="NGP148" s="22"/>
      <c r="NGQ148" s="22"/>
      <c r="NGR148" s="22"/>
      <c r="NGS148" s="22"/>
      <c r="NGT148" s="22"/>
      <c r="NGU148" s="22"/>
      <c r="NGV148" s="22"/>
      <c r="NGW148" s="22"/>
      <c r="NGX148" s="22"/>
      <c r="NGY148" s="22"/>
      <c r="NGZ148" s="22"/>
      <c r="NHA148" s="22"/>
      <c r="NHB148" s="22"/>
      <c r="NHC148" s="22"/>
      <c r="NHD148" s="22"/>
      <c r="NHE148" s="22"/>
      <c r="NHF148" s="22"/>
      <c r="NHG148" s="22"/>
      <c r="NHH148" s="22"/>
      <c r="NHI148" s="22"/>
      <c r="NHJ148" s="22"/>
      <c r="NHK148" s="22"/>
      <c r="NHL148" s="22"/>
      <c r="NHM148" s="22"/>
      <c r="NHN148" s="22"/>
      <c r="NHO148" s="22"/>
      <c r="NHP148" s="22"/>
      <c r="NHQ148" s="22"/>
      <c r="NHR148" s="22"/>
      <c r="NHS148" s="22"/>
      <c r="NHT148" s="22"/>
      <c r="NHU148" s="22"/>
      <c r="NHV148" s="22"/>
      <c r="NHW148" s="22"/>
      <c r="NHX148" s="22"/>
      <c r="NHY148" s="22"/>
      <c r="NHZ148" s="22"/>
      <c r="NIA148" s="22"/>
      <c r="NIB148" s="22"/>
      <c r="NIC148" s="22"/>
      <c r="NID148" s="22"/>
      <c r="NIE148" s="22"/>
      <c r="NIF148" s="22"/>
      <c r="NIG148" s="22"/>
      <c r="NIH148" s="22"/>
      <c r="NII148" s="22"/>
      <c r="NIJ148" s="22"/>
      <c r="NIK148" s="22"/>
      <c r="NIL148" s="22"/>
      <c r="NIM148" s="22"/>
      <c r="NIN148" s="22"/>
      <c r="NIO148" s="22"/>
      <c r="NIP148" s="22"/>
      <c r="NIQ148" s="22"/>
      <c r="NIR148" s="22"/>
      <c r="NIS148" s="22"/>
      <c r="NIT148" s="22"/>
      <c r="NIU148" s="22"/>
      <c r="NIV148" s="22"/>
      <c r="NIW148" s="22"/>
      <c r="NIX148" s="22"/>
      <c r="NIY148" s="22"/>
      <c r="NIZ148" s="22"/>
      <c r="NJA148" s="22"/>
      <c r="NJB148" s="22"/>
      <c r="NJC148" s="22"/>
      <c r="NJD148" s="22"/>
      <c r="NJE148" s="22"/>
      <c r="NJF148" s="22"/>
      <c r="NJG148" s="22"/>
      <c r="NJH148" s="22"/>
      <c r="NJI148" s="22"/>
      <c r="NJJ148" s="22"/>
      <c r="NJK148" s="22"/>
      <c r="NJL148" s="22"/>
      <c r="NJM148" s="22"/>
      <c r="NJN148" s="22"/>
      <c r="NJO148" s="22"/>
      <c r="NJP148" s="22"/>
      <c r="NJQ148" s="22"/>
      <c r="NJR148" s="22"/>
      <c r="NJS148" s="22"/>
      <c r="NJT148" s="22"/>
      <c r="NJU148" s="22"/>
      <c r="NJV148" s="22"/>
      <c r="NJW148" s="22"/>
      <c r="NJX148" s="22"/>
      <c r="NJY148" s="22"/>
      <c r="NJZ148" s="22"/>
      <c r="NKA148" s="22"/>
      <c r="NKB148" s="22"/>
      <c r="NKC148" s="22"/>
      <c r="NKD148" s="22"/>
      <c r="NKE148" s="22"/>
      <c r="NKF148" s="22"/>
      <c r="NKG148" s="22"/>
      <c r="NKH148" s="22"/>
      <c r="NKI148" s="22"/>
      <c r="NKJ148" s="22"/>
      <c r="NKK148" s="22"/>
      <c r="NKL148" s="22"/>
      <c r="NKM148" s="22"/>
      <c r="NKN148" s="22"/>
      <c r="NKO148" s="22"/>
      <c r="NKP148" s="22"/>
      <c r="NKQ148" s="22"/>
      <c r="NKR148" s="22"/>
      <c r="NKS148" s="22"/>
      <c r="NKT148" s="22"/>
      <c r="NKU148" s="22"/>
      <c r="NKV148" s="22"/>
      <c r="NKW148" s="22"/>
      <c r="NKX148" s="22"/>
      <c r="NKY148" s="22"/>
      <c r="NKZ148" s="22"/>
      <c r="NLA148" s="22"/>
      <c r="NLB148" s="22"/>
      <c r="NLC148" s="22"/>
      <c r="NLD148" s="22"/>
      <c r="NLE148" s="22"/>
      <c r="NLF148" s="22"/>
      <c r="NLG148" s="22"/>
      <c r="NLH148" s="22"/>
      <c r="NLI148" s="22"/>
      <c r="NLJ148" s="22"/>
      <c r="NLK148" s="22"/>
      <c r="NLL148" s="22"/>
      <c r="NLM148" s="22"/>
      <c r="NLN148" s="22"/>
      <c r="NLO148" s="22"/>
      <c r="NLP148" s="22"/>
      <c r="NLQ148" s="22"/>
      <c r="NLR148" s="22"/>
      <c r="NLS148" s="22"/>
      <c r="NLT148" s="22"/>
      <c r="NLU148" s="22"/>
      <c r="NLV148" s="22"/>
      <c r="NLW148" s="22"/>
      <c r="NLX148" s="22"/>
      <c r="NLY148" s="22"/>
      <c r="NLZ148" s="22"/>
      <c r="NMA148" s="22"/>
      <c r="NMB148" s="22"/>
      <c r="NMC148" s="22"/>
      <c r="NMD148" s="22"/>
      <c r="NME148" s="22"/>
      <c r="NMF148" s="22"/>
      <c r="NMG148" s="22"/>
      <c r="NMH148" s="22"/>
      <c r="NMI148" s="22"/>
      <c r="NMJ148" s="22"/>
      <c r="NMK148" s="22"/>
      <c r="NML148" s="22"/>
      <c r="NMM148" s="22"/>
      <c r="NMN148" s="22"/>
      <c r="NMO148" s="22"/>
      <c r="NMP148" s="22"/>
      <c r="NMQ148" s="22"/>
      <c r="NMR148" s="22"/>
      <c r="NMS148" s="22"/>
      <c r="NMT148" s="22"/>
      <c r="NMU148" s="22"/>
      <c r="NMV148" s="22"/>
      <c r="NMW148" s="22"/>
      <c r="NMX148" s="22"/>
      <c r="NMY148" s="22"/>
      <c r="NMZ148" s="22"/>
      <c r="NNA148" s="22"/>
      <c r="NNB148" s="22"/>
      <c r="NNC148" s="22"/>
      <c r="NND148" s="22"/>
      <c r="NNE148" s="22"/>
      <c r="NNF148" s="22"/>
      <c r="NNG148" s="22"/>
      <c r="NNH148" s="22"/>
      <c r="NNI148" s="22"/>
      <c r="NNJ148" s="22"/>
      <c r="NNK148" s="22"/>
      <c r="NNL148" s="22"/>
      <c r="NNM148" s="22"/>
      <c r="NNN148" s="22"/>
      <c r="NNO148" s="22"/>
      <c r="NNP148" s="22"/>
      <c r="NNQ148" s="22"/>
      <c r="NNR148" s="22"/>
      <c r="NNS148" s="22"/>
      <c r="NNT148" s="22"/>
      <c r="NNU148" s="22"/>
      <c r="NNV148" s="22"/>
      <c r="NNW148" s="22"/>
      <c r="NNX148" s="22"/>
      <c r="NNY148" s="22"/>
      <c r="NNZ148" s="22"/>
      <c r="NOA148" s="22"/>
      <c r="NOB148" s="22"/>
      <c r="NOC148" s="22"/>
      <c r="NOD148" s="22"/>
      <c r="NOE148" s="22"/>
      <c r="NOF148" s="22"/>
      <c r="NOG148" s="22"/>
      <c r="NOH148" s="22"/>
      <c r="NOI148" s="22"/>
      <c r="NOJ148" s="22"/>
      <c r="NOK148" s="22"/>
      <c r="NOL148" s="22"/>
      <c r="NOM148" s="22"/>
      <c r="NON148" s="22"/>
      <c r="NOO148" s="22"/>
      <c r="NOP148" s="22"/>
      <c r="NOQ148" s="22"/>
      <c r="NOR148" s="22"/>
      <c r="NOS148" s="22"/>
      <c r="NOT148" s="22"/>
      <c r="NOU148" s="22"/>
      <c r="NOV148" s="22"/>
      <c r="NOW148" s="22"/>
      <c r="NOX148" s="22"/>
      <c r="NOY148" s="22"/>
      <c r="NOZ148" s="22"/>
      <c r="NPA148" s="22"/>
      <c r="NPB148" s="22"/>
      <c r="NPC148" s="22"/>
      <c r="NPD148" s="22"/>
      <c r="NPE148" s="22"/>
      <c r="NPF148" s="22"/>
      <c r="NPG148" s="22"/>
      <c r="NPH148" s="22"/>
      <c r="NPI148" s="22"/>
      <c r="NPJ148" s="22"/>
      <c r="NPK148" s="22"/>
      <c r="NPL148" s="22"/>
      <c r="NPM148" s="22"/>
      <c r="NPN148" s="22"/>
      <c r="NPO148" s="22"/>
      <c r="NPP148" s="22"/>
      <c r="NPQ148" s="22"/>
      <c r="NPR148" s="22"/>
      <c r="NPS148" s="22"/>
      <c r="NPT148" s="22"/>
      <c r="NPU148" s="22"/>
      <c r="NPV148" s="22"/>
      <c r="NPW148" s="22"/>
      <c r="NPX148" s="22"/>
      <c r="NPY148" s="22"/>
      <c r="NPZ148" s="22"/>
      <c r="NQA148" s="22"/>
      <c r="NQB148" s="22"/>
      <c r="NQC148" s="22"/>
      <c r="NQD148" s="22"/>
      <c r="NQE148" s="22"/>
      <c r="NQF148" s="22"/>
      <c r="NQG148" s="22"/>
      <c r="NQH148" s="22"/>
      <c r="NQI148" s="22"/>
      <c r="NQJ148" s="22"/>
      <c r="NQK148" s="22"/>
      <c r="NQL148" s="22"/>
      <c r="NQM148" s="22"/>
      <c r="NQN148" s="22"/>
      <c r="NQO148" s="22"/>
      <c r="NQP148" s="22"/>
      <c r="NQQ148" s="22"/>
      <c r="NQR148" s="22"/>
      <c r="NQS148" s="22"/>
      <c r="NQT148" s="22"/>
      <c r="NQU148" s="22"/>
      <c r="NQV148" s="22"/>
      <c r="NQW148" s="22"/>
      <c r="NQX148" s="22"/>
      <c r="NQY148" s="22"/>
      <c r="NQZ148" s="22"/>
      <c r="NRA148" s="22"/>
      <c r="NRB148" s="22"/>
      <c r="NRC148" s="22"/>
      <c r="NRD148" s="22"/>
      <c r="NRE148" s="22"/>
      <c r="NRF148" s="22"/>
      <c r="NRG148" s="22"/>
      <c r="NRH148" s="22"/>
      <c r="NRI148" s="22"/>
      <c r="NRJ148" s="22"/>
      <c r="NRK148" s="22"/>
      <c r="NRL148" s="22"/>
      <c r="NRM148" s="22"/>
      <c r="NRN148" s="22"/>
      <c r="NRO148" s="22"/>
      <c r="NRP148" s="22"/>
      <c r="NRQ148" s="22"/>
      <c r="NRR148" s="22"/>
      <c r="NRS148" s="22"/>
      <c r="NRT148" s="22"/>
      <c r="NRU148" s="22"/>
      <c r="NRV148" s="22"/>
      <c r="NRW148" s="22"/>
      <c r="NRX148" s="22"/>
      <c r="NRY148" s="22"/>
      <c r="NRZ148" s="22"/>
      <c r="NSA148" s="22"/>
      <c r="NSB148" s="22"/>
      <c r="NSC148" s="22"/>
      <c r="NSD148" s="22"/>
      <c r="NSE148" s="22"/>
      <c r="NSF148" s="22"/>
      <c r="NSG148" s="22"/>
      <c r="NSH148" s="22"/>
      <c r="NSI148" s="22"/>
      <c r="NSJ148" s="22"/>
      <c r="NSK148" s="22"/>
      <c r="NSL148" s="22"/>
      <c r="NSM148" s="22"/>
      <c r="NSN148" s="22"/>
      <c r="NSO148" s="22"/>
      <c r="NSP148" s="22"/>
      <c r="NSQ148" s="22"/>
      <c r="NSR148" s="22"/>
      <c r="NSS148" s="22"/>
      <c r="NST148" s="22"/>
      <c r="NSU148" s="22"/>
      <c r="NSV148" s="22"/>
      <c r="NSW148" s="22"/>
      <c r="NSX148" s="22"/>
      <c r="NSY148" s="22"/>
      <c r="NSZ148" s="22"/>
      <c r="NTA148" s="22"/>
      <c r="NTB148" s="22"/>
      <c r="NTC148" s="22"/>
      <c r="NTD148" s="22"/>
      <c r="NTE148" s="22"/>
      <c r="NTF148" s="22"/>
      <c r="NTG148" s="22"/>
      <c r="NTH148" s="22"/>
      <c r="NTI148" s="22"/>
      <c r="NTJ148" s="22"/>
      <c r="NTK148" s="22"/>
      <c r="NTL148" s="22"/>
      <c r="NTM148" s="22"/>
      <c r="NTN148" s="22"/>
      <c r="NTO148" s="22"/>
      <c r="NTP148" s="22"/>
      <c r="NTQ148" s="22"/>
      <c r="NTR148" s="22"/>
      <c r="NTS148" s="22"/>
      <c r="NTT148" s="22"/>
      <c r="NTU148" s="22"/>
      <c r="NTV148" s="22"/>
      <c r="NTW148" s="22"/>
      <c r="NTX148" s="22"/>
      <c r="NTY148" s="22"/>
      <c r="NTZ148" s="22"/>
      <c r="NUA148" s="22"/>
      <c r="NUB148" s="22"/>
      <c r="NUC148" s="22"/>
      <c r="NUD148" s="22"/>
      <c r="NUE148" s="22"/>
      <c r="NUF148" s="22"/>
      <c r="NUG148" s="22"/>
      <c r="NUH148" s="22"/>
      <c r="NUI148" s="22"/>
      <c r="NUJ148" s="22"/>
      <c r="NUK148" s="22"/>
      <c r="NUL148" s="22"/>
      <c r="NUM148" s="22"/>
      <c r="NUN148" s="22"/>
      <c r="NUO148" s="22"/>
      <c r="NUP148" s="22"/>
      <c r="NUQ148" s="22"/>
      <c r="NUR148" s="22"/>
      <c r="NUS148" s="22"/>
      <c r="NUT148" s="22"/>
      <c r="NUU148" s="22"/>
      <c r="NUV148" s="22"/>
      <c r="NUW148" s="22"/>
      <c r="NUX148" s="22"/>
      <c r="NUY148" s="22"/>
      <c r="NUZ148" s="22"/>
      <c r="NVA148" s="22"/>
      <c r="NVB148" s="22"/>
      <c r="NVC148" s="22"/>
      <c r="NVD148" s="22"/>
      <c r="NVE148" s="22"/>
      <c r="NVF148" s="22"/>
      <c r="NVG148" s="22"/>
      <c r="NVH148" s="22"/>
      <c r="NVI148" s="22"/>
      <c r="NVJ148" s="22"/>
      <c r="NVK148" s="22"/>
      <c r="NVL148" s="22"/>
      <c r="NVM148" s="22"/>
      <c r="NVN148" s="22"/>
      <c r="NVO148" s="22"/>
      <c r="NVP148" s="22"/>
      <c r="NVQ148" s="22"/>
      <c r="NVR148" s="22"/>
      <c r="NVS148" s="22"/>
      <c r="NVT148" s="22"/>
      <c r="NVU148" s="22"/>
      <c r="NVV148" s="22"/>
      <c r="NVW148" s="22"/>
      <c r="NVX148" s="22"/>
      <c r="NVY148" s="22"/>
      <c r="NVZ148" s="22"/>
      <c r="NWA148" s="22"/>
      <c r="NWB148" s="22"/>
      <c r="NWC148" s="22"/>
      <c r="NWD148" s="22"/>
      <c r="NWE148" s="22"/>
      <c r="NWF148" s="22"/>
      <c r="NWG148" s="22"/>
      <c r="NWH148" s="22"/>
      <c r="NWI148" s="22"/>
      <c r="NWJ148" s="22"/>
      <c r="NWK148" s="22"/>
      <c r="NWL148" s="22"/>
      <c r="NWM148" s="22"/>
      <c r="NWN148" s="22"/>
      <c r="NWO148" s="22"/>
      <c r="NWP148" s="22"/>
      <c r="NWQ148" s="22"/>
      <c r="NWR148" s="22"/>
      <c r="NWS148" s="22"/>
      <c r="NWT148" s="22"/>
      <c r="NWU148" s="22"/>
      <c r="NWV148" s="22"/>
      <c r="NWW148" s="22"/>
      <c r="NWX148" s="22"/>
      <c r="NWY148" s="22"/>
      <c r="NWZ148" s="22"/>
      <c r="NXA148" s="22"/>
      <c r="NXB148" s="22"/>
      <c r="NXC148" s="22"/>
      <c r="NXD148" s="22"/>
      <c r="NXE148" s="22"/>
      <c r="NXF148" s="22"/>
      <c r="NXG148" s="22"/>
      <c r="NXH148" s="22"/>
      <c r="NXI148" s="22"/>
      <c r="NXJ148" s="22"/>
      <c r="NXK148" s="22"/>
      <c r="NXL148" s="22"/>
      <c r="NXM148" s="22"/>
      <c r="NXN148" s="22"/>
      <c r="NXO148" s="22"/>
      <c r="NXP148" s="22"/>
      <c r="NXQ148" s="22"/>
      <c r="NXR148" s="22"/>
      <c r="NXS148" s="22"/>
      <c r="NXT148" s="22"/>
      <c r="NXU148" s="22"/>
      <c r="NXV148" s="22"/>
      <c r="NXW148" s="22"/>
      <c r="NXX148" s="22"/>
      <c r="NXY148" s="22"/>
      <c r="NXZ148" s="22"/>
      <c r="NYA148" s="22"/>
      <c r="NYB148" s="22"/>
      <c r="NYC148" s="22"/>
      <c r="NYD148" s="22"/>
      <c r="NYE148" s="22"/>
      <c r="NYF148" s="22"/>
      <c r="NYG148" s="22"/>
      <c r="NYH148" s="22"/>
      <c r="NYI148" s="22"/>
      <c r="NYJ148" s="22"/>
      <c r="NYK148" s="22"/>
      <c r="NYL148" s="22"/>
      <c r="NYM148" s="22"/>
      <c r="NYN148" s="22"/>
      <c r="NYO148" s="22"/>
      <c r="NYP148" s="22"/>
      <c r="NYQ148" s="22"/>
      <c r="NYR148" s="22"/>
      <c r="NYS148" s="22"/>
      <c r="NYT148" s="22"/>
      <c r="NYU148" s="22"/>
      <c r="NYV148" s="22"/>
      <c r="NYW148" s="22"/>
      <c r="NYX148" s="22"/>
      <c r="NYY148" s="22"/>
      <c r="NYZ148" s="22"/>
      <c r="NZA148" s="22"/>
      <c r="NZB148" s="22"/>
      <c r="NZC148" s="22"/>
      <c r="NZD148" s="22"/>
      <c r="NZE148" s="22"/>
      <c r="NZF148" s="22"/>
      <c r="NZG148" s="22"/>
      <c r="NZH148" s="22"/>
      <c r="NZI148" s="22"/>
      <c r="NZJ148" s="22"/>
      <c r="NZK148" s="22"/>
      <c r="NZL148" s="22"/>
      <c r="NZM148" s="22"/>
      <c r="NZN148" s="22"/>
      <c r="NZO148" s="22"/>
      <c r="NZP148" s="22"/>
      <c r="NZQ148" s="22"/>
      <c r="NZR148" s="22"/>
      <c r="NZS148" s="22"/>
      <c r="NZT148" s="22"/>
      <c r="NZU148" s="22"/>
      <c r="NZV148" s="22"/>
      <c r="NZW148" s="22"/>
      <c r="NZX148" s="22"/>
      <c r="NZY148" s="22"/>
      <c r="NZZ148" s="22"/>
      <c r="OAA148" s="22"/>
      <c r="OAB148" s="22"/>
      <c r="OAC148" s="22"/>
      <c r="OAD148" s="22"/>
      <c r="OAE148" s="22"/>
      <c r="OAF148" s="22"/>
      <c r="OAG148" s="22"/>
      <c r="OAH148" s="22"/>
      <c r="OAI148" s="22"/>
      <c r="OAJ148" s="22"/>
      <c r="OAK148" s="22"/>
      <c r="OAL148" s="22"/>
      <c r="OAM148" s="22"/>
      <c r="OAN148" s="22"/>
      <c r="OAO148" s="22"/>
      <c r="OAP148" s="22"/>
      <c r="OAQ148" s="22"/>
      <c r="OAR148" s="22"/>
      <c r="OAS148" s="22"/>
      <c r="OAT148" s="22"/>
      <c r="OAU148" s="22"/>
      <c r="OAV148" s="22"/>
      <c r="OAW148" s="22"/>
      <c r="OAX148" s="22"/>
      <c r="OAY148" s="22"/>
      <c r="OAZ148" s="22"/>
      <c r="OBA148" s="22"/>
      <c r="OBB148" s="22"/>
      <c r="OBC148" s="22"/>
      <c r="OBD148" s="22"/>
      <c r="OBE148" s="22"/>
      <c r="OBF148" s="22"/>
      <c r="OBG148" s="22"/>
      <c r="OBH148" s="22"/>
      <c r="OBI148" s="22"/>
      <c r="OBJ148" s="22"/>
      <c r="OBK148" s="22"/>
      <c r="OBL148" s="22"/>
      <c r="OBM148" s="22"/>
      <c r="OBN148" s="22"/>
      <c r="OBO148" s="22"/>
      <c r="OBP148" s="22"/>
      <c r="OBQ148" s="22"/>
      <c r="OBR148" s="22"/>
      <c r="OBS148" s="22"/>
      <c r="OBT148" s="22"/>
      <c r="OBU148" s="22"/>
      <c r="OBV148" s="22"/>
      <c r="OBW148" s="22"/>
      <c r="OBX148" s="22"/>
      <c r="OBY148" s="22"/>
      <c r="OBZ148" s="22"/>
      <c r="OCA148" s="22"/>
      <c r="OCB148" s="22"/>
      <c r="OCC148" s="22"/>
      <c r="OCD148" s="22"/>
      <c r="OCE148" s="22"/>
      <c r="OCF148" s="22"/>
      <c r="OCG148" s="22"/>
      <c r="OCH148" s="22"/>
      <c r="OCI148" s="22"/>
      <c r="OCJ148" s="22"/>
      <c r="OCK148" s="22"/>
      <c r="OCL148" s="22"/>
      <c r="OCM148" s="22"/>
      <c r="OCN148" s="22"/>
      <c r="OCO148" s="22"/>
      <c r="OCP148" s="22"/>
      <c r="OCQ148" s="22"/>
      <c r="OCR148" s="22"/>
      <c r="OCS148" s="22"/>
      <c r="OCT148" s="22"/>
      <c r="OCU148" s="22"/>
      <c r="OCV148" s="22"/>
      <c r="OCW148" s="22"/>
      <c r="OCX148" s="22"/>
      <c r="OCY148" s="22"/>
      <c r="OCZ148" s="22"/>
      <c r="ODA148" s="22"/>
      <c r="ODB148" s="22"/>
      <c r="ODC148" s="22"/>
      <c r="ODD148" s="22"/>
      <c r="ODE148" s="22"/>
      <c r="ODF148" s="22"/>
      <c r="ODG148" s="22"/>
      <c r="ODH148" s="22"/>
      <c r="ODI148" s="22"/>
      <c r="ODJ148" s="22"/>
      <c r="ODK148" s="22"/>
      <c r="ODL148" s="22"/>
      <c r="ODM148" s="22"/>
      <c r="ODN148" s="22"/>
      <c r="ODO148" s="22"/>
      <c r="ODP148" s="22"/>
      <c r="ODQ148" s="22"/>
      <c r="ODR148" s="22"/>
      <c r="ODS148" s="22"/>
      <c r="ODT148" s="22"/>
      <c r="ODU148" s="22"/>
      <c r="ODV148" s="22"/>
      <c r="ODW148" s="22"/>
      <c r="ODX148" s="22"/>
      <c r="ODY148" s="22"/>
      <c r="ODZ148" s="22"/>
      <c r="OEA148" s="22"/>
      <c r="OEB148" s="22"/>
      <c r="OEC148" s="22"/>
      <c r="OED148" s="22"/>
      <c r="OEE148" s="22"/>
      <c r="OEF148" s="22"/>
      <c r="OEG148" s="22"/>
      <c r="OEH148" s="22"/>
      <c r="OEI148" s="22"/>
      <c r="OEJ148" s="22"/>
      <c r="OEK148" s="22"/>
      <c r="OEL148" s="22"/>
      <c r="OEM148" s="22"/>
      <c r="OEN148" s="22"/>
      <c r="OEO148" s="22"/>
      <c r="OEP148" s="22"/>
      <c r="OEQ148" s="22"/>
      <c r="OER148" s="22"/>
      <c r="OES148" s="22"/>
      <c r="OET148" s="22"/>
      <c r="OEU148" s="22"/>
      <c r="OEV148" s="22"/>
      <c r="OEW148" s="22"/>
      <c r="OEX148" s="22"/>
      <c r="OEY148" s="22"/>
      <c r="OEZ148" s="22"/>
      <c r="OFA148" s="22"/>
      <c r="OFB148" s="22"/>
      <c r="OFC148" s="22"/>
      <c r="OFD148" s="22"/>
      <c r="OFE148" s="22"/>
      <c r="OFF148" s="22"/>
      <c r="OFG148" s="22"/>
      <c r="OFH148" s="22"/>
      <c r="OFI148" s="22"/>
      <c r="OFJ148" s="22"/>
      <c r="OFK148" s="22"/>
      <c r="OFL148" s="22"/>
      <c r="OFM148" s="22"/>
      <c r="OFN148" s="22"/>
      <c r="OFO148" s="22"/>
      <c r="OFP148" s="22"/>
      <c r="OFQ148" s="22"/>
      <c r="OFR148" s="22"/>
      <c r="OFS148" s="22"/>
      <c r="OFT148" s="22"/>
      <c r="OFU148" s="22"/>
      <c r="OFV148" s="22"/>
      <c r="OFW148" s="22"/>
      <c r="OFX148" s="22"/>
      <c r="OFY148" s="22"/>
      <c r="OFZ148" s="22"/>
      <c r="OGA148" s="22"/>
      <c r="OGB148" s="22"/>
      <c r="OGC148" s="22"/>
      <c r="OGD148" s="22"/>
      <c r="OGE148" s="22"/>
      <c r="OGF148" s="22"/>
      <c r="OGG148" s="22"/>
      <c r="OGH148" s="22"/>
      <c r="OGI148" s="22"/>
      <c r="OGJ148" s="22"/>
      <c r="OGK148" s="22"/>
      <c r="OGL148" s="22"/>
      <c r="OGM148" s="22"/>
      <c r="OGN148" s="22"/>
      <c r="OGO148" s="22"/>
      <c r="OGP148" s="22"/>
      <c r="OGQ148" s="22"/>
      <c r="OGR148" s="22"/>
      <c r="OGS148" s="22"/>
      <c r="OGT148" s="22"/>
      <c r="OGU148" s="22"/>
      <c r="OGV148" s="22"/>
      <c r="OGW148" s="22"/>
      <c r="OGX148" s="22"/>
      <c r="OGY148" s="22"/>
      <c r="OGZ148" s="22"/>
      <c r="OHA148" s="22"/>
      <c r="OHB148" s="22"/>
      <c r="OHC148" s="22"/>
      <c r="OHD148" s="22"/>
      <c r="OHE148" s="22"/>
      <c r="OHF148" s="22"/>
      <c r="OHG148" s="22"/>
      <c r="OHH148" s="22"/>
      <c r="OHI148" s="22"/>
      <c r="OHJ148" s="22"/>
      <c r="OHK148" s="22"/>
      <c r="OHL148" s="22"/>
      <c r="OHM148" s="22"/>
      <c r="OHN148" s="22"/>
      <c r="OHO148" s="22"/>
      <c r="OHP148" s="22"/>
      <c r="OHQ148" s="22"/>
      <c r="OHR148" s="22"/>
      <c r="OHS148" s="22"/>
      <c r="OHT148" s="22"/>
      <c r="OHU148" s="22"/>
      <c r="OHV148" s="22"/>
      <c r="OHW148" s="22"/>
      <c r="OHX148" s="22"/>
      <c r="OHY148" s="22"/>
      <c r="OHZ148" s="22"/>
      <c r="OIA148" s="22"/>
      <c r="OIB148" s="22"/>
      <c r="OIC148" s="22"/>
      <c r="OID148" s="22"/>
      <c r="OIE148" s="22"/>
      <c r="OIF148" s="22"/>
      <c r="OIG148" s="22"/>
      <c r="OIH148" s="22"/>
      <c r="OII148" s="22"/>
      <c r="OIJ148" s="22"/>
      <c r="OIK148" s="22"/>
      <c r="OIL148" s="22"/>
      <c r="OIM148" s="22"/>
      <c r="OIN148" s="22"/>
      <c r="OIO148" s="22"/>
      <c r="OIP148" s="22"/>
      <c r="OIQ148" s="22"/>
      <c r="OIR148" s="22"/>
      <c r="OIS148" s="22"/>
      <c r="OIT148" s="22"/>
      <c r="OIU148" s="22"/>
      <c r="OIV148" s="22"/>
      <c r="OIW148" s="22"/>
      <c r="OIX148" s="22"/>
      <c r="OIY148" s="22"/>
      <c r="OIZ148" s="22"/>
      <c r="OJA148" s="22"/>
      <c r="OJB148" s="22"/>
      <c r="OJC148" s="22"/>
      <c r="OJD148" s="22"/>
      <c r="OJE148" s="22"/>
      <c r="OJF148" s="22"/>
      <c r="OJG148" s="22"/>
      <c r="OJH148" s="22"/>
      <c r="OJI148" s="22"/>
      <c r="OJJ148" s="22"/>
      <c r="OJK148" s="22"/>
      <c r="OJL148" s="22"/>
      <c r="OJM148" s="22"/>
      <c r="OJN148" s="22"/>
      <c r="OJO148" s="22"/>
      <c r="OJP148" s="22"/>
      <c r="OJQ148" s="22"/>
      <c r="OJR148" s="22"/>
      <c r="OJS148" s="22"/>
      <c r="OJT148" s="22"/>
      <c r="OJU148" s="22"/>
      <c r="OJV148" s="22"/>
      <c r="OJW148" s="22"/>
      <c r="OJX148" s="22"/>
      <c r="OJY148" s="22"/>
      <c r="OJZ148" s="22"/>
      <c r="OKA148" s="22"/>
      <c r="OKB148" s="22"/>
      <c r="OKC148" s="22"/>
      <c r="OKD148" s="22"/>
      <c r="OKE148" s="22"/>
      <c r="OKF148" s="22"/>
      <c r="OKG148" s="22"/>
      <c r="OKH148" s="22"/>
      <c r="OKI148" s="22"/>
      <c r="OKJ148" s="22"/>
      <c r="OKK148" s="22"/>
      <c r="OKL148" s="22"/>
      <c r="OKM148" s="22"/>
      <c r="OKN148" s="22"/>
      <c r="OKO148" s="22"/>
      <c r="OKP148" s="22"/>
      <c r="OKQ148" s="22"/>
      <c r="OKR148" s="22"/>
      <c r="OKS148" s="22"/>
      <c r="OKT148" s="22"/>
      <c r="OKU148" s="22"/>
      <c r="OKV148" s="22"/>
      <c r="OKW148" s="22"/>
      <c r="OKX148" s="22"/>
      <c r="OKY148" s="22"/>
      <c r="OKZ148" s="22"/>
      <c r="OLA148" s="22"/>
      <c r="OLB148" s="22"/>
      <c r="OLC148" s="22"/>
      <c r="OLD148" s="22"/>
      <c r="OLE148" s="22"/>
      <c r="OLF148" s="22"/>
      <c r="OLG148" s="22"/>
      <c r="OLH148" s="22"/>
      <c r="OLI148" s="22"/>
      <c r="OLJ148" s="22"/>
      <c r="OLK148" s="22"/>
      <c r="OLL148" s="22"/>
      <c r="OLM148" s="22"/>
      <c r="OLN148" s="22"/>
      <c r="OLO148" s="22"/>
      <c r="OLP148" s="22"/>
      <c r="OLQ148" s="22"/>
      <c r="OLR148" s="22"/>
      <c r="OLS148" s="22"/>
      <c r="OLT148" s="22"/>
      <c r="OLU148" s="22"/>
      <c r="OLV148" s="22"/>
      <c r="OLW148" s="22"/>
      <c r="OLX148" s="22"/>
      <c r="OLY148" s="22"/>
      <c r="OLZ148" s="22"/>
      <c r="OMA148" s="22"/>
      <c r="OMB148" s="22"/>
      <c r="OMC148" s="22"/>
      <c r="OMD148" s="22"/>
      <c r="OME148" s="22"/>
      <c r="OMF148" s="22"/>
      <c r="OMG148" s="22"/>
      <c r="OMH148" s="22"/>
      <c r="OMI148" s="22"/>
      <c r="OMJ148" s="22"/>
      <c r="OMK148" s="22"/>
      <c r="OML148" s="22"/>
      <c r="OMM148" s="22"/>
      <c r="OMN148" s="22"/>
      <c r="OMO148" s="22"/>
      <c r="OMP148" s="22"/>
      <c r="OMQ148" s="22"/>
      <c r="OMR148" s="22"/>
      <c r="OMS148" s="22"/>
      <c r="OMT148" s="22"/>
      <c r="OMU148" s="22"/>
      <c r="OMV148" s="22"/>
      <c r="OMW148" s="22"/>
      <c r="OMX148" s="22"/>
      <c r="OMY148" s="22"/>
      <c r="OMZ148" s="22"/>
      <c r="ONA148" s="22"/>
      <c r="ONB148" s="22"/>
      <c r="ONC148" s="22"/>
      <c r="OND148" s="22"/>
      <c r="ONE148" s="22"/>
      <c r="ONF148" s="22"/>
      <c r="ONG148" s="22"/>
      <c r="ONH148" s="22"/>
      <c r="ONI148" s="22"/>
      <c r="ONJ148" s="22"/>
      <c r="ONK148" s="22"/>
      <c r="ONL148" s="22"/>
      <c r="ONM148" s="22"/>
      <c r="ONN148" s="22"/>
      <c r="ONO148" s="22"/>
      <c r="ONP148" s="22"/>
      <c r="ONQ148" s="22"/>
      <c r="ONR148" s="22"/>
      <c r="ONS148" s="22"/>
      <c r="ONT148" s="22"/>
      <c r="ONU148" s="22"/>
      <c r="ONV148" s="22"/>
      <c r="ONW148" s="22"/>
      <c r="ONX148" s="22"/>
      <c r="ONY148" s="22"/>
      <c r="ONZ148" s="22"/>
      <c r="OOA148" s="22"/>
      <c r="OOB148" s="22"/>
      <c r="OOC148" s="22"/>
      <c r="OOD148" s="22"/>
      <c r="OOE148" s="22"/>
      <c r="OOF148" s="22"/>
      <c r="OOG148" s="22"/>
      <c r="OOH148" s="22"/>
      <c r="OOI148" s="22"/>
      <c r="OOJ148" s="22"/>
      <c r="OOK148" s="22"/>
      <c r="OOL148" s="22"/>
      <c r="OOM148" s="22"/>
      <c r="OON148" s="22"/>
      <c r="OOO148" s="22"/>
      <c r="OOP148" s="22"/>
      <c r="OOQ148" s="22"/>
      <c r="OOR148" s="22"/>
      <c r="OOS148" s="22"/>
      <c r="OOT148" s="22"/>
      <c r="OOU148" s="22"/>
      <c r="OOV148" s="22"/>
      <c r="OOW148" s="22"/>
      <c r="OOX148" s="22"/>
      <c r="OOY148" s="22"/>
      <c r="OOZ148" s="22"/>
      <c r="OPA148" s="22"/>
      <c r="OPB148" s="22"/>
      <c r="OPC148" s="22"/>
      <c r="OPD148" s="22"/>
      <c r="OPE148" s="22"/>
      <c r="OPF148" s="22"/>
      <c r="OPG148" s="22"/>
      <c r="OPH148" s="22"/>
      <c r="OPI148" s="22"/>
      <c r="OPJ148" s="22"/>
      <c r="OPK148" s="22"/>
      <c r="OPL148" s="22"/>
      <c r="OPM148" s="22"/>
      <c r="OPN148" s="22"/>
      <c r="OPO148" s="22"/>
      <c r="OPP148" s="22"/>
      <c r="OPQ148" s="22"/>
      <c r="OPR148" s="22"/>
      <c r="OPS148" s="22"/>
      <c r="OPT148" s="22"/>
      <c r="OPU148" s="22"/>
      <c r="OPV148" s="22"/>
      <c r="OPW148" s="22"/>
      <c r="OPX148" s="22"/>
      <c r="OPY148" s="22"/>
      <c r="OPZ148" s="22"/>
      <c r="OQA148" s="22"/>
      <c r="OQB148" s="22"/>
      <c r="OQC148" s="22"/>
      <c r="OQD148" s="22"/>
      <c r="OQE148" s="22"/>
      <c r="OQF148" s="22"/>
      <c r="OQG148" s="22"/>
      <c r="OQH148" s="22"/>
      <c r="OQI148" s="22"/>
      <c r="OQJ148" s="22"/>
      <c r="OQK148" s="22"/>
      <c r="OQL148" s="22"/>
      <c r="OQM148" s="22"/>
      <c r="OQN148" s="22"/>
      <c r="OQO148" s="22"/>
      <c r="OQP148" s="22"/>
      <c r="OQQ148" s="22"/>
      <c r="OQR148" s="22"/>
      <c r="OQS148" s="22"/>
      <c r="OQT148" s="22"/>
      <c r="OQU148" s="22"/>
      <c r="OQV148" s="22"/>
      <c r="OQW148" s="22"/>
      <c r="OQX148" s="22"/>
      <c r="OQY148" s="22"/>
      <c r="OQZ148" s="22"/>
      <c r="ORA148" s="22"/>
      <c r="ORB148" s="22"/>
      <c r="ORC148" s="22"/>
      <c r="ORD148" s="22"/>
      <c r="ORE148" s="22"/>
      <c r="ORF148" s="22"/>
      <c r="ORG148" s="22"/>
      <c r="ORH148" s="22"/>
      <c r="ORI148" s="22"/>
      <c r="ORJ148" s="22"/>
      <c r="ORK148" s="22"/>
      <c r="ORL148" s="22"/>
      <c r="ORM148" s="22"/>
      <c r="ORN148" s="22"/>
      <c r="ORO148" s="22"/>
      <c r="ORP148" s="22"/>
      <c r="ORQ148" s="22"/>
      <c r="ORR148" s="22"/>
      <c r="ORS148" s="22"/>
      <c r="ORT148" s="22"/>
      <c r="ORU148" s="22"/>
      <c r="ORV148" s="22"/>
      <c r="ORW148" s="22"/>
      <c r="ORX148" s="22"/>
      <c r="ORY148" s="22"/>
      <c r="ORZ148" s="22"/>
      <c r="OSA148" s="22"/>
      <c r="OSB148" s="22"/>
      <c r="OSC148" s="22"/>
      <c r="OSD148" s="22"/>
      <c r="OSE148" s="22"/>
      <c r="OSF148" s="22"/>
      <c r="OSG148" s="22"/>
      <c r="OSH148" s="22"/>
      <c r="OSI148" s="22"/>
      <c r="OSJ148" s="22"/>
      <c r="OSK148" s="22"/>
      <c r="OSL148" s="22"/>
      <c r="OSM148" s="22"/>
      <c r="OSN148" s="22"/>
      <c r="OSO148" s="22"/>
      <c r="OSP148" s="22"/>
      <c r="OSQ148" s="22"/>
      <c r="OSR148" s="22"/>
      <c r="OSS148" s="22"/>
      <c r="OST148" s="22"/>
      <c r="OSU148" s="22"/>
      <c r="OSV148" s="22"/>
      <c r="OSW148" s="22"/>
      <c r="OSX148" s="22"/>
      <c r="OSY148" s="22"/>
      <c r="OSZ148" s="22"/>
      <c r="OTA148" s="22"/>
      <c r="OTB148" s="22"/>
      <c r="OTC148" s="22"/>
      <c r="OTD148" s="22"/>
      <c r="OTE148" s="22"/>
      <c r="OTF148" s="22"/>
      <c r="OTG148" s="22"/>
      <c r="OTH148" s="22"/>
      <c r="OTI148" s="22"/>
      <c r="OTJ148" s="22"/>
      <c r="OTK148" s="22"/>
      <c r="OTL148" s="22"/>
      <c r="OTM148" s="22"/>
      <c r="OTN148" s="22"/>
      <c r="OTO148" s="22"/>
      <c r="OTP148" s="22"/>
      <c r="OTQ148" s="22"/>
      <c r="OTR148" s="22"/>
      <c r="OTS148" s="22"/>
      <c r="OTT148" s="22"/>
      <c r="OTU148" s="22"/>
      <c r="OTV148" s="22"/>
      <c r="OTW148" s="22"/>
      <c r="OTX148" s="22"/>
      <c r="OTY148" s="22"/>
      <c r="OTZ148" s="22"/>
      <c r="OUA148" s="22"/>
      <c r="OUB148" s="22"/>
      <c r="OUC148" s="22"/>
      <c r="OUD148" s="22"/>
      <c r="OUE148" s="22"/>
      <c r="OUF148" s="22"/>
      <c r="OUG148" s="22"/>
      <c r="OUH148" s="22"/>
      <c r="OUI148" s="22"/>
      <c r="OUJ148" s="22"/>
      <c r="OUK148" s="22"/>
      <c r="OUL148" s="22"/>
      <c r="OUM148" s="22"/>
      <c r="OUN148" s="22"/>
      <c r="OUO148" s="22"/>
      <c r="OUP148" s="22"/>
      <c r="OUQ148" s="22"/>
      <c r="OUR148" s="22"/>
      <c r="OUS148" s="22"/>
      <c r="OUT148" s="22"/>
      <c r="OUU148" s="22"/>
      <c r="OUV148" s="22"/>
      <c r="OUW148" s="22"/>
      <c r="OUX148" s="22"/>
      <c r="OUY148" s="22"/>
      <c r="OUZ148" s="22"/>
      <c r="OVA148" s="22"/>
      <c r="OVB148" s="22"/>
      <c r="OVC148" s="22"/>
      <c r="OVD148" s="22"/>
      <c r="OVE148" s="22"/>
      <c r="OVF148" s="22"/>
      <c r="OVG148" s="22"/>
      <c r="OVH148" s="22"/>
      <c r="OVI148" s="22"/>
      <c r="OVJ148" s="22"/>
      <c r="OVK148" s="22"/>
      <c r="OVL148" s="22"/>
      <c r="OVM148" s="22"/>
      <c r="OVN148" s="22"/>
      <c r="OVO148" s="22"/>
      <c r="OVP148" s="22"/>
      <c r="OVQ148" s="22"/>
      <c r="OVR148" s="22"/>
      <c r="OVS148" s="22"/>
      <c r="OVT148" s="22"/>
      <c r="OVU148" s="22"/>
      <c r="OVV148" s="22"/>
      <c r="OVW148" s="22"/>
      <c r="OVX148" s="22"/>
      <c r="OVY148" s="22"/>
      <c r="OVZ148" s="22"/>
      <c r="OWA148" s="22"/>
      <c r="OWB148" s="22"/>
      <c r="OWC148" s="22"/>
      <c r="OWD148" s="22"/>
      <c r="OWE148" s="22"/>
      <c r="OWF148" s="22"/>
      <c r="OWG148" s="22"/>
      <c r="OWH148" s="22"/>
      <c r="OWI148" s="22"/>
      <c r="OWJ148" s="22"/>
      <c r="OWK148" s="22"/>
      <c r="OWL148" s="22"/>
      <c r="OWM148" s="22"/>
      <c r="OWN148" s="22"/>
      <c r="OWO148" s="22"/>
      <c r="OWP148" s="22"/>
      <c r="OWQ148" s="22"/>
      <c r="OWR148" s="22"/>
      <c r="OWS148" s="22"/>
      <c r="OWT148" s="22"/>
      <c r="OWU148" s="22"/>
      <c r="OWV148" s="22"/>
      <c r="OWW148" s="22"/>
      <c r="OWX148" s="22"/>
      <c r="OWY148" s="22"/>
      <c r="OWZ148" s="22"/>
      <c r="OXA148" s="22"/>
      <c r="OXB148" s="22"/>
      <c r="OXC148" s="22"/>
      <c r="OXD148" s="22"/>
      <c r="OXE148" s="22"/>
      <c r="OXF148" s="22"/>
      <c r="OXG148" s="22"/>
      <c r="OXH148" s="22"/>
      <c r="OXI148" s="22"/>
      <c r="OXJ148" s="22"/>
      <c r="OXK148" s="22"/>
      <c r="OXL148" s="22"/>
      <c r="OXM148" s="22"/>
      <c r="OXN148" s="22"/>
      <c r="OXO148" s="22"/>
      <c r="OXP148" s="22"/>
      <c r="OXQ148" s="22"/>
      <c r="OXR148" s="22"/>
      <c r="OXS148" s="22"/>
      <c r="OXT148" s="22"/>
      <c r="OXU148" s="22"/>
      <c r="OXV148" s="22"/>
      <c r="OXW148" s="22"/>
      <c r="OXX148" s="22"/>
      <c r="OXY148" s="22"/>
      <c r="OXZ148" s="22"/>
      <c r="OYA148" s="22"/>
      <c r="OYB148" s="22"/>
      <c r="OYC148" s="22"/>
      <c r="OYD148" s="22"/>
      <c r="OYE148" s="22"/>
      <c r="OYF148" s="22"/>
      <c r="OYG148" s="22"/>
      <c r="OYH148" s="22"/>
      <c r="OYI148" s="22"/>
      <c r="OYJ148" s="22"/>
      <c r="OYK148" s="22"/>
      <c r="OYL148" s="22"/>
      <c r="OYM148" s="22"/>
      <c r="OYN148" s="22"/>
      <c r="OYO148" s="22"/>
      <c r="OYP148" s="22"/>
      <c r="OYQ148" s="22"/>
      <c r="OYR148" s="22"/>
      <c r="OYS148" s="22"/>
      <c r="OYT148" s="22"/>
      <c r="OYU148" s="22"/>
      <c r="OYV148" s="22"/>
      <c r="OYW148" s="22"/>
      <c r="OYX148" s="22"/>
      <c r="OYY148" s="22"/>
      <c r="OYZ148" s="22"/>
      <c r="OZA148" s="22"/>
      <c r="OZB148" s="22"/>
      <c r="OZC148" s="22"/>
      <c r="OZD148" s="22"/>
      <c r="OZE148" s="22"/>
      <c r="OZF148" s="22"/>
      <c r="OZG148" s="22"/>
      <c r="OZH148" s="22"/>
      <c r="OZI148" s="22"/>
      <c r="OZJ148" s="22"/>
      <c r="OZK148" s="22"/>
      <c r="OZL148" s="22"/>
      <c r="OZM148" s="22"/>
      <c r="OZN148" s="22"/>
      <c r="OZO148" s="22"/>
      <c r="OZP148" s="22"/>
      <c r="OZQ148" s="22"/>
      <c r="OZR148" s="22"/>
      <c r="OZS148" s="22"/>
      <c r="OZT148" s="22"/>
      <c r="OZU148" s="22"/>
      <c r="OZV148" s="22"/>
      <c r="OZW148" s="22"/>
      <c r="OZX148" s="22"/>
      <c r="OZY148" s="22"/>
      <c r="OZZ148" s="22"/>
      <c r="PAA148" s="22"/>
      <c r="PAB148" s="22"/>
      <c r="PAC148" s="22"/>
      <c r="PAD148" s="22"/>
      <c r="PAE148" s="22"/>
      <c r="PAF148" s="22"/>
      <c r="PAG148" s="22"/>
      <c r="PAH148" s="22"/>
      <c r="PAI148" s="22"/>
      <c r="PAJ148" s="22"/>
      <c r="PAK148" s="22"/>
      <c r="PAL148" s="22"/>
      <c r="PAM148" s="22"/>
      <c r="PAN148" s="22"/>
      <c r="PAO148" s="22"/>
      <c r="PAP148" s="22"/>
      <c r="PAQ148" s="22"/>
      <c r="PAR148" s="22"/>
      <c r="PAS148" s="22"/>
      <c r="PAT148" s="22"/>
      <c r="PAU148" s="22"/>
      <c r="PAV148" s="22"/>
      <c r="PAW148" s="22"/>
      <c r="PAX148" s="22"/>
      <c r="PAY148" s="22"/>
      <c r="PAZ148" s="22"/>
      <c r="PBA148" s="22"/>
      <c r="PBB148" s="22"/>
      <c r="PBC148" s="22"/>
      <c r="PBD148" s="22"/>
      <c r="PBE148" s="22"/>
      <c r="PBF148" s="22"/>
      <c r="PBG148" s="22"/>
      <c r="PBH148" s="22"/>
      <c r="PBI148" s="22"/>
      <c r="PBJ148" s="22"/>
      <c r="PBK148" s="22"/>
      <c r="PBL148" s="22"/>
      <c r="PBM148" s="22"/>
      <c r="PBN148" s="22"/>
      <c r="PBO148" s="22"/>
      <c r="PBP148" s="22"/>
      <c r="PBQ148" s="22"/>
      <c r="PBR148" s="22"/>
      <c r="PBS148" s="22"/>
      <c r="PBT148" s="22"/>
      <c r="PBU148" s="22"/>
      <c r="PBV148" s="22"/>
      <c r="PBW148" s="22"/>
      <c r="PBX148" s="22"/>
      <c r="PBY148" s="22"/>
      <c r="PBZ148" s="22"/>
      <c r="PCA148" s="22"/>
      <c r="PCB148" s="22"/>
      <c r="PCC148" s="22"/>
      <c r="PCD148" s="22"/>
      <c r="PCE148" s="22"/>
      <c r="PCF148" s="22"/>
      <c r="PCG148" s="22"/>
      <c r="PCH148" s="22"/>
      <c r="PCI148" s="22"/>
      <c r="PCJ148" s="22"/>
      <c r="PCK148" s="22"/>
      <c r="PCL148" s="22"/>
      <c r="PCM148" s="22"/>
      <c r="PCN148" s="22"/>
      <c r="PCO148" s="22"/>
      <c r="PCP148" s="22"/>
      <c r="PCQ148" s="22"/>
      <c r="PCR148" s="22"/>
      <c r="PCS148" s="22"/>
      <c r="PCT148" s="22"/>
      <c r="PCU148" s="22"/>
      <c r="PCV148" s="22"/>
      <c r="PCW148" s="22"/>
      <c r="PCX148" s="22"/>
      <c r="PCY148" s="22"/>
      <c r="PCZ148" s="22"/>
      <c r="PDA148" s="22"/>
      <c r="PDB148" s="22"/>
      <c r="PDC148" s="22"/>
      <c r="PDD148" s="22"/>
      <c r="PDE148" s="22"/>
      <c r="PDF148" s="22"/>
      <c r="PDG148" s="22"/>
      <c r="PDH148" s="22"/>
      <c r="PDI148" s="22"/>
      <c r="PDJ148" s="22"/>
      <c r="PDK148" s="22"/>
      <c r="PDL148" s="22"/>
      <c r="PDM148" s="22"/>
      <c r="PDN148" s="22"/>
      <c r="PDO148" s="22"/>
      <c r="PDP148" s="22"/>
      <c r="PDQ148" s="22"/>
      <c r="PDR148" s="22"/>
      <c r="PDS148" s="22"/>
      <c r="PDT148" s="22"/>
      <c r="PDU148" s="22"/>
      <c r="PDV148" s="22"/>
      <c r="PDW148" s="22"/>
      <c r="PDX148" s="22"/>
      <c r="PDY148" s="22"/>
      <c r="PDZ148" s="22"/>
      <c r="PEA148" s="22"/>
      <c r="PEB148" s="22"/>
      <c r="PEC148" s="22"/>
      <c r="PED148" s="22"/>
      <c r="PEE148" s="22"/>
      <c r="PEF148" s="22"/>
      <c r="PEG148" s="22"/>
      <c r="PEH148" s="22"/>
      <c r="PEI148" s="22"/>
      <c r="PEJ148" s="22"/>
      <c r="PEK148" s="22"/>
      <c r="PEL148" s="22"/>
      <c r="PEM148" s="22"/>
      <c r="PEN148" s="22"/>
      <c r="PEO148" s="22"/>
      <c r="PEP148" s="22"/>
      <c r="PEQ148" s="22"/>
      <c r="PER148" s="22"/>
      <c r="PES148" s="22"/>
      <c r="PET148" s="22"/>
      <c r="PEU148" s="22"/>
      <c r="PEV148" s="22"/>
      <c r="PEW148" s="22"/>
      <c r="PEX148" s="22"/>
      <c r="PEY148" s="22"/>
      <c r="PEZ148" s="22"/>
      <c r="PFA148" s="22"/>
      <c r="PFB148" s="22"/>
      <c r="PFC148" s="22"/>
      <c r="PFD148" s="22"/>
      <c r="PFE148" s="22"/>
      <c r="PFF148" s="22"/>
      <c r="PFG148" s="22"/>
      <c r="PFH148" s="22"/>
      <c r="PFI148" s="22"/>
      <c r="PFJ148" s="22"/>
      <c r="PFK148" s="22"/>
      <c r="PFL148" s="22"/>
      <c r="PFM148" s="22"/>
      <c r="PFN148" s="22"/>
      <c r="PFO148" s="22"/>
      <c r="PFP148" s="22"/>
      <c r="PFQ148" s="22"/>
      <c r="PFR148" s="22"/>
      <c r="PFS148" s="22"/>
      <c r="PFT148" s="22"/>
      <c r="PFU148" s="22"/>
      <c r="PFV148" s="22"/>
      <c r="PFW148" s="22"/>
      <c r="PFX148" s="22"/>
      <c r="PFY148" s="22"/>
      <c r="PFZ148" s="22"/>
      <c r="PGA148" s="22"/>
      <c r="PGB148" s="22"/>
      <c r="PGC148" s="22"/>
      <c r="PGD148" s="22"/>
      <c r="PGE148" s="22"/>
      <c r="PGF148" s="22"/>
      <c r="PGG148" s="22"/>
      <c r="PGH148" s="22"/>
      <c r="PGI148" s="22"/>
      <c r="PGJ148" s="22"/>
      <c r="PGK148" s="22"/>
      <c r="PGL148" s="22"/>
      <c r="PGM148" s="22"/>
      <c r="PGN148" s="22"/>
      <c r="PGO148" s="22"/>
      <c r="PGP148" s="22"/>
      <c r="PGQ148" s="22"/>
      <c r="PGR148" s="22"/>
      <c r="PGS148" s="22"/>
      <c r="PGT148" s="22"/>
      <c r="PGU148" s="22"/>
      <c r="PGV148" s="22"/>
      <c r="PGW148" s="22"/>
      <c r="PGX148" s="22"/>
      <c r="PGY148" s="22"/>
      <c r="PGZ148" s="22"/>
      <c r="PHA148" s="22"/>
      <c r="PHB148" s="22"/>
      <c r="PHC148" s="22"/>
      <c r="PHD148" s="22"/>
      <c r="PHE148" s="22"/>
      <c r="PHF148" s="22"/>
      <c r="PHG148" s="22"/>
      <c r="PHH148" s="22"/>
      <c r="PHI148" s="22"/>
      <c r="PHJ148" s="22"/>
      <c r="PHK148" s="22"/>
      <c r="PHL148" s="22"/>
      <c r="PHM148" s="22"/>
      <c r="PHN148" s="22"/>
      <c r="PHO148" s="22"/>
      <c r="PHP148" s="22"/>
      <c r="PHQ148" s="22"/>
      <c r="PHR148" s="22"/>
      <c r="PHS148" s="22"/>
      <c r="PHT148" s="22"/>
      <c r="PHU148" s="22"/>
      <c r="PHV148" s="22"/>
      <c r="PHW148" s="22"/>
      <c r="PHX148" s="22"/>
      <c r="PHY148" s="22"/>
      <c r="PHZ148" s="22"/>
      <c r="PIA148" s="22"/>
      <c r="PIB148" s="22"/>
      <c r="PIC148" s="22"/>
      <c r="PID148" s="22"/>
      <c r="PIE148" s="22"/>
      <c r="PIF148" s="22"/>
      <c r="PIG148" s="22"/>
      <c r="PIH148" s="22"/>
      <c r="PII148" s="22"/>
      <c r="PIJ148" s="22"/>
      <c r="PIK148" s="22"/>
      <c r="PIL148" s="22"/>
      <c r="PIM148" s="22"/>
      <c r="PIN148" s="22"/>
      <c r="PIO148" s="22"/>
      <c r="PIP148" s="22"/>
      <c r="PIQ148" s="22"/>
      <c r="PIR148" s="22"/>
      <c r="PIS148" s="22"/>
      <c r="PIT148" s="22"/>
      <c r="PIU148" s="22"/>
      <c r="PIV148" s="22"/>
      <c r="PIW148" s="22"/>
      <c r="PIX148" s="22"/>
      <c r="PIY148" s="22"/>
      <c r="PIZ148" s="22"/>
      <c r="PJA148" s="22"/>
      <c r="PJB148" s="22"/>
      <c r="PJC148" s="22"/>
      <c r="PJD148" s="22"/>
      <c r="PJE148" s="22"/>
      <c r="PJF148" s="22"/>
      <c r="PJG148" s="22"/>
      <c r="PJH148" s="22"/>
      <c r="PJI148" s="22"/>
      <c r="PJJ148" s="22"/>
      <c r="PJK148" s="22"/>
      <c r="PJL148" s="22"/>
      <c r="PJM148" s="22"/>
      <c r="PJN148" s="22"/>
      <c r="PJO148" s="22"/>
      <c r="PJP148" s="22"/>
      <c r="PJQ148" s="22"/>
      <c r="PJR148" s="22"/>
      <c r="PJS148" s="22"/>
      <c r="PJT148" s="22"/>
      <c r="PJU148" s="22"/>
      <c r="PJV148" s="22"/>
      <c r="PJW148" s="22"/>
      <c r="PJX148" s="22"/>
      <c r="PJY148" s="22"/>
      <c r="PJZ148" s="22"/>
      <c r="PKA148" s="22"/>
      <c r="PKB148" s="22"/>
      <c r="PKC148" s="22"/>
      <c r="PKD148" s="22"/>
      <c r="PKE148" s="22"/>
      <c r="PKF148" s="22"/>
      <c r="PKG148" s="22"/>
      <c r="PKH148" s="22"/>
      <c r="PKI148" s="22"/>
      <c r="PKJ148" s="22"/>
      <c r="PKK148" s="22"/>
      <c r="PKL148" s="22"/>
      <c r="PKM148" s="22"/>
      <c r="PKN148" s="22"/>
      <c r="PKO148" s="22"/>
      <c r="PKP148" s="22"/>
      <c r="PKQ148" s="22"/>
      <c r="PKR148" s="22"/>
      <c r="PKS148" s="22"/>
      <c r="PKT148" s="22"/>
      <c r="PKU148" s="22"/>
      <c r="PKV148" s="22"/>
      <c r="PKW148" s="22"/>
      <c r="PKX148" s="22"/>
      <c r="PKY148" s="22"/>
      <c r="PKZ148" s="22"/>
      <c r="PLA148" s="22"/>
      <c r="PLB148" s="22"/>
      <c r="PLC148" s="22"/>
      <c r="PLD148" s="22"/>
      <c r="PLE148" s="22"/>
      <c r="PLF148" s="22"/>
      <c r="PLG148" s="22"/>
      <c r="PLH148" s="22"/>
      <c r="PLI148" s="22"/>
      <c r="PLJ148" s="22"/>
      <c r="PLK148" s="22"/>
      <c r="PLL148" s="22"/>
      <c r="PLM148" s="22"/>
      <c r="PLN148" s="22"/>
      <c r="PLO148" s="22"/>
      <c r="PLP148" s="22"/>
      <c r="PLQ148" s="22"/>
      <c r="PLR148" s="22"/>
      <c r="PLS148" s="22"/>
      <c r="PLT148" s="22"/>
      <c r="PLU148" s="22"/>
      <c r="PLV148" s="22"/>
      <c r="PLW148" s="22"/>
      <c r="PLX148" s="22"/>
      <c r="PLY148" s="22"/>
      <c r="PLZ148" s="22"/>
      <c r="PMA148" s="22"/>
      <c r="PMB148" s="22"/>
      <c r="PMC148" s="22"/>
      <c r="PMD148" s="22"/>
      <c r="PME148" s="22"/>
      <c r="PMF148" s="22"/>
      <c r="PMG148" s="22"/>
      <c r="PMH148" s="22"/>
      <c r="PMI148" s="22"/>
      <c r="PMJ148" s="22"/>
      <c r="PMK148" s="22"/>
      <c r="PML148" s="22"/>
      <c r="PMM148" s="22"/>
      <c r="PMN148" s="22"/>
      <c r="PMO148" s="22"/>
      <c r="PMP148" s="22"/>
      <c r="PMQ148" s="22"/>
      <c r="PMR148" s="22"/>
      <c r="PMS148" s="22"/>
      <c r="PMT148" s="22"/>
      <c r="PMU148" s="22"/>
      <c r="PMV148" s="22"/>
      <c r="PMW148" s="22"/>
      <c r="PMX148" s="22"/>
      <c r="PMY148" s="22"/>
      <c r="PMZ148" s="22"/>
      <c r="PNA148" s="22"/>
      <c r="PNB148" s="22"/>
      <c r="PNC148" s="22"/>
      <c r="PND148" s="22"/>
      <c r="PNE148" s="22"/>
      <c r="PNF148" s="22"/>
      <c r="PNG148" s="22"/>
      <c r="PNH148" s="22"/>
      <c r="PNI148" s="22"/>
      <c r="PNJ148" s="22"/>
      <c r="PNK148" s="22"/>
      <c r="PNL148" s="22"/>
      <c r="PNM148" s="22"/>
      <c r="PNN148" s="22"/>
      <c r="PNO148" s="22"/>
      <c r="PNP148" s="22"/>
      <c r="PNQ148" s="22"/>
      <c r="PNR148" s="22"/>
      <c r="PNS148" s="22"/>
      <c r="PNT148" s="22"/>
      <c r="PNU148" s="22"/>
      <c r="PNV148" s="22"/>
      <c r="PNW148" s="22"/>
      <c r="PNX148" s="22"/>
      <c r="PNY148" s="22"/>
      <c r="PNZ148" s="22"/>
      <c r="POA148" s="22"/>
      <c r="POB148" s="22"/>
      <c r="POC148" s="22"/>
      <c r="POD148" s="22"/>
      <c r="POE148" s="22"/>
      <c r="POF148" s="22"/>
      <c r="POG148" s="22"/>
      <c r="POH148" s="22"/>
      <c r="POI148" s="22"/>
      <c r="POJ148" s="22"/>
      <c r="POK148" s="22"/>
      <c r="POL148" s="22"/>
      <c r="POM148" s="22"/>
      <c r="PON148" s="22"/>
      <c r="POO148" s="22"/>
      <c r="POP148" s="22"/>
      <c r="POQ148" s="22"/>
      <c r="POR148" s="22"/>
      <c r="POS148" s="22"/>
      <c r="POT148" s="22"/>
      <c r="POU148" s="22"/>
      <c r="POV148" s="22"/>
      <c r="POW148" s="22"/>
      <c r="POX148" s="22"/>
      <c r="POY148" s="22"/>
      <c r="POZ148" s="22"/>
      <c r="PPA148" s="22"/>
      <c r="PPB148" s="22"/>
      <c r="PPC148" s="22"/>
      <c r="PPD148" s="22"/>
      <c r="PPE148" s="22"/>
      <c r="PPF148" s="22"/>
      <c r="PPG148" s="22"/>
      <c r="PPH148" s="22"/>
      <c r="PPI148" s="22"/>
      <c r="PPJ148" s="22"/>
      <c r="PPK148" s="22"/>
      <c r="PPL148" s="22"/>
      <c r="PPM148" s="22"/>
      <c r="PPN148" s="22"/>
      <c r="PPO148" s="22"/>
      <c r="PPP148" s="22"/>
      <c r="PPQ148" s="22"/>
      <c r="PPR148" s="22"/>
      <c r="PPS148" s="22"/>
      <c r="PPT148" s="22"/>
      <c r="PPU148" s="22"/>
      <c r="PPV148" s="22"/>
      <c r="PPW148" s="22"/>
      <c r="PPX148" s="22"/>
      <c r="PPY148" s="22"/>
      <c r="PPZ148" s="22"/>
      <c r="PQA148" s="22"/>
      <c r="PQB148" s="22"/>
      <c r="PQC148" s="22"/>
      <c r="PQD148" s="22"/>
      <c r="PQE148" s="22"/>
      <c r="PQF148" s="22"/>
      <c r="PQG148" s="22"/>
      <c r="PQH148" s="22"/>
      <c r="PQI148" s="22"/>
      <c r="PQJ148" s="22"/>
      <c r="PQK148" s="22"/>
      <c r="PQL148" s="22"/>
      <c r="PQM148" s="22"/>
      <c r="PQN148" s="22"/>
      <c r="PQO148" s="22"/>
      <c r="PQP148" s="22"/>
      <c r="PQQ148" s="22"/>
      <c r="PQR148" s="22"/>
      <c r="PQS148" s="22"/>
      <c r="PQT148" s="22"/>
      <c r="PQU148" s="22"/>
      <c r="PQV148" s="22"/>
      <c r="PQW148" s="22"/>
      <c r="PQX148" s="22"/>
      <c r="PQY148" s="22"/>
      <c r="PQZ148" s="22"/>
      <c r="PRA148" s="22"/>
      <c r="PRB148" s="22"/>
      <c r="PRC148" s="22"/>
      <c r="PRD148" s="22"/>
      <c r="PRE148" s="22"/>
      <c r="PRF148" s="22"/>
      <c r="PRG148" s="22"/>
      <c r="PRH148" s="22"/>
      <c r="PRI148" s="22"/>
      <c r="PRJ148" s="22"/>
      <c r="PRK148" s="22"/>
      <c r="PRL148" s="22"/>
      <c r="PRM148" s="22"/>
      <c r="PRN148" s="22"/>
      <c r="PRO148" s="22"/>
      <c r="PRP148" s="22"/>
      <c r="PRQ148" s="22"/>
      <c r="PRR148" s="22"/>
      <c r="PRS148" s="22"/>
      <c r="PRT148" s="22"/>
      <c r="PRU148" s="22"/>
      <c r="PRV148" s="22"/>
      <c r="PRW148" s="22"/>
      <c r="PRX148" s="22"/>
      <c r="PRY148" s="22"/>
      <c r="PRZ148" s="22"/>
      <c r="PSA148" s="22"/>
      <c r="PSB148" s="22"/>
      <c r="PSC148" s="22"/>
      <c r="PSD148" s="22"/>
      <c r="PSE148" s="22"/>
      <c r="PSF148" s="22"/>
      <c r="PSG148" s="22"/>
      <c r="PSH148" s="22"/>
      <c r="PSI148" s="22"/>
      <c r="PSJ148" s="22"/>
      <c r="PSK148" s="22"/>
      <c r="PSL148" s="22"/>
      <c r="PSM148" s="22"/>
      <c r="PSN148" s="22"/>
      <c r="PSO148" s="22"/>
      <c r="PSP148" s="22"/>
      <c r="PSQ148" s="22"/>
      <c r="PSR148" s="22"/>
      <c r="PSS148" s="22"/>
      <c r="PST148" s="22"/>
      <c r="PSU148" s="22"/>
      <c r="PSV148" s="22"/>
      <c r="PSW148" s="22"/>
      <c r="PSX148" s="22"/>
      <c r="PSY148" s="22"/>
      <c r="PSZ148" s="22"/>
      <c r="PTA148" s="22"/>
      <c r="PTB148" s="22"/>
      <c r="PTC148" s="22"/>
      <c r="PTD148" s="22"/>
      <c r="PTE148" s="22"/>
      <c r="PTF148" s="22"/>
      <c r="PTG148" s="22"/>
      <c r="PTH148" s="22"/>
      <c r="PTI148" s="22"/>
      <c r="PTJ148" s="22"/>
      <c r="PTK148" s="22"/>
      <c r="PTL148" s="22"/>
      <c r="PTM148" s="22"/>
      <c r="PTN148" s="22"/>
      <c r="PTO148" s="22"/>
      <c r="PTP148" s="22"/>
      <c r="PTQ148" s="22"/>
      <c r="PTR148" s="22"/>
      <c r="PTS148" s="22"/>
      <c r="PTT148" s="22"/>
      <c r="PTU148" s="22"/>
      <c r="PTV148" s="22"/>
      <c r="PTW148" s="22"/>
      <c r="PTX148" s="22"/>
      <c r="PTY148" s="22"/>
      <c r="PTZ148" s="22"/>
      <c r="PUA148" s="22"/>
      <c r="PUB148" s="22"/>
      <c r="PUC148" s="22"/>
      <c r="PUD148" s="22"/>
      <c r="PUE148" s="22"/>
      <c r="PUF148" s="22"/>
      <c r="PUG148" s="22"/>
      <c r="PUH148" s="22"/>
      <c r="PUI148" s="22"/>
      <c r="PUJ148" s="22"/>
      <c r="PUK148" s="22"/>
      <c r="PUL148" s="22"/>
      <c r="PUM148" s="22"/>
      <c r="PUN148" s="22"/>
      <c r="PUO148" s="22"/>
      <c r="PUP148" s="22"/>
      <c r="PUQ148" s="22"/>
      <c r="PUR148" s="22"/>
      <c r="PUS148" s="22"/>
      <c r="PUT148" s="22"/>
      <c r="PUU148" s="22"/>
      <c r="PUV148" s="22"/>
      <c r="PUW148" s="22"/>
      <c r="PUX148" s="22"/>
      <c r="PUY148" s="22"/>
      <c r="PUZ148" s="22"/>
      <c r="PVA148" s="22"/>
      <c r="PVB148" s="22"/>
      <c r="PVC148" s="22"/>
      <c r="PVD148" s="22"/>
      <c r="PVE148" s="22"/>
      <c r="PVF148" s="22"/>
      <c r="PVG148" s="22"/>
      <c r="PVH148" s="22"/>
      <c r="PVI148" s="22"/>
      <c r="PVJ148" s="22"/>
      <c r="PVK148" s="22"/>
      <c r="PVL148" s="22"/>
      <c r="PVM148" s="22"/>
      <c r="PVN148" s="22"/>
      <c r="PVO148" s="22"/>
      <c r="PVP148" s="22"/>
      <c r="PVQ148" s="22"/>
      <c r="PVR148" s="22"/>
      <c r="PVS148" s="22"/>
      <c r="PVT148" s="22"/>
      <c r="PVU148" s="22"/>
      <c r="PVV148" s="22"/>
      <c r="PVW148" s="22"/>
      <c r="PVX148" s="22"/>
      <c r="PVY148" s="22"/>
      <c r="PVZ148" s="22"/>
      <c r="PWA148" s="22"/>
      <c r="PWB148" s="22"/>
      <c r="PWC148" s="22"/>
      <c r="PWD148" s="22"/>
      <c r="PWE148" s="22"/>
      <c r="PWF148" s="22"/>
      <c r="PWG148" s="22"/>
      <c r="PWH148" s="22"/>
      <c r="PWI148" s="22"/>
      <c r="PWJ148" s="22"/>
      <c r="PWK148" s="22"/>
      <c r="PWL148" s="22"/>
      <c r="PWM148" s="22"/>
      <c r="PWN148" s="22"/>
      <c r="PWO148" s="22"/>
      <c r="PWP148" s="22"/>
      <c r="PWQ148" s="22"/>
      <c r="PWR148" s="22"/>
      <c r="PWS148" s="22"/>
      <c r="PWT148" s="22"/>
      <c r="PWU148" s="22"/>
      <c r="PWV148" s="22"/>
      <c r="PWW148" s="22"/>
      <c r="PWX148" s="22"/>
      <c r="PWY148" s="22"/>
      <c r="PWZ148" s="22"/>
      <c r="PXA148" s="22"/>
      <c r="PXB148" s="22"/>
      <c r="PXC148" s="22"/>
      <c r="PXD148" s="22"/>
      <c r="PXE148" s="22"/>
      <c r="PXF148" s="22"/>
      <c r="PXG148" s="22"/>
      <c r="PXH148" s="22"/>
      <c r="PXI148" s="22"/>
      <c r="PXJ148" s="22"/>
      <c r="PXK148" s="22"/>
      <c r="PXL148" s="22"/>
      <c r="PXM148" s="22"/>
      <c r="PXN148" s="22"/>
      <c r="PXO148" s="22"/>
      <c r="PXP148" s="22"/>
      <c r="PXQ148" s="22"/>
      <c r="PXR148" s="22"/>
      <c r="PXS148" s="22"/>
      <c r="PXT148" s="22"/>
      <c r="PXU148" s="22"/>
      <c r="PXV148" s="22"/>
      <c r="PXW148" s="22"/>
      <c r="PXX148" s="22"/>
      <c r="PXY148" s="22"/>
      <c r="PXZ148" s="22"/>
      <c r="PYA148" s="22"/>
      <c r="PYB148" s="22"/>
      <c r="PYC148" s="22"/>
      <c r="PYD148" s="22"/>
      <c r="PYE148" s="22"/>
      <c r="PYF148" s="22"/>
      <c r="PYG148" s="22"/>
      <c r="PYH148" s="22"/>
      <c r="PYI148" s="22"/>
      <c r="PYJ148" s="22"/>
      <c r="PYK148" s="22"/>
      <c r="PYL148" s="22"/>
      <c r="PYM148" s="22"/>
      <c r="PYN148" s="22"/>
      <c r="PYO148" s="22"/>
      <c r="PYP148" s="22"/>
      <c r="PYQ148" s="22"/>
      <c r="PYR148" s="22"/>
      <c r="PYS148" s="22"/>
      <c r="PYT148" s="22"/>
      <c r="PYU148" s="22"/>
      <c r="PYV148" s="22"/>
      <c r="PYW148" s="22"/>
      <c r="PYX148" s="22"/>
      <c r="PYY148" s="22"/>
      <c r="PYZ148" s="22"/>
      <c r="PZA148" s="22"/>
      <c r="PZB148" s="22"/>
      <c r="PZC148" s="22"/>
      <c r="PZD148" s="22"/>
      <c r="PZE148" s="22"/>
      <c r="PZF148" s="22"/>
      <c r="PZG148" s="22"/>
      <c r="PZH148" s="22"/>
      <c r="PZI148" s="22"/>
      <c r="PZJ148" s="22"/>
      <c r="PZK148" s="22"/>
      <c r="PZL148" s="22"/>
      <c r="PZM148" s="22"/>
      <c r="PZN148" s="22"/>
      <c r="PZO148" s="22"/>
      <c r="PZP148" s="22"/>
      <c r="PZQ148" s="22"/>
      <c r="PZR148" s="22"/>
      <c r="PZS148" s="22"/>
      <c r="PZT148" s="22"/>
      <c r="PZU148" s="22"/>
      <c r="PZV148" s="22"/>
      <c r="PZW148" s="22"/>
      <c r="PZX148" s="22"/>
      <c r="PZY148" s="22"/>
      <c r="PZZ148" s="22"/>
      <c r="QAA148" s="22"/>
      <c r="QAB148" s="22"/>
      <c r="QAC148" s="22"/>
      <c r="QAD148" s="22"/>
      <c r="QAE148" s="22"/>
      <c r="QAF148" s="22"/>
      <c r="QAG148" s="22"/>
      <c r="QAH148" s="22"/>
      <c r="QAI148" s="22"/>
      <c r="QAJ148" s="22"/>
      <c r="QAK148" s="22"/>
      <c r="QAL148" s="22"/>
      <c r="QAM148" s="22"/>
      <c r="QAN148" s="22"/>
      <c r="QAO148" s="22"/>
      <c r="QAP148" s="22"/>
      <c r="QAQ148" s="22"/>
      <c r="QAR148" s="22"/>
      <c r="QAS148" s="22"/>
      <c r="QAT148" s="22"/>
      <c r="QAU148" s="22"/>
      <c r="QAV148" s="22"/>
      <c r="QAW148" s="22"/>
      <c r="QAX148" s="22"/>
      <c r="QAY148" s="22"/>
      <c r="QAZ148" s="22"/>
      <c r="QBA148" s="22"/>
      <c r="QBB148" s="22"/>
      <c r="QBC148" s="22"/>
      <c r="QBD148" s="22"/>
      <c r="QBE148" s="22"/>
      <c r="QBF148" s="22"/>
      <c r="QBG148" s="22"/>
      <c r="QBH148" s="22"/>
      <c r="QBI148" s="22"/>
      <c r="QBJ148" s="22"/>
      <c r="QBK148" s="22"/>
      <c r="QBL148" s="22"/>
      <c r="QBM148" s="22"/>
      <c r="QBN148" s="22"/>
      <c r="QBO148" s="22"/>
      <c r="QBP148" s="22"/>
      <c r="QBQ148" s="22"/>
      <c r="QBR148" s="22"/>
      <c r="QBS148" s="22"/>
      <c r="QBT148" s="22"/>
      <c r="QBU148" s="22"/>
      <c r="QBV148" s="22"/>
      <c r="QBW148" s="22"/>
      <c r="QBX148" s="22"/>
      <c r="QBY148" s="22"/>
      <c r="QBZ148" s="22"/>
      <c r="QCA148" s="22"/>
      <c r="QCB148" s="22"/>
      <c r="QCC148" s="22"/>
      <c r="QCD148" s="22"/>
      <c r="QCE148" s="22"/>
      <c r="QCF148" s="22"/>
      <c r="QCG148" s="22"/>
      <c r="QCH148" s="22"/>
      <c r="QCI148" s="22"/>
      <c r="QCJ148" s="22"/>
      <c r="QCK148" s="22"/>
      <c r="QCL148" s="22"/>
      <c r="QCM148" s="22"/>
      <c r="QCN148" s="22"/>
      <c r="QCO148" s="22"/>
      <c r="QCP148" s="22"/>
      <c r="QCQ148" s="22"/>
      <c r="QCR148" s="22"/>
      <c r="QCS148" s="22"/>
      <c r="QCT148" s="22"/>
      <c r="QCU148" s="22"/>
      <c r="QCV148" s="22"/>
      <c r="QCW148" s="22"/>
      <c r="QCX148" s="22"/>
      <c r="QCY148" s="22"/>
      <c r="QCZ148" s="22"/>
      <c r="QDA148" s="22"/>
      <c r="QDB148" s="22"/>
      <c r="QDC148" s="22"/>
      <c r="QDD148" s="22"/>
      <c r="QDE148" s="22"/>
      <c r="QDF148" s="22"/>
      <c r="QDG148" s="22"/>
      <c r="QDH148" s="22"/>
      <c r="QDI148" s="22"/>
      <c r="QDJ148" s="22"/>
      <c r="QDK148" s="22"/>
      <c r="QDL148" s="22"/>
      <c r="QDM148" s="22"/>
      <c r="QDN148" s="22"/>
      <c r="QDO148" s="22"/>
      <c r="QDP148" s="22"/>
      <c r="QDQ148" s="22"/>
      <c r="QDR148" s="22"/>
      <c r="QDS148" s="22"/>
      <c r="QDT148" s="22"/>
      <c r="QDU148" s="22"/>
      <c r="QDV148" s="22"/>
      <c r="QDW148" s="22"/>
      <c r="QDX148" s="22"/>
      <c r="QDY148" s="22"/>
      <c r="QDZ148" s="22"/>
      <c r="QEA148" s="22"/>
      <c r="QEB148" s="22"/>
      <c r="QEC148" s="22"/>
      <c r="QED148" s="22"/>
      <c r="QEE148" s="22"/>
      <c r="QEF148" s="22"/>
      <c r="QEG148" s="22"/>
      <c r="QEH148" s="22"/>
      <c r="QEI148" s="22"/>
      <c r="QEJ148" s="22"/>
      <c r="QEK148" s="22"/>
      <c r="QEL148" s="22"/>
      <c r="QEM148" s="22"/>
      <c r="QEN148" s="22"/>
      <c r="QEO148" s="22"/>
      <c r="QEP148" s="22"/>
      <c r="QEQ148" s="22"/>
      <c r="QER148" s="22"/>
      <c r="QES148" s="22"/>
      <c r="QET148" s="22"/>
      <c r="QEU148" s="22"/>
      <c r="QEV148" s="22"/>
      <c r="QEW148" s="22"/>
      <c r="QEX148" s="22"/>
      <c r="QEY148" s="22"/>
      <c r="QEZ148" s="22"/>
      <c r="QFA148" s="22"/>
      <c r="QFB148" s="22"/>
      <c r="QFC148" s="22"/>
      <c r="QFD148" s="22"/>
      <c r="QFE148" s="22"/>
      <c r="QFF148" s="22"/>
      <c r="QFG148" s="22"/>
      <c r="QFH148" s="22"/>
      <c r="QFI148" s="22"/>
      <c r="QFJ148" s="22"/>
      <c r="QFK148" s="22"/>
      <c r="QFL148" s="22"/>
      <c r="QFM148" s="22"/>
      <c r="QFN148" s="22"/>
      <c r="QFO148" s="22"/>
      <c r="QFP148" s="22"/>
      <c r="QFQ148" s="22"/>
      <c r="QFR148" s="22"/>
      <c r="QFS148" s="22"/>
      <c r="QFT148" s="22"/>
      <c r="QFU148" s="22"/>
      <c r="QFV148" s="22"/>
      <c r="QFW148" s="22"/>
      <c r="QFX148" s="22"/>
      <c r="QFY148" s="22"/>
      <c r="QFZ148" s="22"/>
      <c r="QGA148" s="22"/>
      <c r="QGB148" s="22"/>
      <c r="QGC148" s="22"/>
      <c r="QGD148" s="22"/>
      <c r="QGE148" s="22"/>
      <c r="QGF148" s="22"/>
      <c r="QGG148" s="22"/>
      <c r="QGH148" s="22"/>
      <c r="QGI148" s="22"/>
      <c r="QGJ148" s="22"/>
      <c r="QGK148" s="22"/>
      <c r="QGL148" s="22"/>
      <c r="QGM148" s="22"/>
      <c r="QGN148" s="22"/>
      <c r="QGO148" s="22"/>
      <c r="QGP148" s="22"/>
      <c r="QGQ148" s="22"/>
      <c r="QGR148" s="22"/>
      <c r="QGS148" s="22"/>
      <c r="QGT148" s="22"/>
      <c r="QGU148" s="22"/>
      <c r="QGV148" s="22"/>
      <c r="QGW148" s="22"/>
      <c r="QGX148" s="22"/>
      <c r="QGY148" s="22"/>
      <c r="QGZ148" s="22"/>
      <c r="QHA148" s="22"/>
      <c r="QHB148" s="22"/>
      <c r="QHC148" s="22"/>
      <c r="QHD148" s="22"/>
      <c r="QHE148" s="22"/>
      <c r="QHF148" s="22"/>
      <c r="QHG148" s="22"/>
      <c r="QHH148" s="22"/>
      <c r="QHI148" s="22"/>
      <c r="QHJ148" s="22"/>
      <c r="QHK148" s="22"/>
      <c r="QHL148" s="22"/>
      <c r="QHM148" s="22"/>
      <c r="QHN148" s="22"/>
      <c r="QHO148" s="22"/>
      <c r="QHP148" s="22"/>
      <c r="QHQ148" s="22"/>
      <c r="QHR148" s="22"/>
      <c r="QHS148" s="22"/>
      <c r="QHT148" s="22"/>
      <c r="QHU148" s="22"/>
      <c r="QHV148" s="22"/>
      <c r="QHW148" s="22"/>
      <c r="QHX148" s="22"/>
      <c r="QHY148" s="22"/>
      <c r="QHZ148" s="22"/>
      <c r="QIA148" s="22"/>
      <c r="QIB148" s="22"/>
      <c r="QIC148" s="22"/>
      <c r="QID148" s="22"/>
      <c r="QIE148" s="22"/>
      <c r="QIF148" s="22"/>
      <c r="QIG148" s="22"/>
      <c r="QIH148" s="22"/>
      <c r="QII148" s="22"/>
      <c r="QIJ148" s="22"/>
      <c r="QIK148" s="22"/>
      <c r="QIL148" s="22"/>
      <c r="QIM148" s="22"/>
      <c r="QIN148" s="22"/>
      <c r="QIO148" s="22"/>
      <c r="QIP148" s="22"/>
      <c r="QIQ148" s="22"/>
      <c r="QIR148" s="22"/>
      <c r="QIS148" s="22"/>
      <c r="QIT148" s="22"/>
      <c r="QIU148" s="22"/>
      <c r="QIV148" s="22"/>
      <c r="QIW148" s="22"/>
      <c r="QIX148" s="22"/>
      <c r="QIY148" s="22"/>
      <c r="QIZ148" s="22"/>
      <c r="QJA148" s="22"/>
      <c r="QJB148" s="22"/>
      <c r="QJC148" s="22"/>
      <c r="QJD148" s="22"/>
      <c r="QJE148" s="22"/>
      <c r="QJF148" s="22"/>
      <c r="QJG148" s="22"/>
      <c r="QJH148" s="22"/>
      <c r="QJI148" s="22"/>
      <c r="QJJ148" s="22"/>
      <c r="QJK148" s="22"/>
      <c r="QJL148" s="22"/>
      <c r="QJM148" s="22"/>
      <c r="QJN148" s="22"/>
      <c r="QJO148" s="22"/>
      <c r="QJP148" s="22"/>
      <c r="QJQ148" s="22"/>
      <c r="QJR148" s="22"/>
      <c r="QJS148" s="22"/>
      <c r="QJT148" s="22"/>
      <c r="QJU148" s="22"/>
      <c r="QJV148" s="22"/>
      <c r="QJW148" s="22"/>
      <c r="QJX148" s="22"/>
      <c r="QJY148" s="22"/>
      <c r="QJZ148" s="22"/>
      <c r="QKA148" s="22"/>
      <c r="QKB148" s="22"/>
      <c r="QKC148" s="22"/>
      <c r="QKD148" s="22"/>
      <c r="QKE148" s="22"/>
      <c r="QKF148" s="22"/>
      <c r="QKG148" s="22"/>
      <c r="QKH148" s="22"/>
      <c r="QKI148" s="22"/>
      <c r="QKJ148" s="22"/>
      <c r="QKK148" s="22"/>
      <c r="QKL148" s="22"/>
      <c r="QKM148" s="22"/>
      <c r="QKN148" s="22"/>
      <c r="QKO148" s="22"/>
      <c r="QKP148" s="22"/>
      <c r="QKQ148" s="22"/>
      <c r="QKR148" s="22"/>
      <c r="QKS148" s="22"/>
      <c r="QKT148" s="22"/>
      <c r="QKU148" s="22"/>
      <c r="QKV148" s="22"/>
      <c r="QKW148" s="22"/>
      <c r="QKX148" s="22"/>
      <c r="QKY148" s="22"/>
      <c r="QKZ148" s="22"/>
      <c r="QLA148" s="22"/>
      <c r="QLB148" s="22"/>
      <c r="QLC148" s="22"/>
      <c r="QLD148" s="22"/>
      <c r="QLE148" s="22"/>
      <c r="QLF148" s="22"/>
      <c r="QLG148" s="22"/>
      <c r="QLH148" s="22"/>
      <c r="QLI148" s="22"/>
      <c r="QLJ148" s="22"/>
      <c r="QLK148" s="22"/>
      <c r="QLL148" s="22"/>
      <c r="QLM148" s="22"/>
      <c r="QLN148" s="22"/>
      <c r="QLO148" s="22"/>
      <c r="QLP148" s="22"/>
      <c r="QLQ148" s="22"/>
      <c r="QLR148" s="22"/>
      <c r="QLS148" s="22"/>
      <c r="QLT148" s="22"/>
      <c r="QLU148" s="22"/>
      <c r="QLV148" s="22"/>
      <c r="QLW148" s="22"/>
      <c r="QLX148" s="22"/>
      <c r="QLY148" s="22"/>
      <c r="QLZ148" s="22"/>
      <c r="QMA148" s="22"/>
      <c r="QMB148" s="22"/>
      <c r="QMC148" s="22"/>
      <c r="QMD148" s="22"/>
      <c r="QME148" s="22"/>
      <c r="QMF148" s="22"/>
      <c r="QMG148" s="22"/>
      <c r="QMH148" s="22"/>
      <c r="QMI148" s="22"/>
      <c r="QMJ148" s="22"/>
      <c r="QMK148" s="22"/>
      <c r="QML148" s="22"/>
      <c r="QMM148" s="22"/>
      <c r="QMN148" s="22"/>
      <c r="QMO148" s="22"/>
      <c r="QMP148" s="22"/>
      <c r="QMQ148" s="22"/>
      <c r="QMR148" s="22"/>
      <c r="QMS148" s="22"/>
      <c r="QMT148" s="22"/>
      <c r="QMU148" s="22"/>
      <c r="QMV148" s="22"/>
      <c r="QMW148" s="22"/>
      <c r="QMX148" s="22"/>
      <c r="QMY148" s="22"/>
      <c r="QMZ148" s="22"/>
      <c r="QNA148" s="22"/>
      <c r="QNB148" s="22"/>
      <c r="QNC148" s="22"/>
      <c r="QND148" s="22"/>
      <c r="QNE148" s="22"/>
      <c r="QNF148" s="22"/>
      <c r="QNG148" s="22"/>
      <c r="QNH148" s="22"/>
      <c r="QNI148" s="22"/>
      <c r="QNJ148" s="22"/>
      <c r="QNK148" s="22"/>
      <c r="QNL148" s="22"/>
      <c r="QNM148" s="22"/>
      <c r="QNN148" s="22"/>
      <c r="QNO148" s="22"/>
      <c r="QNP148" s="22"/>
      <c r="QNQ148" s="22"/>
      <c r="QNR148" s="22"/>
      <c r="QNS148" s="22"/>
      <c r="QNT148" s="22"/>
      <c r="QNU148" s="22"/>
      <c r="QNV148" s="22"/>
      <c r="QNW148" s="22"/>
      <c r="QNX148" s="22"/>
      <c r="QNY148" s="22"/>
      <c r="QNZ148" s="22"/>
      <c r="QOA148" s="22"/>
      <c r="QOB148" s="22"/>
      <c r="QOC148" s="22"/>
      <c r="QOD148" s="22"/>
      <c r="QOE148" s="22"/>
      <c r="QOF148" s="22"/>
      <c r="QOG148" s="22"/>
      <c r="QOH148" s="22"/>
      <c r="QOI148" s="22"/>
      <c r="QOJ148" s="22"/>
      <c r="QOK148" s="22"/>
      <c r="QOL148" s="22"/>
      <c r="QOM148" s="22"/>
      <c r="QON148" s="22"/>
      <c r="QOO148" s="22"/>
      <c r="QOP148" s="22"/>
      <c r="QOQ148" s="22"/>
      <c r="QOR148" s="22"/>
      <c r="QOS148" s="22"/>
      <c r="QOT148" s="22"/>
      <c r="QOU148" s="22"/>
      <c r="QOV148" s="22"/>
      <c r="QOW148" s="22"/>
      <c r="QOX148" s="22"/>
      <c r="QOY148" s="22"/>
      <c r="QOZ148" s="22"/>
      <c r="QPA148" s="22"/>
      <c r="QPB148" s="22"/>
      <c r="QPC148" s="22"/>
      <c r="QPD148" s="22"/>
      <c r="QPE148" s="22"/>
      <c r="QPF148" s="22"/>
      <c r="QPG148" s="22"/>
      <c r="QPH148" s="22"/>
      <c r="QPI148" s="22"/>
      <c r="QPJ148" s="22"/>
      <c r="QPK148" s="22"/>
      <c r="QPL148" s="22"/>
      <c r="QPM148" s="22"/>
      <c r="QPN148" s="22"/>
      <c r="QPO148" s="22"/>
      <c r="QPP148" s="22"/>
      <c r="QPQ148" s="22"/>
      <c r="QPR148" s="22"/>
      <c r="QPS148" s="22"/>
      <c r="QPT148" s="22"/>
      <c r="QPU148" s="22"/>
      <c r="QPV148" s="22"/>
      <c r="QPW148" s="22"/>
      <c r="QPX148" s="22"/>
      <c r="QPY148" s="22"/>
      <c r="QPZ148" s="22"/>
      <c r="QQA148" s="22"/>
      <c r="QQB148" s="22"/>
      <c r="QQC148" s="22"/>
      <c r="QQD148" s="22"/>
      <c r="QQE148" s="22"/>
      <c r="QQF148" s="22"/>
      <c r="QQG148" s="22"/>
      <c r="QQH148" s="22"/>
      <c r="QQI148" s="22"/>
      <c r="QQJ148" s="22"/>
      <c r="QQK148" s="22"/>
      <c r="QQL148" s="22"/>
      <c r="QQM148" s="22"/>
      <c r="QQN148" s="22"/>
      <c r="QQO148" s="22"/>
      <c r="QQP148" s="22"/>
      <c r="QQQ148" s="22"/>
      <c r="QQR148" s="22"/>
      <c r="QQS148" s="22"/>
      <c r="QQT148" s="22"/>
      <c r="QQU148" s="22"/>
      <c r="QQV148" s="22"/>
      <c r="QQW148" s="22"/>
      <c r="QQX148" s="22"/>
      <c r="QQY148" s="22"/>
      <c r="QQZ148" s="22"/>
      <c r="QRA148" s="22"/>
      <c r="QRB148" s="22"/>
      <c r="QRC148" s="22"/>
      <c r="QRD148" s="22"/>
      <c r="QRE148" s="22"/>
      <c r="QRF148" s="22"/>
      <c r="QRG148" s="22"/>
      <c r="QRH148" s="22"/>
      <c r="QRI148" s="22"/>
      <c r="QRJ148" s="22"/>
      <c r="QRK148" s="22"/>
      <c r="QRL148" s="22"/>
      <c r="QRM148" s="22"/>
      <c r="QRN148" s="22"/>
      <c r="QRO148" s="22"/>
      <c r="QRP148" s="22"/>
      <c r="QRQ148" s="22"/>
      <c r="QRR148" s="22"/>
      <c r="QRS148" s="22"/>
      <c r="QRT148" s="22"/>
      <c r="QRU148" s="22"/>
      <c r="QRV148" s="22"/>
      <c r="QRW148" s="22"/>
      <c r="QRX148" s="22"/>
      <c r="QRY148" s="22"/>
      <c r="QRZ148" s="22"/>
      <c r="QSA148" s="22"/>
      <c r="QSB148" s="22"/>
      <c r="QSC148" s="22"/>
      <c r="QSD148" s="22"/>
      <c r="QSE148" s="22"/>
      <c r="QSF148" s="22"/>
      <c r="QSG148" s="22"/>
      <c r="QSH148" s="22"/>
      <c r="QSI148" s="22"/>
      <c r="QSJ148" s="22"/>
      <c r="QSK148" s="22"/>
      <c r="QSL148" s="22"/>
      <c r="QSM148" s="22"/>
      <c r="QSN148" s="22"/>
      <c r="QSO148" s="22"/>
      <c r="QSP148" s="22"/>
      <c r="QSQ148" s="22"/>
      <c r="QSR148" s="22"/>
      <c r="QSS148" s="22"/>
      <c r="QST148" s="22"/>
      <c r="QSU148" s="22"/>
      <c r="QSV148" s="22"/>
      <c r="QSW148" s="22"/>
      <c r="QSX148" s="22"/>
      <c r="QSY148" s="22"/>
      <c r="QSZ148" s="22"/>
      <c r="QTA148" s="22"/>
      <c r="QTB148" s="22"/>
      <c r="QTC148" s="22"/>
      <c r="QTD148" s="22"/>
      <c r="QTE148" s="22"/>
      <c r="QTF148" s="22"/>
      <c r="QTG148" s="22"/>
      <c r="QTH148" s="22"/>
      <c r="QTI148" s="22"/>
      <c r="QTJ148" s="22"/>
      <c r="QTK148" s="22"/>
      <c r="QTL148" s="22"/>
      <c r="QTM148" s="22"/>
      <c r="QTN148" s="22"/>
      <c r="QTO148" s="22"/>
      <c r="QTP148" s="22"/>
      <c r="QTQ148" s="22"/>
      <c r="QTR148" s="22"/>
      <c r="QTS148" s="22"/>
      <c r="QTT148" s="22"/>
      <c r="QTU148" s="22"/>
      <c r="QTV148" s="22"/>
      <c r="QTW148" s="22"/>
      <c r="QTX148" s="22"/>
      <c r="QTY148" s="22"/>
      <c r="QTZ148" s="22"/>
      <c r="QUA148" s="22"/>
      <c r="QUB148" s="22"/>
      <c r="QUC148" s="22"/>
      <c r="QUD148" s="22"/>
      <c r="QUE148" s="22"/>
      <c r="QUF148" s="22"/>
      <c r="QUG148" s="22"/>
      <c r="QUH148" s="22"/>
      <c r="QUI148" s="22"/>
      <c r="QUJ148" s="22"/>
      <c r="QUK148" s="22"/>
      <c r="QUL148" s="22"/>
      <c r="QUM148" s="22"/>
      <c r="QUN148" s="22"/>
      <c r="QUO148" s="22"/>
      <c r="QUP148" s="22"/>
      <c r="QUQ148" s="22"/>
      <c r="QUR148" s="22"/>
      <c r="QUS148" s="22"/>
      <c r="QUT148" s="22"/>
      <c r="QUU148" s="22"/>
      <c r="QUV148" s="22"/>
      <c r="QUW148" s="22"/>
      <c r="QUX148" s="22"/>
      <c r="QUY148" s="22"/>
      <c r="QUZ148" s="22"/>
      <c r="QVA148" s="22"/>
      <c r="QVB148" s="22"/>
      <c r="QVC148" s="22"/>
      <c r="QVD148" s="22"/>
      <c r="QVE148" s="22"/>
      <c r="QVF148" s="22"/>
      <c r="QVG148" s="22"/>
      <c r="QVH148" s="22"/>
      <c r="QVI148" s="22"/>
      <c r="QVJ148" s="22"/>
      <c r="QVK148" s="22"/>
      <c r="QVL148" s="22"/>
      <c r="QVM148" s="22"/>
      <c r="QVN148" s="22"/>
      <c r="QVO148" s="22"/>
      <c r="QVP148" s="22"/>
      <c r="QVQ148" s="22"/>
      <c r="QVR148" s="22"/>
      <c r="QVS148" s="22"/>
      <c r="QVT148" s="22"/>
      <c r="QVU148" s="22"/>
      <c r="QVV148" s="22"/>
      <c r="QVW148" s="22"/>
      <c r="QVX148" s="22"/>
      <c r="QVY148" s="22"/>
      <c r="QVZ148" s="22"/>
      <c r="QWA148" s="22"/>
      <c r="QWB148" s="22"/>
      <c r="QWC148" s="22"/>
      <c r="QWD148" s="22"/>
      <c r="QWE148" s="22"/>
      <c r="QWF148" s="22"/>
      <c r="QWG148" s="22"/>
      <c r="QWH148" s="22"/>
      <c r="QWI148" s="22"/>
      <c r="QWJ148" s="22"/>
      <c r="QWK148" s="22"/>
      <c r="QWL148" s="22"/>
      <c r="QWM148" s="22"/>
      <c r="QWN148" s="22"/>
      <c r="QWO148" s="22"/>
      <c r="QWP148" s="22"/>
      <c r="QWQ148" s="22"/>
      <c r="QWR148" s="22"/>
      <c r="QWS148" s="22"/>
      <c r="QWT148" s="22"/>
      <c r="QWU148" s="22"/>
      <c r="QWV148" s="22"/>
      <c r="QWW148" s="22"/>
      <c r="QWX148" s="22"/>
      <c r="QWY148" s="22"/>
      <c r="QWZ148" s="22"/>
      <c r="QXA148" s="22"/>
      <c r="QXB148" s="22"/>
      <c r="QXC148" s="22"/>
      <c r="QXD148" s="22"/>
      <c r="QXE148" s="22"/>
      <c r="QXF148" s="22"/>
      <c r="QXG148" s="22"/>
      <c r="QXH148" s="22"/>
      <c r="QXI148" s="22"/>
      <c r="QXJ148" s="22"/>
      <c r="QXK148" s="22"/>
      <c r="QXL148" s="22"/>
      <c r="QXM148" s="22"/>
      <c r="QXN148" s="22"/>
      <c r="QXO148" s="22"/>
      <c r="QXP148" s="22"/>
      <c r="QXQ148" s="22"/>
      <c r="QXR148" s="22"/>
      <c r="QXS148" s="22"/>
      <c r="QXT148" s="22"/>
      <c r="QXU148" s="22"/>
      <c r="QXV148" s="22"/>
      <c r="QXW148" s="22"/>
      <c r="QXX148" s="22"/>
      <c r="QXY148" s="22"/>
      <c r="QXZ148" s="22"/>
      <c r="QYA148" s="22"/>
      <c r="QYB148" s="22"/>
      <c r="QYC148" s="22"/>
      <c r="QYD148" s="22"/>
      <c r="QYE148" s="22"/>
      <c r="QYF148" s="22"/>
      <c r="QYG148" s="22"/>
      <c r="QYH148" s="22"/>
      <c r="QYI148" s="22"/>
      <c r="QYJ148" s="22"/>
      <c r="QYK148" s="22"/>
      <c r="QYL148" s="22"/>
      <c r="QYM148" s="22"/>
      <c r="QYN148" s="22"/>
      <c r="QYO148" s="22"/>
      <c r="QYP148" s="22"/>
      <c r="QYQ148" s="22"/>
      <c r="QYR148" s="22"/>
      <c r="QYS148" s="22"/>
      <c r="QYT148" s="22"/>
      <c r="QYU148" s="22"/>
      <c r="QYV148" s="22"/>
      <c r="QYW148" s="22"/>
      <c r="QYX148" s="22"/>
      <c r="QYY148" s="22"/>
      <c r="QYZ148" s="22"/>
      <c r="QZA148" s="22"/>
      <c r="QZB148" s="22"/>
      <c r="QZC148" s="22"/>
      <c r="QZD148" s="22"/>
      <c r="QZE148" s="22"/>
      <c r="QZF148" s="22"/>
      <c r="QZG148" s="22"/>
      <c r="QZH148" s="22"/>
      <c r="QZI148" s="22"/>
      <c r="QZJ148" s="22"/>
      <c r="QZK148" s="22"/>
      <c r="QZL148" s="22"/>
      <c r="QZM148" s="22"/>
      <c r="QZN148" s="22"/>
      <c r="QZO148" s="22"/>
      <c r="QZP148" s="22"/>
      <c r="QZQ148" s="22"/>
      <c r="QZR148" s="22"/>
      <c r="QZS148" s="22"/>
      <c r="QZT148" s="22"/>
      <c r="QZU148" s="22"/>
      <c r="QZV148" s="22"/>
      <c r="QZW148" s="22"/>
      <c r="QZX148" s="22"/>
      <c r="QZY148" s="22"/>
      <c r="QZZ148" s="22"/>
      <c r="RAA148" s="22"/>
      <c r="RAB148" s="22"/>
      <c r="RAC148" s="22"/>
      <c r="RAD148" s="22"/>
      <c r="RAE148" s="22"/>
      <c r="RAF148" s="22"/>
      <c r="RAG148" s="22"/>
      <c r="RAH148" s="22"/>
      <c r="RAI148" s="22"/>
      <c r="RAJ148" s="22"/>
      <c r="RAK148" s="22"/>
      <c r="RAL148" s="22"/>
      <c r="RAM148" s="22"/>
      <c r="RAN148" s="22"/>
      <c r="RAO148" s="22"/>
      <c r="RAP148" s="22"/>
      <c r="RAQ148" s="22"/>
      <c r="RAR148" s="22"/>
      <c r="RAS148" s="22"/>
      <c r="RAT148" s="22"/>
      <c r="RAU148" s="22"/>
      <c r="RAV148" s="22"/>
      <c r="RAW148" s="22"/>
      <c r="RAX148" s="22"/>
      <c r="RAY148" s="22"/>
      <c r="RAZ148" s="22"/>
      <c r="RBA148" s="22"/>
      <c r="RBB148" s="22"/>
      <c r="RBC148" s="22"/>
      <c r="RBD148" s="22"/>
      <c r="RBE148" s="22"/>
      <c r="RBF148" s="22"/>
      <c r="RBG148" s="22"/>
      <c r="RBH148" s="22"/>
      <c r="RBI148" s="22"/>
      <c r="RBJ148" s="22"/>
      <c r="RBK148" s="22"/>
      <c r="RBL148" s="22"/>
      <c r="RBM148" s="22"/>
      <c r="RBN148" s="22"/>
      <c r="RBO148" s="22"/>
      <c r="RBP148" s="22"/>
      <c r="RBQ148" s="22"/>
      <c r="RBR148" s="22"/>
      <c r="RBS148" s="22"/>
      <c r="RBT148" s="22"/>
      <c r="RBU148" s="22"/>
      <c r="RBV148" s="22"/>
      <c r="RBW148" s="22"/>
      <c r="RBX148" s="22"/>
      <c r="RBY148" s="22"/>
      <c r="RBZ148" s="22"/>
      <c r="RCA148" s="22"/>
      <c r="RCB148" s="22"/>
      <c r="RCC148" s="22"/>
      <c r="RCD148" s="22"/>
      <c r="RCE148" s="22"/>
      <c r="RCF148" s="22"/>
      <c r="RCG148" s="22"/>
      <c r="RCH148" s="22"/>
      <c r="RCI148" s="22"/>
      <c r="RCJ148" s="22"/>
      <c r="RCK148" s="22"/>
      <c r="RCL148" s="22"/>
      <c r="RCM148" s="22"/>
      <c r="RCN148" s="22"/>
      <c r="RCO148" s="22"/>
      <c r="RCP148" s="22"/>
      <c r="RCQ148" s="22"/>
      <c r="RCR148" s="22"/>
      <c r="RCS148" s="22"/>
      <c r="RCT148" s="22"/>
      <c r="RCU148" s="22"/>
      <c r="RCV148" s="22"/>
      <c r="RCW148" s="22"/>
      <c r="RCX148" s="22"/>
      <c r="RCY148" s="22"/>
      <c r="RCZ148" s="22"/>
      <c r="RDA148" s="22"/>
      <c r="RDB148" s="22"/>
      <c r="RDC148" s="22"/>
      <c r="RDD148" s="22"/>
      <c r="RDE148" s="22"/>
      <c r="RDF148" s="22"/>
      <c r="RDG148" s="22"/>
      <c r="RDH148" s="22"/>
      <c r="RDI148" s="22"/>
      <c r="RDJ148" s="22"/>
      <c r="RDK148" s="22"/>
      <c r="RDL148" s="22"/>
      <c r="RDM148" s="22"/>
      <c r="RDN148" s="22"/>
      <c r="RDO148" s="22"/>
      <c r="RDP148" s="22"/>
      <c r="RDQ148" s="22"/>
      <c r="RDR148" s="22"/>
      <c r="RDS148" s="22"/>
      <c r="RDT148" s="22"/>
      <c r="RDU148" s="22"/>
      <c r="RDV148" s="22"/>
      <c r="RDW148" s="22"/>
      <c r="RDX148" s="22"/>
      <c r="RDY148" s="22"/>
      <c r="RDZ148" s="22"/>
      <c r="REA148" s="22"/>
      <c r="REB148" s="22"/>
      <c r="REC148" s="22"/>
      <c r="RED148" s="22"/>
      <c r="REE148" s="22"/>
      <c r="REF148" s="22"/>
      <c r="REG148" s="22"/>
      <c r="REH148" s="22"/>
      <c r="REI148" s="22"/>
      <c r="REJ148" s="22"/>
      <c r="REK148" s="22"/>
      <c r="REL148" s="22"/>
      <c r="REM148" s="22"/>
      <c r="REN148" s="22"/>
      <c r="REO148" s="22"/>
      <c r="REP148" s="22"/>
      <c r="REQ148" s="22"/>
      <c r="RER148" s="22"/>
      <c r="RES148" s="22"/>
      <c r="RET148" s="22"/>
      <c r="REU148" s="22"/>
      <c r="REV148" s="22"/>
      <c r="REW148" s="22"/>
      <c r="REX148" s="22"/>
      <c r="REY148" s="22"/>
      <c r="REZ148" s="22"/>
      <c r="RFA148" s="22"/>
      <c r="RFB148" s="22"/>
      <c r="RFC148" s="22"/>
      <c r="RFD148" s="22"/>
      <c r="RFE148" s="22"/>
      <c r="RFF148" s="22"/>
      <c r="RFG148" s="22"/>
      <c r="RFH148" s="22"/>
      <c r="RFI148" s="22"/>
      <c r="RFJ148" s="22"/>
      <c r="RFK148" s="22"/>
      <c r="RFL148" s="22"/>
      <c r="RFM148" s="22"/>
      <c r="RFN148" s="22"/>
      <c r="RFO148" s="22"/>
      <c r="RFP148" s="22"/>
      <c r="RFQ148" s="22"/>
      <c r="RFR148" s="22"/>
      <c r="RFS148" s="22"/>
      <c r="RFT148" s="22"/>
      <c r="RFU148" s="22"/>
      <c r="RFV148" s="22"/>
      <c r="RFW148" s="22"/>
      <c r="RFX148" s="22"/>
      <c r="RFY148" s="22"/>
      <c r="RFZ148" s="22"/>
      <c r="RGA148" s="22"/>
      <c r="RGB148" s="22"/>
      <c r="RGC148" s="22"/>
      <c r="RGD148" s="22"/>
      <c r="RGE148" s="22"/>
      <c r="RGF148" s="22"/>
      <c r="RGG148" s="22"/>
      <c r="RGH148" s="22"/>
      <c r="RGI148" s="22"/>
      <c r="RGJ148" s="22"/>
      <c r="RGK148" s="22"/>
      <c r="RGL148" s="22"/>
      <c r="RGM148" s="22"/>
      <c r="RGN148" s="22"/>
      <c r="RGO148" s="22"/>
      <c r="RGP148" s="22"/>
      <c r="RGQ148" s="22"/>
      <c r="RGR148" s="22"/>
      <c r="RGS148" s="22"/>
      <c r="RGT148" s="22"/>
      <c r="RGU148" s="22"/>
      <c r="RGV148" s="22"/>
      <c r="RGW148" s="22"/>
      <c r="RGX148" s="22"/>
      <c r="RGY148" s="22"/>
      <c r="RGZ148" s="22"/>
      <c r="RHA148" s="22"/>
      <c r="RHB148" s="22"/>
      <c r="RHC148" s="22"/>
      <c r="RHD148" s="22"/>
      <c r="RHE148" s="22"/>
      <c r="RHF148" s="22"/>
      <c r="RHG148" s="22"/>
      <c r="RHH148" s="22"/>
      <c r="RHI148" s="22"/>
      <c r="RHJ148" s="22"/>
      <c r="RHK148" s="22"/>
      <c r="RHL148" s="22"/>
      <c r="RHM148" s="22"/>
      <c r="RHN148" s="22"/>
      <c r="RHO148" s="22"/>
      <c r="RHP148" s="22"/>
      <c r="RHQ148" s="22"/>
      <c r="RHR148" s="22"/>
      <c r="RHS148" s="22"/>
      <c r="RHT148" s="22"/>
      <c r="RHU148" s="22"/>
      <c r="RHV148" s="22"/>
      <c r="RHW148" s="22"/>
      <c r="RHX148" s="22"/>
      <c r="RHY148" s="22"/>
      <c r="RHZ148" s="22"/>
      <c r="RIA148" s="22"/>
      <c r="RIB148" s="22"/>
      <c r="RIC148" s="22"/>
      <c r="RID148" s="22"/>
      <c r="RIE148" s="22"/>
      <c r="RIF148" s="22"/>
      <c r="RIG148" s="22"/>
      <c r="RIH148" s="22"/>
      <c r="RII148" s="22"/>
      <c r="RIJ148" s="22"/>
      <c r="RIK148" s="22"/>
      <c r="RIL148" s="22"/>
      <c r="RIM148" s="22"/>
      <c r="RIN148" s="22"/>
      <c r="RIO148" s="22"/>
      <c r="RIP148" s="22"/>
      <c r="RIQ148" s="22"/>
      <c r="RIR148" s="22"/>
      <c r="RIS148" s="22"/>
      <c r="RIT148" s="22"/>
      <c r="RIU148" s="22"/>
      <c r="RIV148" s="22"/>
      <c r="RIW148" s="22"/>
      <c r="RIX148" s="22"/>
      <c r="RIY148" s="22"/>
      <c r="RIZ148" s="22"/>
      <c r="RJA148" s="22"/>
      <c r="RJB148" s="22"/>
      <c r="RJC148" s="22"/>
      <c r="RJD148" s="22"/>
      <c r="RJE148" s="22"/>
      <c r="RJF148" s="22"/>
      <c r="RJG148" s="22"/>
      <c r="RJH148" s="22"/>
      <c r="RJI148" s="22"/>
      <c r="RJJ148" s="22"/>
      <c r="RJK148" s="22"/>
      <c r="RJL148" s="22"/>
      <c r="RJM148" s="22"/>
      <c r="RJN148" s="22"/>
      <c r="RJO148" s="22"/>
      <c r="RJP148" s="22"/>
      <c r="RJQ148" s="22"/>
      <c r="RJR148" s="22"/>
      <c r="RJS148" s="22"/>
      <c r="RJT148" s="22"/>
      <c r="RJU148" s="22"/>
      <c r="RJV148" s="22"/>
      <c r="RJW148" s="22"/>
      <c r="RJX148" s="22"/>
      <c r="RJY148" s="22"/>
      <c r="RJZ148" s="22"/>
      <c r="RKA148" s="22"/>
      <c r="RKB148" s="22"/>
      <c r="RKC148" s="22"/>
      <c r="RKD148" s="22"/>
      <c r="RKE148" s="22"/>
      <c r="RKF148" s="22"/>
      <c r="RKG148" s="22"/>
      <c r="RKH148" s="22"/>
      <c r="RKI148" s="22"/>
      <c r="RKJ148" s="22"/>
      <c r="RKK148" s="22"/>
      <c r="RKL148" s="22"/>
      <c r="RKM148" s="22"/>
      <c r="RKN148" s="22"/>
      <c r="RKO148" s="22"/>
      <c r="RKP148" s="22"/>
      <c r="RKQ148" s="22"/>
      <c r="RKR148" s="22"/>
      <c r="RKS148" s="22"/>
      <c r="RKT148" s="22"/>
      <c r="RKU148" s="22"/>
      <c r="RKV148" s="22"/>
      <c r="RKW148" s="22"/>
      <c r="RKX148" s="22"/>
      <c r="RKY148" s="22"/>
      <c r="RKZ148" s="22"/>
      <c r="RLA148" s="22"/>
      <c r="RLB148" s="22"/>
      <c r="RLC148" s="22"/>
      <c r="RLD148" s="22"/>
      <c r="RLE148" s="22"/>
      <c r="RLF148" s="22"/>
      <c r="RLG148" s="22"/>
      <c r="RLH148" s="22"/>
      <c r="RLI148" s="22"/>
      <c r="RLJ148" s="22"/>
      <c r="RLK148" s="22"/>
      <c r="RLL148" s="22"/>
      <c r="RLM148" s="22"/>
      <c r="RLN148" s="22"/>
      <c r="RLO148" s="22"/>
      <c r="RLP148" s="22"/>
      <c r="RLQ148" s="22"/>
      <c r="RLR148" s="22"/>
      <c r="RLS148" s="22"/>
      <c r="RLT148" s="22"/>
      <c r="RLU148" s="22"/>
      <c r="RLV148" s="22"/>
      <c r="RLW148" s="22"/>
      <c r="RLX148" s="22"/>
      <c r="RLY148" s="22"/>
      <c r="RLZ148" s="22"/>
      <c r="RMA148" s="22"/>
      <c r="RMB148" s="22"/>
      <c r="RMC148" s="22"/>
      <c r="RMD148" s="22"/>
      <c r="RME148" s="22"/>
      <c r="RMF148" s="22"/>
      <c r="RMG148" s="22"/>
      <c r="RMH148" s="22"/>
      <c r="RMI148" s="22"/>
      <c r="RMJ148" s="22"/>
      <c r="RMK148" s="22"/>
      <c r="RML148" s="22"/>
      <c r="RMM148" s="22"/>
      <c r="RMN148" s="22"/>
      <c r="RMO148" s="22"/>
      <c r="RMP148" s="22"/>
      <c r="RMQ148" s="22"/>
      <c r="RMR148" s="22"/>
      <c r="RMS148" s="22"/>
      <c r="RMT148" s="22"/>
      <c r="RMU148" s="22"/>
      <c r="RMV148" s="22"/>
      <c r="RMW148" s="22"/>
      <c r="RMX148" s="22"/>
      <c r="RMY148" s="22"/>
      <c r="RMZ148" s="22"/>
      <c r="RNA148" s="22"/>
      <c r="RNB148" s="22"/>
      <c r="RNC148" s="22"/>
      <c r="RND148" s="22"/>
      <c r="RNE148" s="22"/>
      <c r="RNF148" s="22"/>
      <c r="RNG148" s="22"/>
      <c r="RNH148" s="22"/>
      <c r="RNI148" s="22"/>
      <c r="RNJ148" s="22"/>
      <c r="RNK148" s="22"/>
      <c r="RNL148" s="22"/>
      <c r="RNM148" s="22"/>
      <c r="RNN148" s="22"/>
      <c r="RNO148" s="22"/>
      <c r="RNP148" s="22"/>
      <c r="RNQ148" s="22"/>
      <c r="RNR148" s="22"/>
      <c r="RNS148" s="22"/>
      <c r="RNT148" s="22"/>
      <c r="RNU148" s="22"/>
      <c r="RNV148" s="22"/>
      <c r="RNW148" s="22"/>
      <c r="RNX148" s="22"/>
      <c r="RNY148" s="22"/>
      <c r="RNZ148" s="22"/>
      <c r="ROA148" s="22"/>
      <c r="ROB148" s="22"/>
      <c r="ROC148" s="22"/>
      <c r="ROD148" s="22"/>
      <c r="ROE148" s="22"/>
      <c r="ROF148" s="22"/>
      <c r="ROG148" s="22"/>
      <c r="ROH148" s="22"/>
      <c r="ROI148" s="22"/>
      <c r="ROJ148" s="22"/>
      <c r="ROK148" s="22"/>
      <c r="ROL148" s="22"/>
      <c r="ROM148" s="22"/>
      <c r="RON148" s="22"/>
      <c r="ROO148" s="22"/>
      <c r="ROP148" s="22"/>
      <c r="ROQ148" s="22"/>
      <c r="ROR148" s="22"/>
      <c r="ROS148" s="22"/>
      <c r="ROT148" s="22"/>
      <c r="ROU148" s="22"/>
      <c r="ROV148" s="22"/>
      <c r="ROW148" s="22"/>
      <c r="ROX148" s="22"/>
      <c r="ROY148" s="22"/>
      <c r="ROZ148" s="22"/>
      <c r="RPA148" s="22"/>
      <c r="RPB148" s="22"/>
      <c r="RPC148" s="22"/>
      <c r="RPD148" s="22"/>
      <c r="RPE148" s="22"/>
      <c r="RPF148" s="22"/>
      <c r="RPG148" s="22"/>
      <c r="RPH148" s="22"/>
      <c r="RPI148" s="22"/>
      <c r="RPJ148" s="22"/>
      <c r="RPK148" s="22"/>
      <c r="RPL148" s="22"/>
      <c r="RPM148" s="22"/>
      <c r="RPN148" s="22"/>
      <c r="RPO148" s="22"/>
      <c r="RPP148" s="22"/>
      <c r="RPQ148" s="22"/>
      <c r="RPR148" s="22"/>
      <c r="RPS148" s="22"/>
      <c r="RPT148" s="22"/>
      <c r="RPU148" s="22"/>
      <c r="RPV148" s="22"/>
      <c r="RPW148" s="22"/>
      <c r="RPX148" s="22"/>
      <c r="RPY148" s="22"/>
      <c r="RPZ148" s="22"/>
      <c r="RQA148" s="22"/>
      <c r="RQB148" s="22"/>
      <c r="RQC148" s="22"/>
      <c r="RQD148" s="22"/>
      <c r="RQE148" s="22"/>
      <c r="RQF148" s="22"/>
      <c r="RQG148" s="22"/>
      <c r="RQH148" s="22"/>
      <c r="RQI148" s="22"/>
      <c r="RQJ148" s="22"/>
      <c r="RQK148" s="22"/>
      <c r="RQL148" s="22"/>
      <c r="RQM148" s="22"/>
      <c r="RQN148" s="22"/>
      <c r="RQO148" s="22"/>
      <c r="RQP148" s="22"/>
      <c r="RQQ148" s="22"/>
      <c r="RQR148" s="22"/>
      <c r="RQS148" s="22"/>
      <c r="RQT148" s="22"/>
      <c r="RQU148" s="22"/>
      <c r="RQV148" s="22"/>
      <c r="RQW148" s="22"/>
      <c r="RQX148" s="22"/>
      <c r="RQY148" s="22"/>
      <c r="RQZ148" s="22"/>
      <c r="RRA148" s="22"/>
      <c r="RRB148" s="22"/>
      <c r="RRC148" s="22"/>
      <c r="RRD148" s="22"/>
      <c r="RRE148" s="22"/>
      <c r="RRF148" s="22"/>
      <c r="RRG148" s="22"/>
      <c r="RRH148" s="22"/>
      <c r="RRI148" s="22"/>
      <c r="RRJ148" s="22"/>
      <c r="RRK148" s="22"/>
      <c r="RRL148" s="22"/>
      <c r="RRM148" s="22"/>
      <c r="RRN148" s="22"/>
      <c r="RRO148" s="22"/>
      <c r="RRP148" s="22"/>
      <c r="RRQ148" s="22"/>
      <c r="RRR148" s="22"/>
      <c r="RRS148" s="22"/>
      <c r="RRT148" s="22"/>
      <c r="RRU148" s="22"/>
      <c r="RRV148" s="22"/>
      <c r="RRW148" s="22"/>
      <c r="RRX148" s="22"/>
      <c r="RRY148" s="22"/>
      <c r="RRZ148" s="22"/>
      <c r="RSA148" s="22"/>
      <c r="RSB148" s="22"/>
      <c r="RSC148" s="22"/>
      <c r="RSD148" s="22"/>
      <c r="RSE148" s="22"/>
      <c r="RSF148" s="22"/>
      <c r="RSG148" s="22"/>
      <c r="RSH148" s="22"/>
      <c r="RSI148" s="22"/>
      <c r="RSJ148" s="22"/>
      <c r="RSK148" s="22"/>
      <c r="RSL148" s="22"/>
      <c r="RSM148" s="22"/>
      <c r="RSN148" s="22"/>
      <c r="RSO148" s="22"/>
      <c r="RSP148" s="22"/>
      <c r="RSQ148" s="22"/>
      <c r="RSR148" s="22"/>
      <c r="RSS148" s="22"/>
      <c r="RST148" s="22"/>
      <c r="RSU148" s="22"/>
      <c r="RSV148" s="22"/>
      <c r="RSW148" s="22"/>
      <c r="RSX148" s="22"/>
      <c r="RSY148" s="22"/>
      <c r="RSZ148" s="22"/>
      <c r="RTA148" s="22"/>
      <c r="RTB148" s="22"/>
      <c r="RTC148" s="22"/>
      <c r="RTD148" s="22"/>
      <c r="RTE148" s="22"/>
      <c r="RTF148" s="22"/>
      <c r="RTG148" s="22"/>
      <c r="RTH148" s="22"/>
      <c r="RTI148" s="22"/>
      <c r="RTJ148" s="22"/>
      <c r="RTK148" s="22"/>
      <c r="RTL148" s="22"/>
      <c r="RTM148" s="22"/>
      <c r="RTN148" s="22"/>
      <c r="RTO148" s="22"/>
      <c r="RTP148" s="22"/>
      <c r="RTQ148" s="22"/>
      <c r="RTR148" s="22"/>
      <c r="RTS148" s="22"/>
      <c r="RTT148" s="22"/>
      <c r="RTU148" s="22"/>
      <c r="RTV148" s="22"/>
      <c r="RTW148" s="22"/>
      <c r="RTX148" s="22"/>
      <c r="RTY148" s="22"/>
      <c r="RTZ148" s="22"/>
      <c r="RUA148" s="22"/>
      <c r="RUB148" s="22"/>
      <c r="RUC148" s="22"/>
      <c r="RUD148" s="22"/>
      <c r="RUE148" s="22"/>
      <c r="RUF148" s="22"/>
      <c r="RUG148" s="22"/>
      <c r="RUH148" s="22"/>
      <c r="RUI148" s="22"/>
      <c r="RUJ148" s="22"/>
      <c r="RUK148" s="22"/>
      <c r="RUL148" s="22"/>
      <c r="RUM148" s="22"/>
      <c r="RUN148" s="22"/>
      <c r="RUO148" s="22"/>
      <c r="RUP148" s="22"/>
      <c r="RUQ148" s="22"/>
      <c r="RUR148" s="22"/>
      <c r="RUS148" s="22"/>
      <c r="RUT148" s="22"/>
      <c r="RUU148" s="22"/>
      <c r="RUV148" s="22"/>
      <c r="RUW148" s="22"/>
      <c r="RUX148" s="22"/>
      <c r="RUY148" s="22"/>
      <c r="RUZ148" s="22"/>
      <c r="RVA148" s="22"/>
      <c r="RVB148" s="22"/>
      <c r="RVC148" s="22"/>
      <c r="RVD148" s="22"/>
      <c r="RVE148" s="22"/>
      <c r="RVF148" s="22"/>
      <c r="RVG148" s="22"/>
      <c r="RVH148" s="22"/>
      <c r="RVI148" s="22"/>
      <c r="RVJ148" s="22"/>
      <c r="RVK148" s="22"/>
      <c r="RVL148" s="22"/>
      <c r="RVM148" s="22"/>
      <c r="RVN148" s="22"/>
      <c r="RVO148" s="22"/>
      <c r="RVP148" s="22"/>
      <c r="RVQ148" s="22"/>
      <c r="RVR148" s="22"/>
      <c r="RVS148" s="22"/>
      <c r="RVT148" s="22"/>
      <c r="RVU148" s="22"/>
      <c r="RVV148" s="22"/>
      <c r="RVW148" s="22"/>
      <c r="RVX148" s="22"/>
      <c r="RVY148" s="22"/>
      <c r="RVZ148" s="22"/>
      <c r="RWA148" s="22"/>
      <c r="RWB148" s="22"/>
      <c r="RWC148" s="22"/>
      <c r="RWD148" s="22"/>
      <c r="RWE148" s="22"/>
      <c r="RWF148" s="22"/>
      <c r="RWG148" s="22"/>
      <c r="RWH148" s="22"/>
      <c r="RWI148" s="22"/>
      <c r="RWJ148" s="22"/>
      <c r="RWK148" s="22"/>
      <c r="RWL148" s="22"/>
      <c r="RWM148" s="22"/>
      <c r="RWN148" s="22"/>
      <c r="RWO148" s="22"/>
      <c r="RWP148" s="22"/>
      <c r="RWQ148" s="22"/>
      <c r="RWR148" s="22"/>
      <c r="RWS148" s="22"/>
      <c r="RWT148" s="22"/>
      <c r="RWU148" s="22"/>
      <c r="RWV148" s="22"/>
      <c r="RWW148" s="22"/>
      <c r="RWX148" s="22"/>
      <c r="RWY148" s="22"/>
      <c r="RWZ148" s="22"/>
      <c r="RXA148" s="22"/>
      <c r="RXB148" s="22"/>
      <c r="RXC148" s="22"/>
      <c r="RXD148" s="22"/>
      <c r="RXE148" s="22"/>
      <c r="RXF148" s="22"/>
      <c r="RXG148" s="22"/>
      <c r="RXH148" s="22"/>
      <c r="RXI148" s="22"/>
      <c r="RXJ148" s="22"/>
      <c r="RXK148" s="22"/>
      <c r="RXL148" s="22"/>
      <c r="RXM148" s="22"/>
      <c r="RXN148" s="22"/>
      <c r="RXO148" s="22"/>
      <c r="RXP148" s="22"/>
      <c r="RXQ148" s="22"/>
      <c r="RXR148" s="22"/>
      <c r="RXS148" s="22"/>
      <c r="RXT148" s="22"/>
      <c r="RXU148" s="22"/>
      <c r="RXV148" s="22"/>
      <c r="RXW148" s="22"/>
      <c r="RXX148" s="22"/>
      <c r="RXY148" s="22"/>
      <c r="RXZ148" s="22"/>
      <c r="RYA148" s="22"/>
      <c r="RYB148" s="22"/>
      <c r="RYC148" s="22"/>
      <c r="RYD148" s="22"/>
      <c r="RYE148" s="22"/>
      <c r="RYF148" s="22"/>
      <c r="RYG148" s="22"/>
      <c r="RYH148" s="22"/>
      <c r="RYI148" s="22"/>
      <c r="RYJ148" s="22"/>
      <c r="RYK148" s="22"/>
      <c r="RYL148" s="22"/>
      <c r="RYM148" s="22"/>
      <c r="RYN148" s="22"/>
      <c r="RYO148" s="22"/>
      <c r="RYP148" s="22"/>
      <c r="RYQ148" s="22"/>
      <c r="RYR148" s="22"/>
      <c r="RYS148" s="22"/>
      <c r="RYT148" s="22"/>
      <c r="RYU148" s="22"/>
      <c r="RYV148" s="22"/>
      <c r="RYW148" s="22"/>
      <c r="RYX148" s="22"/>
      <c r="RYY148" s="22"/>
      <c r="RYZ148" s="22"/>
      <c r="RZA148" s="22"/>
      <c r="RZB148" s="22"/>
      <c r="RZC148" s="22"/>
      <c r="RZD148" s="22"/>
      <c r="RZE148" s="22"/>
      <c r="RZF148" s="22"/>
      <c r="RZG148" s="22"/>
      <c r="RZH148" s="22"/>
      <c r="RZI148" s="22"/>
      <c r="RZJ148" s="22"/>
      <c r="RZK148" s="22"/>
      <c r="RZL148" s="22"/>
      <c r="RZM148" s="22"/>
      <c r="RZN148" s="22"/>
      <c r="RZO148" s="22"/>
      <c r="RZP148" s="22"/>
      <c r="RZQ148" s="22"/>
      <c r="RZR148" s="22"/>
      <c r="RZS148" s="22"/>
      <c r="RZT148" s="22"/>
      <c r="RZU148" s="22"/>
      <c r="RZV148" s="22"/>
      <c r="RZW148" s="22"/>
      <c r="RZX148" s="22"/>
      <c r="RZY148" s="22"/>
      <c r="RZZ148" s="22"/>
      <c r="SAA148" s="22"/>
      <c r="SAB148" s="22"/>
      <c r="SAC148" s="22"/>
      <c r="SAD148" s="22"/>
      <c r="SAE148" s="22"/>
      <c r="SAF148" s="22"/>
      <c r="SAG148" s="22"/>
      <c r="SAH148" s="22"/>
      <c r="SAI148" s="22"/>
      <c r="SAJ148" s="22"/>
      <c r="SAK148" s="22"/>
      <c r="SAL148" s="22"/>
      <c r="SAM148" s="22"/>
      <c r="SAN148" s="22"/>
      <c r="SAO148" s="22"/>
      <c r="SAP148" s="22"/>
      <c r="SAQ148" s="22"/>
      <c r="SAR148" s="22"/>
      <c r="SAS148" s="22"/>
      <c r="SAT148" s="22"/>
      <c r="SAU148" s="22"/>
      <c r="SAV148" s="22"/>
      <c r="SAW148" s="22"/>
      <c r="SAX148" s="22"/>
      <c r="SAY148" s="22"/>
      <c r="SAZ148" s="22"/>
      <c r="SBA148" s="22"/>
      <c r="SBB148" s="22"/>
      <c r="SBC148" s="22"/>
      <c r="SBD148" s="22"/>
      <c r="SBE148" s="22"/>
      <c r="SBF148" s="22"/>
      <c r="SBG148" s="22"/>
      <c r="SBH148" s="22"/>
      <c r="SBI148" s="22"/>
      <c r="SBJ148" s="22"/>
      <c r="SBK148" s="22"/>
      <c r="SBL148" s="22"/>
      <c r="SBM148" s="22"/>
      <c r="SBN148" s="22"/>
      <c r="SBO148" s="22"/>
      <c r="SBP148" s="22"/>
      <c r="SBQ148" s="22"/>
      <c r="SBR148" s="22"/>
      <c r="SBS148" s="22"/>
      <c r="SBT148" s="22"/>
      <c r="SBU148" s="22"/>
      <c r="SBV148" s="22"/>
      <c r="SBW148" s="22"/>
      <c r="SBX148" s="22"/>
      <c r="SBY148" s="22"/>
      <c r="SBZ148" s="22"/>
      <c r="SCA148" s="22"/>
      <c r="SCB148" s="22"/>
      <c r="SCC148" s="22"/>
      <c r="SCD148" s="22"/>
      <c r="SCE148" s="22"/>
      <c r="SCF148" s="22"/>
      <c r="SCG148" s="22"/>
      <c r="SCH148" s="22"/>
      <c r="SCI148" s="22"/>
      <c r="SCJ148" s="22"/>
      <c r="SCK148" s="22"/>
      <c r="SCL148" s="22"/>
      <c r="SCM148" s="22"/>
      <c r="SCN148" s="22"/>
      <c r="SCO148" s="22"/>
      <c r="SCP148" s="22"/>
      <c r="SCQ148" s="22"/>
      <c r="SCR148" s="22"/>
      <c r="SCS148" s="22"/>
      <c r="SCT148" s="22"/>
      <c r="SCU148" s="22"/>
      <c r="SCV148" s="22"/>
      <c r="SCW148" s="22"/>
      <c r="SCX148" s="22"/>
      <c r="SCY148" s="22"/>
      <c r="SCZ148" s="22"/>
      <c r="SDA148" s="22"/>
      <c r="SDB148" s="22"/>
      <c r="SDC148" s="22"/>
      <c r="SDD148" s="22"/>
      <c r="SDE148" s="22"/>
      <c r="SDF148" s="22"/>
      <c r="SDG148" s="22"/>
      <c r="SDH148" s="22"/>
      <c r="SDI148" s="22"/>
      <c r="SDJ148" s="22"/>
      <c r="SDK148" s="22"/>
      <c r="SDL148" s="22"/>
      <c r="SDM148" s="22"/>
      <c r="SDN148" s="22"/>
      <c r="SDO148" s="22"/>
      <c r="SDP148" s="22"/>
      <c r="SDQ148" s="22"/>
      <c r="SDR148" s="22"/>
      <c r="SDS148" s="22"/>
      <c r="SDT148" s="22"/>
      <c r="SDU148" s="22"/>
      <c r="SDV148" s="22"/>
      <c r="SDW148" s="22"/>
      <c r="SDX148" s="22"/>
      <c r="SDY148" s="22"/>
      <c r="SDZ148" s="22"/>
      <c r="SEA148" s="22"/>
      <c r="SEB148" s="22"/>
      <c r="SEC148" s="22"/>
      <c r="SED148" s="22"/>
      <c r="SEE148" s="22"/>
      <c r="SEF148" s="22"/>
      <c r="SEG148" s="22"/>
      <c r="SEH148" s="22"/>
      <c r="SEI148" s="22"/>
      <c r="SEJ148" s="22"/>
      <c r="SEK148" s="22"/>
      <c r="SEL148" s="22"/>
      <c r="SEM148" s="22"/>
      <c r="SEN148" s="22"/>
      <c r="SEO148" s="22"/>
      <c r="SEP148" s="22"/>
      <c r="SEQ148" s="22"/>
      <c r="SER148" s="22"/>
      <c r="SES148" s="22"/>
      <c r="SET148" s="22"/>
      <c r="SEU148" s="22"/>
      <c r="SEV148" s="22"/>
      <c r="SEW148" s="22"/>
      <c r="SEX148" s="22"/>
      <c r="SEY148" s="22"/>
      <c r="SEZ148" s="22"/>
      <c r="SFA148" s="22"/>
      <c r="SFB148" s="22"/>
      <c r="SFC148" s="22"/>
      <c r="SFD148" s="22"/>
      <c r="SFE148" s="22"/>
      <c r="SFF148" s="22"/>
      <c r="SFG148" s="22"/>
      <c r="SFH148" s="22"/>
      <c r="SFI148" s="22"/>
      <c r="SFJ148" s="22"/>
      <c r="SFK148" s="22"/>
      <c r="SFL148" s="22"/>
      <c r="SFM148" s="22"/>
      <c r="SFN148" s="22"/>
      <c r="SFO148" s="22"/>
      <c r="SFP148" s="22"/>
      <c r="SFQ148" s="22"/>
      <c r="SFR148" s="22"/>
      <c r="SFS148" s="22"/>
      <c r="SFT148" s="22"/>
      <c r="SFU148" s="22"/>
      <c r="SFV148" s="22"/>
      <c r="SFW148" s="22"/>
      <c r="SFX148" s="22"/>
      <c r="SFY148" s="22"/>
      <c r="SFZ148" s="22"/>
      <c r="SGA148" s="22"/>
      <c r="SGB148" s="22"/>
      <c r="SGC148" s="22"/>
      <c r="SGD148" s="22"/>
      <c r="SGE148" s="22"/>
      <c r="SGF148" s="22"/>
      <c r="SGG148" s="22"/>
      <c r="SGH148" s="22"/>
      <c r="SGI148" s="22"/>
      <c r="SGJ148" s="22"/>
      <c r="SGK148" s="22"/>
      <c r="SGL148" s="22"/>
      <c r="SGM148" s="22"/>
      <c r="SGN148" s="22"/>
      <c r="SGO148" s="22"/>
      <c r="SGP148" s="22"/>
      <c r="SGQ148" s="22"/>
      <c r="SGR148" s="22"/>
      <c r="SGS148" s="22"/>
      <c r="SGT148" s="22"/>
      <c r="SGU148" s="22"/>
      <c r="SGV148" s="22"/>
      <c r="SGW148" s="22"/>
      <c r="SGX148" s="22"/>
      <c r="SGY148" s="22"/>
      <c r="SGZ148" s="22"/>
      <c r="SHA148" s="22"/>
      <c r="SHB148" s="22"/>
      <c r="SHC148" s="22"/>
      <c r="SHD148" s="22"/>
      <c r="SHE148" s="22"/>
      <c r="SHF148" s="22"/>
      <c r="SHG148" s="22"/>
      <c r="SHH148" s="22"/>
      <c r="SHI148" s="22"/>
      <c r="SHJ148" s="22"/>
      <c r="SHK148" s="22"/>
      <c r="SHL148" s="22"/>
      <c r="SHM148" s="22"/>
      <c r="SHN148" s="22"/>
      <c r="SHO148" s="22"/>
      <c r="SHP148" s="22"/>
      <c r="SHQ148" s="22"/>
      <c r="SHR148" s="22"/>
      <c r="SHS148" s="22"/>
      <c r="SHT148" s="22"/>
      <c r="SHU148" s="22"/>
      <c r="SHV148" s="22"/>
      <c r="SHW148" s="22"/>
      <c r="SHX148" s="22"/>
      <c r="SHY148" s="22"/>
      <c r="SHZ148" s="22"/>
      <c r="SIA148" s="22"/>
      <c r="SIB148" s="22"/>
      <c r="SIC148" s="22"/>
      <c r="SID148" s="22"/>
      <c r="SIE148" s="22"/>
      <c r="SIF148" s="22"/>
      <c r="SIG148" s="22"/>
      <c r="SIH148" s="22"/>
      <c r="SII148" s="22"/>
      <c r="SIJ148" s="22"/>
      <c r="SIK148" s="22"/>
      <c r="SIL148" s="22"/>
      <c r="SIM148" s="22"/>
      <c r="SIN148" s="22"/>
      <c r="SIO148" s="22"/>
      <c r="SIP148" s="22"/>
      <c r="SIQ148" s="22"/>
      <c r="SIR148" s="22"/>
      <c r="SIS148" s="22"/>
      <c r="SIT148" s="22"/>
      <c r="SIU148" s="22"/>
      <c r="SIV148" s="22"/>
      <c r="SIW148" s="22"/>
      <c r="SIX148" s="22"/>
      <c r="SIY148" s="22"/>
      <c r="SIZ148" s="22"/>
      <c r="SJA148" s="22"/>
      <c r="SJB148" s="22"/>
      <c r="SJC148" s="22"/>
      <c r="SJD148" s="22"/>
      <c r="SJE148" s="22"/>
      <c r="SJF148" s="22"/>
      <c r="SJG148" s="22"/>
      <c r="SJH148" s="22"/>
      <c r="SJI148" s="22"/>
      <c r="SJJ148" s="22"/>
      <c r="SJK148" s="22"/>
      <c r="SJL148" s="22"/>
      <c r="SJM148" s="22"/>
      <c r="SJN148" s="22"/>
      <c r="SJO148" s="22"/>
      <c r="SJP148" s="22"/>
      <c r="SJQ148" s="22"/>
      <c r="SJR148" s="22"/>
      <c r="SJS148" s="22"/>
      <c r="SJT148" s="22"/>
      <c r="SJU148" s="22"/>
      <c r="SJV148" s="22"/>
      <c r="SJW148" s="22"/>
      <c r="SJX148" s="22"/>
      <c r="SJY148" s="22"/>
      <c r="SJZ148" s="22"/>
      <c r="SKA148" s="22"/>
      <c r="SKB148" s="22"/>
      <c r="SKC148" s="22"/>
      <c r="SKD148" s="22"/>
      <c r="SKE148" s="22"/>
      <c r="SKF148" s="22"/>
      <c r="SKG148" s="22"/>
      <c r="SKH148" s="22"/>
      <c r="SKI148" s="22"/>
      <c r="SKJ148" s="22"/>
      <c r="SKK148" s="22"/>
      <c r="SKL148" s="22"/>
      <c r="SKM148" s="22"/>
      <c r="SKN148" s="22"/>
      <c r="SKO148" s="22"/>
      <c r="SKP148" s="22"/>
      <c r="SKQ148" s="22"/>
      <c r="SKR148" s="22"/>
      <c r="SKS148" s="22"/>
      <c r="SKT148" s="22"/>
      <c r="SKU148" s="22"/>
      <c r="SKV148" s="22"/>
      <c r="SKW148" s="22"/>
      <c r="SKX148" s="22"/>
      <c r="SKY148" s="22"/>
      <c r="SKZ148" s="22"/>
      <c r="SLA148" s="22"/>
      <c r="SLB148" s="22"/>
      <c r="SLC148" s="22"/>
      <c r="SLD148" s="22"/>
      <c r="SLE148" s="22"/>
      <c r="SLF148" s="22"/>
      <c r="SLG148" s="22"/>
      <c r="SLH148" s="22"/>
      <c r="SLI148" s="22"/>
      <c r="SLJ148" s="22"/>
      <c r="SLK148" s="22"/>
      <c r="SLL148" s="22"/>
      <c r="SLM148" s="22"/>
      <c r="SLN148" s="22"/>
      <c r="SLO148" s="22"/>
      <c r="SLP148" s="22"/>
      <c r="SLQ148" s="22"/>
      <c r="SLR148" s="22"/>
      <c r="SLS148" s="22"/>
      <c r="SLT148" s="22"/>
      <c r="SLU148" s="22"/>
      <c r="SLV148" s="22"/>
      <c r="SLW148" s="22"/>
      <c r="SLX148" s="22"/>
      <c r="SLY148" s="22"/>
      <c r="SLZ148" s="22"/>
      <c r="SMA148" s="22"/>
      <c r="SMB148" s="22"/>
      <c r="SMC148" s="22"/>
      <c r="SMD148" s="22"/>
      <c r="SME148" s="22"/>
      <c r="SMF148" s="22"/>
      <c r="SMG148" s="22"/>
      <c r="SMH148" s="22"/>
      <c r="SMI148" s="22"/>
      <c r="SMJ148" s="22"/>
      <c r="SMK148" s="22"/>
      <c r="SML148" s="22"/>
      <c r="SMM148" s="22"/>
      <c r="SMN148" s="22"/>
      <c r="SMO148" s="22"/>
      <c r="SMP148" s="22"/>
      <c r="SMQ148" s="22"/>
      <c r="SMR148" s="22"/>
      <c r="SMS148" s="22"/>
      <c r="SMT148" s="22"/>
      <c r="SMU148" s="22"/>
      <c r="SMV148" s="22"/>
      <c r="SMW148" s="22"/>
      <c r="SMX148" s="22"/>
      <c r="SMY148" s="22"/>
      <c r="SMZ148" s="22"/>
      <c r="SNA148" s="22"/>
      <c r="SNB148" s="22"/>
      <c r="SNC148" s="22"/>
      <c r="SND148" s="22"/>
      <c r="SNE148" s="22"/>
      <c r="SNF148" s="22"/>
      <c r="SNG148" s="22"/>
      <c r="SNH148" s="22"/>
      <c r="SNI148" s="22"/>
      <c r="SNJ148" s="22"/>
      <c r="SNK148" s="22"/>
      <c r="SNL148" s="22"/>
      <c r="SNM148" s="22"/>
      <c r="SNN148" s="22"/>
      <c r="SNO148" s="22"/>
      <c r="SNP148" s="22"/>
      <c r="SNQ148" s="22"/>
      <c r="SNR148" s="22"/>
      <c r="SNS148" s="22"/>
      <c r="SNT148" s="22"/>
      <c r="SNU148" s="22"/>
      <c r="SNV148" s="22"/>
      <c r="SNW148" s="22"/>
      <c r="SNX148" s="22"/>
      <c r="SNY148" s="22"/>
      <c r="SNZ148" s="22"/>
      <c r="SOA148" s="22"/>
      <c r="SOB148" s="22"/>
      <c r="SOC148" s="22"/>
      <c r="SOD148" s="22"/>
      <c r="SOE148" s="22"/>
      <c r="SOF148" s="22"/>
      <c r="SOG148" s="22"/>
      <c r="SOH148" s="22"/>
      <c r="SOI148" s="22"/>
      <c r="SOJ148" s="22"/>
      <c r="SOK148" s="22"/>
      <c r="SOL148" s="22"/>
      <c r="SOM148" s="22"/>
      <c r="SON148" s="22"/>
      <c r="SOO148" s="22"/>
      <c r="SOP148" s="22"/>
      <c r="SOQ148" s="22"/>
      <c r="SOR148" s="22"/>
      <c r="SOS148" s="22"/>
      <c r="SOT148" s="22"/>
      <c r="SOU148" s="22"/>
      <c r="SOV148" s="22"/>
      <c r="SOW148" s="22"/>
      <c r="SOX148" s="22"/>
      <c r="SOY148" s="22"/>
      <c r="SOZ148" s="22"/>
      <c r="SPA148" s="22"/>
      <c r="SPB148" s="22"/>
      <c r="SPC148" s="22"/>
      <c r="SPD148" s="22"/>
      <c r="SPE148" s="22"/>
      <c r="SPF148" s="22"/>
      <c r="SPG148" s="22"/>
      <c r="SPH148" s="22"/>
      <c r="SPI148" s="22"/>
      <c r="SPJ148" s="22"/>
      <c r="SPK148" s="22"/>
      <c r="SPL148" s="22"/>
      <c r="SPM148" s="22"/>
      <c r="SPN148" s="22"/>
      <c r="SPO148" s="22"/>
      <c r="SPP148" s="22"/>
      <c r="SPQ148" s="22"/>
      <c r="SPR148" s="22"/>
      <c r="SPS148" s="22"/>
      <c r="SPT148" s="22"/>
      <c r="SPU148" s="22"/>
      <c r="SPV148" s="22"/>
      <c r="SPW148" s="22"/>
      <c r="SPX148" s="22"/>
      <c r="SPY148" s="22"/>
      <c r="SPZ148" s="22"/>
      <c r="SQA148" s="22"/>
      <c r="SQB148" s="22"/>
      <c r="SQC148" s="22"/>
      <c r="SQD148" s="22"/>
      <c r="SQE148" s="22"/>
      <c r="SQF148" s="22"/>
      <c r="SQG148" s="22"/>
      <c r="SQH148" s="22"/>
      <c r="SQI148" s="22"/>
      <c r="SQJ148" s="22"/>
      <c r="SQK148" s="22"/>
      <c r="SQL148" s="22"/>
      <c r="SQM148" s="22"/>
      <c r="SQN148" s="22"/>
      <c r="SQO148" s="22"/>
      <c r="SQP148" s="22"/>
      <c r="SQQ148" s="22"/>
      <c r="SQR148" s="22"/>
      <c r="SQS148" s="22"/>
      <c r="SQT148" s="22"/>
      <c r="SQU148" s="22"/>
      <c r="SQV148" s="22"/>
      <c r="SQW148" s="22"/>
      <c r="SQX148" s="22"/>
      <c r="SQY148" s="22"/>
      <c r="SQZ148" s="22"/>
      <c r="SRA148" s="22"/>
      <c r="SRB148" s="22"/>
      <c r="SRC148" s="22"/>
      <c r="SRD148" s="22"/>
      <c r="SRE148" s="22"/>
      <c r="SRF148" s="22"/>
      <c r="SRG148" s="22"/>
      <c r="SRH148" s="22"/>
      <c r="SRI148" s="22"/>
      <c r="SRJ148" s="22"/>
      <c r="SRK148" s="22"/>
      <c r="SRL148" s="22"/>
      <c r="SRM148" s="22"/>
      <c r="SRN148" s="22"/>
      <c r="SRO148" s="22"/>
      <c r="SRP148" s="22"/>
      <c r="SRQ148" s="22"/>
      <c r="SRR148" s="22"/>
      <c r="SRS148" s="22"/>
      <c r="SRT148" s="22"/>
      <c r="SRU148" s="22"/>
      <c r="SRV148" s="22"/>
      <c r="SRW148" s="22"/>
      <c r="SRX148" s="22"/>
      <c r="SRY148" s="22"/>
      <c r="SRZ148" s="22"/>
      <c r="SSA148" s="22"/>
      <c r="SSB148" s="22"/>
      <c r="SSC148" s="22"/>
      <c r="SSD148" s="22"/>
      <c r="SSE148" s="22"/>
      <c r="SSF148" s="22"/>
      <c r="SSG148" s="22"/>
      <c r="SSH148" s="22"/>
      <c r="SSI148" s="22"/>
      <c r="SSJ148" s="22"/>
      <c r="SSK148" s="22"/>
      <c r="SSL148" s="22"/>
      <c r="SSM148" s="22"/>
      <c r="SSN148" s="22"/>
      <c r="SSO148" s="22"/>
      <c r="SSP148" s="22"/>
      <c r="SSQ148" s="22"/>
      <c r="SSR148" s="22"/>
      <c r="SSS148" s="22"/>
      <c r="SST148" s="22"/>
      <c r="SSU148" s="22"/>
      <c r="SSV148" s="22"/>
      <c r="SSW148" s="22"/>
      <c r="SSX148" s="22"/>
      <c r="SSY148" s="22"/>
      <c r="SSZ148" s="22"/>
      <c r="STA148" s="22"/>
      <c r="STB148" s="22"/>
      <c r="STC148" s="22"/>
      <c r="STD148" s="22"/>
      <c r="STE148" s="22"/>
      <c r="STF148" s="22"/>
      <c r="STG148" s="22"/>
      <c r="STH148" s="22"/>
      <c r="STI148" s="22"/>
      <c r="STJ148" s="22"/>
      <c r="STK148" s="22"/>
      <c r="STL148" s="22"/>
      <c r="STM148" s="22"/>
      <c r="STN148" s="22"/>
      <c r="STO148" s="22"/>
      <c r="STP148" s="22"/>
      <c r="STQ148" s="22"/>
      <c r="STR148" s="22"/>
      <c r="STS148" s="22"/>
      <c r="STT148" s="22"/>
      <c r="STU148" s="22"/>
      <c r="STV148" s="22"/>
      <c r="STW148" s="22"/>
      <c r="STX148" s="22"/>
      <c r="STY148" s="22"/>
      <c r="STZ148" s="22"/>
      <c r="SUA148" s="22"/>
      <c r="SUB148" s="22"/>
      <c r="SUC148" s="22"/>
      <c r="SUD148" s="22"/>
      <c r="SUE148" s="22"/>
      <c r="SUF148" s="22"/>
      <c r="SUG148" s="22"/>
      <c r="SUH148" s="22"/>
      <c r="SUI148" s="22"/>
      <c r="SUJ148" s="22"/>
      <c r="SUK148" s="22"/>
      <c r="SUL148" s="22"/>
      <c r="SUM148" s="22"/>
      <c r="SUN148" s="22"/>
      <c r="SUO148" s="22"/>
      <c r="SUP148" s="22"/>
      <c r="SUQ148" s="22"/>
      <c r="SUR148" s="22"/>
      <c r="SUS148" s="22"/>
      <c r="SUT148" s="22"/>
      <c r="SUU148" s="22"/>
      <c r="SUV148" s="22"/>
      <c r="SUW148" s="22"/>
      <c r="SUX148" s="22"/>
      <c r="SUY148" s="22"/>
      <c r="SUZ148" s="22"/>
      <c r="SVA148" s="22"/>
      <c r="SVB148" s="22"/>
      <c r="SVC148" s="22"/>
      <c r="SVD148" s="22"/>
      <c r="SVE148" s="22"/>
      <c r="SVF148" s="22"/>
      <c r="SVG148" s="22"/>
      <c r="SVH148" s="22"/>
      <c r="SVI148" s="22"/>
      <c r="SVJ148" s="22"/>
      <c r="SVK148" s="22"/>
      <c r="SVL148" s="22"/>
      <c r="SVM148" s="22"/>
      <c r="SVN148" s="22"/>
      <c r="SVO148" s="22"/>
      <c r="SVP148" s="22"/>
      <c r="SVQ148" s="22"/>
      <c r="SVR148" s="22"/>
      <c r="SVS148" s="22"/>
      <c r="SVT148" s="22"/>
      <c r="SVU148" s="22"/>
      <c r="SVV148" s="22"/>
      <c r="SVW148" s="22"/>
      <c r="SVX148" s="22"/>
      <c r="SVY148" s="22"/>
      <c r="SVZ148" s="22"/>
      <c r="SWA148" s="22"/>
      <c r="SWB148" s="22"/>
      <c r="SWC148" s="22"/>
      <c r="SWD148" s="22"/>
      <c r="SWE148" s="22"/>
      <c r="SWF148" s="22"/>
      <c r="SWG148" s="22"/>
      <c r="SWH148" s="22"/>
      <c r="SWI148" s="22"/>
      <c r="SWJ148" s="22"/>
      <c r="SWK148" s="22"/>
      <c r="SWL148" s="22"/>
      <c r="SWM148" s="22"/>
      <c r="SWN148" s="22"/>
      <c r="SWO148" s="22"/>
      <c r="SWP148" s="22"/>
      <c r="SWQ148" s="22"/>
      <c r="SWR148" s="22"/>
      <c r="SWS148" s="22"/>
      <c r="SWT148" s="22"/>
      <c r="SWU148" s="22"/>
      <c r="SWV148" s="22"/>
      <c r="SWW148" s="22"/>
      <c r="SWX148" s="22"/>
      <c r="SWY148" s="22"/>
      <c r="SWZ148" s="22"/>
      <c r="SXA148" s="22"/>
      <c r="SXB148" s="22"/>
      <c r="SXC148" s="22"/>
      <c r="SXD148" s="22"/>
      <c r="SXE148" s="22"/>
      <c r="SXF148" s="22"/>
      <c r="SXG148" s="22"/>
      <c r="SXH148" s="22"/>
      <c r="SXI148" s="22"/>
      <c r="SXJ148" s="22"/>
      <c r="SXK148" s="22"/>
      <c r="SXL148" s="22"/>
      <c r="SXM148" s="22"/>
      <c r="SXN148" s="22"/>
      <c r="SXO148" s="22"/>
      <c r="SXP148" s="22"/>
      <c r="SXQ148" s="22"/>
      <c r="SXR148" s="22"/>
      <c r="SXS148" s="22"/>
      <c r="SXT148" s="22"/>
      <c r="SXU148" s="22"/>
      <c r="SXV148" s="22"/>
      <c r="SXW148" s="22"/>
      <c r="SXX148" s="22"/>
      <c r="SXY148" s="22"/>
      <c r="SXZ148" s="22"/>
      <c r="SYA148" s="22"/>
      <c r="SYB148" s="22"/>
      <c r="SYC148" s="22"/>
      <c r="SYD148" s="22"/>
      <c r="SYE148" s="22"/>
      <c r="SYF148" s="22"/>
      <c r="SYG148" s="22"/>
      <c r="SYH148" s="22"/>
      <c r="SYI148" s="22"/>
      <c r="SYJ148" s="22"/>
      <c r="SYK148" s="22"/>
      <c r="SYL148" s="22"/>
      <c r="SYM148" s="22"/>
      <c r="SYN148" s="22"/>
      <c r="SYO148" s="22"/>
      <c r="SYP148" s="22"/>
      <c r="SYQ148" s="22"/>
      <c r="SYR148" s="22"/>
      <c r="SYS148" s="22"/>
      <c r="SYT148" s="22"/>
      <c r="SYU148" s="22"/>
      <c r="SYV148" s="22"/>
      <c r="SYW148" s="22"/>
      <c r="SYX148" s="22"/>
      <c r="SYY148" s="22"/>
      <c r="SYZ148" s="22"/>
      <c r="SZA148" s="22"/>
      <c r="SZB148" s="22"/>
      <c r="SZC148" s="22"/>
      <c r="SZD148" s="22"/>
      <c r="SZE148" s="22"/>
      <c r="SZF148" s="22"/>
      <c r="SZG148" s="22"/>
      <c r="SZH148" s="22"/>
      <c r="SZI148" s="22"/>
      <c r="SZJ148" s="22"/>
      <c r="SZK148" s="22"/>
      <c r="SZL148" s="22"/>
      <c r="SZM148" s="22"/>
      <c r="SZN148" s="22"/>
      <c r="SZO148" s="22"/>
      <c r="SZP148" s="22"/>
      <c r="SZQ148" s="22"/>
      <c r="SZR148" s="22"/>
      <c r="SZS148" s="22"/>
      <c r="SZT148" s="22"/>
      <c r="SZU148" s="22"/>
      <c r="SZV148" s="22"/>
      <c r="SZW148" s="22"/>
      <c r="SZX148" s="22"/>
      <c r="SZY148" s="22"/>
      <c r="SZZ148" s="22"/>
      <c r="TAA148" s="22"/>
      <c r="TAB148" s="22"/>
      <c r="TAC148" s="22"/>
      <c r="TAD148" s="22"/>
      <c r="TAE148" s="22"/>
      <c r="TAF148" s="22"/>
      <c r="TAG148" s="22"/>
      <c r="TAH148" s="22"/>
      <c r="TAI148" s="22"/>
      <c r="TAJ148" s="22"/>
      <c r="TAK148" s="22"/>
      <c r="TAL148" s="22"/>
      <c r="TAM148" s="22"/>
      <c r="TAN148" s="22"/>
      <c r="TAO148" s="22"/>
      <c r="TAP148" s="22"/>
      <c r="TAQ148" s="22"/>
      <c r="TAR148" s="22"/>
      <c r="TAS148" s="22"/>
      <c r="TAT148" s="22"/>
      <c r="TAU148" s="22"/>
      <c r="TAV148" s="22"/>
      <c r="TAW148" s="22"/>
      <c r="TAX148" s="22"/>
      <c r="TAY148" s="22"/>
      <c r="TAZ148" s="22"/>
      <c r="TBA148" s="22"/>
      <c r="TBB148" s="22"/>
      <c r="TBC148" s="22"/>
      <c r="TBD148" s="22"/>
      <c r="TBE148" s="22"/>
      <c r="TBF148" s="22"/>
      <c r="TBG148" s="22"/>
      <c r="TBH148" s="22"/>
      <c r="TBI148" s="22"/>
      <c r="TBJ148" s="22"/>
      <c r="TBK148" s="22"/>
      <c r="TBL148" s="22"/>
      <c r="TBM148" s="22"/>
      <c r="TBN148" s="22"/>
      <c r="TBO148" s="22"/>
      <c r="TBP148" s="22"/>
      <c r="TBQ148" s="22"/>
      <c r="TBR148" s="22"/>
      <c r="TBS148" s="22"/>
      <c r="TBT148" s="22"/>
      <c r="TBU148" s="22"/>
      <c r="TBV148" s="22"/>
      <c r="TBW148" s="22"/>
      <c r="TBX148" s="22"/>
      <c r="TBY148" s="22"/>
      <c r="TBZ148" s="22"/>
      <c r="TCA148" s="22"/>
      <c r="TCB148" s="22"/>
      <c r="TCC148" s="22"/>
      <c r="TCD148" s="22"/>
      <c r="TCE148" s="22"/>
      <c r="TCF148" s="22"/>
      <c r="TCG148" s="22"/>
      <c r="TCH148" s="22"/>
      <c r="TCI148" s="22"/>
      <c r="TCJ148" s="22"/>
      <c r="TCK148" s="22"/>
      <c r="TCL148" s="22"/>
      <c r="TCM148" s="22"/>
      <c r="TCN148" s="22"/>
      <c r="TCO148" s="22"/>
      <c r="TCP148" s="22"/>
      <c r="TCQ148" s="22"/>
      <c r="TCR148" s="22"/>
      <c r="TCS148" s="22"/>
      <c r="TCT148" s="22"/>
      <c r="TCU148" s="22"/>
      <c r="TCV148" s="22"/>
      <c r="TCW148" s="22"/>
      <c r="TCX148" s="22"/>
      <c r="TCY148" s="22"/>
      <c r="TCZ148" s="22"/>
      <c r="TDA148" s="22"/>
      <c r="TDB148" s="22"/>
      <c r="TDC148" s="22"/>
      <c r="TDD148" s="22"/>
      <c r="TDE148" s="22"/>
      <c r="TDF148" s="22"/>
      <c r="TDG148" s="22"/>
      <c r="TDH148" s="22"/>
      <c r="TDI148" s="22"/>
      <c r="TDJ148" s="22"/>
      <c r="TDK148" s="22"/>
      <c r="TDL148" s="22"/>
      <c r="TDM148" s="22"/>
      <c r="TDN148" s="22"/>
      <c r="TDO148" s="22"/>
      <c r="TDP148" s="22"/>
      <c r="TDQ148" s="22"/>
      <c r="TDR148" s="22"/>
      <c r="TDS148" s="22"/>
      <c r="TDT148" s="22"/>
      <c r="TDU148" s="22"/>
      <c r="TDV148" s="22"/>
      <c r="TDW148" s="22"/>
      <c r="TDX148" s="22"/>
      <c r="TDY148" s="22"/>
      <c r="TDZ148" s="22"/>
      <c r="TEA148" s="22"/>
      <c r="TEB148" s="22"/>
      <c r="TEC148" s="22"/>
      <c r="TED148" s="22"/>
      <c r="TEE148" s="22"/>
      <c r="TEF148" s="22"/>
      <c r="TEG148" s="22"/>
      <c r="TEH148" s="22"/>
      <c r="TEI148" s="22"/>
      <c r="TEJ148" s="22"/>
      <c r="TEK148" s="22"/>
      <c r="TEL148" s="22"/>
      <c r="TEM148" s="22"/>
      <c r="TEN148" s="22"/>
      <c r="TEO148" s="22"/>
      <c r="TEP148" s="22"/>
      <c r="TEQ148" s="22"/>
      <c r="TER148" s="22"/>
      <c r="TES148" s="22"/>
      <c r="TET148" s="22"/>
      <c r="TEU148" s="22"/>
      <c r="TEV148" s="22"/>
      <c r="TEW148" s="22"/>
      <c r="TEX148" s="22"/>
      <c r="TEY148" s="22"/>
      <c r="TEZ148" s="22"/>
      <c r="TFA148" s="22"/>
      <c r="TFB148" s="22"/>
      <c r="TFC148" s="22"/>
      <c r="TFD148" s="22"/>
      <c r="TFE148" s="22"/>
      <c r="TFF148" s="22"/>
      <c r="TFG148" s="22"/>
      <c r="TFH148" s="22"/>
      <c r="TFI148" s="22"/>
      <c r="TFJ148" s="22"/>
      <c r="TFK148" s="22"/>
      <c r="TFL148" s="22"/>
      <c r="TFM148" s="22"/>
      <c r="TFN148" s="22"/>
      <c r="TFO148" s="22"/>
      <c r="TFP148" s="22"/>
      <c r="TFQ148" s="22"/>
      <c r="TFR148" s="22"/>
      <c r="TFS148" s="22"/>
      <c r="TFT148" s="22"/>
      <c r="TFU148" s="22"/>
      <c r="TFV148" s="22"/>
      <c r="TFW148" s="22"/>
      <c r="TFX148" s="22"/>
      <c r="TFY148" s="22"/>
      <c r="TFZ148" s="22"/>
      <c r="TGA148" s="22"/>
      <c r="TGB148" s="22"/>
      <c r="TGC148" s="22"/>
      <c r="TGD148" s="22"/>
      <c r="TGE148" s="22"/>
      <c r="TGF148" s="22"/>
      <c r="TGG148" s="22"/>
      <c r="TGH148" s="22"/>
      <c r="TGI148" s="22"/>
      <c r="TGJ148" s="22"/>
      <c r="TGK148" s="22"/>
      <c r="TGL148" s="22"/>
      <c r="TGM148" s="22"/>
      <c r="TGN148" s="22"/>
      <c r="TGO148" s="22"/>
      <c r="TGP148" s="22"/>
      <c r="TGQ148" s="22"/>
      <c r="TGR148" s="22"/>
      <c r="TGS148" s="22"/>
      <c r="TGT148" s="22"/>
      <c r="TGU148" s="22"/>
      <c r="TGV148" s="22"/>
      <c r="TGW148" s="22"/>
      <c r="TGX148" s="22"/>
      <c r="TGY148" s="22"/>
      <c r="TGZ148" s="22"/>
      <c r="THA148" s="22"/>
      <c r="THB148" s="22"/>
      <c r="THC148" s="22"/>
      <c r="THD148" s="22"/>
      <c r="THE148" s="22"/>
      <c r="THF148" s="22"/>
      <c r="THG148" s="22"/>
      <c r="THH148" s="22"/>
      <c r="THI148" s="22"/>
      <c r="THJ148" s="22"/>
      <c r="THK148" s="22"/>
      <c r="THL148" s="22"/>
      <c r="THM148" s="22"/>
      <c r="THN148" s="22"/>
      <c r="THO148" s="22"/>
      <c r="THP148" s="22"/>
      <c r="THQ148" s="22"/>
      <c r="THR148" s="22"/>
      <c r="THS148" s="22"/>
      <c r="THT148" s="22"/>
      <c r="THU148" s="22"/>
      <c r="THV148" s="22"/>
      <c r="THW148" s="22"/>
      <c r="THX148" s="22"/>
      <c r="THY148" s="22"/>
      <c r="THZ148" s="22"/>
      <c r="TIA148" s="22"/>
      <c r="TIB148" s="22"/>
      <c r="TIC148" s="22"/>
      <c r="TID148" s="22"/>
      <c r="TIE148" s="22"/>
      <c r="TIF148" s="22"/>
      <c r="TIG148" s="22"/>
      <c r="TIH148" s="22"/>
      <c r="TII148" s="22"/>
      <c r="TIJ148" s="22"/>
      <c r="TIK148" s="22"/>
      <c r="TIL148" s="22"/>
      <c r="TIM148" s="22"/>
      <c r="TIN148" s="22"/>
      <c r="TIO148" s="22"/>
      <c r="TIP148" s="22"/>
      <c r="TIQ148" s="22"/>
      <c r="TIR148" s="22"/>
      <c r="TIS148" s="22"/>
      <c r="TIT148" s="22"/>
      <c r="TIU148" s="22"/>
      <c r="TIV148" s="22"/>
      <c r="TIW148" s="22"/>
      <c r="TIX148" s="22"/>
      <c r="TIY148" s="22"/>
      <c r="TIZ148" s="22"/>
      <c r="TJA148" s="22"/>
      <c r="TJB148" s="22"/>
      <c r="TJC148" s="22"/>
      <c r="TJD148" s="22"/>
      <c r="TJE148" s="22"/>
      <c r="TJF148" s="22"/>
      <c r="TJG148" s="22"/>
      <c r="TJH148" s="22"/>
      <c r="TJI148" s="22"/>
      <c r="TJJ148" s="22"/>
      <c r="TJK148" s="22"/>
      <c r="TJL148" s="22"/>
      <c r="TJM148" s="22"/>
      <c r="TJN148" s="22"/>
      <c r="TJO148" s="22"/>
      <c r="TJP148" s="22"/>
      <c r="TJQ148" s="22"/>
      <c r="TJR148" s="22"/>
      <c r="TJS148" s="22"/>
      <c r="TJT148" s="22"/>
      <c r="TJU148" s="22"/>
      <c r="TJV148" s="22"/>
      <c r="TJW148" s="22"/>
      <c r="TJX148" s="22"/>
      <c r="TJY148" s="22"/>
      <c r="TJZ148" s="22"/>
      <c r="TKA148" s="22"/>
      <c r="TKB148" s="22"/>
      <c r="TKC148" s="22"/>
      <c r="TKD148" s="22"/>
      <c r="TKE148" s="22"/>
      <c r="TKF148" s="22"/>
      <c r="TKG148" s="22"/>
      <c r="TKH148" s="22"/>
      <c r="TKI148" s="22"/>
      <c r="TKJ148" s="22"/>
      <c r="TKK148" s="22"/>
      <c r="TKL148" s="22"/>
      <c r="TKM148" s="22"/>
      <c r="TKN148" s="22"/>
      <c r="TKO148" s="22"/>
      <c r="TKP148" s="22"/>
      <c r="TKQ148" s="22"/>
      <c r="TKR148" s="22"/>
      <c r="TKS148" s="22"/>
      <c r="TKT148" s="22"/>
      <c r="TKU148" s="22"/>
      <c r="TKV148" s="22"/>
      <c r="TKW148" s="22"/>
      <c r="TKX148" s="22"/>
      <c r="TKY148" s="22"/>
      <c r="TKZ148" s="22"/>
      <c r="TLA148" s="22"/>
      <c r="TLB148" s="22"/>
      <c r="TLC148" s="22"/>
      <c r="TLD148" s="22"/>
      <c r="TLE148" s="22"/>
      <c r="TLF148" s="22"/>
      <c r="TLG148" s="22"/>
      <c r="TLH148" s="22"/>
      <c r="TLI148" s="22"/>
      <c r="TLJ148" s="22"/>
      <c r="TLK148" s="22"/>
      <c r="TLL148" s="22"/>
      <c r="TLM148" s="22"/>
      <c r="TLN148" s="22"/>
      <c r="TLO148" s="22"/>
      <c r="TLP148" s="22"/>
      <c r="TLQ148" s="22"/>
      <c r="TLR148" s="22"/>
      <c r="TLS148" s="22"/>
      <c r="TLT148" s="22"/>
      <c r="TLU148" s="22"/>
      <c r="TLV148" s="22"/>
      <c r="TLW148" s="22"/>
      <c r="TLX148" s="22"/>
      <c r="TLY148" s="22"/>
      <c r="TLZ148" s="22"/>
      <c r="TMA148" s="22"/>
      <c r="TMB148" s="22"/>
      <c r="TMC148" s="22"/>
      <c r="TMD148" s="22"/>
      <c r="TME148" s="22"/>
      <c r="TMF148" s="22"/>
      <c r="TMG148" s="22"/>
      <c r="TMH148" s="22"/>
      <c r="TMI148" s="22"/>
      <c r="TMJ148" s="22"/>
      <c r="TMK148" s="22"/>
      <c r="TML148" s="22"/>
      <c r="TMM148" s="22"/>
      <c r="TMN148" s="22"/>
      <c r="TMO148" s="22"/>
      <c r="TMP148" s="22"/>
      <c r="TMQ148" s="22"/>
      <c r="TMR148" s="22"/>
      <c r="TMS148" s="22"/>
      <c r="TMT148" s="22"/>
      <c r="TMU148" s="22"/>
      <c r="TMV148" s="22"/>
      <c r="TMW148" s="22"/>
      <c r="TMX148" s="22"/>
      <c r="TMY148" s="22"/>
      <c r="TMZ148" s="22"/>
      <c r="TNA148" s="22"/>
      <c r="TNB148" s="22"/>
      <c r="TNC148" s="22"/>
      <c r="TND148" s="22"/>
      <c r="TNE148" s="22"/>
      <c r="TNF148" s="22"/>
      <c r="TNG148" s="22"/>
      <c r="TNH148" s="22"/>
      <c r="TNI148" s="22"/>
      <c r="TNJ148" s="22"/>
      <c r="TNK148" s="22"/>
      <c r="TNL148" s="22"/>
      <c r="TNM148" s="22"/>
      <c r="TNN148" s="22"/>
      <c r="TNO148" s="22"/>
      <c r="TNP148" s="22"/>
      <c r="TNQ148" s="22"/>
      <c r="TNR148" s="22"/>
      <c r="TNS148" s="22"/>
      <c r="TNT148" s="22"/>
      <c r="TNU148" s="22"/>
      <c r="TNV148" s="22"/>
      <c r="TNW148" s="22"/>
      <c r="TNX148" s="22"/>
      <c r="TNY148" s="22"/>
      <c r="TNZ148" s="22"/>
      <c r="TOA148" s="22"/>
      <c r="TOB148" s="22"/>
      <c r="TOC148" s="22"/>
      <c r="TOD148" s="22"/>
      <c r="TOE148" s="22"/>
      <c r="TOF148" s="22"/>
      <c r="TOG148" s="22"/>
      <c r="TOH148" s="22"/>
      <c r="TOI148" s="22"/>
      <c r="TOJ148" s="22"/>
      <c r="TOK148" s="22"/>
      <c r="TOL148" s="22"/>
      <c r="TOM148" s="22"/>
      <c r="TON148" s="22"/>
      <c r="TOO148" s="22"/>
      <c r="TOP148" s="22"/>
      <c r="TOQ148" s="22"/>
      <c r="TOR148" s="22"/>
      <c r="TOS148" s="22"/>
      <c r="TOT148" s="22"/>
      <c r="TOU148" s="22"/>
      <c r="TOV148" s="22"/>
      <c r="TOW148" s="22"/>
      <c r="TOX148" s="22"/>
      <c r="TOY148" s="22"/>
      <c r="TOZ148" s="22"/>
      <c r="TPA148" s="22"/>
      <c r="TPB148" s="22"/>
      <c r="TPC148" s="22"/>
      <c r="TPD148" s="22"/>
      <c r="TPE148" s="22"/>
      <c r="TPF148" s="22"/>
      <c r="TPG148" s="22"/>
      <c r="TPH148" s="22"/>
      <c r="TPI148" s="22"/>
      <c r="TPJ148" s="22"/>
      <c r="TPK148" s="22"/>
      <c r="TPL148" s="22"/>
      <c r="TPM148" s="22"/>
      <c r="TPN148" s="22"/>
      <c r="TPO148" s="22"/>
      <c r="TPP148" s="22"/>
      <c r="TPQ148" s="22"/>
      <c r="TPR148" s="22"/>
      <c r="TPS148" s="22"/>
      <c r="TPT148" s="22"/>
      <c r="TPU148" s="22"/>
      <c r="TPV148" s="22"/>
      <c r="TPW148" s="22"/>
      <c r="TPX148" s="22"/>
      <c r="TPY148" s="22"/>
      <c r="TPZ148" s="22"/>
      <c r="TQA148" s="22"/>
      <c r="TQB148" s="22"/>
      <c r="TQC148" s="22"/>
      <c r="TQD148" s="22"/>
      <c r="TQE148" s="22"/>
      <c r="TQF148" s="22"/>
      <c r="TQG148" s="22"/>
      <c r="TQH148" s="22"/>
      <c r="TQI148" s="22"/>
      <c r="TQJ148" s="22"/>
      <c r="TQK148" s="22"/>
      <c r="TQL148" s="22"/>
      <c r="TQM148" s="22"/>
      <c r="TQN148" s="22"/>
      <c r="TQO148" s="22"/>
      <c r="TQP148" s="22"/>
      <c r="TQQ148" s="22"/>
      <c r="TQR148" s="22"/>
      <c r="TQS148" s="22"/>
      <c r="TQT148" s="22"/>
      <c r="TQU148" s="22"/>
      <c r="TQV148" s="22"/>
      <c r="TQW148" s="22"/>
      <c r="TQX148" s="22"/>
      <c r="TQY148" s="22"/>
      <c r="TQZ148" s="22"/>
      <c r="TRA148" s="22"/>
      <c r="TRB148" s="22"/>
      <c r="TRC148" s="22"/>
      <c r="TRD148" s="22"/>
      <c r="TRE148" s="22"/>
      <c r="TRF148" s="22"/>
      <c r="TRG148" s="22"/>
      <c r="TRH148" s="22"/>
      <c r="TRI148" s="22"/>
      <c r="TRJ148" s="22"/>
      <c r="TRK148" s="22"/>
      <c r="TRL148" s="22"/>
      <c r="TRM148" s="22"/>
      <c r="TRN148" s="22"/>
      <c r="TRO148" s="22"/>
      <c r="TRP148" s="22"/>
      <c r="TRQ148" s="22"/>
      <c r="TRR148" s="22"/>
      <c r="TRS148" s="22"/>
      <c r="TRT148" s="22"/>
      <c r="TRU148" s="22"/>
      <c r="TRV148" s="22"/>
      <c r="TRW148" s="22"/>
      <c r="TRX148" s="22"/>
      <c r="TRY148" s="22"/>
      <c r="TRZ148" s="22"/>
      <c r="TSA148" s="22"/>
      <c r="TSB148" s="22"/>
      <c r="TSC148" s="22"/>
      <c r="TSD148" s="22"/>
      <c r="TSE148" s="22"/>
      <c r="TSF148" s="22"/>
      <c r="TSG148" s="22"/>
      <c r="TSH148" s="22"/>
      <c r="TSI148" s="22"/>
      <c r="TSJ148" s="22"/>
      <c r="TSK148" s="22"/>
      <c r="TSL148" s="22"/>
      <c r="TSM148" s="22"/>
      <c r="TSN148" s="22"/>
      <c r="TSO148" s="22"/>
      <c r="TSP148" s="22"/>
      <c r="TSQ148" s="22"/>
      <c r="TSR148" s="22"/>
      <c r="TSS148" s="22"/>
      <c r="TST148" s="22"/>
      <c r="TSU148" s="22"/>
      <c r="TSV148" s="22"/>
      <c r="TSW148" s="22"/>
      <c r="TSX148" s="22"/>
      <c r="TSY148" s="22"/>
      <c r="TSZ148" s="22"/>
      <c r="TTA148" s="22"/>
      <c r="TTB148" s="22"/>
      <c r="TTC148" s="22"/>
      <c r="TTD148" s="22"/>
      <c r="TTE148" s="22"/>
      <c r="TTF148" s="22"/>
      <c r="TTG148" s="22"/>
      <c r="TTH148" s="22"/>
      <c r="TTI148" s="22"/>
      <c r="TTJ148" s="22"/>
      <c r="TTK148" s="22"/>
      <c r="TTL148" s="22"/>
      <c r="TTM148" s="22"/>
      <c r="TTN148" s="22"/>
      <c r="TTO148" s="22"/>
      <c r="TTP148" s="22"/>
      <c r="TTQ148" s="22"/>
      <c r="TTR148" s="22"/>
      <c r="TTS148" s="22"/>
      <c r="TTT148" s="22"/>
      <c r="TTU148" s="22"/>
      <c r="TTV148" s="22"/>
      <c r="TTW148" s="22"/>
      <c r="TTX148" s="22"/>
      <c r="TTY148" s="22"/>
      <c r="TTZ148" s="22"/>
      <c r="TUA148" s="22"/>
      <c r="TUB148" s="22"/>
      <c r="TUC148" s="22"/>
      <c r="TUD148" s="22"/>
      <c r="TUE148" s="22"/>
      <c r="TUF148" s="22"/>
      <c r="TUG148" s="22"/>
      <c r="TUH148" s="22"/>
      <c r="TUI148" s="22"/>
      <c r="TUJ148" s="22"/>
      <c r="TUK148" s="22"/>
      <c r="TUL148" s="22"/>
      <c r="TUM148" s="22"/>
      <c r="TUN148" s="22"/>
      <c r="TUO148" s="22"/>
      <c r="TUP148" s="22"/>
      <c r="TUQ148" s="22"/>
      <c r="TUR148" s="22"/>
      <c r="TUS148" s="22"/>
      <c r="TUT148" s="22"/>
      <c r="TUU148" s="22"/>
      <c r="TUV148" s="22"/>
      <c r="TUW148" s="22"/>
      <c r="TUX148" s="22"/>
      <c r="TUY148" s="22"/>
      <c r="TUZ148" s="22"/>
      <c r="TVA148" s="22"/>
      <c r="TVB148" s="22"/>
      <c r="TVC148" s="22"/>
      <c r="TVD148" s="22"/>
      <c r="TVE148" s="22"/>
      <c r="TVF148" s="22"/>
      <c r="TVG148" s="22"/>
      <c r="TVH148" s="22"/>
      <c r="TVI148" s="22"/>
      <c r="TVJ148" s="22"/>
      <c r="TVK148" s="22"/>
      <c r="TVL148" s="22"/>
      <c r="TVM148" s="22"/>
      <c r="TVN148" s="22"/>
      <c r="TVO148" s="22"/>
      <c r="TVP148" s="22"/>
      <c r="TVQ148" s="22"/>
      <c r="TVR148" s="22"/>
      <c r="TVS148" s="22"/>
      <c r="TVT148" s="22"/>
      <c r="TVU148" s="22"/>
      <c r="TVV148" s="22"/>
      <c r="TVW148" s="22"/>
      <c r="TVX148" s="22"/>
      <c r="TVY148" s="22"/>
      <c r="TVZ148" s="22"/>
      <c r="TWA148" s="22"/>
      <c r="TWB148" s="22"/>
      <c r="TWC148" s="22"/>
      <c r="TWD148" s="22"/>
      <c r="TWE148" s="22"/>
      <c r="TWF148" s="22"/>
      <c r="TWG148" s="22"/>
      <c r="TWH148" s="22"/>
      <c r="TWI148" s="22"/>
      <c r="TWJ148" s="22"/>
      <c r="TWK148" s="22"/>
      <c r="TWL148" s="22"/>
      <c r="TWM148" s="22"/>
      <c r="TWN148" s="22"/>
      <c r="TWO148" s="22"/>
      <c r="TWP148" s="22"/>
      <c r="TWQ148" s="22"/>
      <c r="TWR148" s="22"/>
      <c r="TWS148" s="22"/>
      <c r="TWT148" s="22"/>
      <c r="TWU148" s="22"/>
      <c r="TWV148" s="22"/>
      <c r="TWW148" s="22"/>
      <c r="TWX148" s="22"/>
      <c r="TWY148" s="22"/>
      <c r="TWZ148" s="22"/>
      <c r="TXA148" s="22"/>
      <c r="TXB148" s="22"/>
      <c r="TXC148" s="22"/>
      <c r="TXD148" s="22"/>
      <c r="TXE148" s="22"/>
      <c r="TXF148" s="22"/>
      <c r="TXG148" s="22"/>
      <c r="TXH148" s="22"/>
      <c r="TXI148" s="22"/>
      <c r="TXJ148" s="22"/>
      <c r="TXK148" s="22"/>
      <c r="TXL148" s="22"/>
      <c r="TXM148" s="22"/>
      <c r="TXN148" s="22"/>
      <c r="TXO148" s="22"/>
      <c r="TXP148" s="22"/>
      <c r="TXQ148" s="22"/>
      <c r="TXR148" s="22"/>
      <c r="TXS148" s="22"/>
      <c r="TXT148" s="22"/>
      <c r="TXU148" s="22"/>
      <c r="TXV148" s="22"/>
      <c r="TXW148" s="22"/>
      <c r="TXX148" s="22"/>
      <c r="TXY148" s="22"/>
      <c r="TXZ148" s="22"/>
      <c r="TYA148" s="22"/>
      <c r="TYB148" s="22"/>
      <c r="TYC148" s="22"/>
      <c r="TYD148" s="22"/>
      <c r="TYE148" s="22"/>
      <c r="TYF148" s="22"/>
      <c r="TYG148" s="22"/>
      <c r="TYH148" s="22"/>
      <c r="TYI148" s="22"/>
      <c r="TYJ148" s="22"/>
      <c r="TYK148" s="22"/>
      <c r="TYL148" s="22"/>
      <c r="TYM148" s="22"/>
      <c r="TYN148" s="22"/>
      <c r="TYO148" s="22"/>
      <c r="TYP148" s="22"/>
      <c r="TYQ148" s="22"/>
      <c r="TYR148" s="22"/>
      <c r="TYS148" s="22"/>
      <c r="TYT148" s="22"/>
      <c r="TYU148" s="22"/>
      <c r="TYV148" s="22"/>
      <c r="TYW148" s="22"/>
      <c r="TYX148" s="22"/>
      <c r="TYY148" s="22"/>
      <c r="TYZ148" s="22"/>
      <c r="TZA148" s="22"/>
      <c r="TZB148" s="22"/>
      <c r="TZC148" s="22"/>
      <c r="TZD148" s="22"/>
      <c r="TZE148" s="22"/>
      <c r="TZF148" s="22"/>
      <c r="TZG148" s="22"/>
      <c r="TZH148" s="22"/>
      <c r="TZI148" s="22"/>
      <c r="TZJ148" s="22"/>
      <c r="TZK148" s="22"/>
      <c r="TZL148" s="22"/>
      <c r="TZM148" s="22"/>
      <c r="TZN148" s="22"/>
      <c r="TZO148" s="22"/>
      <c r="TZP148" s="22"/>
      <c r="TZQ148" s="22"/>
      <c r="TZR148" s="22"/>
      <c r="TZS148" s="22"/>
      <c r="TZT148" s="22"/>
      <c r="TZU148" s="22"/>
      <c r="TZV148" s="22"/>
      <c r="TZW148" s="22"/>
      <c r="TZX148" s="22"/>
      <c r="TZY148" s="22"/>
      <c r="TZZ148" s="22"/>
      <c r="UAA148" s="22"/>
      <c r="UAB148" s="22"/>
      <c r="UAC148" s="22"/>
      <c r="UAD148" s="22"/>
      <c r="UAE148" s="22"/>
      <c r="UAF148" s="22"/>
      <c r="UAG148" s="22"/>
      <c r="UAH148" s="22"/>
      <c r="UAI148" s="22"/>
      <c r="UAJ148" s="22"/>
      <c r="UAK148" s="22"/>
      <c r="UAL148" s="22"/>
      <c r="UAM148" s="22"/>
      <c r="UAN148" s="22"/>
      <c r="UAO148" s="22"/>
      <c r="UAP148" s="22"/>
      <c r="UAQ148" s="22"/>
      <c r="UAR148" s="22"/>
      <c r="UAS148" s="22"/>
      <c r="UAT148" s="22"/>
      <c r="UAU148" s="22"/>
      <c r="UAV148" s="22"/>
      <c r="UAW148" s="22"/>
      <c r="UAX148" s="22"/>
      <c r="UAY148" s="22"/>
      <c r="UAZ148" s="22"/>
      <c r="UBA148" s="22"/>
      <c r="UBB148" s="22"/>
      <c r="UBC148" s="22"/>
      <c r="UBD148" s="22"/>
      <c r="UBE148" s="22"/>
      <c r="UBF148" s="22"/>
      <c r="UBG148" s="22"/>
      <c r="UBH148" s="22"/>
      <c r="UBI148" s="22"/>
      <c r="UBJ148" s="22"/>
      <c r="UBK148" s="22"/>
      <c r="UBL148" s="22"/>
      <c r="UBM148" s="22"/>
      <c r="UBN148" s="22"/>
      <c r="UBO148" s="22"/>
      <c r="UBP148" s="22"/>
      <c r="UBQ148" s="22"/>
      <c r="UBR148" s="22"/>
      <c r="UBS148" s="22"/>
      <c r="UBT148" s="22"/>
      <c r="UBU148" s="22"/>
      <c r="UBV148" s="22"/>
      <c r="UBW148" s="22"/>
      <c r="UBX148" s="22"/>
      <c r="UBY148" s="22"/>
      <c r="UBZ148" s="22"/>
      <c r="UCA148" s="22"/>
      <c r="UCB148" s="22"/>
      <c r="UCC148" s="22"/>
      <c r="UCD148" s="22"/>
      <c r="UCE148" s="22"/>
      <c r="UCF148" s="22"/>
      <c r="UCG148" s="22"/>
      <c r="UCH148" s="22"/>
      <c r="UCI148" s="22"/>
      <c r="UCJ148" s="22"/>
      <c r="UCK148" s="22"/>
      <c r="UCL148" s="22"/>
      <c r="UCM148" s="22"/>
      <c r="UCN148" s="22"/>
      <c r="UCO148" s="22"/>
      <c r="UCP148" s="22"/>
      <c r="UCQ148" s="22"/>
      <c r="UCR148" s="22"/>
      <c r="UCS148" s="22"/>
      <c r="UCT148" s="22"/>
      <c r="UCU148" s="22"/>
      <c r="UCV148" s="22"/>
      <c r="UCW148" s="22"/>
      <c r="UCX148" s="22"/>
      <c r="UCY148" s="22"/>
      <c r="UCZ148" s="22"/>
      <c r="UDA148" s="22"/>
      <c r="UDB148" s="22"/>
      <c r="UDC148" s="22"/>
      <c r="UDD148" s="22"/>
      <c r="UDE148" s="22"/>
      <c r="UDF148" s="22"/>
      <c r="UDG148" s="22"/>
      <c r="UDH148" s="22"/>
      <c r="UDI148" s="22"/>
      <c r="UDJ148" s="22"/>
      <c r="UDK148" s="22"/>
      <c r="UDL148" s="22"/>
      <c r="UDM148" s="22"/>
      <c r="UDN148" s="22"/>
      <c r="UDO148" s="22"/>
      <c r="UDP148" s="22"/>
      <c r="UDQ148" s="22"/>
      <c r="UDR148" s="22"/>
      <c r="UDS148" s="22"/>
      <c r="UDT148" s="22"/>
      <c r="UDU148" s="22"/>
      <c r="UDV148" s="22"/>
      <c r="UDW148" s="22"/>
      <c r="UDX148" s="22"/>
      <c r="UDY148" s="22"/>
      <c r="UDZ148" s="22"/>
      <c r="UEA148" s="22"/>
      <c r="UEB148" s="22"/>
      <c r="UEC148" s="22"/>
      <c r="UED148" s="22"/>
      <c r="UEE148" s="22"/>
      <c r="UEF148" s="22"/>
      <c r="UEG148" s="22"/>
      <c r="UEH148" s="22"/>
      <c r="UEI148" s="22"/>
      <c r="UEJ148" s="22"/>
      <c r="UEK148" s="22"/>
      <c r="UEL148" s="22"/>
      <c r="UEM148" s="22"/>
      <c r="UEN148" s="22"/>
      <c r="UEO148" s="22"/>
      <c r="UEP148" s="22"/>
      <c r="UEQ148" s="22"/>
      <c r="UER148" s="22"/>
      <c r="UES148" s="22"/>
      <c r="UET148" s="22"/>
      <c r="UEU148" s="22"/>
      <c r="UEV148" s="22"/>
      <c r="UEW148" s="22"/>
      <c r="UEX148" s="22"/>
      <c r="UEY148" s="22"/>
      <c r="UEZ148" s="22"/>
      <c r="UFA148" s="22"/>
      <c r="UFB148" s="22"/>
      <c r="UFC148" s="22"/>
      <c r="UFD148" s="22"/>
      <c r="UFE148" s="22"/>
      <c r="UFF148" s="22"/>
      <c r="UFG148" s="22"/>
      <c r="UFH148" s="22"/>
      <c r="UFI148" s="22"/>
      <c r="UFJ148" s="22"/>
      <c r="UFK148" s="22"/>
      <c r="UFL148" s="22"/>
      <c r="UFM148" s="22"/>
      <c r="UFN148" s="22"/>
      <c r="UFO148" s="22"/>
      <c r="UFP148" s="22"/>
      <c r="UFQ148" s="22"/>
      <c r="UFR148" s="22"/>
      <c r="UFS148" s="22"/>
      <c r="UFT148" s="22"/>
      <c r="UFU148" s="22"/>
      <c r="UFV148" s="22"/>
      <c r="UFW148" s="22"/>
      <c r="UFX148" s="22"/>
      <c r="UFY148" s="22"/>
      <c r="UFZ148" s="22"/>
      <c r="UGA148" s="22"/>
      <c r="UGB148" s="22"/>
      <c r="UGC148" s="22"/>
      <c r="UGD148" s="22"/>
      <c r="UGE148" s="22"/>
      <c r="UGF148" s="22"/>
      <c r="UGG148" s="22"/>
      <c r="UGH148" s="22"/>
      <c r="UGI148" s="22"/>
      <c r="UGJ148" s="22"/>
      <c r="UGK148" s="22"/>
      <c r="UGL148" s="22"/>
      <c r="UGM148" s="22"/>
      <c r="UGN148" s="22"/>
      <c r="UGO148" s="22"/>
      <c r="UGP148" s="22"/>
      <c r="UGQ148" s="22"/>
      <c r="UGR148" s="22"/>
      <c r="UGS148" s="22"/>
      <c r="UGT148" s="22"/>
      <c r="UGU148" s="22"/>
      <c r="UGV148" s="22"/>
      <c r="UGW148" s="22"/>
      <c r="UGX148" s="22"/>
      <c r="UGY148" s="22"/>
      <c r="UGZ148" s="22"/>
      <c r="UHA148" s="22"/>
      <c r="UHB148" s="22"/>
      <c r="UHC148" s="22"/>
      <c r="UHD148" s="22"/>
      <c r="UHE148" s="22"/>
      <c r="UHF148" s="22"/>
      <c r="UHG148" s="22"/>
      <c r="UHH148" s="22"/>
      <c r="UHI148" s="22"/>
      <c r="UHJ148" s="22"/>
      <c r="UHK148" s="22"/>
      <c r="UHL148" s="22"/>
      <c r="UHM148" s="22"/>
      <c r="UHN148" s="22"/>
      <c r="UHO148" s="22"/>
      <c r="UHP148" s="22"/>
      <c r="UHQ148" s="22"/>
      <c r="UHR148" s="22"/>
      <c r="UHS148" s="22"/>
      <c r="UHT148" s="22"/>
      <c r="UHU148" s="22"/>
      <c r="UHV148" s="22"/>
      <c r="UHW148" s="22"/>
      <c r="UHX148" s="22"/>
      <c r="UHY148" s="22"/>
      <c r="UHZ148" s="22"/>
      <c r="UIA148" s="22"/>
      <c r="UIB148" s="22"/>
      <c r="UIC148" s="22"/>
      <c r="UID148" s="22"/>
      <c r="UIE148" s="22"/>
      <c r="UIF148" s="22"/>
      <c r="UIG148" s="22"/>
      <c r="UIH148" s="22"/>
      <c r="UII148" s="22"/>
      <c r="UIJ148" s="22"/>
      <c r="UIK148" s="22"/>
      <c r="UIL148" s="22"/>
      <c r="UIM148" s="22"/>
      <c r="UIN148" s="22"/>
      <c r="UIO148" s="22"/>
      <c r="UIP148" s="22"/>
      <c r="UIQ148" s="22"/>
      <c r="UIR148" s="22"/>
      <c r="UIS148" s="22"/>
      <c r="UIT148" s="22"/>
      <c r="UIU148" s="22"/>
      <c r="UIV148" s="22"/>
      <c r="UIW148" s="22"/>
      <c r="UIX148" s="22"/>
      <c r="UIY148" s="22"/>
      <c r="UIZ148" s="22"/>
      <c r="UJA148" s="22"/>
      <c r="UJB148" s="22"/>
      <c r="UJC148" s="22"/>
      <c r="UJD148" s="22"/>
      <c r="UJE148" s="22"/>
      <c r="UJF148" s="22"/>
      <c r="UJG148" s="22"/>
      <c r="UJH148" s="22"/>
      <c r="UJI148" s="22"/>
      <c r="UJJ148" s="22"/>
      <c r="UJK148" s="22"/>
      <c r="UJL148" s="22"/>
      <c r="UJM148" s="22"/>
      <c r="UJN148" s="22"/>
      <c r="UJO148" s="22"/>
      <c r="UJP148" s="22"/>
      <c r="UJQ148" s="22"/>
      <c r="UJR148" s="22"/>
      <c r="UJS148" s="22"/>
      <c r="UJT148" s="22"/>
      <c r="UJU148" s="22"/>
      <c r="UJV148" s="22"/>
      <c r="UJW148" s="22"/>
      <c r="UJX148" s="22"/>
      <c r="UJY148" s="22"/>
      <c r="UJZ148" s="22"/>
      <c r="UKA148" s="22"/>
      <c r="UKB148" s="22"/>
      <c r="UKC148" s="22"/>
      <c r="UKD148" s="22"/>
      <c r="UKE148" s="22"/>
      <c r="UKF148" s="22"/>
      <c r="UKG148" s="22"/>
      <c r="UKH148" s="22"/>
      <c r="UKI148" s="22"/>
      <c r="UKJ148" s="22"/>
      <c r="UKK148" s="22"/>
      <c r="UKL148" s="22"/>
      <c r="UKM148" s="22"/>
      <c r="UKN148" s="22"/>
      <c r="UKO148" s="22"/>
      <c r="UKP148" s="22"/>
      <c r="UKQ148" s="22"/>
      <c r="UKR148" s="22"/>
      <c r="UKS148" s="22"/>
      <c r="UKT148" s="22"/>
      <c r="UKU148" s="22"/>
      <c r="UKV148" s="22"/>
      <c r="UKW148" s="22"/>
      <c r="UKX148" s="22"/>
      <c r="UKY148" s="22"/>
      <c r="UKZ148" s="22"/>
      <c r="ULA148" s="22"/>
      <c r="ULB148" s="22"/>
      <c r="ULC148" s="22"/>
      <c r="ULD148" s="22"/>
      <c r="ULE148" s="22"/>
      <c r="ULF148" s="22"/>
      <c r="ULG148" s="22"/>
      <c r="ULH148" s="22"/>
      <c r="ULI148" s="22"/>
      <c r="ULJ148" s="22"/>
      <c r="ULK148" s="22"/>
      <c r="ULL148" s="22"/>
      <c r="ULM148" s="22"/>
      <c r="ULN148" s="22"/>
      <c r="ULO148" s="22"/>
      <c r="ULP148" s="22"/>
      <c r="ULQ148" s="22"/>
      <c r="ULR148" s="22"/>
      <c r="ULS148" s="22"/>
      <c r="ULT148" s="22"/>
      <c r="ULU148" s="22"/>
      <c r="ULV148" s="22"/>
      <c r="ULW148" s="22"/>
      <c r="ULX148" s="22"/>
      <c r="ULY148" s="22"/>
      <c r="ULZ148" s="22"/>
      <c r="UMA148" s="22"/>
      <c r="UMB148" s="22"/>
      <c r="UMC148" s="22"/>
      <c r="UMD148" s="22"/>
      <c r="UME148" s="22"/>
      <c r="UMF148" s="22"/>
      <c r="UMG148" s="22"/>
      <c r="UMH148" s="22"/>
      <c r="UMI148" s="22"/>
      <c r="UMJ148" s="22"/>
      <c r="UMK148" s="22"/>
      <c r="UML148" s="22"/>
      <c r="UMM148" s="22"/>
      <c r="UMN148" s="22"/>
      <c r="UMO148" s="22"/>
      <c r="UMP148" s="22"/>
      <c r="UMQ148" s="22"/>
      <c r="UMR148" s="22"/>
      <c r="UMS148" s="22"/>
      <c r="UMT148" s="22"/>
      <c r="UMU148" s="22"/>
      <c r="UMV148" s="22"/>
      <c r="UMW148" s="22"/>
      <c r="UMX148" s="22"/>
      <c r="UMY148" s="22"/>
      <c r="UMZ148" s="22"/>
      <c r="UNA148" s="22"/>
      <c r="UNB148" s="22"/>
      <c r="UNC148" s="22"/>
      <c r="UND148" s="22"/>
      <c r="UNE148" s="22"/>
      <c r="UNF148" s="22"/>
      <c r="UNG148" s="22"/>
      <c r="UNH148" s="22"/>
      <c r="UNI148" s="22"/>
      <c r="UNJ148" s="22"/>
      <c r="UNK148" s="22"/>
      <c r="UNL148" s="22"/>
      <c r="UNM148" s="22"/>
      <c r="UNN148" s="22"/>
      <c r="UNO148" s="22"/>
      <c r="UNP148" s="22"/>
      <c r="UNQ148" s="22"/>
      <c r="UNR148" s="22"/>
      <c r="UNS148" s="22"/>
      <c r="UNT148" s="22"/>
      <c r="UNU148" s="22"/>
      <c r="UNV148" s="22"/>
      <c r="UNW148" s="22"/>
      <c r="UNX148" s="22"/>
      <c r="UNY148" s="22"/>
      <c r="UNZ148" s="22"/>
      <c r="UOA148" s="22"/>
      <c r="UOB148" s="22"/>
      <c r="UOC148" s="22"/>
      <c r="UOD148" s="22"/>
      <c r="UOE148" s="22"/>
      <c r="UOF148" s="22"/>
      <c r="UOG148" s="22"/>
      <c r="UOH148" s="22"/>
      <c r="UOI148" s="22"/>
      <c r="UOJ148" s="22"/>
      <c r="UOK148" s="22"/>
      <c r="UOL148" s="22"/>
      <c r="UOM148" s="22"/>
      <c r="UON148" s="22"/>
      <c r="UOO148" s="22"/>
      <c r="UOP148" s="22"/>
      <c r="UOQ148" s="22"/>
      <c r="UOR148" s="22"/>
      <c r="UOS148" s="22"/>
      <c r="UOT148" s="22"/>
      <c r="UOU148" s="22"/>
      <c r="UOV148" s="22"/>
      <c r="UOW148" s="22"/>
      <c r="UOX148" s="22"/>
      <c r="UOY148" s="22"/>
      <c r="UOZ148" s="22"/>
      <c r="UPA148" s="22"/>
      <c r="UPB148" s="22"/>
      <c r="UPC148" s="22"/>
      <c r="UPD148" s="22"/>
      <c r="UPE148" s="22"/>
      <c r="UPF148" s="22"/>
      <c r="UPG148" s="22"/>
      <c r="UPH148" s="22"/>
      <c r="UPI148" s="22"/>
      <c r="UPJ148" s="22"/>
      <c r="UPK148" s="22"/>
      <c r="UPL148" s="22"/>
      <c r="UPM148" s="22"/>
      <c r="UPN148" s="22"/>
      <c r="UPO148" s="22"/>
      <c r="UPP148" s="22"/>
      <c r="UPQ148" s="22"/>
      <c r="UPR148" s="22"/>
      <c r="UPS148" s="22"/>
      <c r="UPT148" s="22"/>
      <c r="UPU148" s="22"/>
      <c r="UPV148" s="22"/>
      <c r="UPW148" s="22"/>
      <c r="UPX148" s="22"/>
      <c r="UPY148" s="22"/>
      <c r="UPZ148" s="22"/>
      <c r="UQA148" s="22"/>
      <c r="UQB148" s="22"/>
      <c r="UQC148" s="22"/>
      <c r="UQD148" s="22"/>
      <c r="UQE148" s="22"/>
      <c r="UQF148" s="22"/>
      <c r="UQG148" s="22"/>
      <c r="UQH148" s="22"/>
      <c r="UQI148" s="22"/>
      <c r="UQJ148" s="22"/>
      <c r="UQK148" s="22"/>
      <c r="UQL148" s="22"/>
      <c r="UQM148" s="22"/>
      <c r="UQN148" s="22"/>
      <c r="UQO148" s="22"/>
      <c r="UQP148" s="22"/>
      <c r="UQQ148" s="22"/>
      <c r="UQR148" s="22"/>
      <c r="UQS148" s="22"/>
      <c r="UQT148" s="22"/>
      <c r="UQU148" s="22"/>
      <c r="UQV148" s="22"/>
      <c r="UQW148" s="22"/>
      <c r="UQX148" s="22"/>
      <c r="UQY148" s="22"/>
      <c r="UQZ148" s="22"/>
      <c r="URA148" s="22"/>
      <c r="URB148" s="22"/>
      <c r="URC148" s="22"/>
      <c r="URD148" s="22"/>
      <c r="URE148" s="22"/>
      <c r="URF148" s="22"/>
      <c r="URG148" s="22"/>
      <c r="URH148" s="22"/>
      <c r="URI148" s="22"/>
      <c r="URJ148" s="22"/>
      <c r="URK148" s="22"/>
      <c r="URL148" s="22"/>
      <c r="URM148" s="22"/>
      <c r="URN148" s="22"/>
      <c r="URO148" s="22"/>
      <c r="URP148" s="22"/>
      <c r="URQ148" s="22"/>
      <c r="URR148" s="22"/>
      <c r="URS148" s="22"/>
      <c r="URT148" s="22"/>
      <c r="URU148" s="22"/>
      <c r="URV148" s="22"/>
      <c r="URW148" s="22"/>
      <c r="URX148" s="22"/>
      <c r="URY148" s="22"/>
      <c r="URZ148" s="22"/>
      <c r="USA148" s="22"/>
      <c r="USB148" s="22"/>
      <c r="USC148" s="22"/>
      <c r="USD148" s="22"/>
      <c r="USE148" s="22"/>
      <c r="USF148" s="22"/>
      <c r="USG148" s="22"/>
      <c r="USH148" s="22"/>
      <c r="USI148" s="22"/>
      <c r="USJ148" s="22"/>
      <c r="USK148" s="22"/>
      <c r="USL148" s="22"/>
      <c r="USM148" s="22"/>
      <c r="USN148" s="22"/>
      <c r="USO148" s="22"/>
      <c r="USP148" s="22"/>
      <c r="USQ148" s="22"/>
      <c r="USR148" s="22"/>
      <c r="USS148" s="22"/>
      <c r="UST148" s="22"/>
      <c r="USU148" s="22"/>
      <c r="USV148" s="22"/>
      <c r="USW148" s="22"/>
      <c r="USX148" s="22"/>
      <c r="USY148" s="22"/>
      <c r="USZ148" s="22"/>
      <c r="UTA148" s="22"/>
      <c r="UTB148" s="22"/>
      <c r="UTC148" s="22"/>
      <c r="UTD148" s="22"/>
      <c r="UTE148" s="22"/>
      <c r="UTF148" s="22"/>
      <c r="UTG148" s="22"/>
      <c r="UTH148" s="22"/>
      <c r="UTI148" s="22"/>
      <c r="UTJ148" s="22"/>
      <c r="UTK148" s="22"/>
      <c r="UTL148" s="22"/>
      <c r="UTM148" s="22"/>
      <c r="UTN148" s="22"/>
      <c r="UTO148" s="22"/>
      <c r="UTP148" s="22"/>
      <c r="UTQ148" s="22"/>
      <c r="UTR148" s="22"/>
      <c r="UTS148" s="22"/>
      <c r="UTT148" s="22"/>
      <c r="UTU148" s="22"/>
      <c r="UTV148" s="22"/>
      <c r="UTW148" s="22"/>
      <c r="UTX148" s="22"/>
      <c r="UTY148" s="22"/>
      <c r="UTZ148" s="22"/>
      <c r="UUA148" s="22"/>
      <c r="UUB148" s="22"/>
      <c r="UUC148" s="22"/>
      <c r="UUD148" s="22"/>
      <c r="UUE148" s="22"/>
      <c r="UUF148" s="22"/>
      <c r="UUG148" s="22"/>
      <c r="UUH148" s="22"/>
      <c r="UUI148" s="22"/>
      <c r="UUJ148" s="22"/>
      <c r="UUK148" s="22"/>
      <c r="UUL148" s="22"/>
      <c r="UUM148" s="22"/>
      <c r="UUN148" s="22"/>
      <c r="UUO148" s="22"/>
      <c r="UUP148" s="22"/>
      <c r="UUQ148" s="22"/>
      <c r="UUR148" s="22"/>
      <c r="UUS148" s="22"/>
      <c r="UUT148" s="22"/>
      <c r="UUU148" s="22"/>
      <c r="UUV148" s="22"/>
      <c r="UUW148" s="22"/>
      <c r="UUX148" s="22"/>
      <c r="UUY148" s="22"/>
      <c r="UUZ148" s="22"/>
      <c r="UVA148" s="22"/>
      <c r="UVB148" s="22"/>
      <c r="UVC148" s="22"/>
      <c r="UVD148" s="22"/>
      <c r="UVE148" s="22"/>
      <c r="UVF148" s="22"/>
      <c r="UVG148" s="22"/>
      <c r="UVH148" s="22"/>
      <c r="UVI148" s="22"/>
      <c r="UVJ148" s="22"/>
      <c r="UVK148" s="22"/>
      <c r="UVL148" s="22"/>
      <c r="UVM148" s="22"/>
      <c r="UVN148" s="22"/>
      <c r="UVO148" s="22"/>
      <c r="UVP148" s="22"/>
      <c r="UVQ148" s="22"/>
      <c r="UVR148" s="22"/>
      <c r="UVS148" s="22"/>
      <c r="UVT148" s="22"/>
      <c r="UVU148" s="22"/>
      <c r="UVV148" s="22"/>
      <c r="UVW148" s="22"/>
      <c r="UVX148" s="22"/>
      <c r="UVY148" s="22"/>
      <c r="UVZ148" s="22"/>
      <c r="UWA148" s="22"/>
      <c r="UWB148" s="22"/>
      <c r="UWC148" s="22"/>
      <c r="UWD148" s="22"/>
      <c r="UWE148" s="22"/>
      <c r="UWF148" s="22"/>
      <c r="UWG148" s="22"/>
      <c r="UWH148" s="22"/>
      <c r="UWI148" s="22"/>
      <c r="UWJ148" s="22"/>
      <c r="UWK148" s="22"/>
      <c r="UWL148" s="22"/>
      <c r="UWM148" s="22"/>
      <c r="UWN148" s="22"/>
      <c r="UWO148" s="22"/>
      <c r="UWP148" s="22"/>
      <c r="UWQ148" s="22"/>
      <c r="UWR148" s="22"/>
      <c r="UWS148" s="22"/>
      <c r="UWT148" s="22"/>
      <c r="UWU148" s="22"/>
      <c r="UWV148" s="22"/>
      <c r="UWW148" s="22"/>
      <c r="UWX148" s="22"/>
      <c r="UWY148" s="22"/>
      <c r="UWZ148" s="22"/>
      <c r="UXA148" s="22"/>
      <c r="UXB148" s="22"/>
      <c r="UXC148" s="22"/>
      <c r="UXD148" s="22"/>
      <c r="UXE148" s="22"/>
      <c r="UXF148" s="22"/>
      <c r="UXG148" s="22"/>
      <c r="UXH148" s="22"/>
      <c r="UXI148" s="22"/>
      <c r="UXJ148" s="22"/>
      <c r="UXK148" s="22"/>
      <c r="UXL148" s="22"/>
      <c r="UXM148" s="22"/>
      <c r="UXN148" s="22"/>
      <c r="UXO148" s="22"/>
      <c r="UXP148" s="22"/>
      <c r="UXQ148" s="22"/>
      <c r="UXR148" s="22"/>
      <c r="UXS148" s="22"/>
      <c r="UXT148" s="22"/>
      <c r="UXU148" s="22"/>
      <c r="UXV148" s="22"/>
      <c r="UXW148" s="22"/>
      <c r="UXX148" s="22"/>
      <c r="UXY148" s="22"/>
      <c r="UXZ148" s="22"/>
      <c r="UYA148" s="22"/>
      <c r="UYB148" s="22"/>
      <c r="UYC148" s="22"/>
      <c r="UYD148" s="22"/>
      <c r="UYE148" s="22"/>
      <c r="UYF148" s="22"/>
      <c r="UYG148" s="22"/>
      <c r="UYH148" s="22"/>
      <c r="UYI148" s="22"/>
      <c r="UYJ148" s="22"/>
      <c r="UYK148" s="22"/>
      <c r="UYL148" s="22"/>
      <c r="UYM148" s="22"/>
      <c r="UYN148" s="22"/>
      <c r="UYO148" s="22"/>
      <c r="UYP148" s="22"/>
      <c r="UYQ148" s="22"/>
      <c r="UYR148" s="22"/>
      <c r="UYS148" s="22"/>
      <c r="UYT148" s="22"/>
      <c r="UYU148" s="22"/>
      <c r="UYV148" s="22"/>
      <c r="UYW148" s="22"/>
      <c r="UYX148" s="22"/>
      <c r="UYY148" s="22"/>
      <c r="UYZ148" s="22"/>
      <c r="UZA148" s="22"/>
      <c r="UZB148" s="22"/>
      <c r="UZC148" s="22"/>
      <c r="UZD148" s="22"/>
      <c r="UZE148" s="22"/>
      <c r="UZF148" s="22"/>
      <c r="UZG148" s="22"/>
      <c r="UZH148" s="22"/>
      <c r="UZI148" s="22"/>
      <c r="UZJ148" s="22"/>
      <c r="UZK148" s="22"/>
      <c r="UZL148" s="22"/>
      <c r="UZM148" s="22"/>
      <c r="UZN148" s="22"/>
      <c r="UZO148" s="22"/>
      <c r="UZP148" s="22"/>
      <c r="UZQ148" s="22"/>
      <c r="UZR148" s="22"/>
      <c r="UZS148" s="22"/>
      <c r="UZT148" s="22"/>
      <c r="UZU148" s="22"/>
      <c r="UZV148" s="22"/>
      <c r="UZW148" s="22"/>
      <c r="UZX148" s="22"/>
      <c r="UZY148" s="22"/>
      <c r="UZZ148" s="22"/>
      <c r="VAA148" s="22"/>
      <c r="VAB148" s="22"/>
      <c r="VAC148" s="22"/>
      <c r="VAD148" s="22"/>
      <c r="VAE148" s="22"/>
      <c r="VAF148" s="22"/>
      <c r="VAG148" s="22"/>
      <c r="VAH148" s="22"/>
      <c r="VAI148" s="22"/>
      <c r="VAJ148" s="22"/>
      <c r="VAK148" s="22"/>
      <c r="VAL148" s="22"/>
      <c r="VAM148" s="22"/>
      <c r="VAN148" s="22"/>
      <c r="VAO148" s="22"/>
      <c r="VAP148" s="22"/>
      <c r="VAQ148" s="22"/>
      <c r="VAR148" s="22"/>
      <c r="VAS148" s="22"/>
      <c r="VAT148" s="22"/>
      <c r="VAU148" s="22"/>
      <c r="VAV148" s="22"/>
      <c r="VAW148" s="22"/>
      <c r="VAX148" s="22"/>
      <c r="VAY148" s="22"/>
      <c r="VAZ148" s="22"/>
      <c r="VBA148" s="22"/>
      <c r="VBB148" s="22"/>
      <c r="VBC148" s="22"/>
      <c r="VBD148" s="22"/>
      <c r="VBE148" s="22"/>
      <c r="VBF148" s="22"/>
      <c r="VBG148" s="22"/>
      <c r="VBH148" s="22"/>
      <c r="VBI148" s="22"/>
      <c r="VBJ148" s="22"/>
      <c r="VBK148" s="22"/>
      <c r="VBL148" s="22"/>
      <c r="VBM148" s="22"/>
      <c r="VBN148" s="22"/>
      <c r="VBO148" s="22"/>
      <c r="VBP148" s="22"/>
      <c r="VBQ148" s="22"/>
      <c r="VBR148" s="22"/>
      <c r="VBS148" s="22"/>
      <c r="VBT148" s="22"/>
      <c r="VBU148" s="22"/>
      <c r="VBV148" s="22"/>
      <c r="VBW148" s="22"/>
      <c r="VBX148" s="22"/>
      <c r="VBY148" s="22"/>
      <c r="VBZ148" s="22"/>
      <c r="VCA148" s="22"/>
      <c r="VCB148" s="22"/>
      <c r="VCC148" s="22"/>
      <c r="VCD148" s="22"/>
      <c r="VCE148" s="22"/>
      <c r="VCF148" s="22"/>
      <c r="VCG148" s="22"/>
      <c r="VCH148" s="22"/>
      <c r="VCI148" s="22"/>
      <c r="VCJ148" s="22"/>
      <c r="VCK148" s="22"/>
      <c r="VCL148" s="22"/>
      <c r="VCM148" s="22"/>
      <c r="VCN148" s="22"/>
      <c r="VCO148" s="22"/>
      <c r="VCP148" s="22"/>
      <c r="VCQ148" s="22"/>
      <c r="VCR148" s="22"/>
      <c r="VCS148" s="22"/>
      <c r="VCT148" s="22"/>
      <c r="VCU148" s="22"/>
      <c r="VCV148" s="22"/>
      <c r="VCW148" s="22"/>
      <c r="VCX148" s="22"/>
      <c r="VCY148" s="22"/>
      <c r="VCZ148" s="22"/>
      <c r="VDA148" s="22"/>
      <c r="VDB148" s="22"/>
      <c r="VDC148" s="22"/>
      <c r="VDD148" s="22"/>
      <c r="VDE148" s="22"/>
      <c r="VDF148" s="22"/>
      <c r="VDG148" s="22"/>
      <c r="VDH148" s="22"/>
      <c r="VDI148" s="22"/>
      <c r="VDJ148" s="22"/>
      <c r="VDK148" s="22"/>
      <c r="VDL148" s="22"/>
      <c r="VDM148" s="22"/>
      <c r="VDN148" s="22"/>
      <c r="VDO148" s="22"/>
      <c r="VDP148" s="22"/>
      <c r="VDQ148" s="22"/>
      <c r="VDR148" s="22"/>
      <c r="VDS148" s="22"/>
      <c r="VDT148" s="22"/>
      <c r="VDU148" s="22"/>
      <c r="VDV148" s="22"/>
      <c r="VDW148" s="22"/>
      <c r="VDX148" s="22"/>
      <c r="VDY148" s="22"/>
      <c r="VDZ148" s="22"/>
      <c r="VEA148" s="22"/>
      <c r="VEB148" s="22"/>
      <c r="VEC148" s="22"/>
      <c r="VED148" s="22"/>
      <c r="VEE148" s="22"/>
      <c r="VEF148" s="22"/>
      <c r="VEG148" s="22"/>
      <c r="VEH148" s="22"/>
      <c r="VEI148" s="22"/>
      <c r="VEJ148" s="22"/>
      <c r="VEK148" s="22"/>
      <c r="VEL148" s="22"/>
      <c r="VEM148" s="22"/>
      <c r="VEN148" s="22"/>
      <c r="VEO148" s="22"/>
      <c r="VEP148" s="22"/>
      <c r="VEQ148" s="22"/>
      <c r="VER148" s="22"/>
      <c r="VES148" s="22"/>
      <c r="VET148" s="22"/>
      <c r="VEU148" s="22"/>
      <c r="VEV148" s="22"/>
      <c r="VEW148" s="22"/>
      <c r="VEX148" s="22"/>
      <c r="VEY148" s="22"/>
      <c r="VEZ148" s="22"/>
      <c r="VFA148" s="22"/>
      <c r="VFB148" s="22"/>
      <c r="VFC148" s="22"/>
      <c r="VFD148" s="22"/>
      <c r="VFE148" s="22"/>
      <c r="VFF148" s="22"/>
      <c r="VFG148" s="22"/>
      <c r="VFH148" s="22"/>
      <c r="VFI148" s="22"/>
      <c r="VFJ148" s="22"/>
      <c r="VFK148" s="22"/>
      <c r="VFL148" s="22"/>
      <c r="VFM148" s="22"/>
      <c r="VFN148" s="22"/>
      <c r="VFO148" s="22"/>
      <c r="VFP148" s="22"/>
      <c r="VFQ148" s="22"/>
      <c r="VFR148" s="22"/>
      <c r="VFS148" s="22"/>
      <c r="VFT148" s="22"/>
      <c r="VFU148" s="22"/>
      <c r="VFV148" s="22"/>
      <c r="VFW148" s="22"/>
      <c r="VFX148" s="22"/>
      <c r="VFY148" s="22"/>
      <c r="VFZ148" s="22"/>
      <c r="VGA148" s="22"/>
      <c r="VGB148" s="22"/>
      <c r="VGC148" s="22"/>
      <c r="VGD148" s="22"/>
      <c r="VGE148" s="22"/>
      <c r="VGF148" s="22"/>
      <c r="VGG148" s="22"/>
      <c r="VGH148" s="22"/>
      <c r="VGI148" s="22"/>
      <c r="VGJ148" s="22"/>
      <c r="VGK148" s="22"/>
      <c r="VGL148" s="22"/>
      <c r="VGM148" s="22"/>
      <c r="VGN148" s="22"/>
      <c r="VGO148" s="22"/>
      <c r="VGP148" s="22"/>
      <c r="VGQ148" s="22"/>
      <c r="VGR148" s="22"/>
      <c r="VGS148" s="22"/>
      <c r="VGT148" s="22"/>
      <c r="VGU148" s="22"/>
      <c r="VGV148" s="22"/>
      <c r="VGW148" s="22"/>
      <c r="VGX148" s="22"/>
      <c r="VGY148" s="22"/>
      <c r="VGZ148" s="22"/>
      <c r="VHA148" s="22"/>
      <c r="VHB148" s="22"/>
      <c r="VHC148" s="22"/>
      <c r="VHD148" s="22"/>
      <c r="VHE148" s="22"/>
      <c r="VHF148" s="22"/>
      <c r="VHG148" s="22"/>
      <c r="VHH148" s="22"/>
      <c r="VHI148" s="22"/>
      <c r="VHJ148" s="22"/>
      <c r="VHK148" s="22"/>
      <c r="VHL148" s="22"/>
      <c r="VHM148" s="22"/>
      <c r="VHN148" s="22"/>
      <c r="VHO148" s="22"/>
      <c r="VHP148" s="22"/>
      <c r="VHQ148" s="22"/>
      <c r="VHR148" s="22"/>
      <c r="VHS148" s="22"/>
      <c r="VHT148" s="22"/>
      <c r="VHU148" s="22"/>
      <c r="VHV148" s="22"/>
      <c r="VHW148" s="22"/>
      <c r="VHX148" s="22"/>
      <c r="VHY148" s="22"/>
      <c r="VHZ148" s="22"/>
      <c r="VIA148" s="22"/>
      <c r="VIB148" s="22"/>
      <c r="VIC148" s="22"/>
      <c r="VID148" s="22"/>
      <c r="VIE148" s="22"/>
      <c r="VIF148" s="22"/>
      <c r="VIG148" s="22"/>
      <c r="VIH148" s="22"/>
      <c r="VII148" s="22"/>
      <c r="VIJ148" s="22"/>
      <c r="VIK148" s="22"/>
      <c r="VIL148" s="22"/>
      <c r="VIM148" s="22"/>
      <c r="VIN148" s="22"/>
      <c r="VIO148" s="22"/>
      <c r="VIP148" s="22"/>
      <c r="VIQ148" s="22"/>
      <c r="VIR148" s="22"/>
      <c r="VIS148" s="22"/>
      <c r="VIT148" s="22"/>
      <c r="VIU148" s="22"/>
      <c r="VIV148" s="22"/>
      <c r="VIW148" s="22"/>
      <c r="VIX148" s="22"/>
      <c r="VIY148" s="22"/>
      <c r="VIZ148" s="22"/>
      <c r="VJA148" s="22"/>
      <c r="VJB148" s="22"/>
      <c r="VJC148" s="22"/>
      <c r="VJD148" s="22"/>
      <c r="VJE148" s="22"/>
      <c r="VJF148" s="22"/>
      <c r="VJG148" s="22"/>
      <c r="VJH148" s="22"/>
      <c r="VJI148" s="22"/>
      <c r="VJJ148" s="22"/>
      <c r="VJK148" s="22"/>
      <c r="VJL148" s="22"/>
      <c r="VJM148" s="22"/>
      <c r="VJN148" s="22"/>
      <c r="VJO148" s="22"/>
      <c r="VJP148" s="22"/>
      <c r="VJQ148" s="22"/>
      <c r="VJR148" s="22"/>
      <c r="VJS148" s="22"/>
      <c r="VJT148" s="22"/>
      <c r="VJU148" s="22"/>
      <c r="VJV148" s="22"/>
      <c r="VJW148" s="22"/>
      <c r="VJX148" s="22"/>
      <c r="VJY148" s="22"/>
      <c r="VJZ148" s="22"/>
      <c r="VKA148" s="22"/>
      <c r="VKB148" s="22"/>
      <c r="VKC148" s="22"/>
      <c r="VKD148" s="22"/>
      <c r="VKE148" s="22"/>
      <c r="VKF148" s="22"/>
      <c r="VKG148" s="22"/>
      <c r="VKH148" s="22"/>
      <c r="VKI148" s="22"/>
      <c r="VKJ148" s="22"/>
      <c r="VKK148" s="22"/>
      <c r="VKL148" s="22"/>
      <c r="VKM148" s="22"/>
      <c r="VKN148" s="22"/>
      <c r="VKO148" s="22"/>
      <c r="VKP148" s="22"/>
      <c r="VKQ148" s="22"/>
      <c r="VKR148" s="22"/>
      <c r="VKS148" s="22"/>
      <c r="VKT148" s="22"/>
      <c r="VKU148" s="22"/>
      <c r="VKV148" s="22"/>
      <c r="VKW148" s="22"/>
      <c r="VKX148" s="22"/>
      <c r="VKY148" s="22"/>
      <c r="VKZ148" s="22"/>
      <c r="VLA148" s="22"/>
      <c r="VLB148" s="22"/>
      <c r="VLC148" s="22"/>
      <c r="VLD148" s="22"/>
      <c r="VLE148" s="22"/>
      <c r="VLF148" s="22"/>
      <c r="VLG148" s="22"/>
      <c r="VLH148" s="22"/>
      <c r="VLI148" s="22"/>
      <c r="VLJ148" s="22"/>
      <c r="VLK148" s="22"/>
      <c r="VLL148" s="22"/>
      <c r="VLM148" s="22"/>
      <c r="VLN148" s="22"/>
      <c r="VLO148" s="22"/>
      <c r="VLP148" s="22"/>
      <c r="VLQ148" s="22"/>
      <c r="VLR148" s="22"/>
      <c r="VLS148" s="22"/>
      <c r="VLT148" s="22"/>
      <c r="VLU148" s="22"/>
      <c r="VLV148" s="22"/>
      <c r="VLW148" s="22"/>
      <c r="VLX148" s="22"/>
      <c r="VLY148" s="22"/>
      <c r="VLZ148" s="22"/>
      <c r="VMA148" s="22"/>
      <c r="VMB148" s="22"/>
      <c r="VMC148" s="22"/>
      <c r="VMD148" s="22"/>
      <c r="VME148" s="22"/>
      <c r="VMF148" s="22"/>
      <c r="VMG148" s="22"/>
      <c r="VMH148" s="22"/>
      <c r="VMI148" s="22"/>
      <c r="VMJ148" s="22"/>
      <c r="VMK148" s="22"/>
      <c r="VML148" s="22"/>
      <c r="VMM148" s="22"/>
      <c r="VMN148" s="22"/>
      <c r="VMO148" s="22"/>
      <c r="VMP148" s="22"/>
      <c r="VMQ148" s="22"/>
      <c r="VMR148" s="22"/>
      <c r="VMS148" s="22"/>
      <c r="VMT148" s="22"/>
      <c r="VMU148" s="22"/>
      <c r="VMV148" s="22"/>
      <c r="VMW148" s="22"/>
      <c r="VMX148" s="22"/>
      <c r="VMY148" s="22"/>
      <c r="VMZ148" s="22"/>
      <c r="VNA148" s="22"/>
      <c r="VNB148" s="22"/>
      <c r="VNC148" s="22"/>
      <c r="VND148" s="22"/>
      <c r="VNE148" s="22"/>
      <c r="VNF148" s="22"/>
      <c r="VNG148" s="22"/>
      <c r="VNH148" s="22"/>
      <c r="VNI148" s="22"/>
      <c r="VNJ148" s="22"/>
      <c r="VNK148" s="22"/>
      <c r="VNL148" s="22"/>
      <c r="VNM148" s="22"/>
      <c r="VNN148" s="22"/>
      <c r="VNO148" s="22"/>
      <c r="VNP148" s="22"/>
      <c r="VNQ148" s="22"/>
      <c r="VNR148" s="22"/>
      <c r="VNS148" s="22"/>
      <c r="VNT148" s="22"/>
      <c r="VNU148" s="22"/>
      <c r="VNV148" s="22"/>
      <c r="VNW148" s="22"/>
      <c r="VNX148" s="22"/>
      <c r="VNY148" s="22"/>
      <c r="VNZ148" s="22"/>
      <c r="VOA148" s="22"/>
      <c r="VOB148" s="22"/>
      <c r="VOC148" s="22"/>
      <c r="VOD148" s="22"/>
      <c r="VOE148" s="22"/>
      <c r="VOF148" s="22"/>
      <c r="VOG148" s="22"/>
      <c r="VOH148" s="22"/>
      <c r="VOI148" s="22"/>
      <c r="VOJ148" s="22"/>
      <c r="VOK148" s="22"/>
      <c r="VOL148" s="22"/>
      <c r="VOM148" s="22"/>
      <c r="VON148" s="22"/>
      <c r="VOO148" s="22"/>
      <c r="VOP148" s="22"/>
      <c r="VOQ148" s="22"/>
      <c r="VOR148" s="22"/>
      <c r="VOS148" s="22"/>
      <c r="VOT148" s="22"/>
      <c r="VOU148" s="22"/>
      <c r="VOV148" s="22"/>
      <c r="VOW148" s="22"/>
      <c r="VOX148" s="22"/>
      <c r="VOY148" s="22"/>
      <c r="VOZ148" s="22"/>
      <c r="VPA148" s="22"/>
      <c r="VPB148" s="22"/>
      <c r="VPC148" s="22"/>
      <c r="VPD148" s="22"/>
      <c r="VPE148" s="22"/>
      <c r="VPF148" s="22"/>
      <c r="VPG148" s="22"/>
      <c r="VPH148" s="22"/>
      <c r="VPI148" s="22"/>
      <c r="VPJ148" s="22"/>
      <c r="VPK148" s="22"/>
      <c r="VPL148" s="22"/>
      <c r="VPM148" s="22"/>
      <c r="VPN148" s="22"/>
      <c r="VPO148" s="22"/>
      <c r="VPP148" s="22"/>
      <c r="VPQ148" s="22"/>
      <c r="VPR148" s="22"/>
      <c r="VPS148" s="22"/>
      <c r="VPT148" s="22"/>
      <c r="VPU148" s="22"/>
      <c r="VPV148" s="22"/>
      <c r="VPW148" s="22"/>
      <c r="VPX148" s="22"/>
      <c r="VPY148" s="22"/>
      <c r="VPZ148" s="22"/>
      <c r="VQA148" s="22"/>
      <c r="VQB148" s="22"/>
      <c r="VQC148" s="22"/>
      <c r="VQD148" s="22"/>
      <c r="VQE148" s="22"/>
      <c r="VQF148" s="22"/>
      <c r="VQG148" s="22"/>
      <c r="VQH148" s="22"/>
      <c r="VQI148" s="22"/>
      <c r="VQJ148" s="22"/>
      <c r="VQK148" s="22"/>
      <c r="VQL148" s="22"/>
      <c r="VQM148" s="22"/>
      <c r="VQN148" s="22"/>
      <c r="VQO148" s="22"/>
      <c r="VQP148" s="22"/>
      <c r="VQQ148" s="22"/>
      <c r="VQR148" s="22"/>
      <c r="VQS148" s="22"/>
      <c r="VQT148" s="22"/>
      <c r="VQU148" s="22"/>
      <c r="VQV148" s="22"/>
      <c r="VQW148" s="22"/>
      <c r="VQX148" s="22"/>
      <c r="VQY148" s="22"/>
      <c r="VQZ148" s="22"/>
      <c r="VRA148" s="22"/>
      <c r="VRB148" s="22"/>
      <c r="VRC148" s="22"/>
      <c r="VRD148" s="22"/>
      <c r="VRE148" s="22"/>
      <c r="VRF148" s="22"/>
      <c r="VRG148" s="22"/>
      <c r="VRH148" s="22"/>
      <c r="VRI148" s="22"/>
      <c r="VRJ148" s="22"/>
      <c r="VRK148" s="22"/>
      <c r="VRL148" s="22"/>
      <c r="VRM148" s="22"/>
      <c r="VRN148" s="22"/>
      <c r="VRO148" s="22"/>
      <c r="VRP148" s="22"/>
      <c r="VRQ148" s="22"/>
      <c r="VRR148" s="22"/>
      <c r="VRS148" s="22"/>
      <c r="VRT148" s="22"/>
      <c r="VRU148" s="22"/>
      <c r="VRV148" s="22"/>
      <c r="VRW148" s="22"/>
      <c r="VRX148" s="22"/>
      <c r="VRY148" s="22"/>
      <c r="VRZ148" s="22"/>
      <c r="VSA148" s="22"/>
      <c r="VSB148" s="22"/>
      <c r="VSC148" s="22"/>
      <c r="VSD148" s="22"/>
      <c r="VSE148" s="22"/>
      <c r="VSF148" s="22"/>
      <c r="VSG148" s="22"/>
      <c r="VSH148" s="22"/>
      <c r="VSI148" s="22"/>
      <c r="VSJ148" s="22"/>
      <c r="VSK148" s="22"/>
      <c r="VSL148" s="22"/>
      <c r="VSM148" s="22"/>
      <c r="VSN148" s="22"/>
      <c r="VSO148" s="22"/>
      <c r="VSP148" s="22"/>
      <c r="VSQ148" s="22"/>
      <c r="VSR148" s="22"/>
      <c r="VSS148" s="22"/>
      <c r="VST148" s="22"/>
      <c r="VSU148" s="22"/>
      <c r="VSV148" s="22"/>
      <c r="VSW148" s="22"/>
      <c r="VSX148" s="22"/>
      <c r="VSY148" s="22"/>
      <c r="VSZ148" s="22"/>
      <c r="VTA148" s="22"/>
      <c r="VTB148" s="22"/>
      <c r="VTC148" s="22"/>
      <c r="VTD148" s="22"/>
      <c r="VTE148" s="22"/>
      <c r="VTF148" s="22"/>
      <c r="VTG148" s="22"/>
      <c r="VTH148" s="22"/>
      <c r="VTI148" s="22"/>
      <c r="VTJ148" s="22"/>
      <c r="VTK148" s="22"/>
      <c r="VTL148" s="22"/>
      <c r="VTM148" s="22"/>
      <c r="VTN148" s="22"/>
      <c r="VTO148" s="22"/>
      <c r="VTP148" s="22"/>
      <c r="VTQ148" s="22"/>
      <c r="VTR148" s="22"/>
      <c r="VTS148" s="22"/>
      <c r="VTT148" s="22"/>
      <c r="VTU148" s="22"/>
      <c r="VTV148" s="22"/>
      <c r="VTW148" s="22"/>
      <c r="VTX148" s="22"/>
      <c r="VTY148" s="22"/>
      <c r="VTZ148" s="22"/>
      <c r="VUA148" s="22"/>
      <c r="VUB148" s="22"/>
      <c r="VUC148" s="22"/>
      <c r="VUD148" s="22"/>
      <c r="VUE148" s="22"/>
      <c r="VUF148" s="22"/>
      <c r="VUG148" s="22"/>
      <c r="VUH148" s="22"/>
      <c r="VUI148" s="22"/>
      <c r="VUJ148" s="22"/>
      <c r="VUK148" s="22"/>
      <c r="VUL148" s="22"/>
      <c r="VUM148" s="22"/>
      <c r="VUN148" s="22"/>
      <c r="VUO148" s="22"/>
      <c r="VUP148" s="22"/>
      <c r="VUQ148" s="22"/>
      <c r="VUR148" s="22"/>
      <c r="VUS148" s="22"/>
      <c r="VUT148" s="22"/>
      <c r="VUU148" s="22"/>
      <c r="VUV148" s="22"/>
      <c r="VUW148" s="22"/>
      <c r="VUX148" s="22"/>
      <c r="VUY148" s="22"/>
      <c r="VUZ148" s="22"/>
      <c r="VVA148" s="22"/>
      <c r="VVB148" s="22"/>
      <c r="VVC148" s="22"/>
      <c r="VVD148" s="22"/>
      <c r="VVE148" s="22"/>
      <c r="VVF148" s="22"/>
      <c r="VVG148" s="22"/>
      <c r="VVH148" s="22"/>
      <c r="VVI148" s="22"/>
      <c r="VVJ148" s="22"/>
      <c r="VVK148" s="22"/>
      <c r="VVL148" s="22"/>
      <c r="VVM148" s="22"/>
      <c r="VVN148" s="22"/>
      <c r="VVO148" s="22"/>
      <c r="VVP148" s="22"/>
      <c r="VVQ148" s="22"/>
      <c r="VVR148" s="22"/>
      <c r="VVS148" s="22"/>
      <c r="VVT148" s="22"/>
      <c r="VVU148" s="22"/>
      <c r="VVV148" s="22"/>
      <c r="VVW148" s="22"/>
      <c r="VVX148" s="22"/>
      <c r="VVY148" s="22"/>
      <c r="VVZ148" s="22"/>
      <c r="VWA148" s="22"/>
      <c r="VWB148" s="22"/>
      <c r="VWC148" s="22"/>
      <c r="VWD148" s="22"/>
      <c r="VWE148" s="22"/>
      <c r="VWF148" s="22"/>
      <c r="VWG148" s="22"/>
      <c r="VWH148" s="22"/>
      <c r="VWI148" s="22"/>
      <c r="VWJ148" s="22"/>
      <c r="VWK148" s="22"/>
      <c r="VWL148" s="22"/>
      <c r="VWM148" s="22"/>
      <c r="VWN148" s="22"/>
      <c r="VWO148" s="22"/>
      <c r="VWP148" s="22"/>
      <c r="VWQ148" s="22"/>
      <c r="VWR148" s="22"/>
      <c r="VWS148" s="22"/>
      <c r="VWT148" s="22"/>
      <c r="VWU148" s="22"/>
      <c r="VWV148" s="22"/>
      <c r="VWW148" s="22"/>
      <c r="VWX148" s="22"/>
      <c r="VWY148" s="22"/>
      <c r="VWZ148" s="22"/>
      <c r="VXA148" s="22"/>
      <c r="VXB148" s="22"/>
      <c r="VXC148" s="22"/>
      <c r="VXD148" s="22"/>
      <c r="VXE148" s="22"/>
      <c r="VXF148" s="22"/>
      <c r="VXG148" s="22"/>
      <c r="VXH148" s="22"/>
      <c r="VXI148" s="22"/>
      <c r="VXJ148" s="22"/>
      <c r="VXK148" s="22"/>
      <c r="VXL148" s="22"/>
      <c r="VXM148" s="22"/>
      <c r="VXN148" s="22"/>
      <c r="VXO148" s="22"/>
      <c r="VXP148" s="22"/>
      <c r="VXQ148" s="22"/>
      <c r="VXR148" s="22"/>
      <c r="VXS148" s="22"/>
      <c r="VXT148" s="22"/>
      <c r="VXU148" s="22"/>
      <c r="VXV148" s="22"/>
      <c r="VXW148" s="22"/>
      <c r="VXX148" s="22"/>
      <c r="VXY148" s="22"/>
      <c r="VXZ148" s="22"/>
      <c r="VYA148" s="22"/>
      <c r="VYB148" s="22"/>
      <c r="VYC148" s="22"/>
      <c r="VYD148" s="22"/>
      <c r="VYE148" s="22"/>
      <c r="VYF148" s="22"/>
      <c r="VYG148" s="22"/>
      <c r="VYH148" s="22"/>
      <c r="VYI148" s="22"/>
      <c r="VYJ148" s="22"/>
      <c r="VYK148" s="22"/>
      <c r="VYL148" s="22"/>
      <c r="VYM148" s="22"/>
      <c r="VYN148" s="22"/>
      <c r="VYO148" s="22"/>
      <c r="VYP148" s="22"/>
      <c r="VYQ148" s="22"/>
      <c r="VYR148" s="22"/>
      <c r="VYS148" s="22"/>
      <c r="VYT148" s="22"/>
      <c r="VYU148" s="22"/>
      <c r="VYV148" s="22"/>
      <c r="VYW148" s="22"/>
      <c r="VYX148" s="22"/>
      <c r="VYY148" s="22"/>
      <c r="VYZ148" s="22"/>
      <c r="VZA148" s="22"/>
      <c r="VZB148" s="22"/>
      <c r="VZC148" s="22"/>
      <c r="VZD148" s="22"/>
      <c r="VZE148" s="22"/>
      <c r="VZF148" s="22"/>
      <c r="VZG148" s="22"/>
      <c r="VZH148" s="22"/>
      <c r="VZI148" s="22"/>
      <c r="VZJ148" s="22"/>
      <c r="VZK148" s="22"/>
      <c r="VZL148" s="22"/>
      <c r="VZM148" s="22"/>
      <c r="VZN148" s="22"/>
      <c r="VZO148" s="22"/>
      <c r="VZP148" s="22"/>
      <c r="VZQ148" s="22"/>
      <c r="VZR148" s="22"/>
      <c r="VZS148" s="22"/>
      <c r="VZT148" s="22"/>
      <c r="VZU148" s="22"/>
      <c r="VZV148" s="22"/>
      <c r="VZW148" s="22"/>
      <c r="VZX148" s="22"/>
      <c r="VZY148" s="22"/>
      <c r="VZZ148" s="22"/>
      <c r="WAA148" s="22"/>
      <c r="WAB148" s="22"/>
      <c r="WAC148" s="22"/>
      <c r="WAD148" s="22"/>
      <c r="WAE148" s="22"/>
      <c r="WAF148" s="22"/>
      <c r="WAG148" s="22"/>
      <c r="WAH148" s="22"/>
      <c r="WAI148" s="22"/>
      <c r="WAJ148" s="22"/>
      <c r="WAK148" s="22"/>
      <c r="WAL148" s="22"/>
      <c r="WAM148" s="22"/>
      <c r="WAN148" s="22"/>
      <c r="WAO148" s="22"/>
      <c r="WAP148" s="22"/>
      <c r="WAQ148" s="22"/>
      <c r="WAR148" s="22"/>
      <c r="WAS148" s="22"/>
      <c r="WAT148" s="22"/>
      <c r="WAU148" s="22"/>
      <c r="WAV148" s="22"/>
      <c r="WAW148" s="22"/>
      <c r="WAX148" s="22"/>
      <c r="WAY148" s="22"/>
      <c r="WAZ148" s="22"/>
      <c r="WBA148" s="22"/>
      <c r="WBB148" s="22"/>
      <c r="WBC148" s="22"/>
      <c r="WBD148" s="22"/>
      <c r="WBE148" s="22"/>
      <c r="WBF148" s="22"/>
      <c r="WBG148" s="22"/>
      <c r="WBH148" s="22"/>
      <c r="WBI148" s="22"/>
      <c r="WBJ148" s="22"/>
      <c r="WBK148" s="22"/>
      <c r="WBL148" s="22"/>
      <c r="WBM148" s="22"/>
      <c r="WBN148" s="22"/>
      <c r="WBO148" s="22"/>
      <c r="WBP148" s="22"/>
      <c r="WBQ148" s="22"/>
      <c r="WBR148" s="22"/>
      <c r="WBS148" s="22"/>
      <c r="WBT148" s="22"/>
      <c r="WBU148" s="22"/>
      <c r="WBV148" s="22"/>
      <c r="WBW148" s="22"/>
      <c r="WBX148" s="22"/>
      <c r="WBY148" s="22"/>
      <c r="WBZ148" s="22"/>
      <c r="WCA148" s="22"/>
      <c r="WCB148" s="22"/>
      <c r="WCC148" s="22"/>
      <c r="WCD148" s="22"/>
      <c r="WCE148" s="22"/>
      <c r="WCF148" s="22"/>
      <c r="WCG148" s="22"/>
      <c r="WCH148" s="22"/>
      <c r="WCI148" s="22"/>
      <c r="WCJ148" s="22"/>
      <c r="WCK148" s="22"/>
      <c r="WCL148" s="22"/>
      <c r="WCM148" s="22"/>
      <c r="WCN148" s="22"/>
      <c r="WCO148" s="22"/>
      <c r="WCP148" s="22"/>
      <c r="WCQ148" s="22"/>
      <c r="WCR148" s="22"/>
      <c r="WCS148" s="22"/>
      <c r="WCT148" s="22"/>
      <c r="WCU148" s="22"/>
      <c r="WCV148" s="22"/>
      <c r="WCW148" s="22"/>
      <c r="WCX148" s="22"/>
      <c r="WCY148" s="22"/>
      <c r="WCZ148" s="22"/>
      <c r="WDA148" s="22"/>
      <c r="WDB148" s="22"/>
      <c r="WDC148" s="22"/>
      <c r="WDD148" s="22"/>
      <c r="WDE148" s="22"/>
      <c r="WDF148" s="22"/>
      <c r="WDG148" s="22"/>
      <c r="WDH148" s="22"/>
      <c r="WDI148" s="22"/>
      <c r="WDJ148" s="22"/>
      <c r="WDK148" s="22"/>
      <c r="WDL148" s="22"/>
      <c r="WDM148" s="22"/>
      <c r="WDN148" s="22"/>
      <c r="WDO148" s="22"/>
      <c r="WDP148" s="22"/>
      <c r="WDQ148" s="22"/>
      <c r="WDR148" s="22"/>
      <c r="WDS148" s="22"/>
      <c r="WDT148" s="22"/>
      <c r="WDU148" s="22"/>
      <c r="WDV148" s="22"/>
      <c r="WDW148" s="22"/>
      <c r="WDX148" s="22"/>
      <c r="WDY148" s="22"/>
      <c r="WDZ148" s="22"/>
      <c r="WEA148" s="22"/>
      <c r="WEB148" s="22"/>
      <c r="WEC148" s="22"/>
      <c r="WED148" s="22"/>
      <c r="WEE148" s="22"/>
      <c r="WEF148" s="22"/>
      <c r="WEG148" s="22"/>
      <c r="WEH148" s="22"/>
      <c r="WEI148" s="22"/>
      <c r="WEJ148" s="22"/>
      <c r="WEK148" s="22"/>
      <c r="WEL148" s="22"/>
      <c r="WEM148" s="22"/>
      <c r="WEN148" s="22"/>
      <c r="WEO148" s="22"/>
      <c r="WEP148" s="22"/>
      <c r="WEQ148" s="22"/>
      <c r="WER148" s="22"/>
      <c r="WES148" s="22"/>
      <c r="WET148" s="22"/>
      <c r="WEU148" s="22"/>
      <c r="WEV148" s="22"/>
      <c r="WEW148" s="22"/>
      <c r="WEX148" s="22"/>
      <c r="WEY148" s="22"/>
      <c r="WEZ148" s="22"/>
      <c r="WFA148" s="22"/>
      <c r="WFB148" s="22"/>
      <c r="WFC148" s="22"/>
      <c r="WFD148" s="22"/>
      <c r="WFE148" s="22"/>
      <c r="WFF148" s="22"/>
      <c r="WFG148" s="22"/>
      <c r="WFH148" s="22"/>
      <c r="WFI148" s="22"/>
      <c r="WFJ148" s="22"/>
      <c r="WFK148" s="22"/>
      <c r="WFL148" s="22"/>
      <c r="WFM148" s="22"/>
      <c r="WFN148" s="22"/>
      <c r="WFO148" s="22"/>
      <c r="WFP148" s="22"/>
      <c r="WFQ148" s="22"/>
      <c r="WFR148" s="22"/>
      <c r="WFS148" s="22"/>
      <c r="WFT148" s="22"/>
      <c r="WFU148" s="22"/>
      <c r="WFV148" s="22"/>
      <c r="WFW148" s="22"/>
      <c r="WFX148" s="22"/>
      <c r="WFY148" s="22"/>
      <c r="WFZ148" s="22"/>
      <c r="WGA148" s="22"/>
      <c r="WGB148" s="22"/>
      <c r="WGC148" s="22"/>
      <c r="WGD148" s="22"/>
      <c r="WGE148" s="22"/>
      <c r="WGF148" s="22"/>
      <c r="WGG148" s="22"/>
      <c r="WGH148" s="22"/>
      <c r="WGI148" s="22"/>
      <c r="WGJ148" s="22"/>
      <c r="WGK148" s="22"/>
      <c r="WGL148" s="22"/>
      <c r="WGM148" s="22"/>
      <c r="WGN148" s="22"/>
      <c r="WGO148" s="22"/>
      <c r="WGP148" s="22"/>
      <c r="WGQ148" s="22"/>
      <c r="WGR148" s="22"/>
      <c r="WGS148" s="22"/>
      <c r="WGT148" s="22"/>
      <c r="WGU148" s="22"/>
      <c r="WGV148" s="22"/>
      <c r="WGW148" s="22"/>
      <c r="WGX148" s="22"/>
      <c r="WGY148" s="22"/>
      <c r="WGZ148" s="22"/>
      <c r="WHA148" s="22"/>
      <c r="WHB148" s="22"/>
      <c r="WHC148" s="22"/>
      <c r="WHD148" s="22"/>
      <c r="WHE148" s="22"/>
      <c r="WHF148" s="22"/>
      <c r="WHG148" s="22"/>
      <c r="WHH148" s="22"/>
      <c r="WHI148" s="22"/>
      <c r="WHJ148" s="22"/>
      <c r="WHK148" s="22"/>
      <c r="WHL148" s="22"/>
      <c r="WHM148" s="22"/>
      <c r="WHN148" s="22"/>
      <c r="WHO148" s="22"/>
      <c r="WHP148" s="22"/>
      <c r="WHQ148" s="22"/>
      <c r="WHR148" s="22"/>
      <c r="WHS148" s="22"/>
      <c r="WHT148" s="22"/>
      <c r="WHU148" s="22"/>
      <c r="WHV148" s="22"/>
      <c r="WHW148" s="22"/>
      <c r="WHX148" s="22"/>
      <c r="WHY148" s="22"/>
      <c r="WHZ148" s="22"/>
      <c r="WIA148" s="22"/>
      <c r="WIB148" s="22"/>
      <c r="WIC148" s="22"/>
      <c r="WID148" s="22"/>
      <c r="WIE148" s="22"/>
      <c r="WIF148" s="22"/>
      <c r="WIG148" s="22"/>
      <c r="WIH148" s="22"/>
      <c r="WII148" s="22"/>
      <c r="WIJ148" s="22"/>
      <c r="WIK148" s="22"/>
      <c r="WIL148" s="22"/>
      <c r="WIM148" s="22"/>
      <c r="WIN148" s="22"/>
      <c r="WIO148" s="22"/>
      <c r="WIP148" s="22"/>
      <c r="WIQ148" s="22"/>
      <c r="WIR148" s="22"/>
      <c r="WIS148" s="22"/>
      <c r="WIT148" s="22"/>
      <c r="WIU148" s="22"/>
      <c r="WIV148" s="22"/>
      <c r="WIW148" s="22"/>
      <c r="WIX148" s="22"/>
      <c r="WIY148" s="22"/>
      <c r="WIZ148" s="22"/>
      <c r="WJA148" s="22"/>
      <c r="WJB148" s="22"/>
      <c r="WJC148" s="22"/>
      <c r="WJD148" s="22"/>
      <c r="WJE148" s="22"/>
      <c r="WJF148" s="22"/>
      <c r="WJG148" s="22"/>
      <c r="WJH148" s="22"/>
      <c r="WJI148" s="22"/>
      <c r="WJJ148" s="22"/>
      <c r="WJK148" s="22"/>
      <c r="WJL148" s="22"/>
      <c r="WJM148" s="22"/>
      <c r="WJN148" s="22"/>
      <c r="WJO148" s="22"/>
      <c r="WJP148" s="22"/>
      <c r="WJQ148" s="22"/>
      <c r="WJR148" s="22"/>
      <c r="WJS148" s="22"/>
      <c r="WJT148" s="22"/>
      <c r="WJU148" s="22"/>
      <c r="WJV148" s="22"/>
      <c r="WJW148" s="22"/>
      <c r="WJX148" s="22"/>
      <c r="WJY148" s="22"/>
      <c r="WJZ148" s="22"/>
      <c r="WKA148" s="22"/>
      <c r="WKB148" s="22"/>
      <c r="WKC148" s="22"/>
      <c r="WKD148" s="22"/>
      <c r="WKE148" s="22"/>
      <c r="WKF148" s="22"/>
      <c r="WKG148" s="22"/>
      <c r="WKH148" s="22"/>
      <c r="WKI148" s="22"/>
      <c r="WKJ148" s="22"/>
      <c r="WKK148" s="22"/>
      <c r="WKL148" s="22"/>
      <c r="WKM148" s="22"/>
      <c r="WKN148" s="22"/>
      <c r="WKO148" s="22"/>
      <c r="WKP148" s="22"/>
      <c r="WKQ148" s="22"/>
      <c r="WKR148" s="22"/>
      <c r="WKS148" s="22"/>
      <c r="WKT148" s="22"/>
      <c r="WKU148" s="22"/>
      <c r="WKV148" s="22"/>
      <c r="WKW148" s="22"/>
      <c r="WKX148" s="22"/>
      <c r="WKY148" s="22"/>
      <c r="WKZ148" s="22"/>
      <c r="WLA148" s="22"/>
      <c r="WLB148" s="22"/>
      <c r="WLC148" s="22"/>
      <c r="WLD148" s="22"/>
      <c r="WLE148" s="22"/>
      <c r="WLF148" s="22"/>
      <c r="WLG148" s="22"/>
      <c r="WLH148" s="22"/>
      <c r="WLI148" s="22"/>
      <c r="WLJ148" s="22"/>
      <c r="WLK148" s="22"/>
      <c r="WLL148" s="22"/>
      <c r="WLM148" s="22"/>
      <c r="WLN148" s="22"/>
      <c r="WLO148" s="22"/>
      <c r="WLP148" s="22"/>
      <c r="WLQ148" s="22"/>
      <c r="WLR148" s="22"/>
      <c r="WLS148" s="22"/>
      <c r="WLT148" s="22"/>
      <c r="WLU148" s="22"/>
      <c r="WLV148" s="22"/>
      <c r="WLW148" s="22"/>
      <c r="WLX148" s="22"/>
      <c r="WLY148" s="22"/>
      <c r="WLZ148" s="22"/>
      <c r="WMA148" s="22"/>
      <c r="WMB148" s="22"/>
      <c r="WMC148" s="22"/>
      <c r="WMD148" s="22"/>
      <c r="WME148" s="22"/>
      <c r="WMF148" s="22"/>
      <c r="WMG148" s="22"/>
      <c r="WMH148" s="22"/>
      <c r="WMI148" s="22"/>
      <c r="WMJ148" s="22"/>
      <c r="WMK148" s="22"/>
      <c r="WML148" s="22"/>
      <c r="WMM148" s="22"/>
      <c r="WMN148" s="22"/>
      <c r="WMO148" s="22"/>
      <c r="WMP148" s="22"/>
      <c r="WMQ148" s="22"/>
      <c r="WMR148" s="22"/>
      <c r="WMS148" s="22"/>
      <c r="WMT148" s="22"/>
      <c r="WMU148" s="22"/>
      <c r="WMV148" s="22"/>
      <c r="WMW148" s="22"/>
      <c r="WMX148" s="22"/>
      <c r="WMY148" s="22"/>
      <c r="WMZ148" s="22"/>
      <c r="WNA148" s="22"/>
      <c r="WNB148" s="22"/>
      <c r="WNC148" s="22"/>
      <c r="WND148" s="22"/>
      <c r="WNE148" s="22"/>
      <c r="WNF148" s="22"/>
      <c r="WNG148" s="22"/>
      <c r="WNH148" s="22"/>
      <c r="WNI148" s="22"/>
      <c r="WNJ148" s="22"/>
      <c r="WNK148" s="22"/>
      <c r="WNL148" s="22"/>
      <c r="WNM148" s="22"/>
      <c r="WNN148" s="22"/>
      <c r="WNO148" s="22"/>
      <c r="WNP148" s="22"/>
      <c r="WNQ148" s="22"/>
      <c r="WNR148" s="22"/>
      <c r="WNS148" s="22"/>
      <c r="WNT148" s="22"/>
      <c r="WNU148" s="22"/>
      <c r="WNV148" s="22"/>
      <c r="WNW148" s="22"/>
      <c r="WNX148" s="22"/>
      <c r="WNY148" s="22"/>
      <c r="WNZ148" s="22"/>
      <c r="WOA148" s="22"/>
      <c r="WOB148" s="22"/>
      <c r="WOC148" s="22"/>
      <c r="WOD148" s="22"/>
      <c r="WOE148" s="22"/>
      <c r="WOF148" s="22"/>
      <c r="WOG148" s="22"/>
      <c r="WOH148" s="22"/>
      <c r="WOI148" s="22"/>
      <c r="WOJ148" s="22"/>
      <c r="WOK148" s="22"/>
      <c r="WOL148" s="22"/>
      <c r="WOM148" s="22"/>
      <c r="WON148" s="22"/>
      <c r="WOO148" s="22"/>
      <c r="WOP148" s="22"/>
      <c r="WOQ148" s="22"/>
      <c r="WOR148" s="22"/>
      <c r="WOS148" s="22"/>
      <c r="WOT148" s="22"/>
      <c r="WOU148" s="22"/>
      <c r="WOV148" s="22"/>
      <c r="WOW148" s="22"/>
      <c r="WOX148" s="22"/>
      <c r="WOY148" s="22"/>
      <c r="WOZ148" s="22"/>
      <c r="WPA148" s="22"/>
      <c r="WPB148" s="22"/>
      <c r="WPC148" s="22"/>
      <c r="WPD148" s="22"/>
      <c r="WPE148" s="22"/>
      <c r="WPF148" s="22"/>
      <c r="WPG148" s="22"/>
      <c r="WPH148" s="22"/>
      <c r="WPI148" s="22"/>
      <c r="WPJ148" s="22"/>
      <c r="WPK148" s="22"/>
      <c r="WPL148" s="22"/>
      <c r="WPM148" s="22"/>
      <c r="WPN148" s="22"/>
      <c r="WPO148" s="22"/>
      <c r="WPP148" s="22"/>
      <c r="WPQ148" s="22"/>
      <c r="WPR148" s="22"/>
      <c r="WPS148" s="22"/>
      <c r="WPT148" s="22"/>
      <c r="WPU148" s="22"/>
      <c r="WPV148" s="22"/>
      <c r="WPW148" s="22"/>
      <c r="WPX148" s="22"/>
      <c r="WPY148" s="22"/>
      <c r="WPZ148" s="22"/>
      <c r="WQA148" s="22"/>
      <c r="WQB148" s="22"/>
      <c r="WQC148" s="22"/>
      <c r="WQD148" s="22"/>
      <c r="WQE148" s="22"/>
      <c r="WQF148" s="22"/>
      <c r="WQG148" s="22"/>
      <c r="WQH148" s="22"/>
      <c r="WQI148" s="22"/>
      <c r="WQJ148" s="22"/>
      <c r="WQK148" s="22"/>
      <c r="WQL148" s="22"/>
      <c r="WQM148" s="22"/>
      <c r="WQN148" s="22"/>
      <c r="WQO148" s="22"/>
      <c r="WQP148" s="22"/>
      <c r="WQQ148" s="22"/>
      <c r="WQR148" s="22"/>
      <c r="WQS148" s="22"/>
      <c r="WQT148" s="22"/>
      <c r="WQU148" s="22"/>
      <c r="WQV148" s="22"/>
      <c r="WQW148" s="22"/>
      <c r="WQX148" s="22"/>
      <c r="WQY148" s="22"/>
      <c r="WQZ148" s="22"/>
      <c r="WRA148" s="22"/>
      <c r="WRB148" s="22"/>
      <c r="WRC148" s="22"/>
      <c r="WRD148" s="22"/>
      <c r="WRE148" s="22"/>
      <c r="WRF148" s="22"/>
      <c r="WRG148" s="22"/>
      <c r="WRH148" s="22"/>
      <c r="WRI148" s="22"/>
      <c r="WRJ148" s="22"/>
      <c r="WRK148" s="22"/>
      <c r="WRL148" s="22"/>
      <c r="WRM148" s="22"/>
      <c r="WRN148" s="22"/>
      <c r="WRO148" s="22"/>
      <c r="WRP148" s="22"/>
      <c r="WRQ148" s="22"/>
      <c r="WRR148" s="22"/>
      <c r="WRS148" s="22"/>
      <c r="WRT148" s="22"/>
      <c r="WRU148" s="22"/>
      <c r="WRV148" s="22"/>
      <c r="WRW148" s="22"/>
      <c r="WRX148" s="22"/>
      <c r="WRY148" s="22"/>
      <c r="WRZ148" s="22"/>
      <c r="WSA148" s="22"/>
      <c r="WSB148" s="22"/>
      <c r="WSC148" s="22"/>
      <c r="WSD148" s="22"/>
      <c r="WSE148" s="22"/>
      <c r="WSF148" s="22"/>
      <c r="WSG148" s="22"/>
      <c r="WSH148" s="22"/>
      <c r="WSI148" s="22"/>
      <c r="WSJ148" s="22"/>
      <c r="WSK148" s="22"/>
      <c r="WSL148" s="22"/>
      <c r="WSM148" s="22"/>
      <c r="WSN148" s="22"/>
      <c r="WSO148" s="22"/>
      <c r="WSP148" s="22"/>
      <c r="WSQ148" s="22"/>
      <c r="WSR148" s="22"/>
      <c r="WSS148" s="22"/>
      <c r="WST148" s="22"/>
      <c r="WSU148" s="22"/>
      <c r="WSV148" s="22"/>
      <c r="WSW148" s="22"/>
      <c r="WSX148" s="22"/>
      <c r="WSY148" s="22"/>
      <c r="WSZ148" s="22"/>
      <c r="WTA148" s="22"/>
      <c r="WTB148" s="22"/>
      <c r="WTC148" s="22"/>
      <c r="WTD148" s="22"/>
      <c r="WTE148" s="22"/>
      <c r="WTF148" s="22"/>
      <c r="WTG148" s="22"/>
      <c r="WTH148" s="22"/>
      <c r="WTI148" s="22"/>
      <c r="WTJ148" s="22"/>
      <c r="WTK148" s="22"/>
      <c r="WTL148" s="22"/>
      <c r="WTM148" s="22"/>
      <c r="WTN148" s="22"/>
      <c r="WTO148" s="22"/>
      <c r="WTP148" s="22"/>
      <c r="WTQ148" s="22"/>
      <c r="WTR148" s="22"/>
      <c r="WTS148" s="22"/>
      <c r="WTT148" s="22"/>
      <c r="WTU148" s="22"/>
      <c r="WTV148" s="22"/>
      <c r="WTW148" s="22"/>
      <c r="WTX148" s="22"/>
      <c r="WTY148" s="22"/>
      <c r="WTZ148" s="22"/>
      <c r="WUA148" s="22"/>
      <c r="WUB148" s="22"/>
      <c r="WUC148" s="22"/>
      <c r="WUD148" s="22"/>
      <c r="WUE148" s="22"/>
      <c r="WUF148" s="22"/>
      <c r="WUG148" s="22"/>
      <c r="WUH148" s="22"/>
      <c r="WUI148" s="22"/>
      <c r="WUJ148" s="22"/>
      <c r="WUK148" s="22"/>
      <c r="WUL148" s="22"/>
      <c r="WUM148" s="22"/>
      <c r="WUN148" s="22"/>
      <c r="WUO148" s="22"/>
      <c r="WUP148" s="22"/>
      <c r="WUQ148" s="22"/>
      <c r="WUR148" s="22"/>
      <c r="WUS148" s="22"/>
      <c r="WUT148" s="22"/>
      <c r="WUU148" s="22"/>
      <c r="WUV148" s="22"/>
      <c r="WUW148" s="22"/>
      <c r="WUX148" s="22"/>
      <c r="WUY148" s="22"/>
      <c r="WUZ148" s="22"/>
      <c r="WVA148" s="22"/>
      <c r="WVB148" s="22"/>
      <c r="WVC148" s="22"/>
      <c r="WVD148" s="22"/>
      <c r="WVE148" s="22"/>
      <c r="WVF148" s="22"/>
      <c r="WVG148" s="22"/>
      <c r="WVH148" s="22"/>
      <c r="WVI148" s="22"/>
      <c r="WVJ148" s="22"/>
      <c r="WVK148" s="22"/>
      <c r="WVL148" s="22"/>
      <c r="WVM148" s="22"/>
      <c r="WVN148" s="22"/>
      <c r="WVO148" s="22"/>
      <c r="WVP148" s="22"/>
      <c r="WVQ148" s="22"/>
      <c r="WVR148" s="22"/>
      <c r="WVS148" s="22"/>
      <c r="WVT148" s="22"/>
      <c r="WVU148" s="22"/>
      <c r="WVV148" s="22"/>
      <c r="WVW148" s="22"/>
      <c r="WVX148" s="22"/>
      <c r="WVY148" s="22"/>
      <c r="WVZ148" s="22"/>
      <c r="WWA148" s="22"/>
      <c r="WWB148" s="22"/>
      <c r="WWC148" s="22"/>
      <c r="WWD148" s="22"/>
      <c r="WWE148" s="22"/>
      <c r="WWF148" s="22"/>
      <c r="WWG148" s="22"/>
      <c r="WWH148" s="22"/>
      <c r="WWI148" s="22"/>
      <c r="WWJ148" s="22"/>
      <c r="WWK148" s="22"/>
      <c r="WWL148" s="22"/>
      <c r="WWM148" s="22"/>
      <c r="WWN148" s="22"/>
      <c r="WWO148" s="22"/>
      <c r="WWP148" s="22"/>
      <c r="WWQ148" s="22"/>
      <c r="WWR148" s="22"/>
      <c r="WWS148" s="22"/>
      <c r="WWT148" s="22"/>
      <c r="WWU148" s="22"/>
      <c r="WWV148" s="22"/>
      <c r="WWW148" s="22"/>
      <c r="WWX148" s="22"/>
      <c r="WWY148" s="22"/>
      <c r="WWZ148" s="22"/>
      <c r="WXA148" s="22"/>
      <c r="WXB148" s="22"/>
      <c r="WXC148" s="22"/>
      <c r="WXD148" s="22"/>
      <c r="WXE148" s="22"/>
      <c r="WXF148" s="22"/>
      <c r="WXG148" s="22"/>
      <c r="WXH148" s="22"/>
      <c r="WXI148" s="22"/>
      <c r="WXJ148" s="22"/>
      <c r="WXK148" s="22"/>
      <c r="WXL148" s="22"/>
      <c r="WXM148" s="22"/>
      <c r="WXN148" s="22"/>
      <c r="WXO148" s="22"/>
      <c r="WXP148" s="22"/>
      <c r="WXQ148" s="22"/>
      <c r="WXR148" s="22"/>
      <c r="WXS148" s="22"/>
      <c r="WXT148" s="22"/>
      <c r="WXU148" s="22"/>
      <c r="WXV148" s="22"/>
      <c r="WXW148" s="22"/>
      <c r="WXX148" s="22"/>
      <c r="WXY148" s="22"/>
      <c r="WXZ148" s="22"/>
      <c r="WYA148" s="22"/>
      <c r="WYB148" s="22"/>
      <c r="WYC148" s="22"/>
      <c r="WYD148" s="22"/>
      <c r="WYE148" s="22"/>
      <c r="WYF148" s="22"/>
      <c r="WYG148" s="22"/>
      <c r="WYH148" s="22"/>
      <c r="WYI148" s="22"/>
      <c r="WYJ148" s="22"/>
      <c r="WYK148" s="22"/>
      <c r="WYL148" s="22"/>
      <c r="WYM148" s="22"/>
      <c r="WYN148" s="22"/>
      <c r="WYO148" s="22"/>
      <c r="WYP148" s="22"/>
      <c r="WYQ148" s="22"/>
      <c r="WYR148" s="22"/>
      <c r="WYS148" s="22"/>
      <c r="WYT148" s="22"/>
      <c r="WYU148" s="22"/>
      <c r="WYV148" s="22"/>
      <c r="WYW148" s="22"/>
      <c r="WYX148" s="22"/>
      <c r="WYY148" s="22"/>
      <c r="WYZ148" s="22"/>
      <c r="WZA148" s="22"/>
      <c r="WZB148" s="22"/>
      <c r="WZC148" s="22"/>
      <c r="WZD148" s="22"/>
      <c r="WZE148" s="22"/>
      <c r="WZF148" s="22"/>
      <c r="WZG148" s="22"/>
      <c r="WZH148" s="22"/>
      <c r="WZI148" s="22"/>
      <c r="WZJ148" s="22"/>
      <c r="WZK148" s="22"/>
      <c r="WZL148" s="22"/>
      <c r="WZM148" s="22"/>
      <c r="WZN148" s="22"/>
      <c r="WZO148" s="22"/>
      <c r="WZP148" s="22"/>
      <c r="WZQ148" s="22"/>
      <c r="WZR148" s="22"/>
      <c r="WZS148" s="22"/>
      <c r="WZT148" s="22"/>
      <c r="WZU148" s="22"/>
      <c r="WZV148" s="22"/>
      <c r="WZW148" s="22"/>
      <c r="WZX148" s="22"/>
      <c r="WZY148" s="22"/>
      <c r="WZZ148" s="22"/>
      <c r="XAA148" s="22"/>
      <c r="XAB148" s="22"/>
      <c r="XAC148" s="22"/>
      <c r="XAD148" s="22"/>
      <c r="XAE148" s="22"/>
      <c r="XAF148" s="22"/>
      <c r="XAG148" s="22"/>
      <c r="XAH148" s="22"/>
      <c r="XAI148" s="22"/>
      <c r="XAJ148" s="22"/>
      <c r="XAK148" s="22"/>
      <c r="XAL148" s="22"/>
      <c r="XAM148" s="22"/>
      <c r="XAN148" s="22"/>
      <c r="XAO148" s="22"/>
      <c r="XAP148" s="22"/>
      <c r="XAQ148" s="22"/>
      <c r="XAR148" s="22"/>
      <c r="XAS148" s="22"/>
      <c r="XAT148" s="22"/>
      <c r="XAU148" s="22"/>
      <c r="XAV148" s="22"/>
      <c r="XAW148" s="22"/>
      <c r="XAX148" s="22"/>
      <c r="XAY148" s="22"/>
      <c r="XAZ148" s="22"/>
      <c r="XBA148" s="22"/>
      <c r="XBB148" s="22"/>
      <c r="XBC148" s="22"/>
      <c r="XBD148" s="22"/>
      <c r="XBE148" s="22"/>
      <c r="XBF148" s="22"/>
      <c r="XBG148" s="22"/>
      <c r="XBH148" s="22"/>
      <c r="XBI148" s="22"/>
      <c r="XBJ148" s="22"/>
      <c r="XBK148" s="22"/>
      <c r="XBL148" s="22"/>
      <c r="XBM148" s="22"/>
      <c r="XBN148" s="22"/>
      <c r="XBO148" s="22"/>
      <c r="XBP148" s="22"/>
      <c r="XBQ148" s="22"/>
      <c r="XBR148" s="22"/>
      <c r="XBS148" s="22"/>
      <c r="XBT148" s="22"/>
      <c r="XBU148" s="22"/>
      <c r="XBV148" s="22"/>
      <c r="XBW148" s="22"/>
      <c r="XBX148" s="22"/>
      <c r="XBY148" s="22"/>
      <c r="XBZ148" s="22"/>
      <c r="XCA148" s="22"/>
      <c r="XCB148" s="22"/>
      <c r="XCC148" s="22"/>
      <c r="XCD148" s="22"/>
      <c r="XCE148" s="22"/>
      <c r="XCF148" s="22"/>
      <c r="XCG148" s="22"/>
      <c r="XCH148" s="22"/>
      <c r="XCI148" s="22"/>
      <c r="XCJ148" s="22"/>
      <c r="XCK148" s="22"/>
      <c r="XCL148" s="22"/>
      <c r="XCM148" s="22"/>
      <c r="XCN148" s="22"/>
      <c r="XCO148" s="22"/>
      <c r="XCP148" s="22"/>
      <c r="XCQ148" s="22"/>
      <c r="XCR148" s="22"/>
      <c r="XCS148" s="22"/>
      <c r="XCT148" s="22"/>
      <c r="XCU148" s="22"/>
      <c r="XCV148" s="22"/>
      <c r="XCW148" s="22"/>
      <c r="XCX148" s="22"/>
      <c r="XCY148" s="22"/>
      <c r="XCZ148" s="22"/>
      <c r="XDA148" s="22"/>
      <c r="XDB148" s="22"/>
      <c r="XDC148" s="22"/>
      <c r="XDD148" s="22"/>
      <c r="XDE148" s="22"/>
      <c r="XDF148" s="22"/>
      <c r="XDG148" s="22"/>
      <c r="XDH148" s="22"/>
      <c r="XDI148" s="22"/>
      <c r="XDJ148" s="22"/>
      <c r="XDK148" s="22"/>
      <c r="XDL148" s="22"/>
      <c r="XDM148" s="22"/>
      <c r="XDN148" s="22"/>
      <c r="XDO148" s="22"/>
      <c r="XDP148" s="22"/>
      <c r="XDQ148" s="22"/>
      <c r="XDR148" s="22"/>
      <c r="XDS148" s="22"/>
      <c r="XDT148" s="22"/>
      <c r="XDU148" s="22"/>
      <c r="XDV148" s="22"/>
      <c r="XDW148" s="22"/>
      <c r="XDX148" s="22"/>
      <c r="XDY148" s="22"/>
      <c r="XDZ148" s="22"/>
      <c r="XEA148" s="22"/>
      <c r="XEB148" s="22"/>
      <c r="XEC148" s="22"/>
      <c r="XED148" s="22"/>
      <c r="XEE148" s="22"/>
      <c r="XEF148" s="22"/>
      <c r="XEG148" s="22"/>
      <c r="XEH148" s="22"/>
      <c r="XEI148" s="22"/>
      <c r="XEJ148" s="22"/>
      <c r="XEK148" s="22"/>
      <c r="XEL148" s="22"/>
      <c r="XEM148" s="22"/>
      <c r="XEN148" s="22"/>
      <c r="XEO148" s="22"/>
      <c r="XEP148" s="22"/>
      <c r="XEQ148" s="22"/>
      <c r="XER148" s="22"/>
      <c r="XES148" s="22"/>
      <c r="XET148" s="22"/>
      <c r="XEU148" s="22"/>
      <c r="XEV148" s="22"/>
      <c r="XEW148" s="22"/>
      <c r="XEX148" s="22"/>
      <c r="XEY148" s="22"/>
      <c r="XEZ148" s="22"/>
      <c r="XFA148" s="22"/>
      <c r="XFB148" s="22"/>
      <c r="XFC148" s="22"/>
      <c r="XFD148" s="22"/>
    </row>
    <row r="149" spans="1:16384" s="20" customFormat="1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1"/>
      <c r="K149" s="61"/>
      <c r="L149" s="61"/>
      <c r="M149" s="61"/>
      <c r="N149" s="61"/>
      <c r="O149" s="60"/>
      <c r="P149" s="60"/>
      <c r="Q149" s="60"/>
      <c r="R149" s="23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/>
      <c r="BZ149" s="60"/>
      <c r="CA149" s="60"/>
      <c r="CB149" s="60"/>
      <c r="CC149" s="60"/>
      <c r="CD149" s="60"/>
      <c r="CE149" s="60"/>
      <c r="CF149" s="60"/>
      <c r="CG149" s="60"/>
      <c r="CH149" s="60"/>
      <c r="CI149" s="60"/>
      <c r="CJ149" s="60"/>
      <c r="CK149" s="60"/>
      <c r="CL149" s="60"/>
      <c r="CM149" s="60"/>
      <c r="CN149" s="60"/>
      <c r="CO149" s="60"/>
      <c r="CP149" s="60"/>
      <c r="CQ149" s="60"/>
      <c r="CR149" s="60"/>
      <c r="CS149" s="60"/>
      <c r="CT149" s="60"/>
      <c r="CU149" s="60"/>
      <c r="CV149" s="60"/>
      <c r="CW149" s="60"/>
      <c r="CX149" s="60"/>
      <c r="CY149" s="60"/>
      <c r="CZ149" s="60"/>
      <c r="DA149" s="60"/>
      <c r="DB149" s="60"/>
      <c r="DC149" s="60"/>
      <c r="DD149" s="60"/>
      <c r="DE149" s="60"/>
      <c r="DF149" s="60"/>
      <c r="DG149" s="60"/>
      <c r="DH149" s="60"/>
      <c r="DI149" s="60"/>
      <c r="DJ149" s="60"/>
      <c r="DK149" s="60"/>
      <c r="DL149" s="60"/>
      <c r="DM149" s="60"/>
      <c r="DN149" s="60"/>
      <c r="DO149" s="60"/>
      <c r="DP149" s="60"/>
      <c r="DQ149" s="60"/>
      <c r="DR149" s="60"/>
      <c r="DS149" s="60"/>
      <c r="DT149" s="60"/>
      <c r="DU149" s="60"/>
      <c r="DV149" s="60"/>
      <c r="DW149" s="60"/>
      <c r="DX149" s="60"/>
      <c r="DY149" s="60"/>
      <c r="DZ149" s="60"/>
      <c r="EA149" s="60"/>
      <c r="EB149" s="60"/>
      <c r="EC149" s="60"/>
      <c r="ED149" s="60"/>
      <c r="EE149" s="60"/>
      <c r="EF149" s="60"/>
      <c r="EG149" s="60"/>
      <c r="EH149" s="60"/>
      <c r="EI149" s="60"/>
      <c r="EJ149" s="60"/>
      <c r="EK149" s="60"/>
      <c r="EL149" s="60"/>
      <c r="EM149" s="60"/>
      <c r="EN149" s="60"/>
      <c r="EO149" s="60"/>
      <c r="EP149" s="60"/>
      <c r="EQ149" s="60"/>
      <c r="ER149" s="60"/>
      <c r="ES149" s="60"/>
      <c r="ET149" s="60"/>
      <c r="EU149" s="60"/>
      <c r="EV149" s="60"/>
      <c r="EW149" s="60"/>
      <c r="EX149" s="60"/>
      <c r="EY149" s="60"/>
      <c r="EZ149" s="60"/>
      <c r="FA149" s="60"/>
      <c r="FB149" s="60"/>
      <c r="FC149" s="60"/>
      <c r="FD149" s="60"/>
      <c r="FE149" s="60"/>
      <c r="FF149" s="60"/>
      <c r="FG149" s="60"/>
      <c r="FH149" s="60"/>
      <c r="FI149" s="60"/>
      <c r="FJ149" s="60"/>
      <c r="FK149" s="60"/>
      <c r="FL149" s="60"/>
      <c r="FM149" s="60"/>
      <c r="FN149" s="60"/>
      <c r="FO149" s="60"/>
      <c r="FP149" s="60"/>
      <c r="FQ149" s="60"/>
      <c r="FR149" s="60"/>
      <c r="FS149" s="60"/>
      <c r="FT149" s="60"/>
      <c r="FU149" s="60"/>
      <c r="FV149" s="60"/>
      <c r="FW149" s="60"/>
      <c r="FX149" s="60"/>
      <c r="FY149" s="60"/>
      <c r="FZ149" s="60"/>
      <c r="GA149" s="60"/>
      <c r="GB149" s="60"/>
      <c r="GC149" s="60"/>
      <c r="GD149" s="60"/>
      <c r="GE149" s="60"/>
      <c r="GF149" s="60"/>
      <c r="GG149" s="60"/>
      <c r="GH149" s="60"/>
      <c r="GI149" s="60"/>
      <c r="GJ149" s="60"/>
      <c r="GK149" s="60"/>
      <c r="GL149" s="60"/>
      <c r="GM149" s="60"/>
      <c r="GN149" s="60"/>
      <c r="GO149" s="60"/>
      <c r="GP149" s="60"/>
      <c r="GQ149" s="60"/>
      <c r="GR149" s="60"/>
      <c r="GS149" s="60"/>
      <c r="GT149" s="60"/>
      <c r="GU149" s="60"/>
      <c r="GV149" s="60"/>
      <c r="GW149" s="60"/>
      <c r="GX149" s="60"/>
      <c r="GY149" s="60"/>
      <c r="GZ149" s="60"/>
      <c r="HA149" s="60"/>
      <c r="HB149" s="60"/>
      <c r="HC149" s="60"/>
      <c r="HD149" s="60"/>
      <c r="HE149" s="60"/>
      <c r="HF149" s="60"/>
      <c r="HG149" s="60"/>
      <c r="HH149" s="60"/>
      <c r="HI149" s="60"/>
      <c r="HJ149" s="60"/>
      <c r="HK149" s="60"/>
      <c r="HL149" s="60"/>
      <c r="HM149" s="60"/>
      <c r="HN149" s="60"/>
      <c r="HO149" s="60"/>
      <c r="HP149" s="60"/>
      <c r="HQ149" s="60"/>
      <c r="HR149" s="60"/>
      <c r="HS149" s="60"/>
      <c r="HT149" s="60"/>
      <c r="HU149" s="60"/>
      <c r="HV149" s="60"/>
      <c r="HW149" s="60"/>
      <c r="HX149" s="60"/>
      <c r="HY149" s="60"/>
      <c r="HZ149" s="60"/>
      <c r="IA149" s="60"/>
      <c r="IB149" s="60"/>
      <c r="IC149" s="60"/>
      <c r="ID149" s="60"/>
      <c r="IE149" s="60"/>
      <c r="IF149" s="60"/>
      <c r="IG149" s="60"/>
      <c r="IH149" s="60"/>
      <c r="II149" s="60"/>
      <c r="IJ149" s="60"/>
      <c r="IK149" s="60"/>
      <c r="IL149" s="60"/>
      <c r="IM149" s="60"/>
      <c r="IN149" s="60"/>
      <c r="IO149" s="60"/>
      <c r="IP149" s="60"/>
      <c r="IQ149" s="60"/>
      <c r="IR149" s="60"/>
      <c r="IS149" s="60"/>
      <c r="IT149" s="60"/>
      <c r="IU149" s="60"/>
      <c r="IV149" s="60"/>
      <c r="IW149" s="60"/>
      <c r="IX149" s="60"/>
      <c r="IY149" s="60"/>
      <c r="IZ149" s="60"/>
      <c r="JA149" s="60"/>
      <c r="JB149" s="60"/>
      <c r="JC149" s="60"/>
      <c r="JD149" s="60"/>
      <c r="JE149" s="60"/>
      <c r="JF149" s="60"/>
      <c r="JG149" s="60"/>
      <c r="JH149" s="60"/>
      <c r="JI149" s="60"/>
      <c r="JJ149" s="60"/>
      <c r="JK149" s="60"/>
      <c r="JL149" s="60"/>
      <c r="JM149" s="60"/>
      <c r="JN149" s="60"/>
      <c r="JO149" s="60"/>
      <c r="JP149" s="60"/>
      <c r="JQ149" s="60"/>
      <c r="JR149" s="60"/>
      <c r="JS149" s="60"/>
      <c r="JT149" s="60"/>
      <c r="JU149" s="60"/>
      <c r="JV149" s="60"/>
      <c r="JW149" s="60"/>
      <c r="JX149" s="60"/>
      <c r="JY149" s="60"/>
      <c r="JZ149" s="60"/>
      <c r="KA149" s="60"/>
      <c r="KB149" s="60"/>
      <c r="KC149" s="60"/>
      <c r="KD149" s="60"/>
      <c r="KE149" s="60"/>
      <c r="KF149" s="60"/>
      <c r="KG149" s="60"/>
      <c r="KH149" s="60"/>
      <c r="KI149" s="60"/>
      <c r="KJ149" s="60"/>
      <c r="KK149" s="60"/>
      <c r="KL149" s="60"/>
      <c r="KM149" s="60"/>
      <c r="KN149" s="60"/>
      <c r="KO149" s="60"/>
      <c r="KP149" s="60"/>
      <c r="KQ149" s="60"/>
      <c r="KR149" s="60"/>
      <c r="KS149" s="60"/>
      <c r="KT149" s="60"/>
      <c r="KU149" s="60"/>
      <c r="KV149" s="60"/>
      <c r="KW149" s="60"/>
      <c r="KX149" s="60"/>
      <c r="KY149" s="60"/>
      <c r="KZ149" s="60"/>
      <c r="LA149" s="60"/>
      <c r="LB149" s="60"/>
      <c r="LC149" s="60"/>
      <c r="LD149" s="60"/>
      <c r="LE149" s="60"/>
      <c r="LF149" s="60"/>
      <c r="LG149" s="60"/>
      <c r="LH149" s="60"/>
      <c r="LI149" s="60"/>
      <c r="LJ149" s="60"/>
      <c r="LK149" s="60"/>
      <c r="LL149" s="60"/>
      <c r="LM149" s="60"/>
      <c r="LN149" s="60"/>
      <c r="LO149" s="60"/>
      <c r="LP149" s="60"/>
      <c r="LQ149" s="60"/>
      <c r="LR149" s="60"/>
      <c r="LS149" s="60"/>
      <c r="LT149" s="60"/>
      <c r="LU149" s="60"/>
      <c r="LV149" s="60"/>
      <c r="LW149" s="60"/>
      <c r="LX149" s="60"/>
      <c r="LY149" s="60"/>
      <c r="LZ149" s="60"/>
      <c r="MA149" s="60"/>
      <c r="MB149" s="60"/>
      <c r="MC149" s="60"/>
      <c r="MD149" s="60"/>
      <c r="ME149" s="60"/>
      <c r="MF149" s="60"/>
      <c r="MG149" s="60"/>
      <c r="MH149" s="60"/>
      <c r="MI149" s="60"/>
      <c r="MJ149" s="60"/>
      <c r="MK149" s="60"/>
      <c r="ML149" s="60"/>
      <c r="MM149" s="60"/>
      <c r="MN149" s="60"/>
      <c r="MO149" s="60"/>
      <c r="MP149" s="60"/>
      <c r="MQ149" s="60"/>
      <c r="MR149" s="60"/>
      <c r="MS149" s="60"/>
      <c r="MT149" s="60"/>
      <c r="MU149" s="60"/>
      <c r="MV149" s="60"/>
      <c r="MW149" s="60"/>
      <c r="MX149" s="60"/>
      <c r="MY149" s="60"/>
      <c r="MZ149" s="60"/>
      <c r="NA149" s="60"/>
      <c r="NB149" s="60"/>
      <c r="NC149" s="60"/>
      <c r="ND149" s="60"/>
      <c r="NE149" s="60"/>
      <c r="NF149" s="60"/>
      <c r="NG149" s="60"/>
      <c r="NH149" s="60"/>
      <c r="NI149" s="60"/>
      <c r="NJ149" s="60"/>
      <c r="NK149" s="60"/>
      <c r="NL149" s="60"/>
      <c r="NM149" s="60"/>
      <c r="NN149" s="60"/>
      <c r="NO149" s="60"/>
      <c r="NP149" s="60"/>
      <c r="NQ149" s="60"/>
      <c r="NR149" s="60"/>
      <c r="NS149" s="60"/>
      <c r="NT149" s="60"/>
      <c r="NU149" s="60"/>
      <c r="NV149" s="60"/>
      <c r="NW149" s="60"/>
      <c r="NX149" s="60"/>
      <c r="NY149" s="60"/>
      <c r="NZ149" s="60"/>
      <c r="OA149" s="60"/>
      <c r="OB149" s="60"/>
      <c r="OC149" s="60"/>
      <c r="OD149" s="60"/>
      <c r="OE149" s="60"/>
      <c r="OF149" s="60"/>
      <c r="OG149" s="60"/>
      <c r="OH149" s="60"/>
      <c r="OI149" s="60"/>
      <c r="OJ149" s="60"/>
      <c r="OK149" s="60"/>
      <c r="OL149" s="60"/>
      <c r="OM149" s="60"/>
      <c r="ON149" s="60"/>
      <c r="OO149" s="60"/>
      <c r="OP149" s="60"/>
      <c r="OQ149" s="60"/>
      <c r="OR149" s="60"/>
      <c r="OS149" s="60"/>
      <c r="OT149" s="60"/>
      <c r="OU149" s="60"/>
      <c r="OV149" s="60"/>
      <c r="OW149" s="60"/>
      <c r="OX149" s="60"/>
      <c r="OY149" s="60"/>
      <c r="OZ149" s="60"/>
      <c r="PA149" s="60"/>
      <c r="PB149" s="60"/>
      <c r="PC149" s="60"/>
      <c r="PD149" s="60"/>
      <c r="PE149" s="60"/>
      <c r="PF149" s="60"/>
      <c r="PG149" s="60"/>
      <c r="PH149" s="60"/>
      <c r="PI149" s="60"/>
      <c r="PJ149" s="60"/>
      <c r="PK149" s="60"/>
      <c r="PL149" s="60"/>
      <c r="PM149" s="60"/>
      <c r="PN149" s="60"/>
      <c r="PO149" s="60"/>
      <c r="PP149" s="60"/>
      <c r="PQ149" s="60"/>
      <c r="PR149" s="60"/>
      <c r="PS149" s="60"/>
      <c r="PT149" s="60"/>
      <c r="PU149" s="60"/>
      <c r="PV149" s="60"/>
      <c r="PW149" s="60"/>
      <c r="PX149" s="60"/>
      <c r="PY149" s="60"/>
      <c r="PZ149" s="60"/>
      <c r="QA149" s="60"/>
      <c r="QB149" s="60"/>
      <c r="QC149" s="60"/>
      <c r="QD149" s="60"/>
      <c r="QE149" s="60"/>
      <c r="QF149" s="60"/>
      <c r="QG149" s="60"/>
      <c r="QH149" s="60"/>
      <c r="QI149" s="60"/>
      <c r="QJ149" s="60"/>
      <c r="QK149" s="60"/>
      <c r="QL149" s="60"/>
      <c r="QM149" s="60"/>
      <c r="QN149" s="60"/>
      <c r="QO149" s="60"/>
      <c r="QP149" s="60"/>
      <c r="QQ149" s="60"/>
      <c r="QR149" s="60"/>
      <c r="QS149" s="60"/>
      <c r="QT149" s="60"/>
      <c r="QU149" s="60"/>
      <c r="QV149" s="60"/>
      <c r="QW149" s="60"/>
      <c r="QX149" s="60"/>
      <c r="QY149" s="60"/>
      <c r="QZ149" s="60"/>
      <c r="RA149" s="60"/>
      <c r="RB149" s="60"/>
      <c r="RC149" s="60"/>
      <c r="RD149" s="60"/>
      <c r="RE149" s="60"/>
      <c r="RF149" s="60"/>
      <c r="RG149" s="60"/>
      <c r="RH149" s="60"/>
      <c r="RI149" s="60"/>
      <c r="RJ149" s="60"/>
      <c r="RK149" s="60"/>
      <c r="RL149" s="60"/>
      <c r="RM149" s="60"/>
      <c r="RN149" s="60"/>
      <c r="RO149" s="60"/>
      <c r="RP149" s="60"/>
      <c r="RQ149" s="60"/>
      <c r="RR149" s="60"/>
      <c r="RS149" s="60"/>
      <c r="RT149" s="60"/>
      <c r="RU149" s="60"/>
      <c r="RV149" s="60"/>
      <c r="RW149" s="60"/>
      <c r="RX149" s="60"/>
      <c r="RY149" s="60"/>
      <c r="RZ149" s="60"/>
      <c r="SA149" s="60"/>
      <c r="SB149" s="60"/>
      <c r="SC149" s="60"/>
      <c r="SD149" s="60"/>
      <c r="SE149" s="60"/>
      <c r="SF149" s="60"/>
      <c r="SG149" s="60"/>
      <c r="SH149" s="60"/>
      <c r="SI149" s="60"/>
      <c r="SJ149" s="60"/>
      <c r="SK149" s="60"/>
      <c r="SL149" s="60"/>
      <c r="SM149" s="60"/>
      <c r="SN149" s="60"/>
      <c r="SO149" s="60"/>
      <c r="SP149" s="60"/>
      <c r="SQ149" s="60"/>
      <c r="SR149" s="60"/>
      <c r="SS149" s="60"/>
      <c r="ST149" s="60"/>
      <c r="SU149" s="60"/>
      <c r="SV149" s="60"/>
      <c r="SW149" s="60"/>
      <c r="SX149" s="60"/>
      <c r="SY149" s="60"/>
      <c r="SZ149" s="60"/>
      <c r="TA149" s="60"/>
      <c r="TB149" s="60"/>
      <c r="TC149" s="60"/>
      <c r="TD149" s="60"/>
      <c r="TE149" s="60"/>
      <c r="TF149" s="60"/>
      <c r="TG149" s="60"/>
      <c r="TH149" s="60"/>
      <c r="TI149" s="60"/>
      <c r="TJ149" s="60"/>
      <c r="TK149" s="60"/>
      <c r="TL149" s="60"/>
      <c r="TM149" s="60"/>
      <c r="TN149" s="60"/>
      <c r="TO149" s="60"/>
      <c r="TP149" s="60"/>
      <c r="TQ149" s="60"/>
      <c r="TR149" s="60"/>
      <c r="TS149" s="60"/>
      <c r="TT149" s="60"/>
      <c r="TU149" s="60"/>
      <c r="TV149" s="60"/>
      <c r="TW149" s="60"/>
      <c r="TX149" s="60"/>
      <c r="TY149" s="60"/>
      <c r="TZ149" s="60"/>
      <c r="UA149" s="60"/>
      <c r="UB149" s="60"/>
      <c r="UC149" s="60"/>
      <c r="UD149" s="60"/>
      <c r="UE149" s="60"/>
      <c r="UF149" s="60"/>
      <c r="UG149" s="60"/>
      <c r="UH149" s="60"/>
      <c r="UI149" s="60"/>
      <c r="UJ149" s="60"/>
      <c r="UK149" s="60"/>
      <c r="UL149" s="60"/>
      <c r="UM149" s="60"/>
      <c r="UN149" s="60"/>
      <c r="UO149" s="60"/>
      <c r="UP149" s="60"/>
      <c r="UQ149" s="60"/>
      <c r="UR149" s="60"/>
      <c r="US149" s="60"/>
      <c r="UT149" s="60"/>
      <c r="UU149" s="60"/>
      <c r="UV149" s="60"/>
      <c r="UW149" s="60"/>
      <c r="UX149" s="60"/>
      <c r="UY149" s="60"/>
      <c r="UZ149" s="60"/>
      <c r="VA149" s="60"/>
      <c r="VB149" s="60"/>
      <c r="VC149" s="60"/>
      <c r="VD149" s="60"/>
      <c r="VE149" s="60"/>
      <c r="VF149" s="60"/>
      <c r="VG149" s="60"/>
      <c r="VH149" s="60"/>
      <c r="VI149" s="60"/>
      <c r="VJ149" s="60"/>
      <c r="VK149" s="60"/>
      <c r="VL149" s="60"/>
      <c r="VM149" s="60"/>
      <c r="VN149" s="60"/>
      <c r="VO149" s="60"/>
      <c r="VP149" s="60"/>
      <c r="VQ149" s="60"/>
      <c r="VR149" s="60"/>
      <c r="VS149" s="60"/>
      <c r="VT149" s="60"/>
      <c r="VU149" s="60"/>
      <c r="VV149" s="60"/>
      <c r="VW149" s="60"/>
      <c r="VX149" s="60"/>
      <c r="VY149" s="60"/>
      <c r="VZ149" s="60"/>
      <c r="WA149" s="60"/>
      <c r="WB149" s="60"/>
      <c r="WC149" s="60"/>
      <c r="WD149" s="60"/>
      <c r="WE149" s="60"/>
      <c r="WF149" s="60"/>
      <c r="WG149" s="60"/>
      <c r="WH149" s="60"/>
      <c r="WI149" s="60"/>
      <c r="WJ149" s="60"/>
      <c r="WK149" s="60"/>
      <c r="WL149" s="60"/>
      <c r="WM149" s="60"/>
      <c r="WN149" s="60"/>
      <c r="WO149" s="60"/>
      <c r="WP149" s="60"/>
      <c r="WQ149" s="60"/>
      <c r="WR149" s="60"/>
      <c r="WS149" s="60"/>
      <c r="WT149" s="60"/>
      <c r="WU149" s="60"/>
      <c r="WV149" s="60"/>
      <c r="WW149" s="60"/>
      <c r="WX149" s="60"/>
      <c r="WY149" s="60"/>
      <c r="WZ149" s="60"/>
      <c r="XA149" s="60"/>
      <c r="XB149" s="60"/>
      <c r="XC149" s="60"/>
      <c r="XD149" s="60"/>
      <c r="XE149" s="60"/>
      <c r="XF149" s="60"/>
      <c r="XG149" s="60"/>
      <c r="XH149" s="60"/>
      <c r="XI149" s="60"/>
      <c r="XJ149" s="60"/>
      <c r="XK149" s="60"/>
      <c r="XL149" s="60"/>
      <c r="XM149" s="60"/>
      <c r="XN149" s="60"/>
      <c r="XO149" s="60"/>
      <c r="XP149" s="60"/>
      <c r="XQ149" s="60"/>
      <c r="XR149" s="60"/>
      <c r="XS149" s="60"/>
      <c r="XT149" s="60"/>
      <c r="XU149" s="60"/>
      <c r="XV149" s="60"/>
      <c r="XW149" s="60"/>
      <c r="XX149" s="60"/>
      <c r="XY149" s="60"/>
      <c r="XZ149" s="60"/>
      <c r="YA149" s="60"/>
      <c r="YB149" s="60"/>
      <c r="YC149" s="60"/>
      <c r="YD149" s="60"/>
      <c r="YE149" s="60"/>
      <c r="YF149" s="60"/>
      <c r="YG149" s="60"/>
      <c r="YH149" s="60"/>
      <c r="YI149" s="60"/>
      <c r="YJ149" s="60"/>
      <c r="YK149" s="60"/>
      <c r="YL149" s="60"/>
      <c r="YM149" s="60"/>
      <c r="YN149" s="60"/>
      <c r="YO149" s="60"/>
      <c r="YP149" s="60"/>
      <c r="YQ149" s="60"/>
      <c r="YR149" s="60"/>
      <c r="YS149" s="60"/>
      <c r="YT149" s="60"/>
      <c r="YU149" s="60"/>
      <c r="YV149" s="60"/>
      <c r="YW149" s="60"/>
      <c r="YX149" s="60"/>
      <c r="YY149" s="60"/>
      <c r="YZ149" s="60"/>
      <c r="ZA149" s="60"/>
      <c r="ZB149" s="60"/>
      <c r="ZC149" s="60"/>
      <c r="ZD149" s="60"/>
      <c r="ZE149" s="60"/>
      <c r="ZF149" s="60"/>
      <c r="ZG149" s="60"/>
      <c r="ZH149" s="60"/>
      <c r="ZI149" s="60"/>
      <c r="ZJ149" s="60"/>
      <c r="ZK149" s="60"/>
      <c r="ZL149" s="60"/>
      <c r="ZM149" s="60"/>
      <c r="ZN149" s="60"/>
      <c r="ZO149" s="60"/>
      <c r="ZP149" s="60"/>
      <c r="ZQ149" s="60"/>
      <c r="ZR149" s="60"/>
      <c r="ZS149" s="60"/>
      <c r="ZT149" s="60"/>
      <c r="ZU149" s="60"/>
      <c r="ZV149" s="60"/>
      <c r="ZW149" s="60"/>
      <c r="ZX149" s="60"/>
      <c r="ZY149" s="60"/>
      <c r="ZZ149" s="60"/>
      <c r="AAA149" s="60"/>
      <c r="AAB149" s="60"/>
      <c r="AAC149" s="60"/>
      <c r="AAD149" s="60"/>
      <c r="AAE149" s="60"/>
      <c r="AAF149" s="60"/>
      <c r="AAG149" s="60"/>
      <c r="AAH149" s="60"/>
      <c r="AAI149" s="60"/>
      <c r="AAJ149" s="60"/>
      <c r="AAK149" s="60"/>
      <c r="AAL149" s="60"/>
      <c r="AAM149" s="60"/>
      <c r="AAN149" s="60"/>
      <c r="AAO149" s="60"/>
      <c r="AAP149" s="60"/>
      <c r="AAQ149" s="60"/>
      <c r="AAR149" s="60"/>
      <c r="AAS149" s="60"/>
      <c r="AAT149" s="60"/>
      <c r="AAU149" s="60"/>
      <c r="AAV149" s="60"/>
      <c r="AAW149" s="60"/>
      <c r="AAX149" s="60"/>
      <c r="AAY149" s="60"/>
      <c r="AAZ149" s="60"/>
      <c r="ABA149" s="60"/>
      <c r="ABB149" s="60"/>
      <c r="ABC149" s="60"/>
      <c r="ABD149" s="60"/>
      <c r="ABE149" s="60"/>
      <c r="ABF149" s="60"/>
      <c r="ABG149" s="60"/>
      <c r="ABH149" s="60"/>
      <c r="ABI149" s="60"/>
      <c r="ABJ149" s="60"/>
      <c r="ABK149" s="60"/>
      <c r="ABL149" s="60"/>
      <c r="ABM149" s="60"/>
      <c r="ABN149" s="60"/>
      <c r="ABO149" s="60"/>
      <c r="ABP149" s="60"/>
      <c r="ABQ149" s="60"/>
      <c r="ABR149" s="60"/>
      <c r="ABS149" s="60"/>
      <c r="ABT149" s="60"/>
      <c r="ABU149" s="60"/>
      <c r="ABV149" s="60"/>
      <c r="ABW149" s="60"/>
      <c r="ABX149" s="60"/>
      <c r="ABY149" s="60"/>
      <c r="ABZ149" s="60"/>
      <c r="ACA149" s="60"/>
      <c r="ACB149" s="60"/>
      <c r="ACC149" s="60"/>
      <c r="ACD149" s="60"/>
      <c r="ACE149" s="60"/>
      <c r="ACF149" s="60"/>
      <c r="ACG149" s="60"/>
      <c r="ACH149" s="60"/>
      <c r="ACI149" s="60"/>
      <c r="ACJ149" s="60"/>
      <c r="ACK149" s="60"/>
      <c r="ACL149" s="60"/>
      <c r="ACM149" s="60"/>
      <c r="ACN149" s="60"/>
      <c r="ACO149" s="60"/>
      <c r="ACP149" s="60"/>
      <c r="ACQ149" s="60"/>
      <c r="ACR149" s="60"/>
      <c r="ACS149" s="60"/>
      <c r="ACT149" s="60"/>
      <c r="ACU149" s="60"/>
      <c r="ACV149" s="60"/>
      <c r="ACW149" s="60"/>
      <c r="ACX149" s="60"/>
      <c r="ACY149" s="60"/>
      <c r="ACZ149" s="60"/>
      <c r="ADA149" s="60"/>
      <c r="ADB149" s="60"/>
      <c r="ADC149" s="60"/>
      <c r="ADD149" s="60"/>
      <c r="ADE149" s="60"/>
      <c r="ADF149" s="60"/>
      <c r="ADG149" s="60"/>
      <c r="ADH149" s="60"/>
      <c r="ADI149" s="60"/>
      <c r="ADJ149" s="60"/>
      <c r="ADK149" s="60"/>
      <c r="ADL149" s="60"/>
      <c r="ADM149" s="60"/>
      <c r="ADN149" s="60"/>
      <c r="ADO149" s="60"/>
      <c r="ADP149" s="60"/>
      <c r="ADQ149" s="60"/>
      <c r="ADR149" s="60"/>
      <c r="ADS149" s="60"/>
      <c r="ADT149" s="60"/>
      <c r="ADU149" s="60"/>
      <c r="ADV149" s="60"/>
      <c r="ADW149" s="60"/>
      <c r="ADX149" s="60"/>
      <c r="ADY149" s="60"/>
      <c r="ADZ149" s="60"/>
      <c r="AEA149" s="60"/>
      <c r="AEB149" s="60"/>
      <c r="AEC149" s="60"/>
      <c r="AED149" s="60"/>
      <c r="AEE149" s="60"/>
      <c r="AEF149" s="60"/>
      <c r="AEG149" s="60"/>
      <c r="AEH149" s="60"/>
      <c r="AEI149" s="60"/>
      <c r="AEJ149" s="60"/>
      <c r="AEK149" s="60"/>
      <c r="AEL149" s="60"/>
      <c r="AEM149" s="60"/>
      <c r="AEN149" s="60"/>
      <c r="AEO149" s="60"/>
      <c r="AEP149" s="60"/>
      <c r="AEQ149" s="60"/>
      <c r="AER149" s="60"/>
      <c r="AES149" s="60"/>
      <c r="AET149" s="60"/>
      <c r="AEU149" s="60"/>
      <c r="AEV149" s="60"/>
      <c r="AEW149" s="60"/>
      <c r="AEX149" s="60"/>
      <c r="AEY149" s="60"/>
      <c r="AEZ149" s="60"/>
      <c r="AFA149" s="60"/>
      <c r="AFB149" s="60"/>
      <c r="AFC149" s="60"/>
      <c r="AFD149" s="60"/>
      <c r="AFE149" s="60"/>
      <c r="AFF149" s="60"/>
      <c r="AFG149" s="60"/>
      <c r="AFH149" s="60"/>
      <c r="AFI149" s="60"/>
      <c r="AFJ149" s="60"/>
      <c r="AFK149" s="60"/>
      <c r="AFL149" s="60"/>
      <c r="AFM149" s="60"/>
      <c r="AFN149" s="60"/>
      <c r="AFO149" s="60"/>
      <c r="AFP149" s="60"/>
      <c r="AFQ149" s="60"/>
      <c r="AFR149" s="60"/>
      <c r="AFS149" s="60"/>
      <c r="AFT149" s="60"/>
      <c r="AFU149" s="60"/>
      <c r="AFV149" s="60"/>
      <c r="AFW149" s="60"/>
      <c r="AFX149" s="60"/>
      <c r="AFY149" s="60"/>
      <c r="AFZ149" s="60"/>
      <c r="AGA149" s="60"/>
      <c r="AGB149" s="60"/>
      <c r="AGC149" s="60"/>
      <c r="AGD149" s="60"/>
      <c r="AGE149" s="60"/>
      <c r="AGF149" s="60"/>
      <c r="AGG149" s="60"/>
      <c r="AGH149" s="60"/>
      <c r="AGI149" s="60"/>
      <c r="AGJ149" s="60"/>
      <c r="AGK149" s="60"/>
      <c r="AGL149" s="60"/>
      <c r="AGM149" s="60"/>
      <c r="AGN149" s="60"/>
      <c r="AGO149" s="60"/>
      <c r="AGP149" s="60"/>
      <c r="AGQ149" s="60"/>
      <c r="AGR149" s="60"/>
      <c r="AGS149" s="60"/>
      <c r="AGT149" s="60"/>
      <c r="AGU149" s="60"/>
      <c r="AGV149" s="60"/>
      <c r="AGW149" s="60"/>
      <c r="AGX149" s="60"/>
      <c r="AGY149" s="60"/>
      <c r="AGZ149" s="60"/>
      <c r="AHA149" s="60"/>
      <c r="AHB149" s="60"/>
      <c r="AHC149" s="60"/>
      <c r="AHD149" s="60"/>
      <c r="AHE149" s="60"/>
      <c r="AHF149" s="60"/>
      <c r="AHG149" s="60"/>
      <c r="AHH149" s="60"/>
      <c r="AHI149" s="60"/>
      <c r="AHJ149" s="60"/>
      <c r="AHK149" s="60"/>
      <c r="AHL149" s="60"/>
      <c r="AHM149" s="60"/>
      <c r="AHN149" s="60"/>
      <c r="AHO149" s="60"/>
      <c r="AHP149" s="60"/>
      <c r="AHQ149" s="60"/>
      <c r="AHR149" s="60"/>
      <c r="AHS149" s="60"/>
      <c r="AHT149" s="60"/>
      <c r="AHU149" s="60"/>
      <c r="AHV149" s="60"/>
      <c r="AHW149" s="60"/>
      <c r="AHX149" s="60"/>
      <c r="AHY149" s="60"/>
      <c r="AHZ149" s="60"/>
      <c r="AIA149" s="60"/>
      <c r="AIB149" s="60"/>
      <c r="AIC149" s="60"/>
      <c r="AID149" s="60"/>
      <c r="AIE149" s="60"/>
      <c r="AIF149" s="60"/>
      <c r="AIG149" s="60"/>
      <c r="AIH149" s="60"/>
      <c r="AII149" s="60"/>
      <c r="AIJ149" s="60"/>
      <c r="AIK149" s="60"/>
      <c r="AIL149" s="60"/>
      <c r="AIM149" s="60"/>
      <c r="AIN149" s="60"/>
      <c r="AIO149" s="60"/>
      <c r="AIP149" s="60"/>
      <c r="AIQ149" s="60"/>
      <c r="AIR149" s="60"/>
      <c r="AIS149" s="60"/>
      <c r="AIT149" s="60"/>
      <c r="AIU149" s="60"/>
      <c r="AIV149" s="60"/>
      <c r="AIW149" s="60"/>
      <c r="AIX149" s="60"/>
      <c r="AIY149" s="60"/>
      <c r="AIZ149" s="60"/>
      <c r="AJA149" s="60"/>
      <c r="AJB149" s="60"/>
      <c r="AJC149" s="60"/>
      <c r="AJD149" s="60"/>
      <c r="AJE149" s="60"/>
      <c r="AJF149" s="60"/>
      <c r="AJG149" s="60"/>
      <c r="AJH149" s="60"/>
      <c r="AJI149" s="60"/>
      <c r="AJJ149" s="60"/>
      <c r="AJK149" s="60"/>
      <c r="AJL149" s="60"/>
      <c r="AJM149" s="60"/>
      <c r="AJN149" s="60"/>
      <c r="AJO149" s="60"/>
      <c r="AJP149" s="60"/>
      <c r="AJQ149" s="60"/>
      <c r="AJR149" s="60"/>
      <c r="AJS149" s="60"/>
      <c r="AJT149" s="60"/>
      <c r="AJU149" s="60"/>
      <c r="AJV149" s="60"/>
      <c r="AJW149" s="60"/>
      <c r="AJX149" s="60"/>
      <c r="AJY149" s="60"/>
      <c r="AJZ149" s="60"/>
      <c r="AKA149" s="60"/>
      <c r="AKB149" s="60"/>
      <c r="AKC149" s="60"/>
      <c r="AKD149" s="60"/>
      <c r="AKE149" s="60"/>
      <c r="AKF149" s="60"/>
      <c r="AKG149" s="60"/>
      <c r="AKH149" s="60"/>
      <c r="AKI149" s="60"/>
      <c r="AKJ149" s="60"/>
      <c r="AKK149" s="60"/>
      <c r="AKL149" s="60"/>
      <c r="AKM149" s="60"/>
      <c r="AKN149" s="60"/>
      <c r="AKO149" s="60"/>
      <c r="AKP149" s="60"/>
      <c r="AKQ149" s="60"/>
      <c r="AKR149" s="60"/>
      <c r="AKS149" s="60"/>
      <c r="AKT149" s="60"/>
      <c r="AKU149" s="60"/>
      <c r="AKV149" s="60"/>
      <c r="AKW149" s="60"/>
      <c r="AKX149" s="60"/>
      <c r="AKY149" s="60"/>
      <c r="AKZ149" s="60"/>
      <c r="ALA149" s="60"/>
      <c r="ALB149" s="60"/>
      <c r="ALC149" s="60"/>
      <c r="ALD149" s="60"/>
      <c r="ALE149" s="60"/>
      <c r="ALF149" s="60"/>
      <c r="ALG149" s="60"/>
      <c r="ALH149" s="60"/>
      <c r="ALI149" s="60"/>
      <c r="ALJ149" s="60"/>
      <c r="ALK149" s="60"/>
      <c r="ALL149" s="60"/>
      <c r="ALM149" s="60"/>
      <c r="ALN149" s="60"/>
      <c r="ALO149" s="60"/>
      <c r="ALP149" s="60"/>
      <c r="ALQ149" s="60"/>
      <c r="ALR149" s="60"/>
      <c r="ALS149" s="60"/>
      <c r="ALT149" s="60"/>
      <c r="ALU149" s="60"/>
      <c r="ALV149" s="60"/>
      <c r="ALW149" s="60"/>
      <c r="ALX149" s="60"/>
      <c r="ALY149" s="60"/>
      <c r="ALZ149" s="60"/>
      <c r="AMA149" s="60"/>
      <c r="AMB149" s="60"/>
      <c r="AMC149" s="60"/>
      <c r="AMD149" s="60"/>
      <c r="AME149" s="60"/>
      <c r="AMF149" s="60"/>
      <c r="AMG149" s="60"/>
      <c r="AMH149" s="60"/>
      <c r="AMI149" s="60"/>
      <c r="AMJ149" s="60"/>
      <c r="AMK149" s="60"/>
      <c r="AML149" s="60"/>
      <c r="AMM149" s="60"/>
      <c r="AMN149" s="60"/>
      <c r="AMO149" s="60"/>
      <c r="AMP149" s="60"/>
      <c r="AMQ149" s="60"/>
      <c r="AMR149" s="60"/>
      <c r="AMS149" s="60"/>
      <c r="AMT149" s="60"/>
      <c r="AMU149" s="60"/>
      <c r="AMV149" s="60"/>
      <c r="AMW149" s="60"/>
      <c r="AMX149" s="60"/>
      <c r="AMY149" s="60"/>
      <c r="AMZ149" s="60"/>
      <c r="ANA149" s="60"/>
      <c r="ANB149" s="60"/>
      <c r="ANC149" s="60"/>
      <c r="AND149" s="60"/>
      <c r="ANE149" s="60"/>
      <c r="ANF149" s="60"/>
      <c r="ANG149" s="60"/>
      <c r="ANH149" s="60"/>
      <c r="ANI149" s="60"/>
      <c r="ANJ149" s="60"/>
      <c r="ANK149" s="60"/>
      <c r="ANL149" s="60"/>
      <c r="ANM149" s="60"/>
      <c r="ANN149" s="60"/>
      <c r="ANO149" s="60"/>
      <c r="ANP149" s="60"/>
      <c r="ANQ149" s="60"/>
      <c r="ANR149" s="60"/>
      <c r="ANS149" s="60"/>
      <c r="ANT149" s="60"/>
      <c r="ANU149" s="60"/>
      <c r="ANV149" s="60"/>
      <c r="ANW149" s="60"/>
      <c r="ANX149" s="60"/>
      <c r="ANY149" s="60"/>
      <c r="ANZ149" s="60"/>
      <c r="AOA149" s="60"/>
      <c r="AOB149" s="60"/>
      <c r="AOC149" s="60"/>
      <c r="AOD149" s="60"/>
      <c r="AOE149" s="60"/>
      <c r="AOF149" s="60"/>
      <c r="AOG149" s="60"/>
      <c r="AOH149" s="60"/>
      <c r="AOI149" s="60"/>
      <c r="AOJ149" s="60"/>
      <c r="AOK149" s="60"/>
      <c r="AOL149" s="60"/>
      <c r="AOM149" s="60"/>
      <c r="AON149" s="60"/>
      <c r="AOO149" s="60"/>
      <c r="AOP149" s="60"/>
      <c r="AOQ149" s="60"/>
      <c r="AOR149" s="60"/>
      <c r="AOS149" s="60"/>
      <c r="AOT149" s="60"/>
      <c r="AOU149" s="60"/>
      <c r="AOV149" s="60"/>
      <c r="AOW149" s="60"/>
      <c r="AOX149" s="60"/>
      <c r="AOY149" s="60"/>
      <c r="AOZ149" s="60"/>
      <c r="APA149" s="60"/>
      <c r="APB149" s="60"/>
      <c r="APC149" s="60"/>
      <c r="APD149" s="60"/>
      <c r="APE149" s="60"/>
      <c r="APF149" s="60"/>
      <c r="APG149" s="60"/>
      <c r="APH149" s="60"/>
      <c r="API149" s="60"/>
      <c r="APJ149" s="60"/>
      <c r="APK149" s="60"/>
      <c r="APL149" s="60"/>
      <c r="APM149" s="60"/>
      <c r="APN149" s="60"/>
      <c r="APO149" s="60"/>
      <c r="APP149" s="60"/>
      <c r="APQ149" s="60"/>
      <c r="APR149" s="60"/>
      <c r="APS149" s="60"/>
      <c r="APT149" s="60"/>
      <c r="APU149" s="60"/>
      <c r="APV149" s="60"/>
      <c r="APW149" s="60"/>
      <c r="APX149" s="60"/>
      <c r="APY149" s="60"/>
      <c r="APZ149" s="60"/>
      <c r="AQA149" s="60"/>
      <c r="AQB149" s="60"/>
      <c r="AQC149" s="60"/>
      <c r="AQD149" s="60"/>
      <c r="AQE149" s="60"/>
      <c r="AQF149" s="60"/>
      <c r="AQG149" s="60"/>
      <c r="AQH149" s="60"/>
      <c r="AQI149" s="60"/>
      <c r="AQJ149" s="60"/>
      <c r="AQK149" s="60"/>
      <c r="AQL149" s="60"/>
      <c r="AQM149" s="60"/>
      <c r="AQN149" s="60"/>
      <c r="AQO149" s="60"/>
      <c r="AQP149" s="60"/>
      <c r="AQQ149" s="60"/>
      <c r="AQR149" s="60"/>
      <c r="AQS149" s="60"/>
      <c r="AQT149" s="60"/>
      <c r="AQU149" s="60"/>
      <c r="AQV149" s="60"/>
      <c r="AQW149" s="60"/>
      <c r="AQX149" s="60"/>
      <c r="AQY149" s="60"/>
      <c r="AQZ149" s="60"/>
      <c r="ARA149" s="60"/>
      <c r="ARB149" s="60"/>
      <c r="ARC149" s="60"/>
      <c r="ARD149" s="60"/>
      <c r="ARE149" s="60"/>
      <c r="ARF149" s="60"/>
      <c r="ARG149" s="60"/>
      <c r="ARH149" s="60"/>
      <c r="ARI149" s="60"/>
      <c r="ARJ149" s="60"/>
      <c r="ARK149" s="60"/>
      <c r="ARL149" s="60"/>
      <c r="ARM149" s="60"/>
      <c r="ARN149" s="60"/>
      <c r="ARO149" s="60"/>
      <c r="ARP149" s="60"/>
      <c r="ARQ149" s="60"/>
      <c r="ARR149" s="60"/>
      <c r="ARS149" s="60"/>
      <c r="ART149" s="60"/>
      <c r="ARU149" s="60"/>
      <c r="ARV149" s="60"/>
      <c r="ARW149" s="60"/>
      <c r="ARX149" s="60"/>
      <c r="ARY149" s="60"/>
      <c r="ARZ149" s="60"/>
      <c r="ASA149" s="60"/>
      <c r="ASB149" s="60"/>
      <c r="ASC149" s="60"/>
      <c r="ASD149" s="60"/>
      <c r="ASE149" s="60"/>
      <c r="ASF149" s="60"/>
      <c r="ASG149" s="60"/>
      <c r="ASH149" s="60"/>
      <c r="ASI149" s="60"/>
      <c r="ASJ149" s="60"/>
      <c r="ASK149" s="60"/>
      <c r="ASL149" s="60"/>
      <c r="ASM149" s="60"/>
      <c r="ASN149" s="60"/>
      <c r="ASO149" s="60"/>
      <c r="ASP149" s="60"/>
      <c r="ASQ149" s="60"/>
      <c r="ASR149" s="60"/>
      <c r="ASS149" s="60"/>
      <c r="AST149" s="60"/>
      <c r="ASU149" s="60"/>
      <c r="ASV149" s="60"/>
      <c r="ASW149" s="60"/>
      <c r="ASX149" s="60"/>
      <c r="ASY149" s="60"/>
      <c r="ASZ149" s="60"/>
      <c r="ATA149" s="60"/>
      <c r="ATB149" s="60"/>
      <c r="ATC149" s="60"/>
      <c r="ATD149" s="60"/>
      <c r="ATE149" s="60"/>
      <c r="ATF149" s="60"/>
      <c r="ATG149" s="60"/>
      <c r="ATH149" s="60"/>
      <c r="ATI149" s="60"/>
      <c r="ATJ149" s="60"/>
      <c r="ATK149" s="60"/>
      <c r="ATL149" s="60"/>
      <c r="ATM149" s="60"/>
      <c r="ATN149" s="60"/>
      <c r="ATO149" s="60"/>
      <c r="ATP149" s="60"/>
      <c r="ATQ149" s="60"/>
      <c r="ATR149" s="60"/>
      <c r="ATS149" s="60"/>
      <c r="ATT149" s="60"/>
      <c r="ATU149" s="60"/>
      <c r="ATV149" s="60"/>
      <c r="ATW149" s="60"/>
      <c r="ATX149" s="60"/>
      <c r="ATY149" s="60"/>
      <c r="ATZ149" s="60"/>
      <c r="AUA149" s="60"/>
      <c r="AUB149" s="60"/>
      <c r="AUC149" s="60"/>
      <c r="AUD149" s="60"/>
      <c r="AUE149" s="60"/>
      <c r="AUF149" s="60"/>
      <c r="AUG149" s="60"/>
      <c r="AUH149" s="60"/>
      <c r="AUI149" s="60"/>
      <c r="AUJ149" s="60"/>
      <c r="AUK149" s="60"/>
      <c r="AUL149" s="60"/>
      <c r="AUM149" s="60"/>
      <c r="AUN149" s="60"/>
      <c r="AUO149" s="60"/>
      <c r="AUP149" s="60"/>
      <c r="AUQ149" s="60"/>
      <c r="AUR149" s="60"/>
      <c r="AUS149" s="60"/>
      <c r="AUT149" s="60"/>
      <c r="AUU149" s="60"/>
      <c r="AUV149" s="60"/>
      <c r="AUW149" s="60"/>
      <c r="AUX149" s="60"/>
      <c r="AUY149" s="60"/>
      <c r="AUZ149" s="60"/>
      <c r="AVA149" s="60"/>
      <c r="AVB149" s="60"/>
      <c r="AVC149" s="60"/>
      <c r="AVD149" s="60"/>
      <c r="AVE149" s="60"/>
      <c r="AVF149" s="60"/>
      <c r="AVG149" s="60"/>
      <c r="AVH149" s="60"/>
      <c r="AVI149" s="60"/>
      <c r="AVJ149" s="60"/>
      <c r="AVK149" s="60"/>
      <c r="AVL149" s="60"/>
      <c r="AVM149" s="60"/>
      <c r="AVN149" s="60"/>
      <c r="AVO149" s="60"/>
      <c r="AVP149" s="60"/>
      <c r="AVQ149" s="60"/>
      <c r="AVR149" s="60"/>
      <c r="AVS149" s="60"/>
      <c r="AVT149" s="60"/>
      <c r="AVU149" s="60"/>
      <c r="AVV149" s="60"/>
      <c r="AVW149" s="60"/>
      <c r="AVX149" s="60"/>
      <c r="AVY149" s="60"/>
      <c r="AVZ149" s="60"/>
      <c r="AWA149" s="60"/>
      <c r="AWB149" s="60"/>
      <c r="AWC149" s="60"/>
      <c r="AWD149" s="60"/>
      <c r="AWE149" s="60"/>
      <c r="AWF149" s="60"/>
      <c r="AWG149" s="60"/>
      <c r="AWH149" s="60"/>
      <c r="AWI149" s="60"/>
      <c r="AWJ149" s="60"/>
      <c r="AWK149" s="60"/>
      <c r="AWL149" s="60"/>
      <c r="AWM149" s="60"/>
      <c r="AWN149" s="60"/>
      <c r="AWO149" s="60"/>
      <c r="AWP149" s="60"/>
      <c r="AWQ149" s="60"/>
      <c r="AWR149" s="60"/>
      <c r="AWS149" s="60"/>
      <c r="AWT149" s="60"/>
      <c r="AWU149" s="60"/>
      <c r="AWV149" s="60"/>
      <c r="AWW149" s="60"/>
      <c r="AWX149" s="60"/>
      <c r="AWY149" s="60"/>
      <c r="AWZ149" s="60"/>
      <c r="AXA149" s="60"/>
      <c r="AXB149" s="60"/>
      <c r="AXC149" s="60"/>
      <c r="AXD149" s="60"/>
      <c r="AXE149" s="60"/>
      <c r="AXF149" s="60"/>
      <c r="AXG149" s="60"/>
      <c r="AXH149" s="60"/>
      <c r="AXI149" s="60"/>
      <c r="AXJ149" s="60"/>
      <c r="AXK149" s="60"/>
      <c r="AXL149" s="60"/>
      <c r="AXM149" s="60"/>
      <c r="AXN149" s="60"/>
      <c r="AXO149" s="60"/>
      <c r="AXP149" s="60"/>
      <c r="AXQ149" s="60"/>
      <c r="AXR149" s="60"/>
      <c r="AXS149" s="60"/>
      <c r="AXT149" s="60"/>
      <c r="AXU149" s="60"/>
      <c r="AXV149" s="60"/>
      <c r="AXW149" s="60"/>
      <c r="AXX149" s="60"/>
      <c r="AXY149" s="60"/>
      <c r="AXZ149" s="60"/>
      <c r="AYA149" s="60"/>
      <c r="AYB149" s="60"/>
      <c r="AYC149" s="60"/>
      <c r="AYD149" s="60"/>
      <c r="AYE149" s="60"/>
      <c r="AYF149" s="60"/>
      <c r="AYG149" s="60"/>
      <c r="AYH149" s="60"/>
      <c r="AYI149" s="60"/>
      <c r="AYJ149" s="60"/>
      <c r="AYK149" s="60"/>
      <c r="AYL149" s="60"/>
      <c r="AYM149" s="60"/>
      <c r="AYN149" s="60"/>
      <c r="AYO149" s="60"/>
      <c r="AYP149" s="60"/>
      <c r="AYQ149" s="60"/>
      <c r="AYR149" s="60"/>
      <c r="AYS149" s="60"/>
      <c r="AYT149" s="60"/>
      <c r="AYU149" s="60"/>
      <c r="AYV149" s="60"/>
      <c r="AYW149" s="60"/>
      <c r="AYX149" s="60"/>
      <c r="AYY149" s="60"/>
      <c r="AYZ149" s="60"/>
      <c r="AZA149" s="60"/>
      <c r="AZB149" s="60"/>
      <c r="AZC149" s="60"/>
      <c r="AZD149" s="60"/>
      <c r="AZE149" s="60"/>
      <c r="AZF149" s="60"/>
      <c r="AZG149" s="60"/>
      <c r="AZH149" s="60"/>
      <c r="AZI149" s="60"/>
      <c r="AZJ149" s="60"/>
      <c r="AZK149" s="60"/>
      <c r="AZL149" s="60"/>
      <c r="AZM149" s="60"/>
      <c r="AZN149" s="60"/>
      <c r="AZO149" s="60"/>
      <c r="AZP149" s="60"/>
      <c r="AZQ149" s="60"/>
      <c r="AZR149" s="60"/>
      <c r="AZS149" s="60"/>
      <c r="AZT149" s="60"/>
      <c r="AZU149" s="60"/>
      <c r="AZV149" s="60"/>
      <c r="AZW149" s="60"/>
      <c r="AZX149" s="60"/>
      <c r="AZY149" s="60"/>
      <c r="AZZ149" s="60"/>
      <c r="BAA149" s="60"/>
      <c r="BAB149" s="60"/>
      <c r="BAC149" s="60"/>
      <c r="BAD149" s="60"/>
      <c r="BAE149" s="60"/>
      <c r="BAF149" s="60"/>
      <c r="BAG149" s="60"/>
      <c r="BAH149" s="60"/>
      <c r="BAI149" s="60"/>
      <c r="BAJ149" s="60"/>
      <c r="BAK149" s="60"/>
      <c r="BAL149" s="60"/>
      <c r="BAM149" s="60"/>
      <c r="BAN149" s="60"/>
      <c r="BAO149" s="60"/>
      <c r="BAP149" s="60"/>
      <c r="BAQ149" s="60"/>
      <c r="BAR149" s="60"/>
      <c r="BAS149" s="60"/>
      <c r="BAT149" s="60"/>
      <c r="BAU149" s="60"/>
      <c r="BAV149" s="60"/>
      <c r="BAW149" s="60"/>
      <c r="BAX149" s="60"/>
      <c r="BAY149" s="60"/>
      <c r="BAZ149" s="60"/>
      <c r="BBA149" s="60"/>
      <c r="BBB149" s="60"/>
      <c r="BBC149" s="60"/>
      <c r="BBD149" s="60"/>
      <c r="BBE149" s="60"/>
      <c r="BBF149" s="60"/>
      <c r="BBG149" s="60"/>
      <c r="BBH149" s="60"/>
      <c r="BBI149" s="60"/>
      <c r="BBJ149" s="60"/>
      <c r="BBK149" s="60"/>
      <c r="BBL149" s="60"/>
      <c r="BBM149" s="60"/>
      <c r="BBN149" s="60"/>
      <c r="BBO149" s="60"/>
      <c r="BBP149" s="60"/>
      <c r="BBQ149" s="60"/>
      <c r="BBR149" s="60"/>
      <c r="BBS149" s="60"/>
      <c r="BBT149" s="60"/>
      <c r="BBU149" s="60"/>
      <c r="BBV149" s="60"/>
      <c r="BBW149" s="60"/>
      <c r="BBX149" s="60"/>
      <c r="BBY149" s="60"/>
      <c r="BBZ149" s="60"/>
      <c r="BCA149" s="60"/>
      <c r="BCB149" s="60"/>
      <c r="BCC149" s="60"/>
      <c r="BCD149" s="60"/>
      <c r="BCE149" s="60"/>
      <c r="BCF149" s="60"/>
      <c r="BCG149" s="60"/>
      <c r="BCH149" s="60"/>
      <c r="BCI149" s="60"/>
      <c r="BCJ149" s="60"/>
      <c r="BCK149" s="60"/>
      <c r="BCL149" s="60"/>
      <c r="BCM149" s="60"/>
      <c r="BCN149" s="60"/>
      <c r="BCO149" s="60"/>
      <c r="BCP149" s="60"/>
      <c r="BCQ149" s="60"/>
      <c r="BCR149" s="60"/>
      <c r="BCS149" s="60"/>
      <c r="BCT149" s="60"/>
      <c r="BCU149" s="60"/>
      <c r="BCV149" s="60"/>
      <c r="BCW149" s="60"/>
      <c r="BCX149" s="60"/>
      <c r="BCY149" s="60"/>
      <c r="BCZ149" s="60"/>
      <c r="BDA149" s="60"/>
      <c r="BDB149" s="60"/>
      <c r="BDC149" s="60"/>
      <c r="BDD149" s="60"/>
      <c r="BDE149" s="60"/>
      <c r="BDF149" s="60"/>
      <c r="BDG149" s="60"/>
      <c r="BDH149" s="60"/>
      <c r="BDI149" s="60"/>
      <c r="BDJ149" s="60"/>
      <c r="BDK149" s="60"/>
      <c r="BDL149" s="60"/>
      <c r="BDM149" s="60"/>
      <c r="BDN149" s="60"/>
      <c r="BDO149" s="60"/>
      <c r="BDP149" s="60"/>
      <c r="BDQ149" s="60"/>
      <c r="BDR149" s="60"/>
      <c r="BDS149" s="60"/>
      <c r="BDT149" s="60"/>
      <c r="BDU149" s="60"/>
      <c r="BDV149" s="60"/>
      <c r="BDW149" s="60"/>
      <c r="BDX149" s="60"/>
      <c r="BDY149" s="60"/>
      <c r="BDZ149" s="60"/>
      <c r="BEA149" s="60"/>
      <c r="BEB149" s="60"/>
      <c r="BEC149" s="60"/>
      <c r="BED149" s="60"/>
      <c r="BEE149" s="60"/>
      <c r="BEF149" s="60"/>
      <c r="BEG149" s="60"/>
      <c r="BEH149" s="60"/>
      <c r="BEI149" s="60"/>
      <c r="BEJ149" s="60"/>
      <c r="BEK149" s="60"/>
      <c r="BEL149" s="60"/>
      <c r="BEM149" s="60"/>
      <c r="BEN149" s="60"/>
      <c r="BEO149" s="60"/>
      <c r="BEP149" s="60"/>
      <c r="BEQ149" s="60"/>
      <c r="BER149" s="60"/>
      <c r="BES149" s="60"/>
      <c r="BET149" s="60"/>
      <c r="BEU149" s="60"/>
      <c r="BEV149" s="60"/>
      <c r="BEW149" s="60"/>
      <c r="BEX149" s="60"/>
      <c r="BEY149" s="60"/>
      <c r="BEZ149" s="60"/>
      <c r="BFA149" s="60"/>
      <c r="BFB149" s="60"/>
      <c r="BFC149" s="60"/>
      <c r="BFD149" s="60"/>
      <c r="BFE149" s="60"/>
      <c r="BFF149" s="60"/>
      <c r="BFG149" s="60"/>
      <c r="BFH149" s="60"/>
      <c r="BFI149" s="60"/>
      <c r="BFJ149" s="60"/>
      <c r="BFK149" s="60"/>
      <c r="BFL149" s="60"/>
      <c r="BFM149" s="60"/>
      <c r="BFN149" s="60"/>
      <c r="BFO149" s="60"/>
      <c r="BFP149" s="60"/>
      <c r="BFQ149" s="60"/>
      <c r="BFR149" s="60"/>
      <c r="BFS149" s="60"/>
      <c r="BFT149" s="60"/>
      <c r="BFU149" s="60"/>
      <c r="BFV149" s="60"/>
      <c r="BFW149" s="60"/>
      <c r="BFX149" s="60"/>
      <c r="BFY149" s="60"/>
      <c r="BFZ149" s="60"/>
      <c r="BGA149" s="60"/>
      <c r="BGB149" s="60"/>
      <c r="BGC149" s="60"/>
      <c r="BGD149" s="60"/>
      <c r="BGE149" s="60"/>
      <c r="BGF149" s="60"/>
      <c r="BGG149" s="60"/>
      <c r="BGH149" s="60"/>
      <c r="BGI149" s="60"/>
      <c r="BGJ149" s="60"/>
      <c r="BGK149" s="60"/>
      <c r="BGL149" s="60"/>
      <c r="BGM149" s="60"/>
      <c r="BGN149" s="60"/>
      <c r="BGO149" s="60"/>
      <c r="BGP149" s="60"/>
      <c r="BGQ149" s="60"/>
      <c r="BGR149" s="60"/>
      <c r="BGS149" s="60"/>
      <c r="BGT149" s="60"/>
      <c r="BGU149" s="60"/>
      <c r="BGV149" s="60"/>
      <c r="BGW149" s="60"/>
      <c r="BGX149" s="60"/>
      <c r="BGY149" s="60"/>
      <c r="BGZ149" s="60"/>
      <c r="BHA149" s="60"/>
      <c r="BHB149" s="60"/>
      <c r="BHC149" s="60"/>
      <c r="BHD149" s="60"/>
      <c r="BHE149" s="60"/>
      <c r="BHF149" s="60"/>
      <c r="BHG149" s="60"/>
      <c r="BHH149" s="60"/>
      <c r="BHI149" s="60"/>
      <c r="BHJ149" s="60"/>
      <c r="BHK149" s="60"/>
      <c r="BHL149" s="60"/>
      <c r="BHM149" s="60"/>
      <c r="BHN149" s="60"/>
      <c r="BHO149" s="60"/>
      <c r="BHP149" s="60"/>
      <c r="BHQ149" s="60"/>
      <c r="BHR149" s="60"/>
      <c r="BHS149" s="60"/>
      <c r="BHT149" s="60"/>
      <c r="BHU149" s="60"/>
      <c r="BHV149" s="60"/>
      <c r="BHW149" s="60"/>
      <c r="BHX149" s="60"/>
      <c r="BHY149" s="60"/>
      <c r="BHZ149" s="60"/>
      <c r="BIA149" s="60"/>
      <c r="BIB149" s="60"/>
      <c r="BIC149" s="60"/>
      <c r="BID149" s="60"/>
      <c r="BIE149" s="60"/>
      <c r="BIF149" s="60"/>
      <c r="BIG149" s="60"/>
      <c r="BIH149" s="60"/>
      <c r="BII149" s="60"/>
      <c r="BIJ149" s="60"/>
      <c r="BIK149" s="60"/>
      <c r="BIL149" s="60"/>
      <c r="BIM149" s="60"/>
      <c r="BIN149" s="60"/>
      <c r="BIO149" s="60"/>
      <c r="BIP149" s="60"/>
      <c r="BIQ149" s="60"/>
      <c r="BIR149" s="60"/>
      <c r="BIS149" s="60"/>
      <c r="BIT149" s="60"/>
      <c r="BIU149" s="60"/>
      <c r="BIV149" s="60"/>
      <c r="BIW149" s="60"/>
      <c r="BIX149" s="60"/>
      <c r="BIY149" s="60"/>
      <c r="BIZ149" s="60"/>
      <c r="BJA149" s="60"/>
      <c r="BJB149" s="60"/>
      <c r="BJC149" s="60"/>
      <c r="BJD149" s="60"/>
      <c r="BJE149" s="60"/>
      <c r="BJF149" s="60"/>
      <c r="BJG149" s="60"/>
      <c r="BJH149" s="60"/>
      <c r="BJI149" s="60"/>
      <c r="BJJ149" s="60"/>
      <c r="BJK149" s="60"/>
      <c r="BJL149" s="60"/>
      <c r="BJM149" s="60"/>
      <c r="BJN149" s="60"/>
      <c r="BJO149" s="60"/>
      <c r="BJP149" s="60"/>
      <c r="BJQ149" s="60"/>
      <c r="BJR149" s="60"/>
      <c r="BJS149" s="60"/>
      <c r="BJT149" s="60"/>
      <c r="BJU149" s="60"/>
      <c r="BJV149" s="60"/>
      <c r="BJW149" s="60"/>
      <c r="BJX149" s="60"/>
      <c r="BJY149" s="60"/>
      <c r="BJZ149" s="60"/>
      <c r="BKA149" s="60"/>
      <c r="BKB149" s="60"/>
      <c r="BKC149" s="60"/>
      <c r="BKD149" s="60"/>
      <c r="BKE149" s="60"/>
      <c r="BKF149" s="60"/>
      <c r="BKG149" s="60"/>
      <c r="BKH149" s="60"/>
      <c r="BKI149" s="60"/>
      <c r="BKJ149" s="60"/>
      <c r="BKK149" s="60"/>
      <c r="BKL149" s="60"/>
      <c r="BKM149" s="60"/>
      <c r="BKN149" s="60"/>
      <c r="BKO149" s="60"/>
      <c r="BKP149" s="60"/>
      <c r="BKQ149" s="60"/>
      <c r="BKR149" s="60"/>
      <c r="BKS149" s="60"/>
      <c r="BKT149" s="60"/>
      <c r="BKU149" s="60"/>
      <c r="BKV149" s="60"/>
      <c r="BKW149" s="60"/>
      <c r="BKX149" s="60"/>
      <c r="BKY149" s="60"/>
      <c r="BKZ149" s="60"/>
      <c r="BLA149" s="60"/>
      <c r="BLB149" s="60"/>
      <c r="BLC149" s="60"/>
      <c r="BLD149" s="60"/>
      <c r="BLE149" s="60"/>
      <c r="BLF149" s="60"/>
      <c r="BLG149" s="60"/>
      <c r="BLH149" s="60"/>
      <c r="BLI149" s="60"/>
      <c r="BLJ149" s="60"/>
      <c r="BLK149" s="60"/>
      <c r="BLL149" s="60"/>
      <c r="BLM149" s="60"/>
      <c r="BLN149" s="60"/>
      <c r="BLO149" s="60"/>
      <c r="BLP149" s="60"/>
      <c r="BLQ149" s="60"/>
      <c r="BLR149" s="60"/>
      <c r="BLS149" s="60"/>
      <c r="BLT149" s="60"/>
      <c r="BLU149" s="60"/>
      <c r="BLV149" s="60"/>
      <c r="BLW149" s="60"/>
      <c r="BLX149" s="60"/>
      <c r="BLY149" s="60"/>
      <c r="BLZ149" s="60"/>
      <c r="BMA149" s="60"/>
      <c r="BMB149" s="60"/>
      <c r="BMC149" s="60"/>
      <c r="BMD149" s="60"/>
      <c r="BME149" s="60"/>
      <c r="BMF149" s="60"/>
      <c r="BMG149" s="60"/>
      <c r="BMH149" s="60"/>
      <c r="BMI149" s="60"/>
      <c r="BMJ149" s="60"/>
      <c r="BMK149" s="60"/>
      <c r="BML149" s="60"/>
      <c r="BMM149" s="60"/>
      <c r="BMN149" s="60"/>
      <c r="BMO149" s="60"/>
      <c r="BMP149" s="60"/>
      <c r="BMQ149" s="60"/>
      <c r="BMR149" s="60"/>
      <c r="BMS149" s="60"/>
      <c r="BMT149" s="60"/>
      <c r="BMU149" s="60"/>
      <c r="BMV149" s="60"/>
      <c r="BMW149" s="60"/>
      <c r="BMX149" s="60"/>
      <c r="BMY149" s="60"/>
      <c r="BMZ149" s="60"/>
      <c r="BNA149" s="60"/>
      <c r="BNB149" s="60"/>
      <c r="BNC149" s="60"/>
      <c r="BND149" s="60"/>
      <c r="BNE149" s="60"/>
      <c r="BNF149" s="60"/>
      <c r="BNG149" s="60"/>
      <c r="BNH149" s="60"/>
      <c r="BNI149" s="60"/>
      <c r="BNJ149" s="60"/>
      <c r="BNK149" s="60"/>
      <c r="BNL149" s="60"/>
      <c r="BNM149" s="60"/>
      <c r="BNN149" s="60"/>
      <c r="BNO149" s="60"/>
      <c r="BNP149" s="60"/>
      <c r="BNQ149" s="60"/>
      <c r="BNR149" s="60"/>
      <c r="BNS149" s="60"/>
      <c r="BNT149" s="60"/>
      <c r="BNU149" s="60"/>
      <c r="BNV149" s="60"/>
      <c r="BNW149" s="60"/>
      <c r="BNX149" s="60"/>
      <c r="BNY149" s="60"/>
      <c r="BNZ149" s="60"/>
      <c r="BOA149" s="60"/>
      <c r="BOB149" s="60"/>
      <c r="BOC149" s="60"/>
      <c r="BOD149" s="60"/>
      <c r="BOE149" s="60"/>
      <c r="BOF149" s="60"/>
      <c r="BOG149" s="60"/>
      <c r="BOH149" s="60"/>
      <c r="BOI149" s="60"/>
      <c r="BOJ149" s="60"/>
      <c r="BOK149" s="60"/>
      <c r="BOL149" s="60"/>
      <c r="BOM149" s="60"/>
      <c r="BON149" s="60"/>
      <c r="BOO149" s="60"/>
      <c r="BOP149" s="60"/>
      <c r="BOQ149" s="60"/>
      <c r="BOR149" s="60"/>
      <c r="BOS149" s="60"/>
      <c r="BOT149" s="60"/>
      <c r="BOU149" s="60"/>
      <c r="BOV149" s="60"/>
      <c r="BOW149" s="60"/>
      <c r="BOX149" s="60"/>
      <c r="BOY149" s="60"/>
      <c r="BOZ149" s="60"/>
      <c r="BPA149" s="60"/>
      <c r="BPB149" s="60"/>
      <c r="BPC149" s="60"/>
      <c r="BPD149" s="60"/>
      <c r="BPE149" s="60"/>
      <c r="BPF149" s="60"/>
      <c r="BPG149" s="60"/>
      <c r="BPH149" s="60"/>
      <c r="BPI149" s="60"/>
      <c r="BPJ149" s="60"/>
      <c r="BPK149" s="60"/>
      <c r="BPL149" s="60"/>
      <c r="BPM149" s="60"/>
      <c r="BPN149" s="60"/>
      <c r="BPO149" s="60"/>
      <c r="BPP149" s="60"/>
      <c r="BPQ149" s="60"/>
      <c r="BPR149" s="60"/>
      <c r="BPS149" s="60"/>
      <c r="BPT149" s="60"/>
      <c r="BPU149" s="60"/>
      <c r="BPV149" s="60"/>
      <c r="BPW149" s="60"/>
      <c r="BPX149" s="60"/>
      <c r="BPY149" s="60"/>
      <c r="BPZ149" s="60"/>
      <c r="BQA149" s="60"/>
      <c r="BQB149" s="60"/>
      <c r="BQC149" s="60"/>
      <c r="BQD149" s="60"/>
      <c r="BQE149" s="60"/>
      <c r="BQF149" s="60"/>
      <c r="BQG149" s="60"/>
      <c r="BQH149" s="60"/>
      <c r="BQI149" s="60"/>
      <c r="BQJ149" s="60"/>
      <c r="BQK149" s="60"/>
      <c r="BQL149" s="60"/>
      <c r="BQM149" s="60"/>
      <c r="BQN149" s="60"/>
      <c r="BQO149" s="60"/>
      <c r="BQP149" s="60"/>
      <c r="BQQ149" s="60"/>
      <c r="BQR149" s="60"/>
      <c r="BQS149" s="60"/>
      <c r="BQT149" s="60"/>
      <c r="BQU149" s="60"/>
      <c r="BQV149" s="60"/>
      <c r="BQW149" s="60"/>
      <c r="BQX149" s="60"/>
      <c r="BQY149" s="60"/>
      <c r="BQZ149" s="60"/>
      <c r="BRA149" s="60"/>
      <c r="BRB149" s="60"/>
      <c r="BRC149" s="60"/>
      <c r="BRD149" s="60"/>
      <c r="BRE149" s="60"/>
      <c r="BRF149" s="60"/>
      <c r="BRG149" s="60"/>
      <c r="BRH149" s="60"/>
      <c r="BRI149" s="60"/>
      <c r="BRJ149" s="60"/>
      <c r="BRK149" s="60"/>
      <c r="BRL149" s="60"/>
      <c r="BRM149" s="60"/>
      <c r="BRN149" s="60"/>
      <c r="BRO149" s="60"/>
      <c r="BRP149" s="60"/>
      <c r="BRQ149" s="60"/>
      <c r="BRR149" s="60"/>
      <c r="BRS149" s="60"/>
      <c r="BRT149" s="60"/>
      <c r="BRU149" s="60"/>
      <c r="BRV149" s="60"/>
      <c r="BRW149" s="60"/>
      <c r="BRX149" s="60"/>
      <c r="BRY149" s="60"/>
      <c r="BRZ149" s="60"/>
      <c r="BSA149" s="60"/>
      <c r="BSB149" s="60"/>
      <c r="BSC149" s="60"/>
      <c r="BSD149" s="60"/>
      <c r="BSE149" s="60"/>
      <c r="BSF149" s="60"/>
      <c r="BSG149" s="60"/>
      <c r="BSH149" s="60"/>
      <c r="BSI149" s="60"/>
      <c r="BSJ149" s="60"/>
      <c r="BSK149" s="60"/>
      <c r="BSL149" s="60"/>
      <c r="BSM149" s="60"/>
      <c r="BSN149" s="60"/>
      <c r="BSO149" s="60"/>
      <c r="BSP149" s="60"/>
      <c r="BSQ149" s="60"/>
      <c r="BSR149" s="60"/>
      <c r="BSS149" s="60"/>
      <c r="BST149" s="60"/>
      <c r="BSU149" s="60"/>
      <c r="BSV149" s="60"/>
      <c r="BSW149" s="60"/>
      <c r="BSX149" s="60"/>
      <c r="BSY149" s="60"/>
      <c r="BSZ149" s="60"/>
      <c r="BTA149" s="60"/>
      <c r="BTB149" s="60"/>
      <c r="BTC149" s="60"/>
      <c r="BTD149" s="60"/>
      <c r="BTE149" s="60"/>
      <c r="BTF149" s="60"/>
      <c r="BTG149" s="60"/>
      <c r="BTH149" s="60"/>
      <c r="BTI149" s="60"/>
      <c r="BTJ149" s="60"/>
      <c r="BTK149" s="60"/>
      <c r="BTL149" s="60"/>
      <c r="BTM149" s="60"/>
      <c r="BTN149" s="60"/>
      <c r="BTO149" s="60"/>
      <c r="BTP149" s="60"/>
      <c r="BTQ149" s="60"/>
      <c r="BTR149" s="60"/>
      <c r="BTS149" s="60"/>
      <c r="BTT149" s="60"/>
      <c r="BTU149" s="60"/>
      <c r="BTV149" s="60"/>
      <c r="BTW149" s="60"/>
      <c r="BTX149" s="60"/>
      <c r="BTY149" s="60"/>
      <c r="BTZ149" s="60"/>
      <c r="BUA149" s="60"/>
      <c r="BUB149" s="60"/>
      <c r="BUC149" s="60"/>
      <c r="BUD149" s="60"/>
      <c r="BUE149" s="60"/>
      <c r="BUF149" s="60"/>
      <c r="BUG149" s="60"/>
      <c r="BUH149" s="60"/>
      <c r="BUI149" s="60"/>
      <c r="BUJ149" s="60"/>
      <c r="BUK149" s="60"/>
      <c r="BUL149" s="60"/>
      <c r="BUM149" s="60"/>
      <c r="BUN149" s="60"/>
      <c r="BUO149" s="60"/>
      <c r="BUP149" s="60"/>
      <c r="BUQ149" s="60"/>
      <c r="BUR149" s="60"/>
      <c r="BUS149" s="60"/>
      <c r="BUT149" s="60"/>
      <c r="BUU149" s="60"/>
      <c r="BUV149" s="60"/>
      <c r="BUW149" s="60"/>
      <c r="BUX149" s="60"/>
      <c r="BUY149" s="60"/>
      <c r="BUZ149" s="60"/>
      <c r="BVA149" s="60"/>
      <c r="BVB149" s="60"/>
      <c r="BVC149" s="60"/>
      <c r="BVD149" s="60"/>
      <c r="BVE149" s="60"/>
      <c r="BVF149" s="60"/>
      <c r="BVG149" s="60"/>
      <c r="BVH149" s="60"/>
      <c r="BVI149" s="60"/>
      <c r="BVJ149" s="60"/>
      <c r="BVK149" s="60"/>
      <c r="BVL149" s="60"/>
      <c r="BVM149" s="60"/>
      <c r="BVN149" s="60"/>
      <c r="BVO149" s="60"/>
      <c r="BVP149" s="60"/>
      <c r="BVQ149" s="60"/>
      <c r="BVR149" s="60"/>
      <c r="BVS149" s="60"/>
      <c r="BVT149" s="60"/>
      <c r="BVU149" s="60"/>
      <c r="BVV149" s="60"/>
      <c r="BVW149" s="60"/>
      <c r="BVX149" s="60"/>
      <c r="BVY149" s="60"/>
      <c r="BVZ149" s="60"/>
      <c r="BWA149" s="60"/>
      <c r="BWB149" s="60"/>
      <c r="BWC149" s="60"/>
      <c r="BWD149" s="60"/>
      <c r="BWE149" s="60"/>
      <c r="BWF149" s="60"/>
      <c r="BWG149" s="60"/>
      <c r="BWH149" s="60"/>
      <c r="BWI149" s="60"/>
      <c r="BWJ149" s="60"/>
      <c r="BWK149" s="60"/>
      <c r="BWL149" s="60"/>
      <c r="BWM149" s="60"/>
      <c r="BWN149" s="60"/>
      <c r="BWO149" s="60"/>
      <c r="BWP149" s="60"/>
      <c r="BWQ149" s="60"/>
      <c r="BWR149" s="60"/>
      <c r="BWS149" s="60"/>
      <c r="BWT149" s="60"/>
      <c r="BWU149" s="60"/>
      <c r="BWV149" s="60"/>
      <c r="BWW149" s="60"/>
      <c r="BWX149" s="60"/>
      <c r="BWY149" s="60"/>
      <c r="BWZ149" s="60"/>
      <c r="BXA149" s="60"/>
      <c r="BXB149" s="60"/>
      <c r="BXC149" s="60"/>
      <c r="BXD149" s="60"/>
      <c r="BXE149" s="60"/>
      <c r="BXF149" s="60"/>
      <c r="BXG149" s="60"/>
      <c r="BXH149" s="60"/>
      <c r="BXI149" s="60"/>
      <c r="BXJ149" s="60"/>
      <c r="BXK149" s="60"/>
      <c r="BXL149" s="60"/>
      <c r="BXM149" s="60"/>
      <c r="BXN149" s="60"/>
      <c r="BXO149" s="60"/>
      <c r="BXP149" s="60"/>
      <c r="BXQ149" s="60"/>
      <c r="BXR149" s="60"/>
      <c r="BXS149" s="60"/>
      <c r="BXT149" s="60"/>
      <c r="BXU149" s="60"/>
      <c r="BXV149" s="60"/>
      <c r="BXW149" s="60"/>
      <c r="BXX149" s="60"/>
      <c r="BXY149" s="60"/>
      <c r="BXZ149" s="60"/>
      <c r="BYA149" s="60"/>
      <c r="BYB149" s="60"/>
      <c r="BYC149" s="60"/>
      <c r="BYD149" s="60"/>
      <c r="BYE149" s="60"/>
      <c r="BYF149" s="60"/>
      <c r="BYG149" s="60"/>
      <c r="BYH149" s="60"/>
      <c r="BYI149" s="60"/>
      <c r="BYJ149" s="60"/>
      <c r="BYK149" s="60"/>
      <c r="BYL149" s="60"/>
      <c r="BYM149" s="60"/>
      <c r="BYN149" s="60"/>
      <c r="BYO149" s="60"/>
      <c r="BYP149" s="60"/>
      <c r="BYQ149" s="60"/>
      <c r="BYR149" s="60"/>
      <c r="BYS149" s="60"/>
      <c r="BYT149" s="60"/>
      <c r="BYU149" s="60"/>
      <c r="BYV149" s="60"/>
      <c r="BYW149" s="60"/>
      <c r="BYX149" s="60"/>
      <c r="BYY149" s="60"/>
      <c r="BYZ149" s="60"/>
      <c r="BZA149" s="60"/>
      <c r="BZB149" s="60"/>
      <c r="BZC149" s="60"/>
      <c r="BZD149" s="60"/>
      <c r="BZE149" s="60"/>
      <c r="BZF149" s="60"/>
      <c r="BZG149" s="60"/>
      <c r="BZH149" s="60"/>
      <c r="BZI149" s="60"/>
      <c r="BZJ149" s="60"/>
      <c r="BZK149" s="60"/>
      <c r="BZL149" s="60"/>
      <c r="BZM149" s="60"/>
      <c r="BZN149" s="60"/>
      <c r="BZO149" s="60"/>
      <c r="BZP149" s="60"/>
      <c r="BZQ149" s="60"/>
      <c r="BZR149" s="60"/>
      <c r="BZS149" s="60"/>
      <c r="BZT149" s="60"/>
      <c r="BZU149" s="60"/>
      <c r="BZV149" s="60"/>
      <c r="BZW149" s="60"/>
      <c r="BZX149" s="60"/>
      <c r="BZY149" s="60"/>
      <c r="BZZ149" s="60"/>
      <c r="CAA149" s="60"/>
      <c r="CAB149" s="60"/>
      <c r="CAC149" s="60"/>
      <c r="CAD149" s="60"/>
      <c r="CAE149" s="60"/>
      <c r="CAF149" s="60"/>
      <c r="CAG149" s="60"/>
      <c r="CAH149" s="60"/>
      <c r="CAI149" s="60"/>
      <c r="CAJ149" s="60"/>
      <c r="CAK149" s="60"/>
      <c r="CAL149" s="60"/>
      <c r="CAM149" s="60"/>
      <c r="CAN149" s="60"/>
      <c r="CAO149" s="60"/>
      <c r="CAP149" s="60"/>
      <c r="CAQ149" s="60"/>
      <c r="CAR149" s="60"/>
      <c r="CAS149" s="60"/>
      <c r="CAT149" s="60"/>
      <c r="CAU149" s="60"/>
      <c r="CAV149" s="60"/>
      <c r="CAW149" s="60"/>
      <c r="CAX149" s="60"/>
      <c r="CAY149" s="60"/>
      <c r="CAZ149" s="60"/>
      <c r="CBA149" s="60"/>
      <c r="CBB149" s="60"/>
      <c r="CBC149" s="60"/>
      <c r="CBD149" s="60"/>
      <c r="CBE149" s="60"/>
      <c r="CBF149" s="60"/>
      <c r="CBG149" s="60"/>
      <c r="CBH149" s="60"/>
      <c r="CBI149" s="60"/>
      <c r="CBJ149" s="60"/>
      <c r="CBK149" s="60"/>
      <c r="CBL149" s="60"/>
      <c r="CBM149" s="60"/>
      <c r="CBN149" s="60"/>
      <c r="CBO149" s="60"/>
      <c r="CBP149" s="60"/>
      <c r="CBQ149" s="60"/>
      <c r="CBR149" s="60"/>
      <c r="CBS149" s="60"/>
      <c r="CBT149" s="60"/>
      <c r="CBU149" s="60"/>
      <c r="CBV149" s="60"/>
      <c r="CBW149" s="60"/>
      <c r="CBX149" s="60"/>
      <c r="CBY149" s="60"/>
      <c r="CBZ149" s="60"/>
      <c r="CCA149" s="60"/>
      <c r="CCB149" s="60"/>
      <c r="CCC149" s="60"/>
      <c r="CCD149" s="60"/>
      <c r="CCE149" s="60"/>
      <c r="CCF149" s="60"/>
      <c r="CCG149" s="60"/>
      <c r="CCH149" s="60"/>
      <c r="CCI149" s="60"/>
      <c r="CCJ149" s="60"/>
      <c r="CCK149" s="60"/>
      <c r="CCL149" s="60"/>
      <c r="CCM149" s="60"/>
      <c r="CCN149" s="60"/>
      <c r="CCO149" s="60"/>
      <c r="CCP149" s="60"/>
      <c r="CCQ149" s="60"/>
      <c r="CCR149" s="60"/>
      <c r="CCS149" s="60"/>
      <c r="CCT149" s="60"/>
      <c r="CCU149" s="60"/>
      <c r="CCV149" s="60"/>
      <c r="CCW149" s="60"/>
      <c r="CCX149" s="60"/>
      <c r="CCY149" s="60"/>
      <c r="CCZ149" s="60"/>
      <c r="CDA149" s="60"/>
      <c r="CDB149" s="60"/>
      <c r="CDC149" s="60"/>
      <c r="CDD149" s="60"/>
      <c r="CDE149" s="60"/>
      <c r="CDF149" s="60"/>
      <c r="CDG149" s="60"/>
      <c r="CDH149" s="60"/>
      <c r="CDI149" s="60"/>
      <c r="CDJ149" s="60"/>
      <c r="CDK149" s="60"/>
      <c r="CDL149" s="60"/>
      <c r="CDM149" s="60"/>
      <c r="CDN149" s="60"/>
      <c r="CDO149" s="60"/>
      <c r="CDP149" s="60"/>
      <c r="CDQ149" s="60"/>
      <c r="CDR149" s="60"/>
      <c r="CDS149" s="60"/>
      <c r="CDT149" s="60"/>
      <c r="CDU149" s="60"/>
      <c r="CDV149" s="60"/>
      <c r="CDW149" s="60"/>
      <c r="CDX149" s="60"/>
      <c r="CDY149" s="60"/>
      <c r="CDZ149" s="60"/>
      <c r="CEA149" s="60"/>
      <c r="CEB149" s="60"/>
      <c r="CEC149" s="60"/>
      <c r="CED149" s="60"/>
      <c r="CEE149" s="60"/>
      <c r="CEF149" s="60"/>
      <c r="CEG149" s="60"/>
      <c r="CEH149" s="60"/>
      <c r="CEI149" s="60"/>
      <c r="CEJ149" s="60"/>
      <c r="CEK149" s="60"/>
      <c r="CEL149" s="60"/>
      <c r="CEM149" s="60"/>
      <c r="CEN149" s="60"/>
      <c r="CEO149" s="60"/>
      <c r="CEP149" s="60"/>
      <c r="CEQ149" s="60"/>
      <c r="CER149" s="60"/>
      <c r="CES149" s="60"/>
      <c r="CET149" s="60"/>
      <c r="CEU149" s="60"/>
      <c r="CEV149" s="60"/>
      <c r="CEW149" s="60"/>
      <c r="CEX149" s="60"/>
      <c r="CEY149" s="60"/>
      <c r="CEZ149" s="60"/>
      <c r="CFA149" s="60"/>
      <c r="CFB149" s="60"/>
      <c r="CFC149" s="60"/>
      <c r="CFD149" s="60"/>
      <c r="CFE149" s="60"/>
      <c r="CFF149" s="60"/>
      <c r="CFG149" s="60"/>
      <c r="CFH149" s="60"/>
      <c r="CFI149" s="60"/>
      <c r="CFJ149" s="60"/>
      <c r="CFK149" s="60"/>
      <c r="CFL149" s="60"/>
      <c r="CFM149" s="60"/>
      <c r="CFN149" s="60"/>
      <c r="CFO149" s="60"/>
      <c r="CFP149" s="60"/>
      <c r="CFQ149" s="60"/>
      <c r="CFR149" s="60"/>
      <c r="CFS149" s="60"/>
      <c r="CFT149" s="60"/>
      <c r="CFU149" s="60"/>
      <c r="CFV149" s="60"/>
      <c r="CFW149" s="60"/>
      <c r="CFX149" s="60"/>
      <c r="CFY149" s="60"/>
      <c r="CFZ149" s="60"/>
      <c r="CGA149" s="60"/>
      <c r="CGB149" s="60"/>
      <c r="CGC149" s="60"/>
      <c r="CGD149" s="60"/>
      <c r="CGE149" s="60"/>
      <c r="CGF149" s="60"/>
      <c r="CGG149" s="60"/>
      <c r="CGH149" s="60"/>
      <c r="CGI149" s="60"/>
      <c r="CGJ149" s="60"/>
      <c r="CGK149" s="60"/>
      <c r="CGL149" s="60"/>
      <c r="CGM149" s="60"/>
      <c r="CGN149" s="60"/>
      <c r="CGO149" s="60"/>
      <c r="CGP149" s="60"/>
      <c r="CGQ149" s="60"/>
      <c r="CGR149" s="60"/>
      <c r="CGS149" s="60"/>
      <c r="CGT149" s="60"/>
      <c r="CGU149" s="60"/>
      <c r="CGV149" s="60"/>
      <c r="CGW149" s="60"/>
      <c r="CGX149" s="60"/>
      <c r="CGY149" s="60"/>
      <c r="CGZ149" s="60"/>
      <c r="CHA149" s="60"/>
      <c r="CHB149" s="60"/>
      <c r="CHC149" s="60"/>
      <c r="CHD149" s="60"/>
      <c r="CHE149" s="60"/>
      <c r="CHF149" s="60"/>
      <c r="CHG149" s="60"/>
      <c r="CHH149" s="60"/>
      <c r="CHI149" s="60"/>
      <c r="CHJ149" s="60"/>
      <c r="CHK149" s="60"/>
      <c r="CHL149" s="60"/>
      <c r="CHM149" s="60"/>
      <c r="CHN149" s="60"/>
      <c r="CHO149" s="60"/>
      <c r="CHP149" s="60"/>
      <c r="CHQ149" s="60"/>
      <c r="CHR149" s="60"/>
      <c r="CHS149" s="60"/>
      <c r="CHT149" s="60"/>
      <c r="CHU149" s="60"/>
      <c r="CHV149" s="60"/>
      <c r="CHW149" s="60"/>
      <c r="CHX149" s="60"/>
      <c r="CHY149" s="60"/>
      <c r="CHZ149" s="60"/>
      <c r="CIA149" s="60"/>
      <c r="CIB149" s="60"/>
      <c r="CIC149" s="60"/>
      <c r="CID149" s="60"/>
      <c r="CIE149" s="60"/>
      <c r="CIF149" s="60"/>
      <c r="CIG149" s="60"/>
      <c r="CIH149" s="60"/>
      <c r="CII149" s="60"/>
      <c r="CIJ149" s="60"/>
      <c r="CIK149" s="60"/>
      <c r="CIL149" s="60"/>
      <c r="CIM149" s="60"/>
      <c r="CIN149" s="60"/>
      <c r="CIO149" s="60"/>
      <c r="CIP149" s="60"/>
      <c r="CIQ149" s="60"/>
      <c r="CIR149" s="60"/>
      <c r="CIS149" s="60"/>
      <c r="CIT149" s="60"/>
      <c r="CIU149" s="60"/>
      <c r="CIV149" s="60"/>
      <c r="CIW149" s="60"/>
      <c r="CIX149" s="60"/>
      <c r="CIY149" s="60"/>
      <c r="CIZ149" s="60"/>
      <c r="CJA149" s="60"/>
      <c r="CJB149" s="60"/>
      <c r="CJC149" s="60"/>
      <c r="CJD149" s="60"/>
      <c r="CJE149" s="60"/>
      <c r="CJF149" s="60"/>
      <c r="CJG149" s="60"/>
      <c r="CJH149" s="60"/>
      <c r="CJI149" s="60"/>
      <c r="CJJ149" s="60"/>
      <c r="CJK149" s="60"/>
      <c r="CJL149" s="60"/>
      <c r="CJM149" s="60"/>
      <c r="CJN149" s="60"/>
      <c r="CJO149" s="60"/>
      <c r="CJP149" s="60"/>
      <c r="CJQ149" s="60"/>
      <c r="CJR149" s="60"/>
      <c r="CJS149" s="60"/>
      <c r="CJT149" s="60"/>
      <c r="CJU149" s="60"/>
      <c r="CJV149" s="60"/>
      <c r="CJW149" s="60"/>
      <c r="CJX149" s="60"/>
      <c r="CJY149" s="60"/>
      <c r="CJZ149" s="60"/>
      <c r="CKA149" s="60"/>
      <c r="CKB149" s="60"/>
      <c r="CKC149" s="60"/>
      <c r="CKD149" s="60"/>
      <c r="CKE149" s="60"/>
      <c r="CKF149" s="60"/>
      <c r="CKG149" s="60"/>
      <c r="CKH149" s="60"/>
      <c r="CKI149" s="60"/>
      <c r="CKJ149" s="60"/>
      <c r="CKK149" s="60"/>
      <c r="CKL149" s="60"/>
      <c r="CKM149" s="60"/>
      <c r="CKN149" s="60"/>
      <c r="CKO149" s="60"/>
      <c r="CKP149" s="60"/>
      <c r="CKQ149" s="60"/>
      <c r="CKR149" s="60"/>
      <c r="CKS149" s="60"/>
      <c r="CKT149" s="60"/>
      <c r="CKU149" s="60"/>
      <c r="CKV149" s="60"/>
      <c r="CKW149" s="60"/>
      <c r="CKX149" s="60"/>
      <c r="CKY149" s="60"/>
      <c r="CKZ149" s="60"/>
      <c r="CLA149" s="60"/>
      <c r="CLB149" s="60"/>
      <c r="CLC149" s="60"/>
      <c r="CLD149" s="60"/>
      <c r="CLE149" s="60"/>
      <c r="CLF149" s="60"/>
      <c r="CLG149" s="60"/>
      <c r="CLH149" s="60"/>
      <c r="CLI149" s="60"/>
      <c r="CLJ149" s="60"/>
      <c r="CLK149" s="60"/>
      <c r="CLL149" s="60"/>
      <c r="CLM149" s="60"/>
      <c r="CLN149" s="60"/>
      <c r="CLO149" s="60"/>
      <c r="CLP149" s="60"/>
      <c r="CLQ149" s="60"/>
      <c r="CLR149" s="60"/>
      <c r="CLS149" s="60"/>
      <c r="CLT149" s="60"/>
      <c r="CLU149" s="60"/>
      <c r="CLV149" s="60"/>
      <c r="CLW149" s="60"/>
      <c r="CLX149" s="60"/>
      <c r="CLY149" s="60"/>
      <c r="CLZ149" s="60"/>
      <c r="CMA149" s="60"/>
      <c r="CMB149" s="60"/>
      <c r="CMC149" s="60"/>
      <c r="CMD149" s="60"/>
      <c r="CME149" s="60"/>
      <c r="CMF149" s="60"/>
      <c r="CMG149" s="60"/>
      <c r="CMH149" s="60"/>
      <c r="CMI149" s="60"/>
      <c r="CMJ149" s="60"/>
      <c r="CMK149" s="60"/>
      <c r="CML149" s="60"/>
      <c r="CMM149" s="60"/>
      <c r="CMN149" s="60"/>
      <c r="CMO149" s="60"/>
      <c r="CMP149" s="60"/>
      <c r="CMQ149" s="60"/>
      <c r="CMR149" s="60"/>
      <c r="CMS149" s="60"/>
      <c r="CMT149" s="60"/>
      <c r="CMU149" s="60"/>
      <c r="CMV149" s="60"/>
      <c r="CMW149" s="60"/>
      <c r="CMX149" s="60"/>
      <c r="CMY149" s="60"/>
      <c r="CMZ149" s="60"/>
      <c r="CNA149" s="60"/>
      <c r="CNB149" s="60"/>
      <c r="CNC149" s="60"/>
      <c r="CND149" s="60"/>
      <c r="CNE149" s="60"/>
      <c r="CNF149" s="60"/>
      <c r="CNG149" s="60"/>
      <c r="CNH149" s="60"/>
      <c r="CNI149" s="60"/>
      <c r="CNJ149" s="60"/>
      <c r="CNK149" s="60"/>
      <c r="CNL149" s="60"/>
      <c r="CNM149" s="60"/>
      <c r="CNN149" s="60"/>
      <c r="CNO149" s="60"/>
      <c r="CNP149" s="60"/>
      <c r="CNQ149" s="60"/>
      <c r="CNR149" s="60"/>
      <c r="CNS149" s="60"/>
      <c r="CNT149" s="60"/>
      <c r="CNU149" s="60"/>
      <c r="CNV149" s="60"/>
      <c r="CNW149" s="60"/>
      <c r="CNX149" s="60"/>
      <c r="CNY149" s="60"/>
      <c r="CNZ149" s="60"/>
      <c r="COA149" s="60"/>
      <c r="COB149" s="60"/>
      <c r="COC149" s="60"/>
      <c r="COD149" s="60"/>
      <c r="COE149" s="60"/>
      <c r="COF149" s="60"/>
      <c r="COG149" s="60"/>
      <c r="COH149" s="60"/>
      <c r="COI149" s="60"/>
      <c r="COJ149" s="60"/>
      <c r="COK149" s="60"/>
      <c r="COL149" s="60"/>
      <c r="COM149" s="60"/>
      <c r="CON149" s="60"/>
      <c r="COO149" s="60"/>
      <c r="COP149" s="60"/>
      <c r="COQ149" s="60"/>
      <c r="COR149" s="60"/>
      <c r="COS149" s="60"/>
      <c r="COT149" s="60"/>
      <c r="COU149" s="60"/>
      <c r="COV149" s="60"/>
      <c r="COW149" s="60"/>
      <c r="COX149" s="60"/>
      <c r="COY149" s="60"/>
      <c r="COZ149" s="60"/>
      <c r="CPA149" s="60"/>
      <c r="CPB149" s="60"/>
      <c r="CPC149" s="60"/>
      <c r="CPD149" s="60"/>
      <c r="CPE149" s="60"/>
      <c r="CPF149" s="60"/>
      <c r="CPG149" s="60"/>
      <c r="CPH149" s="60"/>
      <c r="CPI149" s="60"/>
      <c r="CPJ149" s="60"/>
      <c r="CPK149" s="60"/>
      <c r="CPL149" s="60"/>
      <c r="CPM149" s="60"/>
      <c r="CPN149" s="60"/>
      <c r="CPO149" s="60"/>
      <c r="CPP149" s="60"/>
      <c r="CPQ149" s="60"/>
      <c r="CPR149" s="60"/>
      <c r="CPS149" s="60"/>
      <c r="CPT149" s="60"/>
      <c r="CPU149" s="60"/>
      <c r="CPV149" s="60"/>
      <c r="CPW149" s="60"/>
      <c r="CPX149" s="60"/>
      <c r="CPY149" s="60"/>
      <c r="CPZ149" s="60"/>
      <c r="CQA149" s="60"/>
      <c r="CQB149" s="60"/>
      <c r="CQC149" s="60"/>
      <c r="CQD149" s="60"/>
      <c r="CQE149" s="60"/>
      <c r="CQF149" s="60"/>
      <c r="CQG149" s="60"/>
      <c r="CQH149" s="60"/>
      <c r="CQI149" s="60"/>
      <c r="CQJ149" s="60"/>
      <c r="CQK149" s="60"/>
      <c r="CQL149" s="60"/>
      <c r="CQM149" s="60"/>
      <c r="CQN149" s="60"/>
      <c r="CQO149" s="60"/>
      <c r="CQP149" s="60"/>
      <c r="CQQ149" s="60"/>
      <c r="CQR149" s="60"/>
      <c r="CQS149" s="60"/>
      <c r="CQT149" s="60"/>
      <c r="CQU149" s="60"/>
      <c r="CQV149" s="60"/>
      <c r="CQW149" s="60"/>
      <c r="CQX149" s="60"/>
      <c r="CQY149" s="60"/>
      <c r="CQZ149" s="60"/>
      <c r="CRA149" s="60"/>
      <c r="CRB149" s="60"/>
      <c r="CRC149" s="60"/>
      <c r="CRD149" s="60"/>
      <c r="CRE149" s="60"/>
      <c r="CRF149" s="60"/>
      <c r="CRG149" s="60"/>
      <c r="CRH149" s="60"/>
      <c r="CRI149" s="60"/>
      <c r="CRJ149" s="60"/>
      <c r="CRK149" s="60"/>
      <c r="CRL149" s="60"/>
      <c r="CRM149" s="60"/>
      <c r="CRN149" s="60"/>
      <c r="CRO149" s="60"/>
      <c r="CRP149" s="60"/>
      <c r="CRQ149" s="60"/>
      <c r="CRR149" s="60"/>
      <c r="CRS149" s="60"/>
      <c r="CRT149" s="60"/>
      <c r="CRU149" s="60"/>
      <c r="CRV149" s="60"/>
      <c r="CRW149" s="60"/>
      <c r="CRX149" s="60"/>
      <c r="CRY149" s="60"/>
      <c r="CRZ149" s="60"/>
      <c r="CSA149" s="60"/>
      <c r="CSB149" s="60"/>
      <c r="CSC149" s="60"/>
      <c r="CSD149" s="60"/>
      <c r="CSE149" s="60"/>
      <c r="CSF149" s="60"/>
      <c r="CSG149" s="60"/>
      <c r="CSH149" s="60"/>
      <c r="CSI149" s="60"/>
      <c r="CSJ149" s="60"/>
      <c r="CSK149" s="60"/>
      <c r="CSL149" s="60"/>
      <c r="CSM149" s="60"/>
      <c r="CSN149" s="60"/>
      <c r="CSO149" s="60"/>
      <c r="CSP149" s="60"/>
      <c r="CSQ149" s="60"/>
      <c r="CSR149" s="60"/>
      <c r="CSS149" s="60"/>
      <c r="CST149" s="60"/>
      <c r="CSU149" s="60"/>
      <c r="CSV149" s="60"/>
      <c r="CSW149" s="60"/>
      <c r="CSX149" s="60"/>
      <c r="CSY149" s="60"/>
      <c r="CSZ149" s="60"/>
      <c r="CTA149" s="60"/>
      <c r="CTB149" s="60"/>
      <c r="CTC149" s="60"/>
      <c r="CTD149" s="60"/>
      <c r="CTE149" s="60"/>
      <c r="CTF149" s="60"/>
      <c r="CTG149" s="60"/>
      <c r="CTH149" s="60"/>
      <c r="CTI149" s="60"/>
      <c r="CTJ149" s="60"/>
      <c r="CTK149" s="60"/>
      <c r="CTL149" s="60"/>
      <c r="CTM149" s="60"/>
      <c r="CTN149" s="60"/>
      <c r="CTO149" s="60"/>
      <c r="CTP149" s="60"/>
      <c r="CTQ149" s="60"/>
      <c r="CTR149" s="60"/>
      <c r="CTS149" s="60"/>
      <c r="CTT149" s="60"/>
      <c r="CTU149" s="60"/>
      <c r="CTV149" s="60"/>
      <c r="CTW149" s="60"/>
      <c r="CTX149" s="60"/>
      <c r="CTY149" s="60"/>
      <c r="CTZ149" s="60"/>
      <c r="CUA149" s="60"/>
      <c r="CUB149" s="60"/>
      <c r="CUC149" s="60"/>
      <c r="CUD149" s="60"/>
      <c r="CUE149" s="60"/>
      <c r="CUF149" s="60"/>
      <c r="CUG149" s="60"/>
      <c r="CUH149" s="60"/>
      <c r="CUI149" s="60"/>
      <c r="CUJ149" s="60"/>
      <c r="CUK149" s="60"/>
      <c r="CUL149" s="60"/>
      <c r="CUM149" s="60"/>
      <c r="CUN149" s="60"/>
      <c r="CUO149" s="60"/>
      <c r="CUP149" s="60"/>
      <c r="CUQ149" s="60"/>
      <c r="CUR149" s="60"/>
      <c r="CUS149" s="60"/>
      <c r="CUT149" s="60"/>
      <c r="CUU149" s="60"/>
      <c r="CUV149" s="60"/>
      <c r="CUW149" s="60"/>
      <c r="CUX149" s="60"/>
      <c r="CUY149" s="60"/>
      <c r="CUZ149" s="60"/>
      <c r="CVA149" s="60"/>
      <c r="CVB149" s="60"/>
      <c r="CVC149" s="60"/>
      <c r="CVD149" s="60"/>
      <c r="CVE149" s="60"/>
      <c r="CVF149" s="60"/>
      <c r="CVG149" s="60"/>
      <c r="CVH149" s="60"/>
      <c r="CVI149" s="60"/>
      <c r="CVJ149" s="60"/>
      <c r="CVK149" s="60"/>
      <c r="CVL149" s="60"/>
      <c r="CVM149" s="60"/>
      <c r="CVN149" s="60"/>
      <c r="CVO149" s="60"/>
      <c r="CVP149" s="60"/>
      <c r="CVQ149" s="60"/>
      <c r="CVR149" s="60"/>
      <c r="CVS149" s="60"/>
      <c r="CVT149" s="60"/>
      <c r="CVU149" s="60"/>
      <c r="CVV149" s="60"/>
      <c r="CVW149" s="60"/>
      <c r="CVX149" s="60"/>
      <c r="CVY149" s="60"/>
      <c r="CVZ149" s="60"/>
      <c r="CWA149" s="60"/>
      <c r="CWB149" s="60"/>
      <c r="CWC149" s="60"/>
      <c r="CWD149" s="60"/>
      <c r="CWE149" s="60"/>
      <c r="CWF149" s="60"/>
      <c r="CWG149" s="60"/>
      <c r="CWH149" s="60"/>
      <c r="CWI149" s="60"/>
      <c r="CWJ149" s="60"/>
      <c r="CWK149" s="60"/>
      <c r="CWL149" s="60"/>
      <c r="CWM149" s="60"/>
      <c r="CWN149" s="60"/>
      <c r="CWO149" s="60"/>
      <c r="CWP149" s="60"/>
      <c r="CWQ149" s="60"/>
      <c r="CWR149" s="60"/>
      <c r="CWS149" s="60"/>
      <c r="CWT149" s="60"/>
      <c r="CWU149" s="60"/>
      <c r="CWV149" s="60"/>
      <c r="CWW149" s="60"/>
      <c r="CWX149" s="60"/>
      <c r="CWY149" s="60"/>
      <c r="CWZ149" s="60"/>
      <c r="CXA149" s="60"/>
      <c r="CXB149" s="60"/>
      <c r="CXC149" s="60"/>
      <c r="CXD149" s="60"/>
      <c r="CXE149" s="60"/>
      <c r="CXF149" s="60"/>
      <c r="CXG149" s="60"/>
      <c r="CXH149" s="60"/>
      <c r="CXI149" s="60"/>
      <c r="CXJ149" s="60"/>
      <c r="CXK149" s="60"/>
      <c r="CXL149" s="60"/>
      <c r="CXM149" s="60"/>
      <c r="CXN149" s="60"/>
      <c r="CXO149" s="60"/>
      <c r="CXP149" s="60"/>
      <c r="CXQ149" s="60"/>
      <c r="CXR149" s="60"/>
      <c r="CXS149" s="60"/>
      <c r="CXT149" s="60"/>
      <c r="CXU149" s="60"/>
      <c r="CXV149" s="60"/>
      <c r="CXW149" s="60"/>
      <c r="CXX149" s="60"/>
      <c r="CXY149" s="60"/>
      <c r="CXZ149" s="60"/>
      <c r="CYA149" s="60"/>
      <c r="CYB149" s="60"/>
      <c r="CYC149" s="60"/>
      <c r="CYD149" s="60"/>
      <c r="CYE149" s="60"/>
      <c r="CYF149" s="60"/>
      <c r="CYG149" s="60"/>
      <c r="CYH149" s="60"/>
      <c r="CYI149" s="60"/>
      <c r="CYJ149" s="60"/>
      <c r="CYK149" s="60"/>
      <c r="CYL149" s="60"/>
      <c r="CYM149" s="60"/>
      <c r="CYN149" s="60"/>
      <c r="CYO149" s="60"/>
      <c r="CYP149" s="60"/>
      <c r="CYQ149" s="60"/>
      <c r="CYR149" s="60"/>
      <c r="CYS149" s="60"/>
      <c r="CYT149" s="60"/>
      <c r="CYU149" s="60"/>
      <c r="CYV149" s="60"/>
      <c r="CYW149" s="60"/>
      <c r="CYX149" s="60"/>
      <c r="CYY149" s="60"/>
      <c r="CYZ149" s="60"/>
      <c r="CZA149" s="60"/>
      <c r="CZB149" s="60"/>
      <c r="CZC149" s="60"/>
      <c r="CZD149" s="60"/>
      <c r="CZE149" s="60"/>
      <c r="CZF149" s="60"/>
      <c r="CZG149" s="60"/>
      <c r="CZH149" s="60"/>
      <c r="CZI149" s="60"/>
      <c r="CZJ149" s="60"/>
      <c r="CZK149" s="60"/>
      <c r="CZL149" s="60"/>
      <c r="CZM149" s="60"/>
      <c r="CZN149" s="60"/>
      <c r="CZO149" s="60"/>
      <c r="CZP149" s="60"/>
      <c r="CZQ149" s="60"/>
      <c r="CZR149" s="60"/>
      <c r="CZS149" s="60"/>
      <c r="CZT149" s="60"/>
      <c r="CZU149" s="60"/>
      <c r="CZV149" s="60"/>
      <c r="CZW149" s="60"/>
      <c r="CZX149" s="60"/>
      <c r="CZY149" s="60"/>
      <c r="CZZ149" s="60"/>
      <c r="DAA149" s="60"/>
      <c r="DAB149" s="60"/>
      <c r="DAC149" s="60"/>
      <c r="DAD149" s="60"/>
      <c r="DAE149" s="60"/>
      <c r="DAF149" s="60"/>
      <c r="DAG149" s="60"/>
      <c r="DAH149" s="60"/>
      <c r="DAI149" s="60"/>
      <c r="DAJ149" s="60"/>
      <c r="DAK149" s="60"/>
      <c r="DAL149" s="60"/>
      <c r="DAM149" s="60"/>
      <c r="DAN149" s="60"/>
      <c r="DAO149" s="60"/>
      <c r="DAP149" s="60"/>
      <c r="DAQ149" s="60"/>
      <c r="DAR149" s="60"/>
      <c r="DAS149" s="60"/>
      <c r="DAT149" s="60"/>
      <c r="DAU149" s="60"/>
      <c r="DAV149" s="60"/>
      <c r="DAW149" s="60"/>
      <c r="DAX149" s="60"/>
      <c r="DAY149" s="60"/>
      <c r="DAZ149" s="60"/>
      <c r="DBA149" s="60"/>
      <c r="DBB149" s="60"/>
      <c r="DBC149" s="60"/>
      <c r="DBD149" s="60"/>
      <c r="DBE149" s="60"/>
      <c r="DBF149" s="60"/>
      <c r="DBG149" s="60"/>
      <c r="DBH149" s="60"/>
      <c r="DBI149" s="60"/>
      <c r="DBJ149" s="60"/>
      <c r="DBK149" s="60"/>
      <c r="DBL149" s="60"/>
      <c r="DBM149" s="60"/>
      <c r="DBN149" s="60"/>
      <c r="DBO149" s="60"/>
      <c r="DBP149" s="60"/>
      <c r="DBQ149" s="60"/>
      <c r="DBR149" s="60"/>
      <c r="DBS149" s="60"/>
      <c r="DBT149" s="60"/>
      <c r="DBU149" s="60"/>
      <c r="DBV149" s="60"/>
      <c r="DBW149" s="60"/>
      <c r="DBX149" s="60"/>
      <c r="DBY149" s="60"/>
      <c r="DBZ149" s="60"/>
      <c r="DCA149" s="60"/>
      <c r="DCB149" s="60"/>
      <c r="DCC149" s="60"/>
      <c r="DCD149" s="60"/>
      <c r="DCE149" s="60"/>
      <c r="DCF149" s="60"/>
      <c r="DCG149" s="60"/>
      <c r="DCH149" s="60"/>
      <c r="DCI149" s="60"/>
      <c r="DCJ149" s="60"/>
      <c r="DCK149" s="60"/>
      <c r="DCL149" s="60"/>
      <c r="DCM149" s="60"/>
      <c r="DCN149" s="60"/>
      <c r="DCO149" s="60"/>
      <c r="DCP149" s="60"/>
      <c r="DCQ149" s="60"/>
      <c r="DCR149" s="60"/>
      <c r="DCS149" s="60"/>
      <c r="DCT149" s="60"/>
      <c r="DCU149" s="60"/>
      <c r="DCV149" s="60"/>
      <c r="DCW149" s="60"/>
      <c r="DCX149" s="60"/>
      <c r="DCY149" s="60"/>
      <c r="DCZ149" s="60"/>
      <c r="DDA149" s="60"/>
      <c r="DDB149" s="60"/>
      <c r="DDC149" s="60"/>
      <c r="DDD149" s="60"/>
      <c r="DDE149" s="60"/>
      <c r="DDF149" s="60"/>
      <c r="DDG149" s="60"/>
      <c r="DDH149" s="60"/>
      <c r="DDI149" s="60"/>
      <c r="DDJ149" s="60"/>
      <c r="DDK149" s="60"/>
      <c r="DDL149" s="60"/>
      <c r="DDM149" s="60"/>
      <c r="DDN149" s="60"/>
      <c r="DDO149" s="60"/>
      <c r="DDP149" s="60"/>
      <c r="DDQ149" s="60"/>
      <c r="DDR149" s="60"/>
      <c r="DDS149" s="60"/>
      <c r="DDT149" s="60"/>
      <c r="DDU149" s="60"/>
      <c r="DDV149" s="60"/>
      <c r="DDW149" s="60"/>
      <c r="DDX149" s="60"/>
      <c r="DDY149" s="60"/>
      <c r="DDZ149" s="60"/>
      <c r="DEA149" s="60"/>
      <c r="DEB149" s="60"/>
      <c r="DEC149" s="60"/>
      <c r="DED149" s="60"/>
      <c r="DEE149" s="60"/>
      <c r="DEF149" s="60"/>
      <c r="DEG149" s="60"/>
      <c r="DEH149" s="60"/>
      <c r="DEI149" s="60"/>
      <c r="DEJ149" s="60"/>
      <c r="DEK149" s="60"/>
      <c r="DEL149" s="60"/>
      <c r="DEM149" s="60"/>
      <c r="DEN149" s="60"/>
      <c r="DEO149" s="60"/>
      <c r="DEP149" s="60"/>
      <c r="DEQ149" s="60"/>
      <c r="DER149" s="60"/>
      <c r="DES149" s="60"/>
      <c r="DET149" s="60"/>
      <c r="DEU149" s="60"/>
      <c r="DEV149" s="60"/>
      <c r="DEW149" s="60"/>
      <c r="DEX149" s="60"/>
      <c r="DEY149" s="60"/>
      <c r="DEZ149" s="60"/>
      <c r="DFA149" s="60"/>
      <c r="DFB149" s="60"/>
      <c r="DFC149" s="60"/>
      <c r="DFD149" s="60"/>
      <c r="DFE149" s="60"/>
      <c r="DFF149" s="60"/>
      <c r="DFG149" s="60"/>
      <c r="DFH149" s="60"/>
      <c r="DFI149" s="60"/>
      <c r="DFJ149" s="60"/>
      <c r="DFK149" s="60"/>
      <c r="DFL149" s="60"/>
      <c r="DFM149" s="60"/>
      <c r="DFN149" s="60"/>
      <c r="DFO149" s="60"/>
      <c r="DFP149" s="60"/>
      <c r="DFQ149" s="60"/>
      <c r="DFR149" s="60"/>
      <c r="DFS149" s="60"/>
      <c r="DFT149" s="60"/>
      <c r="DFU149" s="60"/>
      <c r="DFV149" s="60"/>
      <c r="DFW149" s="60"/>
      <c r="DFX149" s="60"/>
      <c r="DFY149" s="60"/>
      <c r="DFZ149" s="60"/>
      <c r="DGA149" s="60"/>
      <c r="DGB149" s="60"/>
      <c r="DGC149" s="60"/>
      <c r="DGD149" s="60"/>
      <c r="DGE149" s="60"/>
      <c r="DGF149" s="60"/>
      <c r="DGG149" s="60"/>
      <c r="DGH149" s="60"/>
      <c r="DGI149" s="60"/>
      <c r="DGJ149" s="60"/>
      <c r="DGK149" s="60"/>
      <c r="DGL149" s="60"/>
      <c r="DGM149" s="60"/>
      <c r="DGN149" s="60"/>
      <c r="DGO149" s="60"/>
      <c r="DGP149" s="60"/>
      <c r="DGQ149" s="60"/>
      <c r="DGR149" s="60"/>
      <c r="DGS149" s="60"/>
      <c r="DGT149" s="60"/>
      <c r="DGU149" s="60"/>
      <c r="DGV149" s="60"/>
      <c r="DGW149" s="60"/>
      <c r="DGX149" s="60"/>
      <c r="DGY149" s="60"/>
      <c r="DGZ149" s="60"/>
      <c r="DHA149" s="60"/>
      <c r="DHB149" s="60"/>
      <c r="DHC149" s="60"/>
      <c r="DHD149" s="60"/>
      <c r="DHE149" s="60"/>
      <c r="DHF149" s="60"/>
      <c r="DHG149" s="60"/>
      <c r="DHH149" s="60"/>
      <c r="DHI149" s="60"/>
      <c r="DHJ149" s="60"/>
      <c r="DHK149" s="60"/>
      <c r="DHL149" s="60"/>
      <c r="DHM149" s="60"/>
      <c r="DHN149" s="60"/>
      <c r="DHO149" s="60"/>
      <c r="DHP149" s="60"/>
      <c r="DHQ149" s="60"/>
      <c r="DHR149" s="60"/>
      <c r="DHS149" s="60"/>
      <c r="DHT149" s="60"/>
      <c r="DHU149" s="60"/>
      <c r="DHV149" s="60"/>
      <c r="DHW149" s="60"/>
      <c r="DHX149" s="60"/>
      <c r="DHY149" s="60"/>
      <c r="DHZ149" s="60"/>
      <c r="DIA149" s="60"/>
      <c r="DIB149" s="60"/>
      <c r="DIC149" s="60"/>
      <c r="DID149" s="60"/>
      <c r="DIE149" s="60"/>
      <c r="DIF149" s="60"/>
      <c r="DIG149" s="60"/>
      <c r="DIH149" s="60"/>
      <c r="DII149" s="60"/>
      <c r="DIJ149" s="60"/>
      <c r="DIK149" s="60"/>
      <c r="DIL149" s="60"/>
      <c r="DIM149" s="60"/>
      <c r="DIN149" s="60"/>
      <c r="DIO149" s="60"/>
      <c r="DIP149" s="60"/>
      <c r="DIQ149" s="60"/>
      <c r="DIR149" s="60"/>
      <c r="DIS149" s="60"/>
      <c r="DIT149" s="60"/>
      <c r="DIU149" s="60"/>
      <c r="DIV149" s="60"/>
      <c r="DIW149" s="60"/>
      <c r="DIX149" s="60"/>
      <c r="DIY149" s="60"/>
      <c r="DIZ149" s="60"/>
      <c r="DJA149" s="60"/>
      <c r="DJB149" s="60"/>
      <c r="DJC149" s="60"/>
      <c r="DJD149" s="60"/>
      <c r="DJE149" s="60"/>
      <c r="DJF149" s="60"/>
      <c r="DJG149" s="60"/>
      <c r="DJH149" s="60"/>
      <c r="DJI149" s="60"/>
      <c r="DJJ149" s="60"/>
      <c r="DJK149" s="60"/>
      <c r="DJL149" s="60"/>
      <c r="DJM149" s="60"/>
      <c r="DJN149" s="60"/>
      <c r="DJO149" s="60"/>
      <c r="DJP149" s="60"/>
      <c r="DJQ149" s="60"/>
      <c r="DJR149" s="60"/>
      <c r="DJS149" s="60"/>
      <c r="DJT149" s="60"/>
      <c r="DJU149" s="60"/>
      <c r="DJV149" s="60"/>
      <c r="DJW149" s="60"/>
      <c r="DJX149" s="60"/>
      <c r="DJY149" s="60"/>
      <c r="DJZ149" s="60"/>
      <c r="DKA149" s="60"/>
      <c r="DKB149" s="60"/>
      <c r="DKC149" s="60"/>
      <c r="DKD149" s="60"/>
      <c r="DKE149" s="60"/>
      <c r="DKF149" s="60"/>
      <c r="DKG149" s="60"/>
      <c r="DKH149" s="60"/>
      <c r="DKI149" s="60"/>
      <c r="DKJ149" s="60"/>
      <c r="DKK149" s="60"/>
      <c r="DKL149" s="60"/>
      <c r="DKM149" s="60"/>
      <c r="DKN149" s="60"/>
      <c r="DKO149" s="60"/>
      <c r="DKP149" s="60"/>
      <c r="DKQ149" s="60"/>
      <c r="DKR149" s="60"/>
      <c r="DKS149" s="60"/>
      <c r="DKT149" s="60"/>
      <c r="DKU149" s="60"/>
      <c r="DKV149" s="60"/>
      <c r="DKW149" s="60"/>
      <c r="DKX149" s="60"/>
      <c r="DKY149" s="60"/>
      <c r="DKZ149" s="60"/>
      <c r="DLA149" s="60"/>
      <c r="DLB149" s="60"/>
      <c r="DLC149" s="60"/>
      <c r="DLD149" s="60"/>
      <c r="DLE149" s="60"/>
      <c r="DLF149" s="60"/>
      <c r="DLG149" s="60"/>
      <c r="DLH149" s="60"/>
      <c r="DLI149" s="60"/>
      <c r="DLJ149" s="60"/>
      <c r="DLK149" s="60"/>
      <c r="DLL149" s="60"/>
      <c r="DLM149" s="60"/>
      <c r="DLN149" s="60"/>
      <c r="DLO149" s="60"/>
      <c r="DLP149" s="60"/>
      <c r="DLQ149" s="60"/>
      <c r="DLR149" s="60"/>
      <c r="DLS149" s="60"/>
      <c r="DLT149" s="60"/>
      <c r="DLU149" s="60"/>
      <c r="DLV149" s="60"/>
      <c r="DLW149" s="60"/>
      <c r="DLX149" s="60"/>
      <c r="DLY149" s="60"/>
      <c r="DLZ149" s="60"/>
      <c r="DMA149" s="60"/>
      <c r="DMB149" s="60"/>
      <c r="DMC149" s="60"/>
      <c r="DMD149" s="60"/>
      <c r="DME149" s="60"/>
      <c r="DMF149" s="60"/>
      <c r="DMG149" s="60"/>
      <c r="DMH149" s="60"/>
      <c r="DMI149" s="60"/>
      <c r="DMJ149" s="60"/>
      <c r="DMK149" s="60"/>
      <c r="DML149" s="60"/>
      <c r="DMM149" s="60"/>
      <c r="DMN149" s="60"/>
      <c r="DMO149" s="60"/>
      <c r="DMP149" s="60"/>
      <c r="DMQ149" s="60"/>
      <c r="DMR149" s="60"/>
      <c r="DMS149" s="60"/>
      <c r="DMT149" s="60"/>
      <c r="DMU149" s="60"/>
      <c r="DMV149" s="60"/>
      <c r="DMW149" s="60"/>
      <c r="DMX149" s="60"/>
      <c r="DMY149" s="60"/>
      <c r="DMZ149" s="60"/>
      <c r="DNA149" s="60"/>
      <c r="DNB149" s="60"/>
      <c r="DNC149" s="60"/>
      <c r="DND149" s="60"/>
      <c r="DNE149" s="60"/>
      <c r="DNF149" s="60"/>
      <c r="DNG149" s="60"/>
      <c r="DNH149" s="60"/>
      <c r="DNI149" s="60"/>
      <c r="DNJ149" s="60"/>
      <c r="DNK149" s="60"/>
      <c r="DNL149" s="60"/>
      <c r="DNM149" s="60"/>
      <c r="DNN149" s="60"/>
      <c r="DNO149" s="60"/>
      <c r="DNP149" s="60"/>
      <c r="DNQ149" s="60"/>
      <c r="DNR149" s="60"/>
      <c r="DNS149" s="60"/>
      <c r="DNT149" s="60"/>
      <c r="DNU149" s="60"/>
      <c r="DNV149" s="60"/>
      <c r="DNW149" s="60"/>
      <c r="DNX149" s="60"/>
      <c r="DNY149" s="60"/>
      <c r="DNZ149" s="60"/>
      <c r="DOA149" s="60"/>
      <c r="DOB149" s="60"/>
      <c r="DOC149" s="60"/>
      <c r="DOD149" s="60"/>
      <c r="DOE149" s="60"/>
      <c r="DOF149" s="60"/>
      <c r="DOG149" s="60"/>
      <c r="DOH149" s="60"/>
      <c r="DOI149" s="60"/>
      <c r="DOJ149" s="60"/>
      <c r="DOK149" s="60"/>
      <c r="DOL149" s="60"/>
      <c r="DOM149" s="60"/>
      <c r="DON149" s="60"/>
      <c r="DOO149" s="60"/>
      <c r="DOP149" s="60"/>
      <c r="DOQ149" s="60"/>
      <c r="DOR149" s="60"/>
      <c r="DOS149" s="60"/>
      <c r="DOT149" s="60"/>
      <c r="DOU149" s="60"/>
      <c r="DOV149" s="60"/>
      <c r="DOW149" s="60"/>
      <c r="DOX149" s="60"/>
      <c r="DOY149" s="60"/>
      <c r="DOZ149" s="60"/>
      <c r="DPA149" s="60"/>
      <c r="DPB149" s="60"/>
      <c r="DPC149" s="60"/>
      <c r="DPD149" s="60"/>
      <c r="DPE149" s="60"/>
      <c r="DPF149" s="60"/>
      <c r="DPG149" s="60"/>
      <c r="DPH149" s="60"/>
      <c r="DPI149" s="60"/>
      <c r="DPJ149" s="60"/>
      <c r="DPK149" s="60"/>
      <c r="DPL149" s="60"/>
      <c r="DPM149" s="60"/>
      <c r="DPN149" s="60"/>
      <c r="DPO149" s="60"/>
      <c r="DPP149" s="60"/>
      <c r="DPQ149" s="60"/>
      <c r="DPR149" s="60"/>
      <c r="DPS149" s="60"/>
      <c r="DPT149" s="60"/>
      <c r="DPU149" s="60"/>
      <c r="DPV149" s="60"/>
      <c r="DPW149" s="60"/>
      <c r="DPX149" s="60"/>
      <c r="DPY149" s="60"/>
      <c r="DPZ149" s="60"/>
      <c r="DQA149" s="60"/>
      <c r="DQB149" s="60"/>
      <c r="DQC149" s="60"/>
      <c r="DQD149" s="60"/>
      <c r="DQE149" s="60"/>
      <c r="DQF149" s="60"/>
      <c r="DQG149" s="60"/>
      <c r="DQH149" s="60"/>
      <c r="DQI149" s="60"/>
      <c r="DQJ149" s="60"/>
      <c r="DQK149" s="60"/>
      <c r="DQL149" s="60"/>
      <c r="DQM149" s="60"/>
      <c r="DQN149" s="60"/>
      <c r="DQO149" s="60"/>
      <c r="DQP149" s="60"/>
      <c r="DQQ149" s="60"/>
      <c r="DQR149" s="60"/>
      <c r="DQS149" s="60"/>
      <c r="DQT149" s="60"/>
      <c r="DQU149" s="60"/>
      <c r="DQV149" s="60"/>
      <c r="DQW149" s="60"/>
      <c r="DQX149" s="60"/>
      <c r="DQY149" s="60"/>
      <c r="DQZ149" s="60"/>
      <c r="DRA149" s="60"/>
      <c r="DRB149" s="60"/>
      <c r="DRC149" s="60"/>
      <c r="DRD149" s="60"/>
      <c r="DRE149" s="60"/>
      <c r="DRF149" s="60"/>
      <c r="DRG149" s="60"/>
      <c r="DRH149" s="60"/>
      <c r="DRI149" s="60"/>
      <c r="DRJ149" s="60"/>
      <c r="DRK149" s="60"/>
      <c r="DRL149" s="60"/>
      <c r="DRM149" s="60"/>
      <c r="DRN149" s="60"/>
      <c r="DRO149" s="60"/>
      <c r="DRP149" s="60"/>
      <c r="DRQ149" s="60"/>
      <c r="DRR149" s="60"/>
      <c r="DRS149" s="60"/>
      <c r="DRT149" s="60"/>
      <c r="DRU149" s="60"/>
      <c r="DRV149" s="60"/>
      <c r="DRW149" s="60"/>
      <c r="DRX149" s="60"/>
      <c r="DRY149" s="60"/>
      <c r="DRZ149" s="60"/>
      <c r="DSA149" s="60"/>
      <c r="DSB149" s="60"/>
      <c r="DSC149" s="60"/>
      <c r="DSD149" s="60"/>
      <c r="DSE149" s="60"/>
      <c r="DSF149" s="60"/>
      <c r="DSG149" s="60"/>
      <c r="DSH149" s="60"/>
      <c r="DSI149" s="60"/>
      <c r="DSJ149" s="60"/>
      <c r="DSK149" s="60"/>
      <c r="DSL149" s="60"/>
      <c r="DSM149" s="60"/>
      <c r="DSN149" s="60"/>
      <c r="DSO149" s="60"/>
      <c r="DSP149" s="60"/>
      <c r="DSQ149" s="60"/>
      <c r="DSR149" s="60"/>
      <c r="DSS149" s="60"/>
      <c r="DST149" s="60"/>
      <c r="DSU149" s="60"/>
      <c r="DSV149" s="60"/>
      <c r="DSW149" s="60"/>
      <c r="DSX149" s="60"/>
      <c r="DSY149" s="60"/>
      <c r="DSZ149" s="60"/>
      <c r="DTA149" s="60"/>
      <c r="DTB149" s="60"/>
      <c r="DTC149" s="60"/>
      <c r="DTD149" s="60"/>
      <c r="DTE149" s="60"/>
      <c r="DTF149" s="60"/>
      <c r="DTG149" s="60"/>
      <c r="DTH149" s="60"/>
      <c r="DTI149" s="60"/>
      <c r="DTJ149" s="60"/>
      <c r="DTK149" s="60"/>
      <c r="DTL149" s="60"/>
      <c r="DTM149" s="60"/>
      <c r="DTN149" s="60"/>
      <c r="DTO149" s="60"/>
      <c r="DTP149" s="60"/>
      <c r="DTQ149" s="60"/>
      <c r="DTR149" s="60"/>
      <c r="DTS149" s="60"/>
      <c r="DTT149" s="60"/>
      <c r="DTU149" s="60"/>
      <c r="DTV149" s="60"/>
      <c r="DTW149" s="60"/>
      <c r="DTX149" s="60"/>
      <c r="DTY149" s="60"/>
      <c r="DTZ149" s="60"/>
      <c r="DUA149" s="60"/>
      <c r="DUB149" s="60"/>
      <c r="DUC149" s="60"/>
      <c r="DUD149" s="60"/>
      <c r="DUE149" s="60"/>
      <c r="DUF149" s="60"/>
      <c r="DUG149" s="60"/>
      <c r="DUH149" s="60"/>
      <c r="DUI149" s="60"/>
      <c r="DUJ149" s="60"/>
      <c r="DUK149" s="60"/>
      <c r="DUL149" s="60"/>
      <c r="DUM149" s="60"/>
      <c r="DUN149" s="60"/>
      <c r="DUO149" s="60"/>
      <c r="DUP149" s="60"/>
      <c r="DUQ149" s="60"/>
      <c r="DUR149" s="60"/>
      <c r="DUS149" s="60"/>
      <c r="DUT149" s="60"/>
      <c r="DUU149" s="60"/>
      <c r="DUV149" s="60"/>
      <c r="DUW149" s="60"/>
      <c r="DUX149" s="60"/>
      <c r="DUY149" s="60"/>
      <c r="DUZ149" s="60"/>
      <c r="DVA149" s="60"/>
      <c r="DVB149" s="60"/>
      <c r="DVC149" s="60"/>
      <c r="DVD149" s="60"/>
      <c r="DVE149" s="60"/>
      <c r="DVF149" s="60"/>
      <c r="DVG149" s="60"/>
      <c r="DVH149" s="60"/>
      <c r="DVI149" s="60"/>
      <c r="DVJ149" s="60"/>
      <c r="DVK149" s="60"/>
      <c r="DVL149" s="60"/>
      <c r="DVM149" s="60"/>
      <c r="DVN149" s="60"/>
      <c r="DVO149" s="60"/>
      <c r="DVP149" s="60"/>
      <c r="DVQ149" s="60"/>
      <c r="DVR149" s="60"/>
      <c r="DVS149" s="60"/>
      <c r="DVT149" s="60"/>
      <c r="DVU149" s="60"/>
      <c r="DVV149" s="60"/>
      <c r="DVW149" s="60"/>
      <c r="DVX149" s="60"/>
      <c r="DVY149" s="60"/>
      <c r="DVZ149" s="60"/>
      <c r="DWA149" s="60"/>
      <c r="DWB149" s="60"/>
      <c r="DWC149" s="60"/>
      <c r="DWD149" s="60"/>
      <c r="DWE149" s="60"/>
      <c r="DWF149" s="60"/>
      <c r="DWG149" s="60"/>
      <c r="DWH149" s="60"/>
      <c r="DWI149" s="60"/>
      <c r="DWJ149" s="60"/>
      <c r="DWK149" s="60"/>
      <c r="DWL149" s="60"/>
      <c r="DWM149" s="60"/>
      <c r="DWN149" s="60"/>
      <c r="DWO149" s="60"/>
      <c r="DWP149" s="60"/>
      <c r="DWQ149" s="60"/>
      <c r="DWR149" s="60"/>
      <c r="DWS149" s="60"/>
      <c r="DWT149" s="60"/>
      <c r="DWU149" s="60"/>
      <c r="DWV149" s="60"/>
      <c r="DWW149" s="60"/>
      <c r="DWX149" s="60"/>
      <c r="DWY149" s="60"/>
      <c r="DWZ149" s="60"/>
      <c r="DXA149" s="60"/>
      <c r="DXB149" s="60"/>
      <c r="DXC149" s="60"/>
      <c r="DXD149" s="60"/>
      <c r="DXE149" s="60"/>
      <c r="DXF149" s="60"/>
      <c r="DXG149" s="60"/>
      <c r="DXH149" s="60"/>
      <c r="DXI149" s="60"/>
      <c r="DXJ149" s="60"/>
      <c r="DXK149" s="60"/>
      <c r="DXL149" s="60"/>
      <c r="DXM149" s="60"/>
      <c r="DXN149" s="60"/>
      <c r="DXO149" s="60"/>
      <c r="DXP149" s="60"/>
      <c r="DXQ149" s="60"/>
      <c r="DXR149" s="60"/>
      <c r="DXS149" s="60"/>
      <c r="DXT149" s="60"/>
      <c r="DXU149" s="60"/>
      <c r="DXV149" s="60"/>
      <c r="DXW149" s="60"/>
      <c r="DXX149" s="60"/>
      <c r="DXY149" s="60"/>
      <c r="DXZ149" s="60"/>
      <c r="DYA149" s="60"/>
      <c r="DYB149" s="60"/>
      <c r="DYC149" s="60"/>
      <c r="DYD149" s="60"/>
      <c r="DYE149" s="60"/>
      <c r="DYF149" s="60"/>
      <c r="DYG149" s="60"/>
      <c r="DYH149" s="60"/>
      <c r="DYI149" s="60"/>
      <c r="DYJ149" s="60"/>
      <c r="DYK149" s="60"/>
      <c r="DYL149" s="60"/>
      <c r="DYM149" s="60"/>
      <c r="DYN149" s="60"/>
      <c r="DYO149" s="60"/>
      <c r="DYP149" s="60"/>
      <c r="DYQ149" s="60"/>
      <c r="DYR149" s="60"/>
      <c r="DYS149" s="60"/>
      <c r="DYT149" s="60"/>
      <c r="DYU149" s="60"/>
      <c r="DYV149" s="60"/>
      <c r="DYW149" s="60"/>
      <c r="DYX149" s="60"/>
      <c r="DYY149" s="60"/>
      <c r="DYZ149" s="60"/>
      <c r="DZA149" s="60"/>
      <c r="DZB149" s="60"/>
      <c r="DZC149" s="60"/>
      <c r="DZD149" s="60"/>
      <c r="DZE149" s="60"/>
      <c r="DZF149" s="60"/>
      <c r="DZG149" s="60"/>
      <c r="DZH149" s="60"/>
      <c r="DZI149" s="60"/>
      <c r="DZJ149" s="60"/>
      <c r="DZK149" s="60"/>
      <c r="DZL149" s="60"/>
      <c r="DZM149" s="60"/>
      <c r="DZN149" s="60"/>
      <c r="DZO149" s="60"/>
      <c r="DZP149" s="60"/>
      <c r="DZQ149" s="60"/>
      <c r="DZR149" s="60"/>
      <c r="DZS149" s="60"/>
      <c r="DZT149" s="60"/>
      <c r="DZU149" s="60"/>
      <c r="DZV149" s="60"/>
      <c r="DZW149" s="60"/>
      <c r="DZX149" s="60"/>
      <c r="DZY149" s="60"/>
      <c r="DZZ149" s="60"/>
      <c r="EAA149" s="60"/>
      <c r="EAB149" s="60"/>
      <c r="EAC149" s="60"/>
      <c r="EAD149" s="60"/>
      <c r="EAE149" s="60"/>
      <c r="EAF149" s="60"/>
      <c r="EAG149" s="60"/>
      <c r="EAH149" s="60"/>
      <c r="EAI149" s="60"/>
      <c r="EAJ149" s="60"/>
      <c r="EAK149" s="60"/>
      <c r="EAL149" s="60"/>
      <c r="EAM149" s="60"/>
      <c r="EAN149" s="60"/>
      <c r="EAO149" s="60"/>
      <c r="EAP149" s="60"/>
      <c r="EAQ149" s="60"/>
      <c r="EAR149" s="60"/>
      <c r="EAS149" s="60"/>
      <c r="EAT149" s="60"/>
      <c r="EAU149" s="60"/>
      <c r="EAV149" s="60"/>
      <c r="EAW149" s="60"/>
      <c r="EAX149" s="60"/>
      <c r="EAY149" s="60"/>
      <c r="EAZ149" s="60"/>
      <c r="EBA149" s="60"/>
      <c r="EBB149" s="60"/>
      <c r="EBC149" s="60"/>
      <c r="EBD149" s="60"/>
      <c r="EBE149" s="60"/>
      <c r="EBF149" s="60"/>
      <c r="EBG149" s="60"/>
      <c r="EBH149" s="60"/>
      <c r="EBI149" s="60"/>
      <c r="EBJ149" s="60"/>
      <c r="EBK149" s="60"/>
      <c r="EBL149" s="60"/>
      <c r="EBM149" s="60"/>
      <c r="EBN149" s="60"/>
      <c r="EBO149" s="60"/>
      <c r="EBP149" s="60"/>
      <c r="EBQ149" s="60"/>
      <c r="EBR149" s="60"/>
      <c r="EBS149" s="60"/>
      <c r="EBT149" s="60"/>
      <c r="EBU149" s="60"/>
      <c r="EBV149" s="60"/>
      <c r="EBW149" s="60"/>
      <c r="EBX149" s="60"/>
      <c r="EBY149" s="60"/>
      <c r="EBZ149" s="60"/>
      <c r="ECA149" s="60"/>
      <c r="ECB149" s="60"/>
      <c r="ECC149" s="60"/>
      <c r="ECD149" s="60"/>
      <c r="ECE149" s="60"/>
      <c r="ECF149" s="60"/>
      <c r="ECG149" s="60"/>
      <c r="ECH149" s="60"/>
      <c r="ECI149" s="60"/>
      <c r="ECJ149" s="60"/>
      <c r="ECK149" s="60"/>
      <c r="ECL149" s="60"/>
      <c r="ECM149" s="60"/>
      <c r="ECN149" s="60"/>
      <c r="ECO149" s="60"/>
      <c r="ECP149" s="60"/>
      <c r="ECQ149" s="60"/>
      <c r="ECR149" s="60"/>
      <c r="ECS149" s="60"/>
      <c r="ECT149" s="60"/>
      <c r="ECU149" s="60"/>
      <c r="ECV149" s="60"/>
      <c r="ECW149" s="60"/>
      <c r="ECX149" s="60"/>
      <c r="ECY149" s="60"/>
      <c r="ECZ149" s="60"/>
      <c r="EDA149" s="60"/>
      <c r="EDB149" s="60"/>
      <c r="EDC149" s="60"/>
      <c r="EDD149" s="60"/>
      <c r="EDE149" s="60"/>
      <c r="EDF149" s="60"/>
      <c r="EDG149" s="60"/>
      <c r="EDH149" s="60"/>
      <c r="EDI149" s="60"/>
      <c r="EDJ149" s="60"/>
      <c r="EDK149" s="60"/>
      <c r="EDL149" s="60"/>
      <c r="EDM149" s="60"/>
      <c r="EDN149" s="60"/>
      <c r="EDO149" s="60"/>
      <c r="EDP149" s="60"/>
      <c r="EDQ149" s="60"/>
      <c r="EDR149" s="60"/>
      <c r="EDS149" s="60"/>
      <c r="EDT149" s="60"/>
      <c r="EDU149" s="60"/>
      <c r="EDV149" s="60"/>
      <c r="EDW149" s="60"/>
      <c r="EDX149" s="60"/>
      <c r="EDY149" s="60"/>
      <c r="EDZ149" s="60"/>
      <c r="EEA149" s="60"/>
      <c r="EEB149" s="60"/>
      <c r="EEC149" s="60"/>
      <c r="EED149" s="60"/>
      <c r="EEE149" s="60"/>
      <c r="EEF149" s="60"/>
      <c r="EEG149" s="60"/>
      <c r="EEH149" s="60"/>
      <c r="EEI149" s="60"/>
      <c r="EEJ149" s="60"/>
      <c r="EEK149" s="60"/>
      <c r="EEL149" s="60"/>
      <c r="EEM149" s="60"/>
      <c r="EEN149" s="60"/>
      <c r="EEO149" s="60"/>
      <c r="EEP149" s="60"/>
      <c r="EEQ149" s="60"/>
      <c r="EER149" s="60"/>
      <c r="EES149" s="60"/>
      <c r="EET149" s="60"/>
      <c r="EEU149" s="60"/>
      <c r="EEV149" s="60"/>
      <c r="EEW149" s="60"/>
      <c r="EEX149" s="60"/>
      <c r="EEY149" s="60"/>
      <c r="EEZ149" s="60"/>
      <c r="EFA149" s="60"/>
      <c r="EFB149" s="60"/>
      <c r="EFC149" s="60"/>
      <c r="EFD149" s="60"/>
      <c r="EFE149" s="60"/>
      <c r="EFF149" s="60"/>
      <c r="EFG149" s="60"/>
      <c r="EFH149" s="60"/>
      <c r="EFI149" s="60"/>
      <c r="EFJ149" s="60"/>
      <c r="EFK149" s="60"/>
      <c r="EFL149" s="60"/>
      <c r="EFM149" s="60"/>
      <c r="EFN149" s="60"/>
      <c r="EFO149" s="60"/>
      <c r="EFP149" s="60"/>
      <c r="EFQ149" s="60"/>
      <c r="EFR149" s="60"/>
      <c r="EFS149" s="60"/>
      <c r="EFT149" s="60"/>
      <c r="EFU149" s="60"/>
      <c r="EFV149" s="60"/>
      <c r="EFW149" s="60"/>
      <c r="EFX149" s="60"/>
      <c r="EFY149" s="60"/>
      <c r="EFZ149" s="60"/>
      <c r="EGA149" s="60"/>
      <c r="EGB149" s="60"/>
      <c r="EGC149" s="60"/>
      <c r="EGD149" s="60"/>
      <c r="EGE149" s="60"/>
      <c r="EGF149" s="60"/>
      <c r="EGG149" s="60"/>
      <c r="EGH149" s="60"/>
      <c r="EGI149" s="60"/>
      <c r="EGJ149" s="60"/>
      <c r="EGK149" s="60"/>
      <c r="EGL149" s="60"/>
      <c r="EGM149" s="60"/>
      <c r="EGN149" s="60"/>
      <c r="EGO149" s="60"/>
      <c r="EGP149" s="60"/>
      <c r="EGQ149" s="60"/>
      <c r="EGR149" s="60"/>
      <c r="EGS149" s="60"/>
      <c r="EGT149" s="60"/>
      <c r="EGU149" s="60"/>
      <c r="EGV149" s="60"/>
      <c r="EGW149" s="60"/>
      <c r="EGX149" s="60"/>
      <c r="EGY149" s="60"/>
      <c r="EGZ149" s="60"/>
      <c r="EHA149" s="60"/>
      <c r="EHB149" s="60"/>
      <c r="EHC149" s="60"/>
      <c r="EHD149" s="60"/>
      <c r="EHE149" s="60"/>
      <c r="EHF149" s="60"/>
      <c r="EHG149" s="60"/>
      <c r="EHH149" s="60"/>
      <c r="EHI149" s="60"/>
      <c r="EHJ149" s="60"/>
      <c r="EHK149" s="60"/>
      <c r="EHL149" s="60"/>
      <c r="EHM149" s="60"/>
      <c r="EHN149" s="60"/>
      <c r="EHO149" s="60"/>
      <c r="EHP149" s="60"/>
      <c r="EHQ149" s="60"/>
      <c r="EHR149" s="60"/>
      <c r="EHS149" s="60"/>
      <c r="EHT149" s="60"/>
      <c r="EHU149" s="60"/>
      <c r="EHV149" s="60"/>
      <c r="EHW149" s="60"/>
      <c r="EHX149" s="60"/>
      <c r="EHY149" s="60"/>
      <c r="EHZ149" s="60"/>
      <c r="EIA149" s="60"/>
      <c r="EIB149" s="60"/>
      <c r="EIC149" s="60"/>
      <c r="EID149" s="60"/>
      <c r="EIE149" s="60"/>
      <c r="EIF149" s="60"/>
      <c r="EIG149" s="60"/>
      <c r="EIH149" s="60"/>
      <c r="EII149" s="60"/>
      <c r="EIJ149" s="60"/>
      <c r="EIK149" s="60"/>
      <c r="EIL149" s="60"/>
      <c r="EIM149" s="60"/>
      <c r="EIN149" s="60"/>
      <c r="EIO149" s="60"/>
      <c r="EIP149" s="60"/>
      <c r="EIQ149" s="60"/>
      <c r="EIR149" s="60"/>
      <c r="EIS149" s="60"/>
      <c r="EIT149" s="60"/>
      <c r="EIU149" s="60"/>
      <c r="EIV149" s="60"/>
      <c r="EIW149" s="60"/>
      <c r="EIX149" s="60"/>
      <c r="EIY149" s="60"/>
      <c r="EIZ149" s="60"/>
      <c r="EJA149" s="60"/>
      <c r="EJB149" s="60"/>
      <c r="EJC149" s="60"/>
      <c r="EJD149" s="60"/>
      <c r="EJE149" s="60"/>
      <c r="EJF149" s="60"/>
      <c r="EJG149" s="60"/>
      <c r="EJH149" s="60"/>
      <c r="EJI149" s="60"/>
      <c r="EJJ149" s="60"/>
      <c r="EJK149" s="60"/>
      <c r="EJL149" s="60"/>
      <c r="EJM149" s="60"/>
      <c r="EJN149" s="60"/>
      <c r="EJO149" s="60"/>
      <c r="EJP149" s="60"/>
      <c r="EJQ149" s="60"/>
      <c r="EJR149" s="60"/>
      <c r="EJS149" s="60"/>
      <c r="EJT149" s="60"/>
      <c r="EJU149" s="60"/>
      <c r="EJV149" s="60"/>
      <c r="EJW149" s="60"/>
      <c r="EJX149" s="60"/>
      <c r="EJY149" s="60"/>
      <c r="EJZ149" s="60"/>
      <c r="EKA149" s="60"/>
      <c r="EKB149" s="60"/>
      <c r="EKC149" s="60"/>
      <c r="EKD149" s="60"/>
      <c r="EKE149" s="60"/>
      <c r="EKF149" s="60"/>
      <c r="EKG149" s="60"/>
      <c r="EKH149" s="60"/>
      <c r="EKI149" s="60"/>
      <c r="EKJ149" s="60"/>
      <c r="EKK149" s="60"/>
      <c r="EKL149" s="60"/>
      <c r="EKM149" s="60"/>
      <c r="EKN149" s="60"/>
      <c r="EKO149" s="60"/>
      <c r="EKP149" s="60"/>
      <c r="EKQ149" s="60"/>
      <c r="EKR149" s="60"/>
      <c r="EKS149" s="60"/>
      <c r="EKT149" s="60"/>
      <c r="EKU149" s="60"/>
      <c r="EKV149" s="60"/>
      <c r="EKW149" s="60"/>
      <c r="EKX149" s="60"/>
      <c r="EKY149" s="60"/>
      <c r="EKZ149" s="60"/>
      <c r="ELA149" s="60"/>
      <c r="ELB149" s="60"/>
      <c r="ELC149" s="60"/>
      <c r="ELD149" s="60"/>
      <c r="ELE149" s="60"/>
      <c r="ELF149" s="60"/>
      <c r="ELG149" s="60"/>
      <c r="ELH149" s="60"/>
      <c r="ELI149" s="60"/>
      <c r="ELJ149" s="60"/>
      <c r="ELK149" s="60"/>
      <c r="ELL149" s="60"/>
      <c r="ELM149" s="60"/>
      <c r="ELN149" s="60"/>
      <c r="ELO149" s="60"/>
      <c r="ELP149" s="60"/>
      <c r="ELQ149" s="60"/>
      <c r="ELR149" s="60"/>
      <c r="ELS149" s="60"/>
      <c r="ELT149" s="60"/>
      <c r="ELU149" s="60"/>
      <c r="ELV149" s="60"/>
      <c r="ELW149" s="60"/>
      <c r="ELX149" s="60"/>
      <c r="ELY149" s="60"/>
      <c r="ELZ149" s="60"/>
      <c r="EMA149" s="60"/>
      <c r="EMB149" s="60"/>
      <c r="EMC149" s="60"/>
      <c r="EMD149" s="60"/>
      <c r="EME149" s="60"/>
      <c r="EMF149" s="60"/>
      <c r="EMG149" s="60"/>
      <c r="EMH149" s="60"/>
      <c r="EMI149" s="60"/>
      <c r="EMJ149" s="60"/>
      <c r="EMK149" s="60"/>
      <c r="EML149" s="60"/>
      <c r="EMM149" s="60"/>
      <c r="EMN149" s="60"/>
      <c r="EMO149" s="60"/>
      <c r="EMP149" s="60"/>
      <c r="EMQ149" s="60"/>
      <c r="EMR149" s="60"/>
      <c r="EMS149" s="60"/>
      <c r="EMT149" s="60"/>
      <c r="EMU149" s="60"/>
      <c r="EMV149" s="60"/>
      <c r="EMW149" s="60"/>
      <c r="EMX149" s="60"/>
      <c r="EMY149" s="60"/>
      <c r="EMZ149" s="60"/>
      <c r="ENA149" s="60"/>
      <c r="ENB149" s="60"/>
      <c r="ENC149" s="60"/>
      <c r="END149" s="60"/>
      <c r="ENE149" s="60"/>
      <c r="ENF149" s="60"/>
      <c r="ENG149" s="60"/>
      <c r="ENH149" s="60"/>
      <c r="ENI149" s="60"/>
      <c r="ENJ149" s="60"/>
      <c r="ENK149" s="60"/>
      <c r="ENL149" s="60"/>
      <c r="ENM149" s="60"/>
      <c r="ENN149" s="60"/>
      <c r="ENO149" s="60"/>
      <c r="ENP149" s="60"/>
      <c r="ENQ149" s="60"/>
      <c r="ENR149" s="60"/>
      <c r="ENS149" s="60"/>
      <c r="ENT149" s="60"/>
      <c r="ENU149" s="60"/>
      <c r="ENV149" s="60"/>
      <c r="ENW149" s="60"/>
      <c r="ENX149" s="60"/>
      <c r="ENY149" s="60"/>
      <c r="ENZ149" s="60"/>
      <c r="EOA149" s="60"/>
      <c r="EOB149" s="60"/>
      <c r="EOC149" s="60"/>
      <c r="EOD149" s="60"/>
      <c r="EOE149" s="60"/>
      <c r="EOF149" s="60"/>
      <c r="EOG149" s="60"/>
      <c r="EOH149" s="60"/>
      <c r="EOI149" s="60"/>
      <c r="EOJ149" s="60"/>
      <c r="EOK149" s="60"/>
      <c r="EOL149" s="60"/>
      <c r="EOM149" s="60"/>
      <c r="EON149" s="60"/>
      <c r="EOO149" s="60"/>
      <c r="EOP149" s="60"/>
      <c r="EOQ149" s="60"/>
      <c r="EOR149" s="60"/>
      <c r="EOS149" s="60"/>
      <c r="EOT149" s="60"/>
      <c r="EOU149" s="60"/>
      <c r="EOV149" s="60"/>
      <c r="EOW149" s="60"/>
      <c r="EOX149" s="60"/>
      <c r="EOY149" s="60"/>
      <c r="EOZ149" s="60"/>
      <c r="EPA149" s="60"/>
      <c r="EPB149" s="60"/>
      <c r="EPC149" s="60"/>
      <c r="EPD149" s="60"/>
      <c r="EPE149" s="60"/>
      <c r="EPF149" s="60"/>
      <c r="EPG149" s="60"/>
      <c r="EPH149" s="60"/>
      <c r="EPI149" s="60"/>
      <c r="EPJ149" s="60"/>
      <c r="EPK149" s="60"/>
      <c r="EPL149" s="60"/>
      <c r="EPM149" s="60"/>
      <c r="EPN149" s="60"/>
      <c r="EPO149" s="60"/>
      <c r="EPP149" s="60"/>
      <c r="EPQ149" s="60"/>
      <c r="EPR149" s="60"/>
      <c r="EPS149" s="60"/>
      <c r="EPT149" s="60"/>
      <c r="EPU149" s="60"/>
      <c r="EPV149" s="60"/>
      <c r="EPW149" s="60"/>
      <c r="EPX149" s="60"/>
      <c r="EPY149" s="60"/>
      <c r="EPZ149" s="60"/>
      <c r="EQA149" s="60"/>
      <c r="EQB149" s="60"/>
      <c r="EQC149" s="60"/>
      <c r="EQD149" s="60"/>
      <c r="EQE149" s="60"/>
      <c r="EQF149" s="60"/>
      <c r="EQG149" s="60"/>
      <c r="EQH149" s="60"/>
      <c r="EQI149" s="60"/>
      <c r="EQJ149" s="60"/>
      <c r="EQK149" s="60"/>
      <c r="EQL149" s="60"/>
      <c r="EQM149" s="60"/>
      <c r="EQN149" s="60"/>
      <c r="EQO149" s="60"/>
      <c r="EQP149" s="60"/>
      <c r="EQQ149" s="60"/>
      <c r="EQR149" s="60"/>
      <c r="EQS149" s="60"/>
      <c r="EQT149" s="60"/>
      <c r="EQU149" s="60"/>
      <c r="EQV149" s="60"/>
      <c r="EQW149" s="60"/>
      <c r="EQX149" s="60"/>
      <c r="EQY149" s="60"/>
      <c r="EQZ149" s="60"/>
      <c r="ERA149" s="60"/>
      <c r="ERB149" s="60"/>
      <c r="ERC149" s="60"/>
      <c r="ERD149" s="60"/>
      <c r="ERE149" s="60"/>
      <c r="ERF149" s="60"/>
      <c r="ERG149" s="60"/>
      <c r="ERH149" s="60"/>
      <c r="ERI149" s="60"/>
      <c r="ERJ149" s="60"/>
      <c r="ERK149" s="60"/>
      <c r="ERL149" s="60"/>
      <c r="ERM149" s="60"/>
      <c r="ERN149" s="60"/>
      <c r="ERO149" s="60"/>
      <c r="ERP149" s="60"/>
      <c r="ERQ149" s="60"/>
      <c r="ERR149" s="60"/>
      <c r="ERS149" s="60"/>
      <c r="ERT149" s="60"/>
      <c r="ERU149" s="60"/>
      <c r="ERV149" s="60"/>
      <c r="ERW149" s="60"/>
      <c r="ERX149" s="60"/>
      <c r="ERY149" s="60"/>
      <c r="ERZ149" s="60"/>
      <c r="ESA149" s="60"/>
      <c r="ESB149" s="60"/>
      <c r="ESC149" s="60"/>
      <c r="ESD149" s="60"/>
      <c r="ESE149" s="60"/>
      <c r="ESF149" s="60"/>
      <c r="ESG149" s="60"/>
      <c r="ESH149" s="60"/>
      <c r="ESI149" s="60"/>
      <c r="ESJ149" s="60"/>
      <c r="ESK149" s="60"/>
      <c r="ESL149" s="60"/>
      <c r="ESM149" s="60"/>
      <c r="ESN149" s="60"/>
      <c r="ESO149" s="60"/>
      <c r="ESP149" s="60"/>
      <c r="ESQ149" s="60"/>
      <c r="ESR149" s="60"/>
      <c r="ESS149" s="60"/>
      <c r="EST149" s="60"/>
      <c r="ESU149" s="60"/>
      <c r="ESV149" s="60"/>
      <c r="ESW149" s="60"/>
      <c r="ESX149" s="60"/>
      <c r="ESY149" s="60"/>
      <c r="ESZ149" s="60"/>
      <c r="ETA149" s="60"/>
      <c r="ETB149" s="60"/>
      <c r="ETC149" s="60"/>
      <c r="ETD149" s="60"/>
      <c r="ETE149" s="60"/>
      <c r="ETF149" s="60"/>
      <c r="ETG149" s="60"/>
      <c r="ETH149" s="60"/>
      <c r="ETI149" s="60"/>
      <c r="ETJ149" s="60"/>
      <c r="ETK149" s="60"/>
      <c r="ETL149" s="60"/>
      <c r="ETM149" s="60"/>
      <c r="ETN149" s="60"/>
      <c r="ETO149" s="60"/>
      <c r="ETP149" s="60"/>
      <c r="ETQ149" s="60"/>
      <c r="ETR149" s="60"/>
      <c r="ETS149" s="60"/>
      <c r="ETT149" s="60"/>
      <c r="ETU149" s="60"/>
      <c r="ETV149" s="60"/>
      <c r="ETW149" s="60"/>
      <c r="ETX149" s="60"/>
      <c r="ETY149" s="60"/>
      <c r="ETZ149" s="60"/>
      <c r="EUA149" s="60"/>
      <c r="EUB149" s="60"/>
      <c r="EUC149" s="60"/>
      <c r="EUD149" s="60"/>
      <c r="EUE149" s="60"/>
      <c r="EUF149" s="60"/>
      <c r="EUG149" s="60"/>
      <c r="EUH149" s="60"/>
      <c r="EUI149" s="60"/>
      <c r="EUJ149" s="60"/>
      <c r="EUK149" s="60"/>
      <c r="EUL149" s="60"/>
      <c r="EUM149" s="60"/>
      <c r="EUN149" s="60"/>
      <c r="EUO149" s="60"/>
      <c r="EUP149" s="60"/>
      <c r="EUQ149" s="60"/>
      <c r="EUR149" s="60"/>
      <c r="EUS149" s="60"/>
      <c r="EUT149" s="60"/>
      <c r="EUU149" s="60"/>
      <c r="EUV149" s="60"/>
      <c r="EUW149" s="60"/>
      <c r="EUX149" s="60"/>
      <c r="EUY149" s="60"/>
      <c r="EUZ149" s="60"/>
      <c r="EVA149" s="60"/>
      <c r="EVB149" s="60"/>
      <c r="EVC149" s="60"/>
      <c r="EVD149" s="60"/>
      <c r="EVE149" s="60"/>
      <c r="EVF149" s="60"/>
      <c r="EVG149" s="60"/>
      <c r="EVH149" s="60"/>
      <c r="EVI149" s="60"/>
      <c r="EVJ149" s="60"/>
      <c r="EVK149" s="60"/>
      <c r="EVL149" s="60"/>
      <c r="EVM149" s="60"/>
      <c r="EVN149" s="60"/>
      <c r="EVO149" s="60"/>
      <c r="EVP149" s="60"/>
      <c r="EVQ149" s="60"/>
      <c r="EVR149" s="60"/>
      <c r="EVS149" s="60"/>
      <c r="EVT149" s="60"/>
      <c r="EVU149" s="60"/>
      <c r="EVV149" s="60"/>
      <c r="EVW149" s="60"/>
      <c r="EVX149" s="60"/>
      <c r="EVY149" s="60"/>
      <c r="EVZ149" s="60"/>
      <c r="EWA149" s="60"/>
      <c r="EWB149" s="60"/>
      <c r="EWC149" s="60"/>
      <c r="EWD149" s="60"/>
      <c r="EWE149" s="60"/>
      <c r="EWF149" s="60"/>
      <c r="EWG149" s="60"/>
      <c r="EWH149" s="60"/>
      <c r="EWI149" s="60"/>
      <c r="EWJ149" s="60"/>
      <c r="EWK149" s="60"/>
      <c r="EWL149" s="60"/>
      <c r="EWM149" s="60"/>
      <c r="EWN149" s="60"/>
      <c r="EWO149" s="60"/>
      <c r="EWP149" s="60"/>
      <c r="EWQ149" s="60"/>
      <c r="EWR149" s="60"/>
      <c r="EWS149" s="60"/>
      <c r="EWT149" s="60"/>
      <c r="EWU149" s="60"/>
      <c r="EWV149" s="60"/>
      <c r="EWW149" s="60"/>
      <c r="EWX149" s="60"/>
      <c r="EWY149" s="60"/>
      <c r="EWZ149" s="60"/>
      <c r="EXA149" s="60"/>
      <c r="EXB149" s="60"/>
      <c r="EXC149" s="60"/>
      <c r="EXD149" s="60"/>
      <c r="EXE149" s="60"/>
      <c r="EXF149" s="60"/>
      <c r="EXG149" s="60"/>
      <c r="EXH149" s="60"/>
      <c r="EXI149" s="60"/>
      <c r="EXJ149" s="60"/>
      <c r="EXK149" s="60"/>
      <c r="EXL149" s="60"/>
      <c r="EXM149" s="60"/>
      <c r="EXN149" s="60"/>
      <c r="EXO149" s="60"/>
      <c r="EXP149" s="60"/>
      <c r="EXQ149" s="60"/>
      <c r="EXR149" s="60"/>
      <c r="EXS149" s="60"/>
      <c r="EXT149" s="60"/>
      <c r="EXU149" s="60"/>
      <c r="EXV149" s="60"/>
      <c r="EXW149" s="60"/>
      <c r="EXX149" s="60"/>
      <c r="EXY149" s="60"/>
      <c r="EXZ149" s="60"/>
      <c r="EYA149" s="60"/>
      <c r="EYB149" s="60"/>
      <c r="EYC149" s="60"/>
      <c r="EYD149" s="60"/>
      <c r="EYE149" s="60"/>
      <c r="EYF149" s="60"/>
      <c r="EYG149" s="60"/>
      <c r="EYH149" s="60"/>
      <c r="EYI149" s="60"/>
      <c r="EYJ149" s="60"/>
      <c r="EYK149" s="60"/>
      <c r="EYL149" s="60"/>
      <c r="EYM149" s="60"/>
      <c r="EYN149" s="60"/>
      <c r="EYO149" s="60"/>
      <c r="EYP149" s="60"/>
      <c r="EYQ149" s="60"/>
      <c r="EYR149" s="60"/>
      <c r="EYS149" s="60"/>
      <c r="EYT149" s="60"/>
      <c r="EYU149" s="60"/>
      <c r="EYV149" s="60"/>
      <c r="EYW149" s="60"/>
      <c r="EYX149" s="60"/>
      <c r="EYY149" s="60"/>
      <c r="EYZ149" s="60"/>
      <c r="EZA149" s="60"/>
      <c r="EZB149" s="60"/>
      <c r="EZC149" s="60"/>
      <c r="EZD149" s="60"/>
      <c r="EZE149" s="60"/>
      <c r="EZF149" s="60"/>
      <c r="EZG149" s="60"/>
      <c r="EZH149" s="60"/>
      <c r="EZI149" s="60"/>
      <c r="EZJ149" s="60"/>
      <c r="EZK149" s="60"/>
      <c r="EZL149" s="60"/>
      <c r="EZM149" s="60"/>
      <c r="EZN149" s="60"/>
      <c r="EZO149" s="60"/>
      <c r="EZP149" s="60"/>
      <c r="EZQ149" s="60"/>
      <c r="EZR149" s="60"/>
      <c r="EZS149" s="60"/>
      <c r="EZT149" s="60"/>
      <c r="EZU149" s="60"/>
      <c r="EZV149" s="60"/>
      <c r="EZW149" s="60"/>
      <c r="EZX149" s="60"/>
      <c r="EZY149" s="60"/>
      <c r="EZZ149" s="60"/>
      <c r="FAA149" s="60"/>
      <c r="FAB149" s="60"/>
      <c r="FAC149" s="60"/>
      <c r="FAD149" s="60"/>
      <c r="FAE149" s="60"/>
      <c r="FAF149" s="60"/>
      <c r="FAG149" s="60"/>
      <c r="FAH149" s="60"/>
      <c r="FAI149" s="60"/>
      <c r="FAJ149" s="60"/>
      <c r="FAK149" s="60"/>
      <c r="FAL149" s="60"/>
      <c r="FAM149" s="60"/>
      <c r="FAN149" s="60"/>
      <c r="FAO149" s="60"/>
      <c r="FAP149" s="60"/>
      <c r="FAQ149" s="60"/>
      <c r="FAR149" s="60"/>
      <c r="FAS149" s="60"/>
      <c r="FAT149" s="60"/>
      <c r="FAU149" s="60"/>
      <c r="FAV149" s="60"/>
      <c r="FAW149" s="60"/>
      <c r="FAX149" s="60"/>
      <c r="FAY149" s="60"/>
      <c r="FAZ149" s="60"/>
      <c r="FBA149" s="60"/>
      <c r="FBB149" s="60"/>
      <c r="FBC149" s="60"/>
      <c r="FBD149" s="60"/>
      <c r="FBE149" s="60"/>
      <c r="FBF149" s="60"/>
      <c r="FBG149" s="60"/>
      <c r="FBH149" s="60"/>
      <c r="FBI149" s="60"/>
      <c r="FBJ149" s="60"/>
      <c r="FBK149" s="60"/>
      <c r="FBL149" s="60"/>
      <c r="FBM149" s="60"/>
      <c r="FBN149" s="60"/>
      <c r="FBO149" s="60"/>
      <c r="FBP149" s="60"/>
      <c r="FBQ149" s="60"/>
      <c r="FBR149" s="60"/>
      <c r="FBS149" s="60"/>
      <c r="FBT149" s="60"/>
      <c r="FBU149" s="60"/>
      <c r="FBV149" s="60"/>
      <c r="FBW149" s="60"/>
      <c r="FBX149" s="60"/>
      <c r="FBY149" s="60"/>
      <c r="FBZ149" s="60"/>
      <c r="FCA149" s="60"/>
      <c r="FCB149" s="60"/>
      <c r="FCC149" s="60"/>
      <c r="FCD149" s="60"/>
      <c r="FCE149" s="60"/>
      <c r="FCF149" s="60"/>
      <c r="FCG149" s="60"/>
      <c r="FCH149" s="60"/>
      <c r="FCI149" s="60"/>
      <c r="FCJ149" s="60"/>
      <c r="FCK149" s="60"/>
      <c r="FCL149" s="60"/>
      <c r="FCM149" s="60"/>
      <c r="FCN149" s="60"/>
      <c r="FCO149" s="60"/>
      <c r="FCP149" s="60"/>
      <c r="FCQ149" s="60"/>
      <c r="FCR149" s="60"/>
      <c r="FCS149" s="60"/>
      <c r="FCT149" s="60"/>
      <c r="FCU149" s="60"/>
      <c r="FCV149" s="60"/>
      <c r="FCW149" s="60"/>
      <c r="FCX149" s="60"/>
      <c r="FCY149" s="60"/>
      <c r="FCZ149" s="60"/>
      <c r="FDA149" s="60"/>
      <c r="FDB149" s="60"/>
      <c r="FDC149" s="60"/>
      <c r="FDD149" s="60"/>
      <c r="FDE149" s="60"/>
      <c r="FDF149" s="60"/>
      <c r="FDG149" s="60"/>
      <c r="FDH149" s="60"/>
      <c r="FDI149" s="60"/>
      <c r="FDJ149" s="60"/>
      <c r="FDK149" s="60"/>
      <c r="FDL149" s="60"/>
      <c r="FDM149" s="60"/>
      <c r="FDN149" s="60"/>
      <c r="FDO149" s="60"/>
      <c r="FDP149" s="60"/>
      <c r="FDQ149" s="60"/>
      <c r="FDR149" s="60"/>
      <c r="FDS149" s="60"/>
      <c r="FDT149" s="60"/>
      <c r="FDU149" s="60"/>
      <c r="FDV149" s="60"/>
      <c r="FDW149" s="60"/>
      <c r="FDX149" s="60"/>
      <c r="FDY149" s="60"/>
      <c r="FDZ149" s="60"/>
      <c r="FEA149" s="60"/>
      <c r="FEB149" s="60"/>
      <c r="FEC149" s="60"/>
      <c r="FED149" s="60"/>
      <c r="FEE149" s="60"/>
      <c r="FEF149" s="60"/>
      <c r="FEG149" s="60"/>
      <c r="FEH149" s="60"/>
      <c r="FEI149" s="60"/>
      <c r="FEJ149" s="60"/>
      <c r="FEK149" s="60"/>
      <c r="FEL149" s="60"/>
      <c r="FEM149" s="60"/>
      <c r="FEN149" s="60"/>
      <c r="FEO149" s="60"/>
      <c r="FEP149" s="60"/>
      <c r="FEQ149" s="60"/>
      <c r="FER149" s="60"/>
      <c r="FES149" s="60"/>
      <c r="FET149" s="60"/>
      <c r="FEU149" s="60"/>
      <c r="FEV149" s="60"/>
      <c r="FEW149" s="60"/>
      <c r="FEX149" s="60"/>
      <c r="FEY149" s="60"/>
      <c r="FEZ149" s="60"/>
      <c r="FFA149" s="60"/>
      <c r="FFB149" s="60"/>
      <c r="FFC149" s="60"/>
      <c r="FFD149" s="60"/>
      <c r="FFE149" s="60"/>
      <c r="FFF149" s="60"/>
      <c r="FFG149" s="60"/>
      <c r="FFH149" s="60"/>
      <c r="FFI149" s="60"/>
      <c r="FFJ149" s="60"/>
      <c r="FFK149" s="60"/>
      <c r="FFL149" s="60"/>
      <c r="FFM149" s="60"/>
      <c r="FFN149" s="60"/>
      <c r="FFO149" s="60"/>
      <c r="FFP149" s="60"/>
      <c r="FFQ149" s="60"/>
      <c r="FFR149" s="60"/>
      <c r="FFS149" s="60"/>
      <c r="FFT149" s="60"/>
      <c r="FFU149" s="60"/>
      <c r="FFV149" s="60"/>
      <c r="FFW149" s="60"/>
      <c r="FFX149" s="60"/>
      <c r="FFY149" s="60"/>
      <c r="FFZ149" s="60"/>
      <c r="FGA149" s="60"/>
      <c r="FGB149" s="60"/>
      <c r="FGC149" s="60"/>
      <c r="FGD149" s="60"/>
      <c r="FGE149" s="60"/>
      <c r="FGF149" s="60"/>
      <c r="FGG149" s="60"/>
      <c r="FGH149" s="60"/>
      <c r="FGI149" s="60"/>
      <c r="FGJ149" s="60"/>
      <c r="FGK149" s="60"/>
      <c r="FGL149" s="60"/>
      <c r="FGM149" s="60"/>
      <c r="FGN149" s="60"/>
      <c r="FGO149" s="60"/>
      <c r="FGP149" s="60"/>
      <c r="FGQ149" s="60"/>
      <c r="FGR149" s="60"/>
      <c r="FGS149" s="60"/>
      <c r="FGT149" s="60"/>
      <c r="FGU149" s="60"/>
      <c r="FGV149" s="60"/>
      <c r="FGW149" s="60"/>
      <c r="FGX149" s="60"/>
      <c r="FGY149" s="60"/>
      <c r="FGZ149" s="60"/>
      <c r="FHA149" s="60"/>
      <c r="FHB149" s="60"/>
      <c r="FHC149" s="60"/>
      <c r="FHD149" s="60"/>
      <c r="FHE149" s="60"/>
      <c r="FHF149" s="60"/>
      <c r="FHG149" s="60"/>
      <c r="FHH149" s="60"/>
      <c r="FHI149" s="60"/>
      <c r="FHJ149" s="60"/>
      <c r="FHK149" s="60"/>
      <c r="FHL149" s="60"/>
      <c r="FHM149" s="60"/>
      <c r="FHN149" s="60"/>
      <c r="FHO149" s="60"/>
      <c r="FHP149" s="60"/>
      <c r="FHQ149" s="60"/>
      <c r="FHR149" s="60"/>
      <c r="FHS149" s="60"/>
      <c r="FHT149" s="60"/>
      <c r="FHU149" s="60"/>
      <c r="FHV149" s="60"/>
      <c r="FHW149" s="60"/>
      <c r="FHX149" s="60"/>
      <c r="FHY149" s="60"/>
      <c r="FHZ149" s="60"/>
      <c r="FIA149" s="60"/>
      <c r="FIB149" s="60"/>
      <c r="FIC149" s="60"/>
      <c r="FID149" s="60"/>
      <c r="FIE149" s="60"/>
      <c r="FIF149" s="60"/>
      <c r="FIG149" s="60"/>
      <c r="FIH149" s="60"/>
      <c r="FII149" s="60"/>
      <c r="FIJ149" s="60"/>
      <c r="FIK149" s="60"/>
      <c r="FIL149" s="60"/>
      <c r="FIM149" s="60"/>
      <c r="FIN149" s="60"/>
      <c r="FIO149" s="60"/>
      <c r="FIP149" s="60"/>
      <c r="FIQ149" s="60"/>
      <c r="FIR149" s="60"/>
      <c r="FIS149" s="60"/>
      <c r="FIT149" s="60"/>
      <c r="FIU149" s="60"/>
      <c r="FIV149" s="60"/>
      <c r="FIW149" s="60"/>
      <c r="FIX149" s="60"/>
      <c r="FIY149" s="60"/>
      <c r="FIZ149" s="60"/>
      <c r="FJA149" s="60"/>
      <c r="FJB149" s="60"/>
      <c r="FJC149" s="60"/>
      <c r="FJD149" s="60"/>
      <c r="FJE149" s="60"/>
      <c r="FJF149" s="60"/>
      <c r="FJG149" s="60"/>
      <c r="FJH149" s="60"/>
      <c r="FJI149" s="60"/>
      <c r="FJJ149" s="60"/>
      <c r="FJK149" s="60"/>
      <c r="FJL149" s="60"/>
      <c r="FJM149" s="60"/>
      <c r="FJN149" s="60"/>
      <c r="FJO149" s="60"/>
      <c r="FJP149" s="60"/>
      <c r="FJQ149" s="60"/>
      <c r="FJR149" s="60"/>
      <c r="FJS149" s="60"/>
      <c r="FJT149" s="60"/>
      <c r="FJU149" s="60"/>
      <c r="FJV149" s="60"/>
      <c r="FJW149" s="60"/>
      <c r="FJX149" s="60"/>
      <c r="FJY149" s="60"/>
      <c r="FJZ149" s="60"/>
      <c r="FKA149" s="60"/>
      <c r="FKB149" s="60"/>
      <c r="FKC149" s="60"/>
      <c r="FKD149" s="60"/>
      <c r="FKE149" s="60"/>
      <c r="FKF149" s="60"/>
      <c r="FKG149" s="60"/>
      <c r="FKH149" s="60"/>
      <c r="FKI149" s="60"/>
      <c r="FKJ149" s="60"/>
      <c r="FKK149" s="60"/>
      <c r="FKL149" s="60"/>
      <c r="FKM149" s="60"/>
      <c r="FKN149" s="60"/>
      <c r="FKO149" s="60"/>
      <c r="FKP149" s="60"/>
      <c r="FKQ149" s="60"/>
      <c r="FKR149" s="60"/>
      <c r="FKS149" s="60"/>
      <c r="FKT149" s="60"/>
      <c r="FKU149" s="60"/>
      <c r="FKV149" s="60"/>
      <c r="FKW149" s="60"/>
      <c r="FKX149" s="60"/>
      <c r="FKY149" s="60"/>
      <c r="FKZ149" s="60"/>
      <c r="FLA149" s="60"/>
      <c r="FLB149" s="60"/>
      <c r="FLC149" s="60"/>
      <c r="FLD149" s="60"/>
      <c r="FLE149" s="60"/>
      <c r="FLF149" s="60"/>
      <c r="FLG149" s="60"/>
      <c r="FLH149" s="60"/>
      <c r="FLI149" s="60"/>
      <c r="FLJ149" s="60"/>
      <c r="FLK149" s="60"/>
      <c r="FLL149" s="60"/>
      <c r="FLM149" s="60"/>
      <c r="FLN149" s="60"/>
      <c r="FLO149" s="60"/>
      <c r="FLP149" s="60"/>
      <c r="FLQ149" s="60"/>
      <c r="FLR149" s="60"/>
      <c r="FLS149" s="60"/>
      <c r="FLT149" s="60"/>
      <c r="FLU149" s="60"/>
      <c r="FLV149" s="60"/>
      <c r="FLW149" s="60"/>
      <c r="FLX149" s="60"/>
      <c r="FLY149" s="60"/>
      <c r="FLZ149" s="60"/>
      <c r="FMA149" s="60"/>
      <c r="FMB149" s="60"/>
      <c r="FMC149" s="60"/>
      <c r="FMD149" s="60"/>
      <c r="FME149" s="60"/>
      <c r="FMF149" s="60"/>
      <c r="FMG149" s="60"/>
      <c r="FMH149" s="60"/>
      <c r="FMI149" s="60"/>
      <c r="FMJ149" s="60"/>
      <c r="FMK149" s="60"/>
      <c r="FML149" s="60"/>
      <c r="FMM149" s="60"/>
      <c r="FMN149" s="60"/>
      <c r="FMO149" s="60"/>
      <c r="FMP149" s="60"/>
      <c r="FMQ149" s="60"/>
      <c r="FMR149" s="60"/>
      <c r="FMS149" s="60"/>
      <c r="FMT149" s="60"/>
      <c r="FMU149" s="60"/>
      <c r="FMV149" s="60"/>
      <c r="FMW149" s="60"/>
      <c r="FMX149" s="60"/>
      <c r="FMY149" s="60"/>
      <c r="FMZ149" s="60"/>
      <c r="FNA149" s="60"/>
      <c r="FNB149" s="60"/>
      <c r="FNC149" s="60"/>
      <c r="FND149" s="60"/>
      <c r="FNE149" s="60"/>
      <c r="FNF149" s="60"/>
      <c r="FNG149" s="60"/>
      <c r="FNH149" s="60"/>
      <c r="FNI149" s="60"/>
      <c r="FNJ149" s="60"/>
      <c r="FNK149" s="60"/>
      <c r="FNL149" s="60"/>
      <c r="FNM149" s="60"/>
      <c r="FNN149" s="60"/>
      <c r="FNO149" s="60"/>
      <c r="FNP149" s="60"/>
      <c r="FNQ149" s="60"/>
      <c r="FNR149" s="60"/>
      <c r="FNS149" s="60"/>
      <c r="FNT149" s="60"/>
      <c r="FNU149" s="60"/>
      <c r="FNV149" s="60"/>
      <c r="FNW149" s="60"/>
      <c r="FNX149" s="60"/>
      <c r="FNY149" s="60"/>
      <c r="FNZ149" s="60"/>
      <c r="FOA149" s="60"/>
      <c r="FOB149" s="60"/>
      <c r="FOC149" s="60"/>
      <c r="FOD149" s="60"/>
      <c r="FOE149" s="60"/>
      <c r="FOF149" s="60"/>
      <c r="FOG149" s="60"/>
      <c r="FOH149" s="60"/>
      <c r="FOI149" s="60"/>
      <c r="FOJ149" s="60"/>
      <c r="FOK149" s="60"/>
      <c r="FOL149" s="60"/>
      <c r="FOM149" s="60"/>
      <c r="FON149" s="60"/>
      <c r="FOO149" s="60"/>
      <c r="FOP149" s="60"/>
      <c r="FOQ149" s="60"/>
      <c r="FOR149" s="60"/>
      <c r="FOS149" s="60"/>
      <c r="FOT149" s="60"/>
      <c r="FOU149" s="60"/>
      <c r="FOV149" s="60"/>
      <c r="FOW149" s="60"/>
      <c r="FOX149" s="60"/>
      <c r="FOY149" s="60"/>
      <c r="FOZ149" s="60"/>
      <c r="FPA149" s="60"/>
      <c r="FPB149" s="60"/>
      <c r="FPC149" s="60"/>
      <c r="FPD149" s="60"/>
      <c r="FPE149" s="60"/>
      <c r="FPF149" s="60"/>
      <c r="FPG149" s="60"/>
      <c r="FPH149" s="60"/>
      <c r="FPI149" s="60"/>
      <c r="FPJ149" s="60"/>
      <c r="FPK149" s="60"/>
      <c r="FPL149" s="60"/>
      <c r="FPM149" s="60"/>
      <c r="FPN149" s="60"/>
      <c r="FPO149" s="60"/>
      <c r="FPP149" s="60"/>
      <c r="FPQ149" s="60"/>
      <c r="FPR149" s="60"/>
      <c r="FPS149" s="60"/>
      <c r="FPT149" s="60"/>
      <c r="FPU149" s="60"/>
      <c r="FPV149" s="60"/>
      <c r="FPW149" s="60"/>
      <c r="FPX149" s="60"/>
      <c r="FPY149" s="60"/>
      <c r="FPZ149" s="60"/>
      <c r="FQA149" s="60"/>
      <c r="FQB149" s="60"/>
      <c r="FQC149" s="60"/>
      <c r="FQD149" s="60"/>
      <c r="FQE149" s="60"/>
      <c r="FQF149" s="60"/>
      <c r="FQG149" s="60"/>
      <c r="FQH149" s="60"/>
      <c r="FQI149" s="60"/>
      <c r="FQJ149" s="60"/>
      <c r="FQK149" s="60"/>
      <c r="FQL149" s="60"/>
      <c r="FQM149" s="60"/>
      <c r="FQN149" s="60"/>
      <c r="FQO149" s="60"/>
      <c r="FQP149" s="60"/>
      <c r="FQQ149" s="60"/>
      <c r="FQR149" s="60"/>
      <c r="FQS149" s="60"/>
      <c r="FQT149" s="60"/>
      <c r="FQU149" s="60"/>
      <c r="FQV149" s="60"/>
      <c r="FQW149" s="60"/>
      <c r="FQX149" s="60"/>
      <c r="FQY149" s="60"/>
      <c r="FQZ149" s="60"/>
      <c r="FRA149" s="60"/>
      <c r="FRB149" s="60"/>
      <c r="FRC149" s="60"/>
      <c r="FRD149" s="60"/>
      <c r="FRE149" s="60"/>
      <c r="FRF149" s="60"/>
      <c r="FRG149" s="60"/>
      <c r="FRH149" s="60"/>
      <c r="FRI149" s="60"/>
      <c r="FRJ149" s="60"/>
      <c r="FRK149" s="60"/>
      <c r="FRL149" s="60"/>
      <c r="FRM149" s="60"/>
      <c r="FRN149" s="60"/>
      <c r="FRO149" s="60"/>
      <c r="FRP149" s="60"/>
      <c r="FRQ149" s="60"/>
      <c r="FRR149" s="60"/>
      <c r="FRS149" s="60"/>
      <c r="FRT149" s="60"/>
      <c r="FRU149" s="60"/>
      <c r="FRV149" s="60"/>
      <c r="FRW149" s="60"/>
      <c r="FRX149" s="60"/>
      <c r="FRY149" s="60"/>
      <c r="FRZ149" s="60"/>
      <c r="FSA149" s="60"/>
      <c r="FSB149" s="60"/>
      <c r="FSC149" s="60"/>
      <c r="FSD149" s="60"/>
      <c r="FSE149" s="60"/>
      <c r="FSF149" s="60"/>
      <c r="FSG149" s="60"/>
      <c r="FSH149" s="60"/>
      <c r="FSI149" s="60"/>
      <c r="FSJ149" s="60"/>
      <c r="FSK149" s="60"/>
      <c r="FSL149" s="60"/>
      <c r="FSM149" s="60"/>
      <c r="FSN149" s="60"/>
      <c r="FSO149" s="60"/>
      <c r="FSP149" s="60"/>
      <c r="FSQ149" s="60"/>
      <c r="FSR149" s="60"/>
      <c r="FSS149" s="60"/>
      <c r="FST149" s="60"/>
      <c r="FSU149" s="60"/>
      <c r="FSV149" s="60"/>
      <c r="FSW149" s="60"/>
      <c r="FSX149" s="60"/>
      <c r="FSY149" s="60"/>
      <c r="FSZ149" s="60"/>
      <c r="FTA149" s="60"/>
      <c r="FTB149" s="60"/>
      <c r="FTC149" s="60"/>
      <c r="FTD149" s="60"/>
      <c r="FTE149" s="60"/>
      <c r="FTF149" s="60"/>
      <c r="FTG149" s="60"/>
      <c r="FTH149" s="60"/>
      <c r="FTI149" s="60"/>
      <c r="FTJ149" s="60"/>
      <c r="FTK149" s="60"/>
      <c r="FTL149" s="60"/>
      <c r="FTM149" s="60"/>
      <c r="FTN149" s="60"/>
      <c r="FTO149" s="60"/>
      <c r="FTP149" s="60"/>
      <c r="FTQ149" s="60"/>
      <c r="FTR149" s="60"/>
      <c r="FTS149" s="60"/>
      <c r="FTT149" s="60"/>
      <c r="FTU149" s="60"/>
      <c r="FTV149" s="60"/>
      <c r="FTW149" s="60"/>
      <c r="FTX149" s="60"/>
      <c r="FTY149" s="60"/>
      <c r="FTZ149" s="60"/>
      <c r="FUA149" s="60"/>
      <c r="FUB149" s="60"/>
      <c r="FUC149" s="60"/>
      <c r="FUD149" s="60"/>
      <c r="FUE149" s="60"/>
      <c r="FUF149" s="60"/>
      <c r="FUG149" s="60"/>
      <c r="FUH149" s="60"/>
      <c r="FUI149" s="60"/>
      <c r="FUJ149" s="60"/>
      <c r="FUK149" s="60"/>
      <c r="FUL149" s="60"/>
      <c r="FUM149" s="60"/>
      <c r="FUN149" s="60"/>
      <c r="FUO149" s="60"/>
      <c r="FUP149" s="60"/>
      <c r="FUQ149" s="60"/>
      <c r="FUR149" s="60"/>
      <c r="FUS149" s="60"/>
      <c r="FUT149" s="60"/>
      <c r="FUU149" s="60"/>
      <c r="FUV149" s="60"/>
      <c r="FUW149" s="60"/>
      <c r="FUX149" s="60"/>
      <c r="FUY149" s="60"/>
      <c r="FUZ149" s="60"/>
      <c r="FVA149" s="60"/>
      <c r="FVB149" s="60"/>
      <c r="FVC149" s="60"/>
      <c r="FVD149" s="60"/>
      <c r="FVE149" s="60"/>
      <c r="FVF149" s="60"/>
      <c r="FVG149" s="60"/>
      <c r="FVH149" s="60"/>
      <c r="FVI149" s="60"/>
      <c r="FVJ149" s="60"/>
      <c r="FVK149" s="60"/>
      <c r="FVL149" s="60"/>
      <c r="FVM149" s="60"/>
      <c r="FVN149" s="60"/>
      <c r="FVO149" s="60"/>
      <c r="FVP149" s="60"/>
      <c r="FVQ149" s="60"/>
      <c r="FVR149" s="60"/>
      <c r="FVS149" s="60"/>
      <c r="FVT149" s="60"/>
      <c r="FVU149" s="60"/>
      <c r="FVV149" s="60"/>
      <c r="FVW149" s="60"/>
      <c r="FVX149" s="60"/>
      <c r="FVY149" s="60"/>
      <c r="FVZ149" s="60"/>
      <c r="FWA149" s="60"/>
      <c r="FWB149" s="60"/>
      <c r="FWC149" s="60"/>
      <c r="FWD149" s="60"/>
      <c r="FWE149" s="60"/>
      <c r="FWF149" s="60"/>
      <c r="FWG149" s="60"/>
      <c r="FWH149" s="60"/>
      <c r="FWI149" s="60"/>
      <c r="FWJ149" s="60"/>
      <c r="FWK149" s="60"/>
      <c r="FWL149" s="60"/>
      <c r="FWM149" s="60"/>
      <c r="FWN149" s="60"/>
      <c r="FWO149" s="60"/>
      <c r="FWP149" s="60"/>
      <c r="FWQ149" s="60"/>
      <c r="FWR149" s="60"/>
      <c r="FWS149" s="60"/>
      <c r="FWT149" s="60"/>
      <c r="FWU149" s="60"/>
      <c r="FWV149" s="60"/>
      <c r="FWW149" s="60"/>
      <c r="FWX149" s="60"/>
      <c r="FWY149" s="60"/>
      <c r="FWZ149" s="60"/>
      <c r="FXA149" s="60"/>
      <c r="FXB149" s="60"/>
      <c r="FXC149" s="60"/>
      <c r="FXD149" s="60"/>
      <c r="FXE149" s="60"/>
      <c r="FXF149" s="60"/>
      <c r="FXG149" s="60"/>
      <c r="FXH149" s="60"/>
      <c r="FXI149" s="60"/>
      <c r="FXJ149" s="60"/>
      <c r="FXK149" s="60"/>
      <c r="FXL149" s="60"/>
      <c r="FXM149" s="60"/>
      <c r="FXN149" s="60"/>
      <c r="FXO149" s="60"/>
      <c r="FXP149" s="60"/>
      <c r="FXQ149" s="60"/>
      <c r="FXR149" s="60"/>
      <c r="FXS149" s="60"/>
      <c r="FXT149" s="60"/>
      <c r="FXU149" s="60"/>
      <c r="FXV149" s="60"/>
      <c r="FXW149" s="60"/>
      <c r="FXX149" s="60"/>
      <c r="FXY149" s="60"/>
      <c r="FXZ149" s="60"/>
      <c r="FYA149" s="60"/>
      <c r="FYB149" s="60"/>
      <c r="FYC149" s="60"/>
      <c r="FYD149" s="60"/>
      <c r="FYE149" s="60"/>
      <c r="FYF149" s="60"/>
      <c r="FYG149" s="60"/>
      <c r="FYH149" s="60"/>
      <c r="FYI149" s="60"/>
      <c r="FYJ149" s="60"/>
      <c r="FYK149" s="60"/>
      <c r="FYL149" s="60"/>
      <c r="FYM149" s="60"/>
      <c r="FYN149" s="60"/>
      <c r="FYO149" s="60"/>
      <c r="FYP149" s="60"/>
      <c r="FYQ149" s="60"/>
      <c r="FYR149" s="60"/>
      <c r="FYS149" s="60"/>
      <c r="FYT149" s="60"/>
      <c r="FYU149" s="60"/>
      <c r="FYV149" s="60"/>
      <c r="FYW149" s="60"/>
      <c r="FYX149" s="60"/>
      <c r="FYY149" s="60"/>
      <c r="FYZ149" s="60"/>
      <c r="FZA149" s="60"/>
      <c r="FZB149" s="60"/>
      <c r="FZC149" s="60"/>
      <c r="FZD149" s="60"/>
      <c r="FZE149" s="60"/>
      <c r="FZF149" s="60"/>
      <c r="FZG149" s="60"/>
      <c r="FZH149" s="60"/>
      <c r="FZI149" s="60"/>
      <c r="FZJ149" s="60"/>
      <c r="FZK149" s="60"/>
      <c r="FZL149" s="60"/>
      <c r="FZM149" s="60"/>
      <c r="FZN149" s="60"/>
      <c r="FZO149" s="60"/>
      <c r="FZP149" s="60"/>
      <c r="FZQ149" s="60"/>
      <c r="FZR149" s="60"/>
      <c r="FZS149" s="60"/>
      <c r="FZT149" s="60"/>
      <c r="FZU149" s="60"/>
      <c r="FZV149" s="60"/>
      <c r="FZW149" s="60"/>
      <c r="FZX149" s="60"/>
      <c r="FZY149" s="60"/>
      <c r="FZZ149" s="60"/>
      <c r="GAA149" s="60"/>
      <c r="GAB149" s="60"/>
      <c r="GAC149" s="60"/>
      <c r="GAD149" s="60"/>
      <c r="GAE149" s="60"/>
      <c r="GAF149" s="60"/>
      <c r="GAG149" s="60"/>
      <c r="GAH149" s="60"/>
      <c r="GAI149" s="60"/>
      <c r="GAJ149" s="60"/>
      <c r="GAK149" s="60"/>
      <c r="GAL149" s="60"/>
      <c r="GAM149" s="60"/>
      <c r="GAN149" s="60"/>
      <c r="GAO149" s="60"/>
      <c r="GAP149" s="60"/>
      <c r="GAQ149" s="60"/>
      <c r="GAR149" s="60"/>
      <c r="GAS149" s="60"/>
      <c r="GAT149" s="60"/>
      <c r="GAU149" s="60"/>
      <c r="GAV149" s="60"/>
      <c r="GAW149" s="60"/>
      <c r="GAX149" s="60"/>
      <c r="GAY149" s="60"/>
      <c r="GAZ149" s="60"/>
      <c r="GBA149" s="60"/>
      <c r="GBB149" s="60"/>
      <c r="GBC149" s="60"/>
      <c r="GBD149" s="60"/>
      <c r="GBE149" s="60"/>
      <c r="GBF149" s="60"/>
      <c r="GBG149" s="60"/>
      <c r="GBH149" s="60"/>
      <c r="GBI149" s="60"/>
      <c r="GBJ149" s="60"/>
      <c r="GBK149" s="60"/>
      <c r="GBL149" s="60"/>
      <c r="GBM149" s="60"/>
      <c r="GBN149" s="60"/>
      <c r="GBO149" s="60"/>
      <c r="GBP149" s="60"/>
      <c r="GBQ149" s="60"/>
      <c r="GBR149" s="60"/>
      <c r="GBS149" s="60"/>
      <c r="GBT149" s="60"/>
      <c r="GBU149" s="60"/>
      <c r="GBV149" s="60"/>
      <c r="GBW149" s="60"/>
      <c r="GBX149" s="60"/>
      <c r="GBY149" s="60"/>
      <c r="GBZ149" s="60"/>
      <c r="GCA149" s="60"/>
      <c r="GCB149" s="60"/>
      <c r="GCC149" s="60"/>
      <c r="GCD149" s="60"/>
      <c r="GCE149" s="60"/>
      <c r="GCF149" s="60"/>
      <c r="GCG149" s="60"/>
      <c r="GCH149" s="60"/>
      <c r="GCI149" s="60"/>
      <c r="GCJ149" s="60"/>
      <c r="GCK149" s="60"/>
      <c r="GCL149" s="60"/>
      <c r="GCM149" s="60"/>
      <c r="GCN149" s="60"/>
      <c r="GCO149" s="60"/>
      <c r="GCP149" s="60"/>
      <c r="GCQ149" s="60"/>
      <c r="GCR149" s="60"/>
      <c r="GCS149" s="60"/>
      <c r="GCT149" s="60"/>
      <c r="GCU149" s="60"/>
      <c r="GCV149" s="60"/>
      <c r="GCW149" s="60"/>
      <c r="GCX149" s="60"/>
      <c r="GCY149" s="60"/>
      <c r="GCZ149" s="60"/>
      <c r="GDA149" s="60"/>
      <c r="GDB149" s="60"/>
      <c r="GDC149" s="60"/>
      <c r="GDD149" s="60"/>
      <c r="GDE149" s="60"/>
      <c r="GDF149" s="60"/>
      <c r="GDG149" s="60"/>
      <c r="GDH149" s="60"/>
      <c r="GDI149" s="60"/>
      <c r="GDJ149" s="60"/>
      <c r="GDK149" s="60"/>
      <c r="GDL149" s="60"/>
      <c r="GDM149" s="60"/>
      <c r="GDN149" s="60"/>
      <c r="GDO149" s="60"/>
      <c r="GDP149" s="60"/>
      <c r="GDQ149" s="60"/>
      <c r="GDR149" s="60"/>
      <c r="GDS149" s="60"/>
      <c r="GDT149" s="60"/>
      <c r="GDU149" s="60"/>
      <c r="GDV149" s="60"/>
      <c r="GDW149" s="60"/>
      <c r="GDX149" s="60"/>
      <c r="GDY149" s="60"/>
      <c r="GDZ149" s="60"/>
      <c r="GEA149" s="60"/>
      <c r="GEB149" s="60"/>
      <c r="GEC149" s="60"/>
      <c r="GED149" s="60"/>
      <c r="GEE149" s="60"/>
      <c r="GEF149" s="60"/>
      <c r="GEG149" s="60"/>
      <c r="GEH149" s="60"/>
      <c r="GEI149" s="60"/>
      <c r="GEJ149" s="60"/>
      <c r="GEK149" s="60"/>
      <c r="GEL149" s="60"/>
      <c r="GEM149" s="60"/>
      <c r="GEN149" s="60"/>
      <c r="GEO149" s="60"/>
      <c r="GEP149" s="60"/>
      <c r="GEQ149" s="60"/>
      <c r="GER149" s="60"/>
      <c r="GES149" s="60"/>
      <c r="GET149" s="60"/>
      <c r="GEU149" s="60"/>
      <c r="GEV149" s="60"/>
      <c r="GEW149" s="60"/>
      <c r="GEX149" s="60"/>
      <c r="GEY149" s="60"/>
      <c r="GEZ149" s="60"/>
      <c r="GFA149" s="60"/>
      <c r="GFB149" s="60"/>
      <c r="GFC149" s="60"/>
      <c r="GFD149" s="60"/>
      <c r="GFE149" s="60"/>
      <c r="GFF149" s="60"/>
      <c r="GFG149" s="60"/>
      <c r="GFH149" s="60"/>
      <c r="GFI149" s="60"/>
      <c r="GFJ149" s="60"/>
      <c r="GFK149" s="60"/>
      <c r="GFL149" s="60"/>
      <c r="GFM149" s="60"/>
      <c r="GFN149" s="60"/>
      <c r="GFO149" s="60"/>
      <c r="GFP149" s="60"/>
      <c r="GFQ149" s="60"/>
      <c r="GFR149" s="60"/>
      <c r="GFS149" s="60"/>
      <c r="GFT149" s="60"/>
      <c r="GFU149" s="60"/>
      <c r="GFV149" s="60"/>
      <c r="GFW149" s="60"/>
      <c r="GFX149" s="60"/>
      <c r="GFY149" s="60"/>
      <c r="GFZ149" s="60"/>
      <c r="GGA149" s="60"/>
      <c r="GGB149" s="60"/>
      <c r="GGC149" s="60"/>
      <c r="GGD149" s="60"/>
      <c r="GGE149" s="60"/>
      <c r="GGF149" s="60"/>
      <c r="GGG149" s="60"/>
      <c r="GGH149" s="60"/>
      <c r="GGI149" s="60"/>
      <c r="GGJ149" s="60"/>
      <c r="GGK149" s="60"/>
      <c r="GGL149" s="60"/>
      <c r="GGM149" s="60"/>
      <c r="GGN149" s="60"/>
      <c r="GGO149" s="60"/>
      <c r="GGP149" s="60"/>
      <c r="GGQ149" s="60"/>
      <c r="GGR149" s="60"/>
      <c r="GGS149" s="60"/>
      <c r="GGT149" s="60"/>
      <c r="GGU149" s="60"/>
      <c r="GGV149" s="60"/>
      <c r="GGW149" s="60"/>
      <c r="GGX149" s="60"/>
      <c r="GGY149" s="60"/>
      <c r="GGZ149" s="60"/>
      <c r="GHA149" s="60"/>
      <c r="GHB149" s="60"/>
      <c r="GHC149" s="60"/>
      <c r="GHD149" s="60"/>
      <c r="GHE149" s="60"/>
      <c r="GHF149" s="60"/>
      <c r="GHG149" s="60"/>
      <c r="GHH149" s="60"/>
      <c r="GHI149" s="60"/>
      <c r="GHJ149" s="60"/>
      <c r="GHK149" s="60"/>
      <c r="GHL149" s="60"/>
      <c r="GHM149" s="60"/>
      <c r="GHN149" s="60"/>
      <c r="GHO149" s="60"/>
      <c r="GHP149" s="60"/>
      <c r="GHQ149" s="60"/>
      <c r="GHR149" s="60"/>
      <c r="GHS149" s="60"/>
      <c r="GHT149" s="60"/>
      <c r="GHU149" s="60"/>
      <c r="GHV149" s="60"/>
      <c r="GHW149" s="60"/>
      <c r="GHX149" s="60"/>
      <c r="GHY149" s="60"/>
      <c r="GHZ149" s="60"/>
      <c r="GIA149" s="60"/>
      <c r="GIB149" s="60"/>
      <c r="GIC149" s="60"/>
      <c r="GID149" s="60"/>
      <c r="GIE149" s="60"/>
      <c r="GIF149" s="60"/>
      <c r="GIG149" s="60"/>
      <c r="GIH149" s="60"/>
      <c r="GII149" s="60"/>
      <c r="GIJ149" s="60"/>
      <c r="GIK149" s="60"/>
      <c r="GIL149" s="60"/>
      <c r="GIM149" s="60"/>
      <c r="GIN149" s="60"/>
      <c r="GIO149" s="60"/>
      <c r="GIP149" s="60"/>
      <c r="GIQ149" s="60"/>
      <c r="GIR149" s="60"/>
      <c r="GIS149" s="60"/>
      <c r="GIT149" s="60"/>
      <c r="GIU149" s="60"/>
      <c r="GIV149" s="60"/>
      <c r="GIW149" s="60"/>
      <c r="GIX149" s="60"/>
      <c r="GIY149" s="60"/>
      <c r="GIZ149" s="60"/>
      <c r="GJA149" s="60"/>
      <c r="GJB149" s="60"/>
      <c r="GJC149" s="60"/>
      <c r="GJD149" s="60"/>
      <c r="GJE149" s="60"/>
      <c r="GJF149" s="60"/>
      <c r="GJG149" s="60"/>
      <c r="GJH149" s="60"/>
      <c r="GJI149" s="60"/>
      <c r="GJJ149" s="60"/>
      <c r="GJK149" s="60"/>
      <c r="GJL149" s="60"/>
      <c r="GJM149" s="60"/>
      <c r="GJN149" s="60"/>
      <c r="GJO149" s="60"/>
      <c r="GJP149" s="60"/>
      <c r="GJQ149" s="60"/>
      <c r="GJR149" s="60"/>
      <c r="GJS149" s="60"/>
      <c r="GJT149" s="60"/>
      <c r="GJU149" s="60"/>
      <c r="GJV149" s="60"/>
      <c r="GJW149" s="60"/>
      <c r="GJX149" s="60"/>
      <c r="GJY149" s="60"/>
      <c r="GJZ149" s="60"/>
      <c r="GKA149" s="60"/>
      <c r="GKB149" s="60"/>
      <c r="GKC149" s="60"/>
      <c r="GKD149" s="60"/>
      <c r="GKE149" s="60"/>
      <c r="GKF149" s="60"/>
      <c r="GKG149" s="60"/>
      <c r="GKH149" s="60"/>
      <c r="GKI149" s="60"/>
      <c r="GKJ149" s="60"/>
      <c r="GKK149" s="60"/>
      <c r="GKL149" s="60"/>
      <c r="GKM149" s="60"/>
      <c r="GKN149" s="60"/>
      <c r="GKO149" s="60"/>
      <c r="GKP149" s="60"/>
      <c r="GKQ149" s="60"/>
      <c r="GKR149" s="60"/>
      <c r="GKS149" s="60"/>
      <c r="GKT149" s="60"/>
      <c r="GKU149" s="60"/>
      <c r="GKV149" s="60"/>
      <c r="GKW149" s="60"/>
      <c r="GKX149" s="60"/>
      <c r="GKY149" s="60"/>
      <c r="GKZ149" s="60"/>
      <c r="GLA149" s="60"/>
      <c r="GLB149" s="60"/>
      <c r="GLC149" s="60"/>
      <c r="GLD149" s="60"/>
      <c r="GLE149" s="60"/>
      <c r="GLF149" s="60"/>
      <c r="GLG149" s="60"/>
      <c r="GLH149" s="60"/>
      <c r="GLI149" s="60"/>
      <c r="GLJ149" s="60"/>
      <c r="GLK149" s="60"/>
      <c r="GLL149" s="60"/>
      <c r="GLM149" s="60"/>
      <c r="GLN149" s="60"/>
      <c r="GLO149" s="60"/>
      <c r="GLP149" s="60"/>
      <c r="GLQ149" s="60"/>
      <c r="GLR149" s="60"/>
      <c r="GLS149" s="60"/>
      <c r="GLT149" s="60"/>
      <c r="GLU149" s="60"/>
      <c r="GLV149" s="60"/>
      <c r="GLW149" s="60"/>
      <c r="GLX149" s="60"/>
      <c r="GLY149" s="60"/>
      <c r="GLZ149" s="60"/>
      <c r="GMA149" s="60"/>
      <c r="GMB149" s="60"/>
      <c r="GMC149" s="60"/>
      <c r="GMD149" s="60"/>
      <c r="GME149" s="60"/>
      <c r="GMF149" s="60"/>
      <c r="GMG149" s="60"/>
      <c r="GMH149" s="60"/>
      <c r="GMI149" s="60"/>
      <c r="GMJ149" s="60"/>
      <c r="GMK149" s="60"/>
      <c r="GML149" s="60"/>
      <c r="GMM149" s="60"/>
      <c r="GMN149" s="60"/>
      <c r="GMO149" s="60"/>
      <c r="GMP149" s="60"/>
      <c r="GMQ149" s="60"/>
      <c r="GMR149" s="60"/>
      <c r="GMS149" s="60"/>
      <c r="GMT149" s="60"/>
      <c r="GMU149" s="60"/>
      <c r="GMV149" s="60"/>
      <c r="GMW149" s="60"/>
      <c r="GMX149" s="60"/>
      <c r="GMY149" s="60"/>
      <c r="GMZ149" s="60"/>
      <c r="GNA149" s="60"/>
      <c r="GNB149" s="60"/>
      <c r="GNC149" s="60"/>
      <c r="GND149" s="60"/>
      <c r="GNE149" s="60"/>
      <c r="GNF149" s="60"/>
      <c r="GNG149" s="60"/>
      <c r="GNH149" s="60"/>
      <c r="GNI149" s="60"/>
      <c r="GNJ149" s="60"/>
      <c r="GNK149" s="60"/>
      <c r="GNL149" s="60"/>
      <c r="GNM149" s="60"/>
      <c r="GNN149" s="60"/>
      <c r="GNO149" s="60"/>
      <c r="GNP149" s="60"/>
      <c r="GNQ149" s="60"/>
      <c r="GNR149" s="60"/>
      <c r="GNS149" s="60"/>
      <c r="GNT149" s="60"/>
      <c r="GNU149" s="60"/>
      <c r="GNV149" s="60"/>
      <c r="GNW149" s="60"/>
      <c r="GNX149" s="60"/>
      <c r="GNY149" s="60"/>
      <c r="GNZ149" s="60"/>
      <c r="GOA149" s="60"/>
      <c r="GOB149" s="60"/>
      <c r="GOC149" s="60"/>
      <c r="GOD149" s="60"/>
      <c r="GOE149" s="60"/>
      <c r="GOF149" s="60"/>
      <c r="GOG149" s="60"/>
      <c r="GOH149" s="60"/>
      <c r="GOI149" s="60"/>
      <c r="GOJ149" s="60"/>
      <c r="GOK149" s="60"/>
      <c r="GOL149" s="60"/>
      <c r="GOM149" s="60"/>
      <c r="GON149" s="60"/>
      <c r="GOO149" s="60"/>
      <c r="GOP149" s="60"/>
      <c r="GOQ149" s="60"/>
      <c r="GOR149" s="60"/>
      <c r="GOS149" s="60"/>
      <c r="GOT149" s="60"/>
      <c r="GOU149" s="60"/>
      <c r="GOV149" s="60"/>
      <c r="GOW149" s="60"/>
      <c r="GOX149" s="60"/>
      <c r="GOY149" s="60"/>
      <c r="GOZ149" s="60"/>
      <c r="GPA149" s="60"/>
      <c r="GPB149" s="60"/>
      <c r="GPC149" s="60"/>
      <c r="GPD149" s="60"/>
      <c r="GPE149" s="60"/>
      <c r="GPF149" s="60"/>
      <c r="GPG149" s="60"/>
      <c r="GPH149" s="60"/>
      <c r="GPI149" s="60"/>
      <c r="GPJ149" s="60"/>
      <c r="GPK149" s="60"/>
      <c r="GPL149" s="60"/>
      <c r="GPM149" s="60"/>
      <c r="GPN149" s="60"/>
      <c r="GPO149" s="60"/>
      <c r="GPP149" s="60"/>
      <c r="GPQ149" s="60"/>
      <c r="GPR149" s="60"/>
      <c r="GPS149" s="60"/>
      <c r="GPT149" s="60"/>
      <c r="GPU149" s="60"/>
      <c r="GPV149" s="60"/>
      <c r="GPW149" s="60"/>
      <c r="GPX149" s="60"/>
      <c r="GPY149" s="60"/>
      <c r="GPZ149" s="60"/>
      <c r="GQA149" s="60"/>
      <c r="GQB149" s="60"/>
      <c r="GQC149" s="60"/>
      <c r="GQD149" s="60"/>
      <c r="GQE149" s="60"/>
      <c r="GQF149" s="60"/>
      <c r="GQG149" s="60"/>
      <c r="GQH149" s="60"/>
      <c r="GQI149" s="60"/>
      <c r="GQJ149" s="60"/>
      <c r="GQK149" s="60"/>
      <c r="GQL149" s="60"/>
      <c r="GQM149" s="60"/>
      <c r="GQN149" s="60"/>
      <c r="GQO149" s="60"/>
      <c r="GQP149" s="60"/>
      <c r="GQQ149" s="60"/>
      <c r="GQR149" s="60"/>
      <c r="GQS149" s="60"/>
      <c r="GQT149" s="60"/>
      <c r="GQU149" s="60"/>
      <c r="GQV149" s="60"/>
      <c r="GQW149" s="60"/>
      <c r="GQX149" s="60"/>
      <c r="GQY149" s="60"/>
      <c r="GQZ149" s="60"/>
      <c r="GRA149" s="60"/>
      <c r="GRB149" s="60"/>
      <c r="GRC149" s="60"/>
      <c r="GRD149" s="60"/>
      <c r="GRE149" s="60"/>
      <c r="GRF149" s="60"/>
      <c r="GRG149" s="60"/>
      <c r="GRH149" s="60"/>
      <c r="GRI149" s="60"/>
      <c r="GRJ149" s="60"/>
      <c r="GRK149" s="60"/>
      <c r="GRL149" s="60"/>
      <c r="GRM149" s="60"/>
      <c r="GRN149" s="60"/>
      <c r="GRO149" s="60"/>
      <c r="GRP149" s="60"/>
      <c r="GRQ149" s="60"/>
      <c r="GRR149" s="60"/>
      <c r="GRS149" s="60"/>
      <c r="GRT149" s="60"/>
      <c r="GRU149" s="60"/>
      <c r="GRV149" s="60"/>
      <c r="GRW149" s="60"/>
      <c r="GRX149" s="60"/>
      <c r="GRY149" s="60"/>
      <c r="GRZ149" s="60"/>
      <c r="GSA149" s="60"/>
      <c r="GSB149" s="60"/>
      <c r="GSC149" s="60"/>
      <c r="GSD149" s="60"/>
      <c r="GSE149" s="60"/>
      <c r="GSF149" s="60"/>
      <c r="GSG149" s="60"/>
      <c r="GSH149" s="60"/>
      <c r="GSI149" s="60"/>
      <c r="GSJ149" s="60"/>
      <c r="GSK149" s="60"/>
      <c r="GSL149" s="60"/>
      <c r="GSM149" s="60"/>
      <c r="GSN149" s="60"/>
      <c r="GSO149" s="60"/>
      <c r="GSP149" s="60"/>
      <c r="GSQ149" s="60"/>
      <c r="GSR149" s="60"/>
      <c r="GSS149" s="60"/>
      <c r="GST149" s="60"/>
      <c r="GSU149" s="60"/>
      <c r="GSV149" s="60"/>
      <c r="GSW149" s="60"/>
      <c r="GSX149" s="60"/>
      <c r="GSY149" s="60"/>
      <c r="GSZ149" s="60"/>
      <c r="GTA149" s="60"/>
      <c r="GTB149" s="60"/>
      <c r="GTC149" s="60"/>
      <c r="GTD149" s="60"/>
      <c r="GTE149" s="60"/>
      <c r="GTF149" s="60"/>
      <c r="GTG149" s="60"/>
      <c r="GTH149" s="60"/>
      <c r="GTI149" s="60"/>
      <c r="GTJ149" s="60"/>
      <c r="GTK149" s="60"/>
      <c r="GTL149" s="60"/>
      <c r="GTM149" s="60"/>
      <c r="GTN149" s="60"/>
      <c r="GTO149" s="60"/>
      <c r="GTP149" s="60"/>
      <c r="GTQ149" s="60"/>
      <c r="GTR149" s="60"/>
      <c r="GTS149" s="60"/>
      <c r="GTT149" s="60"/>
      <c r="GTU149" s="60"/>
      <c r="GTV149" s="60"/>
      <c r="GTW149" s="60"/>
      <c r="GTX149" s="60"/>
      <c r="GTY149" s="60"/>
      <c r="GTZ149" s="60"/>
      <c r="GUA149" s="60"/>
      <c r="GUB149" s="60"/>
      <c r="GUC149" s="60"/>
      <c r="GUD149" s="60"/>
      <c r="GUE149" s="60"/>
      <c r="GUF149" s="60"/>
      <c r="GUG149" s="60"/>
      <c r="GUH149" s="60"/>
      <c r="GUI149" s="60"/>
      <c r="GUJ149" s="60"/>
      <c r="GUK149" s="60"/>
      <c r="GUL149" s="60"/>
      <c r="GUM149" s="60"/>
      <c r="GUN149" s="60"/>
      <c r="GUO149" s="60"/>
      <c r="GUP149" s="60"/>
      <c r="GUQ149" s="60"/>
      <c r="GUR149" s="60"/>
      <c r="GUS149" s="60"/>
      <c r="GUT149" s="60"/>
      <c r="GUU149" s="60"/>
      <c r="GUV149" s="60"/>
      <c r="GUW149" s="60"/>
      <c r="GUX149" s="60"/>
      <c r="GUY149" s="60"/>
      <c r="GUZ149" s="60"/>
      <c r="GVA149" s="60"/>
      <c r="GVB149" s="60"/>
      <c r="GVC149" s="60"/>
      <c r="GVD149" s="60"/>
      <c r="GVE149" s="60"/>
      <c r="GVF149" s="60"/>
      <c r="GVG149" s="60"/>
      <c r="GVH149" s="60"/>
      <c r="GVI149" s="60"/>
      <c r="GVJ149" s="60"/>
      <c r="GVK149" s="60"/>
      <c r="GVL149" s="60"/>
      <c r="GVM149" s="60"/>
      <c r="GVN149" s="60"/>
      <c r="GVO149" s="60"/>
      <c r="GVP149" s="60"/>
      <c r="GVQ149" s="60"/>
      <c r="GVR149" s="60"/>
      <c r="GVS149" s="60"/>
      <c r="GVT149" s="60"/>
      <c r="GVU149" s="60"/>
      <c r="GVV149" s="60"/>
      <c r="GVW149" s="60"/>
      <c r="GVX149" s="60"/>
      <c r="GVY149" s="60"/>
      <c r="GVZ149" s="60"/>
      <c r="GWA149" s="60"/>
      <c r="GWB149" s="60"/>
      <c r="GWC149" s="60"/>
      <c r="GWD149" s="60"/>
      <c r="GWE149" s="60"/>
      <c r="GWF149" s="60"/>
      <c r="GWG149" s="60"/>
      <c r="GWH149" s="60"/>
      <c r="GWI149" s="60"/>
      <c r="GWJ149" s="60"/>
      <c r="GWK149" s="60"/>
      <c r="GWL149" s="60"/>
      <c r="GWM149" s="60"/>
      <c r="GWN149" s="60"/>
      <c r="GWO149" s="60"/>
      <c r="GWP149" s="60"/>
      <c r="GWQ149" s="60"/>
      <c r="GWR149" s="60"/>
      <c r="GWS149" s="60"/>
      <c r="GWT149" s="60"/>
      <c r="GWU149" s="60"/>
      <c r="GWV149" s="60"/>
      <c r="GWW149" s="60"/>
      <c r="GWX149" s="60"/>
      <c r="GWY149" s="60"/>
      <c r="GWZ149" s="60"/>
      <c r="GXA149" s="60"/>
      <c r="GXB149" s="60"/>
      <c r="GXC149" s="60"/>
      <c r="GXD149" s="60"/>
      <c r="GXE149" s="60"/>
      <c r="GXF149" s="60"/>
      <c r="GXG149" s="60"/>
      <c r="GXH149" s="60"/>
      <c r="GXI149" s="60"/>
      <c r="GXJ149" s="60"/>
      <c r="GXK149" s="60"/>
      <c r="GXL149" s="60"/>
      <c r="GXM149" s="60"/>
      <c r="GXN149" s="60"/>
      <c r="GXO149" s="60"/>
      <c r="GXP149" s="60"/>
      <c r="GXQ149" s="60"/>
      <c r="GXR149" s="60"/>
      <c r="GXS149" s="60"/>
      <c r="GXT149" s="60"/>
      <c r="GXU149" s="60"/>
      <c r="GXV149" s="60"/>
      <c r="GXW149" s="60"/>
      <c r="GXX149" s="60"/>
      <c r="GXY149" s="60"/>
      <c r="GXZ149" s="60"/>
      <c r="GYA149" s="60"/>
      <c r="GYB149" s="60"/>
      <c r="GYC149" s="60"/>
      <c r="GYD149" s="60"/>
      <c r="GYE149" s="60"/>
      <c r="GYF149" s="60"/>
      <c r="GYG149" s="60"/>
      <c r="GYH149" s="60"/>
      <c r="GYI149" s="60"/>
      <c r="GYJ149" s="60"/>
      <c r="GYK149" s="60"/>
      <c r="GYL149" s="60"/>
      <c r="GYM149" s="60"/>
      <c r="GYN149" s="60"/>
      <c r="GYO149" s="60"/>
      <c r="GYP149" s="60"/>
      <c r="GYQ149" s="60"/>
      <c r="GYR149" s="60"/>
      <c r="GYS149" s="60"/>
      <c r="GYT149" s="60"/>
      <c r="GYU149" s="60"/>
      <c r="GYV149" s="60"/>
      <c r="GYW149" s="60"/>
      <c r="GYX149" s="60"/>
      <c r="GYY149" s="60"/>
      <c r="GYZ149" s="60"/>
      <c r="GZA149" s="60"/>
      <c r="GZB149" s="60"/>
      <c r="GZC149" s="60"/>
      <c r="GZD149" s="60"/>
      <c r="GZE149" s="60"/>
      <c r="GZF149" s="60"/>
      <c r="GZG149" s="60"/>
      <c r="GZH149" s="60"/>
      <c r="GZI149" s="60"/>
      <c r="GZJ149" s="60"/>
      <c r="GZK149" s="60"/>
      <c r="GZL149" s="60"/>
      <c r="GZM149" s="60"/>
      <c r="GZN149" s="60"/>
      <c r="GZO149" s="60"/>
      <c r="GZP149" s="60"/>
      <c r="GZQ149" s="60"/>
      <c r="GZR149" s="60"/>
      <c r="GZS149" s="60"/>
      <c r="GZT149" s="60"/>
      <c r="GZU149" s="60"/>
      <c r="GZV149" s="60"/>
      <c r="GZW149" s="60"/>
      <c r="GZX149" s="60"/>
      <c r="GZY149" s="60"/>
      <c r="GZZ149" s="60"/>
      <c r="HAA149" s="60"/>
      <c r="HAB149" s="60"/>
      <c r="HAC149" s="60"/>
      <c r="HAD149" s="60"/>
      <c r="HAE149" s="60"/>
      <c r="HAF149" s="60"/>
      <c r="HAG149" s="60"/>
      <c r="HAH149" s="60"/>
      <c r="HAI149" s="60"/>
      <c r="HAJ149" s="60"/>
      <c r="HAK149" s="60"/>
      <c r="HAL149" s="60"/>
      <c r="HAM149" s="60"/>
      <c r="HAN149" s="60"/>
      <c r="HAO149" s="60"/>
      <c r="HAP149" s="60"/>
      <c r="HAQ149" s="60"/>
      <c r="HAR149" s="60"/>
      <c r="HAS149" s="60"/>
      <c r="HAT149" s="60"/>
      <c r="HAU149" s="60"/>
      <c r="HAV149" s="60"/>
      <c r="HAW149" s="60"/>
      <c r="HAX149" s="60"/>
      <c r="HAY149" s="60"/>
      <c r="HAZ149" s="60"/>
      <c r="HBA149" s="60"/>
      <c r="HBB149" s="60"/>
      <c r="HBC149" s="60"/>
      <c r="HBD149" s="60"/>
      <c r="HBE149" s="60"/>
      <c r="HBF149" s="60"/>
      <c r="HBG149" s="60"/>
      <c r="HBH149" s="60"/>
      <c r="HBI149" s="60"/>
      <c r="HBJ149" s="60"/>
      <c r="HBK149" s="60"/>
      <c r="HBL149" s="60"/>
      <c r="HBM149" s="60"/>
      <c r="HBN149" s="60"/>
      <c r="HBO149" s="60"/>
      <c r="HBP149" s="60"/>
      <c r="HBQ149" s="60"/>
      <c r="HBR149" s="60"/>
      <c r="HBS149" s="60"/>
      <c r="HBT149" s="60"/>
      <c r="HBU149" s="60"/>
      <c r="HBV149" s="60"/>
      <c r="HBW149" s="60"/>
      <c r="HBX149" s="60"/>
      <c r="HBY149" s="60"/>
      <c r="HBZ149" s="60"/>
      <c r="HCA149" s="60"/>
      <c r="HCB149" s="60"/>
      <c r="HCC149" s="60"/>
      <c r="HCD149" s="60"/>
      <c r="HCE149" s="60"/>
      <c r="HCF149" s="60"/>
      <c r="HCG149" s="60"/>
      <c r="HCH149" s="60"/>
      <c r="HCI149" s="60"/>
      <c r="HCJ149" s="60"/>
      <c r="HCK149" s="60"/>
      <c r="HCL149" s="60"/>
      <c r="HCM149" s="60"/>
      <c r="HCN149" s="60"/>
      <c r="HCO149" s="60"/>
      <c r="HCP149" s="60"/>
      <c r="HCQ149" s="60"/>
      <c r="HCR149" s="60"/>
      <c r="HCS149" s="60"/>
      <c r="HCT149" s="60"/>
      <c r="HCU149" s="60"/>
      <c r="HCV149" s="60"/>
      <c r="HCW149" s="60"/>
      <c r="HCX149" s="60"/>
      <c r="HCY149" s="60"/>
      <c r="HCZ149" s="60"/>
      <c r="HDA149" s="60"/>
      <c r="HDB149" s="60"/>
      <c r="HDC149" s="60"/>
      <c r="HDD149" s="60"/>
      <c r="HDE149" s="60"/>
      <c r="HDF149" s="60"/>
      <c r="HDG149" s="60"/>
      <c r="HDH149" s="60"/>
      <c r="HDI149" s="60"/>
      <c r="HDJ149" s="60"/>
      <c r="HDK149" s="60"/>
      <c r="HDL149" s="60"/>
      <c r="HDM149" s="60"/>
      <c r="HDN149" s="60"/>
      <c r="HDO149" s="60"/>
      <c r="HDP149" s="60"/>
      <c r="HDQ149" s="60"/>
      <c r="HDR149" s="60"/>
      <c r="HDS149" s="60"/>
      <c r="HDT149" s="60"/>
      <c r="HDU149" s="60"/>
      <c r="HDV149" s="60"/>
      <c r="HDW149" s="60"/>
      <c r="HDX149" s="60"/>
      <c r="HDY149" s="60"/>
      <c r="HDZ149" s="60"/>
      <c r="HEA149" s="60"/>
      <c r="HEB149" s="60"/>
      <c r="HEC149" s="60"/>
      <c r="HED149" s="60"/>
      <c r="HEE149" s="60"/>
      <c r="HEF149" s="60"/>
      <c r="HEG149" s="60"/>
      <c r="HEH149" s="60"/>
      <c r="HEI149" s="60"/>
      <c r="HEJ149" s="60"/>
      <c r="HEK149" s="60"/>
      <c r="HEL149" s="60"/>
      <c r="HEM149" s="60"/>
      <c r="HEN149" s="60"/>
      <c r="HEO149" s="60"/>
      <c r="HEP149" s="60"/>
      <c r="HEQ149" s="60"/>
      <c r="HER149" s="60"/>
      <c r="HES149" s="60"/>
      <c r="HET149" s="60"/>
      <c r="HEU149" s="60"/>
      <c r="HEV149" s="60"/>
      <c r="HEW149" s="60"/>
      <c r="HEX149" s="60"/>
      <c r="HEY149" s="60"/>
      <c r="HEZ149" s="60"/>
      <c r="HFA149" s="60"/>
      <c r="HFB149" s="60"/>
      <c r="HFC149" s="60"/>
      <c r="HFD149" s="60"/>
      <c r="HFE149" s="60"/>
      <c r="HFF149" s="60"/>
      <c r="HFG149" s="60"/>
      <c r="HFH149" s="60"/>
      <c r="HFI149" s="60"/>
      <c r="HFJ149" s="60"/>
      <c r="HFK149" s="60"/>
      <c r="HFL149" s="60"/>
      <c r="HFM149" s="60"/>
      <c r="HFN149" s="60"/>
      <c r="HFO149" s="60"/>
      <c r="HFP149" s="60"/>
      <c r="HFQ149" s="60"/>
      <c r="HFR149" s="60"/>
      <c r="HFS149" s="60"/>
      <c r="HFT149" s="60"/>
      <c r="HFU149" s="60"/>
      <c r="HFV149" s="60"/>
      <c r="HFW149" s="60"/>
      <c r="HFX149" s="60"/>
      <c r="HFY149" s="60"/>
      <c r="HFZ149" s="60"/>
      <c r="HGA149" s="60"/>
      <c r="HGB149" s="60"/>
      <c r="HGC149" s="60"/>
      <c r="HGD149" s="60"/>
      <c r="HGE149" s="60"/>
      <c r="HGF149" s="60"/>
      <c r="HGG149" s="60"/>
      <c r="HGH149" s="60"/>
      <c r="HGI149" s="60"/>
      <c r="HGJ149" s="60"/>
      <c r="HGK149" s="60"/>
      <c r="HGL149" s="60"/>
      <c r="HGM149" s="60"/>
      <c r="HGN149" s="60"/>
      <c r="HGO149" s="60"/>
      <c r="HGP149" s="60"/>
      <c r="HGQ149" s="60"/>
      <c r="HGR149" s="60"/>
      <c r="HGS149" s="60"/>
      <c r="HGT149" s="60"/>
      <c r="HGU149" s="60"/>
      <c r="HGV149" s="60"/>
      <c r="HGW149" s="60"/>
      <c r="HGX149" s="60"/>
      <c r="HGY149" s="60"/>
      <c r="HGZ149" s="60"/>
      <c r="HHA149" s="60"/>
      <c r="HHB149" s="60"/>
      <c r="HHC149" s="60"/>
      <c r="HHD149" s="60"/>
      <c r="HHE149" s="60"/>
      <c r="HHF149" s="60"/>
      <c r="HHG149" s="60"/>
      <c r="HHH149" s="60"/>
      <c r="HHI149" s="60"/>
      <c r="HHJ149" s="60"/>
      <c r="HHK149" s="60"/>
      <c r="HHL149" s="60"/>
      <c r="HHM149" s="60"/>
      <c r="HHN149" s="60"/>
      <c r="HHO149" s="60"/>
      <c r="HHP149" s="60"/>
      <c r="HHQ149" s="60"/>
      <c r="HHR149" s="60"/>
      <c r="HHS149" s="60"/>
      <c r="HHT149" s="60"/>
      <c r="HHU149" s="60"/>
      <c r="HHV149" s="60"/>
      <c r="HHW149" s="60"/>
      <c r="HHX149" s="60"/>
      <c r="HHY149" s="60"/>
      <c r="HHZ149" s="60"/>
      <c r="HIA149" s="60"/>
      <c r="HIB149" s="60"/>
      <c r="HIC149" s="60"/>
      <c r="HID149" s="60"/>
      <c r="HIE149" s="60"/>
      <c r="HIF149" s="60"/>
      <c r="HIG149" s="60"/>
      <c r="HIH149" s="60"/>
      <c r="HII149" s="60"/>
      <c r="HIJ149" s="60"/>
      <c r="HIK149" s="60"/>
      <c r="HIL149" s="60"/>
      <c r="HIM149" s="60"/>
      <c r="HIN149" s="60"/>
      <c r="HIO149" s="60"/>
      <c r="HIP149" s="60"/>
      <c r="HIQ149" s="60"/>
      <c r="HIR149" s="60"/>
      <c r="HIS149" s="60"/>
      <c r="HIT149" s="60"/>
      <c r="HIU149" s="60"/>
      <c r="HIV149" s="60"/>
      <c r="HIW149" s="60"/>
      <c r="HIX149" s="60"/>
      <c r="HIY149" s="60"/>
      <c r="HIZ149" s="60"/>
      <c r="HJA149" s="60"/>
      <c r="HJB149" s="60"/>
      <c r="HJC149" s="60"/>
      <c r="HJD149" s="60"/>
      <c r="HJE149" s="60"/>
      <c r="HJF149" s="60"/>
      <c r="HJG149" s="60"/>
      <c r="HJH149" s="60"/>
      <c r="HJI149" s="60"/>
      <c r="HJJ149" s="60"/>
      <c r="HJK149" s="60"/>
      <c r="HJL149" s="60"/>
      <c r="HJM149" s="60"/>
      <c r="HJN149" s="60"/>
      <c r="HJO149" s="60"/>
      <c r="HJP149" s="60"/>
      <c r="HJQ149" s="60"/>
      <c r="HJR149" s="60"/>
      <c r="HJS149" s="60"/>
      <c r="HJT149" s="60"/>
      <c r="HJU149" s="60"/>
      <c r="HJV149" s="60"/>
      <c r="HJW149" s="60"/>
      <c r="HJX149" s="60"/>
      <c r="HJY149" s="60"/>
      <c r="HJZ149" s="60"/>
      <c r="HKA149" s="60"/>
      <c r="HKB149" s="60"/>
      <c r="HKC149" s="60"/>
      <c r="HKD149" s="60"/>
      <c r="HKE149" s="60"/>
      <c r="HKF149" s="60"/>
      <c r="HKG149" s="60"/>
      <c r="HKH149" s="60"/>
      <c r="HKI149" s="60"/>
      <c r="HKJ149" s="60"/>
      <c r="HKK149" s="60"/>
      <c r="HKL149" s="60"/>
      <c r="HKM149" s="60"/>
      <c r="HKN149" s="60"/>
      <c r="HKO149" s="60"/>
      <c r="HKP149" s="60"/>
      <c r="HKQ149" s="60"/>
      <c r="HKR149" s="60"/>
      <c r="HKS149" s="60"/>
      <c r="HKT149" s="60"/>
      <c r="HKU149" s="60"/>
      <c r="HKV149" s="60"/>
      <c r="HKW149" s="60"/>
      <c r="HKX149" s="60"/>
      <c r="HKY149" s="60"/>
      <c r="HKZ149" s="60"/>
      <c r="HLA149" s="60"/>
      <c r="HLB149" s="60"/>
      <c r="HLC149" s="60"/>
      <c r="HLD149" s="60"/>
      <c r="HLE149" s="60"/>
      <c r="HLF149" s="60"/>
      <c r="HLG149" s="60"/>
      <c r="HLH149" s="60"/>
      <c r="HLI149" s="60"/>
      <c r="HLJ149" s="60"/>
      <c r="HLK149" s="60"/>
      <c r="HLL149" s="60"/>
      <c r="HLM149" s="60"/>
      <c r="HLN149" s="60"/>
      <c r="HLO149" s="60"/>
      <c r="HLP149" s="60"/>
      <c r="HLQ149" s="60"/>
      <c r="HLR149" s="60"/>
      <c r="HLS149" s="60"/>
      <c r="HLT149" s="60"/>
      <c r="HLU149" s="60"/>
      <c r="HLV149" s="60"/>
      <c r="HLW149" s="60"/>
      <c r="HLX149" s="60"/>
      <c r="HLY149" s="60"/>
      <c r="HLZ149" s="60"/>
      <c r="HMA149" s="60"/>
      <c r="HMB149" s="60"/>
      <c r="HMC149" s="60"/>
      <c r="HMD149" s="60"/>
      <c r="HME149" s="60"/>
      <c r="HMF149" s="60"/>
      <c r="HMG149" s="60"/>
      <c r="HMH149" s="60"/>
      <c r="HMI149" s="60"/>
      <c r="HMJ149" s="60"/>
      <c r="HMK149" s="60"/>
      <c r="HML149" s="60"/>
      <c r="HMM149" s="60"/>
      <c r="HMN149" s="60"/>
      <c r="HMO149" s="60"/>
      <c r="HMP149" s="60"/>
      <c r="HMQ149" s="60"/>
      <c r="HMR149" s="60"/>
      <c r="HMS149" s="60"/>
      <c r="HMT149" s="60"/>
      <c r="HMU149" s="60"/>
      <c r="HMV149" s="60"/>
      <c r="HMW149" s="60"/>
      <c r="HMX149" s="60"/>
      <c r="HMY149" s="60"/>
      <c r="HMZ149" s="60"/>
      <c r="HNA149" s="60"/>
      <c r="HNB149" s="60"/>
      <c r="HNC149" s="60"/>
      <c r="HND149" s="60"/>
      <c r="HNE149" s="60"/>
      <c r="HNF149" s="60"/>
      <c r="HNG149" s="60"/>
      <c r="HNH149" s="60"/>
      <c r="HNI149" s="60"/>
      <c r="HNJ149" s="60"/>
      <c r="HNK149" s="60"/>
      <c r="HNL149" s="60"/>
      <c r="HNM149" s="60"/>
      <c r="HNN149" s="60"/>
      <c r="HNO149" s="60"/>
      <c r="HNP149" s="60"/>
      <c r="HNQ149" s="60"/>
      <c r="HNR149" s="60"/>
      <c r="HNS149" s="60"/>
      <c r="HNT149" s="60"/>
      <c r="HNU149" s="60"/>
      <c r="HNV149" s="60"/>
      <c r="HNW149" s="60"/>
      <c r="HNX149" s="60"/>
      <c r="HNY149" s="60"/>
      <c r="HNZ149" s="60"/>
      <c r="HOA149" s="60"/>
      <c r="HOB149" s="60"/>
      <c r="HOC149" s="60"/>
      <c r="HOD149" s="60"/>
      <c r="HOE149" s="60"/>
      <c r="HOF149" s="60"/>
      <c r="HOG149" s="60"/>
      <c r="HOH149" s="60"/>
      <c r="HOI149" s="60"/>
      <c r="HOJ149" s="60"/>
      <c r="HOK149" s="60"/>
      <c r="HOL149" s="60"/>
      <c r="HOM149" s="60"/>
      <c r="HON149" s="60"/>
      <c r="HOO149" s="60"/>
      <c r="HOP149" s="60"/>
      <c r="HOQ149" s="60"/>
      <c r="HOR149" s="60"/>
      <c r="HOS149" s="60"/>
      <c r="HOT149" s="60"/>
      <c r="HOU149" s="60"/>
      <c r="HOV149" s="60"/>
      <c r="HOW149" s="60"/>
      <c r="HOX149" s="60"/>
      <c r="HOY149" s="60"/>
      <c r="HOZ149" s="60"/>
      <c r="HPA149" s="60"/>
      <c r="HPB149" s="60"/>
      <c r="HPC149" s="60"/>
      <c r="HPD149" s="60"/>
      <c r="HPE149" s="60"/>
      <c r="HPF149" s="60"/>
      <c r="HPG149" s="60"/>
      <c r="HPH149" s="60"/>
      <c r="HPI149" s="60"/>
      <c r="HPJ149" s="60"/>
      <c r="HPK149" s="60"/>
      <c r="HPL149" s="60"/>
      <c r="HPM149" s="60"/>
      <c r="HPN149" s="60"/>
      <c r="HPO149" s="60"/>
      <c r="HPP149" s="60"/>
      <c r="HPQ149" s="60"/>
      <c r="HPR149" s="60"/>
      <c r="HPS149" s="60"/>
      <c r="HPT149" s="60"/>
      <c r="HPU149" s="60"/>
      <c r="HPV149" s="60"/>
      <c r="HPW149" s="60"/>
      <c r="HPX149" s="60"/>
      <c r="HPY149" s="60"/>
      <c r="HPZ149" s="60"/>
      <c r="HQA149" s="60"/>
      <c r="HQB149" s="60"/>
      <c r="HQC149" s="60"/>
      <c r="HQD149" s="60"/>
      <c r="HQE149" s="60"/>
      <c r="HQF149" s="60"/>
      <c r="HQG149" s="60"/>
      <c r="HQH149" s="60"/>
      <c r="HQI149" s="60"/>
      <c r="HQJ149" s="60"/>
      <c r="HQK149" s="60"/>
      <c r="HQL149" s="60"/>
      <c r="HQM149" s="60"/>
      <c r="HQN149" s="60"/>
      <c r="HQO149" s="60"/>
      <c r="HQP149" s="60"/>
      <c r="HQQ149" s="60"/>
      <c r="HQR149" s="60"/>
      <c r="HQS149" s="60"/>
      <c r="HQT149" s="60"/>
      <c r="HQU149" s="60"/>
      <c r="HQV149" s="60"/>
      <c r="HQW149" s="60"/>
      <c r="HQX149" s="60"/>
      <c r="HQY149" s="60"/>
      <c r="HQZ149" s="60"/>
      <c r="HRA149" s="60"/>
      <c r="HRB149" s="60"/>
      <c r="HRC149" s="60"/>
      <c r="HRD149" s="60"/>
      <c r="HRE149" s="60"/>
      <c r="HRF149" s="60"/>
      <c r="HRG149" s="60"/>
      <c r="HRH149" s="60"/>
      <c r="HRI149" s="60"/>
      <c r="HRJ149" s="60"/>
      <c r="HRK149" s="60"/>
      <c r="HRL149" s="60"/>
      <c r="HRM149" s="60"/>
      <c r="HRN149" s="60"/>
      <c r="HRO149" s="60"/>
      <c r="HRP149" s="60"/>
      <c r="HRQ149" s="60"/>
      <c r="HRR149" s="60"/>
      <c r="HRS149" s="60"/>
      <c r="HRT149" s="60"/>
      <c r="HRU149" s="60"/>
      <c r="HRV149" s="60"/>
      <c r="HRW149" s="60"/>
      <c r="HRX149" s="60"/>
      <c r="HRY149" s="60"/>
      <c r="HRZ149" s="60"/>
      <c r="HSA149" s="60"/>
      <c r="HSB149" s="60"/>
      <c r="HSC149" s="60"/>
      <c r="HSD149" s="60"/>
      <c r="HSE149" s="60"/>
      <c r="HSF149" s="60"/>
      <c r="HSG149" s="60"/>
      <c r="HSH149" s="60"/>
      <c r="HSI149" s="60"/>
      <c r="HSJ149" s="60"/>
      <c r="HSK149" s="60"/>
      <c r="HSL149" s="60"/>
      <c r="HSM149" s="60"/>
      <c r="HSN149" s="60"/>
      <c r="HSO149" s="60"/>
      <c r="HSP149" s="60"/>
      <c r="HSQ149" s="60"/>
      <c r="HSR149" s="60"/>
      <c r="HSS149" s="60"/>
      <c r="HST149" s="60"/>
      <c r="HSU149" s="60"/>
      <c r="HSV149" s="60"/>
      <c r="HSW149" s="60"/>
      <c r="HSX149" s="60"/>
      <c r="HSY149" s="60"/>
      <c r="HSZ149" s="60"/>
      <c r="HTA149" s="60"/>
      <c r="HTB149" s="60"/>
      <c r="HTC149" s="60"/>
      <c r="HTD149" s="60"/>
      <c r="HTE149" s="60"/>
      <c r="HTF149" s="60"/>
      <c r="HTG149" s="60"/>
      <c r="HTH149" s="60"/>
      <c r="HTI149" s="60"/>
      <c r="HTJ149" s="60"/>
      <c r="HTK149" s="60"/>
      <c r="HTL149" s="60"/>
      <c r="HTM149" s="60"/>
      <c r="HTN149" s="60"/>
      <c r="HTO149" s="60"/>
      <c r="HTP149" s="60"/>
      <c r="HTQ149" s="60"/>
      <c r="HTR149" s="60"/>
      <c r="HTS149" s="60"/>
      <c r="HTT149" s="60"/>
      <c r="HTU149" s="60"/>
      <c r="HTV149" s="60"/>
      <c r="HTW149" s="60"/>
      <c r="HTX149" s="60"/>
      <c r="HTY149" s="60"/>
      <c r="HTZ149" s="60"/>
      <c r="HUA149" s="60"/>
      <c r="HUB149" s="60"/>
      <c r="HUC149" s="60"/>
      <c r="HUD149" s="60"/>
      <c r="HUE149" s="60"/>
      <c r="HUF149" s="60"/>
      <c r="HUG149" s="60"/>
      <c r="HUH149" s="60"/>
      <c r="HUI149" s="60"/>
      <c r="HUJ149" s="60"/>
      <c r="HUK149" s="60"/>
      <c r="HUL149" s="60"/>
      <c r="HUM149" s="60"/>
      <c r="HUN149" s="60"/>
      <c r="HUO149" s="60"/>
      <c r="HUP149" s="60"/>
      <c r="HUQ149" s="60"/>
      <c r="HUR149" s="60"/>
      <c r="HUS149" s="60"/>
      <c r="HUT149" s="60"/>
      <c r="HUU149" s="60"/>
      <c r="HUV149" s="60"/>
      <c r="HUW149" s="60"/>
      <c r="HUX149" s="60"/>
      <c r="HUY149" s="60"/>
      <c r="HUZ149" s="60"/>
      <c r="HVA149" s="60"/>
      <c r="HVB149" s="60"/>
      <c r="HVC149" s="60"/>
      <c r="HVD149" s="60"/>
      <c r="HVE149" s="60"/>
      <c r="HVF149" s="60"/>
      <c r="HVG149" s="60"/>
      <c r="HVH149" s="60"/>
      <c r="HVI149" s="60"/>
      <c r="HVJ149" s="60"/>
      <c r="HVK149" s="60"/>
      <c r="HVL149" s="60"/>
      <c r="HVM149" s="60"/>
      <c r="HVN149" s="60"/>
      <c r="HVO149" s="60"/>
      <c r="HVP149" s="60"/>
      <c r="HVQ149" s="60"/>
      <c r="HVR149" s="60"/>
      <c r="HVS149" s="60"/>
      <c r="HVT149" s="60"/>
      <c r="HVU149" s="60"/>
      <c r="HVV149" s="60"/>
      <c r="HVW149" s="60"/>
      <c r="HVX149" s="60"/>
      <c r="HVY149" s="60"/>
      <c r="HVZ149" s="60"/>
      <c r="HWA149" s="60"/>
      <c r="HWB149" s="60"/>
      <c r="HWC149" s="60"/>
      <c r="HWD149" s="60"/>
      <c r="HWE149" s="60"/>
      <c r="HWF149" s="60"/>
      <c r="HWG149" s="60"/>
      <c r="HWH149" s="60"/>
      <c r="HWI149" s="60"/>
      <c r="HWJ149" s="60"/>
      <c r="HWK149" s="60"/>
      <c r="HWL149" s="60"/>
      <c r="HWM149" s="60"/>
      <c r="HWN149" s="60"/>
      <c r="HWO149" s="60"/>
      <c r="HWP149" s="60"/>
      <c r="HWQ149" s="60"/>
      <c r="HWR149" s="60"/>
      <c r="HWS149" s="60"/>
      <c r="HWT149" s="60"/>
      <c r="HWU149" s="60"/>
      <c r="HWV149" s="60"/>
      <c r="HWW149" s="60"/>
      <c r="HWX149" s="60"/>
      <c r="HWY149" s="60"/>
      <c r="HWZ149" s="60"/>
      <c r="HXA149" s="60"/>
      <c r="HXB149" s="60"/>
      <c r="HXC149" s="60"/>
      <c r="HXD149" s="60"/>
      <c r="HXE149" s="60"/>
      <c r="HXF149" s="60"/>
      <c r="HXG149" s="60"/>
      <c r="HXH149" s="60"/>
      <c r="HXI149" s="60"/>
      <c r="HXJ149" s="60"/>
      <c r="HXK149" s="60"/>
      <c r="HXL149" s="60"/>
      <c r="HXM149" s="60"/>
      <c r="HXN149" s="60"/>
      <c r="HXO149" s="60"/>
      <c r="HXP149" s="60"/>
      <c r="HXQ149" s="60"/>
      <c r="HXR149" s="60"/>
      <c r="HXS149" s="60"/>
      <c r="HXT149" s="60"/>
      <c r="HXU149" s="60"/>
      <c r="HXV149" s="60"/>
      <c r="HXW149" s="60"/>
      <c r="HXX149" s="60"/>
      <c r="HXY149" s="60"/>
      <c r="HXZ149" s="60"/>
      <c r="HYA149" s="60"/>
      <c r="HYB149" s="60"/>
      <c r="HYC149" s="60"/>
      <c r="HYD149" s="60"/>
      <c r="HYE149" s="60"/>
      <c r="HYF149" s="60"/>
      <c r="HYG149" s="60"/>
      <c r="HYH149" s="60"/>
      <c r="HYI149" s="60"/>
      <c r="HYJ149" s="60"/>
      <c r="HYK149" s="60"/>
      <c r="HYL149" s="60"/>
      <c r="HYM149" s="60"/>
      <c r="HYN149" s="60"/>
      <c r="HYO149" s="60"/>
      <c r="HYP149" s="60"/>
      <c r="HYQ149" s="60"/>
      <c r="HYR149" s="60"/>
      <c r="HYS149" s="60"/>
      <c r="HYT149" s="60"/>
      <c r="HYU149" s="60"/>
      <c r="HYV149" s="60"/>
      <c r="HYW149" s="60"/>
      <c r="HYX149" s="60"/>
      <c r="HYY149" s="60"/>
      <c r="HYZ149" s="60"/>
      <c r="HZA149" s="60"/>
      <c r="HZB149" s="60"/>
      <c r="HZC149" s="60"/>
      <c r="HZD149" s="60"/>
      <c r="HZE149" s="60"/>
      <c r="HZF149" s="60"/>
      <c r="HZG149" s="60"/>
      <c r="HZH149" s="60"/>
      <c r="HZI149" s="60"/>
      <c r="HZJ149" s="60"/>
      <c r="HZK149" s="60"/>
      <c r="HZL149" s="60"/>
      <c r="HZM149" s="60"/>
      <c r="HZN149" s="60"/>
      <c r="HZO149" s="60"/>
      <c r="HZP149" s="60"/>
      <c r="HZQ149" s="60"/>
      <c r="HZR149" s="60"/>
      <c r="HZS149" s="60"/>
      <c r="HZT149" s="60"/>
      <c r="HZU149" s="60"/>
      <c r="HZV149" s="60"/>
      <c r="HZW149" s="60"/>
      <c r="HZX149" s="60"/>
      <c r="HZY149" s="60"/>
      <c r="HZZ149" s="60"/>
      <c r="IAA149" s="60"/>
      <c r="IAB149" s="60"/>
      <c r="IAC149" s="60"/>
      <c r="IAD149" s="60"/>
      <c r="IAE149" s="60"/>
      <c r="IAF149" s="60"/>
      <c r="IAG149" s="60"/>
      <c r="IAH149" s="60"/>
      <c r="IAI149" s="60"/>
      <c r="IAJ149" s="60"/>
      <c r="IAK149" s="60"/>
      <c r="IAL149" s="60"/>
      <c r="IAM149" s="60"/>
      <c r="IAN149" s="60"/>
      <c r="IAO149" s="60"/>
      <c r="IAP149" s="60"/>
      <c r="IAQ149" s="60"/>
      <c r="IAR149" s="60"/>
      <c r="IAS149" s="60"/>
      <c r="IAT149" s="60"/>
      <c r="IAU149" s="60"/>
      <c r="IAV149" s="60"/>
      <c r="IAW149" s="60"/>
      <c r="IAX149" s="60"/>
      <c r="IAY149" s="60"/>
      <c r="IAZ149" s="60"/>
      <c r="IBA149" s="60"/>
      <c r="IBB149" s="60"/>
      <c r="IBC149" s="60"/>
      <c r="IBD149" s="60"/>
      <c r="IBE149" s="60"/>
      <c r="IBF149" s="60"/>
      <c r="IBG149" s="60"/>
      <c r="IBH149" s="60"/>
      <c r="IBI149" s="60"/>
      <c r="IBJ149" s="60"/>
      <c r="IBK149" s="60"/>
      <c r="IBL149" s="60"/>
      <c r="IBM149" s="60"/>
      <c r="IBN149" s="60"/>
      <c r="IBO149" s="60"/>
      <c r="IBP149" s="60"/>
      <c r="IBQ149" s="60"/>
      <c r="IBR149" s="60"/>
      <c r="IBS149" s="60"/>
      <c r="IBT149" s="60"/>
      <c r="IBU149" s="60"/>
      <c r="IBV149" s="60"/>
      <c r="IBW149" s="60"/>
      <c r="IBX149" s="60"/>
      <c r="IBY149" s="60"/>
      <c r="IBZ149" s="60"/>
      <c r="ICA149" s="60"/>
      <c r="ICB149" s="60"/>
      <c r="ICC149" s="60"/>
      <c r="ICD149" s="60"/>
      <c r="ICE149" s="60"/>
      <c r="ICF149" s="60"/>
      <c r="ICG149" s="60"/>
      <c r="ICH149" s="60"/>
      <c r="ICI149" s="60"/>
      <c r="ICJ149" s="60"/>
      <c r="ICK149" s="60"/>
      <c r="ICL149" s="60"/>
      <c r="ICM149" s="60"/>
      <c r="ICN149" s="60"/>
      <c r="ICO149" s="60"/>
      <c r="ICP149" s="60"/>
      <c r="ICQ149" s="60"/>
      <c r="ICR149" s="60"/>
      <c r="ICS149" s="60"/>
      <c r="ICT149" s="60"/>
      <c r="ICU149" s="60"/>
      <c r="ICV149" s="60"/>
      <c r="ICW149" s="60"/>
      <c r="ICX149" s="60"/>
      <c r="ICY149" s="60"/>
      <c r="ICZ149" s="60"/>
      <c r="IDA149" s="60"/>
      <c r="IDB149" s="60"/>
      <c r="IDC149" s="60"/>
      <c r="IDD149" s="60"/>
      <c r="IDE149" s="60"/>
      <c r="IDF149" s="60"/>
      <c r="IDG149" s="60"/>
      <c r="IDH149" s="60"/>
      <c r="IDI149" s="60"/>
      <c r="IDJ149" s="60"/>
      <c r="IDK149" s="60"/>
      <c r="IDL149" s="60"/>
      <c r="IDM149" s="60"/>
      <c r="IDN149" s="60"/>
      <c r="IDO149" s="60"/>
      <c r="IDP149" s="60"/>
      <c r="IDQ149" s="60"/>
      <c r="IDR149" s="60"/>
      <c r="IDS149" s="60"/>
      <c r="IDT149" s="60"/>
      <c r="IDU149" s="60"/>
      <c r="IDV149" s="60"/>
      <c r="IDW149" s="60"/>
      <c r="IDX149" s="60"/>
      <c r="IDY149" s="60"/>
      <c r="IDZ149" s="60"/>
      <c r="IEA149" s="60"/>
      <c r="IEB149" s="60"/>
      <c r="IEC149" s="60"/>
      <c r="IED149" s="60"/>
      <c r="IEE149" s="60"/>
      <c r="IEF149" s="60"/>
      <c r="IEG149" s="60"/>
      <c r="IEH149" s="60"/>
      <c r="IEI149" s="60"/>
      <c r="IEJ149" s="60"/>
      <c r="IEK149" s="60"/>
      <c r="IEL149" s="60"/>
      <c r="IEM149" s="60"/>
      <c r="IEN149" s="60"/>
      <c r="IEO149" s="60"/>
      <c r="IEP149" s="60"/>
      <c r="IEQ149" s="60"/>
      <c r="IER149" s="60"/>
      <c r="IES149" s="60"/>
      <c r="IET149" s="60"/>
      <c r="IEU149" s="60"/>
      <c r="IEV149" s="60"/>
      <c r="IEW149" s="60"/>
      <c r="IEX149" s="60"/>
      <c r="IEY149" s="60"/>
      <c r="IEZ149" s="60"/>
      <c r="IFA149" s="60"/>
      <c r="IFB149" s="60"/>
      <c r="IFC149" s="60"/>
      <c r="IFD149" s="60"/>
      <c r="IFE149" s="60"/>
      <c r="IFF149" s="60"/>
      <c r="IFG149" s="60"/>
      <c r="IFH149" s="60"/>
      <c r="IFI149" s="60"/>
      <c r="IFJ149" s="60"/>
      <c r="IFK149" s="60"/>
      <c r="IFL149" s="60"/>
      <c r="IFM149" s="60"/>
      <c r="IFN149" s="60"/>
      <c r="IFO149" s="60"/>
      <c r="IFP149" s="60"/>
      <c r="IFQ149" s="60"/>
      <c r="IFR149" s="60"/>
      <c r="IFS149" s="60"/>
      <c r="IFT149" s="60"/>
      <c r="IFU149" s="60"/>
      <c r="IFV149" s="60"/>
      <c r="IFW149" s="60"/>
      <c r="IFX149" s="60"/>
      <c r="IFY149" s="60"/>
      <c r="IFZ149" s="60"/>
      <c r="IGA149" s="60"/>
      <c r="IGB149" s="60"/>
      <c r="IGC149" s="60"/>
      <c r="IGD149" s="60"/>
      <c r="IGE149" s="60"/>
      <c r="IGF149" s="60"/>
      <c r="IGG149" s="60"/>
      <c r="IGH149" s="60"/>
      <c r="IGI149" s="60"/>
      <c r="IGJ149" s="60"/>
      <c r="IGK149" s="60"/>
      <c r="IGL149" s="60"/>
      <c r="IGM149" s="60"/>
      <c r="IGN149" s="60"/>
      <c r="IGO149" s="60"/>
      <c r="IGP149" s="60"/>
      <c r="IGQ149" s="60"/>
      <c r="IGR149" s="60"/>
      <c r="IGS149" s="60"/>
      <c r="IGT149" s="60"/>
      <c r="IGU149" s="60"/>
      <c r="IGV149" s="60"/>
      <c r="IGW149" s="60"/>
      <c r="IGX149" s="60"/>
      <c r="IGY149" s="60"/>
      <c r="IGZ149" s="60"/>
      <c r="IHA149" s="60"/>
      <c r="IHB149" s="60"/>
      <c r="IHC149" s="60"/>
      <c r="IHD149" s="60"/>
      <c r="IHE149" s="60"/>
      <c r="IHF149" s="60"/>
      <c r="IHG149" s="60"/>
      <c r="IHH149" s="60"/>
      <c r="IHI149" s="60"/>
      <c r="IHJ149" s="60"/>
      <c r="IHK149" s="60"/>
      <c r="IHL149" s="60"/>
      <c r="IHM149" s="60"/>
      <c r="IHN149" s="60"/>
      <c r="IHO149" s="60"/>
      <c r="IHP149" s="60"/>
      <c r="IHQ149" s="60"/>
      <c r="IHR149" s="60"/>
      <c r="IHS149" s="60"/>
      <c r="IHT149" s="60"/>
      <c r="IHU149" s="60"/>
      <c r="IHV149" s="60"/>
      <c r="IHW149" s="60"/>
      <c r="IHX149" s="60"/>
      <c r="IHY149" s="60"/>
      <c r="IHZ149" s="60"/>
      <c r="IIA149" s="60"/>
      <c r="IIB149" s="60"/>
      <c r="IIC149" s="60"/>
      <c r="IID149" s="60"/>
      <c r="IIE149" s="60"/>
      <c r="IIF149" s="60"/>
      <c r="IIG149" s="60"/>
      <c r="IIH149" s="60"/>
      <c r="III149" s="60"/>
      <c r="IIJ149" s="60"/>
      <c r="IIK149" s="60"/>
      <c r="IIL149" s="60"/>
      <c r="IIM149" s="60"/>
      <c r="IIN149" s="60"/>
      <c r="IIO149" s="60"/>
      <c r="IIP149" s="60"/>
      <c r="IIQ149" s="60"/>
      <c r="IIR149" s="60"/>
      <c r="IIS149" s="60"/>
      <c r="IIT149" s="60"/>
      <c r="IIU149" s="60"/>
      <c r="IIV149" s="60"/>
      <c r="IIW149" s="60"/>
      <c r="IIX149" s="60"/>
      <c r="IIY149" s="60"/>
      <c r="IIZ149" s="60"/>
      <c r="IJA149" s="60"/>
      <c r="IJB149" s="60"/>
      <c r="IJC149" s="60"/>
      <c r="IJD149" s="60"/>
      <c r="IJE149" s="60"/>
      <c r="IJF149" s="60"/>
      <c r="IJG149" s="60"/>
      <c r="IJH149" s="60"/>
      <c r="IJI149" s="60"/>
      <c r="IJJ149" s="60"/>
      <c r="IJK149" s="60"/>
      <c r="IJL149" s="60"/>
      <c r="IJM149" s="60"/>
      <c r="IJN149" s="60"/>
      <c r="IJO149" s="60"/>
      <c r="IJP149" s="60"/>
      <c r="IJQ149" s="60"/>
      <c r="IJR149" s="60"/>
      <c r="IJS149" s="60"/>
      <c r="IJT149" s="60"/>
      <c r="IJU149" s="60"/>
      <c r="IJV149" s="60"/>
      <c r="IJW149" s="60"/>
      <c r="IJX149" s="60"/>
      <c r="IJY149" s="60"/>
      <c r="IJZ149" s="60"/>
      <c r="IKA149" s="60"/>
      <c r="IKB149" s="60"/>
      <c r="IKC149" s="60"/>
      <c r="IKD149" s="60"/>
      <c r="IKE149" s="60"/>
      <c r="IKF149" s="60"/>
      <c r="IKG149" s="60"/>
      <c r="IKH149" s="60"/>
      <c r="IKI149" s="60"/>
      <c r="IKJ149" s="60"/>
      <c r="IKK149" s="60"/>
      <c r="IKL149" s="60"/>
      <c r="IKM149" s="60"/>
      <c r="IKN149" s="60"/>
      <c r="IKO149" s="60"/>
      <c r="IKP149" s="60"/>
      <c r="IKQ149" s="60"/>
      <c r="IKR149" s="60"/>
      <c r="IKS149" s="60"/>
      <c r="IKT149" s="60"/>
      <c r="IKU149" s="60"/>
      <c r="IKV149" s="60"/>
      <c r="IKW149" s="60"/>
      <c r="IKX149" s="60"/>
      <c r="IKY149" s="60"/>
      <c r="IKZ149" s="60"/>
      <c r="ILA149" s="60"/>
      <c r="ILB149" s="60"/>
      <c r="ILC149" s="60"/>
      <c r="ILD149" s="60"/>
      <c r="ILE149" s="60"/>
      <c r="ILF149" s="60"/>
      <c r="ILG149" s="60"/>
      <c r="ILH149" s="60"/>
      <c r="ILI149" s="60"/>
      <c r="ILJ149" s="60"/>
      <c r="ILK149" s="60"/>
      <c r="ILL149" s="60"/>
      <c r="ILM149" s="60"/>
      <c r="ILN149" s="60"/>
      <c r="ILO149" s="60"/>
      <c r="ILP149" s="60"/>
      <c r="ILQ149" s="60"/>
      <c r="ILR149" s="60"/>
      <c r="ILS149" s="60"/>
      <c r="ILT149" s="60"/>
      <c r="ILU149" s="60"/>
      <c r="ILV149" s="60"/>
      <c r="ILW149" s="60"/>
      <c r="ILX149" s="60"/>
      <c r="ILY149" s="60"/>
      <c r="ILZ149" s="60"/>
      <c r="IMA149" s="60"/>
      <c r="IMB149" s="60"/>
      <c r="IMC149" s="60"/>
      <c r="IMD149" s="60"/>
      <c r="IME149" s="60"/>
      <c r="IMF149" s="60"/>
      <c r="IMG149" s="60"/>
      <c r="IMH149" s="60"/>
      <c r="IMI149" s="60"/>
      <c r="IMJ149" s="60"/>
      <c r="IMK149" s="60"/>
      <c r="IML149" s="60"/>
      <c r="IMM149" s="60"/>
      <c r="IMN149" s="60"/>
      <c r="IMO149" s="60"/>
      <c r="IMP149" s="60"/>
      <c r="IMQ149" s="60"/>
      <c r="IMR149" s="60"/>
      <c r="IMS149" s="60"/>
      <c r="IMT149" s="60"/>
      <c r="IMU149" s="60"/>
      <c r="IMV149" s="60"/>
      <c r="IMW149" s="60"/>
      <c r="IMX149" s="60"/>
      <c r="IMY149" s="60"/>
      <c r="IMZ149" s="60"/>
      <c r="INA149" s="60"/>
      <c r="INB149" s="60"/>
      <c r="INC149" s="60"/>
      <c r="IND149" s="60"/>
      <c r="INE149" s="60"/>
      <c r="INF149" s="60"/>
      <c r="ING149" s="60"/>
      <c r="INH149" s="60"/>
      <c r="INI149" s="60"/>
      <c r="INJ149" s="60"/>
      <c r="INK149" s="60"/>
      <c r="INL149" s="60"/>
      <c r="INM149" s="60"/>
      <c r="INN149" s="60"/>
      <c r="INO149" s="60"/>
      <c r="INP149" s="60"/>
      <c r="INQ149" s="60"/>
      <c r="INR149" s="60"/>
      <c r="INS149" s="60"/>
      <c r="INT149" s="60"/>
      <c r="INU149" s="60"/>
      <c r="INV149" s="60"/>
      <c r="INW149" s="60"/>
      <c r="INX149" s="60"/>
      <c r="INY149" s="60"/>
      <c r="INZ149" s="60"/>
      <c r="IOA149" s="60"/>
      <c r="IOB149" s="60"/>
      <c r="IOC149" s="60"/>
      <c r="IOD149" s="60"/>
      <c r="IOE149" s="60"/>
      <c r="IOF149" s="60"/>
      <c r="IOG149" s="60"/>
      <c r="IOH149" s="60"/>
      <c r="IOI149" s="60"/>
      <c r="IOJ149" s="60"/>
      <c r="IOK149" s="60"/>
      <c r="IOL149" s="60"/>
      <c r="IOM149" s="60"/>
      <c r="ION149" s="60"/>
      <c r="IOO149" s="60"/>
      <c r="IOP149" s="60"/>
      <c r="IOQ149" s="60"/>
      <c r="IOR149" s="60"/>
      <c r="IOS149" s="60"/>
      <c r="IOT149" s="60"/>
      <c r="IOU149" s="60"/>
      <c r="IOV149" s="60"/>
      <c r="IOW149" s="60"/>
      <c r="IOX149" s="60"/>
      <c r="IOY149" s="60"/>
      <c r="IOZ149" s="60"/>
      <c r="IPA149" s="60"/>
      <c r="IPB149" s="60"/>
      <c r="IPC149" s="60"/>
      <c r="IPD149" s="60"/>
      <c r="IPE149" s="60"/>
      <c r="IPF149" s="60"/>
      <c r="IPG149" s="60"/>
      <c r="IPH149" s="60"/>
      <c r="IPI149" s="60"/>
      <c r="IPJ149" s="60"/>
      <c r="IPK149" s="60"/>
      <c r="IPL149" s="60"/>
      <c r="IPM149" s="60"/>
      <c r="IPN149" s="60"/>
      <c r="IPO149" s="60"/>
      <c r="IPP149" s="60"/>
      <c r="IPQ149" s="60"/>
      <c r="IPR149" s="60"/>
      <c r="IPS149" s="60"/>
      <c r="IPT149" s="60"/>
      <c r="IPU149" s="60"/>
      <c r="IPV149" s="60"/>
      <c r="IPW149" s="60"/>
      <c r="IPX149" s="60"/>
      <c r="IPY149" s="60"/>
      <c r="IPZ149" s="60"/>
      <c r="IQA149" s="60"/>
      <c r="IQB149" s="60"/>
      <c r="IQC149" s="60"/>
      <c r="IQD149" s="60"/>
      <c r="IQE149" s="60"/>
      <c r="IQF149" s="60"/>
      <c r="IQG149" s="60"/>
      <c r="IQH149" s="60"/>
      <c r="IQI149" s="60"/>
      <c r="IQJ149" s="60"/>
      <c r="IQK149" s="60"/>
      <c r="IQL149" s="60"/>
      <c r="IQM149" s="60"/>
      <c r="IQN149" s="60"/>
      <c r="IQO149" s="60"/>
      <c r="IQP149" s="60"/>
      <c r="IQQ149" s="60"/>
      <c r="IQR149" s="60"/>
      <c r="IQS149" s="60"/>
      <c r="IQT149" s="60"/>
      <c r="IQU149" s="60"/>
      <c r="IQV149" s="60"/>
      <c r="IQW149" s="60"/>
      <c r="IQX149" s="60"/>
      <c r="IQY149" s="60"/>
      <c r="IQZ149" s="60"/>
      <c r="IRA149" s="60"/>
      <c r="IRB149" s="60"/>
      <c r="IRC149" s="60"/>
      <c r="IRD149" s="60"/>
      <c r="IRE149" s="60"/>
      <c r="IRF149" s="60"/>
      <c r="IRG149" s="60"/>
      <c r="IRH149" s="60"/>
      <c r="IRI149" s="60"/>
      <c r="IRJ149" s="60"/>
      <c r="IRK149" s="60"/>
      <c r="IRL149" s="60"/>
      <c r="IRM149" s="60"/>
      <c r="IRN149" s="60"/>
      <c r="IRO149" s="60"/>
      <c r="IRP149" s="60"/>
      <c r="IRQ149" s="60"/>
      <c r="IRR149" s="60"/>
      <c r="IRS149" s="60"/>
      <c r="IRT149" s="60"/>
      <c r="IRU149" s="60"/>
      <c r="IRV149" s="60"/>
      <c r="IRW149" s="60"/>
      <c r="IRX149" s="60"/>
      <c r="IRY149" s="60"/>
      <c r="IRZ149" s="60"/>
      <c r="ISA149" s="60"/>
      <c r="ISB149" s="60"/>
      <c r="ISC149" s="60"/>
      <c r="ISD149" s="60"/>
      <c r="ISE149" s="60"/>
      <c r="ISF149" s="60"/>
      <c r="ISG149" s="60"/>
      <c r="ISH149" s="60"/>
      <c r="ISI149" s="60"/>
      <c r="ISJ149" s="60"/>
      <c r="ISK149" s="60"/>
      <c r="ISL149" s="60"/>
      <c r="ISM149" s="60"/>
      <c r="ISN149" s="60"/>
      <c r="ISO149" s="60"/>
      <c r="ISP149" s="60"/>
      <c r="ISQ149" s="60"/>
      <c r="ISR149" s="60"/>
      <c r="ISS149" s="60"/>
      <c r="IST149" s="60"/>
      <c r="ISU149" s="60"/>
      <c r="ISV149" s="60"/>
      <c r="ISW149" s="60"/>
      <c r="ISX149" s="60"/>
      <c r="ISY149" s="60"/>
      <c r="ISZ149" s="60"/>
      <c r="ITA149" s="60"/>
      <c r="ITB149" s="60"/>
      <c r="ITC149" s="60"/>
      <c r="ITD149" s="60"/>
      <c r="ITE149" s="60"/>
      <c r="ITF149" s="60"/>
      <c r="ITG149" s="60"/>
      <c r="ITH149" s="60"/>
      <c r="ITI149" s="60"/>
      <c r="ITJ149" s="60"/>
      <c r="ITK149" s="60"/>
      <c r="ITL149" s="60"/>
      <c r="ITM149" s="60"/>
      <c r="ITN149" s="60"/>
      <c r="ITO149" s="60"/>
      <c r="ITP149" s="60"/>
      <c r="ITQ149" s="60"/>
      <c r="ITR149" s="60"/>
      <c r="ITS149" s="60"/>
      <c r="ITT149" s="60"/>
      <c r="ITU149" s="60"/>
      <c r="ITV149" s="60"/>
      <c r="ITW149" s="60"/>
      <c r="ITX149" s="60"/>
      <c r="ITY149" s="60"/>
      <c r="ITZ149" s="60"/>
      <c r="IUA149" s="60"/>
      <c r="IUB149" s="60"/>
      <c r="IUC149" s="60"/>
      <c r="IUD149" s="60"/>
      <c r="IUE149" s="60"/>
      <c r="IUF149" s="60"/>
      <c r="IUG149" s="60"/>
      <c r="IUH149" s="60"/>
      <c r="IUI149" s="60"/>
      <c r="IUJ149" s="60"/>
      <c r="IUK149" s="60"/>
      <c r="IUL149" s="60"/>
      <c r="IUM149" s="60"/>
      <c r="IUN149" s="60"/>
      <c r="IUO149" s="60"/>
      <c r="IUP149" s="60"/>
      <c r="IUQ149" s="60"/>
      <c r="IUR149" s="60"/>
      <c r="IUS149" s="60"/>
      <c r="IUT149" s="60"/>
      <c r="IUU149" s="60"/>
      <c r="IUV149" s="60"/>
      <c r="IUW149" s="60"/>
      <c r="IUX149" s="60"/>
      <c r="IUY149" s="60"/>
      <c r="IUZ149" s="60"/>
      <c r="IVA149" s="60"/>
      <c r="IVB149" s="60"/>
      <c r="IVC149" s="60"/>
      <c r="IVD149" s="60"/>
      <c r="IVE149" s="60"/>
      <c r="IVF149" s="60"/>
      <c r="IVG149" s="60"/>
      <c r="IVH149" s="60"/>
      <c r="IVI149" s="60"/>
      <c r="IVJ149" s="60"/>
      <c r="IVK149" s="60"/>
      <c r="IVL149" s="60"/>
      <c r="IVM149" s="60"/>
      <c r="IVN149" s="60"/>
      <c r="IVO149" s="60"/>
      <c r="IVP149" s="60"/>
      <c r="IVQ149" s="60"/>
      <c r="IVR149" s="60"/>
      <c r="IVS149" s="60"/>
      <c r="IVT149" s="60"/>
      <c r="IVU149" s="60"/>
      <c r="IVV149" s="60"/>
      <c r="IVW149" s="60"/>
      <c r="IVX149" s="60"/>
      <c r="IVY149" s="60"/>
      <c r="IVZ149" s="60"/>
      <c r="IWA149" s="60"/>
      <c r="IWB149" s="60"/>
      <c r="IWC149" s="60"/>
      <c r="IWD149" s="60"/>
      <c r="IWE149" s="60"/>
      <c r="IWF149" s="60"/>
      <c r="IWG149" s="60"/>
      <c r="IWH149" s="60"/>
      <c r="IWI149" s="60"/>
      <c r="IWJ149" s="60"/>
      <c r="IWK149" s="60"/>
      <c r="IWL149" s="60"/>
      <c r="IWM149" s="60"/>
      <c r="IWN149" s="60"/>
      <c r="IWO149" s="60"/>
      <c r="IWP149" s="60"/>
      <c r="IWQ149" s="60"/>
      <c r="IWR149" s="60"/>
      <c r="IWS149" s="60"/>
      <c r="IWT149" s="60"/>
      <c r="IWU149" s="60"/>
      <c r="IWV149" s="60"/>
      <c r="IWW149" s="60"/>
      <c r="IWX149" s="60"/>
      <c r="IWY149" s="60"/>
      <c r="IWZ149" s="60"/>
      <c r="IXA149" s="60"/>
      <c r="IXB149" s="60"/>
      <c r="IXC149" s="60"/>
      <c r="IXD149" s="60"/>
      <c r="IXE149" s="60"/>
      <c r="IXF149" s="60"/>
      <c r="IXG149" s="60"/>
      <c r="IXH149" s="60"/>
      <c r="IXI149" s="60"/>
      <c r="IXJ149" s="60"/>
      <c r="IXK149" s="60"/>
      <c r="IXL149" s="60"/>
      <c r="IXM149" s="60"/>
      <c r="IXN149" s="60"/>
      <c r="IXO149" s="60"/>
      <c r="IXP149" s="60"/>
      <c r="IXQ149" s="60"/>
      <c r="IXR149" s="60"/>
      <c r="IXS149" s="60"/>
      <c r="IXT149" s="60"/>
      <c r="IXU149" s="60"/>
      <c r="IXV149" s="60"/>
      <c r="IXW149" s="60"/>
      <c r="IXX149" s="60"/>
      <c r="IXY149" s="60"/>
      <c r="IXZ149" s="60"/>
      <c r="IYA149" s="60"/>
      <c r="IYB149" s="60"/>
      <c r="IYC149" s="60"/>
      <c r="IYD149" s="60"/>
      <c r="IYE149" s="60"/>
      <c r="IYF149" s="60"/>
      <c r="IYG149" s="60"/>
      <c r="IYH149" s="60"/>
      <c r="IYI149" s="60"/>
      <c r="IYJ149" s="60"/>
      <c r="IYK149" s="60"/>
      <c r="IYL149" s="60"/>
      <c r="IYM149" s="60"/>
      <c r="IYN149" s="60"/>
      <c r="IYO149" s="60"/>
      <c r="IYP149" s="60"/>
      <c r="IYQ149" s="60"/>
      <c r="IYR149" s="60"/>
      <c r="IYS149" s="60"/>
      <c r="IYT149" s="60"/>
      <c r="IYU149" s="60"/>
      <c r="IYV149" s="60"/>
      <c r="IYW149" s="60"/>
      <c r="IYX149" s="60"/>
      <c r="IYY149" s="60"/>
      <c r="IYZ149" s="60"/>
      <c r="IZA149" s="60"/>
      <c r="IZB149" s="60"/>
      <c r="IZC149" s="60"/>
      <c r="IZD149" s="60"/>
      <c r="IZE149" s="60"/>
      <c r="IZF149" s="60"/>
      <c r="IZG149" s="60"/>
      <c r="IZH149" s="60"/>
      <c r="IZI149" s="60"/>
      <c r="IZJ149" s="60"/>
      <c r="IZK149" s="60"/>
      <c r="IZL149" s="60"/>
      <c r="IZM149" s="60"/>
      <c r="IZN149" s="60"/>
      <c r="IZO149" s="60"/>
      <c r="IZP149" s="60"/>
      <c r="IZQ149" s="60"/>
      <c r="IZR149" s="60"/>
      <c r="IZS149" s="60"/>
      <c r="IZT149" s="60"/>
      <c r="IZU149" s="60"/>
      <c r="IZV149" s="60"/>
      <c r="IZW149" s="60"/>
      <c r="IZX149" s="60"/>
      <c r="IZY149" s="60"/>
      <c r="IZZ149" s="60"/>
      <c r="JAA149" s="60"/>
      <c r="JAB149" s="60"/>
      <c r="JAC149" s="60"/>
      <c r="JAD149" s="60"/>
      <c r="JAE149" s="60"/>
      <c r="JAF149" s="60"/>
      <c r="JAG149" s="60"/>
      <c r="JAH149" s="60"/>
      <c r="JAI149" s="60"/>
      <c r="JAJ149" s="60"/>
      <c r="JAK149" s="60"/>
      <c r="JAL149" s="60"/>
      <c r="JAM149" s="60"/>
      <c r="JAN149" s="60"/>
      <c r="JAO149" s="60"/>
      <c r="JAP149" s="60"/>
      <c r="JAQ149" s="60"/>
      <c r="JAR149" s="60"/>
      <c r="JAS149" s="60"/>
      <c r="JAT149" s="60"/>
      <c r="JAU149" s="60"/>
      <c r="JAV149" s="60"/>
      <c r="JAW149" s="60"/>
      <c r="JAX149" s="60"/>
      <c r="JAY149" s="60"/>
      <c r="JAZ149" s="60"/>
      <c r="JBA149" s="60"/>
      <c r="JBB149" s="60"/>
      <c r="JBC149" s="60"/>
      <c r="JBD149" s="60"/>
      <c r="JBE149" s="60"/>
      <c r="JBF149" s="60"/>
      <c r="JBG149" s="60"/>
      <c r="JBH149" s="60"/>
      <c r="JBI149" s="60"/>
      <c r="JBJ149" s="60"/>
      <c r="JBK149" s="60"/>
      <c r="JBL149" s="60"/>
      <c r="JBM149" s="60"/>
      <c r="JBN149" s="60"/>
      <c r="JBO149" s="60"/>
      <c r="JBP149" s="60"/>
      <c r="JBQ149" s="60"/>
      <c r="JBR149" s="60"/>
      <c r="JBS149" s="60"/>
      <c r="JBT149" s="60"/>
      <c r="JBU149" s="60"/>
      <c r="JBV149" s="60"/>
      <c r="JBW149" s="60"/>
      <c r="JBX149" s="60"/>
      <c r="JBY149" s="60"/>
      <c r="JBZ149" s="60"/>
      <c r="JCA149" s="60"/>
      <c r="JCB149" s="60"/>
      <c r="JCC149" s="60"/>
      <c r="JCD149" s="60"/>
      <c r="JCE149" s="60"/>
      <c r="JCF149" s="60"/>
      <c r="JCG149" s="60"/>
      <c r="JCH149" s="60"/>
      <c r="JCI149" s="60"/>
      <c r="JCJ149" s="60"/>
      <c r="JCK149" s="60"/>
      <c r="JCL149" s="60"/>
      <c r="JCM149" s="60"/>
      <c r="JCN149" s="60"/>
      <c r="JCO149" s="60"/>
      <c r="JCP149" s="60"/>
      <c r="JCQ149" s="60"/>
      <c r="JCR149" s="60"/>
      <c r="JCS149" s="60"/>
      <c r="JCT149" s="60"/>
      <c r="JCU149" s="60"/>
      <c r="JCV149" s="60"/>
      <c r="JCW149" s="60"/>
      <c r="JCX149" s="60"/>
      <c r="JCY149" s="60"/>
      <c r="JCZ149" s="60"/>
      <c r="JDA149" s="60"/>
      <c r="JDB149" s="60"/>
      <c r="JDC149" s="60"/>
      <c r="JDD149" s="60"/>
      <c r="JDE149" s="60"/>
      <c r="JDF149" s="60"/>
      <c r="JDG149" s="60"/>
      <c r="JDH149" s="60"/>
      <c r="JDI149" s="60"/>
      <c r="JDJ149" s="60"/>
      <c r="JDK149" s="60"/>
      <c r="JDL149" s="60"/>
      <c r="JDM149" s="60"/>
      <c r="JDN149" s="60"/>
      <c r="JDO149" s="60"/>
      <c r="JDP149" s="60"/>
      <c r="JDQ149" s="60"/>
      <c r="JDR149" s="60"/>
      <c r="JDS149" s="60"/>
      <c r="JDT149" s="60"/>
      <c r="JDU149" s="60"/>
      <c r="JDV149" s="60"/>
      <c r="JDW149" s="60"/>
      <c r="JDX149" s="60"/>
      <c r="JDY149" s="60"/>
      <c r="JDZ149" s="60"/>
      <c r="JEA149" s="60"/>
      <c r="JEB149" s="60"/>
      <c r="JEC149" s="60"/>
      <c r="JED149" s="60"/>
      <c r="JEE149" s="60"/>
      <c r="JEF149" s="60"/>
      <c r="JEG149" s="60"/>
      <c r="JEH149" s="60"/>
      <c r="JEI149" s="60"/>
      <c r="JEJ149" s="60"/>
      <c r="JEK149" s="60"/>
      <c r="JEL149" s="60"/>
      <c r="JEM149" s="60"/>
      <c r="JEN149" s="60"/>
      <c r="JEO149" s="60"/>
      <c r="JEP149" s="60"/>
      <c r="JEQ149" s="60"/>
      <c r="JER149" s="60"/>
      <c r="JES149" s="60"/>
      <c r="JET149" s="60"/>
      <c r="JEU149" s="60"/>
      <c r="JEV149" s="60"/>
      <c r="JEW149" s="60"/>
      <c r="JEX149" s="60"/>
      <c r="JEY149" s="60"/>
      <c r="JEZ149" s="60"/>
      <c r="JFA149" s="60"/>
      <c r="JFB149" s="60"/>
      <c r="JFC149" s="60"/>
      <c r="JFD149" s="60"/>
      <c r="JFE149" s="60"/>
      <c r="JFF149" s="60"/>
      <c r="JFG149" s="60"/>
      <c r="JFH149" s="60"/>
      <c r="JFI149" s="60"/>
      <c r="JFJ149" s="60"/>
      <c r="JFK149" s="60"/>
      <c r="JFL149" s="60"/>
      <c r="JFM149" s="60"/>
      <c r="JFN149" s="60"/>
      <c r="JFO149" s="60"/>
      <c r="JFP149" s="60"/>
      <c r="JFQ149" s="60"/>
      <c r="JFR149" s="60"/>
      <c r="JFS149" s="60"/>
      <c r="JFT149" s="60"/>
      <c r="JFU149" s="60"/>
      <c r="JFV149" s="60"/>
      <c r="JFW149" s="60"/>
      <c r="JFX149" s="60"/>
      <c r="JFY149" s="60"/>
      <c r="JFZ149" s="60"/>
      <c r="JGA149" s="60"/>
      <c r="JGB149" s="60"/>
      <c r="JGC149" s="60"/>
      <c r="JGD149" s="60"/>
      <c r="JGE149" s="60"/>
      <c r="JGF149" s="60"/>
      <c r="JGG149" s="60"/>
      <c r="JGH149" s="60"/>
      <c r="JGI149" s="60"/>
      <c r="JGJ149" s="60"/>
      <c r="JGK149" s="60"/>
      <c r="JGL149" s="60"/>
      <c r="JGM149" s="60"/>
      <c r="JGN149" s="60"/>
      <c r="JGO149" s="60"/>
      <c r="JGP149" s="60"/>
      <c r="JGQ149" s="60"/>
      <c r="JGR149" s="60"/>
      <c r="JGS149" s="60"/>
      <c r="JGT149" s="60"/>
      <c r="JGU149" s="60"/>
      <c r="JGV149" s="60"/>
      <c r="JGW149" s="60"/>
      <c r="JGX149" s="60"/>
      <c r="JGY149" s="60"/>
      <c r="JGZ149" s="60"/>
      <c r="JHA149" s="60"/>
      <c r="JHB149" s="60"/>
      <c r="JHC149" s="60"/>
      <c r="JHD149" s="60"/>
      <c r="JHE149" s="60"/>
      <c r="JHF149" s="60"/>
      <c r="JHG149" s="60"/>
      <c r="JHH149" s="60"/>
      <c r="JHI149" s="60"/>
      <c r="JHJ149" s="60"/>
      <c r="JHK149" s="60"/>
      <c r="JHL149" s="60"/>
      <c r="JHM149" s="60"/>
      <c r="JHN149" s="60"/>
      <c r="JHO149" s="60"/>
      <c r="JHP149" s="60"/>
      <c r="JHQ149" s="60"/>
      <c r="JHR149" s="60"/>
      <c r="JHS149" s="60"/>
      <c r="JHT149" s="60"/>
      <c r="JHU149" s="60"/>
      <c r="JHV149" s="60"/>
      <c r="JHW149" s="60"/>
      <c r="JHX149" s="60"/>
      <c r="JHY149" s="60"/>
      <c r="JHZ149" s="60"/>
      <c r="JIA149" s="60"/>
      <c r="JIB149" s="60"/>
      <c r="JIC149" s="60"/>
      <c r="JID149" s="60"/>
      <c r="JIE149" s="60"/>
      <c r="JIF149" s="60"/>
      <c r="JIG149" s="60"/>
      <c r="JIH149" s="60"/>
      <c r="JII149" s="60"/>
      <c r="JIJ149" s="60"/>
      <c r="JIK149" s="60"/>
      <c r="JIL149" s="60"/>
      <c r="JIM149" s="60"/>
      <c r="JIN149" s="60"/>
      <c r="JIO149" s="60"/>
      <c r="JIP149" s="60"/>
      <c r="JIQ149" s="60"/>
      <c r="JIR149" s="60"/>
      <c r="JIS149" s="60"/>
      <c r="JIT149" s="60"/>
      <c r="JIU149" s="60"/>
      <c r="JIV149" s="60"/>
      <c r="JIW149" s="60"/>
      <c r="JIX149" s="60"/>
      <c r="JIY149" s="60"/>
      <c r="JIZ149" s="60"/>
      <c r="JJA149" s="60"/>
      <c r="JJB149" s="60"/>
      <c r="JJC149" s="60"/>
      <c r="JJD149" s="60"/>
      <c r="JJE149" s="60"/>
      <c r="JJF149" s="60"/>
      <c r="JJG149" s="60"/>
      <c r="JJH149" s="60"/>
      <c r="JJI149" s="60"/>
      <c r="JJJ149" s="60"/>
      <c r="JJK149" s="60"/>
      <c r="JJL149" s="60"/>
      <c r="JJM149" s="60"/>
      <c r="JJN149" s="60"/>
      <c r="JJO149" s="60"/>
      <c r="JJP149" s="60"/>
      <c r="JJQ149" s="60"/>
      <c r="JJR149" s="60"/>
      <c r="JJS149" s="60"/>
      <c r="JJT149" s="60"/>
      <c r="JJU149" s="60"/>
      <c r="JJV149" s="60"/>
      <c r="JJW149" s="60"/>
      <c r="JJX149" s="60"/>
      <c r="JJY149" s="60"/>
      <c r="JJZ149" s="60"/>
      <c r="JKA149" s="60"/>
      <c r="JKB149" s="60"/>
      <c r="JKC149" s="60"/>
      <c r="JKD149" s="60"/>
      <c r="JKE149" s="60"/>
      <c r="JKF149" s="60"/>
      <c r="JKG149" s="60"/>
      <c r="JKH149" s="60"/>
      <c r="JKI149" s="60"/>
      <c r="JKJ149" s="60"/>
      <c r="JKK149" s="60"/>
      <c r="JKL149" s="60"/>
      <c r="JKM149" s="60"/>
      <c r="JKN149" s="60"/>
      <c r="JKO149" s="60"/>
      <c r="JKP149" s="60"/>
      <c r="JKQ149" s="60"/>
      <c r="JKR149" s="60"/>
      <c r="JKS149" s="60"/>
      <c r="JKT149" s="60"/>
      <c r="JKU149" s="60"/>
      <c r="JKV149" s="60"/>
      <c r="JKW149" s="60"/>
      <c r="JKX149" s="60"/>
      <c r="JKY149" s="60"/>
      <c r="JKZ149" s="60"/>
      <c r="JLA149" s="60"/>
      <c r="JLB149" s="60"/>
      <c r="JLC149" s="60"/>
      <c r="JLD149" s="60"/>
      <c r="JLE149" s="60"/>
      <c r="JLF149" s="60"/>
      <c r="JLG149" s="60"/>
      <c r="JLH149" s="60"/>
      <c r="JLI149" s="60"/>
      <c r="JLJ149" s="60"/>
      <c r="JLK149" s="60"/>
      <c r="JLL149" s="60"/>
      <c r="JLM149" s="60"/>
      <c r="JLN149" s="60"/>
      <c r="JLO149" s="60"/>
      <c r="JLP149" s="60"/>
      <c r="JLQ149" s="60"/>
      <c r="JLR149" s="60"/>
      <c r="JLS149" s="60"/>
      <c r="JLT149" s="60"/>
      <c r="JLU149" s="60"/>
      <c r="JLV149" s="60"/>
      <c r="JLW149" s="60"/>
      <c r="JLX149" s="60"/>
      <c r="JLY149" s="60"/>
      <c r="JLZ149" s="60"/>
      <c r="JMA149" s="60"/>
      <c r="JMB149" s="60"/>
      <c r="JMC149" s="60"/>
      <c r="JMD149" s="60"/>
      <c r="JME149" s="60"/>
      <c r="JMF149" s="60"/>
      <c r="JMG149" s="60"/>
      <c r="JMH149" s="60"/>
      <c r="JMI149" s="60"/>
      <c r="JMJ149" s="60"/>
      <c r="JMK149" s="60"/>
      <c r="JML149" s="60"/>
      <c r="JMM149" s="60"/>
      <c r="JMN149" s="60"/>
      <c r="JMO149" s="60"/>
      <c r="JMP149" s="60"/>
      <c r="JMQ149" s="60"/>
      <c r="JMR149" s="60"/>
      <c r="JMS149" s="60"/>
      <c r="JMT149" s="60"/>
      <c r="JMU149" s="60"/>
      <c r="JMV149" s="60"/>
      <c r="JMW149" s="60"/>
      <c r="JMX149" s="60"/>
      <c r="JMY149" s="60"/>
      <c r="JMZ149" s="60"/>
      <c r="JNA149" s="60"/>
      <c r="JNB149" s="60"/>
      <c r="JNC149" s="60"/>
      <c r="JND149" s="60"/>
      <c r="JNE149" s="60"/>
      <c r="JNF149" s="60"/>
      <c r="JNG149" s="60"/>
      <c r="JNH149" s="60"/>
      <c r="JNI149" s="60"/>
      <c r="JNJ149" s="60"/>
      <c r="JNK149" s="60"/>
      <c r="JNL149" s="60"/>
      <c r="JNM149" s="60"/>
      <c r="JNN149" s="60"/>
      <c r="JNO149" s="60"/>
      <c r="JNP149" s="60"/>
      <c r="JNQ149" s="60"/>
      <c r="JNR149" s="60"/>
      <c r="JNS149" s="60"/>
      <c r="JNT149" s="60"/>
      <c r="JNU149" s="60"/>
      <c r="JNV149" s="60"/>
      <c r="JNW149" s="60"/>
      <c r="JNX149" s="60"/>
      <c r="JNY149" s="60"/>
      <c r="JNZ149" s="60"/>
      <c r="JOA149" s="60"/>
      <c r="JOB149" s="60"/>
      <c r="JOC149" s="60"/>
      <c r="JOD149" s="60"/>
      <c r="JOE149" s="60"/>
      <c r="JOF149" s="60"/>
      <c r="JOG149" s="60"/>
      <c r="JOH149" s="60"/>
      <c r="JOI149" s="60"/>
      <c r="JOJ149" s="60"/>
      <c r="JOK149" s="60"/>
      <c r="JOL149" s="60"/>
      <c r="JOM149" s="60"/>
      <c r="JON149" s="60"/>
      <c r="JOO149" s="60"/>
      <c r="JOP149" s="60"/>
      <c r="JOQ149" s="60"/>
      <c r="JOR149" s="60"/>
      <c r="JOS149" s="60"/>
      <c r="JOT149" s="60"/>
      <c r="JOU149" s="60"/>
      <c r="JOV149" s="60"/>
      <c r="JOW149" s="60"/>
      <c r="JOX149" s="60"/>
      <c r="JOY149" s="60"/>
      <c r="JOZ149" s="60"/>
      <c r="JPA149" s="60"/>
      <c r="JPB149" s="60"/>
      <c r="JPC149" s="60"/>
      <c r="JPD149" s="60"/>
      <c r="JPE149" s="60"/>
      <c r="JPF149" s="60"/>
      <c r="JPG149" s="60"/>
      <c r="JPH149" s="60"/>
      <c r="JPI149" s="60"/>
      <c r="JPJ149" s="60"/>
      <c r="JPK149" s="60"/>
      <c r="JPL149" s="60"/>
      <c r="JPM149" s="60"/>
      <c r="JPN149" s="60"/>
      <c r="JPO149" s="60"/>
      <c r="JPP149" s="60"/>
      <c r="JPQ149" s="60"/>
      <c r="JPR149" s="60"/>
      <c r="JPS149" s="60"/>
      <c r="JPT149" s="60"/>
      <c r="JPU149" s="60"/>
      <c r="JPV149" s="60"/>
      <c r="JPW149" s="60"/>
      <c r="JPX149" s="60"/>
      <c r="JPY149" s="60"/>
      <c r="JPZ149" s="60"/>
      <c r="JQA149" s="60"/>
      <c r="JQB149" s="60"/>
      <c r="JQC149" s="60"/>
      <c r="JQD149" s="60"/>
      <c r="JQE149" s="60"/>
      <c r="JQF149" s="60"/>
      <c r="JQG149" s="60"/>
      <c r="JQH149" s="60"/>
      <c r="JQI149" s="60"/>
      <c r="JQJ149" s="60"/>
      <c r="JQK149" s="60"/>
      <c r="JQL149" s="60"/>
      <c r="JQM149" s="60"/>
      <c r="JQN149" s="60"/>
      <c r="JQO149" s="60"/>
      <c r="JQP149" s="60"/>
      <c r="JQQ149" s="60"/>
      <c r="JQR149" s="60"/>
      <c r="JQS149" s="60"/>
      <c r="JQT149" s="60"/>
      <c r="JQU149" s="60"/>
      <c r="JQV149" s="60"/>
      <c r="JQW149" s="60"/>
      <c r="JQX149" s="60"/>
      <c r="JQY149" s="60"/>
      <c r="JQZ149" s="60"/>
      <c r="JRA149" s="60"/>
      <c r="JRB149" s="60"/>
      <c r="JRC149" s="60"/>
      <c r="JRD149" s="60"/>
      <c r="JRE149" s="60"/>
      <c r="JRF149" s="60"/>
      <c r="JRG149" s="60"/>
      <c r="JRH149" s="60"/>
      <c r="JRI149" s="60"/>
      <c r="JRJ149" s="60"/>
      <c r="JRK149" s="60"/>
      <c r="JRL149" s="60"/>
      <c r="JRM149" s="60"/>
      <c r="JRN149" s="60"/>
      <c r="JRO149" s="60"/>
      <c r="JRP149" s="60"/>
      <c r="JRQ149" s="60"/>
      <c r="JRR149" s="60"/>
      <c r="JRS149" s="60"/>
      <c r="JRT149" s="60"/>
      <c r="JRU149" s="60"/>
      <c r="JRV149" s="60"/>
      <c r="JRW149" s="60"/>
      <c r="JRX149" s="60"/>
      <c r="JRY149" s="60"/>
      <c r="JRZ149" s="60"/>
      <c r="JSA149" s="60"/>
      <c r="JSB149" s="60"/>
      <c r="JSC149" s="60"/>
      <c r="JSD149" s="60"/>
      <c r="JSE149" s="60"/>
      <c r="JSF149" s="60"/>
      <c r="JSG149" s="60"/>
      <c r="JSH149" s="60"/>
      <c r="JSI149" s="60"/>
      <c r="JSJ149" s="60"/>
      <c r="JSK149" s="60"/>
      <c r="JSL149" s="60"/>
      <c r="JSM149" s="60"/>
      <c r="JSN149" s="60"/>
      <c r="JSO149" s="60"/>
      <c r="JSP149" s="60"/>
      <c r="JSQ149" s="60"/>
      <c r="JSR149" s="60"/>
      <c r="JSS149" s="60"/>
      <c r="JST149" s="60"/>
      <c r="JSU149" s="60"/>
      <c r="JSV149" s="60"/>
      <c r="JSW149" s="60"/>
      <c r="JSX149" s="60"/>
      <c r="JSY149" s="60"/>
      <c r="JSZ149" s="60"/>
      <c r="JTA149" s="60"/>
      <c r="JTB149" s="60"/>
      <c r="JTC149" s="60"/>
      <c r="JTD149" s="60"/>
      <c r="JTE149" s="60"/>
      <c r="JTF149" s="60"/>
      <c r="JTG149" s="60"/>
      <c r="JTH149" s="60"/>
      <c r="JTI149" s="60"/>
      <c r="JTJ149" s="60"/>
      <c r="JTK149" s="60"/>
      <c r="JTL149" s="60"/>
      <c r="JTM149" s="60"/>
      <c r="JTN149" s="60"/>
      <c r="JTO149" s="60"/>
      <c r="JTP149" s="60"/>
      <c r="JTQ149" s="60"/>
      <c r="JTR149" s="60"/>
      <c r="JTS149" s="60"/>
      <c r="JTT149" s="60"/>
      <c r="JTU149" s="60"/>
      <c r="JTV149" s="60"/>
      <c r="JTW149" s="60"/>
      <c r="JTX149" s="60"/>
      <c r="JTY149" s="60"/>
      <c r="JTZ149" s="60"/>
      <c r="JUA149" s="60"/>
      <c r="JUB149" s="60"/>
      <c r="JUC149" s="60"/>
      <c r="JUD149" s="60"/>
      <c r="JUE149" s="60"/>
      <c r="JUF149" s="60"/>
      <c r="JUG149" s="60"/>
      <c r="JUH149" s="60"/>
      <c r="JUI149" s="60"/>
      <c r="JUJ149" s="60"/>
      <c r="JUK149" s="60"/>
      <c r="JUL149" s="60"/>
      <c r="JUM149" s="60"/>
      <c r="JUN149" s="60"/>
      <c r="JUO149" s="60"/>
      <c r="JUP149" s="60"/>
      <c r="JUQ149" s="60"/>
      <c r="JUR149" s="60"/>
      <c r="JUS149" s="60"/>
      <c r="JUT149" s="60"/>
      <c r="JUU149" s="60"/>
      <c r="JUV149" s="60"/>
      <c r="JUW149" s="60"/>
      <c r="JUX149" s="60"/>
      <c r="JUY149" s="60"/>
      <c r="JUZ149" s="60"/>
      <c r="JVA149" s="60"/>
      <c r="JVB149" s="60"/>
      <c r="JVC149" s="60"/>
      <c r="JVD149" s="60"/>
      <c r="JVE149" s="60"/>
      <c r="JVF149" s="60"/>
      <c r="JVG149" s="60"/>
      <c r="JVH149" s="60"/>
      <c r="JVI149" s="60"/>
      <c r="JVJ149" s="60"/>
      <c r="JVK149" s="60"/>
      <c r="JVL149" s="60"/>
      <c r="JVM149" s="60"/>
      <c r="JVN149" s="60"/>
      <c r="JVO149" s="60"/>
      <c r="JVP149" s="60"/>
      <c r="JVQ149" s="60"/>
      <c r="JVR149" s="60"/>
      <c r="JVS149" s="60"/>
      <c r="JVT149" s="60"/>
      <c r="JVU149" s="60"/>
      <c r="JVV149" s="60"/>
      <c r="JVW149" s="60"/>
      <c r="JVX149" s="60"/>
      <c r="JVY149" s="60"/>
      <c r="JVZ149" s="60"/>
      <c r="JWA149" s="60"/>
      <c r="JWB149" s="60"/>
      <c r="JWC149" s="60"/>
      <c r="JWD149" s="60"/>
      <c r="JWE149" s="60"/>
      <c r="JWF149" s="60"/>
      <c r="JWG149" s="60"/>
      <c r="JWH149" s="60"/>
      <c r="JWI149" s="60"/>
      <c r="JWJ149" s="60"/>
      <c r="JWK149" s="60"/>
      <c r="JWL149" s="60"/>
      <c r="JWM149" s="60"/>
      <c r="JWN149" s="60"/>
      <c r="JWO149" s="60"/>
      <c r="JWP149" s="60"/>
      <c r="JWQ149" s="60"/>
      <c r="JWR149" s="60"/>
      <c r="JWS149" s="60"/>
      <c r="JWT149" s="60"/>
      <c r="JWU149" s="60"/>
      <c r="JWV149" s="60"/>
      <c r="JWW149" s="60"/>
      <c r="JWX149" s="60"/>
      <c r="JWY149" s="60"/>
      <c r="JWZ149" s="60"/>
      <c r="JXA149" s="60"/>
      <c r="JXB149" s="60"/>
      <c r="JXC149" s="60"/>
      <c r="JXD149" s="60"/>
      <c r="JXE149" s="60"/>
      <c r="JXF149" s="60"/>
      <c r="JXG149" s="60"/>
      <c r="JXH149" s="60"/>
      <c r="JXI149" s="60"/>
      <c r="JXJ149" s="60"/>
      <c r="JXK149" s="60"/>
      <c r="JXL149" s="60"/>
      <c r="JXM149" s="60"/>
      <c r="JXN149" s="60"/>
      <c r="JXO149" s="60"/>
      <c r="JXP149" s="60"/>
      <c r="JXQ149" s="60"/>
      <c r="JXR149" s="60"/>
      <c r="JXS149" s="60"/>
      <c r="JXT149" s="60"/>
      <c r="JXU149" s="60"/>
      <c r="JXV149" s="60"/>
      <c r="JXW149" s="60"/>
      <c r="JXX149" s="60"/>
      <c r="JXY149" s="60"/>
      <c r="JXZ149" s="60"/>
      <c r="JYA149" s="60"/>
      <c r="JYB149" s="60"/>
      <c r="JYC149" s="60"/>
      <c r="JYD149" s="60"/>
      <c r="JYE149" s="60"/>
      <c r="JYF149" s="60"/>
      <c r="JYG149" s="60"/>
      <c r="JYH149" s="60"/>
      <c r="JYI149" s="60"/>
      <c r="JYJ149" s="60"/>
      <c r="JYK149" s="60"/>
      <c r="JYL149" s="60"/>
      <c r="JYM149" s="60"/>
      <c r="JYN149" s="60"/>
      <c r="JYO149" s="60"/>
      <c r="JYP149" s="60"/>
      <c r="JYQ149" s="60"/>
      <c r="JYR149" s="60"/>
      <c r="JYS149" s="60"/>
      <c r="JYT149" s="60"/>
      <c r="JYU149" s="60"/>
      <c r="JYV149" s="60"/>
      <c r="JYW149" s="60"/>
      <c r="JYX149" s="60"/>
      <c r="JYY149" s="60"/>
      <c r="JYZ149" s="60"/>
      <c r="JZA149" s="60"/>
      <c r="JZB149" s="60"/>
      <c r="JZC149" s="60"/>
      <c r="JZD149" s="60"/>
      <c r="JZE149" s="60"/>
      <c r="JZF149" s="60"/>
      <c r="JZG149" s="60"/>
      <c r="JZH149" s="60"/>
      <c r="JZI149" s="60"/>
      <c r="JZJ149" s="60"/>
      <c r="JZK149" s="60"/>
      <c r="JZL149" s="60"/>
      <c r="JZM149" s="60"/>
      <c r="JZN149" s="60"/>
      <c r="JZO149" s="60"/>
      <c r="JZP149" s="60"/>
      <c r="JZQ149" s="60"/>
      <c r="JZR149" s="60"/>
      <c r="JZS149" s="60"/>
      <c r="JZT149" s="60"/>
      <c r="JZU149" s="60"/>
      <c r="JZV149" s="60"/>
      <c r="JZW149" s="60"/>
      <c r="JZX149" s="60"/>
      <c r="JZY149" s="60"/>
      <c r="JZZ149" s="60"/>
      <c r="KAA149" s="60"/>
      <c r="KAB149" s="60"/>
      <c r="KAC149" s="60"/>
      <c r="KAD149" s="60"/>
      <c r="KAE149" s="60"/>
      <c r="KAF149" s="60"/>
      <c r="KAG149" s="60"/>
      <c r="KAH149" s="60"/>
      <c r="KAI149" s="60"/>
      <c r="KAJ149" s="60"/>
      <c r="KAK149" s="60"/>
      <c r="KAL149" s="60"/>
      <c r="KAM149" s="60"/>
      <c r="KAN149" s="60"/>
      <c r="KAO149" s="60"/>
      <c r="KAP149" s="60"/>
      <c r="KAQ149" s="60"/>
      <c r="KAR149" s="60"/>
      <c r="KAS149" s="60"/>
      <c r="KAT149" s="60"/>
      <c r="KAU149" s="60"/>
      <c r="KAV149" s="60"/>
      <c r="KAW149" s="60"/>
      <c r="KAX149" s="60"/>
      <c r="KAY149" s="60"/>
      <c r="KAZ149" s="60"/>
      <c r="KBA149" s="60"/>
      <c r="KBB149" s="60"/>
      <c r="KBC149" s="60"/>
      <c r="KBD149" s="60"/>
      <c r="KBE149" s="60"/>
      <c r="KBF149" s="60"/>
      <c r="KBG149" s="60"/>
      <c r="KBH149" s="60"/>
      <c r="KBI149" s="60"/>
      <c r="KBJ149" s="60"/>
      <c r="KBK149" s="60"/>
      <c r="KBL149" s="60"/>
      <c r="KBM149" s="60"/>
      <c r="KBN149" s="60"/>
      <c r="KBO149" s="60"/>
      <c r="KBP149" s="60"/>
      <c r="KBQ149" s="60"/>
      <c r="KBR149" s="60"/>
      <c r="KBS149" s="60"/>
      <c r="KBT149" s="60"/>
      <c r="KBU149" s="60"/>
      <c r="KBV149" s="60"/>
      <c r="KBW149" s="60"/>
      <c r="KBX149" s="60"/>
      <c r="KBY149" s="60"/>
      <c r="KBZ149" s="60"/>
      <c r="KCA149" s="60"/>
      <c r="KCB149" s="60"/>
      <c r="KCC149" s="60"/>
      <c r="KCD149" s="60"/>
      <c r="KCE149" s="60"/>
      <c r="KCF149" s="60"/>
      <c r="KCG149" s="60"/>
      <c r="KCH149" s="60"/>
      <c r="KCI149" s="60"/>
      <c r="KCJ149" s="60"/>
      <c r="KCK149" s="60"/>
      <c r="KCL149" s="60"/>
      <c r="KCM149" s="60"/>
      <c r="KCN149" s="60"/>
      <c r="KCO149" s="60"/>
      <c r="KCP149" s="60"/>
      <c r="KCQ149" s="60"/>
      <c r="KCR149" s="60"/>
      <c r="KCS149" s="60"/>
      <c r="KCT149" s="60"/>
      <c r="KCU149" s="60"/>
      <c r="KCV149" s="60"/>
      <c r="KCW149" s="60"/>
      <c r="KCX149" s="60"/>
      <c r="KCY149" s="60"/>
      <c r="KCZ149" s="60"/>
      <c r="KDA149" s="60"/>
      <c r="KDB149" s="60"/>
      <c r="KDC149" s="60"/>
      <c r="KDD149" s="60"/>
      <c r="KDE149" s="60"/>
      <c r="KDF149" s="60"/>
      <c r="KDG149" s="60"/>
      <c r="KDH149" s="60"/>
      <c r="KDI149" s="60"/>
      <c r="KDJ149" s="60"/>
      <c r="KDK149" s="60"/>
      <c r="KDL149" s="60"/>
      <c r="KDM149" s="60"/>
      <c r="KDN149" s="60"/>
      <c r="KDO149" s="60"/>
      <c r="KDP149" s="60"/>
      <c r="KDQ149" s="60"/>
      <c r="KDR149" s="60"/>
      <c r="KDS149" s="60"/>
      <c r="KDT149" s="60"/>
      <c r="KDU149" s="60"/>
      <c r="KDV149" s="60"/>
      <c r="KDW149" s="60"/>
      <c r="KDX149" s="60"/>
      <c r="KDY149" s="60"/>
      <c r="KDZ149" s="60"/>
      <c r="KEA149" s="60"/>
      <c r="KEB149" s="60"/>
      <c r="KEC149" s="60"/>
      <c r="KED149" s="60"/>
      <c r="KEE149" s="60"/>
      <c r="KEF149" s="60"/>
      <c r="KEG149" s="60"/>
      <c r="KEH149" s="60"/>
      <c r="KEI149" s="60"/>
      <c r="KEJ149" s="60"/>
      <c r="KEK149" s="60"/>
      <c r="KEL149" s="60"/>
      <c r="KEM149" s="60"/>
      <c r="KEN149" s="60"/>
      <c r="KEO149" s="60"/>
      <c r="KEP149" s="60"/>
      <c r="KEQ149" s="60"/>
      <c r="KER149" s="60"/>
      <c r="KES149" s="60"/>
      <c r="KET149" s="60"/>
      <c r="KEU149" s="60"/>
      <c r="KEV149" s="60"/>
      <c r="KEW149" s="60"/>
      <c r="KEX149" s="60"/>
      <c r="KEY149" s="60"/>
      <c r="KEZ149" s="60"/>
      <c r="KFA149" s="60"/>
      <c r="KFB149" s="60"/>
      <c r="KFC149" s="60"/>
      <c r="KFD149" s="60"/>
      <c r="KFE149" s="60"/>
      <c r="KFF149" s="60"/>
      <c r="KFG149" s="60"/>
      <c r="KFH149" s="60"/>
      <c r="KFI149" s="60"/>
      <c r="KFJ149" s="60"/>
      <c r="KFK149" s="60"/>
      <c r="KFL149" s="60"/>
      <c r="KFM149" s="60"/>
      <c r="KFN149" s="60"/>
      <c r="KFO149" s="60"/>
      <c r="KFP149" s="60"/>
      <c r="KFQ149" s="60"/>
      <c r="KFR149" s="60"/>
      <c r="KFS149" s="60"/>
      <c r="KFT149" s="60"/>
      <c r="KFU149" s="60"/>
      <c r="KFV149" s="60"/>
      <c r="KFW149" s="60"/>
      <c r="KFX149" s="60"/>
      <c r="KFY149" s="60"/>
      <c r="KFZ149" s="60"/>
      <c r="KGA149" s="60"/>
      <c r="KGB149" s="60"/>
      <c r="KGC149" s="60"/>
      <c r="KGD149" s="60"/>
      <c r="KGE149" s="60"/>
      <c r="KGF149" s="60"/>
      <c r="KGG149" s="60"/>
      <c r="KGH149" s="60"/>
      <c r="KGI149" s="60"/>
      <c r="KGJ149" s="60"/>
      <c r="KGK149" s="60"/>
      <c r="KGL149" s="60"/>
      <c r="KGM149" s="60"/>
      <c r="KGN149" s="60"/>
      <c r="KGO149" s="60"/>
      <c r="KGP149" s="60"/>
      <c r="KGQ149" s="60"/>
      <c r="KGR149" s="60"/>
      <c r="KGS149" s="60"/>
      <c r="KGT149" s="60"/>
      <c r="KGU149" s="60"/>
      <c r="KGV149" s="60"/>
      <c r="KGW149" s="60"/>
      <c r="KGX149" s="60"/>
      <c r="KGY149" s="60"/>
      <c r="KGZ149" s="60"/>
      <c r="KHA149" s="60"/>
      <c r="KHB149" s="60"/>
      <c r="KHC149" s="60"/>
      <c r="KHD149" s="60"/>
      <c r="KHE149" s="60"/>
      <c r="KHF149" s="60"/>
      <c r="KHG149" s="60"/>
      <c r="KHH149" s="60"/>
      <c r="KHI149" s="60"/>
      <c r="KHJ149" s="60"/>
      <c r="KHK149" s="60"/>
      <c r="KHL149" s="60"/>
      <c r="KHM149" s="60"/>
      <c r="KHN149" s="60"/>
      <c r="KHO149" s="60"/>
      <c r="KHP149" s="60"/>
      <c r="KHQ149" s="60"/>
      <c r="KHR149" s="60"/>
      <c r="KHS149" s="60"/>
      <c r="KHT149" s="60"/>
      <c r="KHU149" s="60"/>
      <c r="KHV149" s="60"/>
      <c r="KHW149" s="60"/>
      <c r="KHX149" s="60"/>
      <c r="KHY149" s="60"/>
      <c r="KHZ149" s="60"/>
      <c r="KIA149" s="60"/>
      <c r="KIB149" s="60"/>
      <c r="KIC149" s="60"/>
      <c r="KID149" s="60"/>
      <c r="KIE149" s="60"/>
      <c r="KIF149" s="60"/>
      <c r="KIG149" s="60"/>
      <c r="KIH149" s="60"/>
      <c r="KII149" s="60"/>
      <c r="KIJ149" s="60"/>
      <c r="KIK149" s="60"/>
      <c r="KIL149" s="60"/>
      <c r="KIM149" s="60"/>
      <c r="KIN149" s="60"/>
      <c r="KIO149" s="60"/>
      <c r="KIP149" s="60"/>
      <c r="KIQ149" s="60"/>
      <c r="KIR149" s="60"/>
      <c r="KIS149" s="60"/>
      <c r="KIT149" s="60"/>
      <c r="KIU149" s="60"/>
      <c r="KIV149" s="60"/>
      <c r="KIW149" s="60"/>
      <c r="KIX149" s="60"/>
      <c r="KIY149" s="60"/>
      <c r="KIZ149" s="60"/>
      <c r="KJA149" s="60"/>
      <c r="KJB149" s="60"/>
      <c r="KJC149" s="60"/>
      <c r="KJD149" s="60"/>
      <c r="KJE149" s="60"/>
      <c r="KJF149" s="60"/>
      <c r="KJG149" s="60"/>
      <c r="KJH149" s="60"/>
      <c r="KJI149" s="60"/>
      <c r="KJJ149" s="60"/>
      <c r="KJK149" s="60"/>
      <c r="KJL149" s="60"/>
      <c r="KJM149" s="60"/>
      <c r="KJN149" s="60"/>
      <c r="KJO149" s="60"/>
      <c r="KJP149" s="60"/>
      <c r="KJQ149" s="60"/>
      <c r="KJR149" s="60"/>
      <c r="KJS149" s="60"/>
      <c r="KJT149" s="60"/>
      <c r="KJU149" s="60"/>
      <c r="KJV149" s="60"/>
      <c r="KJW149" s="60"/>
      <c r="KJX149" s="60"/>
      <c r="KJY149" s="60"/>
      <c r="KJZ149" s="60"/>
      <c r="KKA149" s="60"/>
      <c r="KKB149" s="60"/>
      <c r="KKC149" s="60"/>
      <c r="KKD149" s="60"/>
      <c r="KKE149" s="60"/>
      <c r="KKF149" s="60"/>
      <c r="KKG149" s="60"/>
      <c r="KKH149" s="60"/>
      <c r="KKI149" s="60"/>
      <c r="KKJ149" s="60"/>
      <c r="KKK149" s="60"/>
      <c r="KKL149" s="60"/>
      <c r="KKM149" s="60"/>
      <c r="KKN149" s="60"/>
      <c r="KKO149" s="60"/>
      <c r="KKP149" s="60"/>
      <c r="KKQ149" s="60"/>
      <c r="KKR149" s="60"/>
      <c r="KKS149" s="60"/>
      <c r="KKT149" s="60"/>
      <c r="KKU149" s="60"/>
      <c r="KKV149" s="60"/>
      <c r="KKW149" s="60"/>
      <c r="KKX149" s="60"/>
      <c r="KKY149" s="60"/>
      <c r="KKZ149" s="60"/>
      <c r="KLA149" s="60"/>
      <c r="KLB149" s="60"/>
      <c r="KLC149" s="60"/>
      <c r="KLD149" s="60"/>
      <c r="KLE149" s="60"/>
      <c r="KLF149" s="60"/>
      <c r="KLG149" s="60"/>
      <c r="KLH149" s="60"/>
      <c r="KLI149" s="60"/>
      <c r="KLJ149" s="60"/>
      <c r="KLK149" s="60"/>
      <c r="KLL149" s="60"/>
      <c r="KLM149" s="60"/>
      <c r="KLN149" s="60"/>
      <c r="KLO149" s="60"/>
      <c r="KLP149" s="60"/>
      <c r="KLQ149" s="60"/>
      <c r="KLR149" s="60"/>
      <c r="KLS149" s="60"/>
      <c r="KLT149" s="60"/>
      <c r="KLU149" s="60"/>
      <c r="KLV149" s="60"/>
      <c r="KLW149" s="60"/>
      <c r="KLX149" s="60"/>
      <c r="KLY149" s="60"/>
      <c r="KLZ149" s="60"/>
      <c r="KMA149" s="60"/>
      <c r="KMB149" s="60"/>
      <c r="KMC149" s="60"/>
      <c r="KMD149" s="60"/>
      <c r="KME149" s="60"/>
      <c r="KMF149" s="60"/>
      <c r="KMG149" s="60"/>
      <c r="KMH149" s="60"/>
      <c r="KMI149" s="60"/>
      <c r="KMJ149" s="60"/>
      <c r="KMK149" s="60"/>
      <c r="KML149" s="60"/>
      <c r="KMM149" s="60"/>
      <c r="KMN149" s="60"/>
      <c r="KMO149" s="60"/>
      <c r="KMP149" s="60"/>
      <c r="KMQ149" s="60"/>
      <c r="KMR149" s="60"/>
      <c r="KMS149" s="60"/>
      <c r="KMT149" s="60"/>
      <c r="KMU149" s="60"/>
      <c r="KMV149" s="60"/>
      <c r="KMW149" s="60"/>
      <c r="KMX149" s="60"/>
      <c r="KMY149" s="60"/>
      <c r="KMZ149" s="60"/>
      <c r="KNA149" s="60"/>
      <c r="KNB149" s="60"/>
      <c r="KNC149" s="60"/>
      <c r="KND149" s="60"/>
      <c r="KNE149" s="60"/>
      <c r="KNF149" s="60"/>
      <c r="KNG149" s="60"/>
      <c r="KNH149" s="60"/>
      <c r="KNI149" s="60"/>
      <c r="KNJ149" s="60"/>
      <c r="KNK149" s="60"/>
      <c r="KNL149" s="60"/>
      <c r="KNM149" s="60"/>
      <c r="KNN149" s="60"/>
      <c r="KNO149" s="60"/>
      <c r="KNP149" s="60"/>
      <c r="KNQ149" s="60"/>
      <c r="KNR149" s="60"/>
      <c r="KNS149" s="60"/>
      <c r="KNT149" s="60"/>
      <c r="KNU149" s="60"/>
      <c r="KNV149" s="60"/>
      <c r="KNW149" s="60"/>
      <c r="KNX149" s="60"/>
      <c r="KNY149" s="60"/>
      <c r="KNZ149" s="60"/>
      <c r="KOA149" s="60"/>
      <c r="KOB149" s="60"/>
      <c r="KOC149" s="60"/>
      <c r="KOD149" s="60"/>
      <c r="KOE149" s="60"/>
      <c r="KOF149" s="60"/>
      <c r="KOG149" s="60"/>
      <c r="KOH149" s="60"/>
      <c r="KOI149" s="60"/>
      <c r="KOJ149" s="60"/>
      <c r="KOK149" s="60"/>
      <c r="KOL149" s="60"/>
      <c r="KOM149" s="60"/>
      <c r="KON149" s="60"/>
      <c r="KOO149" s="60"/>
      <c r="KOP149" s="60"/>
      <c r="KOQ149" s="60"/>
      <c r="KOR149" s="60"/>
      <c r="KOS149" s="60"/>
      <c r="KOT149" s="60"/>
      <c r="KOU149" s="60"/>
      <c r="KOV149" s="60"/>
      <c r="KOW149" s="60"/>
      <c r="KOX149" s="60"/>
      <c r="KOY149" s="60"/>
      <c r="KOZ149" s="60"/>
      <c r="KPA149" s="60"/>
      <c r="KPB149" s="60"/>
      <c r="KPC149" s="60"/>
      <c r="KPD149" s="60"/>
      <c r="KPE149" s="60"/>
      <c r="KPF149" s="60"/>
      <c r="KPG149" s="60"/>
      <c r="KPH149" s="60"/>
      <c r="KPI149" s="60"/>
      <c r="KPJ149" s="60"/>
      <c r="KPK149" s="60"/>
      <c r="KPL149" s="60"/>
      <c r="KPM149" s="60"/>
      <c r="KPN149" s="60"/>
      <c r="KPO149" s="60"/>
      <c r="KPP149" s="60"/>
      <c r="KPQ149" s="60"/>
      <c r="KPR149" s="60"/>
      <c r="KPS149" s="60"/>
      <c r="KPT149" s="60"/>
      <c r="KPU149" s="60"/>
      <c r="KPV149" s="60"/>
      <c r="KPW149" s="60"/>
      <c r="KPX149" s="60"/>
      <c r="KPY149" s="60"/>
      <c r="KPZ149" s="60"/>
      <c r="KQA149" s="60"/>
      <c r="KQB149" s="60"/>
      <c r="KQC149" s="60"/>
      <c r="KQD149" s="60"/>
      <c r="KQE149" s="60"/>
      <c r="KQF149" s="60"/>
      <c r="KQG149" s="60"/>
      <c r="KQH149" s="60"/>
      <c r="KQI149" s="60"/>
      <c r="KQJ149" s="60"/>
      <c r="KQK149" s="60"/>
      <c r="KQL149" s="60"/>
      <c r="KQM149" s="60"/>
      <c r="KQN149" s="60"/>
      <c r="KQO149" s="60"/>
      <c r="KQP149" s="60"/>
      <c r="KQQ149" s="60"/>
      <c r="KQR149" s="60"/>
      <c r="KQS149" s="60"/>
      <c r="KQT149" s="60"/>
      <c r="KQU149" s="60"/>
      <c r="KQV149" s="60"/>
      <c r="KQW149" s="60"/>
      <c r="KQX149" s="60"/>
      <c r="KQY149" s="60"/>
      <c r="KQZ149" s="60"/>
      <c r="KRA149" s="60"/>
      <c r="KRB149" s="60"/>
      <c r="KRC149" s="60"/>
      <c r="KRD149" s="60"/>
      <c r="KRE149" s="60"/>
      <c r="KRF149" s="60"/>
      <c r="KRG149" s="60"/>
      <c r="KRH149" s="60"/>
      <c r="KRI149" s="60"/>
      <c r="KRJ149" s="60"/>
      <c r="KRK149" s="60"/>
      <c r="KRL149" s="60"/>
      <c r="KRM149" s="60"/>
      <c r="KRN149" s="60"/>
      <c r="KRO149" s="60"/>
      <c r="KRP149" s="60"/>
      <c r="KRQ149" s="60"/>
      <c r="KRR149" s="60"/>
      <c r="KRS149" s="60"/>
      <c r="KRT149" s="60"/>
      <c r="KRU149" s="60"/>
      <c r="KRV149" s="60"/>
      <c r="KRW149" s="60"/>
      <c r="KRX149" s="60"/>
      <c r="KRY149" s="60"/>
      <c r="KRZ149" s="60"/>
      <c r="KSA149" s="60"/>
      <c r="KSB149" s="60"/>
      <c r="KSC149" s="60"/>
      <c r="KSD149" s="60"/>
      <c r="KSE149" s="60"/>
      <c r="KSF149" s="60"/>
      <c r="KSG149" s="60"/>
      <c r="KSH149" s="60"/>
      <c r="KSI149" s="60"/>
      <c r="KSJ149" s="60"/>
      <c r="KSK149" s="60"/>
      <c r="KSL149" s="60"/>
      <c r="KSM149" s="60"/>
      <c r="KSN149" s="60"/>
      <c r="KSO149" s="60"/>
      <c r="KSP149" s="60"/>
      <c r="KSQ149" s="60"/>
      <c r="KSR149" s="60"/>
      <c r="KSS149" s="60"/>
      <c r="KST149" s="60"/>
      <c r="KSU149" s="60"/>
      <c r="KSV149" s="60"/>
      <c r="KSW149" s="60"/>
      <c r="KSX149" s="60"/>
      <c r="KSY149" s="60"/>
      <c r="KSZ149" s="60"/>
      <c r="KTA149" s="60"/>
      <c r="KTB149" s="60"/>
      <c r="KTC149" s="60"/>
      <c r="KTD149" s="60"/>
      <c r="KTE149" s="60"/>
      <c r="KTF149" s="60"/>
      <c r="KTG149" s="60"/>
      <c r="KTH149" s="60"/>
      <c r="KTI149" s="60"/>
      <c r="KTJ149" s="60"/>
      <c r="KTK149" s="60"/>
      <c r="KTL149" s="60"/>
      <c r="KTM149" s="60"/>
      <c r="KTN149" s="60"/>
      <c r="KTO149" s="60"/>
      <c r="KTP149" s="60"/>
      <c r="KTQ149" s="60"/>
      <c r="KTR149" s="60"/>
      <c r="KTS149" s="60"/>
      <c r="KTT149" s="60"/>
      <c r="KTU149" s="60"/>
      <c r="KTV149" s="60"/>
      <c r="KTW149" s="60"/>
      <c r="KTX149" s="60"/>
      <c r="KTY149" s="60"/>
      <c r="KTZ149" s="60"/>
      <c r="KUA149" s="60"/>
      <c r="KUB149" s="60"/>
      <c r="KUC149" s="60"/>
      <c r="KUD149" s="60"/>
      <c r="KUE149" s="60"/>
      <c r="KUF149" s="60"/>
      <c r="KUG149" s="60"/>
      <c r="KUH149" s="60"/>
      <c r="KUI149" s="60"/>
      <c r="KUJ149" s="60"/>
      <c r="KUK149" s="60"/>
      <c r="KUL149" s="60"/>
      <c r="KUM149" s="60"/>
      <c r="KUN149" s="60"/>
      <c r="KUO149" s="60"/>
      <c r="KUP149" s="60"/>
      <c r="KUQ149" s="60"/>
      <c r="KUR149" s="60"/>
      <c r="KUS149" s="60"/>
      <c r="KUT149" s="60"/>
      <c r="KUU149" s="60"/>
      <c r="KUV149" s="60"/>
      <c r="KUW149" s="60"/>
      <c r="KUX149" s="60"/>
      <c r="KUY149" s="60"/>
      <c r="KUZ149" s="60"/>
      <c r="KVA149" s="60"/>
      <c r="KVB149" s="60"/>
      <c r="KVC149" s="60"/>
      <c r="KVD149" s="60"/>
      <c r="KVE149" s="60"/>
      <c r="KVF149" s="60"/>
      <c r="KVG149" s="60"/>
      <c r="KVH149" s="60"/>
      <c r="KVI149" s="60"/>
      <c r="KVJ149" s="60"/>
      <c r="KVK149" s="60"/>
      <c r="KVL149" s="60"/>
      <c r="KVM149" s="60"/>
      <c r="KVN149" s="60"/>
      <c r="KVO149" s="60"/>
      <c r="KVP149" s="60"/>
      <c r="KVQ149" s="60"/>
      <c r="KVR149" s="60"/>
      <c r="KVS149" s="60"/>
      <c r="KVT149" s="60"/>
      <c r="KVU149" s="60"/>
      <c r="KVV149" s="60"/>
      <c r="KVW149" s="60"/>
      <c r="KVX149" s="60"/>
      <c r="KVY149" s="60"/>
      <c r="KVZ149" s="60"/>
      <c r="KWA149" s="60"/>
      <c r="KWB149" s="60"/>
      <c r="KWC149" s="60"/>
      <c r="KWD149" s="60"/>
      <c r="KWE149" s="60"/>
      <c r="KWF149" s="60"/>
      <c r="KWG149" s="60"/>
      <c r="KWH149" s="60"/>
      <c r="KWI149" s="60"/>
      <c r="KWJ149" s="60"/>
      <c r="KWK149" s="60"/>
      <c r="KWL149" s="60"/>
      <c r="KWM149" s="60"/>
      <c r="KWN149" s="60"/>
      <c r="KWO149" s="60"/>
      <c r="KWP149" s="60"/>
      <c r="KWQ149" s="60"/>
      <c r="KWR149" s="60"/>
      <c r="KWS149" s="60"/>
      <c r="KWT149" s="60"/>
      <c r="KWU149" s="60"/>
      <c r="KWV149" s="60"/>
      <c r="KWW149" s="60"/>
      <c r="KWX149" s="60"/>
      <c r="KWY149" s="60"/>
      <c r="KWZ149" s="60"/>
      <c r="KXA149" s="60"/>
      <c r="KXB149" s="60"/>
      <c r="KXC149" s="60"/>
      <c r="KXD149" s="60"/>
      <c r="KXE149" s="60"/>
      <c r="KXF149" s="60"/>
      <c r="KXG149" s="60"/>
      <c r="KXH149" s="60"/>
      <c r="KXI149" s="60"/>
      <c r="KXJ149" s="60"/>
      <c r="KXK149" s="60"/>
      <c r="KXL149" s="60"/>
      <c r="KXM149" s="60"/>
      <c r="KXN149" s="60"/>
      <c r="KXO149" s="60"/>
      <c r="KXP149" s="60"/>
      <c r="KXQ149" s="60"/>
      <c r="KXR149" s="60"/>
      <c r="KXS149" s="60"/>
      <c r="KXT149" s="60"/>
      <c r="KXU149" s="60"/>
      <c r="KXV149" s="60"/>
      <c r="KXW149" s="60"/>
      <c r="KXX149" s="60"/>
      <c r="KXY149" s="60"/>
      <c r="KXZ149" s="60"/>
      <c r="KYA149" s="60"/>
      <c r="KYB149" s="60"/>
      <c r="KYC149" s="60"/>
      <c r="KYD149" s="60"/>
      <c r="KYE149" s="60"/>
      <c r="KYF149" s="60"/>
      <c r="KYG149" s="60"/>
      <c r="KYH149" s="60"/>
      <c r="KYI149" s="60"/>
      <c r="KYJ149" s="60"/>
      <c r="KYK149" s="60"/>
      <c r="KYL149" s="60"/>
      <c r="KYM149" s="60"/>
      <c r="KYN149" s="60"/>
      <c r="KYO149" s="60"/>
      <c r="KYP149" s="60"/>
      <c r="KYQ149" s="60"/>
      <c r="KYR149" s="60"/>
      <c r="KYS149" s="60"/>
      <c r="KYT149" s="60"/>
      <c r="KYU149" s="60"/>
      <c r="KYV149" s="60"/>
      <c r="KYW149" s="60"/>
      <c r="KYX149" s="60"/>
      <c r="KYY149" s="60"/>
      <c r="KYZ149" s="60"/>
      <c r="KZA149" s="60"/>
      <c r="KZB149" s="60"/>
      <c r="KZC149" s="60"/>
      <c r="KZD149" s="60"/>
      <c r="KZE149" s="60"/>
      <c r="KZF149" s="60"/>
      <c r="KZG149" s="60"/>
      <c r="KZH149" s="60"/>
      <c r="KZI149" s="60"/>
      <c r="KZJ149" s="60"/>
      <c r="KZK149" s="60"/>
      <c r="KZL149" s="60"/>
      <c r="KZM149" s="60"/>
      <c r="KZN149" s="60"/>
      <c r="KZO149" s="60"/>
      <c r="KZP149" s="60"/>
      <c r="KZQ149" s="60"/>
      <c r="KZR149" s="60"/>
      <c r="KZS149" s="60"/>
      <c r="KZT149" s="60"/>
      <c r="KZU149" s="60"/>
      <c r="KZV149" s="60"/>
      <c r="KZW149" s="60"/>
      <c r="KZX149" s="60"/>
      <c r="KZY149" s="60"/>
      <c r="KZZ149" s="60"/>
      <c r="LAA149" s="60"/>
      <c r="LAB149" s="60"/>
      <c r="LAC149" s="60"/>
      <c r="LAD149" s="60"/>
      <c r="LAE149" s="60"/>
      <c r="LAF149" s="60"/>
      <c r="LAG149" s="60"/>
      <c r="LAH149" s="60"/>
      <c r="LAI149" s="60"/>
      <c r="LAJ149" s="60"/>
      <c r="LAK149" s="60"/>
      <c r="LAL149" s="60"/>
      <c r="LAM149" s="60"/>
      <c r="LAN149" s="60"/>
      <c r="LAO149" s="60"/>
      <c r="LAP149" s="60"/>
      <c r="LAQ149" s="60"/>
      <c r="LAR149" s="60"/>
      <c r="LAS149" s="60"/>
      <c r="LAT149" s="60"/>
      <c r="LAU149" s="60"/>
      <c r="LAV149" s="60"/>
      <c r="LAW149" s="60"/>
      <c r="LAX149" s="60"/>
      <c r="LAY149" s="60"/>
      <c r="LAZ149" s="60"/>
      <c r="LBA149" s="60"/>
      <c r="LBB149" s="60"/>
      <c r="LBC149" s="60"/>
      <c r="LBD149" s="60"/>
      <c r="LBE149" s="60"/>
      <c r="LBF149" s="60"/>
      <c r="LBG149" s="60"/>
      <c r="LBH149" s="60"/>
      <c r="LBI149" s="60"/>
      <c r="LBJ149" s="60"/>
      <c r="LBK149" s="60"/>
      <c r="LBL149" s="60"/>
      <c r="LBM149" s="60"/>
      <c r="LBN149" s="60"/>
      <c r="LBO149" s="60"/>
      <c r="LBP149" s="60"/>
      <c r="LBQ149" s="60"/>
      <c r="LBR149" s="60"/>
      <c r="LBS149" s="60"/>
      <c r="LBT149" s="60"/>
      <c r="LBU149" s="60"/>
      <c r="LBV149" s="60"/>
      <c r="LBW149" s="60"/>
      <c r="LBX149" s="60"/>
      <c r="LBY149" s="60"/>
      <c r="LBZ149" s="60"/>
      <c r="LCA149" s="60"/>
      <c r="LCB149" s="60"/>
      <c r="LCC149" s="60"/>
      <c r="LCD149" s="60"/>
      <c r="LCE149" s="60"/>
      <c r="LCF149" s="60"/>
      <c r="LCG149" s="60"/>
      <c r="LCH149" s="60"/>
      <c r="LCI149" s="60"/>
      <c r="LCJ149" s="60"/>
      <c r="LCK149" s="60"/>
      <c r="LCL149" s="60"/>
      <c r="LCM149" s="60"/>
      <c r="LCN149" s="60"/>
      <c r="LCO149" s="60"/>
      <c r="LCP149" s="60"/>
      <c r="LCQ149" s="60"/>
      <c r="LCR149" s="60"/>
      <c r="LCS149" s="60"/>
      <c r="LCT149" s="60"/>
      <c r="LCU149" s="60"/>
      <c r="LCV149" s="60"/>
      <c r="LCW149" s="60"/>
      <c r="LCX149" s="60"/>
      <c r="LCY149" s="60"/>
      <c r="LCZ149" s="60"/>
      <c r="LDA149" s="60"/>
      <c r="LDB149" s="60"/>
      <c r="LDC149" s="60"/>
      <c r="LDD149" s="60"/>
      <c r="LDE149" s="60"/>
      <c r="LDF149" s="60"/>
      <c r="LDG149" s="60"/>
      <c r="LDH149" s="60"/>
      <c r="LDI149" s="60"/>
      <c r="LDJ149" s="60"/>
      <c r="LDK149" s="60"/>
      <c r="LDL149" s="60"/>
      <c r="LDM149" s="60"/>
      <c r="LDN149" s="60"/>
      <c r="LDO149" s="60"/>
      <c r="LDP149" s="60"/>
      <c r="LDQ149" s="60"/>
      <c r="LDR149" s="60"/>
      <c r="LDS149" s="60"/>
      <c r="LDT149" s="60"/>
      <c r="LDU149" s="60"/>
      <c r="LDV149" s="60"/>
      <c r="LDW149" s="60"/>
      <c r="LDX149" s="60"/>
      <c r="LDY149" s="60"/>
      <c r="LDZ149" s="60"/>
      <c r="LEA149" s="60"/>
      <c r="LEB149" s="60"/>
      <c r="LEC149" s="60"/>
      <c r="LED149" s="60"/>
      <c r="LEE149" s="60"/>
      <c r="LEF149" s="60"/>
      <c r="LEG149" s="60"/>
      <c r="LEH149" s="60"/>
      <c r="LEI149" s="60"/>
      <c r="LEJ149" s="60"/>
      <c r="LEK149" s="60"/>
      <c r="LEL149" s="60"/>
      <c r="LEM149" s="60"/>
      <c r="LEN149" s="60"/>
      <c r="LEO149" s="60"/>
      <c r="LEP149" s="60"/>
      <c r="LEQ149" s="60"/>
      <c r="LER149" s="60"/>
      <c r="LES149" s="60"/>
      <c r="LET149" s="60"/>
      <c r="LEU149" s="60"/>
      <c r="LEV149" s="60"/>
      <c r="LEW149" s="60"/>
      <c r="LEX149" s="60"/>
      <c r="LEY149" s="60"/>
      <c r="LEZ149" s="60"/>
      <c r="LFA149" s="60"/>
      <c r="LFB149" s="60"/>
      <c r="LFC149" s="60"/>
      <c r="LFD149" s="60"/>
      <c r="LFE149" s="60"/>
      <c r="LFF149" s="60"/>
      <c r="LFG149" s="60"/>
      <c r="LFH149" s="60"/>
      <c r="LFI149" s="60"/>
      <c r="LFJ149" s="60"/>
      <c r="LFK149" s="60"/>
      <c r="LFL149" s="60"/>
      <c r="LFM149" s="60"/>
      <c r="LFN149" s="60"/>
      <c r="LFO149" s="60"/>
      <c r="LFP149" s="60"/>
      <c r="LFQ149" s="60"/>
      <c r="LFR149" s="60"/>
      <c r="LFS149" s="60"/>
      <c r="LFT149" s="60"/>
      <c r="LFU149" s="60"/>
      <c r="LFV149" s="60"/>
      <c r="LFW149" s="60"/>
      <c r="LFX149" s="60"/>
      <c r="LFY149" s="60"/>
      <c r="LFZ149" s="60"/>
      <c r="LGA149" s="60"/>
      <c r="LGB149" s="60"/>
      <c r="LGC149" s="60"/>
      <c r="LGD149" s="60"/>
      <c r="LGE149" s="60"/>
      <c r="LGF149" s="60"/>
      <c r="LGG149" s="60"/>
      <c r="LGH149" s="60"/>
      <c r="LGI149" s="60"/>
      <c r="LGJ149" s="60"/>
      <c r="LGK149" s="60"/>
      <c r="LGL149" s="60"/>
      <c r="LGM149" s="60"/>
      <c r="LGN149" s="60"/>
      <c r="LGO149" s="60"/>
      <c r="LGP149" s="60"/>
      <c r="LGQ149" s="60"/>
      <c r="LGR149" s="60"/>
      <c r="LGS149" s="60"/>
      <c r="LGT149" s="60"/>
      <c r="LGU149" s="60"/>
      <c r="LGV149" s="60"/>
      <c r="LGW149" s="60"/>
      <c r="LGX149" s="60"/>
      <c r="LGY149" s="60"/>
      <c r="LGZ149" s="60"/>
      <c r="LHA149" s="60"/>
      <c r="LHB149" s="60"/>
      <c r="LHC149" s="60"/>
      <c r="LHD149" s="60"/>
      <c r="LHE149" s="60"/>
      <c r="LHF149" s="60"/>
      <c r="LHG149" s="60"/>
      <c r="LHH149" s="60"/>
      <c r="LHI149" s="60"/>
      <c r="LHJ149" s="60"/>
      <c r="LHK149" s="60"/>
      <c r="LHL149" s="60"/>
      <c r="LHM149" s="60"/>
      <c r="LHN149" s="60"/>
      <c r="LHO149" s="60"/>
      <c r="LHP149" s="60"/>
      <c r="LHQ149" s="60"/>
      <c r="LHR149" s="60"/>
      <c r="LHS149" s="60"/>
      <c r="LHT149" s="60"/>
      <c r="LHU149" s="60"/>
      <c r="LHV149" s="60"/>
      <c r="LHW149" s="60"/>
      <c r="LHX149" s="60"/>
      <c r="LHY149" s="60"/>
      <c r="LHZ149" s="60"/>
      <c r="LIA149" s="60"/>
      <c r="LIB149" s="60"/>
      <c r="LIC149" s="60"/>
      <c r="LID149" s="60"/>
      <c r="LIE149" s="60"/>
      <c r="LIF149" s="60"/>
      <c r="LIG149" s="60"/>
      <c r="LIH149" s="60"/>
      <c r="LII149" s="60"/>
      <c r="LIJ149" s="60"/>
      <c r="LIK149" s="60"/>
      <c r="LIL149" s="60"/>
      <c r="LIM149" s="60"/>
      <c r="LIN149" s="60"/>
      <c r="LIO149" s="60"/>
      <c r="LIP149" s="60"/>
      <c r="LIQ149" s="60"/>
      <c r="LIR149" s="60"/>
      <c r="LIS149" s="60"/>
      <c r="LIT149" s="60"/>
      <c r="LIU149" s="60"/>
      <c r="LIV149" s="60"/>
      <c r="LIW149" s="60"/>
      <c r="LIX149" s="60"/>
      <c r="LIY149" s="60"/>
      <c r="LIZ149" s="60"/>
      <c r="LJA149" s="60"/>
      <c r="LJB149" s="60"/>
      <c r="LJC149" s="60"/>
      <c r="LJD149" s="60"/>
      <c r="LJE149" s="60"/>
      <c r="LJF149" s="60"/>
      <c r="LJG149" s="60"/>
      <c r="LJH149" s="60"/>
      <c r="LJI149" s="60"/>
      <c r="LJJ149" s="60"/>
      <c r="LJK149" s="60"/>
      <c r="LJL149" s="60"/>
      <c r="LJM149" s="60"/>
      <c r="LJN149" s="60"/>
      <c r="LJO149" s="60"/>
      <c r="LJP149" s="60"/>
      <c r="LJQ149" s="60"/>
      <c r="LJR149" s="60"/>
      <c r="LJS149" s="60"/>
      <c r="LJT149" s="60"/>
      <c r="LJU149" s="60"/>
      <c r="LJV149" s="60"/>
      <c r="LJW149" s="60"/>
      <c r="LJX149" s="60"/>
      <c r="LJY149" s="60"/>
      <c r="LJZ149" s="60"/>
      <c r="LKA149" s="60"/>
      <c r="LKB149" s="60"/>
      <c r="LKC149" s="60"/>
      <c r="LKD149" s="60"/>
      <c r="LKE149" s="60"/>
      <c r="LKF149" s="60"/>
      <c r="LKG149" s="60"/>
      <c r="LKH149" s="60"/>
      <c r="LKI149" s="60"/>
      <c r="LKJ149" s="60"/>
      <c r="LKK149" s="60"/>
      <c r="LKL149" s="60"/>
      <c r="LKM149" s="60"/>
      <c r="LKN149" s="60"/>
      <c r="LKO149" s="60"/>
      <c r="LKP149" s="60"/>
      <c r="LKQ149" s="60"/>
      <c r="LKR149" s="60"/>
      <c r="LKS149" s="60"/>
      <c r="LKT149" s="60"/>
      <c r="LKU149" s="60"/>
      <c r="LKV149" s="60"/>
      <c r="LKW149" s="60"/>
      <c r="LKX149" s="60"/>
      <c r="LKY149" s="60"/>
      <c r="LKZ149" s="60"/>
      <c r="LLA149" s="60"/>
      <c r="LLB149" s="60"/>
      <c r="LLC149" s="60"/>
      <c r="LLD149" s="60"/>
      <c r="LLE149" s="60"/>
      <c r="LLF149" s="60"/>
      <c r="LLG149" s="60"/>
      <c r="LLH149" s="60"/>
      <c r="LLI149" s="60"/>
      <c r="LLJ149" s="60"/>
      <c r="LLK149" s="60"/>
      <c r="LLL149" s="60"/>
      <c r="LLM149" s="60"/>
      <c r="LLN149" s="60"/>
      <c r="LLO149" s="60"/>
      <c r="LLP149" s="60"/>
      <c r="LLQ149" s="60"/>
      <c r="LLR149" s="60"/>
      <c r="LLS149" s="60"/>
      <c r="LLT149" s="60"/>
      <c r="LLU149" s="60"/>
      <c r="LLV149" s="60"/>
      <c r="LLW149" s="60"/>
      <c r="LLX149" s="60"/>
      <c r="LLY149" s="60"/>
      <c r="LLZ149" s="60"/>
      <c r="LMA149" s="60"/>
      <c r="LMB149" s="60"/>
      <c r="LMC149" s="60"/>
      <c r="LMD149" s="60"/>
      <c r="LME149" s="60"/>
      <c r="LMF149" s="60"/>
      <c r="LMG149" s="60"/>
      <c r="LMH149" s="60"/>
      <c r="LMI149" s="60"/>
      <c r="LMJ149" s="60"/>
      <c r="LMK149" s="60"/>
      <c r="LML149" s="60"/>
      <c r="LMM149" s="60"/>
      <c r="LMN149" s="60"/>
      <c r="LMO149" s="60"/>
      <c r="LMP149" s="60"/>
      <c r="LMQ149" s="60"/>
      <c r="LMR149" s="60"/>
      <c r="LMS149" s="60"/>
      <c r="LMT149" s="60"/>
      <c r="LMU149" s="60"/>
      <c r="LMV149" s="60"/>
      <c r="LMW149" s="60"/>
      <c r="LMX149" s="60"/>
      <c r="LMY149" s="60"/>
      <c r="LMZ149" s="60"/>
      <c r="LNA149" s="60"/>
      <c r="LNB149" s="60"/>
      <c r="LNC149" s="60"/>
      <c r="LND149" s="60"/>
      <c r="LNE149" s="60"/>
      <c r="LNF149" s="60"/>
      <c r="LNG149" s="60"/>
      <c r="LNH149" s="60"/>
      <c r="LNI149" s="60"/>
      <c r="LNJ149" s="60"/>
      <c r="LNK149" s="60"/>
      <c r="LNL149" s="60"/>
      <c r="LNM149" s="60"/>
      <c r="LNN149" s="60"/>
      <c r="LNO149" s="60"/>
      <c r="LNP149" s="60"/>
      <c r="LNQ149" s="60"/>
      <c r="LNR149" s="60"/>
      <c r="LNS149" s="60"/>
      <c r="LNT149" s="60"/>
      <c r="LNU149" s="60"/>
      <c r="LNV149" s="60"/>
      <c r="LNW149" s="60"/>
      <c r="LNX149" s="60"/>
      <c r="LNY149" s="60"/>
      <c r="LNZ149" s="60"/>
      <c r="LOA149" s="60"/>
      <c r="LOB149" s="60"/>
      <c r="LOC149" s="60"/>
      <c r="LOD149" s="60"/>
      <c r="LOE149" s="60"/>
      <c r="LOF149" s="60"/>
      <c r="LOG149" s="60"/>
      <c r="LOH149" s="60"/>
      <c r="LOI149" s="60"/>
      <c r="LOJ149" s="60"/>
      <c r="LOK149" s="60"/>
      <c r="LOL149" s="60"/>
      <c r="LOM149" s="60"/>
      <c r="LON149" s="60"/>
      <c r="LOO149" s="60"/>
      <c r="LOP149" s="60"/>
      <c r="LOQ149" s="60"/>
      <c r="LOR149" s="60"/>
      <c r="LOS149" s="60"/>
      <c r="LOT149" s="60"/>
      <c r="LOU149" s="60"/>
      <c r="LOV149" s="60"/>
      <c r="LOW149" s="60"/>
      <c r="LOX149" s="60"/>
      <c r="LOY149" s="60"/>
      <c r="LOZ149" s="60"/>
      <c r="LPA149" s="60"/>
      <c r="LPB149" s="60"/>
      <c r="LPC149" s="60"/>
      <c r="LPD149" s="60"/>
      <c r="LPE149" s="60"/>
      <c r="LPF149" s="60"/>
      <c r="LPG149" s="60"/>
      <c r="LPH149" s="60"/>
      <c r="LPI149" s="60"/>
      <c r="LPJ149" s="60"/>
      <c r="LPK149" s="60"/>
      <c r="LPL149" s="60"/>
      <c r="LPM149" s="60"/>
      <c r="LPN149" s="60"/>
      <c r="LPO149" s="60"/>
      <c r="LPP149" s="60"/>
      <c r="LPQ149" s="60"/>
      <c r="LPR149" s="60"/>
      <c r="LPS149" s="60"/>
      <c r="LPT149" s="60"/>
      <c r="LPU149" s="60"/>
      <c r="LPV149" s="60"/>
      <c r="LPW149" s="60"/>
      <c r="LPX149" s="60"/>
      <c r="LPY149" s="60"/>
      <c r="LPZ149" s="60"/>
      <c r="LQA149" s="60"/>
      <c r="LQB149" s="60"/>
      <c r="LQC149" s="60"/>
      <c r="LQD149" s="60"/>
      <c r="LQE149" s="60"/>
      <c r="LQF149" s="60"/>
      <c r="LQG149" s="60"/>
      <c r="LQH149" s="60"/>
      <c r="LQI149" s="60"/>
      <c r="LQJ149" s="60"/>
      <c r="LQK149" s="60"/>
      <c r="LQL149" s="60"/>
      <c r="LQM149" s="60"/>
      <c r="LQN149" s="60"/>
      <c r="LQO149" s="60"/>
      <c r="LQP149" s="60"/>
      <c r="LQQ149" s="60"/>
      <c r="LQR149" s="60"/>
      <c r="LQS149" s="60"/>
      <c r="LQT149" s="60"/>
      <c r="LQU149" s="60"/>
      <c r="LQV149" s="60"/>
      <c r="LQW149" s="60"/>
      <c r="LQX149" s="60"/>
      <c r="LQY149" s="60"/>
      <c r="LQZ149" s="60"/>
      <c r="LRA149" s="60"/>
      <c r="LRB149" s="60"/>
      <c r="LRC149" s="60"/>
      <c r="LRD149" s="60"/>
      <c r="LRE149" s="60"/>
      <c r="LRF149" s="60"/>
      <c r="LRG149" s="60"/>
      <c r="LRH149" s="60"/>
      <c r="LRI149" s="60"/>
      <c r="LRJ149" s="60"/>
      <c r="LRK149" s="60"/>
      <c r="LRL149" s="60"/>
      <c r="LRM149" s="60"/>
      <c r="LRN149" s="60"/>
      <c r="LRO149" s="60"/>
      <c r="LRP149" s="60"/>
      <c r="LRQ149" s="60"/>
      <c r="LRR149" s="60"/>
      <c r="LRS149" s="60"/>
      <c r="LRT149" s="60"/>
      <c r="LRU149" s="60"/>
      <c r="LRV149" s="60"/>
      <c r="LRW149" s="60"/>
      <c r="LRX149" s="60"/>
      <c r="LRY149" s="60"/>
      <c r="LRZ149" s="60"/>
      <c r="LSA149" s="60"/>
      <c r="LSB149" s="60"/>
      <c r="LSC149" s="60"/>
      <c r="LSD149" s="60"/>
      <c r="LSE149" s="60"/>
      <c r="LSF149" s="60"/>
      <c r="LSG149" s="60"/>
      <c r="LSH149" s="60"/>
      <c r="LSI149" s="60"/>
      <c r="LSJ149" s="60"/>
      <c r="LSK149" s="60"/>
      <c r="LSL149" s="60"/>
      <c r="LSM149" s="60"/>
      <c r="LSN149" s="60"/>
      <c r="LSO149" s="60"/>
      <c r="LSP149" s="60"/>
      <c r="LSQ149" s="60"/>
      <c r="LSR149" s="60"/>
      <c r="LSS149" s="60"/>
      <c r="LST149" s="60"/>
      <c r="LSU149" s="60"/>
      <c r="LSV149" s="60"/>
      <c r="LSW149" s="60"/>
      <c r="LSX149" s="60"/>
      <c r="LSY149" s="60"/>
      <c r="LSZ149" s="60"/>
      <c r="LTA149" s="60"/>
      <c r="LTB149" s="60"/>
      <c r="LTC149" s="60"/>
      <c r="LTD149" s="60"/>
      <c r="LTE149" s="60"/>
      <c r="LTF149" s="60"/>
      <c r="LTG149" s="60"/>
      <c r="LTH149" s="60"/>
      <c r="LTI149" s="60"/>
      <c r="LTJ149" s="60"/>
      <c r="LTK149" s="60"/>
      <c r="LTL149" s="60"/>
      <c r="LTM149" s="60"/>
      <c r="LTN149" s="60"/>
      <c r="LTO149" s="60"/>
      <c r="LTP149" s="60"/>
      <c r="LTQ149" s="60"/>
      <c r="LTR149" s="60"/>
      <c r="LTS149" s="60"/>
      <c r="LTT149" s="60"/>
      <c r="LTU149" s="60"/>
      <c r="LTV149" s="60"/>
      <c r="LTW149" s="60"/>
      <c r="LTX149" s="60"/>
      <c r="LTY149" s="60"/>
      <c r="LTZ149" s="60"/>
      <c r="LUA149" s="60"/>
      <c r="LUB149" s="60"/>
      <c r="LUC149" s="60"/>
      <c r="LUD149" s="60"/>
      <c r="LUE149" s="60"/>
      <c r="LUF149" s="60"/>
      <c r="LUG149" s="60"/>
      <c r="LUH149" s="60"/>
      <c r="LUI149" s="60"/>
      <c r="LUJ149" s="60"/>
      <c r="LUK149" s="60"/>
      <c r="LUL149" s="60"/>
      <c r="LUM149" s="60"/>
      <c r="LUN149" s="60"/>
      <c r="LUO149" s="60"/>
      <c r="LUP149" s="60"/>
      <c r="LUQ149" s="60"/>
      <c r="LUR149" s="60"/>
      <c r="LUS149" s="60"/>
      <c r="LUT149" s="60"/>
      <c r="LUU149" s="60"/>
      <c r="LUV149" s="60"/>
      <c r="LUW149" s="60"/>
      <c r="LUX149" s="60"/>
      <c r="LUY149" s="60"/>
      <c r="LUZ149" s="60"/>
      <c r="LVA149" s="60"/>
      <c r="LVB149" s="60"/>
      <c r="LVC149" s="60"/>
      <c r="LVD149" s="60"/>
      <c r="LVE149" s="60"/>
      <c r="LVF149" s="60"/>
      <c r="LVG149" s="60"/>
      <c r="LVH149" s="60"/>
      <c r="LVI149" s="60"/>
      <c r="LVJ149" s="60"/>
      <c r="LVK149" s="60"/>
      <c r="LVL149" s="60"/>
      <c r="LVM149" s="60"/>
      <c r="LVN149" s="60"/>
      <c r="LVO149" s="60"/>
      <c r="LVP149" s="60"/>
      <c r="LVQ149" s="60"/>
      <c r="LVR149" s="60"/>
      <c r="LVS149" s="60"/>
      <c r="LVT149" s="60"/>
      <c r="LVU149" s="60"/>
      <c r="LVV149" s="60"/>
      <c r="LVW149" s="60"/>
      <c r="LVX149" s="60"/>
      <c r="LVY149" s="60"/>
      <c r="LVZ149" s="60"/>
      <c r="LWA149" s="60"/>
      <c r="LWB149" s="60"/>
      <c r="LWC149" s="60"/>
      <c r="LWD149" s="60"/>
      <c r="LWE149" s="60"/>
      <c r="LWF149" s="60"/>
      <c r="LWG149" s="60"/>
      <c r="LWH149" s="60"/>
      <c r="LWI149" s="60"/>
      <c r="LWJ149" s="60"/>
      <c r="LWK149" s="60"/>
      <c r="LWL149" s="60"/>
      <c r="LWM149" s="60"/>
      <c r="LWN149" s="60"/>
      <c r="LWO149" s="60"/>
      <c r="LWP149" s="60"/>
      <c r="LWQ149" s="60"/>
      <c r="LWR149" s="60"/>
      <c r="LWS149" s="60"/>
      <c r="LWT149" s="60"/>
      <c r="LWU149" s="60"/>
      <c r="LWV149" s="60"/>
      <c r="LWW149" s="60"/>
      <c r="LWX149" s="60"/>
      <c r="LWY149" s="60"/>
      <c r="LWZ149" s="60"/>
      <c r="LXA149" s="60"/>
      <c r="LXB149" s="60"/>
      <c r="LXC149" s="60"/>
      <c r="LXD149" s="60"/>
      <c r="LXE149" s="60"/>
      <c r="LXF149" s="60"/>
      <c r="LXG149" s="60"/>
      <c r="LXH149" s="60"/>
      <c r="LXI149" s="60"/>
      <c r="LXJ149" s="60"/>
      <c r="LXK149" s="60"/>
      <c r="LXL149" s="60"/>
      <c r="LXM149" s="60"/>
      <c r="LXN149" s="60"/>
      <c r="LXO149" s="60"/>
      <c r="LXP149" s="60"/>
      <c r="LXQ149" s="60"/>
      <c r="LXR149" s="60"/>
      <c r="LXS149" s="60"/>
      <c r="LXT149" s="60"/>
      <c r="LXU149" s="60"/>
      <c r="LXV149" s="60"/>
      <c r="LXW149" s="60"/>
      <c r="LXX149" s="60"/>
      <c r="LXY149" s="60"/>
      <c r="LXZ149" s="60"/>
      <c r="LYA149" s="60"/>
      <c r="LYB149" s="60"/>
      <c r="LYC149" s="60"/>
      <c r="LYD149" s="60"/>
      <c r="LYE149" s="60"/>
      <c r="LYF149" s="60"/>
      <c r="LYG149" s="60"/>
      <c r="LYH149" s="60"/>
      <c r="LYI149" s="60"/>
      <c r="LYJ149" s="60"/>
      <c r="LYK149" s="60"/>
      <c r="LYL149" s="60"/>
      <c r="LYM149" s="60"/>
      <c r="LYN149" s="60"/>
      <c r="LYO149" s="60"/>
      <c r="LYP149" s="60"/>
      <c r="LYQ149" s="60"/>
      <c r="LYR149" s="60"/>
      <c r="LYS149" s="60"/>
      <c r="LYT149" s="60"/>
      <c r="LYU149" s="60"/>
      <c r="LYV149" s="60"/>
      <c r="LYW149" s="60"/>
      <c r="LYX149" s="60"/>
      <c r="LYY149" s="60"/>
      <c r="LYZ149" s="60"/>
      <c r="LZA149" s="60"/>
      <c r="LZB149" s="60"/>
      <c r="LZC149" s="60"/>
      <c r="LZD149" s="60"/>
      <c r="LZE149" s="60"/>
      <c r="LZF149" s="60"/>
      <c r="LZG149" s="60"/>
      <c r="LZH149" s="60"/>
      <c r="LZI149" s="60"/>
      <c r="LZJ149" s="60"/>
      <c r="LZK149" s="60"/>
      <c r="LZL149" s="60"/>
      <c r="LZM149" s="60"/>
      <c r="LZN149" s="60"/>
      <c r="LZO149" s="60"/>
      <c r="LZP149" s="60"/>
      <c r="LZQ149" s="60"/>
      <c r="LZR149" s="60"/>
      <c r="LZS149" s="60"/>
      <c r="LZT149" s="60"/>
      <c r="LZU149" s="60"/>
      <c r="LZV149" s="60"/>
      <c r="LZW149" s="60"/>
      <c r="LZX149" s="60"/>
      <c r="LZY149" s="60"/>
      <c r="LZZ149" s="60"/>
      <c r="MAA149" s="60"/>
      <c r="MAB149" s="60"/>
      <c r="MAC149" s="60"/>
      <c r="MAD149" s="60"/>
      <c r="MAE149" s="60"/>
      <c r="MAF149" s="60"/>
      <c r="MAG149" s="60"/>
      <c r="MAH149" s="60"/>
      <c r="MAI149" s="60"/>
      <c r="MAJ149" s="60"/>
      <c r="MAK149" s="60"/>
      <c r="MAL149" s="60"/>
      <c r="MAM149" s="60"/>
      <c r="MAN149" s="60"/>
      <c r="MAO149" s="60"/>
      <c r="MAP149" s="60"/>
      <c r="MAQ149" s="60"/>
      <c r="MAR149" s="60"/>
      <c r="MAS149" s="60"/>
      <c r="MAT149" s="60"/>
      <c r="MAU149" s="60"/>
      <c r="MAV149" s="60"/>
      <c r="MAW149" s="60"/>
      <c r="MAX149" s="60"/>
      <c r="MAY149" s="60"/>
      <c r="MAZ149" s="60"/>
      <c r="MBA149" s="60"/>
      <c r="MBB149" s="60"/>
      <c r="MBC149" s="60"/>
      <c r="MBD149" s="60"/>
      <c r="MBE149" s="60"/>
      <c r="MBF149" s="60"/>
      <c r="MBG149" s="60"/>
      <c r="MBH149" s="60"/>
      <c r="MBI149" s="60"/>
      <c r="MBJ149" s="60"/>
      <c r="MBK149" s="60"/>
      <c r="MBL149" s="60"/>
      <c r="MBM149" s="60"/>
      <c r="MBN149" s="60"/>
      <c r="MBO149" s="60"/>
      <c r="MBP149" s="60"/>
      <c r="MBQ149" s="60"/>
      <c r="MBR149" s="60"/>
      <c r="MBS149" s="60"/>
      <c r="MBT149" s="60"/>
      <c r="MBU149" s="60"/>
      <c r="MBV149" s="60"/>
      <c r="MBW149" s="60"/>
      <c r="MBX149" s="60"/>
      <c r="MBY149" s="60"/>
      <c r="MBZ149" s="60"/>
      <c r="MCA149" s="60"/>
      <c r="MCB149" s="60"/>
      <c r="MCC149" s="60"/>
      <c r="MCD149" s="60"/>
      <c r="MCE149" s="60"/>
      <c r="MCF149" s="60"/>
      <c r="MCG149" s="60"/>
      <c r="MCH149" s="60"/>
      <c r="MCI149" s="60"/>
      <c r="MCJ149" s="60"/>
      <c r="MCK149" s="60"/>
      <c r="MCL149" s="60"/>
      <c r="MCM149" s="60"/>
      <c r="MCN149" s="60"/>
      <c r="MCO149" s="60"/>
      <c r="MCP149" s="60"/>
      <c r="MCQ149" s="60"/>
      <c r="MCR149" s="60"/>
      <c r="MCS149" s="60"/>
      <c r="MCT149" s="60"/>
      <c r="MCU149" s="60"/>
      <c r="MCV149" s="60"/>
      <c r="MCW149" s="60"/>
      <c r="MCX149" s="60"/>
      <c r="MCY149" s="60"/>
      <c r="MCZ149" s="60"/>
      <c r="MDA149" s="60"/>
      <c r="MDB149" s="60"/>
      <c r="MDC149" s="60"/>
      <c r="MDD149" s="60"/>
      <c r="MDE149" s="60"/>
      <c r="MDF149" s="60"/>
      <c r="MDG149" s="60"/>
      <c r="MDH149" s="60"/>
      <c r="MDI149" s="60"/>
      <c r="MDJ149" s="60"/>
      <c r="MDK149" s="60"/>
      <c r="MDL149" s="60"/>
      <c r="MDM149" s="60"/>
      <c r="MDN149" s="60"/>
      <c r="MDO149" s="60"/>
      <c r="MDP149" s="60"/>
      <c r="MDQ149" s="60"/>
      <c r="MDR149" s="60"/>
      <c r="MDS149" s="60"/>
      <c r="MDT149" s="60"/>
      <c r="MDU149" s="60"/>
      <c r="MDV149" s="60"/>
      <c r="MDW149" s="60"/>
      <c r="MDX149" s="60"/>
      <c r="MDY149" s="60"/>
      <c r="MDZ149" s="60"/>
      <c r="MEA149" s="60"/>
      <c r="MEB149" s="60"/>
      <c r="MEC149" s="60"/>
      <c r="MED149" s="60"/>
      <c r="MEE149" s="60"/>
      <c r="MEF149" s="60"/>
      <c r="MEG149" s="60"/>
      <c r="MEH149" s="60"/>
      <c r="MEI149" s="60"/>
      <c r="MEJ149" s="60"/>
      <c r="MEK149" s="60"/>
      <c r="MEL149" s="60"/>
      <c r="MEM149" s="60"/>
      <c r="MEN149" s="60"/>
      <c r="MEO149" s="60"/>
      <c r="MEP149" s="60"/>
      <c r="MEQ149" s="60"/>
      <c r="MER149" s="60"/>
      <c r="MES149" s="60"/>
      <c r="MET149" s="60"/>
      <c r="MEU149" s="60"/>
      <c r="MEV149" s="60"/>
      <c r="MEW149" s="60"/>
      <c r="MEX149" s="60"/>
      <c r="MEY149" s="60"/>
      <c r="MEZ149" s="60"/>
      <c r="MFA149" s="60"/>
      <c r="MFB149" s="60"/>
      <c r="MFC149" s="60"/>
      <c r="MFD149" s="60"/>
      <c r="MFE149" s="60"/>
      <c r="MFF149" s="60"/>
      <c r="MFG149" s="60"/>
      <c r="MFH149" s="60"/>
      <c r="MFI149" s="60"/>
      <c r="MFJ149" s="60"/>
      <c r="MFK149" s="60"/>
      <c r="MFL149" s="60"/>
      <c r="MFM149" s="60"/>
      <c r="MFN149" s="60"/>
      <c r="MFO149" s="60"/>
      <c r="MFP149" s="60"/>
      <c r="MFQ149" s="60"/>
      <c r="MFR149" s="60"/>
      <c r="MFS149" s="60"/>
      <c r="MFT149" s="60"/>
      <c r="MFU149" s="60"/>
      <c r="MFV149" s="60"/>
      <c r="MFW149" s="60"/>
      <c r="MFX149" s="60"/>
      <c r="MFY149" s="60"/>
      <c r="MFZ149" s="60"/>
      <c r="MGA149" s="60"/>
      <c r="MGB149" s="60"/>
      <c r="MGC149" s="60"/>
      <c r="MGD149" s="60"/>
      <c r="MGE149" s="60"/>
      <c r="MGF149" s="60"/>
      <c r="MGG149" s="60"/>
      <c r="MGH149" s="60"/>
      <c r="MGI149" s="60"/>
      <c r="MGJ149" s="60"/>
      <c r="MGK149" s="60"/>
      <c r="MGL149" s="60"/>
      <c r="MGM149" s="60"/>
      <c r="MGN149" s="60"/>
      <c r="MGO149" s="60"/>
      <c r="MGP149" s="60"/>
      <c r="MGQ149" s="60"/>
      <c r="MGR149" s="60"/>
      <c r="MGS149" s="60"/>
      <c r="MGT149" s="60"/>
      <c r="MGU149" s="60"/>
      <c r="MGV149" s="60"/>
      <c r="MGW149" s="60"/>
      <c r="MGX149" s="60"/>
      <c r="MGY149" s="60"/>
      <c r="MGZ149" s="60"/>
      <c r="MHA149" s="60"/>
      <c r="MHB149" s="60"/>
      <c r="MHC149" s="60"/>
      <c r="MHD149" s="60"/>
      <c r="MHE149" s="60"/>
      <c r="MHF149" s="60"/>
      <c r="MHG149" s="60"/>
      <c r="MHH149" s="60"/>
      <c r="MHI149" s="60"/>
      <c r="MHJ149" s="60"/>
      <c r="MHK149" s="60"/>
      <c r="MHL149" s="60"/>
      <c r="MHM149" s="60"/>
      <c r="MHN149" s="60"/>
      <c r="MHO149" s="60"/>
      <c r="MHP149" s="60"/>
      <c r="MHQ149" s="60"/>
      <c r="MHR149" s="60"/>
      <c r="MHS149" s="60"/>
      <c r="MHT149" s="60"/>
      <c r="MHU149" s="60"/>
      <c r="MHV149" s="60"/>
      <c r="MHW149" s="60"/>
      <c r="MHX149" s="60"/>
      <c r="MHY149" s="60"/>
      <c r="MHZ149" s="60"/>
      <c r="MIA149" s="60"/>
      <c r="MIB149" s="60"/>
      <c r="MIC149" s="60"/>
      <c r="MID149" s="60"/>
      <c r="MIE149" s="60"/>
      <c r="MIF149" s="60"/>
      <c r="MIG149" s="60"/>
      <c r="MIH149" s="60"/>
      <c r="MII149" s="60"/>
      <c r="MIJ149" s="60"/>
      <c r="MIK149" s="60"/>
      <c r="MIL149" s="60"/>
      <c r="MIM149" s="60"/>
      <c r="MIN149" s="60"/>
      <c r="MIO149" s="60"/>
      <c r="MIP149" s="60"/>
      <c r="MIQ149" s="60"/>
      <c r="MIR149" s="60"/>
      <c r="MIS149" s="60"/>
      <c r="MIT149" s="60"/>
      <c r="MIU149" s="60"/>
      <c r="MIV149" s="60"/>
      <c r="MIW149" s="60"/>
      <c r="MIX149" s="60"/>
      <c r="MIY149" s="60"/>
      <c r="MIZ149" s="60"/>
      <c r="MJA149" s="60"/>
      <c r="MJB149" s="60"/>
      <c r="MJC149" s="60"/>
      <c r="MJD149" s="60"/>
      <c r="MJE149" s="60"/>
      <c r="MJF149" s="60"/>
      <c r="MJG149" s="60"/>
      <c r="MJH149" s="60"/>
      <c r="MJI149" s="60"/>
      <c r="MJJ149" s="60"/>
      <c r="MJK149" s="60"/>
      <c r="MJL149" s="60"/>
      <c r="MJM149" s="60"/>
      <c r="MJN149" s="60"/>
      <c r="MJO149" s="60"/>
      <c r="MJP149" s="60"/>
      <c r="MJQ149" s="60"/>
      <c r="MJR149" s="60"/>
      <c r="MJS149" s="60"/>
      <c r="MJT149" s="60"/>
      <c r="MJU149" s="60"/>
      <c r="MJV149" s="60"/>
      <c r="MJW149" s="60"/>
      <c r="MJX149" s="60"/>
      <c r="MJY149" s="60"/>
      <c r="MJZ149" s="60"/>
      <c r="MKA149" s="60"/>
      <c r="MKB149" s="60"/>
      <c r="MKC149" s="60"/>
      <c r="MKD149" s="60"/>
      <c r="MKE149" s="60"/>
      <c r="MKF149" s="60"/>
      <c r="MKG149" s="60"/>
      <c r="MKH149" s="60"/>
      <c r="MKI149" s="60"/>
      <c r="MKJ149" s="60"/>
      <c r="MKK149" s="60"/>
      <c r="MKL149" s="60"/>
      <c r="MKM149" s="60"/>
      <c r="MKN149" s="60"/>
      <c r="MKO149" s="60"/>
      <c r="MKP149" s="60"/>
      <c r="MKQ149" s="60"/>
      <c r="MKR149" s="60"/>
      <c r="MKS149" s="60"/>
      <c r="MKT149" s="60"/>
      <c r="MKU149" s="60"/>
      <c r="MKV149" s="60"/>
      <c r="MKW149" s="60"/>
      <c r="MKX149" s="60"/>
      <c r="MKY149" s="60"/>
      <c r="MKZ149" s="60"/>
      <c r="MLA149" s="60"/>
      <c r="MLB149" s="60"/>
      <c r="MLC149" s="60"/>
      <c r="MLD149" s="60"/>
      <c r="MLE149" s="60"/>
      <c r="MLF149" s="60"/>
      <c r="MLG149" s="60"/>
      <c r="MLH149" s="60"/>
      <c r="MLI149" s="60"/>
      <c r="MLJ149" s="60"/>
      <c r="MLK149" s="60"/>
      <c r="MLL149" s="60"/>
      <c r="MLM149" s="60"/>
      <c r="MLN149" s="60"/>
      <c r="MLO149" s="60"/>
      <c r="MLP149" s="60"/>
      <c r="MLQ149" s="60"/>
      <c r="MLR149" s="60"/>
      <c r="MLS149" s="60"/>
      <c r="MLT149" s="60"/>
      <c r="MLU149" s="60"/>
      <c r="MLV149" s="60"/>
      <c r="MLW149" s="60"/>
      <c r="MLX149" s="60"/>
      <c r="MLY149" s="60"/>
      <c r="MLZ149" s="60"/>
      <c r="MMA149" s="60"/>
      <c r="MMB149" s="60"/>
      <c r="MMC149" s="60"/>
      <c r="MMD149" s="60"/>
      <c r="MME149" s="60"/>
      <c r="MMF149" s="60"/>
      <c r="MMG149" s="60"/>
      <c r="MMH149" s="60"/>
      <c r="MMI149" s="60"/>
      <c r="MMJ149" s="60"/>
      <c r="MMK149" s="60"/>
      <c r="MML149" s="60"/>
      <c r="MMM149" s="60"/>
      <c r="MMN149" s="60"/>
      <c r="MMO149" s="60"/>
      <c r="MMP149" s="60"/>
      <c r="MMQ149" s="60"/>
      <c r="MMR149" s="60"/>
      <c r="MMS149" s="60"/>
      <c r="MMT149" s="60"/>
      <c r="MMU149" s="60"/>
      <c r="MMV149" s="60"/>
      <c r="MMW149" s="60"/>
      <c r="MMX149" s="60"/>
      <c r="MMY149" s="60"/>
      <c r="MMZ149" s="60"/>
      <c r="MNA149" s="60"/>
      <c r="MNB149" s="60"/>
      <c r="MNC149" s="60"/>
      <c r="MND149" s="60"/>
      <c r="MNE149" s="60"/>
      <c r="MNF149" s="60"/>
      <c r="MNG149" s="60"/>
      <c r="MNH149" s="60"/>
      <c r="MNI149" s="60"/>
      <c r="MNJ149" s="60"/>
      <c r="MNK149" s="60"/>
      <c r="MNL149" s="60"/>
      <c r="MNM149" s="60"/>
      <c r="MNN149" s="60"/>
      <c r="MNO149" s="60"/>
      <c r="MNP149" s="60"/>
      <c r="MNQ149" s="60"/>
      <c r="MNR149" s="60"/>
      <c r="MNS149" s="60"/>
      <c r="MNT149" s="60"/>
      <c r="MNU149" s="60"/>
      <c r="MNV149" s="60"/>
      <c r="MNW149" s="60"/>
      <c r="MNX149" s="60"/>
      <c r="MNY149" s="60"/>
      <c r="MNZ149" s="60"/>
      <c r="MOA149" s="60"/>
      <c r="MOB149" s="60"/>
      <c r="MOC149" s="60"/>
      <c r="MOD149" s="60"/>
      <c r="MOE149" s="60"/>
      <c r="MOF149" s="60"/>
      <c r="MOG149" s="60"/>
      <c r="MOH149" s="60"/>
      <c r="MOI149" s="60"/>
      <c r="MOJ149" s="60"/>
      <c r="MOK149" s="60"/>
      <c r="MOL149" s="60"/>
      <c r="MOM149" s="60"/>
      <c r="MON149" s="60"/>
      <c r="MOO149" s="60"/>
      <c r="MOP149" s="60"/>
      <c r="MOQ149" s="60"/>
      <c r="MOR149" s="60"/>
      <c r="MOS149" s="60"/>
      <c r="MOT149" s="60"/>
      <c r="MOU149" s="60"/>
      <c r="MOV149" s="60"/>
      <c r="MOW149" s="60"/>
      <c r="MOX149" s="60"/>
      <c r="MOY149" s="60"/>
      <c r="MOZ149" s="60"/>
      <c r="MPA149" s="60"/>
      <c r="MPB149" s="60"/>
      <c r="MPC149" s="60"/>
      <c r="MPD149" s="60"/>
      <c r="MPE149" s="60"/>
      <c r="MPF149" s="60"/>
      <c r="MPG149" s="60"/>
      <c r="MPH149" s="60"/>
      <c r="MPI149" s="60"/>
      <c r="MPJ149" s="60"/>
      <c r="MPK149" s="60"/>
      <c r="MPL149" s="60"/>
      <c r="MPM149" s="60"/>
      <c r="MPN149" s="60"/>
      <c r="MPO149" s="60"/>
      <c r="MPP149" s="60"/>
      <c r="MPQ149" s="60"/>
      <c r="MPR149" s="60"/>
      <c r="MPS149" s="60"/>
      <c r="MPT149" s="60"/>
      <c r="MPU149" s="60"/>
      <c r="MPV149" s="60"/>
      <c r="MPW149" s="60"/>
      <c r="MPX149" s="60"/>
      <c r="MPY149" s="60"/>
      <c r="MPZ149" s="60"/>
      <c r="MQA149" s="60"/>
      <c r="MQB149" s="60"/>
      <c r="MQC149" s="60"/>
      <c r="MQD149" s="60"/>
      <c r="MQE149" s="60"/>
      <c r="MQF149" s="60"/>
      <c r="MQG149" s="60"/>
      <c r="MQH149" s="60"/>
      <c r="MQI149" s="60"/>
      <c r="MQJ149" s="60"/>
      <c r="MQK149" s="60"/>
      <c r="MQL149" s="60"/>
      <c r="MQM149" s="60"/>
      <c r="MQN149" s="60"/>
      <c r="MQO149" s="60"/>
      <c r="MQP149" s="60"/>
      <c r="MQQ149" s="60"/>
      <c r="MQR149" s="60"/>
      <c r="MQS149" s="60"/>
      <c r="MQT149" s="60"/>
      <c r="MQU149" s="60"/>
      <c r="MQV149" s="60"/>
      <c r="MQW149" s="60"/>
      <c r="MQX149" s="60"/>
      <c r="MQY149" s="60"/>
      <c r="MQZ149" s="60"/>
      <c r="MRA149" s="60"/>
      <c r="MRB149" s="60"/>
      <c r="MRC149" s="60"/>
      <c r="MRD149" s="60"/>
      <c r="MRE149" s="60"/>
      <c r="MRF149" s="60"/>
      <c r="MRG149" s="60"/>
      <c r="MRH149" s="60"/>
      <c r="MRI149" s="60"/>
      <c r="MRJ149" s="60"/>
      <c r="MRK149" s="60"/>
      <c r="MRL149" s="60"/>
      <c r="MRM149" s="60"/>
      <c r="MRN149" s="60"/>
      <c r="MRO149" s="60"/>
      <c r="MRP149" s="60"/>
      <c r="MRQ149" s="60"/>
      <c r="MRR149" s="60"/>
      <c r="MRS149" s="60"/>
      <c r="MRT149" s="60"/>
      <c r="MRU149" s="60"/>
      <c r="MRV149" s="60"/>
      <c r="MRW149" s="60"/>
      <c r="MRX149" s="60"/>
      <c r="MRY149" s="60"/>
      <c r="MRZ149" s="60"/>
      <c r="MSA149" s="60"/>
      <c r="MSB149" s="60"/>
      <c r="MSC149" s="60"/>
      <c r="MSD149" s="60"/>
      <c r="MSE149" s="60"/>
      <c r="MSF149" s="60"/>
      <c r="MSG149" s="60"/>
      <c r="MSH149" s="60"/>
      <c r="MSI149" s="60"/>
      <c r="MSJ149" s="60"/>
      <c r="MSK149" s="60"/>
      <c r="MSL149" s="60"/>
      <c r="MSM149" s="60"/>
      <c r="MSN149" s="60"/>
      <c r="MSO149" s="60"/>
      <c r="MSP149" s="60"/>
      <c r="MSQ149" s="60"/>
      <c r="MSR149" s="60"/>
      <c r="MSS149" s="60"/>
      <c r="MST149" s="60"/>
      <c r="MSU149" s="60"/>
      <c r="MSV149" s="60"/>
      <c r="MSW149" s="60"/>
      <c r="MSX149" s="60"/>
      <c r="MSY149" s="60"/>
      <c r="MSZ149" s="60"/>
      <c r="MTA149" s="60"/>
      <c r="MTB149" s="60"/>
      <c r="MTC149" s="60"/>
      <c r="MTD149" s="60"/>
      <c r="MTE149" s="60"/>
      <c r="MTF149" s="60"/>
      <c r="MTG149" s="60"/>
      <c r="MTH149" s="60"/>
      <c r="MTI149" s="60"/>
      <c r="MTJ149" s="60"/>
      <c r="MTK149" s="60"/>
      <c r="MTL149" s="60"/>
      <c r="MTM149" s="60"/>
      <c r="MTN149" s="60"/>
      <c r="MTO149" s="60"/>
      <c r="MTP149" s="60"/>
      <c r="MTQ149" s="60"/>
      <c r="MTR149" s="60"/>
      <c r="MTS149" s="60"/>
      <c r="MTT149" s="60"/>
      <c r="MTU149" s="60"/>
      <c r="MTV149" s="60"/>
      <c r="MTW149" s="60"/>
      <c r="MTX149" s="60"/>
      <c r="MTY149" s="60"/>
      <c r="MTZ149" s="60"/>
      <c r="MUA149" s="60"/>
      <c r="MUB149" s="60"/>
      <c r="MUC149" s="60"/>
      <c r="MUD149" s="60"/>
      <c r="MUE149" s="60"/>
      <c r="MUF149" s="60"/>
      <c r="MUG149" s="60"/>
      <c r="MUH149" s="60"/>
      <c r="MUI149" s="60"/>
      <c r="MUJ149" s="60"/>
      <c r="MUK149" s="60"/>
      <c r="MUL149" s="60"/>
      <c r="MUM149" s="60"/>
      <c r="MUN149" s="60"/>
      <c r="MUO149" s="60"/>
      <c r="MUP149" s="60"/>
      <c r="MUQ149" s="60"/>
      <c r="MUR149" s="60"/>
      <c r="MUS149" s="60"/>
      <c r="MUT149" s="60"/>
      <c r="MUU149" s="60"/>
      <c r="MUV149" s="60"/>
      <c r="MUW149" s="60"/>
      <c r="MUX149" s="60"/>
      <c r="MUY149" s="60"/>
      <c r="MUZ149" s="60"/>
      <c r="MVA149" s="60"/>
      <c r="MVB149" s="60"/>
      <c r="MVC149" s="60"/>
      <c r="MVD149" s="60"/>
      <c r="MVE149" s="60"/>
      <c r="MVF149" s="60"/>
      <c r="MVG149" s="60"/>
      <c r="MVH149" s="60"/>
      <c r="MVI149" s="60"/>
      <c r="MVJ149" s="60"/>
      <c r="MVK149" s="60"/>
      <c r="MVL149" s="60"/>
      <c r="MVM149" s="60"/>
      <c r="MVN149" s="60"/>
      <c r="MVO149" s="60"/>
      <c r="MVP149" s="60"/>
      <c r="MVQ149" s="60"/>
      <c r="MVR149" s="60"/>
      <c r="MVS149" s="60"/>
      <c r="MVT149" s="60"/>
      <c r="MVU149" s="60"/>
      <c r="MVV149" s="60"/>
      <c r="MVW149" s="60"/>
      <c r="MVX149" s="60"/>
      <c r="MVY149" s="60"/>
      <c r="MVZ149" s="60"/>
      <c r="MWA149" s="60"/>
      <c r="MWB149" s="60"/>
      <c r="MWC149" s="60"/>
      <c r="MWD149" s="60"/>
      <c r="MWE149" s="60"/>
      <c r="MWF149" s="60"/>
      <c r="MWG149" s="60"/>
      <c r="MWH149" s="60"/>
      <c r="MWI149" s="60"/>
      <c r="MWJ149" s="60"/>
      <c r="MWK149" s="60"/>
      <c r="MWL149" s="60"/>
      <c r="MWM149" s="60"/>
      <c r="MWN149" s="60"/>
      <c r="MWO149" s="60"/>
      <c r="MWP149" s="60"/>
      <c r="MWQ149" s="60"/>
      <c r="MWR149" s="60"/>
      <c r="MWS149" s="60"/>
      <c r="MWT149" s="60"/>
      <c r="MWU149" s="60"/>
      <c r="MWV149" s="60"/>
      <c r="MWW149" s="60"/>
      <c r="MWX149" s="60"/>
      <c r="MWY149" s="60"/>
      <c r="MWZ149" s="60"/>
      <c r="MXA149" s="60"/>
      <c r="MXB149" s="60"/>
      <c r="MXC149" s="60"/>
      <c r="MXD149" s="60"/>
      <c r="MXE149" s="60"/>
      <c r="MXF149" s="60"/>
      <c r="MXG149" s="60"/>
      <c r="MXH149" s="60"/>
      <c r="MXI149" s="60"/>
      <c r="MXJ149" s="60"/>
      <c r="MXK149" s="60"/>
      <c r="MXL149" s="60"/>
      <c r="MXM149" s="60"/>
      <c r="MXN149" s="60"/>
      <c r="MXO149" s="60"/>
      <c r="MXP149" s="60"/>
      <c r="MXQ149" s="60"/>
      <c r="MXR149" s="60"/>
      <c r="MXS149" s="60"/>
      <c r="MXT149" s="60"/>
      <c r="MXU149" s="60"/>
      <c r="MXV149" s="60"/>
      <c r="MXW149" s="60"/>
      <c r="MXX149" s="60"/>
      <c r="MXY149" s="60"/>
      <c r="MXZ149" s="60"/>
      <c r="MYA149" s="60"/>
      <c r="MYB149" s="60"/>
      <c r="MYC149" s="60"/>
      <c r="MYD149" s="60"/>
      <c r="MYE149" s="60"/>
      <c r="MYF149" s="60"/>
      <c r="MYG149" s="60"/>
      <c r="MYH149" s="60"/>
      <c r="MYI149" s="60"/>
      <c r="MYJ149" s="60"/>
      <c r="MYK149" s="60"/>
      <c r="MYL149" s="60"/>
      <c r="MYM149" s="60"/>
      <c r="MYN149" s="60"/>
      <c r="MYO149" s="60"/>
      <c r="MYP149" s="60"/>
      <c r="MYQ149" s="60"/>
      <c r="MYR149" s="60"/>
      <c r="MYS149" s="60"/>
      <c r="MYT149" s="60"/>
      <c r="MYU149" s="60"/>
      <c r="MYV149" s="60"/>
      <c r="MYW149" s="60"/>
      <c r="MYX149" s="60"/>
      <c r="MYY149" s="60"/>
      <c r="MYZ149" s="60"/>
      <c r="MZA149" s="60"/>
      <c r="MZB149" s="60"/>
      <c r="MZC149" s="60"/>
      <c r="MZD149" s="60"/>
      <c r="MZE149" s="60"/>
      <c r="MZF149" s="60"/>
      <c r="MZG149" s="60"/>
      <c r="MZH149" s="60"/>
      <c r="MZI149" s="60"/>
      <c r="MZJ149" s="60"/>
      <c r="MZK149" s="60"/>
      <c r="MZL149" s="60"/>
      <c r="MZM149" s="60"/>
      <c r="MZN149" s="60"/>
      <c r="MZO149" s="60"/>
      <c r="MZP149" s="60"/>
      <c r="MZQ149" s="60"/>
      <c r="MZR149" s="60"/>
      <c r="MZS149" s="60"/>
      <c r="MZT149" s="60"/>
      <c r="MZU149" s="60"/>
      <c r="MZV149" s="60"/>
      <c r="MZW149" s="60"/>
      <c r="MZX149" s="60"/>
      <c r="MZY149" s="60"/>
      <c r="MZZ149" s="60"/>
      <c r="NAA149" s="60"/>
      <c r="NAB149" s="60"/>
      <c r="NAC149" s="60"/>
      <c r="NAD149" s="60"/>
      <c r="NAE149" s="60"/>
      <c r="NAF149" s="60"/>
      <c r="NAG149" s="60"/>
      <c r="NAH149" s="60"/>
      <c r="NAI149" s="60"/>
      <c r="NAJ149" s="60"/>
      <c r="NAK149" s="60"/>
      <c r="NAL149" s="60"/>
      <c r="NAM149" s="60"/>
      <c r="NAN149" s="60"/>
      <c r="NAO149" s="60"/>
      <c r="NAP149" s="60"/>
      <c r="NAQ149" s="60"/>
      <c r="NAR149" s="60"/>
      <c r="NAS149" s="60"/>
      <c r="NAT149" s="60"/>
      <c r="NAU149" s="60"/>
      <c r="NAV149" s="60"/>
      <c r="NAW149" s="60"/>
      <c r="NAX149" s="60"/>
      <c r="NAY149" s="60"/>
      <c r="NAZ149" s="60"/>
      <c r="NBA149" s="60"/>
      <c r="NBB149" s="60"/>
      <c r="NBC149" s="60"/>
      <c r="NBD149" s="60"/>
      <c r="NBE149" s="60"/>
      <c r="NBF149" s="60"/>
      <c r="NBG149" s="60"/>
      <c r="NBH149" s="60"/>
      <c r="NBI149" s="60"/>
      <c r="NBJ149" s="60"/>
      <c r="NBK149" s="60"/>
      <c r="NBL149" s="60"/>
      <c r="NBM149" s="60"/>
      <c r="NBN149" s="60"/>
      <c r="NBO149" s="60"/>
      <c r="NBP149" s="60"/>
      <c r="NBQ149" s="60"/>
      <c r="NBR149" s="60"/>
      <c r="NBS149" s="60"/>
      <c r="NBT149" s="60"/>
      <c r="NBU149" s="60"/>
      <c r="NBV149" s="60"/>
      <c r="NBW149" s="60"/>
      <c r="NBX149" s="60"/>
      <c r="NBY149" s="60"/>
      <c r="NBZ149" s="60"/>
      <c r="NCA149" s="60"/>
      <c r="NCB149" s="60"/>
      <c r="NCC149" s="60"/>
      <c r="NCD149" s="60"/>
      <c r="NCE149" s="60"/>
      <c r="NCF149" s="60"/>
      <c r="NCG149" s="60"/>
      <c r="NCH149" s="60"/>
      <c r="NCI149" s="60"/>
      <c r="NCJ149" s="60"/>
      <c r="NCK149" s="60"/>
      <c r="NCL149" s="60"/>
      <c r="NCM149" s="60"/>
      <c r="NCN149" s="60"/>
      <c r="NCO149" s="60"/>
      <c r="NCP149" s="60"/>
      <c r="NCQ149" s="60"/>
      <c r="NCR149" s="60"/>
      <c r="NCS149" s="60"/>
      <c r="NCT149" s="60"/>
      <c r="NCU149" s="60"/>
      <c r="NCV149" s="60"/>
      <c r="NCW149" s="60"/>
      <c r="NCX149" s="60"/>
      <c r="NCY149" s="60"/>
      <c r="NCZ149" s="60"/>
      <c r="NDA149" s="60"/>
      <c r="NDB149" s="60"/>
      <c r="NDC149" s="60"/>
      <c r="NDD149" s="60"/>
      <c r="NDE149" s="60"/>
      <c r="NDF149" s="60"/>
      <c r="NDG149" s="60"/>
      <c r="NDH149" s="60"/>
      <c r="NDI149" s="60"/>
      <c r="NDJ149" s="60"/>
      <c r="NDK149" s="60"/>
      <c r="NDL149" s="60"/>
      <c r="NDM149" s="60"/>
      <c r="NDN149" s="60"/>
      <c r="NDO149" s="60"/>
      <c r="NDP149" s="60"/>
      <c r="NDQ149" s="60"/>
      <c r="NDR149" s="60"/>
      <c r="NDS149" s="60"/>
      <c r="NDT149" s="60"/>
      <c r="NDU149" s="60"/>
      <c r="NDV149" s="60"/>
      <c r="NDW149" s="60"/>
      <c r="NDX149" s="60"/>
      <c r="NDY149" s="60"/>
      <c r="NDZ149" s="60"/>
      <c r="NEA149" s="60"/>
      <c r="NEB149" s="60"/>
      <c r="NEC149" s="60"/>
      <c r="NED149" s="60"/>
      <c r="NEE149" s="60"/>
      <c r="NEF149" s="60"/>
      <c r="NEG149" s="60"/>
      <c r="NEH149" s="60"/>
      <c r="NEI149" s="60"/>
      <c r="NEJ149" s="60"/>
      <c r="NEK149" s="60"/>
      <c r="NEL149" s="60"/>
      <c r="NEM149" s="60"/>
      <c r="NEN149" s="60"/>
      <c r="NEO149" s="60"/>
      <c r="NEP149" s="60"/>
      <c r="NEQ149" s="60"/>
      <c r="NER149" s="60"/>
      <c r="NES149" s="60"/>
      <c r="NET149" s="60"/>
      <c r="NEU149" s="60"/>
      <c r="NEV149" s="60"/>
      <c r="NEW149" s="60"/>
      <c r="NEX149" s="60"/>
      <c r="NEY149" s="60"/>
      <c r="NEZ149" s="60"/>
      <c r="NFA149" s="60"/>
      <c r="NFB149" s="60"/>
      <c r="NFC149" s="60"/>
      <c r="NFD149" s="60"/>
      <c r="NFE149" s="60"/>
      <c r="NFF149" s="60"/>
      <c r="NFG149" s="60"/>
      <c r="NFH149" s="60"/>
      <c r="NFI149" s="60"/>
      <c r="NFJ149" s="60"/>
      <c r="NFK149" s="60"/>
      <c r="NFL149" s="60"/>
      <c r="NFM149" s="60"/>
      <c r="NFN149" s="60"/>
      <c r="NFO149" s="60"/>
      <c r="NFP149" s="60"/>
      <c r="NFQ149" s="60"/>
      <c r="NFR149" s="60"/>
      <c r="NFS149" s="60"/>
      <c r="NFT149" s="60"/>
      <c r="NFU149" s="60"/>
      <c r="NFV149" s="60"/>
      <c r="NFW149" s="60"/>
      <c r="NFX149" s="60"/>
      <c r="NFY149" s="60"/>
      <c r="NFZ149" s="60"/>
      <c r="NGA149" s="60"/>
      <c r="NGB149" s="60"/>
      <c r="NGC149" s="60"/>
      <c r="NGD149" s="60"/>
      <c r="NGE149" s="60"/>
      <c r="NGF149" s="60"/>
      <c r="NGG149" s="60"/>
      <c r="NGH149" s="60"/>
      <c r="NGI149" s="60"/>
      <c r="NGJ149" s="60"/>
      <c r="NGK149" s="60"/>
      <c r="NGL149" s="60"/>
      <c r="NGM149" s="60"/>
      <c r="NGN149" s="60"/>
      <c r="NGO149" s="60"/>
      <c r="NGP149" s="60"/>
      <c r="NGQ149" s="60"/>
      <c r="NGR149" s="60"/>
      <c r="NGS149" s="60"/>
      <c r="NGT149" s="60"/>
      <c r="NGU149" s="60"/>
      <c r="NGV149" s="60"/>
      <c r="NGW149" s="60"/>
      <c r="NGX149" s="60"/>
      <c r="NGY149" s="60"/>
      <c r="NGZ149" s="60"/>
      <c r="NHA149" s="60"/>
      <c r="NHB149" s="60"/>
      <c r="NHC149" s="60"/>
      <c r="NHD149" s="60"/>
      <c r="NHE149" s="60"/>
      <c r="NHF149" s="60"/>
      <c r="NHG149" s="60"/>
      <c r="NHH149" s="60"/>
      <c r="NHI149" s="60"/>
      <c r="NHJ149" s="60"/>
      <c r="NHK149" s="60"/>
      <c r="NHL149" s="60"/>
      <c r="NHM149" s="60"/>
      <c r="NHN149" s="60"/>
      <c r="NHO149" s="60"/>
      <c r="NHP149" s="60"/>
      <c r="NHQ149" s="60"/>
      <c r="NHR149" s="60"/>
      <c r="NHS149" s="60"/>
      <c r="NHT149" s="60"/>
      <c r="NHU149" s="60"/>
      <c r="NHV149" s="60"/>
      <c r="NHW149" s="60"/>
      <c r="NHX149" s="60"/>
      <c r="NHY149" s="60"/>
      <c r="NHZ149" s="60"/>
      <c r="NIA149" s="60"/>
      <c r="NIB149" s="60"/>
      <c r="NIC149" s="60"/>
      <c r="NID149" s="60"/>
      <c r="NIE149" s="60"/>
      <c r="NIF149" s="60"/>
      <c r="NIG149" s="60"/>
      <c r="NIH149" s="60"/>
      <c r="NII149" s="60"/>
      <c r="NIJ149" s="60"/>
      <c r="NIK149" s="60"/>
      <c r="NIL149" s="60"/>
      <c r="NIM149" s="60"/>
      <c r="NIN149" s="60"/>
      <c r="NIO149" s="60"/>
      <c r="NIP149" s="60"/>
      <c r="NIQ149" s="60"/>
      <c r="NIR149" s="60"/>
      <c r="NIS149" s="60"/>
      <c r="NIT149" s="60"/>
      <c r="NIU149" s="60"/>
      <c r="NIV149" s="60"/>
      <c r="NIW149" s="60"/>
      <c r="NIX149" s="60"/>
      <c r="NIY149" s="60"/>
      <c r="NIZ149" s="60"/>
      <c r="NJA149" s="60"/>
      <c r="NJB149" s="60"/>
      <c r="NJC149" s="60"/>
      <c r="NJD149" s="60"/>
      <c r="NJE149" s="60"/>
      <c r="NJF149" s="60"/>
      <c r="NJG149" s="60"/>
      <c r="NJH149" s="60"/>
      <c r="NJI149" s="60"/>
      <c r="NJJ149" s="60"/>
      <c r="NJK149" s="60"/>
      <c r="NJL149" s="60"/>
      <c r="NJM149" s="60"/>
      <c r="NJN149" s="60"/>
      <c r="NJO149" s="60"/>
      <c r="NJP149" s="60"/>
      <c r="NJQ149" s="60"/>
      <c r="NJR149" s="60"/>
      <c r="NJS149" s="60"/>
      <c r="NJT149" s="60"/>
      <c r="NJU149" s="60"/>
      <c r="NJV149" s="60"/>
      <c r="NJW149" s="60"/>
      <c r="NJX149" s="60"/>
      <c r="NJY149" s="60"/>
      <c r="NJZ149" s="60"/>
      <c r="NKA149" s="60"/>
      <c r="NKB149" s="60"/>
      <c r="NKC149" s="60"/>
      <c r="NKD149" s="60"/>
      <c r="NKE149" s="60"/>
      <c r="NKF149" s="60"/>
      <c r="NKG149" s="60"/>
      <c r="NKH149" s="60"/>
      <c r="NKI149" s="60"/>
      <c r="NKJ149" s="60"/>
      <c r="NKK149" s="60"/>
      <c r="NKL149" s="60"/>
      <c r="NKM149" s="60"/>
      <c r="NKN149" s="60"/>
      <c r="NKO149" s="60"/>
      <c r="NKP149" s="60"/>
      <c r="NKQ149" s="60"/>
      <c r="NKR149" s="60"/>
      <c r="NKS149" s="60"/>
      <c r="NKT149" s="60"/>
      <c r="NKU149" s="60"/>
      <c r="NKV149" s="60"/>
      <c r="NKW149" s="60"/>
      <c r="NKX149" s="60"/>
      <c r="NKY149" s="60"/>
      <c r="NKZ149" s="60"/>
      <c r="NLA149" s="60"/>
      <c r="NLB149" s="60"/>
      <c r="NLC149" s="60"/>
      <c r="NLD149" s="60"/>
      <c r="NLE149" s="60"/>
      <c r="NLF149" s="60"/>
      <c r="NLG149" s="60"/>
      <c r="NLH149" s="60"/>
      <c r="NLI149" s="60"/>
      <c r="NLJ149" s="60"/>
      <c r="NLK149" s="60"/>
      <c r="NLL149" s="60"/>
      <c r="NLM149" s="60"/>
      <c r="NLN149" s="60"/>
      <c r="NLO149" s="60"/>
      <c r="NLP149" s="60"/>
      <c r="NLQ149" s="60"/>
      <c r="NLR149" s="60"/>
      <c r="NLS149" s="60"/>
      <c r="NLT149" s="60"/>
      <c r="NLU149" s="60"/>
      <c r="NLV149" s="60"/>
      <c r="NLW149" s="60"/>
      <c r="NLX149" s="60"/>
      <c r="NLY149" s="60"/>
      <c r="NLZ149" s="60"/>
      <c r="NMA149" s="60"/>
      <c r="NMB149" s="60"/>
      <c r="NMC149" s="60"/>
      <c r="NMD149" s="60"/>
      <c r="NME149" s="60"/>
      <c r="NMF149" s="60"/>
      <c r="NMG149" s="60"/>
      <c r="NMH149" s="60"/>
      <c r="NMI149" s="60"/>
      <c r="NMJ149" s="60"/>
      <c r="NMK149" s="60"/>
      <c r="NML149" s="60"/>
      <c r="NMM149" s="60"/>
      <c r="NMN149" s="60"/>
      <c r="NMO149" s="60"/>
      <c r="NMP149" s="60"/>
      <c r="NMQ149" s="60"/>
      <c r="NMR149" s="60"/>
      <c r="NMS149" s="60"/>
      <c r="NMT149" s="60"/>
      <c r="NMU149" s="60"/>
      <c r="NMV149" s="60"/>
      <c r="NMW149" s="60"/>
      <c r="NMX149" s="60"/>
      <c r="NMY149" s="60"/>
      <c r="NMZ149" s="60"/>
      <c r="NNA149" s="60"/>
      <c r="NNB149" s="60"/>
      <c r="NNC149" s="60"/>
      <c r="NND149" s="60"/>
      <c r="NNE149" s="60"/>
      <c r="NNF149" s="60"/>
      <c r="NNG149" s="60"/>
      <c r="NNH149" s="60"/>
      <c r="NNI149" s="60"/>
      <c r="NNJ149" s="60"/>
      <c r="NNK149" s="60"/>
      <c r="NNL149" s="60"/>
      <c r="NNM149" s="60"/>
      <c r="NNN149" s="60"/>
      <c r="NNO149" s="60"/>
      <c r="NNP149" s="60"/>
      <c r="NNQ149" s="60"/>
      <c r="NNR149" s="60"/>
      <c r="NNS149" s="60"/>
      <c r="NNT149" s="60"/>
      <c r="NNU149" s="60"/>
      <c r="NNV149" s="60"/>
      <c r="NNW149" s="60"/>
      <c r="NNX149" s="60"/>
      <c r="NNY149" s="60"/>
      <c r="NNZ149" s="60"/>
      <c r="NOA149" s="60"/>
      <c r="NOB149" s="60"/>
      <c r="NOC149" s="60"/>
      <c r="NOD149" s="60"/>
      <c r="NOE149" s="60"/>
      <c r="NOF149" s="60"/>
      <c r="NOG149" s="60"/>
      <c r="NOH149" s="60"/>
      <c r="NOI149" s="60"/>
      <c r="NOJ149" s="60"/>
      <c r="NOK149" s="60"/>
      <c r="NOL149" s="60"/>
      <c r="NOM149" s="60"/>
      <c r="NON149" s="60"/>
      <c r="NOO149" s="60"/>
      <c r="NOP149" s="60"/>
      <c r="NOQ149" s="60"/>
      <c r="NOR149" s="60"/>
      <c r="NOS149" s="60"/>
      <c r="NOT149" s="60"/>
      <c r="NOU149" s="60"/>
      <c r="NOV149" s="60"/>
      <c r="NOW149" s="60"/>
      <c r="NOX149" s="60"/>
      <c r="NOY149" s="60"/>
      <c r="NOZ149" s="60"/>
      <c r="NPA149" s="60"/>
      <c r="NPB149" s="60"/>
      <c r="NPC149" s="60"/>
      <c r="NPD149" s="60"/>
      <c r="NPE149" s="60"/>
      <c r="NPF149" s="60"/>
      <c r="NPG149" s="60"/>
      <c r="NPH149" s="60"/>
      <c r="NPI149" s="60"/>
      <c r="NPJ149" s="60"/>
      <c r="NPK149" s="60"/>
      <c r="NPL149" s="60"/>
      <c r="NPM149" s="60"/>
      <c r="NPN149" s="60"/>
      <c r="NPO149" s="60"/>
      <c r="NPP149" s="60"/>
      <c r="NPQ149" s="60"/>
      <c r="NPR149" s="60"/>
      <c r="NPS149" s="60"/>
      <c r="NPT149" s="60"/>
      <c r="NPU149" s="60"/>
      <c r="NPV149" s="60"/>
      <c r="NPW149" s="60"/>
      <c r="NPX149" s="60"/>
      <c r="NPY149" s="60"/>
      <c r="NPZ149" s="60"/>
      <c r="NQA149" s="60"/>
      <c r="NQB149" s="60"/>
      <c r="NQC149" s="60"/>
      <c r="NQD149" s="60"/>
      <c r="NQE149" s="60"/>
      <c r="NQF149" s="60"/>
      <c r="NQG149" s="60"/>
      <c r="NQH149" s="60"/>
      <c r="NQI149" s="60"/>
      <c r="NQJ149" s="60"/>
      <c r="NQK149" s="60"/>
      <c r="NQL149" s="60"/>
      <c r="NQM149" s="60"/>
      <c r="NQN149" s="60"/>
      <c r="NQO149" s="60"/>
      <c r="NQP149" s="60"/>
      <c r="NQQ149" s="60"/>
      <c r="NQR149" s="60"/>
      <c r="NQS149" s="60"/>
      <c r="NQT149" s="60"/>
      <c r="NQU149" s="60"/>
      <c r="NQV149" s="60"/>
      <c r="NQW149" s="60"/>
      <c r="NQX149" s="60"/>
      <c r="NQY149" s="60"/>
      <c r="NQZ149" s="60"/>
      <c r="NRA149" s="60"/>
      <c r="NRB149" s="60"/>
      <c r="NRC149" s="60"/>
      <c r="NRD149" s="60"/>
      <c r="NRE149" s="60"/>
      <c r="NRF149" s="60"/>
      <c r="NRG149" s="60"/>
      <c r="NRH149" s="60"/>
      <c r="NRI149" s="60"/>
      <c r="NRJ149" s="60"/>
      <c r="NRK149" s="60"/>
      <c r="NRL149" s="60"/>
      <c r="NRM149" s="60"/>
      <c r="NRN149" s="60"/>
      <c r="NRO149" s="60"/>
      <c r="NRP149" s="60"/>
      <c r="NRQ149" s="60"/>
      <c r="NRR149" s="60"/>
      <c r="NRS149" s="60"/>
      <c r="NRT149" s="60"/>
      <c r="NRU149" s="60"/>
      <c r="NRV149" s="60"/>
      <c r="NRW149" s="60"/>
      <c r="NRX149" s="60"/>
      <c r="NRY149" s="60"/>
      <c r="NRZ149" s="60"/>
      <c r="NSA149" s="60"/>
      <c r="NSB149" s="60"/>
      <c r="NSC149" s="60"/>
      <c r="NSD149" s="60"/>
      <c r="NSE149" s="60"/>
      <c r="NSF149" s="60"/>
      <c r="NSG149" s="60"/>
      <c r="NSH149" s="60"/>
      <c r="NSI149" s="60"/>
      <c r="NSJ149" s="60"/>
      <c r="NSK149" s="60"/>
      <c r="NSL149" s="60"/>
      <c r="NSM149" s="60"/>
      <c r="NSN149" s="60"/>
      <c r="NSO149" s="60"/>
      <c r="NSP149" s="60"/>
      <c r="NSQ149" s="60"/>
      <c r="NSR149" s="60"/>
      <c r="NSS149" s="60"/>
      <c r="NST149" s="60"/>
      <c r="NSU149" s="60"/>
      <c r="NSV149" s="60"/>
      <c r="NSW149" s="60"/>
      <c r="NSX149" s="60"/>
      <c r="NSY149" s="60"/>
      <c r="NSZ149" s="60"/>
      <c r="NTA149" s="60"/>
      <c r="NTB149" s="60"/>
      <c r="NTC149" s="60"/>
      <c r="NTD149" s="60"/>
      <c r="NTE149" s="60"/>
      <c r="NTF149" s="60"/>
      <c r="NTG149" s="60"/>
      <c r="NTH149" s="60"/>
      <c r="NTI149" s="60"/>
      <c r="NTJ149" s="60"/>
      <c r="NTK149" s="60"/>
      <c r="NTL149" s="60"/>
      <c r="NTM149" s="60"/>
      <c r="NTN149" s="60"/>
      <c r="NTO149" s="60"/>
      <c r="NTP149" s="60"/>
      <c r="NTQ149" s="60"/>
      <c r="NTR149" s="60"/>
      <c r="NTS149" s="60"/>
      <c r="NTT149" s="60"/>
      <c r="NTU149" s="60"/>
      <c r="NTV149" s="60"/>
      <c r="NTW149" s="60"/>
      <c r="NTX149" s="60"/>
      <c r="NTY149" s="60"/>
      <c r="NTZ149" s="60"/>
      <c r="NUA149" s="60"/>
      <c r="NUB149" s="60"/>
      <c r="NUC149" s="60"/>
      <c r="NUD149" s="60"/>
      <c r="NUE149" s="60"/>
      <c r="NUF149" s="60"/>
      <c r="NUG149" s="60"/>
      <c r="NUH149" s="60"/>
      <c r="NUI149" s="60"/>
      <c r="NUJ149" s="60"/>
      <c r="NUK149" s="60"/>
      <c r="NUL149" s="60"/>
      <c r="NUM149" s="60"/>
      <c r="NUN149" s="60"/>
      <c r="NUO149" s="60"/>
      <c r="NUP149" s="60"/>
      <c r="NUQ149" s="60"/>
      <c r="NUR149" s="60"/>
      <c r="NUS149" s="60"/>
      <c r="NUT149" s="60"/>
      <c r="NUU149" s="60"/>
      <c r="NUV149" s="60"/>
      <c r="NUW149" s="60"/>
      <c r="NUX149" s="60"/>
      <c r="NUY149" s="60"/>
      <c r="NUZ149" s="60"/>
      <c r="NVA149" s="60"/>
      <c r="NVB149" s="60"/>
      <c r="NVC149" s="60"/>
      <c r="NVD149" s="60"/>
      <c r="NVE149" s="60"/>
      <c r="NVF149" s="60"/>
      <c r="NVG149" s="60"/>
      <c r="NVH149" s="60"/>
      <c r="NVI149" s="60"/>
      <c r="NVJ149" s="60"/>
      <c r="NVK149" s="60"/>
      <c r="NVL149" s="60"/>
      <c r="NVM149" s="60"/>
      <c r="NVN149" s="60"/>
      <c r="NVO149" s="60"/>
      <c r="NVP149" s="60"/>
      <c r="NVQ149" s="60"/>
      <c r="NVR149" s="60"/>
      <c r="NVS149" s="60"/>
      <c r="NVT149" s="60"/>
      <c r="NVU149" s="60"/>
      <c r="NVV149" s="60"/>
      <c r="NVW149" s="60"/>
      <c r="NVX149" s="60"/>
      <c r="NVY149" s="60"/>
      <c r="NVZ149" s="60"/>
      <c r="NWA149" s="60"/>
      <c r="NWB149" s="60"/>
      <c r="NWC149" s="60"/>
      <c r="NWD149" s="60"/>
      <c r="NWE149" s="60"/>
      <c r="NWF149" s="60"/>
      <c r="NWG149" s="60"/>
      <c r="NWH149" s="60"/>
      <c r="NWI149" s="60"/>
      <c r="NWJ149" s="60"/>
      <c r="NWK149" s="60"/>
      <c r="NWL149" s="60"/>
      <c r="NWM149" s="60"/>
      <c r="NWN149" s="60"/>
      <c r="NWO149" s="60"/>
      <c r="NWP149" s="60"/>
      <c r="NWQ149" s="60"/>
      <c r="NWR149" s="60"/>
      <c r="NWS149" s="60"/>
      <c r="NWT149" s="60"/>
      <c r="NWU149" s="60"/>
      <c r="NWV149" s="60"/>
      <c r="NWW149" s="60"/>
      <c r="NWX149" s="60"/>
      <c r="NWY149" s="60"/>
      <c r="NWZ149" s="60"/>
      <c r="NXA149" s="60"/>
      <c r="NXB149" s="60"/>
      <c r="NXC149" s="60"/>
      <c r="NXD149" s="60"/>
      <c r="NXE149" s="60"/>
      <c r="NXF149" s="60"/>
      <c r="NXG149" s="60"/>
      <c r="NXH149" s="60"/>
      <c r="NXI149" s="60"/>
      <c r="NXJ149" s="60"/>
      <c r="NXK149" s="60"/>
      <c r="NXL149" s="60"/>
      <c r="NXM149" s="60"/>
      <c r="NXN149" s="60"/>
      <c r="NXO149" s="60"/>
      <c r="NXP149" s="60"/>
      <c r="NXQ149" s="60"/>
      <c r="NXR149" s="60"/>
      <c r="NXS149" s="60"/>
      <c r="NXT149" s="60"/>
      <c r="NXU149" s="60"/>
      <c r="NXV149" s="60"/>
      <c r="NXW149" s="60"/>
      <c r="NXX149" s="60"/>
      <c r="NXY149" s="60"/>
      <c r="NXZ149" s="60"/>
      <c r="NYA149" s="60"/>
      <c r="NYB149" s="60"/>
      <c r="NYC149" s="60"/>
      <c r="NYD149" s="60"/>
      <c r="NYE149" s="60"/>
      <c r="NYF149" s="60"/>
      <c r="NYG149" s="60"/>
      <c r="NYH149" s="60"/>
      <c r="NYI149" s="60"/>
      <c r="NYJ149" s="60"/>
      <c r="NYK149" s="60"/>
      <c r="NYL149" s="60"/>
      <c r="NYM149" s="60"/>
      <c r="NYN149" s="60"/>
      <c r="NYO149" s="60"/>
      <c r="NYP149" s="60"/>
      <c r="NYQ149" s="60"/>
      <c r="NYR149" s="60"/>
      <c r="NYS149" s="60"/>
      <c r="NYT149" s="60"/>
      <c r="NYU149" s="60"/>
      <c r="NYV149" s="60"/>
      <c r="NYW149" s="60"/>
      <c r="NYX149" s="60"/>
      <c r="NYY149" s="60"/>
      <c r="NYZ149" s="60"/>
      <c r="NZA149" s="60"/>
      <c r="NZB149" s="60"/>
      <c r="NZC149" s="60"/>
      <c r="NZD149" s="60"/>
      <c r="NZE149" s="60"/>
      <c r="NZF149" s="60"/>
      <c r="NZG149" s="60"/>
      <c r="NZH149" s="60"/>
      <c r="NZI149" s="60"/>
      <c r="NZJ149" s="60"/>
      <c r="NZK149" s="60"/>
      <c r="NZL149" s="60"/>
      <c r="NZM149" s="60"/>
      <c r="NZN149" s="60"/>
      <c r="NZO149" s="60"/>
      <c r="NZP149" s="60"/>
      <c r="NZQ149" s="60"/>
      <c r="NZR149" s="60"/>
      <c r="NZS149" s="60"/>
      <c r="NZT149" s="60"/>
      <c r="NZU149" s="60"/>
      <c r="NZV149" s="60"/>
      <c r="NZW149" s="60"/>
      <c r="NZX149" s="60"/>
      <c r="NZY149" s="60"/>
      <c r="NZZ149" s="60"/>
      <c r="OAA149" s="60"/>
      <c r="OAB149" s="60"/>
      <c r="OAC149" s="60"/>
      <c r="OAD149" s="60"/>
      <c r="OAE149" s="60"/>
      <c r="OAF149" s="60"/>
      <c r="OAG149" s="60"/>
      <c r="OAH149" s="60"/>
      <c r="OAI149" s="60"/>
      <c r="OAJ149" s="60"/>
      <c r="OAK149" s="60"/>
      <c r="OAL149" s="60"/>
      <c r="OAM149" s="60"/>
      <c r="OAN149" s="60"/>
      <c r="OAO149" s="60"/>
      <c r="OAP149" s="60"/>
      <c r="OAQ149" s="60"/>
      <c r="OAR149" s="60"/>
      <c r="OAS149" s="60"/>
      <c r="OAT149" s="60"/>
      <c r="OAU149" s="60"/>
      <c r="OAV149" s="60"/>
      <c r="OAW149" s="60"/>
      <c r="OAX149" s="60"/>
      <c r="OAY149" s="60"/>
      <c r="OAZ149" s="60"/>
      <c r="OBA149" s="60"/>
      <c r="OBB149" s="60"/>
      <c r="OBC149" s="60"/>
      <c r="OBD149" s="60"/>
      <c r="OBE149" s="60"/>
      <c r="OBF149" s="60"/>
      <c r="OBG149" s="60"/>
      <c r="OBH149" s="60"/>
      <c r="OBI149" s="60"/>
      <c r="OBJ149" s="60"/>
      <c r="OBK149" s="60"/>
      <c r="OBL149" s="60"/>
      <c r="OBM149" s="60"/>
      <c r="OBN149" s="60"/>
      <c r="OBO149" s="60"/>
      <c r="OBP149" s="60"/>
      <c r="OBQ149" s="60"/>
      <c r="OBR149" s="60"/>
      <c r="OBS149" s="60"/>
      <c r="OBT149" s="60"/>
      <c r="OBU149" s="60"/>
      <c r="OBV149" s="60"/>
      <c r="OBW149" s="60"/>
      <c r="OBX149" s="60"/>
      <c r="OBY149" s="60"/>
      <c r="OBZ149" s="60"/>
      <c r="OCA149" s="60"/>
      <c r="OCB149" s="60"/>
      <c r="OCC149" s="60"/>
      <c r="OCD149" s="60"/>
      <c r="OCE149" s="60"/>
      <c r="OCF149" s="60"/>
      <c r="OCG149" s="60"/>
      <c r="OCH149" s="60"/>
      <c r="OCI149" s="60"/>
      <c r="OCJ149" s="60"/>
      <c r="OCK149" s="60"/>
      <c r="OCL149" s="60"/>
      <c r="OCM149" s="60"/>
      <c r="OCN149" s="60"/>
      <c r="OCO149" s="60"/>
      <c r="OCP149" s="60"/>
      <c r="OCQ149" s="60"/>
      <c r="OCR149" s="60"/>
      <c r="OCS149" s="60"/>
      <c r="OCT149" s="60"/>
      <c r="OCU149" s="60"/>
      <c r="OCV149" s="60"/>
      <c r="OCW149" s="60"/>
      <c r="OCX149" s="60"/>
      <c r="OCY149" s="60"/>
      <c r="OCZ149" s="60"/>
      <c r="ODA149" s="60"/>
      <c r="ODB149" s="60"/>
      <c r="ODC149" s="60"/>
      <c r="ODD149" s="60"/>
      <c r="ODE149" s="60"/>
      <c r="ODF149" s="60"/>
      <c r="ODG149" s="60"/>
      <c r="ODH149" s="60"/>
      <c r="ODI149" s="60"/>
      <c r="ODJ149" s="60"/>
      <c r="ODK149" s="60"/>
      <c r="ODL149" s="60"/>
      <c r="ODM149" s="60"/>
      <c r="ODN149" s="60"/>
      <c r="ODO149" s="60"/>
      <c r="ODP149" s="60"/>
      <c r="ODQ149" s="60"/>
      <c r="ODR149" s="60"/>
      <c r="ODS149" s="60"/>
      <c r="ODT149" s="60"/>
      <c r="ODU149" s="60"/>
      <c r="ODV149" s="60"/>
      <c r="ODW149" s="60"/>
      <c r="ODX149" s="60"/>
      <c r="ODY149" s="60"/>
      <c r="ODZ149" s="60"/>
      <c r="OEA149" s="60"/>
      <c r="OEB149" s="60"/>
      <c r="OEC149" s="60"/>
      <c r="OED149" s="60"/>
      <c r="OEE149" s="60"/>
      <c r="OEF149" s="60"/>
      <c r="OEG149" s="60"/>
      <c r="OEH149" s="60"/>
      <c r="OEI149" s="60"/>
      <c r="OEJ149" s="60"/>
      <c r="OEK149" s="60"/>
      <c r="OEL149" s="60"/>
      <c r="OEM149" s="60"/>
      <c r="OEN149" s="60"/>
      <c r="OEO149" s="60"/>
      <c r="OEP149" s="60"/>
      <c r="OEQ149" s="60"/>
      <c r="OER149" s="60"/>
      <c r="OES149" s="60"/>
      <c r="OET149" s="60"/>
      <c r="OEU149" s="60"/>
      <c r="OEV149" s="60"/>
      <c r="OEW149" s="60"/>
      <c r="OEX149" s="60"/>
      <c r="OEY149" s="60"/>
      <c r="OEZ149" s="60"/>
      <c r="OFA149" s="60"/>
      <c r="OFB149" s="60"/>
      <c r="OFC149" s="60"/>
      <c r="OFD149" s="60"/>
      <c r="OFE149" s="60"/>
      <c r="OFF149" s="60"/>
      <c r="OFG149" s="60"/>
      <c r="OFH149" s="60"/>
      <c r="OFI149" s="60"/>
      <c r="OFJ149" s="60"/>
      <c r="OFK149" s="60"/>
      <c r="OFL149" s="60"/>
      <c r="OFM149" s="60"/>
      <c r="OFN149" s="60"/>
      <c r="OFO149" s="60"/>
      <c r="OFP149" s="60"/>
      <c r="OFQ149" s="60"/>
      <c r="OFR149" s="60"/>
      <c r="OFS149" s="60"/>
      <c r="OFT149" s="60"/>
      <c r="OFU149" s="60"/>
      <c r="OFV149" s="60"/>
      <c r="OFW149" s="60"/>
      <c r="OFX149" s="60"/>
      <c r="OFY149" s="60"/>
      <c r="OFZ149" s="60"/>
      <c r="OGA149" s="60"/>
      <c r="OGB149" s="60"/>
      <c r="OGC149" s="60"/>
      <c r="OGD149" s="60"/>
      <c r="OGE149" s="60"/>
      <c r="OGF149" s="60"/>
      <c r="OGG149" s="60"/>
      <c r="OGH149" s="60"/>
      <c r="OGI149" s="60"/>
      <c r="OGJ149" s="60"/>
      <c r="OGK149" s="60"/>
      <c r="OGL149" s="60"/>
      <c r="OGM149" s="60"/>
      <c r="OGN149" s="60"/>
      <c r="OGO149" s="60"/>
      <c r="OGP149" s="60"/>
      <c r="OGQ149" s="60"/>
      <c r="OGR149" s="60"/>
      <c r="OGS149" s="60"/>
      <c r="OGT149" s="60"/>
      <c r="OGU149" s="60"/>
      <c r="OGV149" s="60"/>
      <c r="OGW149" s="60"/>
      <c r="OGX149" s="60"/>
      <c r="OGY149" s="60"/>
      <c r="OGZ149" s="60"/>
      <c r="OHA149" s="60"/>
      <c r="OHB149" s="60"/>
      <c r="OHC149" s="60"/>
      <c r="OHD149" s="60"/>
      <c r="OHE149" s="60"/>
      <c r="OHF149" s="60"/>
      <c r="OHG149" s="60"/>
      <c r="OHH149" s="60"/>
      <c r="OHI149" s="60"/>
      <c r="OHJ149" s="60"/>
      <c r="OHK149" s="60"/>
      <c r="OHL149" s="60"/>
      <c r="OHM149" s="60"/>
      <c r="OHN149" s="60"/>
      <c r="OHO149" s="60"/>
      <c r="OHP149" s="60"/>
      <c r="OHQ149" s="60"/>
      <c r="OHR149" s="60"/>
      <c r="OHS149" s="60"/>
      <c r="OHT149" s="60"/>
      <c r="OHU149" s="60"/>
      <c r="OHV149" s="60"/>
      <c r="OHW149" s="60"/>
      <c r="OHX149" s="60"/>
      <c r="OHY149" s="60"/>
      <c r="OHZ149" s="60"/>
      <c r="OIA149" s="60"/>
      <c r="OIB149" s="60"/>
      <c r="OIC149" s="60"/>
      <c r="OID149" s="60"/>
      <c r="OIE149" s="60"/>
      <c r="OIF149" s="60"/>
      <c r="OIG149" s="60"/>
      <c r="OIH149" s="60"/>
      <c r="OII149" s="60"/>
      <c r="OIJ149" s="60"/>
      <c r="OIK149" s="60"/>
      <c r="OIL149" s="60"/>
      <c r="OIM149" s="60"/>
      <c r="OIN149" s="60"/>
      <c r="OIO149" s="60"/>
      <c r="OIP149" s="60"/>
      <c r="OIQ149" s="60"/>
      <c r="OIR149" s="60"/>
      <c r="OIS149" s="60"/>
      <c r="OIT149" s="60"/>
      <c r="OIU149" s="60"/>
      <c r="OIV149" s="60"/>
      <c r="OIW149" s="60"/>
      <c r="OIX149" s="60"/>
      <c r="OIY149" s="60"/>
      <c r="OIZ149" s="60"/>
      <c r="OJA149" s="60"/>
      <c r="OJB149" s="60"/>
      <c r="OJC149" s="60"/>
      <c r="OJD149" s="60"/>
      <c r="OJE149" s="60"/>
      <c r="OJF149" s="60"/>
      <c r="OJG149" s="60"/>
      <c r="OJH149" s="60"/>
      <c r="OJI149" s="60"/>
      <c r="OJJ149" s="60"/>
      <c r="OJK149" s="60"/>
      <c r="OJL149" s="60"/>
      <c r="OJM149" s="60"/>
      <c r="OJN149" s="60"/>
      <c r="OJO149" s="60"/>
      <c r="OJP149" s="60"/>
      <c r="OJQ149" s="60"/>
      <c r="OJR149" s="60"/>
      <c r="OJS149" s="60"/>
      <c r="OJT149" s="60"/>
      <c r="OJU149" s="60"/>
      <c r="OJV149" s="60"/>
      <c r="OJW149" s="60"/>
      <c r="OJX149" s="60"/>
      <c r="OJY149" s="60"/>
      <c r="OJZ149" s="60"/>
      <c r="OKA149" s="60"/>
      <c r="OKB149" s="60"/>
      <c r="OKC149" s="60"/>
      <c r="OKD149" s="60"/>
      <c r="OKE149" s="60"/>
      <c r="OKF149" s="60"/>
      <c r="OKG149" s="60"/>
      <c r="OKH149" s="60"/>
      <c r="OKI149" s="60"/>
      <c r="OKJ149" s="60"/>
      <c r="OKK149" s="60"/>
      <c r="OKL149" s="60"/>
      <c r="OKM149" s="60"/>
      <c r="OKN149" s="60"/>
      <c r="OKO149" s="60"/>
      <c r="OKP149" s="60"/>
      <c r="OKQ149" s="60"/>
      <c r="OKR149" s="60"/>
      <c r="OKS149" s="60"/>
      <c r="OKT149" s="60"/>
      <c r="OKU149" s="60"/>
      <c r="OKV149" s="60"/>
      <c r="OKW149" s="60"/>
      <c r="OKX149" s="60"/>
      <c r="OKY149" s="60"/>
      <c r="OKZ149" s="60"/>
      <c r="OLA149" s="60"/>
      <c r="OLB149" s="60"/>
      <c r="OLC149" s="60"/>
      <c r="OLD149" s="60"/>
      <c r="OLE149" s="60"/>
      <c r="OLF149" s="60"/>
      <c r="OLG149" s="60"/>
      <c r="OLH149" s="60"/>
      <c r="OLI149" s="60"/>
      <c r="OLJ149" s="60"/>
      <c r="OLK149" s="60"/>
      <c r="OLL149" s="60"/>
      <c r="OLM149" s="60"/>
      <c r="OLN149" s="60"/>
      <c r="OLO149" s="60"/>
      <c r="OLP149" s="60"/>
      <c r="OLQ149" s="60"/>
      <c r="OLR149" s="60"/>
      <c r="OLS149" s="60"/>
      <c r="OLT149" s="60"/>
      <c r="OLU149" s="60"/>
      <c r="OLV149" s="60"/>
      <c r="OLW149" s="60"/>
      <c r="OLX149" s="60"/>
      <c r="OLY149" s="60"/>
      <c r="OLZ149" s="60"/>
      <c r="OMA149" s="60"/>
      <c r="OMB149" s="60"/>
      <c r="OMC149" s="60"/>
      <c r="OMD149" s="60"/>
      <c r="OME149" s="60"/>
      <c r="OMF149" s="60"/>
      <c r="OMG149" s="60"/>
      <c r="OMH149" s="60"/>
      <c r="OMI149" s="60"/>
      <c r="OMJ149" s="60"/>
      <c r="OMK149" s="60"/>
      <c r="OML149" s="60"/>
      <c r="OMM149" s="60"/>
      <c r="OMN149" s="60"/>
      <c r="OMO149" s="60"/>
      <c r="OMP149" s="60"/>
      <c r="OMQ149" s="60"/>
      <c r="OMR149" s="60"/>
      <c r="OMS149" s="60"/>
      <c r="OMT149" s="60"/>
      <c r="OMU149" s="60"/>
      <c r="OMV149" s="60"/>
      <c r="OMW149" s="60"/>
      <c r="OMX149" s="60"/>
      <c r="OMY149" s="60"/>
      <c r="OMZ149" s="60"/>
      <c r="ONA149" s="60"/>
      <c r="ONB149" s="60"/>
      <c r="ONC149" s="60"/>
      <c r="OND149" s="60"/>
      <c r="ONE149" s="60"/>
      <c r="ONF149" s="60"/>
      <c r="ONG149" s="60"/>
      <c r="ONH149" s="60"/>
      <c r="ONI149" s="60"/>
      <c r="ONJ149" s="60"/>
      <c r="ONK149" s="60"/>
      <c r="ONL149" s="60"/>
      <c r="ONM149" s="60"/>
      <c r="ONN149" s="60"/>
      <c r="ONO149" s="60"/>
      <c r="ONP149" s="60"/>
      <c r="ONQ149" s="60"/>
      <c r="ONR149" s="60"/>
      <c r="ONS149" s="60"/>
      <c r="ONT149" s="60"/>
      <c r="ONU149" s="60"/>
      <c r="ONV149" s="60"/>
      <c r="ONW149" s="60"/>
      <c r="ONX149" s="60"/>
      <c r="ONY149" s="60"/>
      <c r="ONZ149" s="60"/>
      <c r="OOA149" s="60"/>
      <c r="OOB149" s="60"/>
      <c r="OOC149" s="60"/>
      <c r="OOD149" s="60"/>
      <c r="OOE149" s="60"/>
      <c r="OOF149" s="60"/>
      <c r="OOG149" s="60"/>
      <c r="OOH149" s="60"/>
      <c r="OOI149" s="60"/>
      <c r="OOJ149" s="60"/>
      <c r="OOK149" s="60"/>
      <c r="OOL149" s="60"/>
      <c r="OOM149" s="60"/>
      <c r="OON149" s="60"/>
      <c r="OOO149" s="60"/>
      <c r="OOP149" s="60"/>
      <c r="OOQ149" s="60"/>
      <c r="OOR149" s="60"/>
      <c r="OOS149" s="60"/>
      <c r="OOT149" s="60"/>
      <c r="OOU149" s="60"/>
      <c r="OOV149" s="60"/>
      <c r="OOW149" s="60"/>
      <c r="OOX149" s="60"/>
      <c r="OOY149" s="60"/>
      <c r="OOZ149" s="60"/>
      <c r="OPA149" s="60"/>
      <c r="OPB149" s="60"/>
      <c r="OPC149" s="60"/>
      <c r="OPD149" s="60"/>
      <c r="OPE149" s="60"/>
      <c r="OPF149" s="60"/>
      <c r="OPG149" s="60"/>
      <c r="OPH149" s="60"/>
      <c r="OPI149" s="60"/>
      <c r="OPJ149" s="60"/>
      <c r="OPK149" s="60"/>
      <c r="OPL149" s="60"/>
      <c r="OPM149" s="60"/>
      <c r="OPN149" s="60"/>
      <c r="OPO149" s="60"/>
      <c r="OPP149" s="60"/>
      <c r="OPQ149" s="60"/>
      <c r="OPR149" s="60"/>
      <c r="OPS149" s="60"/>
      <c r="OPT149" s="60"/>
      <c r="OPU149" s="60"/>
      <c r="OPV149" s="60"/>
      <c r="OPW149" s="60"/>
      <c r="OPX149" s="60"/>
      <c r="OPY149" s="60"/>
      <c r="OPZ149" s="60"/>
      <c r="OQA149" s="60"/>
      <c r="OQB149" s="60"/>
      <c r="OQC149" s="60"/>
      <c r="OQD149" s="60"/>
      <c r="OQE149" s="60"/>
      <c r="OQF149" s="60"/>
      <c r="OQG149" s="60"/>
      <c r="OQH149" s="60"/>
      <c r="OQI149" s="60"/>
      <c r="OQJ149" s="60"/>
      <c r="OQK149" s="60"/>
      <c r="OQL149" s="60"/>
      <c r="OQM149" s="60"/>
      <c r="OQN149" s="60"/>
      <c r="OQO149" s="60"/>
      <c r="OQP149" s="60"/>
      <c r="OQQ149" s="60"/>
      <c r="OQR149" s="60"/>
      <c r="OQS149" s="60"/>
      <c r="OQT149" s="60"/>
      <c r="OQU149" s="60"/>
      <c r="OQV149" s="60"/>
      <c r="OQW149" s="60"/>
      <c r="OQX149" s="60"/>
      <c r="OQY149" s="60"/>
      <c r="OQZ149" s="60"/>
      <c r="ORA149" s="60"/>
      <c r="ORB149" s="60"/>
      <c r="ORC149" s="60"/>
      <c r="ORD149" s="60"/>
      <c r="ORE149" s="60"/>
      <c r="ORF149" s="60"/>
      <c r="ORG149" s="60"/>
      <c r="ORH149" s="60"/>
      <c r="ORI149" s="60"/>
      <c r="ORJ149" s="60"/>
      <c r="ORK149" s="60"/>
      <c r="ORL149" s="60"/>
      <c r="ORM149" s="60"/>
      <c r="ORN149" s="60"/>
      <c r="ORO149" s="60"/>
      <c r="ORP149" s="60"/>
      <c r="ORQ149" s="60"/>
      <c r="ORR149" s="60"/>
      <c r="ORS149" s="60"/>
      <c r="ORT149" s="60"/>
      <c r="ORU149" s="60"/>
      <c r="ORV149" s="60"/>
      <c r="ORW149" s="60"/>
      <c r="ORX149" s="60"/>
      <c r="ORY149" s="60"/>
      <c r="ORZ149" s="60"/>
      <c r="OSA149" s="60"/>
      <c r="OSB149" s="60"/>
      <c r="OSC149" s="60"/>
      <c r="OSD149" s="60"/>
      <c r="OSE149" s="60"/>
      <c r="OSF149" s="60"/>
      <c r="OSG149" s="60"/>
      <c r="OSH149" s="60"/>
      <c r="OSI149" s="60"/>
      <c r="OSJ149" s="60"/>
      <c r="OSK149" s="60"/>
      <c r="OSL149" s="60"/>
      <c r="OSM149" s="60"/>
      <c r="OSN149" s="60"/>
      <c r="OSO149" s="60"/>
      <c r="OSP149" s="60"/>
      <c r="OSQ149" s="60"/>
      <c r="OSR149" s="60"/>
      <c r="OSS149" s="60"/>
      <c r="OST149" s="60"/>
      <c r="OSU149" s="60"/>
      <c r="OSV149" s="60"/>
      <c r="OSW149" s="60"/>
      <c r="OSX149" s="60"/>
      <c r="OSY149" s="60"/>
      <c r="OSZ149" s="60"/>
      <c r="OTA149" s="60"/>
      <c r="OTB149" s="60"/>
      <c r="OTC149" s="60"/>
      <c r="OTD149" s="60"/>
      <c r="OTE149" s="60"/>
      <c r="OTF149" s="60"/>
      <c r="OTG149" s="60"/>
      <c r="OTH149" s="60"/>
      <c r="OTI149" s="60"/>
      <c r="OTJ149" s="60"/>
      <c r="OTK149" s="60"/>
      <c r="OTL149" s="60"/>
      <c r="OTM149" s="60"/>
      <c r="OTN149" s="60"/>
      <c r="OTO149" s="60"/>
      <c r="OTP149" s="60"/>
      <c r="OTQ149" s="60"/>
      <c r="OTR149" s="60"/>
      <c r="OTS149" s="60"/>
      <c r="OTT149" s="60"/>
      <c r="OTU149" s="60"/>
      <c r="OTV149" s="60"/>
      <c r="OTW149" s="60"/>
      <c r="OTX149" s="60"/>
      <c r="OTY149" s="60"/>
      <c r="OTZ149" s="60"/>
      <c r="OUA149" s="60"/>
      <c r="OUB149" s="60"/>
      <c r="OUC149" s="60"/>
      <c r="OUD149" s="60"/>
      <c r="OUE149" s="60"/>
      <c r="OUF149" s="60"/>
      <c r="OUG149" s="60"/>
      <c r="OUH149" s="60"/>
      <c r="OUI149" s="60"/>
      <c r="OUJ149" s="60"/>
      <c r="OUK149" s="60"/>
      <c r="OUL149" s="60"/>
      <c r="OUM149" s="60"/>
      <c r="OUN149" s="60"/>
      <c r="OUO149" s="60"/>
      <c r="OUP149" s="60"/>
      <c r="OUQ149" s="60"/>
      <c r="OUR149" s="60"/>
      <c r="OUS149" s="60"/>
      <c r="OUT149" s="60"/>
      <c r="OUU149" s="60"/>
      <c r="OUV149" s="60"/>
      <c r="OUW149" s="60"/>
      <c r="OUX149" s="60"/>
      <c r="OUY149" s="60"/>
      <c r="OUZ149" s="60"/>
      <c r="OVA149" s="60"/>
      <c r="OVB149" s="60"/>
      <c r="OVC149" s="60"/>
      <c r="OVD149" s="60"/>
      <c r="OVE149" s="60"/>
      <c r="OVF149" s="60"/>
      <c r="OVG149" s="60"/>
      <c r="OVH149" s="60"/>
      <c r="OVI149" s="60"/>
      <c r="OVJ149" s="60"/>
      <c r="OVK149" s="60"/>
      <c r="OVL149" s="60"/>
      <c r="OVM149" s="60"/>
      <c r="OVN149" s="60"/>
      <c r="OVO149" s="60"/>
      <c r="OVP149" s="60"/>
      <c r="OVQ149" s="60"/>
      <c r="OVR149" s="60"/>
      <c r="OVS149" s="60"/>
      <c r="OVT149" s="60"/>
      <c r="OVU149" s="60"/>
      <c r="OVV149" s="60"/>
      <c r="OVW149" s="60"/>
      <c r="OVX149" s="60"/>
      <c r="OVY149" s="60"/>
      <c r="OVZ149" s="60"/>
      <c r="OWA149" s="60"/>
      <c r="OWB149" s="60"/>
      <c r="OWC149" s="60"/>
      <c r="OWD149" s="60"/>
      <c r="OWE149" s="60"/>
      <c r="OWF149" s="60"/>
      <c r="OWG149" s="60"/>
      <c r="OWH149" s="60"/>
      <c r="OWI149" s="60"/>
      <c r="OWJ149" s="60"/>
      <c r="OWK149" s="60"/>
      <c r="OWL149" s="60"/>
      <c r="OWM149" s="60"/>
      <c r="OWN149" s="60"/>
      <c r="OWO149" s="60"/>
      <c r="OWP149" s="60"/>
      <c r="OWQ149" s="60"/>
      <c r="OWR149" s="60"/>
      <c r="OWS149" s="60"/>
      <c r="OWT149" s="60"/>
      <c r="OWU149" s="60"/>
      <c r="OWV149" s="60"/>
      <c r="OWW149" s="60"/>
      <c r="OWX149" s="60"/>
      <c r="OWY149" s="60"/>
      <c r="OWZ149" s="60"/>
      <c r="OXA149" s="60"/>
      <c r="OXB149" s="60"/>
      <c r="OXC149" s="60"/>
      <c r="OXD149" s="60"/>
      <c r="OXE149" s="60"/>
      <c r="OXF149" s="60"/>
      <c r="OXG149" s="60"/>
      <c r="OXH149" s="60"/>
      <c r="OXI149" s="60"/>
      <c r="OXJ149" s="60"/>
      <c r="OXK149" s="60"/>
      <c r="OXL149" s="60"/>
      <c r="OXM149" s="60"/>
      <c r="OXN149" s="60"/>
      <c r="OXO149" s="60"/>
      <c r="OXP149" s="60"/>
      <c r="OXQ149" s="60"/>
      <c r="OXR149" s="60"/>
      <c r="OXS149" s="60"/>
      <c r="OXT149" s="60"/>
      <c r="OXU149" s="60"/>
      <c r="OXV149" s="60"/>
      <c r="OXW149" s="60"/>
      <c r="OXX149" s="60"/>
      <c r="OXY149" s="60"/>
      <c r="OXZ149" s="60"/>
      <c r="OYA149" s="60"/>
      <c r="OYB149" s="60"/>
      <c r="OYC149" s="60"/>
      <c r="OYD149" s="60"/>
      <c r="OYE149" s="60"/>
      <c r="OYF149" s="60"/>
      <c r="OYG149" s="60"/>
      <c r="OYH149" s="60"/>
      <c r="OYI149" s="60"/>
      <c r="OYJ149" s="60"/>
      <c r="OYK149" s="60"/>
      <c r="OYL149" s="60"/>
      <c r="OYM149" s="60"/>
      <c r="OYN149" s="60"/>
      <c r="OYO149" s="60"/>
      <c r="OYP149" s="60"/>
      <c r="OYQ149" s="60"/>
      <c r="OYR149" s="60"/>
      <c r="OYS149" s="60"/>
      <c r="OYT149" s="60"/>
      <c r="OYU149" s="60"/>
      <c r="OYV149" s="60"/>
      <c r="OYW149" s="60"/>
      <c r="OYX149" s="60"/>
      <c r="OYY149" s="60"/>
      <c r="OYZ149" s="60"/>
      <c r="OZA149" s="60"/>
      <c r="OZB149" s="60"/>
      <c r="OZC149" s="60"/>
      <c r="OZD149" s="60"/>
      <c r="OZE149" s="60"/>
      <c r="OZF149" s="60"/>
      <c r="OZG149" s="60"/>
      <c r="OZH149" s="60"/>
      <c r="OZI149" s="60"/>
      <c r="OZJ149" s="60"/>
      <c r="OZK149" s="60"/>
      <c r="OZL149" s="60"/>
      <c r="OZM149" s="60"/>
      <c r="OZN149" s="60"/>
      <c r="OZO149" s="60"/>
      <c r="OZP149" s="60"/>
      <c r="OZQ149" s="60"/>
      <c r="OZR149" s="60"/>
      <c r="OZS149" s="60"/>
      <c r="OZT149" s="60"/>
      <c r="OZU149" s="60"/>
      <c r="OZV149" s="60"/>
      <c r="OZW149" s="60"/>
      <c r="OZX149" s="60"/>
      <c r="OZY149" s="60"/>
      <c r="OZZ149" s="60"/>
      <c r="PAA149" s="60"/>
      <c r="PAB149" s="60"/>
      <c r="PAC149" s="60"/>
      <c r="PAD149" s="60"/>
      <c r="PAE149" s="60"/>
      <c r="PAF149" s="60"/>
      <c r="PAG149" s="60"/>
      <c r="PAH149" s="60"/>
      <c r="PAI149" s="60"/>
      <c r="PAJ149" s="60"/>
      <c r="PAK149" s="60"/>
      <c r="PAL149" s="60"/>
      <c r="PAM149" s="60"/>
      <c r="PAN149" s="60"/>
      <c r="PAO149" s="60"/>
      <c r="PAP149" s="60"/>
      <c r="PAQ149" s="60"/>
      <c r="PAR149" s="60"/>
      <c r="PAS149" s="60"/>
      <c r="PAT149" s="60"/>
      <c r="PAU149" s="60"/>
      <c r="PAV149" s="60"/>
      <c r="PAW149" s="60"/>
      <c r="PAX149" s="60"/>
      <c r="PAY149" s="60"/>
      <c r="PAZ149" s="60"/>
      <c r="PBA149" s="60"/>
      <c r="PBB149" s="60"/>
      <c r="PBC149" s="60"/>
      <c r="PBD149" s="60"/>
      <c r="PBE149" s="60"/>
      <c r="PBF149" s="60"/>
      <c r="PBG149" s="60"/>
      <c r="PBH149" s="60"/>
      <c r="PBI149" s="60"/>
      <c r="PBJ149" s="60"/>
      <c r="PBK149" s="60"/>
      <c r="PBL149" s="60"/>
      <c r="PBM149" s="60"/>
      <c r="PBN149" s="60"/>
      <c r="PBO149" s="60"/>
      <c r="PBP149" s="60"/>
      <c r="PBQ149" s="60"/>
      <c r="PBR149" s="60"/>
      <c r="PBS149" s="60"/>
      <c r="PBT149" s="60"/>
      <c r="PBU149" s="60"/>
      <c r="PBV149" s="60"/>
      <c r="PBW149" s="60"/>
      <c r="PBX149" s="60"/>
      <c r="PBY149" s="60"/>
      <c r="PBZ149" s="60"/>
      <c r="PCA149" s="60"/>
      <c r="PCB149" s="60"/>
      <c r="PCC149" s="60"/>
      <c r="PCD149" s="60"/>
      <c r="PCE149" s="60"/>
      <c r="PCF149" s="60"/>
      <c r="PCG149" s="60"/>
      <c r="PCH149" s="60"/>
      <c r="PCI149" s="60"/>
      <c r="PCJ149" s="60"/>
      <c r="PCK149" s="60"/>
      <c r="PCL149" s="60"/>
      <c r="PCM149" s="60"/>
      <c r="PCN149" s="60"/>
      <c r="PCO149" s="60"/>
      <c r="PCP149" s="60"/>
      <c r="PCQ149" s="60"/>
      <c r="PCR149" s="60"/>
      <c r="PCS149" s="60"/>
      <c r="PCT149" s="60"/>
      <c r="PCU149" s="60"/>
      <c r="PCV149" s="60"/>
      <c r="PCW149" s="60"/>
      <c r="PCX149" s="60"/>
      <c r="PCY149" s="60"/>
      <c r="PCZ149" s="60"/>
      <c r="PDA149" s="60"/>
      <c r="PDB149" s="60"/>
      <c r="PDC149" s="60"/>
      <c r="PDD149" s="60"/>
      <c r="PDE149" s="60"/>
      <c r="PDF149" s="60"/>
      <c r="PDG149" s="60"/>
      <c r="PDH149" s="60"/>
      <c r="PDI149" s="60"/>
      <c r="PDJ149" s="60"/>
      <c r="PDK149" s="60"/>
      <c r="PDL149" s="60"/>
      <c r="PDM149" s="60"/>
      <c r="PDN149" s="60"/>
      <c r="PDO149" s="60"/>
      <c r="PDP149" s="60"/>
      <c r="PDQ149" s="60"/>
      <c r="PDR149" s="60"/>
      <c r="PDS149" s="60"/>
      <c r="PDT149" s="60"/>
      <c r="PDU149" s="60"/>
      <c r="PDV149" s="60"/>
      <c r="PDW149" s="60"/>
      <c r="PDX149" s="60"/>
      <c r="PDY149" s="60"/>
      <c r="PDZ149" s="60"/>
      <c r="PEA149" s="60"/>
      <c r="PEB149" s="60"/>
      <c r="PEC149" s="60"/>
      <c r="PED149" s="60"/>
      <c r="PEE149" s="60"/>
      <c r="PEF149" s="60"/>
      <c r="PEG149" s="60"/>
      <c r="PEH149" s="60"/>
      <c r="PEI149" s="60"/>
      <c r="PEJ149" s="60"/>
      <c r="PEK149" s="60"/>
      <c r="PEL149" s="60"/>
      <c r="PEM149" s="60"/>
      <c r="PEN149" s="60"/>
      <c r="PEO149" s="60"/>
      <c r="PEP149" s="60"/>
      <c r="PEQ149" s="60"/>
      <c r="PER149" s="60"/>
      <c r="PES149" s="60"/>
      <c r="PET149" s="60"/>
      <c r="PEU149" s="60"/>
      <c r="PEV149" s="60"/>
      <c r="PEW149" s="60"/>
      <c r="PEX149" s="60"/>
      <c r="PEY149" s="60"/>
      <c r="PEZ149" s="60"/>
      <c r="PFA149" s="60"/>
      <c r="PFB149" s="60"/>
      <c r="PFC149" s="60"/>
      <c r="PFD149" s="60"/>
      <c r="PFE149" s="60"/>
      <c r="PFF149" s="60"/>
      <c r="PFG149" s="60"/>
      <c r="PFH149" s="60"/>
      <c r="PFI149" s="60"/>
      <c r="PFJ149" s="60"/>
      <c r="PFK149" s="60"/>
      <c r="PFL149" s="60"/>
      <c r="PFM149" s="60"/>
      <c r="PFN149" s="60"/>
      <c r="PFO149" s="60"/>
      <c r="PFP149" s="60"/>
      <c r="PFQ149" s="60"/>
      <c r="PFR149" s="60"/>
      <c r="PFS149" s="60"/>
      <c r="PFT149" s="60"/>
      <c r="PFU149" s="60"/>
      <c r="PFV149" s="60"/>
      <c r="PFW149" s="60"/>
      <c r="PFX149" s="60"/>
      <c r="PFY149" s="60"/>
      <c r="PFZ149" s="60"/>
      <c r="PGA149" s="60"/>
      <c r="PGB149" s="60"/>
      <c r="PGC149" s="60"/>
      <c r="PGD149" s="60"/>
      <c r="PGE149" s="60"/>
      <c r="PGF149" s="60"/>
      <c r="PGG149" s="60"/>
      <c r="PGH149" s="60"/>
      <c r="PGI149" s="60"/>
      <c r="PGJ149" s="60"/>
      <c r="PGK149" s="60"/>
      <c r="PGL149" s="60"/>
      <c r="PGM149" s="60"/>
      <c r="PGN149" s="60"/>
      <c r="PGO149" s="60"/>
      <c r="PGP149" s="60"/>
      <c r="PGQ149" s="60"/>
      <c r="PGR149" s="60"/>
      <c r="PGS149" s="60"/>
      <c r="PGT149" s="60"/>
      <c r="PGU149" s="60"/>
      <c r="PGV149" s="60"/>
      <c r="PGW149" s="60"/>
      <c r="PGX149" s="60"/>
      <c r="PGY149" s="60"/>
      <c r="PGZ149" s="60"/>
      <c r="PHA149" s="60"/>
      <c r="PHB149" s="60"/>
      <c r="PHC149" s="60"/>
      <c r="PHD149" s="60"/>
      <c r="PHE149" s="60"/>
      <c r="PHF149" s="60"/>
      <c r="PHG149" s="60"/>
      <c r="PHH149" s="60"/>
      <c r="PHI149" s="60"/>
      <c r="PHJ149" s="60"/>
      <c r="PHK149" s="60"/>
      <c r="PHL149" s="60"/>
      <c r="PHM149" s="60"/>
      <c r="PHN149" s="60"/>
      <c r="PHO149" s="60"/>
      <c r="PHP149" s="60"/>
      <c r="PHQ149" s="60"/>
      <c r="PHR149" s="60"/>
      <c r="PHS149" s="60"/>
      <c r="PHT149" s="60"/>
      <c r="PHU149" s="60"/>
      <c r="PHV149" s="60"/>
      <c r="PHW149" s="60"/>
      <c r="PHX149" s="60"/>
      <c r="PHY149" s="60"/>
      <c r="PHZ149" s="60"/>
      <c r="PIA149" s="60"/>
      <c r="PIB149" s="60"/>
      <c r="PIC149" s="60"/>
      <c r="PID149" s="60"/>
      <c r="PIE149" s="60"/>
      <c r="PIF149" s="60"/>
      <c r="PIG149" s="60"/>
      <c r="PIH149" s="60"/>
      <c r="PII149" s="60"/>
      <c r="PIJ149" s="60"/>
      <c r="PIK149" s="60"/>
      <c r="PIL149" s="60"/>
      <c r="PIM149" s="60"/>
      <c r="PIN149" s="60"/>
      <c r="PIO149" s="60"/>
      <c r="PIP149" s="60"/>
      <c r="PIQ149" s="60"/>
      <c r="PIR149" s="60"/>
      <c r="PIS149" s="60"/>
      <c r="PIT149" s="60"/>
      <c r="PIU149" s="60"/>
      <c r="PIV149" s="60"/>
      <c r="PIW149" s="60"/>
      <c r="PIX149" s="60"/>
      <c r="PIY149" s="60"/>
      <c r="PIZ149" s="60"/>
      <c r="PJA149" s="60"/>
      <c r="PJB149" s="60"/>
      <c r="PJC149" s="60"/>
      <c r="PJD149" s="60"/>
      <c r="PJE149" s="60"/>
      <c r="PJF149" s="60"/>
      <c r="PJG149" s="60"/>
      <c r="PJH149" s="60"/>
      <c r="PJI149" s="60"/>
      <c r="PJJ149" s="60"/>
      <c r="PJK149" s="60"/>
      <c r="PJL149" s="60"/>
      <c r="PJM149" s="60"/>
      <c r="PJN149" s="60"/>
      <c r="PJO149" s="60"/>
      <c r="PJP149" s="60"/>
      <c r="PJQ149" s="60"/>
      <c r="PJR149" s="60"/>
      <c r="PJS149" s="60"/>
      <c r="PJT149" s="60"/>
      <c r="PJU149" s="60"/>
      <c r="PJV149" s="60"/>
      <c r="PJW149" s="60"/>
      <c r="PJX149" s="60"/>
      <c r="PJY149" s="60"/>
      <c r="PJZ149" s="60"/>
      <c r="PKA149" s="60"/>
      <c r="PKB149" s="60"/>
      <c r="PKC149" s="60"/>
      <c r="PKD149" s="60"/>
      <c r="PKE149" s="60"/>
      <c r="PKF149" s="60"/>
      <c r="PKG149" s="60"/>
      <c r="PKH149" s="60"/>
      <c r="PKI149" s="60"/>
      <c r="PKJ149" s="60"/>
      <c r="PKK149" s="60"/>
      <c r="PKL149" s="60"/>
      <c r="PKM149" s="60"/>
      <c r="PKN149" s="60"/>
      <c r="PKO149" s="60"/>
      <c r="PKP149" s="60"/>
      <c r="PKQ149" s="60"/>
      <c r="PKR149" s="60"/>
      <c r="PKS149" s="60"/>
      <c r="PKT149" s="60"/>
      <c r="PKU149" s="60"/>
      <c r="PKV149" s="60"/>
      <c r="PKW149" s="60"/>
      <c r="PKX149" s="60"/>
      <c r="PKY149" s="60"/>
      <c r="PKZ149" s="60"/>
      <c r="PLA149" s="60"/>
      <c r="PLB149" s="60"/>
      <c r="PLC149" s="60"/>
      <c r="PLD149" s="60"/>
      <c r="PLE149" s="60"/>
      <c r="PLF149" s="60"/>
      <c r="PLG149" s="60"/>
      <c r="PLH149" s="60"/>
      <c r="PLI149" s="60"/>
      <c r="PLJ149" s="60"/>
      <c r="PLK149" s="60"/>
      <c r="PLL149" s="60"/>
      <c r="PLM149" s="60"/>
      <c r="PLN149" s="60"/>
      <c r="PLO149" s="60"/>
      <c r="PLP149" s="60"/>
      <c r="PLQ149" s="60"/>
      <c r="PLR149" s="60"/>
      <c r="PLS149" s="60"/>
      <c r="PLT149" s="60"/>
      <c r="PLU149" s="60"/>
      <c r="PLV149" s="60"/>
      <c r="PLW149" s="60"/>
      <c r="PLX149" s="60"/>
      <c r="PLY149" s="60"/>
      <c r="PLZ149" s="60"/>
      <c r="PMA149" s="60"/>
      <c r="PMB149" s="60"/>
      <c r="PMC149" s="60"/>
      <c r="PMD149" s="60"/>
      <c r="PME149" s="60"/>
      <c r="PMF149" s="60"/>
      <c r="PMG149" s="60"/>
      <c r="PMH149" s="60"/>
      <c r="PMI149" s="60"/>
      <c r="PMJ149" s="60"/>
      <c r="PMK149" s="60"/>
      <c r="PML149" s="60"/>
      <c r="PMM149" s="60"/>
      <c r="PMN149" s="60"/>
      <c r="PMO149" s="60"/>
      <c r="PMP149" s="60"/>
      <c r="PMQ149" s="60"/>
      <c r="PMR149" s="60"/>
      <c r="PMS149" s="60"/>
      <c r="PMT149" s="60"/>
      <c r="PMU149" s="60"/>
      <c r="PMV149" s="60"/>
      <c r="PMW149" s="60"/>
      <c r="PMX149" s="60"/>
      <c r="PMY149" s="60"/>
      <c r="PMZ149" s="60"/>
      <c r="PNA149" s="60"/>
      <c r="PNB149" s="60"/>
      <c r="PNC149" s="60"/>
      <c r="PND149" s="60"/>
      <c r="PNE149" s="60"/>
      <c r="PNF149" s="60"/>
      <c r="PNG149" s="60"/>
      <c r="PNH149" s="60"/>
      <c r="PNI149" s="60"/>
      <c r="PNJ149" s="60"/>
      <c r="PNK149" s="60"/>
      <c r="PNL149" s="60"/>
      <c r="PNM149" s="60"/>
      <c r="PNN149" s="60"/>
      <c r="PNO149" s="60"/>
      <c r="PNP149" s="60"/>
      <c r="PNQ149" s="60"/>
      <c r="PNR149" s="60"/>
      <c r="PNS149" s="60"/>
      <c r="PNT149" s="60"/>
      <c r="PNU149" s="60"/>
      <c r="PNV149" s="60"/>
      <c r="PNW149" s="60"/>
      <c r="PNX149" s="60"/>
      <c r="PNY149" s="60"/>
      <c r="PNZ149" s="60"/>
      <c r="POA149" s="60"/>
      <c r="POB149" s="60"/>
      <c r="POC149" s="60"/>
      <c r="POD149" s="60"/>
      <c r="POE149" s="60"/>
      <c r="POF149" s="60"/>
      <c r="POG149" s="60"/>
      <c r="POH149" s="60"/>
      <c r="POI149" s="60"/>
      <c r="POJ149" s="60"/>
      <c r="POK149" s="60"/>
      <c r="POL149" s="60"/>
      <c r="POM149" s="60"/>
      <c r="PON149" s="60"/>
      <c r="POO149" s="60"/>
      <c r="POP149" s="60"/>
      <c r="POQ149" s="60"/>
      <c r="POR149" s="60"/>
      <c r="POS149" s="60"/>
      <c r="POT149" s="60"/>
      <c r="POU149" s="60"/>
      <c r="POV149" s="60"/>
      <c r="POW149" s="60"/>
      <c r="POX149" s="60"/>
      <c r="POY149" s="60"/>
      <c r="POZ149" s="60"/>
      <c r="PPA149" s="60"/>
      <c r="PPB149" s="60"/>
      <c r="PPC149" s="60"/>
      <c r="PPD149" s="60"/>
      <c r="PPE149" s="60"/>
      <c r="PPF149" s="60"/>
      <c r="PPG149" s="60"/>
      <c r="PPH149" s="60"/>
      <c r="PPI149" s="60"/>
      <c r="PPJ149" s="60"/>
      <c r="PPK149" s="60"/>
      <c r="PPL149" s="60"/>
      <c r="PPM149" s="60"/>
      <c r="PPN149" s="60"/>
      <c r="PPO149" s="60"/>
      <c r="PPP149" s="60"/>
      <c r="PPQ149" s="60"/>
      <c r="PPR149" s="60"/>
      <c r="PPS149" s="60"/>
      <c r="PPT149" s="60"/>
      <c r="PPU149" s="60"/>
      <c r="PPV149" s="60"/>
      <c r="PPW149" s="60"/>
      <c r="PPX149" s="60"/>
      <c r="PPY149" s="60"/>
      <c r="PPZ149" s="60"/>
      <c r="PQA149" s="60"/>
      <c r="PQB149" s="60"/>
      <c r="PQC149" s="60"/>
      <c r="PQD149" s="60"/>
      <c r="PQE149" s="60"/>
      <c r="PQF149" s="60"/>
      <c r="PQG149" s="60"/>
      <c r="PQH149" s="60"/>
      <c r="PQI149" s="60"/>
      <c r="PQJ149" s="60"/>
      <c r="PQK149" s="60"/>
      <c r="PQL149" s="60"/>
      <c r="PQM149" s="60"/>
      <c r="PQN149" s="60"/>
      <c r="PQO149" s="60"/>
      <c r="PQP149" s="60"/>
      <c r="PQQ149" s="60"/>
      <c r="PQR149" s="60"/>
      <c r="PQS149" s="60"/>
      <c r="PQT149" s="60"/>
      <c r="PQU149" s="60"/>
      <c r="PQV149" s="60"/>
      <c r="PQW149" s="60"/>
      <c r="PQX149" s="60"/>
      <c r="PQY149" s="60"/>
      <c r="PQZ149" s="60"/>
      <c r="PRA149" s="60"/>
      <c r="PRB149" s="60"/>
      <c r="PRC149" s="60"/>
      <c r="PRD149" s="60"/>
      <c r="PRE149" s="60"/>
      <c r="PRF149" s="60"/>
      <c r="PRG149" s="60"/>
      <c r="PRH149" s="60"/>
      <c r="PRI149" s="60"/>
      <c r="PRJ149" s="60"/>
      <c r="PRK149" s="60"/>
      <c r="PRL149" s="60"/>
      <c r="PRM149" s="60"/>
      <c r="PRN149" s="60"/>
      <c r="PRO149" s="60"/>
      <c r="PRP149" s="60"/>
      <c r="PRQ149" s="60"/>
      <c r="PRR149" s="60"/>
      <c r="PRS149" s="60"/>
      <c r="PRT149" s="60"/>
      <c r="PRU149" s="60"/>
      <c r="PRV149" s="60"/>
      <c r="PRW149" s="60"/>
      <c r="PRX149" s="60"/>
      <c r="PRY149" s="60"/>
      <c r="PRZ149" s="60"/>
      <c r="PSA149" s="60"/>
      <c r="PSB149" s="60"/>
      <c r="PSC149" s="60"/>
      <c r="PSD149" s="60"/>
      <c r="PSE149" s="60"/>
      <c r="PSF149" s="60"/>
      <c r="PSG149" s="60"/>
      <c r="PSH149" s="60"/>
      <c r="PSI149" s="60"/>
      <c r="PSJ149" s="60"/>
      <c r="PSK149" s="60"/>
      <c r="PSL149" s="60"/>
      <c r="PSM149" s="60"/>
      <c r="PSN149" s="60"/>
      <c r="PSO149" s="60"/>
      <c r="PSP149" s="60"/>
      <c r="PSQ149" s="60"/>
      <c r="PSR149" s="60"/>
      <c r="PSS149" s="60"/>
      <c r="PST149" s="60"/>
      <c r="PSU149" s="60"/>
      <c r="PSV149" s="60"/>
      <c r="PSW149" s="60"/>
      <c r="PSX149" s="60"/>
      <c r="PSY149" s="60"/>
      <c r="PSZ149" s="60"/>
      <c r="PTA149" s="60"/>
      <c r="PTB149" s="60"/>
      <c r="PTC149" s="60"/>
      <c r="PTD149" s="60"/>
      <c r="PTE149" s="60"/>
      <c r="PTF149" s="60"/>
      <c r="PTG149" s="60"/>
      <c r="PTH149" s="60"/>
      <c r="PTI149" s="60"/>
      <c r="PTJ149" s="60"/>
      <c r="PTK149" s="60"/>
      <c r="PTL149" s="60"/>
      <c r="PTM149" s="60"/>
      <c r="PTN149" s="60"/>
      <c r="PTO149" s="60"/>
      <c r="PTP149" s="60"/>
      <c r="PTQ149" s="60"/>
      <c r="PTR149" s="60"/>
      <c r="PTS149" s="60"/>
      <c r="PTT149" s="60"/>
      <c r="PTU149" s="60"/>
      <c r="PTV149" s="60"/>
      <c r="PTW149" s="60"/>
      <c r="PTX149" s="60"/>
      <c r="PTY149" s="60"/>
      <c r="PTZ149" s="60"/>
      <c r="PUA149" s="60"/>
      <c r="PUB149" s="60"/>
      <c r="PUC149" s="60"/>
      <c r="PUD149" s="60"/>
      <c r="PUE149" s="60"/>
      <c r="PUF149" s="60"/>
      <c r="PUG149" s="60"/>
      <c r="PUH149" s="60"/>
      <c r="PUI149" s="60"/>
      <c r="PUJ149" s="60"/>
      <c r="PUK149" s="60"/>
      <c r="PUL149" s="60"/>
      <c r="PUM149" s="60"/>
      <c r="PUN149" s="60"/>
      <c r="PUO149" s="60"/>
      <c r="PUP149" s="60"/>
      <c r="PUQ149" s="60"/>
      <c r="PUR149" s="60"/>
      <c r="PUS149" s="60"/>
      <c r="PUT149" s="60"/>
      <c r="PUU149" s="60"/>
      <c r="PUV149" s="60"/>
      <c r="PUW149" s="60"/>
      <c r="PUX149" s="60"/>
      <c r="PUY149" s="60"/>
      <c r="PUZ149" s="60"/>
      <c r="PVA149" s="60"/>
      <c r="PVB149" s="60"/>
      <c r="PVC149" s="60"/>
      <c r="PVD149" s="60"/>
      <c r="PVE149" s="60"/>
      <c r="PVF149" s="60"/>
      <c r="PVG149" s="60"/>
      <c r="PVH149" s="60"/>
      <c r="PVI149" s="60"/>
      <c r="PVJ149" s="60"/>
      <c r="PVK149" s="60"/>
      <c r="PVL149" s="60"/>
      <c r="PVM149" s="60"/>
      <c r="PVN149" s="60"/>
      <c r="PVO149" s="60"/>
      <c r="PVP149" s="60"/>
      <c r="PVQ149" s="60"/>
      <c r="PVR149" s="60"/>
      <c r="PVS149" s="60"/>
      <c r="PVT149" s="60"/>
      <c r="PVU149" s="60"/>
      <c r="PVV149" s="60"/>
      <c r="PVW149" s="60"/>
      <c r="PVX149" s="60"/>
      <c r="PVY149" s="60"/>
      <c r="PVZ149" s="60"/>
      <c r="PWA149" s="60"/>
      <c r="PWB149" s="60"/>
      <c r="PWC149" s="60"/>
      <c r="PWD149" s="60"/>
      <c r="PWE149" s="60"/>
      <c r="PWF149" s="60"/>
      <c r="PWG149" s="60"/>
      <c r="PWH149" s="60"/>
      <c r="PWI149" s="60"/>
      <c r="PWJ149" s="60"/>
      <c r="PWK149" s="60"/>
      <c r="PWL149" s="60"/>
      <c r="PWM149" s="60"/>
      <c r="PWN149" s="60"/>
      <c r="PWO149" s="60"/>
      <c r="PWP149" s="60"/>
      <c r="PWQ149" s="60"/>
      <c r="PWR149" s="60"/>
      <c r="PWS149" s="60"/>
      <c r="PWT149" s="60"/>
      <c r="PWU149" s="60"/>
      <c r="PWV149" s="60"/>
      <c r="PWW149" s="60"/>
      <c r="PWX149" s="60"/>
      <c r="PWY149" s="60"/>
      <c r="PWZ149" s="60"/>
      <c r="PXA149" s="60"/>
      <c r="PXB149" s="60"/>
      <c r="PXC149" s="60"/>
      <c r="PXD149" s="60"/>
      <c r="PXE149" s="60"/>
      <c r="PXF149" s="60"/>
      <c r="PXG149" s="60"/>
      <c r="PXH149" s="60"/>
      <c r="PXI149" s="60"/>
      <c r="PXJ149" s="60"/>
      <c r="PXK149" s="60"/>
      <c r="PXL149" s="60"/>
      <c r="PXM149" s="60"/>
      <c r="PXN149" s="60"/>
      <c r="PXO149" s="60"/>
      <c r="PXP149" s="60"/>
      <c r="PXQ149" s="60"/>
      <c r="PXR149" s="60"/>
      <c r="PXS149" s="60"/>
      <c r="PXT149" s="60"/>
      <c r="PXU149" s="60"/>
      <c r="PXV149" s="60"/>
      <c r="PXW149" s="60"/>
      <c r="PXX149" s="60"/>
      <c r="PXY149" s="60"/>
      <c r="PXZ149" s="60"/>
      <c r="PYA149" s="60"/>
      <c r="PYB149" s="60"/>
      <c r="PYC149" s="60"/>
      <c r="PYD149" s="60"/>
      <c r="PYE149" s="60"/>
      <c r="PYF149" s="60"/>
      <c r="PYG149" s="60"/>
      <c r="PYH149" s="60"/>
      <c r="PYI149" s="60"/>
      <c r="PYJ149" s="60"/>
      <c r="PYK149" s="60"/>
      <c r="PYL149" s="60"/>
      <c r="PYM149" s="60"/>
      <c r="PYN149" s="60"/>
      <c r="PYO149" s="60"/>
      <c r="PYP149" s="60"/>
      <c r="PYQ149" s="60"/>
      <c r="PYR149" s="60"/>
      <c r="PYS149" s="60"/>
      <c r="PYT149" s="60"/>
      <c r="PYU149" s="60"/>
      <c r="PYV149" s="60"/>
      <c r="PYW149" s="60"/>
      <c r="PYX149" s="60"/>
      <c r="PYY149" s="60"/>
      <c r="PYZ149" s="60"/>
      <c r="PZA149" s="60"/>
      <c r="PZB149" s="60"/>
      <c r="PZC149" s="60"/>
      <c r="PZD149" s="60"/>
      <c r="PZE149" s="60"/>
      <c r="PZF149" s="60"/>
      <c r="PZG149" s="60"/>
      <c r="PZH149" s="60"/>
      <c r="PZI149" s="60"/>
      <c r="PZJ149" s="60"/>
      <c r="PZK149" s="60"/>
      <c r="PZL149" s="60"/>
      <c r="PZM149" s="60"/>
      <c r="PZN149" s="60"/>
      <c r="PZO149" s="60"/>
      <c r="PZP149" s="60"/>
      <c r="PZQ149" s="60"/>
      <c r="PZR149" s="60"/>
      <c r="PZS149" s="60"/>
      <c r="PZT149" s="60"/>
      <c r="PZU149" s="60"/>
      <c r="PZV149" s="60"/>
      <c r="PZW149" s="60"/>
      <c r="PZX149" s="60"/>
      <c r="PZY149" s="60"/>
      <c r="PZZ149" s="60"/>
      <c r="QAA149" s="60"/>
      <c r="QAB149" s="60"/>
      <c r="QAC149" s="60"/>
      <c r="QAD149" s="60"/>
      <c r="QAE149" s="60"/>
      <c r="QAF149" s="60"/>
      <c r="QAG149" s="60"/>
      <c r="QAH149" s="60"/>
      <c r="QAI149" s="60"/>
      <c r="QAJ149" s="60"/>
      <c r="QAK149" s="60"/>
      <c r="QAL149" s="60"/>
      <c r="QAM149" s="60"/>
      <c r="QAN149" s="60"/>
      <c r="QAO149" s="60"/>
      <c r="QAP149" s="60"/>
      <c r="QAQ149" s="60"/>
      <c r="QAR149" s="60"/>
      <c r="QAS149" s="60"/>
      <c r="QAT149" s="60"/>
      <c r="QAU149" s="60"/>
      <c r="QAV149" s="60"/>
      <c r="QAW149" s="60"/>
      <c r="QAX149" s="60"/>
      <c r="QAY149" s="60"/>
      <c r="QAZ149" s="60"/>
      <c r="QBA149" s="60"/>
      <c r="QBB149" s="60"/>
      <c r="QBC149" s="60"/>
      <c r="QBD149" s="60"/>
      <c r="QBE149" s="60"/>
      <c r="QBF149" s="60"/>
      <c r="QBG149" s="60"/>
      <c r="QBH149" s="60"/>
      <c r="QBI149" s="60"/>
      <c r="QBJ149" s="60"/>
      <c r="QBK149" s="60"/>
      <c r="QBL149" s="60"/>
      <c r="QBM149" s="60"/>
      <c r="QBN149" s="60"/>
      <c r="QBO149" s="60"/>
      <c r="QBP149" s="60"/>
      <c r="QBQ149" s="60"/>
      <c r="QBR149" s="60"/>
      <c r="QBS149" s="60"/>
      <c r="QBT149" s="60"/>
      <c r="QBU149" s="60"/>
      <c r="QBV149" s="60"/>
      <c r="QBW149" s="60"/>
      <c r="QBX149" s="60"/>
      <c r="QBY149" s="60"/>
      <c r="QBZ149" s="60"/>
      <c r="QCA149" s="60"/>
      <c r="QCB149" s="60"/>
      <c r="QCC149" s="60"/>
      <c r="QCD149" s="60"/>
      <c r="QCE149" s="60"/>
      <c r="QCF149" s="60"/>
      <c r="QCG149" s="60"/>
      <c r="QCH149" s="60"/>
      <c r="QCI149" s="60"/>
      <c r="QCJ149" s="60"/>
      <c r="QCK149" s="60"/>
      <c r="QCL149" s="60"/>
      <c r="QCM149" s="60"/>
      <c r="QCN149" s="60"/>
      <c r="QCO149" s="60"/>
      <c r="QCP149" s="60"/>
      <c r="QCQ149" s="60"/>
      <c r="QCR149" s="60"/>
      <c r="QCS149" s="60"/>
      <c r="QCT149" s="60"/>
      <c r="QCU149" s="60"/>
      <c r="QCV149" s="60"/>
      <c r="QCW149" s="60"/>
      <c r="QCX149" s="60"/>
      <c r="QCY149" s="60"/>
      <c r="QCZ149" s="60"/>
      <c r="QDA149" s="60"/>
      <c r="QDB149" s="60"/>
      <c r="QDC149" s="60"/>
      <c r="QDD149" s="60"/>
      <c r="QDE149" s="60"/>
      <c r="QDF149" s="60"/>
      <c r="QDG149" s="60"/>
      <c r="QDH149" s="60"/>
      <c r="QDI149" s="60"/>
      <c r="QDJ149" s="60"/>
      <c r="QDK149" s="60"/>
      <c r="QDL149" s="60"/>
      <c r="QDM149" s="60"/>
      <c r="QDN149" s="60"/>
      <c r="QDO149" s="60"/>
      <c r="QDP149" s="60"/>
      <c r="QDQ149" s="60"/>
      <c r="QDR149" s="60"/>
      <c r="QDS149" s="60"/>
      <c r="QDT149" s="60"/>
      <c r="QDU149" s="60"/>
      <c r="QDV149" s="60"/>
      <c r="QDW149" s="60"/>
      <c r="QDX149" s="60"/>
      <c r="QDY149" s="60"/>
      <c r="QDZ149" s="60"/>
      <c r="QEA149" s="60"/>
      <c r="QEB149" s="60"/>
      <c r="QEC149" s="60"/>
      <c r="QED149" s="60"/>
      <c r="QEE149" s="60"/>
      <c r="QEF149" s="60"/>
      <c r="QEG149" s="60"/>
      <c r="QEH149" s="60"/>
      <c r="QEI149" s="60"/>
      <c r="QEJ149" s="60"/>
      <c r="QEK149" s="60"/>
      <c r="QEL149" s="60"/>
      <c r="QEM149" s="60"/>
      <c r="QEN149" s="60"/>
      <c r="QEO149" s="60"/>
      <c r="QEP149" s="60"/>
      <c r="QEQ149" s="60"/>
      <c r="QER149" s="60"/>
      <c r="QES149" s="60"/>
      <c r="QET149" s="60"/>
      <c r="QEU149" s="60"/>
      <c r="QEV149" s="60"/>
      <c r="QEW149" s="60"/>
      <c r="QEX149" s="60"/>
      <c r="QEY149" s="60"/>
      <c r="QEZ149" s="60"/>
      <c r="QFA149" s="60"/>
      <c r="QFB149" s="60"/>
      <c r="QFC149" s="60"/>
      <c r="QFD149" s="60"/>
      <c r="QFE149" s="60"/>
      <c r="QFF149" s="60"/>
      <c r="QFG149" s="60"/>
      <c r="QFH149" s="60"/>
      <c r="QFI149" s="60"/>
      <c r="QFJ149" s="60"/>
      <c r="QFK149" s="60"/>
      <c r="QFL149" s="60"/>
      <c r="QFM149" s="60"/>
      <c r="QFN149" s="60"/>
      <c r="QFO149" s="60"/>
      <c r="QFP149" s="60"/>
      <c r="QFQ149" s="60"/>
      <c r="QFR149" s="60"/>
      <c r="QFS149" s="60"/>
      <c r="QFT149" s="60"/>
      <c r="QFU149" s="60"/>
      <c r="QFV149" s="60"/>
      <c r="QFW149" s="60"/>
      <c r="QFX149" s="60"/>
      <c r="QFY149" s="60"/>
      <c r="QFZ149" s="60"/>
      <c r="QGA149" s="60"/>
      <c r="QGB149" s="60"/>
      <c r="QGC149" s="60"/>
      <c r="QGD149" s="60"/>
      <c r="QGE149" s="60"/>
      <c r="QGF149" s="60"/>
      <c r="QGG149" s="60"/>
      <c r="QGH149" s="60"/>
      <c r="QGI149" s="60"/>
      <c r="QGJ149" s="60"/>
      <c r="QGK149" s="60"/>
      <c r="QGL149" s="60"/>
      <c r="QGM149" s="60"/>
      <c r="QGN149" s="60"/>
      <c r="QGO149" s="60"/>
      <c r="QGP149" s="60"/>
      <c r="QGQ149" s="60"/>
      <c r="QGR149" s="60"/>
      <c r="QGS149" s="60"/>
      <c r="QGT149" s="60"/>
      <c r="QGU149" s="60"/>
      <c r="QGV149" s="60"/>
      <c r="QGW149" s="60"/>
      <c r="QGX149" s="60"/>
      <c r="QGY149" s="60"/>
      <c r="QGZ149" s="60"/>
      <c r="QHA149" s="60"/>
      <c r="QHB149" s="60"/>
      <c r="QHC149" s="60"/>
      <c r="QHD149" s="60"/>
      <c r="QHE149" s="60"/>
      <c r="QHF149" s="60"/>
      <c r="QHG149" s="60"/>
      <c r="QHH149" s="60"/>
      <c r="QHI149" s="60"/>
      <c r="QHJ149" s="60"/>
      <c r="QHK149" s="60"/>
      <c r="QHL149" s="60"/>
      <c r="QHM149" s="60"/>
      <c r="QHN149" s="60"/>
      <c r="QHO149" s="60"/>
      <c r="QHP149" s="60"/>
      <c r="QHQ149" s="60"/>
      <c r="QHR149" s="60"/>
      <c r="QHS149" s="60"/>
      <c r="QHT149" s="60"/>
      <c r="QHU149" s="60"/>
      <c r="QHV149" s="60"/>
      <c r="QHW149" s="60"/>
      <c r="QHX149" s="60"/>
      <c r="QHY149" s="60"/>
      <c r="QHZ149" s="60"/>
      <c r="QIA149" s="60"/>
      <c r="QIB149" s="60"/>
      <c r="QIC149" s="60"/>
      <c r="QID149" s="60"/>
      <c r="QIE149" s="60"/>
      <c r="QIF149" s="60"/>
      <c r="QIG149" s="60"/>
      <c r="QIH149" s="60"/>
      <c r="QII149" s="60"/>
      <c r="QIJ149" s="60"/>
      <c r="QIK149" s="60"/>
      <c r="QIL149" s="60"/>
      <c r="QIM149" s="60"/>
      <c r="QIN149" s="60"/>
      <c r="QIO149" s="60"/>
      <c r="QIP149" s="60"/>
      <c r="QIQ149" s="60"/>
      <c r="QIR149" s="60"/>
      <c r="QIS149" s="60"/>
      <c r="QIT149" s="60"/>
      <c r="QIU149" s="60"/>
      <c r="QIV149" s="60"/>
      <c r="QIW149" s="60"/>
      <c r="QIX149" s="60"/>
      <c r="QIY149" s="60"/>
      <c r="QIZ149" s="60"/>
      <c r="QJA149" s="60"/>
      <c r="QJB149" s="60"/>
      <c r="QJC149" s="60"/>
      <c r="QJD149" s="60"/>
      <c r="QJE149" s="60"/>
      <c r="QJF149" s="60"/>
      <c r="QJG149" s="60"/>
      <c r="QJH149" s="60"/>
      <c r="QJI149" s="60"/>
      <c r="QJJ149" s="60"/>
      <c r="QJK149" s="60"/>
      <c r="QJL149" s="60"/>
      <c r="QJM149" s="60"/>
      <c r="QJN149" s="60"/>
      <c r="QJO149" s="60"/>
      <c r="QJP149" s="60"/>
      <c r="QJQ149" s="60"/>
      <c r="QJR149" s="60"/>
      <c r="QJS149" s="60"/>
      <c r="QJT149" s="60"/>
      <c r="QJU149" s="60"/>
      <c r="QJV149" s="60"/>
      <c r="QJW149" s="60"/>
      <c r="QJX149" s="60"/>
      <c r="QJY149" s="60"/>
      <c r="QJZ149" s="60"/>
      <c r="QKA149" s="60"/>
      <c r="QKB149" s="60"/>
      <c r="QKC149" s="60"/>
      <c r="QKD149" s="60"/>
      <c r="QKE149" s="60"/>
      <c r="QKF149" s="60"/>
      <c r="QKG149" s="60"/>
      <c r="QKH149" s="60"/>
      <c r="QKI149" s="60"/>
      <c r="QKJ149" s="60"/>
      <c r="QKK149" s="60"/>
      <c r="QKL149" s="60"/>
      <c r="QKM149" s="60"/>
      <c r="QKN149" s="60"/>
      <c r="QKO149" s="60"/>
      <c r="QKP149" s="60"/>
      <c r="QKQ149" s="60"/>
      <c r="QKR149" s="60"/>
      <c r="QKS149" s="60"/>
      <c r="QKT149" s="60"/>
      <c r="QKU149" s="60"/>
      <c r="QKV149" s="60"/>
      <c r="QKW149" s="60"/>
      <c r="QKX149" s="60"/>
      <c r="QKY149" s="60"/>
      <c r="QKZ149" s="60"/>
      <c r="QLA149" s="60"/>
      <c r="QLB149" s="60"/>
      <c r="QLC149" s="60"/>
      <c r="QLD149" s="60"/>
      <c r="QLE149" s="60"/>
      <c r="QLF149" s="60"/>
      <c r="QLG149" s="60"/>
      <c r="QLH149" s="60"/>
      <c r="QLI149" s="60"/>
      <c r="QLJ149" s="60"/>
      <c r="QLK149" s="60"/>
      <c r="QLL149" s="60"/>
      <c r="QLM149" s="60"/>
      <c r="QLN149" s="60"/>
      <c r="QLO149" s="60"/>
      <c r="QLP149" s="60"/>
      <c r="QLQ149" s="60"/>
      <c r="QLR149" s="60"/>
      <c r="QLS149" s="60"/>
      <c r="QLT149" s="60"/>
      <c r="QLU149" s="60"/>
      <c r="QLV149" s="60"/>
      <c r="QLW149" s="60"/>
      <c r="QLX149" s="60"/>
      <c r="QLY149" s="60"/>
      <c r="QLZ149" s="60"/>
      <c r="QMA149" s="60"/>
      <c r="QMB149" s="60"/>
      <c r="QMC149" s="60"/>
      <c r="QMD149" s="60"/>
      <c r="QME149" s="60"/>
      <c r="QMF149" s="60"/>
      <c r="QMG149" s="60"/>
      <c r="QMH149" s="60"/>
      <c r="QMI149" s="60"/>
      <c r="QMJ149" s="60"/>
      <c r="QMK149" s="60"/>
      <c r="QML149" s="60"/>
      <c r="QMM149" s="60"/>
      <c r="QMN149" s="60"/>
      <c r="QMO149" s="60"/>
      <c r="QMP149" s="60"/>
      <c r="QMQ149" s="60"/>
      <c r="QMR149" s="60"/>
      <c r="QMS149" s="60"/>
      <c r="QMT149" s="60"/>
      <c r="QMU149" s="60"/>
      <c r="QMV149" s="60"/>
      <c r="QMW149" s="60"/>
      <c r="QMX149" s="60"/>
      <c r="QMY149" s="60"/>
      <c r="QMZ149" s="60"/>
      <c r="QNA149" s="60"/>
      <c r="QNB149" s="60"/>
      <c r="QNC149" s="60"/>
      <c r="QND149" s="60"/>
      <c r="QNE149" s="60"/>
      <c r="QNF149" s="60"/>
      <c r="QNG149" s="60"/>
      <c r="QNH149" s="60"/>
      <c r="QNI149" s="60"/>
      <c r="QNJ149" s="60"/>
      <c r="QNK149" s="60"/>
      <c r="QNL149" s="60"/>
      <c r="QNM149" s="60"/>
      <c r="QNN149" s="60"/>
      <c r="QNO149" s="60"/>
      <c r="QNP149" s="60"/>
      <c r="QNQ149" s="60"/>
      <c r="QNR149" s="60"/>
      <c r="QNS149" s="60"/>
      <c r="QNT149" s="60"/>
      <c r="QNU149" s="60"/>
      <c r="QNV149" s="60"/>
      <c r="QNW149" s="60"/>
      <c r="QNX149" s="60"/>
      <c r="QNY149" s="60"/>
      <c r="QNZ149" s="60"/>
      <c r="QOA149" s="60"/>
      <c r="QOB149" s="60"/>
      <c r="QOC149" s="60"/>
      <c r="QOD149" s="60"/>
      <c r="QOE149" s="60"/>
      <c r="QOF149" s="60"/>
      <c r="QOG149" s="60"/>
      <c r="QOH149" s="60"/>
      <c r="QOI149" s="60"/>
      <c r="QOJ149" s="60"/>
      <c r="QOK149" s="60"/>
      <c r="QOL149" s="60"/>
      <c r="QOM149" s="60"/>
      <c r="QON149" s="60"/>
      <c r="QOO149" s="60"/>
      <c r="QOP149" s="60"/>
      <c r="QOQ149" s="60"/>
      <c r="QOR149" s="60"/>
      <c r="QOS149" s="60"/>
      <c r="QOT149" s="60"/>
      <c r="QOU149" s="60"/>
      <c r="QOV149" s="60"/>
      <c r="QOW149" s="60"/>
      <c r="QOX149" s="60"/>
      <c r="QOY149" s="60"/>
      <c r="QOZ149" s="60"/>
      <c r="QPA149" s="60"/>
      <c r="QPB149" s="60"/>
      <c r="QPC149" s="60"/>
      <c r="QPD149" s="60"/>
      <c r="QPE149" s="60"/>
      <c r="QPF149" s="60"/>
      <c r="QPG149" s="60"/>
      <c r="QPH149" s="60"/>
      <c r="QPI149" s="60"/>
      <c r="QPJ149" s="60"/>
      <c r="QPK149" s="60"/>
      <c r="QPL149" s="60"/>
      <c r="QPM149" s="60"/>
      <c r="QPN149" s="60"/>
      <c r="QPO149" s="60"/>
      <c r="QPP149" s="60"/>
      <c r="QPQ149" s="60"/>
      <c r="QPR149" s="60"/>
      <c r="QPS149" s="60"/>
      <c r="QPT149" s="60"/>
      <c r="QPU149" s="60"/>
      <c r="QPV149" s="60"/>
      <c r="QPW149" s="60"/>
      <c r="QPX149" s="60"/>
      <c r="QPY149" s="60"/>
      <c r="QPZ149" s="60"/>
      <c r="QQA149" s="60"/>
      <c r="QQB149" s="60"/>
      <c r="QQC149" s="60"/>
      <c r="QQD149" s="60"/>
      <c r="QQE149" s="60"/>
      <c r="QQF149" s="60"/>
      <c r="QQG149" s="60"/>
      <c r="QQH149" s="60"/>
      <c r="QQI149" s="60"/>
      <c r="QQJ149" s="60"/>
      <c r="QQK149" s="60"/>
      <c r="QQL149" s="60"/>
      <c r="QQM149" s="60"/>
      <c r="QQN149" s="60"/>
      <c r="QQO149" s="60"/>
      <c r="QQP149" s="60"/>
      <c r="QQQ149" s="60"/>
      <c r="QQR149" s="60"/>
      <c r="QQS149" s="60"/>
      <c r="QQT149" s="60"/>
      <c r="QQU149" s="60"/>
      <c r="QQV149" s="60"/>
      <c r="QQW149" s="60"/>
      <c r="QQX149" s="60"/>
      <c r="QQY149" s="60"/>
      <c r="QQZ149" s="60"/>
      <c r="QRA149" s="60"/>
      <c r="QRB149" s="60"/>
      <c r="QRC149" s="60"/>
      <c r="QRD149" s="60"/>
      <c r="QRE149" s="60"/>
      <c r="QRF149" s="60"/>
      <c r="QRG149" s="60"/>
      <c r="QRH149" s="60"/>
      <c r="QRI149" s="60"/>
      <c r="QRJ149" s="60"/>
      <c r="QRK149" s="60"/>
      <c r="QRL149" s="60"/>
      <c r="QRM149" s="60"/>
      <c r="QRN149" s="60"/>
      <c r="QRO149" s="60"/>
      <c r="QRP149" s="60"/>
      <c r="QRQ149" s="60"/>
      <c r="QRR149" s="60"/>
      <c r="QRS149" s="60"/>
      <c r="QRT149" s="60"/>
      <c r="QRU149" s="60"/>
      <c r="QRV149" s="60"/>
      <c r="QRW149" s="60"/>
      <c r="QRX149" s="60"/>
      <c r="QRY149" s="60"/>
      <c r="QRZ149" s="60"/>
      <c r="QSA149" s="60"/>
      <c r="QSB149" s="60"/>
      <c r="QSC149" s="60"/>
      <c r="QSD149" s="60"/>
      <c r="QSE149" s="60"/>
      <c r="QSF149" s="60"/>
      <c r="QSG149" s="60"/>
      <c r="QSH149" s="60"/>
      <c r="QSI149" s="60"/>
      <c r="QSJ149" s="60"/>
      <c r="QSK149" s="60"/>
      <c r="QSL149" s="60"/>
      <c r="QSM149" s="60"/>
      <c r="QSN149" s="60"/>
      <c r="QSO149" s="60"/>
      <c r="QSP149" s="60"/>
      <c r="QSQ149" s="60"/>
      <c r="QSR149" s="60"/>
      <c r="QSS149" s="60"/>
      <c r="QST149" s="60"/>
      <c r="QSU149" s="60"/>
      <c r="QSV149" s="60"/>
      <c r="QSW149" s="60"/>
      <c r="QSX149" s="60"/>
      <c r="QSY149" s="60"/>
      <c r="QSZ149" s="60"/>
      <c r="QTA149" s="60"/>
      <c r="QTB149" s="60"/>
      <c r="QTC149" s="60"/>
      <c r="QTD149" s="60"/>
      <c r="QTE149" s="60"/>
      <c r="QTF149" s="60"/>
      <c r="QTG149" s="60"/>
      <c r="QTH149" s="60"/>
      <c r="QTI149" s="60"/>
      <c r="QTJ149" s="60"/>
      <c r="QTK149" s="60"/>
      <c r="QTL149" s="60"/>
      <c r="QTM149" s="60"/>
      <c r="QTN149" s="60"/>
      <c r="QTO149" s="60"/>
      <c r="QTP149" s="60"/>
      <c r="QTQ149" s="60"/>
      <c r="QTR149" s="60"/>
      <c r="QTS149" s="60"/>
      <c r="QTT149" s="60"/>
      <c r="QTU149" s="60"/>
      <c r="QTV149" s="60"/>
      <c r="QTW149" s="60"/>
      <c r="QTX149" s="60"/>
      <c r="QTY149" s="60"/>
      <c r="QTZ149" s="60"/>
      <c r="QUA149" s="60"/>
      <c r="QUB149" s="60"/>
      <c r="QUC149" s="60"/>
      <c r="QUD149" s="60"/>
      <c r="QUE149" s="60"/>
      <c r="QUF149" s="60"/>
      <c r="QUG149" s="60"/>
      <c r="QUH149" s="60"/>
      <c r="QUI149" s="60"/>
      <c r="QUJ149" s="60"/>
      <c r="QUK149" s="60"/>
      <c r="QUL149" s="60"/>
      <c r="QUM149" s="60"/>
      <c r="QUN149" s="60"/>
      <c r="QUO149" s="60"/>
      <c r="QUP149" s="60"/>
      <c r="QUQ149" s="60"/>
      <c r="QUR149" s="60"/>
      <c r="QUS149" s="60"/>
      <c r="QUT149" s="60"/>
      <c r="QUU149" s="60"/>
      <c r="QUV149" s="60"/>
      <c r="QUW149" s="60"/>
      <c r="QUX149" s="60"/>
      <c r="QUY149" s="60"/>
      <c r="QUZ149" s="60"/>
      <c r="QVA149" s="60"/>
      <c r="QVB149" s="60"/>
      <c r="QVC149" s="60"/>
      <c r="QVD149" s="60"/>
      <c r="QVE149" s="60"/>
      <c r="QVF149" s="60"/>
      <c r="QVG149" s="60"/>
      <c r="QVH149" s="60"/>
      <c r="QVI149" s="60"/>
      <c r="QVJ149" s="60"/>
      <c r="QVK149" s="60"/>
      <c r="QVL149" s="60"/>
      <c r="QVM149" s="60"/>
      <c r="QVN149" s="60"/>
      <c r="QVO149" s="60"/>
      <c r="QVP149" s="60"/>
      <c r="QVQ149" s="60"/>
      <c r="QVR149" s="60"/>
      <c r="QVS149" s="60"/>
      <c r="QVT149" s="60"/>
      <c r="QVU149" s="60"/>
      <c r="QVV149" s="60"/>
      <c r="QVW149" s="60"/>
      <c r="QVX149" s="60"/>
      <c r="QVY149" s="60"/>
      <c r="QVZ149" s="60"/>
      <c r="QWA149" s="60"/>
      <c r="QWB149" s="60"/>
      <c r="QWC149" s="60"/>
      <c r="QWD149" s="60"/>
      <c r="QWE149" s="60"/>
      <c r="QWF149" s="60"/>
      <c r="QWG149" s="60"/>
      <c r="QWH149" s="60"/>
      <c r="QWI149" s="60"/>
      <c r="QWJ149" s="60"/>
      <c r="QWK149" s="60"/>
      <c r="QWL149" s="60"/>
      <c r="QWM149" s="60"/>
      <c r="QWN149" s="60"/>
      <c r="QWO149" s="60"/>
      <c r="QWP149" s="60"/>
      <c r="QWQ149" s="60"/>
      <c r="QWR149" s="60"/>
      <c r="QWS149" s="60"/>
      <c r="QWT149" s="60"/>
      <c r="QWU149" s="60"/>
      <c r="QWV149" s="60"/>
      <c r="QWW149" s="60"/>
      <c r="QWX149" s="60"/>
      <c r="QWY149" s="60"/>
      <c r="QWZ149" s="60"/>
      <c r="QXA149" s="60"/>
      <c r="QXB149" s="60"/>
      <c r="QXC149" s="60"/>
      <c r="QXD149" s="60"/>
      <c r="QXE149" s="60"/>
      <c r="QXF149" s="60"/>
      <c r="QXG149" s="60"/>
      <c r="QXH149" s="60"/>
      <c r="QXI149" s="60"/>
      <c r="QXJ149" s="60"/>
      <c r="QXK149" s="60"/>
      <c r="QXL149" s="60"/>
      <c r="QXM149" s="60"/>
      <c r="QXN149" s="60"/>
      <c r="QXO149" s="60"/>
      <c r="QXP149" s="60"/>
      <c r="QXQ149" s="60"/>
      <c r="QXR149" s="60"/>
      <c r="QXS149" s="60"/>
      <c r="QXT149" s="60"/>
      <c r="QXU149" s="60"/>
      <c r="QXV149" s="60"/>
      <c r="QXW149" s="60"/>
      <c r="QXX149" s="60"/>
      <c r="QXY149" s="60"/>
      <c r="QXZ149" s="60"/>
      <c r="QYA149" s="60"/>
      <c r="QYB149" s="60"/>
      <c r="QYC149" s="60"/>
      <c r="QYD149" s="60"/>
      <c r="QYE149" s="60"/>
      <c r="QYF149" s="60"/>
      <c r="QYG149" s="60"/>
      <c r="QYH149" s="60"/>
      <c r="QYI149" s="60"/>
      <c r="QYJ149" s="60"/>
      <c r="QYK149" s="60"/>
      <c r="QYL149" s="60"/>
      <c r="QYM149" s="60"/>
      <c r="QYN149" s="60"/>
      <c r="QYO149" s="60"/>
      <c r="QYP149" s="60"/>
      <c r="QYQ149" s="60"/>
      <c r="QYR149" s="60"/>
      <c r="QYS149" s="60"/>
      <c r="QYT149" s="60"/>
      <c r="QYU149" s="60"/>
      <c r="QYV149" s="60"/>
      <c r="QYW149" s="60"/>
      <c r="QYX149" s="60"/>
      <c r="QYY149" s="60"/>
      <c r="QYZ149" s="60"/>
      <c r="QZA149" s="60"/>
      <c r="QZB149" s="60"/>
      <c r="QZC149" s="60"/>
      <c r="QZD149" s="60"/>
      <c r="QZE149" s="60"/>
      <c r="QZF149" s="60"/>
      <c r="QZG149" s="60"/>
      <c r="QZH149" s="60"/>
      <c r="QZI149" s="60"/>
      <c r="QZJ149" s="60"/>
      <c r="QZK149" s="60"/>
      <c r="QZL149" s="60"/>
      <c r="QZM149" s="60"/>
      <c r="QZN149" s="60"/>
      <c r="QZO149" s="60"/>
      <c r="QZP149" s="60"/>
      <c r="QZQ149" s="60"/>
      <c r="QZR149" s="60"/>
      <c r="QZS149" s="60"/>
      <c r="QZT149" s="60"/>
      <c r="QZU149" s="60"/>
      <c r="QZV149" s="60"/>
      <c r="QZW149" s="60"/>
      <c r="QZX149" s="60"/>
      <c r="QZY149" s="60"/>
      <c r="QZZ149" s="60"/>
      <c r="RAA149" s="60"/>
      <c r="RAB149" s="60"/>
      <c r="RAC149" s="60"/>
      <c r="RAD149" s="60"/>
      <c r="RAE149" s="60"/>
      <c r="RAF149" s="60"/>
      <c r="RAG149" s="60"/>
      <c r="RAH149" s="60"/>
      <c r="RAI149" s="60"/>
      <c r="RAJ149" s="60"/>
      <c r="RAK149" s="60"/>
      <c r="RAL149" s="60"/>
      <c r="RAM149" s="60"/>
      <c r="RAN149" s="60"/>
      <c r="RAO149" s="60"/>
      <c r="RAP149" s="60"/>
      <c r="RAQ149" s="60"/>
      <c r="RAR149" s="60"/>
      <c r="RAS149" s="60"/>
      <c r="RAT149" s="60"/>
      <c r="RAU149" s="60"/>
      <c r="RAV149" s="60"/>
      <c r="RAW149" s="60"/>
      <c r="RAX149" s="60"/>
      <c r="RAY149" s="60"/>
      <c r="RAZ149" s="60"/>
      <c r="RBA149" s="60"/>
      <c r="RBB149" s="60"/>
      <c r="RBC149" s="60"/>
      <c r="RBD149" s="60"/>
      <c r="RBE149" s="60"/>
      <c r="RBF149" s="60"/>
      <c r="RBG149" s="60"/>
      <c r="RBH149" s="60"/>
      <c r="RBI149" s="60"/>
      <c r="RBJ149" s="60"/>
      <c r="RBK149" s="60"/>
      <c r="RBL149" s="60"/>
      <c r="RBM149" s="60"/>
      <c r="RBN149" s="60"/>
      <c r="RBO149" s="60"/>
      <c r="RBP149" s="60"/>
      <c r="RBQ149" s="60"/>
      <c r="RBR149" s="60"/>
      <c r="RBS149" s="60"/>
      <c r="RBT149" s="60"/>
      <c r="RBU149" s="60"/>
      <c r="RBV149" s="60"/>
      <c r="RBW149" s="60"/>
      <c r="RBX149" s="60"/>
      <c r="RBY149" s="60"/>
      <c r="RBZ149" s="60"/>
      <c r="RCA149" s="60"/>
      <c r="RCB149" s="60"/>
      <c r="RCC149" s="60"/>
      <c r="RCD149" s="60"/>
      <c r="RCE149" s="60"/>
      <c r="RCF149" s="60"/>
      <c r="RCG149" s="60"/>
      <c r="RCH149" s="60"/>
      <c r="RCI149" s="60"/>
      <c r="RCJ149" s="60"/>
      <c r="RCK149" s="60"/>
      <c r="RCL149" s="60"/>
      <c r="RCM149" s="60"/>
      <c r="RCN149" s="60"/>
      <c r="RCO149" s="60"/>
      <c r="RCP149" s="60"/>
      <c r="RCQ149" s="60"/>
      <c r="RCR149" s="60"/>
      <c r="RCS149" s="60"/>
      <c r="RCT149" s="60"/>
      <c r="RCU149" s="60"/>
      <c r="RCV149" s="60"/>
      <c r="RCW149" s="60"/>
      <c r="RCX149" s="60"/>
      <c r="RCY149" s="60"/>
      <c r="RCZ149" s="60"/>
      <c r="RDA149" s="60"/>
      <c r="RDB149" s="60"/>
      <c r="RDC149" s="60"/>
      <c r="RDD149" s="60"/>
      <c r="RDE149" s="60"/>
      <c r="RDF149" s="60"/>
      <c r="RDG149" s="60"/>
      <c r="RDH149" s="60"/>
      <c r="RDI149" s="60"/>
      <c r="RDJ149" s="60"/>
      <c r="RDK149" s="60"/>
      <c r="RDL149" s="60"/>
      <c r="RDM149" s="60"/>
      <c r="RDN149" s="60"/>
      <c r="RDO149" s="60"/>
      <c r="RDP149" s="60"/>
      <c r="RDQ149" s="60"/>
      <c r="RDR149" s="60"/>
      <c r="RDS149" s="60"/>
      <c r="RDT149" s="60"/>
      <c r="RDU149" s="60"/>
      <c r="RDV149" s="60"/>
      <c r="RDW149" s="60"/>
      <c r="RDX149" s="60"/>
      <c r="RDY149" s="60"/>
      <c r="RDZ149" s="60"/>
      <c r="REA149" s="60"/>
      <c r="REB149" s="60"/>
      <c r="REC149" s="60"/>
      <c r="RED149" s="60"/>
      <c r="REE149" s="60"/>
      <c r="REF149" s="60"/>
      <c r="REG149" s="60"/>
      <c r="REH149" s="60"/>
      <c r="REI149" s="60"/>
      <c r="REJ149" s="60"/>
      <c r="REK149" s="60"/>
      <c r="REL149" s="60"/>
      <c r="REM149" s="60"/>
      <c r="REN149" s="60"/>
      <c r="REO149" s="60"/>
      <c r="REP149" s="60"/>
      <c r="REQ149" s="60"/>
      <c r="RER149" s="60"/>
      <c r="RES149" s="60"/>
      <c r="RET149" s="60"/>
      <c r="REU149" s="60"/>
      <c r="REV149" s="60"/>
      <c r="REW149" s="60"/>
      <c r="REX149" s="60"/>
      <c r="REY149" s="60"/>
      <c r="REZ149" s="60"/>
      <c r="RFA149" s="60"/>
      <c r="RFB149" s="60"/>
      <c r="RFC149" s="60"/>
      <c r="RFD149" s="60"/>
      <c r="RFE149" s="60"/>
      <c r="RFF149" s="60"/>
      <c r="RFG149" s="60"/>
      <c r="RFH149" s="60"/>
      <c r="RFI149" s="60"/>
      <c r="RFJ149" s="60"/>
      <c r="RFK149" s="60"/>
      <c r="RFL149" s="60"/>
      <c r="RFM149" s="60"/>
      <c r="RFN149" s="60"/>
      <c r="RFO149" s="60"/>
      <c r="RFP149" s="60"/>
      <c r="RFQ149" s="60"/>
      <c r="RFR149" s="60"/>
      <c r="RFS149" s="60"/>
      <c r="RFT149" s="60"/>
      <c r="RFU149" s="60"/>
      <c r="RFV149" s="60"/>
      <c r="RFW149" s="60"/>
      <c r="RFX149" s="60"/>
      <c r="RFY149" s="60"/>
      <c r="RFZ149" s="60"/>
      <c r="RGA149" s="60"/>
      <c r="RGB149" s="60"/>
      <c r="RGC149" s="60"/>
      <c r="RGD149" s="60"/>
      <c r="RGE149" s="60"/>
      <c r="RGF149" s="60"/>
      <c r="RGG149" s="60"/>
      <c r="RGH149" s="60"/>
      <c r="RGI149" s="60"/>
      <c r="RGJ149" s="60"/>
      <c r="RGK149" s="60"/>
      <c r="RGL149" s="60"/>
      <c r="RGM149" s="60"/>
      <c r="RGN149" s="60"/>
      <c r="RGO149" s="60"/>
      <c r="RGP149" s="60"/>
      <c r="RGQ149" s="60"/>
      <c r="RGR149" s="60"/>
      <c r="RGS149" s="60"/>
      <c r="RGT149" s="60"/>
      <c r="RGU149" s="60"/>
      <c r="RGV149" s="60"/>
      <c r="RGW149" s="60"/>
      <c r="RGX149" s="60"/>
      <c r="RGY149" s="60"/>
      <c r="RGZ149" s="60"/>
      <c r="RHA149" s="60"/>
      <c r="RHB149" s="60"/>
      <c r="RHC149" s="60"/>
      <c r="RHD149" s="60"/>
      <c r="RHE149" s="60"/>
      <c r="RHF149" s="60"/>
      <c r="RHG149" s="60"/>
      <c r="RHH149" s="60"/>
      <c r="RHI149" s="60"/>
      <c r="RHJ149" s="60"/>
      <c r="RHK149" s="60"/>
      <c r="RHL149" s="60"/>
      <c r="RHM149" s="60"/>
      <c r="RHN149" s="60"/>
      <c r="RHO149" s="60"/>
      <c r="RHP149" s="60"/>
      <c r="RHQ149" s="60"/>
      <c r="RHR149" s="60"/>
      <c r="RHS149" s="60"/>
      <c r="RHT149" s="60"/>
      <c r="RHU149" s="60"/>
      <c r="RHV149" s="60"/>
      <c r="RHW149" s="60"/>
      <c r="RHX149" s="60"/>
      <c r="RHY149" s="60"/>
      <c r="RHZ149" s="60"/>
      <c r="RIA149" s="60"/>
      <c r="RIB149" s="60"/>
      <c r="RIC149" s="60"/>
      <c r="RID149" s="60"/>
      <c r="RIE149" s="60"/>
      <c r="RIF149" s="60"/>
      <c r="RIG149" s="60"/>
      <c r="RIH149" s="60"/>
      <c r="RII149" s="60"/>
      <c r="RIJ149" s="60"/>
      <c r="RIK149" s="60"/>
      <c r="RIL149" s="60"/>
      <c r="RIM149" s="60"/>
      <c r="RIN149" s="60"/>
      <c r="RIO149" s="60"/>
      <c r="RIP149" s="60"/>
      <c r="RIQ149" s="60"/>
      <c r="RIR149" s="60"/>
      <c r="RIS149" s="60"/>
      <c r="RIT149" s="60"/>
      <c r="RIU149" s="60"/>
      <c r="RIV149" s="60"/>
      <c r="RIW149" s="60"/>
      <c r="RIX149" s="60"/>
      <c r="RIY149" s="60"/>
      <c r="RIZ149" s="60"/>
      <c r="RJA149" s="60"/>
      <c r="RJB149" s="60"/>
      <c r="RJC149" s="60"/>
      <c r="RJD149" s="60"/>
      <c r="RJE149" s="60"/>
      <c r="RJF149" s="60"/>
      <c r="RJG149" s="60"/>
      <c r="RJH149" s="60"/>
      <c r="RJI149" s="60"/>
      <c r="RJJ149" s="60"/>
      <c r="RJK149" s="60"/>
      <c r="RJL149" s="60"/>
      <c r="RJM149" s="60"/>
      <c r="RJN149" s="60"/>
      <c r="RJO149" s="60"/>
      <c r="RJP149" s="60"/>
      <c r="RJQ149" s="60"/>
      <c r="RJR149" s="60"/>
      <c r="RJS149" s="60"/>
      <c r="RJT149" s="60"/>
      <c r="RJU149" s="60"/>
      <c r="RJV149" s="60"/>
      <c r="RJW149" s="60"/>
      <c r="RJX149" s="60"/>
      <c r="RJY149" s="60"/>
      <c r="RJZ149" s="60"/>
      <c r="RKA149" s="60"/>
      <c r="RKB149" s="60"/>
      <c r="RKC149" s="60"/>
      <c r="RKD149" s="60"/>
      <c r="RKE149" s="60"/>
      <c r="RKF149" s="60"/>
      <c r="RKG149" s="60"/>
      <c r="RKH149" s="60"/>
      <c r="RKI149" s="60"/>
      <c r="RKJ149" s="60"/>
      <c r="RKK149" s="60"/>
      <c r="RKL149" s="60"/>
      <c r="RKM149" s="60"/>
      <c r="RKN149" s="60"/>
      <c r="RKO149" s="60"/>
      <c r="RKP149" s="60"/>
      <c r="RKQ149" s="60"/>
      <c r="RKR149" s="60"/>
      <c r="RKS149" s="60"/>
      <c r="RKT149" s="60"/>
      <c r="RKU149" s="60"/>
      <c r="RKV149" s="60"/>
      <c r="RKW149" s="60"/>
      <c r="RKX149" s="60"/>
      <c r="RKY149" s="60"/>
      <c r="RKZ149" s="60"/>
      <c r="RLA149" s="60"/>
      <c r="RLB149" s="60"/>
      <c r="RLC149" s="60"/>
      <c r="RLD149" s="60"/>
      <c r="RLE149" s="60"/>
      <c r="RLF149" s="60"/>
      <c r="RLG149" s="60"/>
      <c r="RLH149" s="60"/>
      <c r="RLI149" s="60"/>
      <c r="RLJ149" s="60"/>
      <c r="RLK149" s="60"/>
      <c r="RLL149" s="60"/>
      <c r="RLM149" s="60"/>
      <c r="RLN149" s="60"/>
      <c r="RLO149" s="60"/>
      <c r="RLP149" s="60"/>
      <c r="RLQ149" s="60"/>
      <c r="RLR149" s="60"/>
      <c r="RLS149" s="60"/>
      <c r="RLT149" s="60"/>
      <c r="RLU149" s="60"/>
      <c r="RLV149" s="60"/>
      <c r="RLW149" s="60"/>
      <c r="RLX149" s="60"/>
      <c r="RLY149" s="60"/>
      <c r="RLZ149" s="60"/>
      <c r="RMA149" s="60"/>
      <c r="RMB149" s="60"/>
      <c r="RMC149" s="60"/>
      <c r="RMD149" s="60"/>
      <c r="RME149" s="60"/>
      <c r="RMF149" s="60"/>
      <c r="RMG149" s="60"/>
      <c r="RMH149" s="60"/>
      <c r="RMI149" s="60"/>
      <c r="RMJ149" s="60"/>
      <c r="RMK149" s="60"/>
      <c r="RML149" s="60"/>
      <c r="RMM149" s="60"/>
      <c r="RMN149" s="60"/>
      <c r="RMO149" s="60"/>
      <c r="RMP149" s="60"/>
      <c r="RMQ149" s="60"/>
      <c r="RMR149" s="60"/>
      <c r="RMS149" s="60"/>
      <c r="RMT149" s="60"/>
      <c r="RMU149" s="60"/>
      <c r="RMV149" s="60"/>
      <c r="RMW149" s="60"/>
      <c r="RMX149" s="60"/>
      <c r="RMY149" s="60"/>
      <c r="RMZ149" s="60"/>
      <c r="RNA149" s="60"/>
      <c r="RNB149" s="60"/>
      <c r="RNC149" s="60"/>
      <c r="RND149" s="60"/>
      <c r="RNE149" s="60"/>
      <c r="RNF149" s="60"/>
      <c r="RNG149" s="60"/>
      <c r="RNH149" s="60"/>
      <c r="RNI149" s="60"/>
      <c r="RNJ149" s="60"/>
      <c r="RNK149" s="60"/>
      <c r="RNL149" s="60"/>
      <c r="RNM149" s="60"/>
      <c r="RNN149" s="60"/>
      <c r="RNO149" s="60"/>
      <c r="RNP149" s="60"/>
      <c r="RNQ149" s="60"/>
      <c r="RNR149" s="60"/>
      <c r="RNS149" s="60"/>
      <c r="RNT149" s="60"/>
      <c r="RNU149" s="60"/>
      <c r="RNV149" s="60"/>
      <c r="RNW149" s="60"/>
      <c r="RNX149" s="60"/>
      <c r="RNY149" s="60"/>
      <c r="RNZ149" s="60"/>
      <c r="ROA149" s="60"/>
      <c r="ROB149" s="60"/>
      <c r="ROC149" s="60"/>
      <c r="ROD149" s="60"/>
      <c r="ROE149" s="60"/>
      <c r="ROF149" s="60"/>
      <c r="ROG149" s="60"/>
      <c r="ROH149" s="60"/>
      <c r="ROI149" s="60"/>
      <c r="ROJ149" s="60"/>
      <c r="ROK149" s="60"/>
      <c r="ROL149" s="60"/>
      <c r="ROM149" s="60"/>
      <c r="RON149" s="60"/>
      <c r="ROO149" s="60"/>
      <c r="ROP149" s="60"/>
      <c r="ROQ149" s="60"/>
      <c r="ROR149" s="60"/>
      <c r="ROS149" s="60"/>
      <c r="ROT149" s="60"/>
      <c r="ROU149" s="60"/>
      <c r="ROV149" s="60"/>
      <c r="ROW149" s="60"/>
      <c r="ROX149" s="60"/>
      <c r="ROY149" s="60"/>
      <c r="ROZ149" s="60"/>
      <c r="RPA149" s="60"/>
      <c r="RPB149" s="60"/>
      <c r="RPC149" s="60"/>
      <c r="RPD149" s="60"/>
      <c r="RPE149" s="60"/>
      <c r="RPF149" s="60"/>
      <c r="RPG149" s="60"/>
      <c r="RPH149" s="60"/>
      <c r="RPI149" s="60"/>
      <c r="RPJ149" s="60"/>
      <c r="RPK149" s="60"/>
      <c r="RPL149" s="60"/>
      <c r="RPM149" s="60"/>
      <c r="RPN149" s="60"/>
      <c r="RPO149" s="60"/>
      <c r="RPP149" s="60"/>
      <c r="RPQ149" s="60"/>
      <c r="RPR149" s="60"/>
      <c r="RPS149" s="60"/>
      <c r="RPT149" s="60"/>
      <c r="RPU149" s="60"/>
      <c r="RPV149" s="60"/>
      <c r="RPW149" s="60"/>
      <c r="RPX149" s="60"/>
      <c r="RPY149" s="60"/>
      <c r="RPZ149" s="60"/>
      <c r="RQA149" s="60"/>
      <c r="RQB149" s="60"/>
      <c r="RQC149" s="60"/>
      <c r="RQD149" s="60"/>
      <c r="RQE149" s="60"/>
      <c r="RQF149" s="60"/>
      <c r="RQG149" s="60"/>
      <c r="RQH149" s="60"/>
      <c r="RQI149" s="60"/>
      <c r="RQJ149" s="60"/>
      <c r="RQK149" s="60"/>
      <c r="RQL149" s="60"/>
      <c r="RQM149" s="60"/>
      <c r="RQN149" s="60"/>
      <c r="RQO149" s="60"/>
      <c r="RQP149" s="60"/>
      <c r="RQQ149" s="60"/>
      <c r="RQR149" s="60"/>
      <c r="RQS149" s="60"/>
      <c r="RQT149" s="60"/>
      <c r="RQU149" s="60"/>
      <c r="RQV149" s="60"/>
      <c r="RQW149" s="60"/>
      <c r="RQX149" s="60"/>
      <c r="RQY149" s="60"/>
      <c r="RQZ149" s="60"/>
      <c r="RRA149" s="60"/>
      <c r="RRB149" s="60"/>
      <c r="RRC149" s="60"/>
      <c r="RRD149" s="60"/>
      <c r="RRE149" s="60"/>
      <c r="RRF149" s="60"/>
      <c r="RRG149" s="60"/>
      <c r="RRH149" s="60"/>
      <c r="RRI149" s="60"/>
      <c r="RRJ149" s="60"/>
      <c r="RRK149" s="60"/>
      <c r="RRL149" s="60"/>
      <c r="RRM149" s="60"/>
      <c r="RRN149" s="60"/>
      <c r="RRO149" s="60"/>
      <c r="RRP149" s="60"/>
      <c r="RRQ149" s="60"/>
      <c r="RRR149" s="60"/>
      <c r="RRS149" s="60"/>
      <c r="RRT149" s="60"/>
      <c r="RRU149" s="60"/>
      <c r="RRV149" s="60"/>
      <c r="RRW149" s="60"/>
      <c r="RRX149" s="60"/>
      <c r="RRY149" s="60"/>
      <c r="RRZ149" s="60"/>
      <c r="RSA149" s="60"/>
      <c r="RSB149" s="60"/>
      <c r="RSC149" s="60"/>
      <c r="RSD149" s="60"/>
      <c r="RSE149" s="60"/>
      <c r="RSF149" s="60"/>
      <c r="RSG149" s="60"/>
      <c r="RSH149" s="60"/>
      <c r="RSI149" s="60"/>
      <c r="RSJ149" s="60"/>
      <c r="RSK149" s="60"/>
      <c r="RSL149" s="60"/>
      <c r="RSM149" s="60"/>
      <c r="RSN149" s="60"/>
      <c r="RSO149" s="60"/>
      <c r="RSP149" s="60"/>
      <c r="RSQ149" s="60"/>
      <c r="RSR149" s="60"/>
      <c r="RSS149" s="60"/>
      <c r="RST149" s="60"/>
      <c r="RSU149" s="60"/>
      <c r="RSV149" s="60"/>
      <c r="RSW149" s="60"/>
      <c r="RSX149" s="60"/>
      <c r="RSY149" s="60"/>
      <c r="RSZ149" s="60"/>
      <c r="RTA149" s="60"/>
      <c r="RTB149" s="60"/>
      <c r="RTC149" s="60"/>
      <c r="RTD149" s="60"/>
      <c r="RTE149" s="60"/>
      <c r="RTF149" s="60"/>
      <c r="RTG149" s="60"/>
      <c r="RTH149" s="60"/>
      <c r="RTI149" s="60"/>
      <c r="RTJ149" s="60"/>
      <c r="RTK149" s="60"/>
      <c r="RTL149" s="60"/>
      <c r="RTM149" s="60"/>
      <c r="RTN149" s="60"/>
      <c r="RTO149" s="60"/>
      <c r="RTP149" s="60"/>
      <c r="RTQ149" s="60"/>
      <c r="RTR149" s="60"/>
      <c r="RTS149" s="60"/>
      <c r="RTT149" s="60"/>
      <c r="RTU149" s="60"/>
      <c r="RTV149" s="60"/>
      <c r="RTW149" s="60"/>
      <c r="RTX149" s="60"/>
      <c r="RTY149" s="60"/>
      <c r="RTZ149" s="60"/>
      <c r="RUA149" s="60"/>
      <c r="RUB149" s="60"/>
      <c r="RUC149" s="60"/>
      <c r="RUD149" s="60"/>
      <c r="RUE149" s="60"/>
      <c r="RUF149" s="60"/>
      <c r="RUG149" s="60"/>
      <c r="RUH149" s="60"/>
      <c r="RUI149" s="60"/>
      <c r="RUJ149" s="60"/>
      <c r="RUK149" s="60"/>
      <c r="RUL149" s="60"/>
      <c r="RUM149" s="60"/>
      <c r="RUN149" s="60"/>
      <c r="RUO149" s="60"/>
      <c r="RUP149" s="60"/>
      <c r="RUQ149" s="60"/>
      <c r="RUR149" s="60"/>
      <c r="RUS149" s="60"/>
      <c r="RUT149" s="60"/>
      <c r="RUU149" s="60"/>
      <c r="RUV149" s="60"/>
      <c r="RUW149" s="60"/>
      <c r="RUX149" s="60"/>
      <c r="RUY149" s="60"/>
      <c r="RUZ149" s="60"/>
      <c r="RVA149" s="60"/>
      <c r="RVB149" s="60"/>
      <c r="RVC149" s="60"/>
      <c r="RVD149" s="60"/>
      <c r="RVE149" s="60"/>
      <c r="RVF149" s="60"/>
      <c r="RVG149" s="60"/>
      <c r="RVH149" s="60"/>
      <c r="RVI149" s="60"/>
      <c r="RVJ149" s="60"/>
      <c r="RVK149" s="60"/>
      <c r="RVL149" s="60"/>
      <c r="RVM149" s="60"/>
      <c r="RVN149" s="60"/>
      <c r="RVO149" s="60"/>
      <c r="RVP149" s="60"/>
      <c r="RVQ149" s="60"/>
      <c r="RVR149" s="60"/>
      <c r="RVS149" s="60"/>
      <c r="RVT149" s="60"/>
      <c r="RVU149" s="60"/>
      <c r="RVV149" s="60"/>
      <c r="RVW149" s="60"/>
      <c r="RVX149" s="60"/>
      <c r="RVY149" s="60"/>
      <c r="RVZ149" s="60"/>
      <c r="RWA149" s="60"/>
      <c r="RWB149" s="60"/>
      <c r="RWC149" s="60"/>
      <c r="RWD149" s="60"/>
      <c r="RWE149" s="60"/>
      <c r="RWF149" s="60"/>
      <c r="RWG149" s="60"/>
      <c r="RWH149" s="60"/>
      <c r="RWI149" s="60"/>
      <c r="RWJ149" s="60"/>
      <c r="RWK149" s="60"/>
      <c r="RWL149" s="60"/>
      <c r="RWM149" s="60"/>
      <c r="RWN149" s="60"/>
      <c r="RWO149" s="60"/>
      <c r="RWP149" s="60"/>
      <c r="RWQ149" s="60"/>
      <c r="RWR149" s="60"/>
      <c r="RWS149" s="60"/>
      <c r="RWT149" s="60"/>
      <c r="RWU149" s="60"/>
      <c r="RWV149" s="60"/>
      <c r="RWW149" s="60"/>
      <c r="RWX149" s="60"/>
      <c r="RWY149" s="60"/>
      <c r="RWZ149" s="60"/>
      <c r="RXA149" s="60"/>
      <c r="RXB149" s="60"/>
      <c r="RXC149" s="60"/>
      <c r="RXD149" s="60"/>
      <c r="RXE149" s="60"/>
      <c r="RXF149" s="60"/>
      <c r="RXG149" s="60"/>
      <c r="RXH149" s="60"/>
      <c r="RXI149" s="60"/>
      <c r="RXJ149" s="60"/>
      <c r="RXK149" s="60"/>
      <c r="RXL149" s="60"/>
      <c r="RXM149" s="60"/>
      <c r="RXN149" s="60"/>
      <c r="RXO149" s="60"/>
      <c r="RXP149" s="60"/>
      <c r="RXQ149" s="60"/>
      <c r="RXR149" s="60"/>
      <c r="RXS149" s="60"/>
      <c r="RXT149" s="60"/>
      <c r="RXU149" s="60"/>
      <c r="RXV149" s="60"/>
      <c r="RXW149" s="60"/>
      <c r="RXX149" s="60"/>
      <c r="RXY149" s="60"/>
      <c r="RXZ149" s="60"/>
      <c r="RYA149" s="60"/>
      <c r="RYB149" s="60"/>
      <c r="RYC149" s="60"/>
      <c r="RYD149" s="60"/>
      <c r="RYE149" s="60"/>
      <c r="RYF149" s="60"/>
      <c r="RYG149" s="60"/>
      <c r="RYH149" s="60"/>
      <c r="RYI149" s="60"/>
      <c r="RYJ149" s="60"/>
      <c r="RYK149" s="60"/>
      <c r="RYL149" s="60"/>
      <c r="RYM149" s="60"/>
      <c r="RYN149" s="60"/>
      <c r="RYO149" s="60"/>
      <c r="RYP149" s="60"/>
      <c r="RYQ149" s="60"/>
      <c r="RYR149" s="60"/>
      <c r="RYS149" s="60"/>
      <c r="RYT149" s="60"/>
      <c r="RYU149" s="60"/>
      <c r="RYV149" s="60"/>
      <c r="RYW149" s="60"/>
      <c r="RYX149" s="60"/>
      <c r="RYY149" s="60"/>
      <c r="RYZ149" s="60"/>
      <c r="RZA149" s="60"/>
      <c r="RZB149" s="60"/>
      <c r="RZC149" s="60"/>
      <c r="RZD149" s="60"/>
      <c r="RZE149" s="60"/>
      <c r="RZF149" s="60"/>
      <c r="RZG149" s="60"/>
      <c r="RZH149" s="60"/>
      <c r="RZI149" s="60"/>
      <c r="RZJ149" s="60"/>
      <c r="RZK149" s="60"/>
      <c r="RZL149" s="60"/>
      <c r="RZM149" s="60"/>
      <c r="RZN149" s="60"/>
      <c r="RZO149" s="60"/>
      <c r="RZP149" s="60"/>
      <c r="RZQ149" s="60"/>
      <c r="RZR149" s="60"/>
      <c r="RZS149" s="60"/>
      <c r="RZT149" s="60"/>
      <c r="RZU149" s="60"/>
      <c r="RZV149" s="60"/>
      <c r="RZW149" s="60"/>
      <c r="RZX149" s="60"/>
      <c r="RZY149" s="60"/>
      <c r="RZZ149" s="60"/>
      <c r="SAA149" s="60"/>
      <c r="SAB149" s="60"/>
      <c r="SAC149" s="60"/>
      <c r="SAD149" s="60"/>
      <c r="SAE149" s="60"/>
      <c r="SAF149" s="60"/>
      <c r="SAG149" s="60"/>
      <c r="SAH149" s="60"/>
      <c r="SAI149" s="60"/>
      <c r="SAJ149" s="60"/>
      <c r="SAK149" s="60"/>
      <c r="SAL149" s="60"/>
      <c r="SAM149" s="60"/>
      <c r="SAN149" s="60"/>
      <c r="SAO149" s="60"/>
      <c r="SAP149" s="60"/>
      <c r="SAQ149" s="60"/>
      <c r="SAR149" s="60"/>
      <c r="SAS149" s="60"/>
      <c r="SAT149" s="60"/>
      <c r="SAU149" s="60"/>
      <c r="SAV149" s="60"/>
      <c r="SAW149" s="60"/>
      <c r="SAX149" s="60"/>
      <c r="SAY149" s="60"/>
      <c r="SAZ149" s="60"/>
      <c r="SBA149" s="60"/>
      <c r="SBB149" s="60"/>
      <c r="SBC149" s="60"/>
      <c r="SBD149" s="60"/>
      <c r="SBE149" s="60"/>
      <c r="SBF149" s="60"/>
      <c r="SBG149" s="60"/>
      <c r="SBH149" s="60"/>
      <c r="SBI149" s="60"/>
      <c r="SBJ149" s="60"/>
      <c r="SBK149" s="60"/>
      <c r="SBL149" s="60"/>
      <c r="SBM149" s="60"/>
      <c r="SBN149" s="60"/>
      <c r="SBO149" s="60"/>
      <c r="SBP149" s="60"/>
      <c r="SBQ149" s="60"/>
      <c r="SBR149" s="60"/>
      <c r="SBS149" s="60"/>
      <c r="SBT149" s="60"/>
      <c r="SBU149" s="60"/>
      <c r="SBV149" s="60"/>
      <c r="SBW149" s="60"/>
      <c r="SBX149" s="60"/>
      <c r="SBY149" s="60"/>
      <c r="SBZ149" s="60"/>
      <c r="SCA149" s="60"/>
      <c r="SCB149" s="60"/>
      <c r="SCC149" s="60"/>
      <c r="SCD149" s="60"/>
      <c r="SCE149" s="60"/>
      <c r="SCF149" s="60"/>
      <c r="SCG149" s="60"/>
      <c r="SCH149" s="60"/>
      <c r="SCI149" s="60"/>
      <c r="SCJ149" s="60"/>
      <c r="SCK149" s="60"/>
      <c r="SCL149" s="60"/>
      <c r="SCM149" s="60"/>
      <c r="SCN149" s="60"/>
      <c r="SCO149" s="60"/>
      <c r="SCP149" s="60"/>
      <c r="SCQ149" s="60"/>
      <c r="SCR149" s="60"/>
      <c r="SCS149" s="60"/>
      <c r="SCT149" s="60"/>
      <c r="SCU149" s="60"/>
      <c r="SCV149" s="60"/>
      <c r="SCW149" s="60"/>
      <c r="SCX149" s="60"/>
      <c r="SCY149" s="60"/>
      <c r="SCZ149" s="60"/>
      <c r="SDA149" s="60"/>
      <c r="SDB149" s="60"/>
      <c r="SDC149" s="60"/>
      <c r="SDD149" s="60"/>
      <c r="SDE149" s="60"/>
      <c r="SDF149" s="60"/>
      <c r="SDG149" s="60"/>
      <c r="SDH149" s="60"/>
      <c r="SDI149" s="60"/>
      <c r="SDJ149" s="60"/>
      <c r="SDK149" s="60"/>
      <c r="SDL149" s="60"/>
      <c r="SDM149" s="60"/>
      <c r="SDN149" s="60"/>
      <c r="SDO149" s="60"/>
      <c r="SDP149" s="60"/>
      <c r="SDQ149" s="60"/>
      <c r="SDR149" s="60"/>
      <c r="SDS149" s="60"/>
      <c r="SDT149" s="60"/>
      <c r="SDU149" s="60"/>
      <c r="SDV149" s="60"/>
      <c r="SDW149" s="60"/>
      <c r="SDX149" s="60"/>
      <c r="SDY149" s="60"/>
      <c r="SDZ149" s="60"/>
      <c r="SEA149" s="60"/>
      <c r="SEB149" s="60"/>
      <c r="SEC149" s="60"/>
      <c r="SED149" s="60"/>
      <c r="SEE149" s="60"/>
      <c r="SEF149" s="60"/>
      <c r="SEG149" s="60"/>
      <c r="SEH149" s="60"/>
      <c r="SEI149" s="60"/>
      <c r="SEJ149" s="60"/>
      <c r="SEK149" s="60"/>
      <c r="SEL149" s="60"/>
      <c r="SEM149" s="60"/>
      <c r="SEN149" s="60"/>
      <c r="SEO149" s="60"/>
      <c r="SEP149" s="60"/>
      <c r="SEQ149" s="60"/>
      <c r="SER149" s="60"/>
      <c r="SES149" s="60"/>
      <c r="SET149" s="60"/>
      <c r="SEU149" s="60"/>
      <c r="SEV149" s="60"/>
      <c r="SEW149" s="60"/>
      <c r="SEX149" s="60"/>
      <c r="SEY149" s="60"/>
      <c r="SEZ149" s="60"/>
      <c r="SFA149" s="60"/>
      <c r="SFB149" s="60"/>
      <c r="SFC149" s="60"/>
      <c r="SFD149" s="60"/>
      <c r="SFE149" s="60"/>
      <c r="SFF149" s="60"/>
      <c r="SFG149" s="60"/>
      <c r="SFH149" s="60"/>
      <c r="SFI149" s="60"/>
      <c r="SFJ149" s="60"/>
      <c r="SFK149" s="60"/>
      <c r="SFL149" s="60"/>
      <c r="SFM149" s="60"/>
      <c r="SFN149" s="60"/>
      <c r="SFO149" s="60"/>
      <c r="SFP149" s="60"/>
      <c r="SFQ149" s="60"/>
      <c r="SFR149" s="60"/>
      <c r="SFS149" s="60"/>
      <c r="SFT149" s="60"/>
      <c r="SFU149" s="60"/>
      <c r="SFV149" s="60"/>
      <c r="SFW149" s="60"/>
      <c r="SFX149" s="60"/>
      <c r="SFY149" s="60"/>
      <c r="SFZ149" s="60"/>
      <c r="SGA149" s="60"/>
      <c r="SGB149" s="60"/>
      <c r="SGC149" s="60"/>
      <c r="SGD149" s="60"/>
      <c r="SGE149" s="60"/>
      <c r="SGF149" s="60"/>
      <c r="SGG149" s="60"/>
      <c r="SGH149" s="60"/>
      <c r="SGI149" s="60"/>
      <c r="SGJ149" s="60"/>
      <c r="SGK149" s="60"/>
      <c r="SGL149" s="60"/>
      <c r="SGM149" s="60"/>
      <c r="SGN149" s="60"/>
      <c r="SGO149" s="60"/>
      <c r="SGP149" s="60"/>
      <c r="SGQ149" s="60"/>
      <c r="SGR149" s="60"/>
      <c r="SGS149" s="60"/>
      <c r="SGT149" s="60"/>
      <c r="SGU149" s="60"/>
      <c r="SGV149" s="60"/>
      <c r="SGW149" s="60"/>
      <c r="SGX149" s="60"/>
      <c r="SGY149" s="60"/>
      <c r="SGZ149" s="60"/>
      <c r="SHA149" s="60"/>
      <c r="SHB149" s="60"/>
      <c r="SHC149" s="60"/>
      <c r="SHD149" s="60"/>
      <c r="SHE149" s="60"/>
      <c r="SHF149" s="60"/>
      <c r="SHG149" s="60"/>
      <c r="SHH149" s="60"/>
      <c r="SHI149" s="60"/>
      <c r="SHJ149" s="60"/>
      <c r="SHK149" s="60"/>
      <c r="SHL149" s="60"/>
      <c r="SHM149" s="60"/>
      <c r="SHN149" s="60"/>
      <c r="SHO149" s="60"/>
      <c r="SHP149" s="60"/>
      <c r="SHQ149" s="60"/>
      <c r="SHR149" s="60"/>
      <c r="SHS149" s="60"/>
      <c r="SHT149" s="60"/>
      <c r="SHU149" s="60"/>
      <c r="SHV149" s="60"/>
      <c r="SHW149" s="60"/>
      <c r="SHX149" s="60"/>
      <c r="SHY149" s="60"/>
      <c r="SHZ149" s="60"/>
      <c r="SIA149" s="60"/>
      <c r="SIB149" s="60"/>
      <c r="SIC149" s="60"/>
      <c r="SID149" s="60"/>
      <c r="SIE149" s="60"/>
      <c r="SIF149" s="60"/>
      <c r="SIG149" s="60"/>
      <c r="SIH149" s="60"/>
      <c r="SII149" s="60"/>
      <c r="SIJ149" s="60"/>
      <c r="SIK149" s="60"/>
      <c r="SIL149" s="60"/>
      <c r="SIM149" s="60"/>
      <c r="SIN149" s="60"/>
      <c r="SIO149" s="60"/>
      <c r="SIP149" s="60"/>
      <c r="SIQ149" s="60"/>
      <c r="SIR149" s="60"/>
      <c r="SIS149" s="60"/>
      <c r="SIT149" s="60"/>
      <c r="SIU149" s="60"/>
      <c r="SIV149" s="60"/>
      <c r="SIW149" s="60"/>
      <c r="SIX149" s="60"/>
      <c r="SIY149" s="60"/>
      <c r="SIZ149" s="60"/>
      <c r="SJA149" s="60"/>
      <c r="SJB149" s="60"/>
      <c r="SJC149" s="60"/>
      <c r="SJD149" s="60"/>
      <c r="SJE149" s="60"/>
      <c r="SJF149" s="60"/>
      <c r="SJG149" s="60"/>
      <c r="SJH149" s="60"/>
      <c r="SJI149" s="60"/>
      <c r="SJJ149" s="60"/>
      <c r="SJK149" s="60"/>
      <c r="SJL149" s="60"/>
      <c r="SJM149" s="60"/>
      <c r="SJN149" s="60"/>
      <c r="SJO149" s="60"/>
      <c r="SJP149" s="60"/>
      <c r="SJQ149" s="60"/>
      <c r="SJR149" s="60"/>
      <c r="SJS149" s="60"/>
      <c r="SJT149" s="60"/>
      <c r="SJU149" s="60"/>
      <c r="SJV149" s="60"/>
      <c r="SJW149" s="60"/>
      <c r="SJX149" s="60"/>
      <c r="SJY149" s="60"/>
      <c r="SJZ149" s="60"/>
      <c r="SKA149" s="60"/>
      <c r="SKB149" s="60"/>
      <c r="SKC149" s="60"/>
      <c r="SKD149" s="60"/>
      <c r="SKE149" s="60"/>
      <c r="SKF149" s="60"/>
      <c r="SKG149" s="60"/>
      <c r="SKH149" s="60"/>
      <c r="SKI149" s="60"/>
      <c r="SKJ149" s="60"/>
      <c r="SKK149" s="60"/>
      <c r="SKL149" s="60"/>
      <c r="SKM149" s="60"/>
      <c r="SKN149" s="60"/>
      <c r="SKO149" s="60"/>
      <c r="SKP149" s="60"/>
      <c r="SKQ149" s="60"/>
      <c r="SKR149" s="60"/>
      <c r="SKS149" s="60"/>
      <c r="SKT149" s="60"/>
      <c r="SKU149" s="60"/>
      <c r="SKV149" s="60"/>
      <c r="SKW149" s="60"/>
      <c r="SKX149" s="60"/>
      <c r="SKY149" s="60"/>
      <c r="SKZ149" s="60"/>
      <c r="SLA149" s="60"/>
      <c r="SLB149" s="60"/>
      <c r="SLC149" s="60"/>
      <c r="SLD149" s="60"/>
      <c r="SLE149" s="60"/>
      <c r="SLF149" s="60"/>
      <c r="SLG149" s="60"/>
      <c r="SLH149" s="60"/>
      <c r="SLI149" s="60"/>
      <c r="SLJ149" s="60"/>
      <c r="SLK149" s="60"/>
      <c r="SLL149" s="60"/>
      <c r="SLM149" s="60"/>
      <c r="SLN149" s="60"/>
      <c r="SLO149" s="60"/>
      <c r="SLP149" s="60"/>
      <c r="SLQ149" s="60"/>
      <c r="SLR149" s="60"/>
      <c r="SLS149" s="60"/>
      <c r="SLT149" s="60"/>
      <c r="SLU149" s="60"/>
      <c r="SLV149" s="60"/>
      <c r="SLW149" s="60"/>
      <c r="SLX149" s="60"/>
      <c r="SLY149" s="60"/>
      <c r="SLZ149" s="60"/>
      <c r="SMA149" s="60"/>
      <c r="SMB149" s="60"/>
      <c r="SMC149" s="60"/>
      <c r="SMD149" s="60"/>
      <c r="SME149" s="60"/>
      <c r="SMF149" s="60"/>
      <c r="SMG149" s="60"/>
      <c r="SMH149" s="60"/>
      <c r="SMI149" s="60"/>
      <c r="SMJ149" s="60"/>
      <c r="SMK149" s="60"/>
      <c r="SML149" s="60"/>
      <c r="SMM149" s="60"/>
      <c r="SMN149" s="60"/>
      <c r="SMO149" s="60"/>
      <c r="SMP149" s="60"/>
      <c r="SMQ149" s="60"/>
      <c r="SMR149" s="60"/>
      <c r="SMS149" s="60"/>
      <c r="SMT149" s="60"/>
      <c r="SMU149" s="60"/>
      <c r="SMV149" s="60"/>
      <c r="SMW149" s="60"/>
      <c r="SMX149" s="60"/>
      <c r="SMY149" s="60"/>
      <c r="SMZ149" s="60"/>
      <c r="SNA149" s="60"/>
      <c r="SNB149" s="60"/>
      <c r="SNC149" s="60"/>
      <c r="SND149" s="60"/>
      <c r="SNE149" s="60"/>
      <c r="SNF149" s="60"/>
      <c r="SNG149" s="60"/>
      <c r="SNH149" s="60"/>
      <c r="SNI149" s="60"/>
      <c r="SNJ149" s="60"/>
      <c r="SNK149" s="60"/>
      <c r="SNL149" s="60"/>
      <c r="SNM149" s="60"/>
      <c r="SNN149" s="60"/>
      <c r="SNO149" s="60"/>
      <c r="SNP149" s="60"/>
      <c r="SNQ149" s="60"/>
      <c r="SNR149" s="60"/>
      <c r="SNS149" s="60"/>
      <c r="SNT149" s="60"/>
      <c r="SNU149" s="60"/>
      <c r="SNV149" s="60"/>
      <c r="SNW149" s="60"/>
      <c r="SNX149" s="60"/>
      <c r="SNY149" s="60"/>
      <c r="SNZ149" s="60"/>
      <c r="SOA149" s="60"/>
      <c r="SOB149" s="60"/>
      <c r="SOC149" s="60"/>
      <c r="SOD149" s="60"/>
      <c r="SOE149" s="60"/>
      <c r="SOF149" s="60"/>
      <c r="SOG149" s="60"/>
      <c r="SOH149" s="60"/>
      <c r="SOI149" s="60"/>
      <c r="SOJ149" s="60"/>
      <c r="SOK149" s="60"/>
      <c r="SOL149" s="60"/>
      <c r="SOM149" s="60"/>
      <c r="SON149" s="60"/>
      <c r="SOO149" s="60"/>
      <c r="SOP149" s="60"/>
      <c r="SOQ149" s="60"/>
      <c r="SOR149" s="60"/>
      <c r="SOS149" s="60"/>
      <c r="SOT149" s="60"/>
      <c r="SOU149" s="60"/>
      <c r="SOV149" s="60"/>
      <c r="SOW149" s="60"/>
      <c r="SOX149" s="60"/>
      <c r="SOY149" s="60"/>
      <c r="SOZ149" s="60"/>
      <c r="SPA149" s="60"/>
      <c r="SPB149" s="60"/>
      <c r="SPC149" s="60"/>
      <c r="SPD149" s="60"/>
      <c r="SPE149" s="60"/>
      <c r="SPF149" s="60"/>
      <c r="SPG149" s="60"/>
      <c r="SPH149" s="60"/>
      <c r="SPI149" s="60"/>
      <c r="SPJ149" s="60"/>
      <c r="SPK149" s="60"/>
      <c r="SPL149" s="60"/>
      <c r="SPM149" s="60"/>
      <c r="SPN149" s="60"/>
      <c r="SPO149" s="60"/>
      <c r="SPP149" s="60"/>
      <c r="SPQ149" s="60"/>
      <c r="SPR149" s="60"/>
      <c r="SPS149" s="60"/>
      <c r="SPT149" s="60"/>
      <c r="SPU149" s="60"/>
      <c r="SPV149" s="60"/>
      <c r="SPW149" s="60"/>
      <c r="SPX149" s="60"/>
      <c r="SPY149" s="60"/>
      <c r="SPZ149" s="60"/>
      <c r="SQA149" s="60"/>
      <c r="SQB149" s="60"/>
      <c r="SQC149" s="60"/>
      <c r="SQD149" s="60"/>
      <c r="SQE149" s="60"/>
      <c r="SQF149" s="60"/>
      <c r="SQG149" s="60"/>
      <c r="SQH149" s="60"/>
      <c r="SQI149" s="60"/>
      <c r="SQJ149" s="60"/>
      <c r="SQK149" s="60"/>
      <c r="SQL149" s="60"/>
      <c r="SQM149" s="60"/>
      <c r="SQN149" s="60"/>
      <c r="SQO149" s="60"/>
      <c r="SQP149" s="60"/>
      <c r="SQQ149" s="60"/>
      <c r="SQR149" s="60"/>
      <c r="SQS149" s="60"/>
      <c r="SQT149" s="60"/>
      <c r="SQU149" s="60"/>
      <c r="SQV149" s="60"/>
      <c r="SQW149" s="60"/>
      <c r="SQX149" s="60"/>
      <c r="SQY149" s="60"/>
      <c r="SQZ149" s="60"/>
      <c r="SRA149" s="60"/>
      <c r="SRB149" s="60"/>
      <c r="SRC149" s="60"/>
      <c r="SRD149" s="60"/>
      <c r="SRE149" s="60"/>
      <c r="SRF149" s="60"/>
      <c r="SRG149" s="60"/>
      <c r="SRH149" s="60"/>
      <c r="SRI149" s="60"/>
      <c r="SRJ149" s="60"/>
      <c r="SRK149" s="60"/>
      <c r="SRL149" s="60"/>
      <c r="SRM149" s="60"/>
      <c r="SRN149" s="60"/>
      <c r="SRO149" s="60"/>
      <c r="SRP149" s="60"/>
      <c r="SRQ149" s="60"/>
      <c r="SRR149" s="60"/>
      <c r="SRS149" s="60"/>
      <c r="SRT149" s="60"/>
      <c r="SRU149" s="60"/>
      <c r="SRV149" s="60"/>
      <c r="SRW149" s="60"/>
      <c r="SRX149" s="60"/>
      <c r="SRY149" s="60"/>
      <c r="SRZ149" s="60"/>
      <c r="SSA149" s="60"/>
      <c r="SSB149" s="60"/>
      <c r="SSC149" s="60"/>
      <c r="SSD149" s="60"/>
      <c r="SSE149" s="60"/>
      <c r="SSF149" s="60"/>
      <c r="SSG149" s="60"/>
      <c r="SSH149" s="60"/>
      <c r="SSI149" s="60"/>
      <c r="SSJ149" s="60"/>
      <c r="SSK149" s="60"/>
      <c r="SSL149" s="60"/>
      <c r="SSM149" s="60"/>
      <c r="SSN149" s="60"/>
      <c r="SSO149" s="60"/>
      <c r="SSP149" s="60"/>
      <c r="SSQ149" s="60"/>
      <c r="SSR149" s="60"/>
      <c r="SSS149" s="60"/>
      <c r="SST149" s="60"/>
      <c r="SSU149" s="60"/>
      <c r="SSV149" s="60"/>
      <c r="SSW149" s="60"/>
      <c r="SSX149" s="60"/>
      <c r="SSY149" s="60"/>
      <c r="SSZ149" s="60"/>
      <c r="STA149" s="60"/>
      <c r="STB149" s="60"/>
      <c r="STC149" s="60"/>
      <c r="STD149" s="60"/>
      <c r="STE149" s="60"/>
      <c r="STF149" s="60"/>
      <c r="STG149" s="60"/>
      <c r="STH149" s="60"/>
      <c r="STI149" s="60"/>
      <c r="STJ149" s="60"/>
      <c r="STK149" s="60"/>
      <c r="STL149" s="60"/>
      <c r="STM149" s="60"/>
      <c r="STN149" s="60"/>
      <c r="STO149" s="60"/>
      <c r="STP149" s="60"/>
      <c r="STQ149" s="60"/>
      <c r="STR149" s="60"/>
      <c r="STS149" s="60"/>
      <c r="STT149" s="60"/>
      <c r="STU149" s="60"/>
      <c r="STV149" s="60"/>
      <c r="STW149" s="60"/>
      <c r="STX149" s="60"/>
      <c r="STY149" s="60"/>
      <c r="STZ149" s="60"/>
      <c r="SUA149" s="60"/>
      <c r="SUB149" s="60"/>
      <c r="SUC149" s="60"/>
      <c r="SUD149" s="60"/>
      <c r="SUE149" s="60"/>
      <c r="SUF149" s="60"/>
      <c r="SUG149" s="60"/>
      <c r="SUH149" s="60"/>
      <c r="SUI149" s="60"/>
      <c r="SUJ149" s="60"/>
      <c r="SUK149" s="60"/>
      <c r="SUL149" s="60"/>
      <c r="SUM149" s="60"/>
      <c r="SUN149" s="60"/>
      <c r="SUO149" s="60"/>
      <c r="SUP149" s="60"/>
      <c r="SUQ149" s="60"/>
      <c r="SUR149" s="60"/>
      <c r="SUS149" s="60"/>
      <c r="SUT149" s="60"/>
      <c r="SUU149" s="60"/>
      <c r="SUV149" s="60"/>
      <c r="SUW149" s="60"/>
      <c r="SUX149" s="60"/>
      <c r="SUY149" s="60"/>
      <c r="SUZ149" s="60"/>
      <c r="SVA149" s="60"/>
      <c r="SVB149" s="60"/>
      <c r="SVC149" s="60"/>
      <c r="SVD149" s="60"/>
      <c r="SVE149" s="60"/>
      <c r="SVF149" s="60"/>
      <c r="SVG149" s="60"/>
      <c r="SVH149" s="60"/>
      <c r="SVI149" s="60"/>
      <c r="SVJ149" s="60"/>
      <c r="SVK149" s="60"/>
      <c r="SVL149" s="60"/>
      <c r="SVM149" s="60"/>
      <c r="SVN149" s="60"/>
      <c r="SVO149" s="60"/>
      <c r="SVP149" s="60"/>
      <c r="SVQ149" s="60"/>
      <c r="SVR149" s="60"/>
      <c r="SVS149" s="60"/>
      <c r="SVT149" s="60"/>
      <c r="SVU149" s="60"/>
      <c r="SVV149" s="60"/>
      <c r="SVW149" s="60"/>
      <c r="SVX149" s="60"/>
      <c r="SVY149" s="60"/>
      <c r="SVZ149" s="60"/>
      <c r="SWA149" s="60"/>
      <c r="SWB149" s="60"/>
      <c r="SWC149" s="60"/>
      <c r="SWD149" s="60"/>
      <c r="SWE149" s="60"/>
      <c r="SWF149" s="60"/>
      <c r="SWG149" s="60"/>
      <c r="SWH149" s="60"/>
      <c r="SWI149" s="60"/>
      <c r="SWJ149" s="60"/>
      <c r="SWK149" s="60"/>
      <c r="SWL149" s="60"/>
      <c r="SWM149" s="60"/>
      <c r="SWN149" s="60"/>
      <c r="SWO149" s="60"/>
      <c r="SWP149" s="60"/>
      <c r="SWQ149" s="60"/>
      <c r="SWR149" s="60"/>
      <c r="SWS149" s="60"/>
      <c r="SWT149" s="60"/>
      <c r="SWU149" s="60"/>
      <c r="SWV149" s="60"/>
      <c r="SWW149" s="60"/>
      <c r="SWX149" s="60"/>
      <c r="SWY149" s="60"/>
      <c r="SWZ149" s="60"/>
      <c r="SXA149" s="60"/>
      <c r="SXB149" s="60"/>
      <c r="SXC149" s="60"/>
      <c r="SXD149" s="60"/>
      <c r="SXE149" s="60"/>
      <c r="SXF149" s="60"/>
      <c r="SXG149" s="60"/>
      <c r="SXH149" s="60"/>
      <c r="SXI149" s="60"/>
      <c r="SXJ149" s="60"/>
      <c r="SXK149" s="60"/>
      <c r="SXL149" s="60"/>
      <c r="SXM149" s="60"/>
      <c r="SXN149" s="60"/>
      <c r="SXO149" s="60"/>
      <c r="SXP149" s="60"/>
      <c r="SXQ149" s="60"/>
      <c r="SXR149" s="60"/>
      <c r="SXS149" s="60"/>
      <c r="SXT149" s="60"/>
      <c r="SXU149" s="60"/>
      <c r="SXV149" s="60"/>
      <c r="SXW149" s="60"/>
      <c r="SXX149" s="60"/>
      <c r="SXY149" s="60"/>
      <c r="SXZ149" s="60"/>
      <c r="SYA149" s="60"/>
      <c r="SYB149" s="60"/>
      <c r="SYC149" s="60"/>
      <c r="SYD149" s="60"/>
      <c r="SYE149" s="60"/>
      <c r="SYF149" s="60"/>
      <c r="SYG149" s="60"/>
      <c r="SYH149" s="60"/>
      <c r="SYI149" s="60"/>
      <c r="SYJ149" s="60"/>
      <c r="SYK149" s="60"/>
      <c r="SYL149" s="60"/>
      <c r="SYM149" s="60"/>
      <c r="SYN149" s="60"/>
      <c r="SYO149" s="60"/>
      <c r="SYP149" s="60"/>
      <c r="SYQ149" s="60"/>
      <c r="SYR149" s="60"/>
      <c r="SYS149" s="60"/>
      <c r="SYT149" s="60"/>
      <c r="SYU149" s="60"/>
      <c r="SYV149" s="60"/>
      <c r="SYW149" s="60"/>
      <c r="SYX149" s="60"/>
      <c r="SYY149" s="60"/>
      <c r="SYZ149" s="60"/>
      <c r="SZA149" s="60"/>
      <c r="SZB149" s="60"/>
      <c r="SZC149" s="60"/>
      <c r="SZD149" s="60"/>
      <c r="SZE149" s="60"/>
      <c r="SZF149" s="60"/>
      <c r="SZG149" s="60"/>
      <c r="SZH149" s="60"/>
      <c r="SZI149" s="60"/>
      <c r="SZJ149" s="60"/>
      <c r="SZK149" s="60"/>
      <c r="SZL149" s="60"/>
      <c r="SZM149" s="60"/>
      <c r="SZN149" s="60"/>
      <c r="SZO149" s="60"/>
      <c r="SZP149" s="60"/>
      <c r="SZQ149" s="60"/>
      <c r="SZR149" s="60"/>
      <c r="SZS149" s="60"/>
      <c r="SZT149" s="60"/>
      <c r="SZU149" s="60"/>
      <c r="SZV149" s="60"/>
      <c r="SZW149" s="60"/>
      <c r="SZX149" s="60"/>
      <c r="SZY149" s="60"/>
      <c r="SZZ149" s="60"/>
      <c r="TAA149" s="60"/>
      <c r="TAB149" s="60"/>
      <c r="TAC149" s="60"/>
      <c r="TAD149" s="60"/>
      <c r="TAE149" s="60"/>
      <c r="TAF149" s="60"/>
      <c r="TAG149" s="60"/>
      <c r="TAH149" s="60"/>
      <c r="TAI149" s="60"/>
      <c r="TAJ149" s="60"/>
      <c r="TAK149" s="60"/>
      <c r="TAL149" s="60"/>
      <c r="TAM149" s="60"/>
      <c r="TAN149" s="60"/>
      <c r="TAO149" s="60"/>
      <c r="TAP149" s="60"/>
      <c r="TAQ149" s="60"/>
      <c r="TAR149" s="60"/>
      <c r="TAS149" s="60"/>
      <c r="TAT149" s="60"/>
      <c r="TAU149" s="60"/>
      <c r="TAV149" s="60"/>
      <c r="TAW149" s="60"/>
      <c r="TAX149" s="60"/>
      <c r="TAY149" s="60"/>
      <c r="TAZ149" s="60"/>
      <c r="TBA149" s="60"/>
      <c r="TBB149" s="60"/>
      <c r="TBC149" s="60"/>
      <c r="TBD149" s="60"/>
      <c r="TBE149" s="60"/>
      <c r="TBF149" s="60"/>
      <c r="TBG149" s="60"/>
      <c r="TBH149" s="60"/>
      <c r="TBI149" s="60"/>
      <c r="TBJ149" s="60"/>
      <c r="TBK149" s="60"/>
      <c r="TBL149" s="60"/>
      <c r="TBM149" s="60"/>
      <c r="TBN149" s="60"/>
      <c r="TBO149" s="60"/>
      <c r="TBP149" s="60"/>
      <c r="TBQ149" s="60"/>
      <c r="TBR149" s="60"/>
      <c r="TBS149" s="60"/>
      <c r="TBT149" s="60"/>
      <c r="TBU149" s="60"/>
      <c r="TBV149" s="60"/>
      <c r="TBW149" s="60"/>
      <c r="TBX149" s="60"/>
      <c r="TBY149" s="60"/>
      <c r="TBZ149" s="60"/>
      <c r="TCA149" s="60"/>
      <c r="TCB149" s="60"/>
      <c r="TCC149" s="60"/>
      <c r="TCD149" s="60"/>
      <c r="TCE149" s="60"/>
      <c r="TCF149" s="60"/>
      <c r="TCG149" s="60"/>
      <c r="TCH149" s="60"/>
      <c r="TCI149" s="60"/>
      <c r="TCJ149" s="60"/>
      <c r="TCK149" s="60"/>
      <c r="TCL149" s="60"/>
      <c r="TCM149" s="60"/>
      <c r="TCN149" s="60"/>
      <c r="TCO149" s="60"/>
      <c r="TCP149" s="60"/>
      <c r="TCQ149" s="60"/>
      <c r="TCR149" s="60"/>
      <c r="TCS149" s="60"/>
      <c r="TCT149" s="60"/>
      <c r="TCU149" s="60"/>
      <c r="TCV149" s="60"/>
      <c r="TCW149" s="60"/>
      <c r="TCX149" s="60"/>
      <c r="TCY149" s="60"/>
      <c r="TCZ149" s="60"/>
      <c r="TDA149" s="60"/>
      <c r="TDB149" s="60"/>
      <c r="TDC149" s="60"/>
      <c r="TDD149" s="60"/>
      <c r="TDE149" s="60"/>
      <c r="TDF149" s="60"/>
      <c r="TDG149" s="60"/>
      <c r="TDH149" s="60"/>
      <c r="TDI149" s="60"/>
      <c r="TDJ149" s="60"/>
      <c r="TDK149" s="60"/>
      <c r="TDL149" s="60"/>
      <c r="TDM149" s="60"/>
      <c r="TDN149" s="60"/>
      <c r="TDO149" s="60"/>
      <c r="TDP149" s="60"/>
      <c r="TDQ149" s="60"/>
      <c r="TDR149" s="60"/>
      <c r="TDS149" s="60"/>
      <c r="TDT149" s="60"/>
      <c r="TDU149" s="60"/>
      <c r="TDV149" s="60"/>
      <c r="TDW149" s="60"/>
      <c r="TDX149" s="60"/>
      <c r="TDY149" s="60"/>
      <c r="TDZ149" s="60"/>
      <c r="TEA149" s="60"/>
      <c r="TEB149" s="60"/>
      <c r="TEC149" s="60"/>
      <c r="TED149" s="60"/>
      <c r="TEE149" s="60"/>
      <c r="TEF149" s="60"/>
      <c r="TEG149" s="60"/>
      <c r="TEH149" s="60"/>
      <c r="TEI149" s="60"/>
      <c r="TEJ149" s="60"/>
      <c r="TEK149" s="60"/>
      <c r="TEL149" s="60"/>
      <c r="TEM149" s="60"/>
      <c r="TEN149" s="60"/>
      <c r="TEO149" s="60"/>
      <c r="TEP149" s="60"/>
      <c r="TEQ149" s="60"/>
      <c r="TER149" s="60"/>
      <c r="TES149" s="60"/>
      <c r="TET149" s="60"/>
      <c r="TEU149" s="60"/>
      <c r="TEV149" s="60"/>
      <c r="TEW149" s="60"/>
      <c r="TEX149" s="60"/>
      <c r="TEY149" s="60"/>
      <c r="TEZ149" s="60"/>
      <c r="TFA149" s="60"/>
      <c r="TFB149" s="60"/>
      <c r="TFC149" s="60"/>
      <c r="TFD149" s="60"/>
      <c r="TFE149" s="60"/>
      <c r="TFF149" s="60"/>
      <c r="TFG149" s="60"/>
      <c r="TFH149" s="60"/>
      <c r="TFI149" s="60"/>
      <c r="TFJ149" s="60"/>
      <c r="TFK149" s="60"/>
      <c r="TFL149" s="60"/>
      <c r="TFM149" s="60"/>
      <c r="TFN149" s="60"/>
      <c r="TFO149" s="60"/>
      <c r="TFP149" s="60"/>
      <c r="TFQ149" s="60"/>
      <c r="TFR149" s="60"/>
      <c r="TFS149" s="60"/>
      <c r="TFT149" s="60"/>
      <c r="TFU149" s="60"/>
      <c r="TFV149" s="60"/>
      <c r="TFW149" s="60"/>
      <c r="TFX149" s="60"/>
      <c r="TFY149" s="60"/>
      <c r="TFZ149" s="60"/>
      <c r="TGA149" s="60"/>
      <c r="TGB149" s="60"/>
      <c r="TGC149" s="60"/>
      <c r="TGD149" s="60"/>
      <c r="TGE149" s="60"/>
      <c r="TGF149" s="60"/>
      <c r="TGG149" s="60"/>
      <c r="TGH149" s="60"/>
      <c r="TGI149" s="60"/>
      <c r="TGJ149" s="60"/>
      <c r="TGK149" s="60"/>
      <c r="TGL149" s="60"/>
      <c r="TGM149" s="60"/>
      <c r="TGN149" s="60"/>
      <c r="TGO149" s="60"/>
      <c r="TGP149" s="60"/>
      <c r="TGQ149" s="60"/>
      <c r="TGR149" s="60"/>
      <c r="TGS149" s="60"/>
      <c r="TGT149" s="60"/>
      <c r="TGU149" s="60"/>
      <c r="TGV149" s="60"/>
      <c r="TGW149" s="60"/>
      <c r="TGX149" s="60"/>
      <c r="TGY149" s="60"/>
      <c r="TGZ149" s="60"/>
      <c r="THA149" s="60"/>
      <c r="THB149" s="60"/>
      <c r="THC149" s="60"/>
      <c r="THD149" s="60"/>
      <c r="THE149" s="60"/>
      <c r="THF149" s="60"/>
      <c r="THG149" s="60"/>
      <c r="THH149" s="60"/>
      <c r="THI149" s="60"/>
      <c r="THJ149" s="60"/>
      <c r="THK149" s="60"/>
      <c r="THL149" s="60"/>
      <c r="THM149" s="60"/>
      <c r="THN149" s="60"/>
      <c r="THO149" s="60"/>
      <c r="THP149" s="60"/>
      <c r="THQ149" s="60"/>
      <c r="THR149" s="60"/>
      <c r="THS149" s="60"/>
      <c r="THT149" s="60"/>
      <c r="THU149" s="60"/>
      <c r="THV149" s="60"/>
      <c r="THW149" s="60"/>
      <c r="THX149" s="60"/>
      <c r="THY149" s="60"/>
      <c r="THZ149" s="60"/>
      <c r="TIA149" s="60"/>
      <c r="TIB149" s="60"/>
      <c r="TIC149" s="60"/>
      <c r="TID149" s="60"/>
      <c r="TIE149" s="60"/>
      <c r="TIF149" s="60"/>
      <c r="TIG149" s="60"/>
      <c r="TIH149" s="60"/>
      <c r="TII149" s="60"/>
      <c r="TIJ149" s="60"/>
      <c r="TIK149" s="60"/>
      <c r="TIL149" s="60"/>
      <c r="TIM149" s="60"/>
      <c r="TIN149" s="60"/>
      <c r="TIO149" s="60"/>
      <c r="TIP149" s="60"/>
      <c r="TIQ149" s="60"/>
      <c r="TIR149" s="60"/>
      <c r="TIS149" s="60"/>
      <c r="TIT149" s="60"/>
      <c r="TIU149" s="60"/>
      <c r="TIV149" s="60"/>
      <c r="TIW149" s="60"/>
      <c r="TIX149" s="60"/>
      <c r="TIY149" s="60"/>
      <c r="TIZ149" s="60"/>
      <c r="TJA149" s="60"/>
      <c r="TJB149" s="60"/>
      <c r="TJC149" s="60"/>
      <c r="TJD149" s="60"/>
      <c r="TJE149" s="60"/>
      <c r="TJF149" s="60"/>
      <c r="TJG149" s="60"/>
      <c r="TJH149" s="60"/>
      <c r="TJI149" s="60"/>
      <c r="TJJ149" s="60"/>
      <c r="TJK149" s="60"/>
      <c r="TJL149" s="60"/>
      <c r="TJM149" s="60"/>
      <c r="TJN149" s="60"/>
      <c r="TJO149" s="60"/>
      <c r="TJP149" s="60"/>
      <c r="TJQ149" s="60"/>
      <c r="TJR149" s="60"/>
      <c r="TJS149" s="60"/>
      <c r="TJT149" s="60"/>
      <c r="TJU149" s="60"/>
      <c r="TJV149" s="60"/>
      <c r="TJW149" s="60"/>
      <c r="TJX149" s="60"/>
      <c r="TJY149" s="60"/>
      <c r="TJZ149" s="60"/>
      <c r="TKA149" s="60"/>
      <c r="TKB149" s="60"/>
      <c r="TKC149" s="60"/>
      <c r="TKD149" s="60"/>
      <c r="TKE149" s="60"/>
      <c r="TKF149" s="60"/>
      <c r="TKG149" s="60"/>
      <c r="TKH149" s="60"/>
      <c r="TKI149" s="60"/>
      <c r="TKJ149" s="60"/>
      <c r="TKK149" s="60"/>
      <c r="TKL149" s="60"/>
      <c r="TKM149" s="60"/>
      <c r="TKN149" s="60"/>
      <c r="TKO149" s="60"/>
      <c r="TKP149" s="60"/>
      <c r="TKQ149" s="60"/>
      <c r="TKR149" s="60"/>
      <c r="TKS149" s="60"/>
      <c r="TKT149" s="60"/>
      <c r="TKU149" s="60"/>
      <c r="TKV149" s="60"/>
      <c r="TKW149" s="60"/>
      <c r="TKX149" s="60"/>
      <c r="TKY149" s="60"/>
      <c r="TKZ149" s="60"/>
      <c r="TLA149" s="60"/>
      <c r="TLB149" s="60"/>
      <c r="TLC149" s="60"/>
      <c r="TLD149" s="60"/>
      <c r="TLE149" s="60"/>
      <c r="TLF149" s="60"/>
      <c r="TLG149" s="60"/>
      <c r="TLH149" s="60"/>
      <c r="TLI149" s="60"/>
      <c r="TLJ149" s="60"/>
      <c r="TLK149" s="60"/>
      <c r="TLL149" s="60"/>
      <c r="TLM149" s="60"/>
      <c r="TLN149" s="60"/>
      <c r="TLO149" s="60"/>
      <c r="TLP149" s="60"/>
      <c r="TLQ149" s="60"/>
      <c r="TLR149" s="60"/>
      <c r="TLS149" s="60"/>
      <c r="TLT149" s="60"/>
      <c r="TLU149" s="60"/>
      <c r="TLV149" s="60"/>
      <c r="TLW149" s="60"/>
      <c r="TLX149" s="60"/>
      <c r="TLY149" s="60"/>
      <c r="TLZ149" s="60"/>
      <c r="TMA149" s="60"/>
      <c r="TMB149" s="60"/>
      <c r="TMC149" s="60"/>
      <c r="TMD149" s="60"/>
      <c r="TME149" s="60"/>
      <c r="TMF149" s="60"/>
      <c r="TMG149" s="60"/>
      <c r="TMH149" s="60"/>
      <c r="TMI149" s="60"/>
      <c r="TMJ149" s="60"/>
      <c r="TMK149" s="60"/>
      <c r="TML149" s="60"/>
      <c r="TMM149" s="60"/>
      <c r="TMN149" s="60"/>
      <c r="TMO149" s="60"/>
      <c r="TMP149" s="60"/>
      <c r="TMQ149" s="60"/>
      <c r="TMR149" s="60"/>
      <c r="TMS149" s="60"/>
      <c r="TMT149" s="60"/>
      <c r="TMU149" s="60"/>
      <c r="TMV149" s="60"/>
      <c r="TMW149" s="60"/>
      <c r="TMX149" s="60"/>
      <c r="TMY149" s="60"/>
      <c r="TMZ149" s="60"/>
      <c r="TNA149" s="60"/>
      <c r="TNB149" s="60"/>
      <c r="TNC149" s="60"/>
      <c r="TND149" s="60"/>
      <c r="TNE149" s="60"/>
      <c r="TNF149" s="60"/>
      <c r="TNG149" s="60"/>
      <c r="TNH149" s="60"/>
      <c r="TNI149" s="60"/>
      <c r="TNJ149" s="60"/>
      <c r="TNK149" s="60"/>
      <c r="TNL149" s="60"/>
      <c r="TNM149" s="60"/>
      <c r="TNN149" s="60"/>
      <c r="TNO149" s="60"/>
      <c r="TNP149" s="60"/>
      <c r="TNQ149" s="60"/>
      <c r="TNR149" s="60"/>
      <c r="TNS149" s="60"/>
      <c r="TNT149" s="60"/>
      <c r="TNU149" s="60"/>
      <c r="TNV149" s="60"/>
      <c r="TNW149" s="60"/>
      <c r="TNX149" s="60"/>
      <c r="TNY149" s="60"/>
      <c r="TNZ149" s="60"/>
      <c r="TOA149" s="60"/>
      <c r="TOB149" s="60"/>
      <c r="TOC149" s="60"/>
      <c r="TOD149" s="60"/>
      <c r="TOE149" s="60"/>
      <c r="TOF149" s="60"/>
      <c r="TOG149" s="60"/>
      <c r="TOH149" s="60"/>
      <c r="TOI149" s="60"/>
      <c r="TOJ149" s="60"/>
      <c r="TOK149" s="60"/>
      <c r="TOL149" s="60"/>
      <c r="TOM149" s="60"/>
      <c r="TON149" s="60"/>
      <c r="TOO149" s="60"/>
      <c r="TOP149" s="60"/>
      <c r="TOQ149" s="60"/>
      <c r="TOR149" s="60"/>
      <c r="TOS149" s="60"/>
      <c r="TOT149" s="60"/>
      <c r="TOU149" s="60"/>
      <c r="TOV149" s="60"/>
      <c r="TOW149" s="60"/>
      <c r="TOX149" s="60"/>
      <c r="TOY149" s="60"/>
      <c r="TOZ149" s="60"/>
      <c r="TPA149" s="60"/>
      <c r="TPB149" s="60"/>
      <c r="TPC149" s="60"/>
      <c r="TPD149" s="60"/>
      <c r="TPE149" s="60"/>
      <c r="TPF149" s="60"/>
      <c r="TPG149" s="60"/>
      <c r="TPH149" s="60"/>
      <c r="TPI149" s="60"/>
      <c r="TPJ149" s="60"/>
      <c r="TPK149" s="60"/>
      <c r="TPL149" s="60"/>
      <c r="TPM149" s="60"/>
      <c r="TPN149" s="60"/>
      <c r="TPO149" s="60"/>
      <c r="TPP149" s="60"/>
      <c r="TPQ149" s="60"/>
      <c r="TPR149" s="60"/>
      <c r="TPS149" s="60"/>
      <c r="TPT149" s="60"/>
      <c r="TPU149" s="60"/>
      <c r="TPV149" s="60"/>
      <c r="TPW149" s="60"/>
      <c r="TPX149" s="60"/>
      <c r="TPY149" s="60"/>
      <c r="TPZ149" s="60"/>
      <c r="TQA149" s="60"/>
      <c r="TQB149" s="60"/>
      <c r="TQC149" s="60"/>
      <c r="TQD149" s="60"/>
      <c r="TQE149" s="60"/>
      <c r="TQF149" s="60"/>
      <c r="TQG149" s="60"/>
      <c r="TQH149" s="60"/>
      <c r="TQI149" s="60"/>
      <c r="TQJ149" s="60"/>
      <c r="TQK149" s="60"/>
      <c r="TQL149" s="60"/>
      <c r="TQM149" s="60"/>
      <c r="TQN149" s="60"/>
      <c r="TQO149" s="60"/>
      <c r="TQP149" s="60"/>
      <c r="TQQ149" s="60"/>
      <c r="TQR149" s="60"/>
      <c r="TQS149" s="60"/>
      <c r="TQT149" s="60"/>
      <c r="TQU149" s="60"/>
      <c r="TQV149" s="60"/>
      <c r="TQW149" s="60"/>
      <c r="TQX149" s="60"/>
      <c r="TQY149" s="60"/>
      <c r="TQZ149" s="60"/>
      <c r="TRA149" s="60"/>
      <c r="TRB149" s="60"/>
      <c r="TRC149" s="60"/>
      <c r="TRD149" s="60"/>
      <c r="TRE149" s="60"/>
      <c r="TRF149" s="60"/>
      <c r="TRG149" s="60"/>
      <c r="TRH149" s="60"/>
      <c r="TRI149" s="60"/>
      <c r="TRJ149" s="60"/>
      <c r="TRK149" s="60"/>
      <c r="TRL149" s="60"/>
      <c r="TRM149" s="60"/>
      <c r="TRN149" s="60"/>
      <c r="TRO149" s="60"/>
      <c r="TRP149" s="60"/>
      <c r="TRQ149" s="60"/>
      <c r="TRR149" s="60"/>
      <c r="TRS149" s="60"/>
      <c r="TRT149" s="60"/>
      <c r="TRU149" s="60"/>
      <c r="TRV149" s="60"/>
      <c r="TRW149" s="60"/>
      <c r="TRX149" s="60"/>
      <c r="TRY149" s="60"/>
      <c r="TRZ149" s="60"/>
      <c r="TSA149" s="60"/>
      <c r="TSB149" s="60"/>
      <c r="TSC149" s="60"/>
      <c r="TSD149" s="60"/>
      <c r="TSE149" s="60"/>
      <c r="TSF149" s="60"/>
      <c r="TSG149" s="60"/>
      <c r="TSH149" s="60"/>
      <c r="TSI149" s="60"/>
      <c r="TSJ149" s="60"/>
      <c r="TSK149" s="60"/>
      <c r="TSL149" s="60"/>
      <c r="TSM149" s="60"/>
      <c r="TSN149" s="60"/>
      <c r="TSO149" s="60"/>
      <c r="TSP149" s="60"/>
      <c r="TSQ149" s="60"/>
      <c r="TSR149" s="60"/>
      <c r="TSS149" s="60"/>
      <c r="TST149" s="60"/>
      <c r="TSU149" s="60"/>
      <c r="TSV149" s="60"/>
      <c r="TSW149" s="60"/>
      <c r="TSX149" s="60"/>
      <c r="TSY149" s="60"/>
      <c r="TSZ149" s="60"/>
      <c r="TTA149" s="60"/>
      <c r="TTB149" s="60"/>
      <c r="TTC149" s="60"/>
      <c r="TTD149" s="60"/>
      <c r="TTE149" s="60"/>
      <c r="TTF149" s="60"/>
      <c r="TTG149" s="60"/>
      <c r="TTH149" s="60"/>
      <c r="TTI149" s="60"/>
      <c r="TTJ149" s="60"/>
      <c r="TTK149" s="60"/>
      <c r="TTL149" s="60"/>
      <c r="TTM149" s="60"/>
      <c r="TTN149" s="60"/>
      <c r="TTO149" s="60"/>
      <c r="TTP149" s="60"/>
      <c r="TTQ149" s="60"/>
      <c r="TTR149" s="60"/>
      <c r="TTS149" s="60"/>
      <c r="TTT149" s="60"/>
      <c r="TTU149" s="60"/>
      <c r="TTV149" s="60"/>
      <c r="TTW149" s="60"/>
      <c r="TTX149" s="60"/>
      <c r="TTY149" s="60"/>
      <c r="TTZ149" s="60"/>
      <c r="TUA149" s="60"/>
      <c r="TUB149" s="60"/>
      <c r="TUC149" s="60"/>
      <c r="TUD149" s="60"/>
      <c r="TUE149" s="60"/>
      <c r="TUF149" s="60"/>
      <c r="TUG149" s="60"/>
      <c r="TUH149" s="60"/>
      <c r="TUI149" s="60"/>
      <c r="TUJ149" s="60"/>
      <c r="TUK149" s="60"/>
      <c r="TUL149" s="60"/>
      <c r="TUM149" s="60"/>
      <c r="TUN149" s="60"/>
      <c r="TUO149" s="60"/>
      <c r="TUP149" s="60"/>
      <c r="TUQ149" s="60"/>
      <c r="TUR149" s="60"/>
      <c r="TUS149" s="60"/>
      <c r="TUT149" s="60"/>
      <c r="TUU149" s="60"/>
      <c r="TUV149" s="60"/>
      <c r="TUW149" s="60"/>
      <c r="TUX149" s="60"/>
      <c r="TUY149" s="60"/>
      <c r="TUZ149" s="60"/>
      <c r="TVA149" s="60"/>
      <c r="TVB149" s="60"/>
      <c r="TVC149" s="60"/>
      <c r="TVD149" s="60"/>
      <c r="TVE149" s="60"/>
      <c r="TVF149" s="60"/>
      <c r="TVG149" s="60"/>
      <c r="TVH149" s="60"/>
      <c r="TVI149" s="60"/>
      <c r="TVJ149" s="60"/>
      <c r="TVK149" s="60"/>
      <c r="TVL149" s="60"/>
      <c r="TVM149" s="60"/>
      <c r="TVN149" s="60"/>
      <c r="TVO149" s="60"/>
      <c r="TVP149" s="60"/>
      <c r="TVQ149" s="60"/>
      <c r="TVR149" s="60"/>
      <c r="TVS149" s="60"/>
      <c r="TVT149" s="60"/>
      <c r="TVU149" s="60"/>
      <c r="TVV149" s="60"/>
      <c r="TVW149" s="60"/>
      <c r="TVX149" s="60"/>
      <c r="TVY149" s="60"/>
      <c r="TVZ149" s="60"/>
      <c r="TWA149" s="60"/>
      <c r="TWB149" s="60"/>
      <c r="TWC149" s="60"/>
      <c r="TWD149" s="60"/>
      <c r="TWE149" s="60"/>
      <c r="TWF149" s="60"/>
      <c r="TWG149" s="60"/>
      <c r="TWH149" s="60"/>
      <c r="TWI149" s="60"/>
      <c r="TWJ149" s="60"/>
      <c r="TWK149" s="60"/>
      <c r="TWL149" s="60"/>
      <c r="TWM149" s="60"/>
      <c r="TWN149" s="60"/>
      <c r="TWO149" s="60"/>
      <c r="TWP149" s="60"/>
      <c r="TWQ149" s="60"/>
      <c r="TWR149" s="60"/>
      <c r="TWS149" s="60"/>
      <c r="TWT149" s="60"/>
      <c r="TWU149" s="60"/>
      <c r="TWV149" s="60"/>
      <c r="TWW149" s="60"/>
      <c r="TWX149" s="60"/>
      <c r="TWY149" s="60"/>
      <c r="TWZ149" s="60"/>
      <c r="TXA149" s="60"/>
      <c r="TXB149" s="60"/>
      <c r="TXC149" s="60"/>
      <c r="TXD149" s="60"/>
      <c r="TXE149" s="60"/>
      <c r="TXF149" s="60"/>
      <c r="TXG149" s="60"/>
      <c r="TXH149" s="60"/>
      <c r="TXI149" s="60"/>
      <c r="TXJ149" s="60"/>
      <c r="TXK149" s="60"/>
      <c r="TXL149" s="60"/>
      <c r="TXM149" s="60"/>
      <c r="TXN149" s="60"/>
      <c r="TXO149" s="60"/>
      <c r="TXP149" s="60"/>
      <c r="TXQ149" s="60"/>
      <c r="TXR149" s="60"/>
      <c r="TXS149" s="60"/>
      <c r="TXT149" s="60"/>
      <c r="TXU149" s="60"/>
      <c r="TXV149" s="60"/>
      <c r="TXW149" s="60"/>
      <c r="TXX149" s="60"/>
      <c r="TXY149" s="60"/>
      <c r="TXZ149" s="60"/>
      <c r="TYA149" s="60"/>
      <c r="TYB149" s="60"/>
      <c r="TYC149" s="60"/>
      <c r="TYD149" s="60"/>
      <c r="TYE149" s="60"/>
      <c r="TYF149" s="60"/>
      <c r="TYG149" s="60"/>
      <c r="TYH149" s="60"/>
      <c r="TYI149" s="60"/>
      <c r="TYJ149" s="60"/>
      <c r="TYK149" s="60"/>
      <c r="TYL149" s="60"/>
      <c r="TYM149" s="60"/>
      <c r="TYN149" s="60"/>
      <c r="TYO149" s="60"/>
      <c r="TYP149" s="60"/>
      <c r="TYQ149" s="60"/>
      <c r="TYR149" s="60"/>
      <c r="TYS149" s="60"/>
      <c r="TYT149" s="60"/>
      <c r="TYU149" s="60"/>
      <c r="TYV149" s="60"/>
      <c r="TYW149" s="60"/>
      <c r="TYX149" s="60"/>
      <c r="TYY149" s="60"/>
      <c r="TYZ149" s="60"/>
      <c r="TZA149" s="60"/>
      <c r="TZB149" s="60"/>
      <c r="TZC149" s="60"/>
      <c r="TZD149" s="60"/>
      <c r="TZE149" s="60"/>
      <c r="TZF149" s="60"/>
      <c r="TZG149" s="60"/>
      <c r="TZH149" s="60"/>
      <c r="TZI149" s="60"/>
      <c r="TZJ149" s="60"/>
      <c r="TZK149" s="60"/>
      <c r="TZL149" s="60"/>
      <c r="TZM149" s="60"/>
      <c r="TZN149" s="60"/>
      <c r="TZO149" s="60"/>
      <c r="TZP149" s="60"/>
      <c r="TZQ149" s="60"/>
      <c r="TZR149" s="60"/>
      <c r="TZS149" s="60"/>
      <c r="TZT149" s="60"/>
      <c r="TZU149" s="60"/>
      <c r="TZV149" s="60"/>
      <c r="TZW149" s="60"/>
      <c r="TZX149" s="60"/>
      <c r="TZY149" s="60"/>
      <c r="TZZ149" s="60"/>
      <c r="UAA149" s="60"/>
      <c r="UAB149" s="60"/>
      <c r="UAC149" s="60"/>
      <c r="UAD149" s="60"/>
      <c r="UAE149" s="60"/>
      <c r="UAF149" s="60"/>
      <c r="UAG149" s="60"/>
      <c r="UAH149" s="60"/>
      <c r="UAI149" s="60"/>
      <c r="UAJ149" s="60"/>
      <c r="UAK149" s="60"/>
      <c r="UAL149" s="60"/>
      <c r="UAM149" s="60"/>
      <c r="UAN149" s="60"/>
      <c r="UAO149" s="60"/>
      <c r="UAP149" s="60"/>
      <c r="UAQ149" s="60"/>
      <c r="UAR149" s="60"/>
      <c r="UAS149" s="60"/>
      <c r="UAT149" s="60"/>
      <c r="UAU149" s="60"/>
      <c r="UAV149" s="60"/>
      <c r="UAW149" s="60"/>
      <c r="UAX149" s="60"/>
      <c r="UAY149" s="60"/>
      <c r="UAZ149" s="60"/>
      <c r="UBA149" s="60"/>
      <c r="UBB149" s="60"/>
      <c r="UBC149" s="60"/>
      <c r="UBD149" s="60"/>
      <c r="UBE149" s="60"/>
      <c r="UBF149" s="60"/>
      <c r="UBG149" s="60"/>
      <c r="UBH149" s="60"/>
      <c r="UBI149" s="60"/>
      <c r="UBJ149" s="60"/>
      <c r="UBK149" s="60"/>
      <c r="UBL149" s="60"/>
      <c r="UBM149" s="60"/>
      <c r="UBN149" s="60"/>
      <c r="UBO149" s="60"/>
      <c r="UBP149" s="60"/>
      <c r="UBQ149" s="60"/>
      <c r="UBR149" s="60"/>
      <c r="UBS149" s="60"/>
      <c r="UBT149" s="60"/>
      <c r="UBU149" s="60"/>
      <c r="UBV149" s="60"/>
      <c r="UBW149" s="60"/>
      <c r="UBX149" s="60"/>
      <c r="UBY149" s="60"/>
      <c r="UBZ149" s="60"/>
      <c r="UCA149" s="60"/>
      <c r="UCB149" s="60"/>
      <c r="UCC149" s="60"/>
      <c r="UCD149" s="60"/>
      <c r="UCE149" s="60"/>
      <c r="UCF149" s="60"/>
      <c r="UCG149" s="60"/>
      <c r="UCH149" s="60"/>
      <c r="UCI149" s="60"/>
      <c r="UCJ149" s="60"/>
      <c r="UCK149" s="60"/>
      <c r="UCL149" s="60"/>
      <c r="UCM149" s="60"/>
      <c r="UCN149" s="60"/>
      <c r="UCO149" s="60"/>
      <c r="UCP149" s="60"/>
      <c r="UCQ149" s="60"/>
      <c r="UCR149" s="60"/>
      <c r="UCS149" s="60"/>
      <c r="UCT149" s="60"/>
      <c r="UCU149" s="60"/>
      <c r="UCV149" s="60"/>
      <c r="UCW149" s="60"/>
      <c r="UCX149" s="60"/>
      <c r="UCY149" s="60"/>
      <c r="UCZ149" s="60"/>
      <c r="UDA149" s="60"/>
      <c r="UDB149" s="60"/>
      <c r="UDC149" s="60"/>
      <c r="UDD149" s="60"/>
      <c r="UDE149" s="60"/>
      <c r="UDF149" s="60"/>
      <c r="UDG149" s="60"/>
      <c r="UDH149" s="60"/>
      <c r="UDI149" s="60"/>
      <c r="UDJ149" s="60"/>
      <c r="UDK149" s="60"/>
      <c r="UDL149" s="60"/>
      <c r="UDM149" s="60"/>
      <c r="UDN149" s="60"/>
      <c r="UDO149" s="60"/>
      <c r="UDP149" s="60"/>
      <c r="UDQ149" s="60"/>
      <c r="UDR149" s="60"/>
      <c r="UDS149" s="60"/>
      <c r="UDT149" s="60"/>
      <c r="UDU149" s="60"/>
      <c r="UDV149" s="60"/>
      <c r="UDW149" s="60"/>
      <c r="UDX149" s="60"/>
      <c r="UDY149" s="60"/>
      <c r="UDZ149" s="60"/>
      <c r="UEA149" s="60"/>
      <c r="UEB149" s="60"/>
      <c r="UEC149" s="60"/>
      <c r="UED149" s="60"/>
      <c r="UEE149" s="60"/>
      <c r="UEF149" s="60"/>
      <c r="UEG149" s="60"/>
      <c r="UEH149" s="60"/>
      <c r="UEI149" s="60"/>
      <c r="UEJ149" s="60"/>
      <c r="UEK149" s="60"/>
      <c r="UEL149" s="60"/>
      <c r="UEM149" s="60"/>
      <c r="UEN149" s="60"/>
      <c r="UEO149" s="60"/>
      <c r="UEP149" s="60"/>
      <c r="UEQ149" s="60"/>
      <c r="UER149" s="60"/>
      <c r="UES149" s="60"/>
      <c r="UET149" s="60"/>
      <c r="UEU149" s="60"/>
      <c r="UEV149" s="60"/>
      <c r="UEW149" s="60"/>
      <c r="UEX149" s="60"/>
      <c r="UEY149" s="60"/>
      <c r="UEZ149" s="60"/>
      <c r="UFA149" s="60"/>
      <c r="UFB149" s="60"/>
      <c r="UFC149" s="60"/>
      <c r="UFD149" s="60"/>
      <c r="UFE149" s="60"/>
      <c r="UFF149" s="60"/>
      <c r="UFG149" s="60"/>
      <c r="UFH149" s="60"/>
      <c r="UFI149" s="60"/>
      <c r="UFJ149" s="60"/>
      <c r="UFK149" s="60"/>
      <c r="UFL149" s="60"/>
      <c r="UFM149" s="60"/>
      <c r="UFN149" s="60"/>
      <c r="UFO149" s="60"/>
      <c r="UFP149" s="60"/>
      <c r="UFQ149" s="60"/>
      <c r="UFR149" s="60"/>
      <c r="UFS149" s="60"/>
      <c r="UFT149" s="60"/>
      <c r="UFU149" s="60"/>
      <c r="UFV149" s="60"/>
      <c r="UFW149" s="60"/>
      <c r="UFX149" s="60"/>
      <c r="UFY149" s="60"/>
      <c r="UFZ149" s="60"/>
      <c r="UGA149" s="60"/>
      <c r="UGB149" s="60"/>
      <c r="UGC149" s="60"/>
      <c r="UGD149" s="60"/>
      <c r="UGE149" s="60"/>
      <c r="UGF149" s="60"/>
      <c r="UGG149" s="60"/>
      <c r="UGH149" s="60"/>
      <c r="UGI149" s="60"/>
      <c r="UGJ149" s="60"/>
      <c r="UGK149" s="60"/>
      <c r="UGL149" s="60"/>
      <c r="UGM149" s="60"/>
      <c r="UGN149" s="60"/>
      <c r="UGO149" s="60"/>
      <c r="UGP149" s="60"/>
      <c r="UGQ149" s="60"/>
      <c r="UGR149" s="60"/>
      <c r="UGS149" s="60"/>
      <c r="UGT149" s="60"/>
      <c r="UGU149" s="60"/>
      <c r="UGV149" s="60"/>
      <c r="UGW149" s="60"/>
      <c r="UGX149" s="60"/>
      <c r="UGY149" s="60"/>
      <c r="UGZ149" s="60"/>
      <c r="UHA149" s="60"/>
      <c r="UHB149" s="60"/>
      <c r="UHC149" s="60"/>
      <c r="UHD149" s="60"/>
      <c r="UHE149" s="60"/>
      <c r="UHF149" s="60"/>
      <c r="UHG149" s="60"/>
      <c r="UHH149" s="60"/>
      <c r="UHI149" s="60"/>
      <c r="UHJ149" s="60"/>
      <c r="UHK149" s="60"/>
      <c r="UHL149" s="60"/>
      <c r="UHM149" s="60"/>
      <c r="UHN149" s="60"/>
      <c r="UHO149" s="60"/>
      <c r="UHP149" s="60"/>
      <c r="UHQ149" s="60"/>
      <c r="UHR149" s="60"/>
      <c r="UHS149" s="60"/>
      <c r="UHT149" s="60"/>
      <c r="UHU149" s="60"/>
      <c r="UHV149" s="60"/>
      <c r="UHW149" s="60"/>
      <c r="UHX149" s="60"/>
      <c r="UHY149" s="60"/>
      <c r="UHZ149" s="60"/>
      <c r="UIA149" s="60"/>
      <c r="UIB149" s="60"/>
      <c r="UIC149" s="60"/>
      <c r="UID149" s="60"/>
      <c r="UIE149" s="60"/>
      <c r="UIF149" s="60"/>
      <c r="UIG149" s="60"/>
      <c r="UIH149" s="60"/>
      <c r="UII149" s="60"/>
      <c r="UIJ149" s="60"/>
      <c r="UIK149" s="60"/>
      <c r="UIL149" s="60"/>
      <c r="UIM149" s="60"/>
      <c r="UIN149" s="60"/>
      <c r="UIO149" s="60"/>
      <c r="UIP149" s="60"/>
      <c r="UIQ149" s="60"/>
      <c r="UIR149" s="60"/>
      <c r="UIS149" s="60"/>
      <c r="UIT149" s="60"/>
      <c r="UIU149" s="60"/>
      <c r="UIV149" s="60"/>
      <c r="UIW149" s="60"/>
      <c r="UIX149" s="60"/>
      <c r="UIY149" s="60"/>
      <c r="UIZ149" s="60"/>
      <c r="UJA149" s="60"/>
      <c r="UJB149" s="60"/>
      <c r="UJC149" s="60"/>
      <c r="UJD149" s="60"/>
      <c r="UJE149" s="60"/>
      <c r="UJF149" s="60"/>
      <c r="UJG149" s="60"/>
      <c r="UJH149" s="60"/>
      <c r="UJI149" s="60"/>
      <c r="UJJ149" s="60"/>
      <c r="UJK149" s="60"/>
      <c r="UJL149" s="60"/>
      <c r="UJM149" s="60"/>
      <c r="UJN149" s="60"/>
      <c r="UJO149" s="60"/>
      <c r="UJP149" s="60"/>
      <c r="UJQ149" s="60"/>
      <c r="UJR149" s="60"/>
      <c r="UJS149" s="60"/>
      <c r="UJT149" s="60"/>
      <c r="UJU149" s="60"/>
      <c r="UJV149" s="60"/>
      <c r="UJW149" s="60"/>
      <c r="UJX149" s="60"/>
      <c r="UJY149" s="60"/>
      <c r="UJZ149" s="60"/>
      <c r="UKA149" s="60"/>
      <c r="UKB149" s="60"/>
      <c r="UKC149" s="60"/>
      <c r="UKD149" s="60"/>
      <c r="UKE149" s="60"/>
      <c r="UKF149" s="60"/>
      <c r="UKG149" s="60"/>
      <c r="UKH149" s="60"/>
      <c r="UKI149" s="60"/>
      <c r="UKJ149" s="60"/>
      <c r="UKK149" s="60"/>
      <c r="UKL149" s="60"/>
      <c r="UKM149" s="60"/>
      <c r="UKN149" s="60"/>
      <c r="UKO149" s="60"/>
      <c r="UKP149" s="60"/>
      <c r="UKQ149" s="60"/>
      <c r="UKR149" s="60"/>
      <c r="UKS149" s="60"/>
      <c r="UKT149" s="60"/>
      <c r="UKU149" s="60"/>
      <c r="UKV149" s="60"/>
      <c r="UKW149" s="60"/>
      <c r="UKX149" s="60"/>
      <c r="UKY149" s="60"/>
      <c r="UKZ149" s="60"/>
      <c r="ULA149" s="60"/>
      <c r="ULB149" s="60"/>
      <c r="ULC149" s="60"/>
      <c r="ULD149" s="60"/>
      <c r="ULE149" s="60"/>
      <c r="ULF149" s="60"/>
      <c r="ULG149" s="60"/>
      <c r="ULH149" s="60"/>
      <c r="ULI149" s="60"/>
      <c r="ULJ149" s="60"/>
      <c r="ULK149" s="60"/>
      <c r="ULL149" s="60"/>
      <c r="ULM149" s="60"/>
      <c r="ULN149" s="60"/>
      <c r="ULO149" s="60"/>
      <c r="ULP149" s="60"/>
      <c r="ULQ149" s="60"/>
      <c r="ULR149" s="60"/>
      <c r="ULS149" s="60"/>
      <c r="ULT149" s="60"/>
      <c r="ULU149" s="60"/>
      <c r="ULV149" s="60"/>
      <c r="ULW149" s="60"/>
      <c r="ULX149" s="60"/>
      <c r="ULY149" s="60"/>
      <c r="ULZ149" s="60"/>
      <c r="UMA149" s="60"/>
      <c r="UMB149" s="60"/>
      <c r="UMC149" s="60"/>
      <c r="UMD149" s="60"/>
      <c r="UME149" s="60"/>
      <c r="UMF149" s="60"/>
      <c r="UMG149" s="60"/>
      <c r="UMH149" s="60"/>
      <c r="UMI149" s="60"/>
      <c r="UMJ149" s="60"/>
      <c r="UMK149" s="60"/>
      <c r="UML149" s="60"/>
      <c r="UMM149" s="60"/>
      <c r="UMN149" s="60"/>
      <c r="UMO149" s="60"/>
      <c r="UMP149" s="60"/>
      <c r="UMQ149" s="60"/>
      <c r="UMR149" s="60"/>
      <c r="UMS149" s="60"/>
      <c r="UMT149" s="60"/>
      <c r="UMU149" s="60"/>
      <c r="UMV149" s="60"/>
      <c r="UMW149" s="60"/>
      <c r="UMX149" s="60"/>
      <c r="UMY149" s="60"/>
      <c r="UMZ149" s="60"/>
      <c r="UNA149" s="60"/>
      <c r="UNB149" s="60"/>
      <c r="UNC149" s="60"/>
      <c r="UND149" s="60"/>
      <c r="UNE149" s="60"/>
      <c r="UNF149" s="60"/>
      <c r="UNG149" s="60"/>
      <c r="UNH149" s="60"/>
      <c r="UNI149" s="60"/>
      <c r="UNJ149" s="60"/>
      <c r="UNK149" s="60"/>
      <c r="UNL149" s="60"/>
      <c r="UNM149" s="60"/>
      <c r="UNN149" s="60"/>
      <c r="UNO149" s="60"/>
      <c r="UNP149" s="60"/>
      <c r="UNQ149" s="60"/>
      <c r="UNR149" s="60"/>
      <c r="UNS149" s="60"/>
      <c r="UNT149" s="60"/>
      <c r="UNU149" s="60"/>
      <c r="UNV149" s="60"/>
      <c r="UNW149" s="60"/>
      <c r="UNX149" s="60"/>
      <c r="UNY149" s="60"/>
      <c r="UNZ149" s="60"/>
      <c r="UOA149" s="60"/>
      <c r="UOB149" s="60"/>
      <c r="UOC149" s="60"/>
      <c r="UOD149" s="60"/>
      <c r="UOE149" s="60"/>
      <c r="UOF149" s="60"/>
      <c r="UOG149" s="60"/>
      <c r="UOH149" s="60"/>
      <c r="UOI149" s="60"/>
      <c r="UOJ149" s="60"/>
      <c r="UOK149" s="60"/>
      <c r="UOL149" s="60"/>
      <c r="UOM149" s="60"/>
      <c r="UON149" s="60"/>
      <c r="UOO149" s="60"/>
      <c r="UOP149" s="60"/>
      <c r="UOQ149" s="60"/>
      <c r="UOR149" s="60"/>
      <c r="UOS149" s="60"/>
      <c r="UOT149" s="60"/>
      <c r="UOU149" s="60"/>
      <c r="UOV149" s="60"/>
      <c r="UOW149" s="60"/>
      <c r="UOX149" s="60"/>
      <c r="UOY149" s="60"/>
      <c r="UOZ149" s="60"/>
      <c r="UPA149" s="60"/>
      <c r="UPB149" s="60"/>
      <c r="UPC149" s="60"/>
      <c r="UPD149" s="60"/>
      <c r="UPE149" s="60"/>
      <c r="UPF149" s="60"/>
      <c r="UPG149" s="60"/>
      <c r="UPH149" s="60"/>
      <c r="UPI149" s="60"/>
      <c r="UPJ149" s="60"/>
      <c r="UPK149" s="60"/>
      <c r="UPL149" s="60"/>
      <c r="UPM149" s="60"/>
      <c r="UPN149" s="60"/>
      <c r="UPO149" s="60"/>
      <c r="UPP149" s="60"/>
      <c r="UPQ149" s="60"/>
      <c r="UPR149" s="60"/>
      <c r="UPS149" s="60"/>
      <c r="UPT149" s="60"/>
      <c r="UPU149" s="60"/>
      <c r="UPV149" s="60"/>
      <c r="UPW149" s="60"/>
      <c r="UPX149" s="60"/>
      <c r="UPY149" s="60"/>
      <c r="UPZ149" s="60"/>
      <c r="UQA149" s="60"/>
      <c r="UQB149" s="60"/>
      <c r="UQC149" s="60"/>
      <c r="UQD149" s="60"/>
      <c r="UQE149" s="60"/>
      <c r="UQF149" s="60"/>
      <c r="UQG149" s="60"/>
      <c r="UQH149" s="60"/>
      <c r="UQI149" s="60"/>
      <c r="UQJ149" s="60"/>
      <c r="UQK149" s="60"/>
      <c r="UQL149" s="60"/>
      <c r="UQM149" s="60"/>
      <c r="UQN149" s="60"/>
      <c r="UQO149" s="60"/>
      <c r="UQP149" s="60"/>
      <c r="UQQ149" s="60"/>
      <c r="UQR149" s="60"/>
      <c r="UQS149" s="60"/>
      <c r="UQT149" s="60"/>
      <c r="UQU149" s="60"/>
      <c r="UQV149" s="60"/>
      <c r="UQW149" s="60"/>
      <c r="UQX149" s="60"/>
      <c r="UQY149" s="60"/>
      <c r="UQZ149" s="60"/>
      <c r="URA149" s="60"/>
      <c r="URB149" s="60"/>
      <c r="URC149" s="60"/>
      <c r="URD149" s="60"/>
      <c r="URE149" s="60"/>
      <c r="URF149" s="60"/>
      <c r="URG149" s="60"/>
      <c r="URH149" s="60"/>
      <c r="URI149" s="60"/>
      <c r="URJ149" s="60"/>
      <c r="URK149" s="60"/>
      <c r="URL149" s="60"/>
      <c r="URM149" s="60"/>
      <c r="URN149" s="60"/>
      <c r="URO149" s="60"/>
      <c r="URP149" s="60"/>
      <c r="URQ149" s="60"/>
      <c r="URR149" s="60"/>
      <c r="URS149" s="60"/>
      <c r="URT149" s="60"/>
      <c r="URU149" s="60"/>
      <c r="URV149" s="60"/>
      <c r="URW149" s="60"/>
      <c r="URX149" s="60"/>
      <c r="URY149" s="60"/>
      <c r="URZ149" s="60"/>
      <c r="USA149" s="60"/>
      <c r="USB149" s="60"/>
      <c r="USC149" s="60"/>
      <c r="USD149" s="60"/>
      <c r="USE149" s="60"/>
      <c r="USF149" s="60"/>
      <c r="USG149" s="60"/>
      <c r="USH149" s="60"/>
      <c r="USI149" s="60"/>
      <c r="USJ149" s="60"/>
      <c r="USK149" s="60"/>
      <c r="USL149" s="60"/>
      <c r="USM149" s="60"/>
      <c r="USN149" s="60"/>
      <c r="USO149" s="60"/>
      <c r="USP149" s="60"/>
      <c r="USQ149" s="60"/>
      <c r="USR149" s="60"/>
      <c r="USS149" s="60"/>
      <c r="UST149" s="60"/>
      <c r="USU149" s="60"/>
      <c r="USV149" s="60"/>
      <c r="USW149" s="60"/>
      <c r="USX149" s="60"/>
      <c r="USY149" s="60"/>
      <c r="USZ149" s="60"/>
      <c r="UTA149" s="60"/>
      <c r="UTB149" s="60"/>
      <c r="UTC149" s="60"/>
      <c r="UTD149" s="60"/>
      <c r="UTE149" s="60"/>
      <c r="UTF149" s="60"/>
      <c r="UTG149" s="60"/>
      <c r="UTH149" s="60"/>
      <c r="UTI149" s="60"/>
      <c r="UTJ149" s="60"/>
      <c r="UTK149" s="60"/>
      <c r="UTL149" s="60"/>
      <c r="UTM149" s="60"/>
      <c r="UTN149" s="60"/>
      <c r="UTO149" s="60"/>
      <c r="UTP149" s="60"/>
      <c r="UTQ149" s="60"/>
      <c r="UTR149" s="60"/>
      <c r="UTS149" s="60"/>
      <c r="UTT149" s="60"/>
      <c r="UTU149" s="60"/>
      <c r="UTV149" s="60"/>
      <c r="UTW149" s="60"/>
      <c r="UTX149" s="60"/>
      <c r="UTY149" s="60"/>
      <c r="UTZ149" s="60"/>
      <c r="UUA149" s="60"/>
      <c r="UUB149" s="60"/>
      <c r="UUC149" s="60"/>
      <c r="UUD149" s="60"/>
      <c r="UUE149" s="60"/>
      <c r="UUF149" s="60"/>
      <c r="UUG149" s="60"/>
      <c r="UUH149" s="60"/>
      <c r="UUI149" s="60"/>
      <c r="UUJ149" s="60"/>
      <c r="UUK149" s="60"/>
      <c r="UUL149" s="60"/>
      <c r="UUM149" s="60"/>
      <c r="UUN149" s="60"/>
      <c r="UUO149" s="60"/>
      <c r="UUP149" s="60"/>
      <c r="UUQ149" s="60"/>
      <c r="UUR149" s="60"/>
      <c r="UUS149" s="60"/>
      <c r="UUT149" s="60"/>
      <c r="UUU149" s="60"/>
      <c r="UUV149" s="60"/>
      <c r="UUW149" s="60"/>
      <c r="UUX149" s="60"/>
      <c r="UUY149" s="60"/>
      <c r="UUZ149" s="60"/>
      <c r="UVA149" s="60"/>
      <c r="UVB149" s="60"/>
      <c r="UVC149" s="60"/>
      <c r="UVD149" s="60"/>
      <c r="UVE149" s="60"/>
      <c r="UVF149" s="60"/>
      <c r="UVG149" s="60"/>
      <c r="UVH149" s="60"/>
      <c r="UVI149" s="60"/>
      <c r="UVJ149" s="60"/>
      <c r="UVK149" s="60"/>
      <c r="UVL149" s="60"/>
      <c r="UVM149" s="60"/>
      <c r="UVN149" s="60"/>
      <c r="UVO149" s="60"/>
      <c r="UVP149" s="60"/>
      <c r="UVQ149" s="60"/>
      <c r="UVR149" s="60"/>
      <c r="UVS149" s="60"/>
      <c r="UVT149" s="60"/>
      <c r="UVU149" s="60"/>
      <c r="UVV149" s="60"/>
      <c r="UVW149" s="60"/>
      <c r="UVX149" s="60"/>
      <c r="UVY149" s="60"/>
      <c r="UVZ149" s="60"/>
      <c r="UWA149" s="60"/>
      <c r="UWB149" s="60"/>
      <c r="UWC149" s="60"/>
      <c r="UWD149" s="60"/>
      <c r="UWE149" s="60"/>
      <c r="UWF149" s="60"/>
      <c r="UWG149" s="60"/>
      <c r="UWH149" s="60"/>
      <c r="UWI149" s="60"/>
      <c r="UWJ149" s="60"/>
      <c r="UWK149" s="60"/>
      <c r="UWL149" s="60"/>
      <c r="UWM149" s="60"/>
      <c r="UWN149" s="60"/>
      <c r="UWO149" s="60"/>
      <c r="UWP149" s="60"/>
      <c r="UWQ149" s="60"/>
      <c r="UWR149" s="60"/>
      <c r="UWS149" s="60"/>
      <c r="UWT149" s="60"/>
      <c r="UWU149" s="60"/>
      <c r="UWV149" s="60"/>
      <c r="UWW149" s="60"/>
      <c r="UWX149" s="60"/>
      <c r="UWY149" s="60"/>
      <c r="UWZ149" s="60"/>
      <c r="UXA149" s="60"/>
      <c r="UXB149" s="60"/>
      <c r="UXC149" s="60"/>
      <c r="UXD149" s="60"/>
      <c r="UXE149" s="60"/>
      <c r="UXF149" s="60"/>
      <c r="UXG149" s="60"/>
      <c r="UXH149" s="60"/>
      <c r="UXI149" s="60"/>
      <c r="UXJ149" s="60"/>
      <c r="UXK149" s="60"/>
      <c r="UXL149" s="60"/>
      <c r="UXM149" s="60"/>
      <c r="UXN149" s="60"/>
      <c r="UXO149" s="60"/>
      <c r="UXP149" s="60"/>
      <c r="UXQ149" s="60"/>
      <c r="UXR149" s="60"/>
      <c r="UXS149" s="60"/>
      <c r="UXT149" s="60"/>
      <c r="UXU149" s="60"/>
      <c r="UXV149" s="60"/>
      <c r="UXW149" s="60"/>
      <c r="UXX149" s="60"/>
      <c r="UXY149" s="60"/>
      <c r="UXZ149" s="60"/>
      <c r="UYA149" s="60"/>
      <c r="UYB149" s="60"/>
      <c r="UYC149" s="60"/>
      <c r="UYD149" s="60"/>
      <c r="UYE149" s="60"/>
      <c r="UYF149" s="60"/>
      <c r="UYG149" s="60"/>
      <c r="UYH149" s="60"/>
      <c r="UYI149" s="60"/>
      <c r="UYJ149" s="60"/>
      <c r="UYK149" s="60"/>
      <c r="UYL149" s="60"/>
      <c r="UYM149" s="60"/>
      <c r="UYN149" s="60"/>
      <c r="UYO149" s="60"/>
      <c r="UYP149" s="60"/>
      <c r="UYQ149" s="60"/>
      <c r="UYR149" s="60"/>
      <c r="UYS149" s="60"/>
      <c r="UYT149" s="60"/>
      <c r="UYU149" s="60"/>
      <c r="UYV149" s="60"/>
      <c r="UYW149" s="60"/>
      <c r="UYX149" s="60"/>
      <c r="UYY149" s="60"/>
      <c r="UYZ149" s="60"/>
      <c r="UZA149" s="60"/>
      <c r="UZB149" s="60"/>
      <c r="UZC149" s="60"/>
      <c r="UZD149" s="60"/>
      <c r="UZE149" s="60"/>
      <c r="UZF149" s="60"/>
      <c r="UZG149" s="60"/>
      <c r="UZH149" s="60"/>
      <c r="UZI149" s="60"/>
      <c r="UZJ149" s="60"/>
      <c r="UZK149" s="60"/>
      <c r="UZL149" s="60"/>
      <c r="UZM149" s="60"/>
      <c r="UZN149" s="60"/>
      <c r="UZO149" s="60"/>
      <c r="UZP149" s="60"/>
      <c r="UZQ149" s="60"/>
      <c r="UZR149" s="60"/>
      <c r="UZS149" s="60"/>
      <c r="UZT149" s="60"/>
      <c r="UZU149" s="60"/>
      <c r="UZV149" s="60"/>
      <c r="UZW149" s="60"/>
      <c r="UZX149" s="60"/>
      <c r="UZY149" s="60"/>
      <c r="UZZ149" s="60"/>
      <c r="VAA149" s="60"/>
      <c r="VAB149" s="60"/>
      <c r="VAC149" s="60"/>
      <c r="VAD149" s="60"/>
      <c r="VAE149" s="60"/>
      <c r="VAF149" s="60"/>
      <c r="VAG149" s="60"/>
      <c r="VAH149" s="60"/>
      <c r="VAI149" s="60"/>
      <c r="VAJ149" s="60"/>
      <c r="VAK149" s="60"/>
      <c r="VAL149" s="60"/>
      <c r="VAM149" s="60"/>
      <c r="VAN149" s="60"/>
      <c r="VAO149" s="60"/>
      <c r="VAP149" s="60"/>
      <c r="VAQ149" s="60"/>
      <c r="VAR149" s="60"/>
      <c r="VAS149" s="60"/>
      <c r="VAT149" s="60"/>
      <c r="VAU149" s="60"/>
      <c r="VAV149" s="60"/>
      <c r="VAW149" s="60"/>
      <c r="VAX149" s="60"/>
      <c r="VAY149" s="60"/>
      <c r="VAZ149" s="60"/>
      <c r="VBA149" s="60"/>
      <c r="VBB149" s="60"/>
      <c r="VBC149" s="60"/>
      <c r="VBD149" s="60"/>
      <c r="VBE149" s="60"/>
      <c r="VBF149" s="60"/>
      <c r="VBG149" s="60"/>
      <c r="VBH149" s="60"/>
      <c r="VBI149" s="60"/>
      <c r="VBJ149" s="60"/>
      <c r="VBK149" s="60"/>
      <c r="VBL149" s="60"/>
      <c r="VBM149" s="60"/>
      <c r="VBN149" s="60"/>
      <c r="VBO149" s="60"/>
      <c r="VBP149" s="60"/>
      <c r="VBQ149" s="60"/>
      <c r="VBR149" s="60"/>
      <c r="VBS149" s="60"/>
      <c r="VBT149" s="60"/>
      <c r="VBU149" s="60"/>
      <c r="VBV149" s="60"/>
      <c r="VBW149" s="60"/>
      <c r="VBX149" s="60"/>
      <c r="VBY149" s="60"/>
      <c r="VBZ149" s="60"/>
      <c r="VCA149" s="60"/>
      <c r="VCB149" s="60"/>
      <c r="VCC149" s="60"/>
      <c r="VCD149" s="60"/>
      <c r="VCE149" s="60"/>
      <c r="VCF149" s="60"/>
      <c r="VCG149" s="60"/>
      <c r="VCH149" s="60"/>
      <c r="VCI149" s="60"/>
      <c r="VCJ149" s="60"/>
      <c r="VCK149" s="60"/>
      <c r="VCL149" s="60"/>
      <c r="VCM149" s="60"/>
      <c r="VCN149" s="60"/>
      <c r="VCO149" s="60"/>
      <c r="VCP149" s="60"/>
      <c r="VCQ149" s="60"/>
      <c r="VCR149" s="60"/>
      <c r="VCS149" s="60"/>
      <c r="VCT149" s="60"/>
      <c r="VCU149" s="60"/>
      <c r="VCV149" s="60"/>
      <c r="VCW149" s="60"/>
      <c r="VCX149" s="60"/>
      <c r="VCY149" s="60"/>
      <c r="VCZ149" s="60"/>
      <c r="VDA149" s="60"/>
      <c r="VDB149" s="60"/>
      <c r="VDC149" s="60"/>
      <c r="VDD149" s="60"/>
      <c r="VDE149" s="60"/>
      <c r="VDF149" s="60"/>
      <c r="VDG149" s="60"/>
      <c r="VDH149" s="60"/>
      <c r="VDI149" s="60"/>
      <c r="VDJ149" s="60"/>
      <c r="VDK149" s="60"/>
      <c r="VDL149" s="60"/>
      <c r="VDM149" s="60"/>
      <c r="VDN149" s="60"/>
      <c r="VDO149" s="60"/>
      <c r="VDP149" s="60"/>
      <c r="VDQ149" s="60"/>
      <c r="VDR149" s="60"/>
      <c r="VDS149" s="60"/>
      <c r="VDT149" s="60"/>
      <c r="VDU149" s="60"/>
      <c r="VDV149" s="60"/>
      <c r="VDW149" s="60"/>
      <c r="VDX149" s="60"/>
      <c r="VDY149" s="60"/>
      <c r="VDZ149" s="60"/>
      <c r="VEA149" s="60"/>
      <c r="VEB149" s="60"/>
      <c r="VEC149" s="60"/>
      <c r="VED149" s="60"/>
      <c r="VEE149" s="60"/>
      <c r="VEF149" s="60"/>
      <c r="VEG149" s="60"/>
      <c r="VEH149" s="60"/>
      <c r="VEI149" s="60"/>
      <c r="VEJ149" s="60"/>
      <c r="VEK149" s="60"/>
      <c r="VEL149" s="60"/>
      <c r="VEM149" s="60"/>
      <c r="VEN149" s="60"/>
      <c r="VEO149" s="60"/>
      <c r="VEP149" s="60"/>
      <c r="VEQ149" s="60"/>
      <c r="VER149" s="60"/>
      <c r="VES149" s="60"/>
      <c r="VET149" s="60"/>
      <c r="VEU149" s="60"/>
      <c r="VEV149" s="60"/>
      <c r="VEW149" s="60"/>
      <c r="VEX149" s="60"/>
      <c r="VEY149" s="60"/>
      <c r="VEZ149" s="60"/>
      <c r="VFA149" s="60"/>
      <c r="VFB149" s="60"/>
      <c r="VFC149" s="60"/>
      <c r="VFD149" s="60"/>
      <c r="VFE149" s="60"/>
      <c r="VFF149" s="60"/>
      <c r="VFG149" s="60"/>
      <c r="VFH149" s="60"/>
      <c r="VFI149" s="60"/>
      <c r="VFJ149" s="60"/>
      <c r="VFK149" s="60"/>
      <c r="VFL149" s="60"/>
      <c r="VFM149" s="60"/>
      <c r="VFN149" s="60"/>
      <c r="VFO149" s="60"/>
      <c r="VFP149" s="60"/>
      <c r="VFQ149" s="60"/>
      <c r="VFR149" s="60"/>
      <c r="VFS149" s="60"/>
      <c r="VFT149" s="60"/>
      <c r="VFU149" s="60"/>
      <c r="VFV149" s="60"/>
      <c r="VFW149" s="60"/>
      <c r="VFX149" s="60"/>
      <c r="VFY149" s="60"/>
      <c r="VFZ149" s="60"/>
      <c r="VGA149" s="60"/>
      <c r="VGB149" s="60"/>
      <c r="VGC149" s="60"/>
      <c r="VGD149" s="60"/>
      <c r="VGE149" s="60"/>
      <c r="VGF149" s="60"/>
      <c r="VGG149" s="60"/>
      <c r="VGH149" s="60"/>
      <c r="VGI149" s="60"/>
      <c r="VGJ149" s="60"/>
      <c r="VGK149" s="60"/>
      <c r="VGL149" s="60"/>
      <c r="VGM149" s="60"/>
      <c r="VGN149" s="60"/>
      <c r="VGO149" s="60"/>
      <c r="VGP149" s="60"/>
      <c r="VGQ149" s="60"/>
      <c r="VGR149" s="60"/>
      <c r="VGS149" s="60"/>
      <c r="VGT149" s="60"/>
      <c r="VGU149" s="60"/>
      <c r="VGV149" s="60"/>
      <c r="VGW149" s="60"/>
      <c r="VGX149" s="60"/>
      <c r="VGY149" s="60"/>
      <c r="VGZ149" s="60"/>
      <c r="VHA149" s="60"/>
      <c r="VHB149" s="60"/>
      <c r="VHC149" s="60"/>
      <c r="VHD149" s="60"/>
      <c r="VHE149" s="60"/>
      <c r="VHF149" s="60"/>
      <c r="VHG149" s="60"/>
      <c r="VHH149" s="60"/>
      <c r="VHI149" s="60"/>
      <c r="VHJ149" s="60"/>
      <c r="VHK149" s="60"/>
      <c r="VHL149" s="60"/>
      <c r="VHM149" s="60"/>
      <c r="VHN149" s="60"/>
      <c r="VHO149" s="60"/>
      <c r="VHP149" s="60"/>
      <c r="VHQ149" s="60"/>
      <c r="VHR149" s="60"/>
      <c r="VHS149" s="60"/>
      <c r="VHT149" s="60"/>
      <c r="VHU149" s="60"/>
      <c r="VHV149" s="60"/>
      <c r="VHW149" s="60"/>
      <c r="VHX149" s="60"/>
      <c r="VHY149" s="60"/>
      <c r="VHZ149" s="60"/>
      <c r="VIA149" s="60"/>
      <c r="VIB149" s="60"/>
      <c r="VIC149" s="60"/>
      <c r="VID149" s="60"/>
      <c r="VIE149" s="60"/>
      <c r="VIF149" s="60"/>
      <c r="VIG149" s="60"/>
      <c r="VIH149" s="60"/>
      <c r="VII149" s="60"/>
      <c r="VIJ149" s="60"/>
      <c r="VIK149" s="60"/>
      <c r="VIL149" s="60"/>
      <c r="VIM149" s="60"/>
      <c r="VIN149" s="60"/>
      <c r="VIO149" s="60"/>
      <c r="VIP149" s="60"/>
      <c r="VIQ149" s="60"/>
      <c r="VIR149" s="60"/>
      <c r="VIS149" s="60"/>
      <c r="VIT149" s="60"/>
      <c r="VIU149" s="60"/>
      <c r="VIV149" s="60"/>
      <c r="VIW149" s="60"/>
      <c r="VIX149" s="60"/>
      <c r="VIY149" s="60"/>
      <c r="VIZ149" s="60"/>
      <c r="VJA149" s="60"/>
      <c r="VJB149" s="60"/>
      <c r="VJC149" s="60"/>
      <c r="VJD149" s="60"/>
      <c r="VJE149" s="60"/>
      <c r="VJF149" s="60"/>
      <c r="VJG149" s="60"/>
      <c r="VJH149" s="60"/>
      <c r="VJI149" s="60"/>
      <c r="VJJ149" s="60"/>
      <c r="VJK149" s="60"/>
      <c r="VJL149" s="60"/>
      <c r="VJM149" s="60"/>
      <c r="VJN149" s="60"/>
      <c r="VJO149" s="60"/>
      <c r="VJP149" s="60"/>
      <c r="VJQ149" s="60"/>
      <c r="VJR149" s="60"/>
      <c r="VJS149" s="60"/>
      <c r="VJT149" s="60"/>
      <c r="VJU149" s="60"/>
      <c r="VJV149" s="60"/>
      <c r="VJW149" s="60"/>
      <c r="VJX149" s="60"/>
      <c r="VJY149" s="60"/>
      <c r="VJZ149" s="60"/>
      <c r="VKA149" s="60"/>
      <c r="VKB149" s="60"/>
      <c r="VKC149" s="60"/>
      <c r="VKD149" s="60"/>
      <c r="VKE149" s="60"/>
      <c r="VKF149" s="60"/>
      <c r="VKG149" s="60"/>
      <c r="VKH149" s="60"/>
      <c r="VKI149" s="60"/>
      <c r="VKJ149" s="60"/>
      <c r="VKK149" s="60"/>
      <c r="VKL149" s="60"/>
      <c r="VKM149" s="60"/>
      <c r="VKN149" s="60"/>
      <c r="VKO149" s="60"/>
      <c r="VKP149" s="60"/>
      <c r="VKQ149" s="60"/>
      <c r="VKR149" s="60"/>
      <c r="VKS149" s="60"/>
      <c r="VKT149" s="60"/>
      <c r="VKU149" s="60"/>
      <c r="VKV149" s="60"/>
      <c r="VKW149" s="60"/>
      <c r="VKX149" s="60"/>
      <c r="VKY149" s="60"/>
      <c r="VKZ149" s="60"/>
      <c r="VLA149" s="60"/>
      <c r="VLB149" s="60"/>
      <c r="VLC149" s="60"/>
      <c r="VLD149" s="60"/>
      <c r="VLE149" s="60"/>
      <c r="VLF149" s="60"/>
      <c r="VLG149" s="60"/>
      <c r="VLH149" s="60"/>
      <c r="VLI149" s="60"/>
      <c r="VLJ149" s="60"/>
      <c r="VLK149" s="60"/>
      <c r="VLL149" s="60"/>
      <c r="VLM149" s="60"/>
      <c r="VLN149" s="60"/>
      <c r="VLO149" s="60"/>
      <c r="VLP149" s="60"/>
      <c r="VLQ149" s="60"/>
      <c r="VLR149" s="60"/>
      <c r="VLS149" s="60"/>
      <c r="VLT149" s="60"/>
      <c r="VLU149" s="60"/>
      <c r="VLV149" s="60"/>
      <c r="VLW149" s="60"/>
      <c r="VLX149" s="60"/>
      <c r="VLY149" s="60"/>
      <c r="VLZ149" s="60"/>
      <c r="VMA149" s="60"/>
      <c r="VMB149" s="60"/>
      <c r="VMC149" s="60"/>
      <c r="VMD149" s="60"/>
      <c r="VME149" s="60"/>
      <c r="VMF149" s="60"/>
      <c r="VMG149" s="60"/>
      <c r="VMH149" s="60"/>
      <c r="VMI149" s="60"/>
      <c r="VMJ149" s="60"/>
      <c r="VMK149" s="60"/>
      <c r="VML149" s="60"/>
      <c r="VMM149" s="60"/>
      <c r="VMN149" s="60"/>
      <c r="VMO149" s="60"/>
      <c r="VMP149" s="60"/>
      <c r="VMQ149" s="60"/>
      <c r="VMR149" s="60"/>
      <c r="VMS149" s="60"/>
      <c r="VMT149" s="60"/>
      <c r="VMU149" s="60"/>
      <c r="VMV149" s="60"/>
      <c r="VMW149" s="60"/>
      <c r="VMX149" s="60"/>
      <c r="VMY149" s="60"/>
      <c r="VMZ149" s="60"/>
      <c r="VNA149" s="60"/>
      <c r="VNB149" s="60"/>
      <c r="VNC149" s="60"/>
      <c r="VND149" s="60"/>
      <c r="VNE149" s="60"/>
      <c r="VNF149" s="60"/>
      <c r="VNG149" s="60"/>
      <c r="VNH149" s="60"/>
      <c r="VNI149" s="60"/>
      <c r="VNJ149" s="60"/>
      <c r="VNK149" s="60"/>
      <c r="VNL149" s="60"/>
      <c r="VNM149" s="60"/>
      <c r="VNN149" s="60"/>
      <c r="VNO149" s="60"/>
      <c r="VNP149" s="60"/>
      <c r="VNQ149" s="60"/>
      <c r="VNR149" s="60"/>
      <c r="VNS149" s="60"/>
      <c r="VNT149" s="60"/>
      <c r="VNU149" s="60"/>
      <c r="VNV149" s="60"/>
      <c r="VNW149" s="60"/>
      <c r="VNX149" s="60"/>
      <c r="VNY149" s="60"/>
      <c r="VNZ149" s="60"/>
      <c r="VOA149" s="60"/>
      <c r="VOB149" s="60"/>
      <c r="VOC149" s="60"/>
      <c r="VOD149" s="60"/>
      <c r="VOE149" s="60"/>
      <c r="VOF149" s="60"/>
      <c r="VOG149" s="60"/>
      <c r="VOH149" s="60"/>
      <c r="VOI149" s="60"/>
      <c r="VOJ149" s="60"/>
      <c r="VOK149" s="60"/>
      <c r="VOL149" s="60"/>
      <c r="VOM149" s="60"/>
      <c r="VON149" s="60"/>
      <c r="VOO149" s="60"/>
      <c r="VOP149" s="60"/>
      <c r="VOQ149" s="60"/>
      <c r="VOR149" s="60"/>
      <c r="VOS149" s="60"/>
      <c r="VOT149" s="60"/>
      <c r="VOU149" s="60"/>
      <c r="VOV149" s="60"/>
      <c r="VOW149" s="60"/>
      <c r="VOX149" s="60"/>
      <c r="VOY149" s="60"/>
      <c r="VOZ149" s="60"/>
      <c r="VPA149" s="60"/>
      <c r="VPB149" s="60"/>
      <c r="VPC149" s="60"/>
      <c r="VPD149" s="60"/>
      <c r="VPE149" s="60"/>
      <c r="VPF149" s="60"/>
      <c r="VPG149" s="60"/>
      <c r="VPH149" s="60"/>
      <c r="VPI149" s="60"/>
      <c r="VPJ149" s="60"/>
      <c r="VPK149" s="60"/>
      <c r="VPL149" s="60"/>
      <c r="VPM149" s="60"/>
      <c r="VPN149" s="60"/>
      <c r="VPO149" s="60"/>
      <c r="VPP149" s="60"/>
      <c r="VPQ149" s="60"/>
      <c r="VPR149" s="60"/>
      <c r="VPS149" s="60"/>
      <c r="VPT149" s="60"/>
      <c r="VPU149" s="60"/>
      <c r="VPV149" s="60"/>
      <c r="VPW149" s="60"/>
      <c r="VPX149" s="60"/>
      <c r="VPY149" s="60"/>
      <c r="VPZ149" s="60"/>
      <c r="VQA149" s="60"/>
      <c r="VQB149" s="60"/>
      <c r="VQC149" s="60"/>
      <c r="VQD149" s="60"/>
      <c r="VQE149" s="60"/>
      <c r="VQF149" s="60"/>
      <c r="VQG149" s="60"/>
      <c r="VQH149" s="60"/>
      <c r="VQI149" s="60"/>
      <c r="VQJ149" s="60"/>
      <c r="VQK149" s="60"/>
      <c r="VQL149" s="60"/>
      <c r="VQM149" s="60"/>
      <c r="VQN149" s="60"/>
      <c r="VQO149" s="60"/>
      <c r="VQP149" s="60"/>
      <c r="VQQ149" s="60"/>
      <c r="VQR149" s="60"/>
      <c r="VQS149" s="60"/>
      <c r="VQT149" s="60"/>
      <c r="VQU149" s="60"/>
      <c r="VQV149" s="60"/>
      <c r="VQW149" s="60"/>
      <c r="VQX149" s="60"/>
      <c r="VQY149" s="60"/>
      <c r="VQZ149" s="60"/>
      <c r="VRA149" s="60"/>
      <c r="VRB149" s="60"/>
      <c r="VRC149" s="60"/>
      <c r="VRD149" s="60"/>
      <c r="VRE149" s="60"/>
      <c r="VRF149" s="60"/>
      <c r="VRG149" s="60"/>
      <c r="VRH149" s="60"/>
      <c r="VRI149" s="60"/>
      <c r="VRJ149" s="60"/>
      <c r="VRK149" s="60"/>
      <c r="VRL149" s="60"/>
      <c r="VRM149" s="60"/>
      <c r="VRN149" s="60"/>
      <c r="VRO149" s="60"/>
      <c r="VRP149" s="60"/>
      <c r="VRQ149" s="60"/>
      <c r="VRR149" s="60"/>
      <c r="VRS149" s="60"/>
      <c r="VRT149" s="60"/>
      <c r="VRU149" s="60"/>
      <c r="VRV149" s="60"/>
      <c r="VRW149" s="60"/>
      <c r="VRX149" s="60"/>
      <c r="VRY149" s="60"/>
      <c r="VRZ149" s="60"/>
      <c r="VSA149" s="60"/>
      <c r="VSB149" s="60"/>
      <c r="VSC149" s="60"/>
      <c r="VSD149" s="60"/>
      <c r="VSE149" s="60"/>
      <c r="VSF149" s="60"/>
      <c r="VSG149" s="60"/>
      <c r="VSH149" s="60"/>
      <c r="VSI149" s="60"/>
      <c r="VSJ149" s="60"/>
      <c r="VSK149" s="60"/>
      <c r="VSL149" s="60"/>
      <c r="VSM149" s="60"/>
      <c r="VSN149" s="60"/>
      <c r="VSO149" s="60"/>
      <c r="VSP149" s="60"/>
      <c r="VSQ149" s="60"/>
      <c r="VSR149" s="60"/>
      <c r="VSS149" s="60"/>
      <c r="VST149" s="60"/>
      <c r="VSU149" s="60"/>
      <c r="VSV149" s="60"/>
      <c r="VSW149" s="60"/>
      <c r="VSX149" s="60"/>
      <c r="VSY149" s="60"/>
      <c r="VSZ149" s="60"/>
      <c r="VTA149" s="60"/>
      <c r="VTB149" s="60"/>
      <c r="VTC149" s="60"/>
      <c r="VTD149" s="60"/>
      <c r="VTE149" s="60"/>
      <c r="VTF149" s="60"/>
      <c r="VTG149" s="60"/>
      <c r="VTH149" s="60"/>
      <c r="VTI149" s="60"/>
      <c r="VTJ149" s="60"/>
      <c r="VTK149" s="60"/>
      <c r="VTL149" s="60"/>
      <c r="VTM149" s="60"/>
      <c r="VTN149" s="60"/>
      <c r="VTO149" s="60"/>
      <c r="VTP149" s="60"/>
      <c r="VTQ149" s="60"/>
      <c r="VTR149" s="60"/>
      <c r="VTS149" s="60"/>
      <c r="VTT149" s="60"/>
      <c r="VTU149" s="60"/>
      <c r="VTV149" s="60"/>
      <c r="VTW149" s="60"/>
      <c r="VTX149" s="60"/>
      <c r="VTY149" s="60"/>
      <c r="VTZ149" s="60"/>
      <c r="VUA149" s="60"/>
      <c r="VUB149" s="60"/>
      <c r="VUC149" s="60"/>
      <c r="VUD149" s="60"/>
      <c r="VUE149" s="60"/>
      <c r="VUF149" s="60"/>
      <c r="VUG149" s="60"/>
      <c r="VUH149" s="60"/>
      <c r="VUI149" s="60"/>
      <c r="VUJ149" s="60"/>
      <c r="VUK149" s="60"/>
      <c r="VUL149" s="60"/>
      <c r="VUM149" s="60"/>
      <c r="VUN149" s="60"/>
      <c r="VUO149" s="60"/>
      <c r="VUP149" s="60"/>
      <c r="VUQ149" s="60"/>
      <c r="VUR149" s="60"/>
      <c r="VUS149" s="60"/>
      <c r="VUT149" s="60"/>
      <c r="VUU149" s="60"/>
      <c r="VUV149" s="60"/>
      <c r="VUW149" s="60"/>
      <c r="VUX149" s="60"/>
      <c r="VUY149" s="60"/>
      <c r="VUZ149" s="60"/>
      <c r="VVA149" s="60"/>
      <c r="VVB149" s="60"/>
      <c r="VVC149" s="60"/>
      <c r="VVD149" s="60"/>
      <c r="VVE149" s="60"/>
      <c r="VVF149" s="60"/>
      <c r="VVG149" s="60"/>
      <c r="VVH149" s="60"/>
      <c r="VVI149" s="60"/>
      <c r="VVJ149" s="60"/>
      <c r="VVK149" s="60"/>
      <c r="VVL149" s="60"/>
      <c r="VVM149" s="60"/>
      <c r="VVN149" s="60"/>
      <c r="VVO149" s="60"/>
      <c r="VVP149" s="60"/>
      <c r="VVQ149" s="60"/>
      <c r="VVR149" s="60"/>
      <c r="VVS149" s="60"/>
      <c r="VVT149" s="60"/>
      <c r="VVU149" s="60"/>
      <c r="VVV149" s="60"/>
      <c r="VVW149" s="60"/>
      <c r="VVX149" s="60"/>
      <c r="VVY149" s="60"/>
      <c r="VVZ149" s="60"/>
      <c r="VWA149" s="60"/>
      <c r="VWB149" s="60"/>
      <c r="VWC149" s="60"/>
      <c r="VWD149" s="60"/>
      <c r="VWE149" s="60"/>
      <c r="VWF149" s="60"/>
      <c r="VWG149" s="60"/>
      <c r="VWH149" s="60"/>
      <c r="VWI149" s="60"/>
      <c r="VWJ149" s="60"/>
      <c r="VWK149" s="60"/>
      <c r="VWL149" s="60"/>
      <c r="VWM149" s="60"/>
      <c r="VWN149" s="60"/>
      <c r="VWO149" s="60"/>
      <c r="VWP149" s="60"/>
      <c r="VWQ149" s="60"/>
      <c r="VWR149" s="60"/>
      <c r="VWS149" s="60"/>
      <c r="VWT149" s="60"/>
      <c r="VWU149" s="60"/>
      <c r="VWV149" s="60"/>
      <c r="VWW149" s="60"/>
      <c r="VWX149" s="60"/>
      <c r="VWY149" s="60"/>
      <c r="VWZ149" s="60"/>
      <c r="VXA149" s="60"/>
      <c r="VXB149" s="60"/>
      <c r="VXC149" s="60"/>
      <c r="VXD149" s="60"/>
      <c r="VXE149" s="60"/>
      <c r="VXF149" s="60"/>
      <c r="VXG149" s="60"/>
      <c r="VXH149" s="60"/>
      <c r="VXI149" s="60"/>
      <c r="VXJ149" s="60"/>
      <c r="VXK149" s="60"/>
      <c r="VXL149" s="60"/>
      <c r="VXM149" s="60"/>
      <c r="VXN149" s="60"/>
      <c r="VXO149" s="60"/>
      <c r="VXP149" s="60"/>
      <c r="VXQ149" s="60"/>
      <c r="VXR149" s="60"/>
      <c r="VXS149" s="60"/>
      <c r="VXT149" s="60"/>
      <c r="VXU149" s="60"/>
      <c r="VXV149" s="60"/>
      <c r="VXW149" s="60"/>
      <c r="VXX149" s="60"/>
      <c r="VXY149" s="60"/>
      <c r="VXZ149" s="60"/>
      <c r="VYA149" s="60"/>
      <c r="VYB149" s="60"/>
      <c r="VYC149" s="60"/>
      <c r="VYD149" s="60"/>
      <c r="VYE149" s="60"/>
      <c r="VYF149" s="60"/>
      <c r="VYG149" s="60"/>
      <c r="VYH149" s="60"/>
      <c r="VYI149" s="60"/>
      <c r="VYJ149" s="60"/>
      <c r="VYK149" s="60"/>
      <c r="VYL149" s="60"/>
      <c r="VYM149" s="60"/>
      <c r="VYN149" s="60"/>
      <c r="VYO149" s="60"/>
      <c r="VYP149" s="60"/>
      <c r="VYQ149" s="60"/>
      <c r="VYR149" s="60"/>
      <c r="VYS149" s="60"/>
      <c r="VYT149" s="60"/>
      <c r="VYU149" s="60"/>
      <c r="VYV149" s="60"/>
      <c r="VYW149" s="60"/>
      <c r="VYX149" s="60"/>
      <c r="VYY149" s="60"/>
      <c r="VYZ149" s="60"/>
      <c r="VZA149" s="60"/>
      <c r="VZB149" s="60"/>
      <c r="VZC149" s="60"/>
      <c r="VZD149" s="60"/>
      <c r="VZE149" s="60"/>
      <c r="VZF149" s="60"/>
      <c r="VZG149" s="60"/>
      <c r="VZH149" s="60"/>
      <c r="VZI149" s="60"/>
      <c r="VZJ149" s="60"/>
      <c r="VZK149" s="60"/>
      <c r="VZL149" s="60"/>
      <c r="VZM149" s="60"/>
      <c r="VZN149" s="60"/>
      <c r="VZO149" s="60"/>
      <c r="VZP149" s="60"/>
      <c r="VZQ149" s="60"/>
      <c r="VZR149" s="60"/>
      <c r="VZS149" s="60"/>
      <c r="VZT149" s="60"/>
      <c r="VZU149" s="60"/>
      <c r="VZV149" s="60"/>
      <c r="VZW149" s="60"/>
      <c r="VZX149" s="60"/>
      <c r="VZY149" s="60"/>
      <c r="VZZ149" s="60"/>
      <c r="WAA149" s="60"/>
      <c r="WAB149" s="60"/>
      <c r="WAC149" s="60"/>
      <c r="WAD149" s="60"/>
      <c r="WAE149" s="60"/>
      <c r="WAF149" s="60"/>
      <c r="WAG149" s="60"/>
      <c r="WAH149" s="60"/>
      <c r="WAI149" s="60"/>
      <c r="WAJ149" s="60"/>
      <c r="WAK149" s="60"/>
      <c r="WAL149" s="60"/>
      <c r="WAM149" s="60"/>
      <c r="WAN149" s="60"/>
      <c r="WAO149" s="60"/>
      <c r="WAP149" s="60"/>
      <c r="WAQ149" s="60"/>
      <c r="WAR149" s="60"/>
      <c r="WAS149" s="60"/>
      <c r="WAT149" s="60"/>
      <c r="WAU149" s="60"/>
      <c r="WAV149" s="60"/>
      <c r="WAW149" s="60"/>
      <c r="WAX149" s="60"/>
      <c r="WAY149" s="60"/>
      <c r="WAZ149" s="60"/>
      <c r="WBA149" s="60"/>
      <c r="WBB149" s="60"/>
      <c r="WBC149" s="60"/>
      <c r="WBD149" s="60"/>
      <c r="WBE149" s="60"/>
      <c r="WBF149" s="60"/>
      <c r="WBG149" s="60"/>
      <c r="WBH149" s="60"/>
      <c r="WBI149" s="60"/>
      <c r="WBJ149" s="60"/>
      <c r="WBK149" s="60"/>
      <c r="WBL149" s="60"/>
      <c r="WBM149" s="60"/>
      <c r="WBN149" s="60"/>
      <c r="WBO149" s="60"/>
      <c r="WBP149" s="60"/>
      <c r="WBQ149" s="60"/>
      <c r="WBR149" s="60"/>
      <c r="WBS149" s="60"/>
      <c r="WBT149" s="60"/>
      <c r="WBU149" s="60"/>
      <c r="WBV149" s="60"/>
      <c r="WBW149" s="60"/>
      <c r="WBX149" s="60"/>
      <c r="WBY149" s="60"/>
      <c r="WBZ149" s="60"/>
      <c r="WCA149" s="60"/>
      <c r="WCB149" s="60"/>
      <c r="WCC149" s="60"/>
      <c r="WCD149" s="60"/>
      <c r="WCE149" s="60"/>
      <c r="WCF149" s="60"/>
      <c r="WCG149" s="60"/>
      <c r="WCH149" s="60"/>
      <c r="WCI149" s="60"/>
      <c r="WCJ149" s="60"/>
      <c r="WCK149" s="60"/>
      <c r="WCL149" s="60"/>
      <c r="WCM149" s="60"/>
      <c r="WCN149" s="60"/>
      <c r="WCO149" s="60"/>
      <c r="WCP149" s="60"/>
      <c r="WCQ149" s="60"/>
      <c r="WCR149" s="60"/>
      <c r="WCS149" s="60"/>
      <c r="WCT149" s="60"/>
      <c r="WCU149" s="60"/>
      <c r="WCV149" s="60"/>
      <c r="WCW149" s="60"/>
      <c r="WCX149" s="60"/>
      <c r="WCY149" s="60"/>
      <c r="WCZ149" s="60"/>
      <c r="WDA149" s="60"/>
      <c r="WDB149" s="60"/>
      <c r="WDC149" s="60"/>
      <c r="WDD149" s="60"/>
      <c r="WDE149" s="60"/>
      <c r="WDF149" s="60"/>
      <c r="WDG149" s="60"/>
      <c r="WDH149" s="60"/>
      <c r="WDI149" s="60"/>
      <c r="WDJ149" s="60"/>
      <c r="WDK149" s="60"/>
      <c r="WDL149" s="60"/>
      <c r="WDM149" s="60"/>
      <c r="WDN149" s="60"/>
      <c r="WDO149" s="60"/>
      <c r="WDP149" s="60"/>
      <c r="WDQ149" s="60"/>
      <c r="WDR149" s="60"/>
      <c r="WDS149" s="60"/>
      <c r="WDT149" s="60"/>
      <c r="WDU149" s="60"/>
      <c r="WDV149" s="60"/>
      <c r="WDW149" s="60"/>
      <c r="WDX149" s="60"/>
      <c r="WDY149" s="60"/>
      <c r="WDZ149" s="60"/>
      <c r="WEA149" s="60"/>
      <c r="WEB149" s="60"/>
      <c r="WEC149" s="60"/>
      <c r="WED149" s="60"/>
      <c r="WEE149" s="60"/>
      <c r="WEF149" s="60"/>
      <c r="WEG149" s="60"/>
      <c r="WEH149" s="60"/>
      <c r="WEI149" s="60"/>
      <c r="WEJ149" s="60"/>
      <c r="WEK149" s="60"/>
      <c r="WEL149" s="60"/>
      <c r="WEM149" s="60"/>
      <c r="WEN149" s="60"/>
      <c r="WEO149" s="60"/>
      <c r="WEP149" s="60"/>
      <c r="WEQ149" s="60"/>
      <c r="WER149" s="60"/>
      <c r="WES149" s="60"/>
      <c r="WET149" s="60"/>
      <c r="WEU149" s="60"/>
      <c r="WEV149" s="60"/>
      <c r="WEW149" s="60"/>
      <c r="WEX149" s="60"/>
      <c r="WEY149" s="60"/>
      <c r="WEZ149" s="60"/>
      <c r="WFA149" s="60"/>
      <c r="WFB149" s="60"/>
      <c r="WFC149" s="60"/>
      <c r="WFD149" s="60"/>
      <c r="WFE149" s="60"/>
      <c r="WFF149" s="60"/>
      <c r="WFG149" s="60"/>
      <c r="WFH149" s="60"/>
      <c r="WFI149" s="60"/>
      <c r="WFJ149" s="60"/>
      <c r="WFK149" s="60"/>
      <c r="WFL149" s="60"/>
      <c r="WFM149" s="60"/>
      <c r="WFN149" s="60"/>
      <c r="WFO149" s="60"/>
      <c r="WFP149" s="60"/>
      <c r="WFQ149" s="60"/>
      <c r="WFR149" s="60"/>
      <c r="WFS149" s="60"/>
      <c r="WFT149" s="60"/>
      <c r="WFU149" s="60"/>
      <c r="WFV149" s="60"/>
      <c r="WFW149" s="60"/>
      <c r="WFX149" s="60"/>
      <c r="WFY149" s="60"/>
      <c r="WFZ149" s="60"/>
      <c r="WGA149" s="60"/>
      <c r="WGB149" s="60"/>
      <c r="WGC149" s="60"/>
      <c r="WGD149" s="60"/>
      <c r="WGE149" s="60"/>
      <c r="WGF149" s="60"/>
      <c r="WGG149" s="60"/>
      <c r="WGH149" s="60"/>
      <c r="WGI149" s="60"/>
      <c r="WGJ149" s="60"/>
      <c r="WGK149" s="60"/>
      <c r="WGL149" s="60"/>
      <c r="WGM149" s="60"/>
      <c r="WGN149" s="60"/>
      <c r="WGO149" s="60"/>
      <c r="WGP149" s="60"/>
      <c r="WGQ149" s="60"/>
      <c r="WGR149" s="60"/>
      <c r="WGS149" s="60"/>
      <c r="WGT149" s="60"/>
      <c r="WGU149" s="60"/>
      <c r="WGV149" s="60"/>
      <c r="WGW149" s="60"/>
      <c r="WGX149" s="60"/>
      <c r="WGY149" s="60"/>
      <c r="WGZ149" s="60"/>
      <c r="WHA149" s="60"/>
      <c r="WHB149" s="60"/>
      <c r="WHC149" s="60"/>
      <c r="WHD149" s="60"/>
      <c r="WHE149" s="60"/>
      <c r="WHF149" s="60"/>
      <c r="WHG149" s="60"/>
      <c r="WHH149" s="60"/>
      <c r="WHI149" s="60"/>
      <c r="WHJ149" s="60"/>
      <c r="WHK149" s="60"/>
      <c r="WHL149" s="60"/>
      <c r="WHM149" s="60"/>
      <c r="WHN149" s="60"/>
      <c r="WHO149" s="60"/>
      <c r="WHP149" s="60"/>
      <c r="WHQ149" s="60"/>
      <c r="WHR149" s="60"/>
      <c r="WHS149" s="60"/>
      <c r="WHT149" s="60"/>
      <c r="WHU149" s="60"/>
      <c r="WHV149" s="60"/>
      <c r="WHW149" s="60"/>
      <c r="WHX149" s="60"/>
      <c r="WHY149" s="60"/>
      <c r="WHZ149" s="60"/>
      <c r="WIA149" s="60"/>
      <c r="WIB149" s="60"/>
      <c r="WIC149" s="60"/>
      <c r="WID149" s="60"/>
      <c r="WIE149" s="60"/>
      <c r="WIF149" s="60"/>
      <c r="WIG149" s="60"/>
      <c r="WIH149" s="60"/>
      <c r="WII149" s="60"/>
      <c r="WIJ149" s="60"/>
      <c r="WIK149" s="60"/>
      <c r="WIL149" s="60"/>
      <c r="WIM149" s="60"/>
      <c r="WIN149" s="60"/>
      <c r="WIO149" s="60"/>
      <c r="WIP149" s="60"/>
      <c r="WIQ149" s="60"/>
      <c r="WIR149" s="60"/>
      <c r="WIS149" s="60"/>
      <c r="WIT149" s="60"/>
      <c r="WIU149" s="60"/>
      <c r="WIV149" s="60"/>
      <c r="WIW149" s="60"/>
      <c r="WIX149" s="60"/>
      <c r="WIY149" s="60"/>
      <c r="WIZ149" s="60"/>
      <c r="WJA149" s="60"/>
      <c r="WJB149" s="60"/>
      <c r="WJC149" s="60"/>
      <c r="WJD149" s="60"/>
      <c r="WJE149" s="60"/>
      <c r="WJF149" s="60"/>
      <c r="WJG149" s="60"/>
      <c r="WJH149" s="60"/>
      <c r="WJI149" s="60"/>
      <c r="WJJ149" s="60"/>
      <c r="WJK149" s="60"/>
      <c r="WJL149" s="60"/>
      <c r="WJM149" s="60"/>
      <c r="WJN149" s="60"/>
      <c r="WJO149" s="60"/>
      <c r="WJP149" s="60"/>
      <c r="WJQ149" s="60"/>
      <c r="WJR149" s="60"/>
      <c r="WJS149" s="60"/>
      <c r="WJT149" s="60"/>
      <c r="WJU149" s="60"/>
      <c r="WJV149" s="60"/>
      <c r="WJW149" s="60"/>
      <c r="WJX149" s="60"/>
      <c r="WJY149" s="60"/>
      <c r="WJZ149" s="60"/>
      <c r="WKA149" s="60"/>
      <c r="WKB149" s="60"/>
      <c r="WKC149" s="60"/>
      <c r="WKD149" s="60"/>
      <c r="WKE149" s="60"/>
      <c r="WKF149" s="60"/>
      <c r="WKG149" s="60"/>
      <c r="WKH149" s="60"/>
      <c r="WKI149" s="60"/>
      <c r="WKJ149" s="60"/>
      <c r="WKK149" s="60"/>
      <c r="WKL149" s="60"/>
      <c r="WKM149" s="60"/>
      <c r="WKN149" s="60"/>
      <c r="WKO149" s="60"/>
      <c r="WKP149" s="60"/>
      <c r="WKQ149" s="60"/>
      <c r="WKR149" s="60"/>
      <c r="WKS149" s="60"/>
      <c r="WKT149" s="60"/>
      <c r="WKU149" s="60"/>
      <c r="WKV149" s="60"/>
      <c r="WKW149" s="60"/>
      <c r="WKX149" s="60"/>
      <c r="WKY149" s="60"/>
      <c r="WKZ149" s="60"/>
      <c r="WLA149" s="60"/>
      <c r="WLB149" s="60"/>
      <c r="WLC149" s="60"/>
      <c r="WLD149" s="60"/>
      <c r="WLE149" s="60"/>
      <c r="WLF149" s="60"/>
      <c r="WLG149" s="60"/>
      <c r="WLH149" s="60"/>
      <c r="WLI149" s="60"/>
      <c r="WLJ149" s="60"/>
      <c r="WLK149" s="60"/>
      <c r="WLL149" s="60"/>
      <c r="WLM149" s="60"/>
      <c r="WLN149" s="60"/>
      <c r="WLO149" s="60"/>
      <c r="WLP149" s="60"/>
      <c r="WLQ149" s="60"/>
      <c r="WLR149" s="60"/>
      <c r="WLS149" s="60"/>
      <c r="WLT149" s="60"/>
      <c r="WLU149" s="60"/>
      <c r="WLV149" s="60"/>
      <c r="WLW149" s="60"/>
      <c r="WLX149" s="60"/>
      <c r="WLY149" s="60"/>
      <c r="WLZ149" s="60"/>
      <c r="WMA149" s="60"/>
      <c r="WMB149" s="60"/>
      <c r="WMC149" s="60"/>
      <c r="WMD149" s="60"/>
      <c r="WME149" s="60"/>
      <c r="WMF149" s="60"/>
      <c r="WMG149" s="60"/>
      <c r="WMH149" s="60"/>
      <c r="WMI149" s="60"/>
      <c r="WMJ149" s="60"/>
      <c r="WMK149" s="60"/>
      <c r="WML149" s="60"/>
      <c r="WMM149" s="60"/>
      <c r="WMN149" s="60"/>
      <c r="WMO149" s="60"/>
      <c r="WMP149" s="60"/>
      <c r="WMQ149" s="60"/>
      <c r="WMR149" s="60"/>
      <c r="WMS149" s="60"/>
      <c r="WMT149" s="60"/>
      <c r="WMU149" s="60"/>
      <c r="WMV149" s="60"/>
      <c r="WMW149" s="60"/>
      <c r="WMX149" s="60"/>
      <c r="WMY149" s="60"/>
      <c r="WMZ149" s="60"/>
      <c r="WNA149" s="60"/>
      <c r="WNB149" s="60"/>
      <c r="WNC149" s="60"/>
      <c r="WND149" s="60"/>
      <c r="WNE149" s="60"/>
      <c r="WNF149" s="60"/>
      <c r="WNG149" s="60"/>
      <c r="WNH149" s="60"/>
      <c r="WNI149" s="60"/>
      <c r="WNJ149" s="60"/>
      <c r="WNK149" s="60"/>
      <c r="WNL149" s="60"/>
      <c r="WNM149" s="60"/>
      <c r="WNN149" s="60"/>
      <c r="WNO149" s="60"/>
      <c r="WNP149" s="60"/>
      <c r="WNQ149" s="60"/>
      <c r="WNR149" s="60"/>
      <c r="WNS149" s="60"/>
      <c r="WNT149" s="60"/>
      <c r="WNU149" s="60"/>
      <c r="WNV149" s="60"/>
      <c r="WNW149" s="60"/>
      <c r="WNX149" s="60"/>
      <c r="WNY149" s="60"/>
      <c r="WNZ149" s="60"/>
      <c r="WOA149" s="60"/>
      <c r="WOB149" s="60"/>
      <c r="WOC149" s="60"/>
      <c r="WOD149" s="60"/>
      <c r="WOE149" s="60"/>
      <c r="WOF149" s="60"/>
      <c r="WOG149" s="60"/>
      <c r="WOH149" s="60"/>
      <c r="WOI149" s="60"/>
      <c r="WOJ149" s="60"/>
      <c r="WOK149" s="60"/>
      <c r="WOL149" s="60"/>
      <c r="WOM149" s="60"/>
      <c r="WON149" s="60"/>
      <c r="WOO149" s="60"/>
      <c r="WOP149" s="60"/>
      <c r="WOQ149" s="60"/>
      <c r="WOR149" s="60"/>
      <c r="WOS149" s="60"/>
      <c r="WOT149" s="60"/>
      <c r="WOU149" s="60"/>
      <c r="WOV149" s="60"/>
      <c r="WOW149" s="60"/>
      <c r="WOX149" s="60"/>
      <c r="WOY149" s="60"/>
      <c r="WOZ149" s="60"/>
      <c r="WPA149" s="60"/>
      <c r="WPB149" s="60"/>
      <c r="WPC149" s="60"/>
      <c r="WPD149" s="60"/>
      <c r="WPE149" s="60"/>
      <c r="WPF149" s="60"/>
      <c r="WPG149" s="60"/>
      <c r="WPH149" s="60"/>
      <c r="WPI149" s="60"/>
      <c r="WPJ149" s="60"/>
      <c r="WPK149" s="60"/>
      <c r="WPL149" s="60"/>
      <c r="WPM149" s="60"/>
      <c r="WPN149" s="60"/>
      <c r="WPO149" s="60"/>
      <c r="WPP149" s="60"/>
      <c r="WPQ149" s="60"/>
      <c r="WPR149" s="60"/>
      <c r="WPS149" s="60"/>
      <c r="WPT149" s="60"/>
      <c r="WPU149" s="60"/>
      <c r="WPV149" s="60"/>
      <c r="WPW149" s="60"/>
      <c r="WPX149" s="60"/>
      <c r="WPY149" s="60"/>
      <c r="WPZ149" s="60"/>
      <c r="WQA149" s="60"/>
      <c r="WQB149" s="60"/>
      <c r="WQC149" s="60"/>
      <c r="WQD149" s="60"/>
      <c r="WQE149" s="60"/>
      <c r="WQF149" s="60"/>
      <c r="WQG149" s="60"/>
      <c r="WQH149" s="60"/>
      <c r="WQI149" s="60"/>
      <c r="WQJ149" s="60"/>
      <c r="WQK149" s="60"/>
      <c r="WQL149" s="60"/>
      <c r="WQM149" s="60"/>
      <c r="WQN149" s="60"/>
      <c r="WQO149" s="60"/>
      <c r="WQP149" s="60"/>
      <c r="WQQ149" s="60"/>
      <c r="WQR149" s="60"/>
      <c r="WQS149" s="60"/>
      <c r="WQT149" s="60"/>
      <c r="WQU149" s="60"/>
      <c r="WQV149" s="60"/>
      <c r="WQW149" s="60"/>
      <c r="WQX149" s="60"/>
      <c r="WQY149" s="60"/>
      <c r="WQZ149" s="60"/>
      <c r="WRA149" s="60"/>
      <c r="WRB149" s="60"/>
      <c r="WRC149" s="60"/>
      <c r="WRD149" s="60"/>
      <c r="WRE149" s="60"/>
      <c r="WRF149" s="60"/>
      <c r="WRG149" s="60"/>
      <c r="WRH149" s="60"/>
      <c r="WRI149" s="60"/>
      <c r="WRJ149" s="60"/>
      <c r="WRK149" s="60"/>
      <c r="WRL149" s="60"/>
      <c r="WRM149" s="60"/>
      <c r="WRN149" s="60"/>
      <c r="WRO149" s="60"/>
      <c r="WRP149" s="60"/>
      <c r="WRQ149" s="60"/>
      <c r="WRR149" s="60"/>
      <c r="WRS149" s="60"/>
      <c r="WRT149" s="60"/>
      <c r="WRU149" s="60"/>
      <c r="WRV149" s="60"/>
      <c r="WRW149" s="60"/>
      <c r="WRX149" s="60"/>
      <c r="WRY149" s="60"/>
      <c r="WRZ149" s="60"/>
      <c r="WSA149" s="60"/>
      <c r="WSB149" s="60"/>
      <c r="WSC149" s="60"/>
      <c r="WSD149" s="60"/>
      <c r="WSE149" s="60"/>
      <c r="WSF149" s="60"/>
      <c r="WSG149" s="60"/>
      <c r="WSH149" s="60"/>
      <c r="WSI149" s="60"/>
      <c r="WSJ149" s="60"/>
      <c r="WSK149" s="60"/>
      <c r="WSL149" s="60"/>
      <c r="WSM149" s="60"/>
      <c r="WSN149" s="60"/>
      <c r="WSO149" s="60"/>
      <c r="WSP149" s="60"/>
      <c r="WSQ149" s="60"/>
      <c r="WSR149" s="60"/>
      <c r="WSS149" s="60"/>
      <c r="WST149" s="60"/>
      <c r="WSU149" s="60"/>
      <c r="WSV149" s="60"/>
      <c r="WSW149" s="60"/>
      <c r="WSX149" s="60"/>
      <c r="WSY149" s="60"/>
      <c r="WSZ149" s="60"/>
      <c r="WTA149" s="60"/>
      <c r="WTB149" s="60"/>
      <c r="WTC149" s="60"/>
      <c r="WTD149" s="60"/>
      <c r="WTE149" s="60"/>
      <c r="WTF149" s="60"/>
      <c r="WTG149" s="60"/>
      <c r="WTH149" s="60"/>
      <c r="WTI149" s="60"/>
      <c r="WTJ149" s="60"/>
      <c r="WTK149" s="60"/>
      <c r="WTL149" s="60"/>
      <c r="WTM149" s="60"/>
      <c r="WTN149" s="60"/>
      <c r="WTO149" s="60"/>
      <c r="WTP149" s="60"/>
      <c r="WTQ149" s="60"/>
      <c r="WTR149" s="60"/>
      <c r="WTS149" s="60"/>
      <c r="WTT149" s="60"/>
      <c r="WTU149" s="60"/>
      <c r="WTV149" s="60"/>
      <c r="WTW149" s="60"/>
      <c r="WTX149" s="60"/>
      <c r="WTY149" s="60"/>
      <c r="WTZ149" s="60"/>
      <c r="WUA149" s="60"/>
      <c r="WUB149" s="60"/>
      <c r="WUC149" s="60"/>
      <c r="WUD149" s="60"/>
      <c r="WUE149" s="60"/>
      <c r="WUF149" s="60"/>
      <c r="WUG149" s="60"/>
      <c r="WUH149" s="60"/>
      <c r="WUI149" s="60"/>
      <c r="WUJ149" s="60"/>
      <c r="WUK149" s="60"/>
      <c r="WUL149" s="60"/>
      <c r="WUM149" s="60"/>
      <c r="WUN149" s="60"/>
      <c r="WUO149" s="60"/>
      <c r="WUP149" s="60"/>
      <c r="WUQ149" s="60"/>
      <c r="WUR149" s="60"/>
      <c r="WUS149" s="60"/>
      <c r="WUT149" s="60"/>
      <c r="WUU149" s="60"/>
      <c r="WUV149" s="60"/>
      <c r="WUW149" s="60"/>
      <c r="WUX149" s="60"/>
      <c r="WUY149" s="60"/>
      <c r="WUZ149" s="60"/>
      <c r="WVA149" s="60"/>
      <c r="WVB149" s="60"/>
      <c r="WVC149" s="60"/>
      <c r="WVD149" s="60"/>
      <c r="WVE149" s="60"/>
      <c r="WVF149" s="60"/>
      <c r="WVG149" s="60"/>
      <c r="WVH149" s="60"/>
      <c r="WVI149" s="60"/>
      <c r="WVJ149" s="60"/>
      <c r="WVK149" s="60"/>
      <c r="WVL149" s="60"/>
      <c r="WVM149" s="60"/>
      <c r="WVN149" s="60"/>
      <c r="WVO149" s="60"/>
      <c r="WVP149" s="60"/>
      <c r="WVQ149" s="60"/>
      <c r="WVR149" s="60"/>
      <c r="WVS149" s="60"/>
      <c r="WVT149" s="60"/>
      <c r="WVU149" s="60"/>
      <c r="WVV149" s="60"/>
      <c r="WVW149" s="60"/>
      <c r="WVX149" s="60"/>
      <c r="WVY149" s="60"/>
      <c r="WVZ149" s="60"/>
      <c r="WWA149" s="60"/>
      <c r="WWB149" s="60"/>
      <c r="WWC149" s="60"/>
      <c r="WWD149" s="60"/>
      <c r="WWE149" s="60"/>
      <c r="WWF149" s="60"/>
      <c r="WWG149" s="60"/>
      <c r="WWH149" s="60"/>
      <c r="WWI149" s="60"/>
      <c r="WWJ149" s="60"/>
      <c r="WWK149" s="60"/>
      <c r="WWL149" s="60"/>
      <c r="WWM149" s="60"/>
      <c r="WWN149" s="60"/>
      <c r="WWO149" s="60"/>
      <c r="WWP149" s="60"/>
      <c r="WWQ149" s="60"/>
      <c r="WWR149" s="60"/>
      <c r="WWS149" s="60"/>
      <c r="WWT149" s="60"/>
      <c r="WWU149" s="60"/>
      <c r="WWV149" s="60"/>
      <c r="WWW149" s="60"/>
      <c r="WWX149" s="60"/>
      <c r="WWY149" s="60"/>
      <c r="WWZ149" s="60"/>
      <c r="WXA149" s="60"/>
      <c r="WXB149" s="60"/>
      <c r="WXC149" s="60"/>
      <c r="WXD149" s="60"/>
      <c r="WXE149" s="60"/>
      <c r="WXF149" s="60"/>
      <c r="WXG149" s="60"/>
      <c r="WXH149" s="60"/>
      <c r="WXI149" s="60"/>
      <c r="WXJ149" s="60"/>
      <c r="WXK149" s="60"/>
      <c r="WXL149" s="60"/>
      <c r="WXM149" s="60"/>
      <c r="WXN149" s="60"/>
      <c r="WXO149" s="60"/>
      <c r="WXP149" s="60"/>
      <c r="WXQ149" s="60"/>
      <c r="WXR149" s="60"/>
      <c r="WXS149" s="60"/>
      <c r="WXT149" s="60"/>
      <c r="WXU149" s="60"/>
      <c r="WXV149" s="60"/>
      <c r="WXW149" s="60"/>
      <c r="WXX149" s="60"/>
      <c r="WXY149" s="60"/>
      <c r="WXZ149" s="60"/>
      <c r="WYA149" s="60"/>
      <c r="WYB149" s="60"/>
      <c r="WYC149" s="60"/>
      <c r="WYD149" s="60"/>
      <c r="WYE149" s="60"/>
      <c r="WYF149" s="60"/>
      <c r="WYG149" s="60"/>
      <c r="WYH149" s="60"/>
      <c r="WYI149" s="60"/>
      <c r="WYJ149" s="60"/>
      <c r="WYK149" s="60"/>
      <c r="WYL149" s="60"/>
      <c r="WYM149" s="60"/>
      <c r="WYN149" s="60"/>
      <c r="WYO149" s="60"/>
      <c r="WYP149" s="60"/>
      <c r="WYQ149" s="60"/>
      <c r="WYR149" s="60"/>
      <c r="WYS149" s="60"/>
      <c r="WYT149" s="60"/>
      <c r="WYU149" s="60"/>
      <c r="WYV149" s="60"/>
      <c r="WYW149" s="60"/>
      <c r="WYX149" s="60"/>
      <c r="WYY149" s="60"/>
      <c r="WYZ149" s="60"/>
      <c r="WZA149" s="60"/>
      <c r="WZB149" s="60"/>
      <c r="WZC149" s="60"/>
      <c r="WZD149" s="60"/>
      <c r="WZE149" s="60"/>
      <c r="WZF149" s="60"/>
      <c r="WZG149" s="60"/>
      <c r="WZH149" s="60"/>
      <c r="WZI149" s="60"/>
      <c r="WZJ149" s="60"/>
      <c r="WZK149" s="60"/>
      <c r="WZL149" s="60"/>
      <c r="WZM149" s="60"/>
      <c r="WZN149" s="60"/>
      <c r="WZO149" s="60"/>
      <c r="WZP149" s="60"/>
      <c r="WZQ149" s="60"/>
      <c r="WZR149" s="60"/>
      <c r="WZS149" s="60"/>
      <c r="WZT149" s="60"/>
      <c r="WZU149" s="60"/>
      <c r="WZV149" s="60"/>
      <c r="WZW149" s="60"/>
      <c r="WZX149" s="60"/>
      <c r="WZY149" s="60"/>
      <c r="WZZ149" s="60"/>
      <c r="XAA149" s="60"/>
      <c r="XAB149" s="60"/>
      <c r="XAC149" s="60"/>
      <c r="XAD149" s="60"/>
      <c r="XAE149" s="60"/>
      <c r="XAF149" s="60"/>
      <c r="XAG149" s="60"/>
      <c r="XAH149" s="60"/>
      <c r="XAI149" s="60"/>
      <c r="XAJ149" s="60"/>
      <c r="XAK149" s="60"/>
      <c r="XAL149" s="60"/>
      <c r="XAM149" s="60"/>
      <c r="XAN149" s="60"/>
      <c r="XAO149" s="60"/>
      <c r="XAP149" s="60"/>
      <c r="XAQ149" s="60"/>
      <c r="XAR149" s="60"/>
      <c r="XAS149" s="60"/>
      <c r="XAT149" s="60"/>
      <c r="XAU149" s="60"/>
      <c r="XAV149" s="60"/>
      <c r="XAW149" s="60"/>
      <c r="XAX149" s="60"/>
      <c r="XAY149" s="60"/>
      <c r="XAZ149" s="60"/>
      <c r="XBA149" s="60"/>
      <c r="XBB149" s="60"/>
      <c r="XBC149" s="60"/>
      <c r="XBD149" s="60"/>
      <c r="XBE149" s="60"/>
      <c r="XBF149" s="60"/>
      <c r="XBG149" s="60"/>
      <c r="XBH149" s="60"/>
      <c r="XBI149" s="60"/>
      <c r="XBJ149" s="60"/>
      <c r="XBK149" s="60"/>
      <c r="XBL149" s="60"/>
      <c r="XBM149" s="60"/>
      <c r="XBN149" s="60"/>
      <c r="XBO149" s="60"/>
      <c r="XBP149" s="60"/>
      <c r="XBQ149" s="60"/>
      <c r="XBR149" s="60"/>
      <c r="XBS149" s="60"/>
      <c r="XBT149" s="60"/>
      <c r="XBU149" s="60"/>
      <c r="XBV149" s="60"/>
      <c r="XBW149" s="60"/>
      <c r="XBX149" s="60"/>
      <c r="XBY149" s="60"/>
      <c r="XBZ149" s="60"/>
      <c r="XCA149" s="60"/>
      <c r="XCB149" s="60"/>
      <c r="XCC149" s="60"/>
      <c r="XCD149" s="60"/>
      <c r="XCE149" s="60"/>
      <c r="XCF149" s="60"/>
      <c r="XCG149" s="60"/>
      <c r="XCH149" s="60"/>
      <c r="XCI149" s="60"/>
      <c r="XCJ149" s="60"/>
      <c r="XCK149" s="60"/>
      <c r="XCL149" s="60"/>
      <c r="XCM149" s="60"/>
      <c r="XCN149" s="60"/>
      <c r="XCO149" s="60"/>
      <c r="XCP149" s="60"/>
      <c r="XCQ149" s="60"/>
      <c r="XCR149" s="60"/>
      <c r="XCS149" s="60"/>
      <c r="XCT149" s="60"/>
      <c r="XCU149" s="60"/>
      <c r="XCV149" s="60"/>
      <c r="XCW149" s="60"/>
      <c r="XCX149" s="60"/>
      <c r="XCY149" s="60"/>
      <c r="XCZ149" s="60"/>
      <c r="XDA149" s="60"/>
      <c r="XDB149" s="60"/>
      <c r="XDC149" s="60"/>
      <c r="XDD149" s="60"/>
      <c r="XDE149" s="60"/>
      <c r="XDF149" s="60"/>
      <c r="XDG149" s="60"/>
      <c r="XDH149" s="60"/>
      <c r="XDI149" s="60"/>
      <c r="XDJ149" s="60"/>
      <c r="XDK149" s="60"/>
      <c r="XDL149" s="60"/>
      <c r="XDM149" s="60"/>
      <c r="XDN149" s="60"/>
      <c r="XDO149" s="60"/>
      <c r="XDP149" s="60"/>
      <c r="XDQ149" s="60"/>
      <c r="XDR149" s="60"/>
      <c r="XDS149" s="60"/>
      <c r="XDT149" s="60"/>
      <c r="XDU149" s="60"/>
      <c r="XDV149" s="60"/>
      <c r="XDW149" s="60"/>
      <c r="XDX149" s="60"/>
      <c r="XDY149" s="60"/>
      <c r="XDZ149" s="60"/>
      <c r="XEA149" s="60"/>
      <c r="XEB149" s="60"/>
      <c r="XEC149" s="60"/>
      <c r="XED149" s="60"/>
      <c r="XEE149" s="60"/>
      <c r="XEF149" s="60"/>
      <c r="XEG149" s="60"/>
      <c r="XEH149" s="60"/>
      <c r="XEI149" s="60"/>
      <c r="XEJ149" s="60"/>
      <c r="XEK149" s="60"/>
      <c r="XEL149" s="60"/>
      <c r="XEM149" s="60"/>
      <c r="XEN149" s="60"/>
      <c r="XEO149" s="60"/>
      <c r="XEP149" s="60"/>
      <c r="XEQ149" s="60"/>
      <c r="XER149" s="60"/>
      <c r="XES149" s="60"/>
      <c r="XET149" s="60"/>
      <c r="XEU149" s="60"/>
      <c r="XEV149" s="60"/>
      <c r="XEW149" s="60"/>
      <c r="XEX149" s="60"/>
      <c r="XEY149" s="60"/>
      <c r="XEZ149" s="60"/>
      <c r="XFA149" s="60"/>
      <c r="XFB149" s="60"/>
      <c r="XFC149" s="60"/>
      <c r="XFD149" s="60"/>
    </row>
    <row r="150" spans="1:16384" x14ac:dyDescent="0.25">
      <c r="B150" s="10"/>
      <c r="C150" s="10"/>
      <c r="D150" s="11"/>
      <c r="E150" s="10"/>
      <c r="F150" s="10"/>
      <c r="G150" s="10"/>
      <c r="H150" s="10"/>
      <c r="I150" s="10"/>
    </row>
    <row r="151" spans="1:16384" x14ac:dyDescent="0.25">
      <c r="B151" s="10"/>
      <c r="C151" s="10"/>
      <c r="D151" s="11"/>
      <c r="E151" s="10"/>
      <c r="F151" s="10"/>
      <c r="G151" s="10"/>
      <c r="H151" s="10"/>
      <c r="I151" s="10"/>
    </row>
    <row r="152" spans="1:16384" x14ac:dyDescent="0.25">
      <c r="B152" s="10"/>
      <c r="C152" s="10"/>
      <c r="D152" s="11"/>
      <c r="E152" s="10"/>
      <c r="F152" s="10"/>
      <c r="G152" s="10"/>
      <c r="H152" s="10"/>
      <c r="I152" s="10"/>
    </row>
    <row r="153" spans="1:16384" x14ac:dyDescent="0.25">
      <c r="B153" s="10"/>
      <c r="C153" s="10"/>
      <c r="D153" s="11"/>
      <c r="E153" s="10"/>
      <c r="F153" s="10"/>
      <c r="G153" s="10"/>
      <c r="H153" s="10"/>
      <c r="I153" s="10"/>
    </row>
    <row r="154" spans="1:16384" ht="28.5" x14ac:dyDescent="0.25">
      <c r="A154" s="42" t="s">
        <v>429</v>
      </c>
      <c r="B154" s="43" t="s">
        <v>22</v>
      </c>
      <c r="C154" s="43" t="s">
        <v>33</v>
      </c>
      <c r="D154" s="43" t="s">
        <v>28</v>
      </c>
      <c r="E154" s="43" t="s">
        <v>57</v>
      </c>
      <c r="F154" s="43" t="s">
        <v>87</v>
      </c>
      <c r="G154" s="43" t="s">
        <v>310</v>
      </c>
      <c r="H154" s="43" t="s">
        <v>43</v>
      </c>
      <c r="I154" s="44" t="s">
        <v>64</v>
      </c>
      <c r="J154" s="57" t="s">
        <v>969</v>
      </c>
      <c r="K154" s="58"/>
      <c r="L154" s="58"/>
      <c r="M154" s="58"/>
      <c r="N154" s="58"/>
      <c r="O154" s="2"/>
      <c r="P154" s="2"/>
      <c r="Q154" s="2"/>
      <c r="R154" s="2"/>
      <c r="S154" s="2"/>
      <c r="T154" s="2"/>
      <c r="U154" s="2"/>
    </row>
    <row r="155" spans="1:16384" x14ac:dyDescent="0.25">
      <c r="A155" s="12">
        <v>46023</v>
      </c>
      <c r="B155" s="13">
        <f>COUNTIFS(Table4[MONTH],"1-2026",Table4[Consignee],"VFL")</f>
        <v>9</v>
      </c>
      <c r="C155" s="13">
        <f>COUNTIFS(Table4[MONTH],"1-2026",Table4[Consignee],"Sportline")</f>
        <v>2</v>
      </c>
      <c r="D155" s="14">
        <f>COUNTIFS(Table4[MONTH],"1-2026",Table4[Port Clear],"SHV")</f>
        <v>3</v>
      </c>
      <c r="E155" s="13">
        <f>COUNTIFS(Table4[MONTH],"1-2026",Table4[Port Clear],"OLAIR")</f>
        <v>3</v>
      </c>
      <c r="F155" s="13">
        <f>COUNTIFS(Table4[MONTH],"1-2026",Table4[Port Clear],"TEC SRUN")</f>
        <v>0</v>
      </c>
      <c r="G155" s="13">
        <f>COUNTIFS(Table4[MONTH],"1-2026",Table4[Port Clear],"PREMIUM")</f>
        <v>0</v>
      </c>
      <c r="H155" s="13">
        <f>COUNTIFS(Table4[MONTH],"1-2026",Table4[Port Clear],"KTI")</f>
        <v>4</v>
      </c>
      <c r="I155" s="13">
        <f>COUNTIFS(Table4[MONTH],"1-2026",Table4[Port Clear],"SO NGUON-BAVET")</f>
        <v>1</v>
      </c>
      <c r="J155" s="147">
        <f>COUNTIFS(Table4[MONTH],"1-2026",Table4[Port Clear],"CHAY DA")</f>
        <v>0</v>
      </c>
    </row>
    <row r="156" spans="1:16384" x14ac:dyDescent="0.25">
      <c r="A156" s="12">
        <v>46054</v>
      </c>
      <c r="B156" s="13">
        <f>COUNTIFS(Table4[MONTH],"2-2026",Table4[Consignee],"VFL")</f>
        <v>6</v>
      </c>
      <c r="C156" s="13">
        <f>COUNTIFS(Table4[MONTH],"2-2026",Table4[Consignee],"Sportline")</f>
        <v>6</v>
      </c>
      <c r="D156" s="14">
        <f>COUNTIFS(Table4[MONTH],"2-2026",Table4[Port Clear],"SHV")</f>
        <v>5</v>
      </c>
      <c r="E156" s="13">
        <f>COUNTIFS(Table4[MONTH],"2-2026",Table4[Port Clear],"OLAIR")</f>
        <v>3</v>
      </c>
      <c r="F156" s="13">
        <f>COUNTIFS(Table4[MONTH],"2-2026",Table4[Port Clear],"TEC SRUN")</f>
        <v>2</v>
      </c>
      <c r="G156" s="13">
        <f>COUNTIFS(Table4[MONTH],"2-2026",Table4[Port Clear],"PREMIUM")</f>
        <v>0</v>
      </c>
      <c r="H156" s="13">
        <f>COUNTIFS(Table4[MONTH],"2-2026",Table4[Port Clear],"KTI")</f>
        <v>2</v>
      </c>
      <c r="I156" s="13">
        <f>COUNTIFS(Table4[MONTH],"2-2026",Table4[Port Clear],"SO NGUON-BAVET")</f>
        <v>0</v>
      </c>
      <c r="J156" s="147">
        <f>COUNTIFS(Table4[MONTH],"2-2026",Table4[Port Clear],"CHAY DA")</f>
        <v>0</v>
      </c>
    </row>
    <row r="157" spans="1:16384" x14ac:dyDescent="0.25">
      <c r="A157" s="12">
        <v>46082</v>
      </c>
      <c r="B157" s="13">
        <f>COUNTIFS(Table4[MONTH],"3-2026",Table4[Consignee],"VFL")</f>
        <v>11</v>
      </c>
      <c r="C157" s="13">
        <f>COUNTIFS(Table4[MONTH],"3-2026",Table4[Consignee],"Sportline")</f>
        <v>9</v>
      </c>
      <c r="D157" s="14">
        <f>COUNTIFS(Table4[MONTH],"3-2026",Table4[Port Clear],"SHV")</f>
        <v>9</v>
      </c>
      <c r="E157" s="13">
        <f>COUNTIFS(Table4[MONTH],"3-2026",Table4[Port Clear],"OLAIR")</f>
        <v>3</v>
      </c>
      <c r="F157" s="13">
        <f>COUNTIFS(Table4[MONTH],"3-2026",Table4[Port Clear],"TEC SRUN")</f>
        <v>4</v>
      </c>
      <c r="G157" s="13">
        <f>COUNTIFS(Table4[MONTH],"3-2026",Table4[Port Clear],"PREMIUM")</f>
        <v>0</v>
      </c>
      <c r="H157" s="13">
        <f>COUNTIFS(Table4[MONTH],"3-2026",Table4[Port Clear],"KTI")</f>
        <v>4</v>
      </c>
      <c r="I157" s="13">
        <f>COUNTIFS(Table4[MONTH],"3-2026",Table4[Port Clear],"SO NGUON-BAVET")</f>
        <v>0</v>
      </c>
      <c r="J157" s="147">
        <f>COUNTIFS(Table4[MONTH],"3-2026",Table4[Port Clear],"CHAY DA")</f>
        <v>0</v>
      </c>
    </row>
    <row r="158" spans="1:16384" x14ac:dyDescent="0.25">
      <c r="A158" s="12">
        <v>46113</v>
      </c>
      <c r="B158" s="13">
        <f>COUNTIFS(Table4[MONTH],"4-2026",Table4[Consignee],"VFL")</f>
        <v>8</v>
      </c>
      <c r="C158" s="13">
        <f>COUNTIFS(Table4[MONTH],"4-2026",Table4[Consignee],"Sportline")</f>
        <v>7</v>
      </c>
      <c r="D158" s="14">
        <f>COUNTIFS(Table4[MONTH],"4-2026",Table4[Port Clear],"SHV")</f>
        <v>6</v>
      </c>
      <c r="E158" s="13">
        <f>COUNTIFS(Table4[MONTH],"4-2026",Table4[Port Clear],"OLAIR")</f>
        <v>0</v>
      </c>
      <c r="F158" s="13">
        <f>COUNTIFS(Table4[MONTH],"4-2026",Table4[Port Clear],"TEC SRUN")</f>
        <v>2</v>
      </c>
      <c r="G158" s="13">
        <f>COUNTIFS(Table4[MONTH],"4-2026",Table4[Port Clear],"PREMIUM")</f>
        <v>0</v>
      </c>
      <c r="H158" s="13">
        <f>COUNTIFS(Table4[MONTH],"4-2026",Table4[Port Clear],"KTI")</f>
        <v>5</v>
      </c>
      <c r="I158" s="13">
        <f>COUNTIFS(Table4[MONTH],"4-2026",Table4[Port Clear],"SO NGUON-BAVET")</f>
        <v>1</v>
      </c>
      <c r="J158" s="147">
        <f>COUNTIFS(Table4[MONTH],"4-2026",Table4[Port Clear],"CHAY DA")</f>
        <v>0</v>
      </c>
    </row>
    <row r="159" spans="1:16384" x14ac:dyDescent="0.25">
      <c r="A159" s="12">
        <v>46143</v>
      </c>
      <c r="B159" s="13">
        <f>COUNTIFS(Table4[MONTH],"5-2026",Table4[Consignee],"VFL")</f>
        <v>5</v>
      </c>
      <c r="C159" s="13">
        <f>COUNTIFS(Table4[MONTH],"5-2026",Table4[Consignee],"Sportline")</f>
        <v>7</v>
      </c>
      <c r="D159" s="14">
        <f>COUNTIFS(Table4[MONTH],"5-2026",Table4[Port Clear],"SHV")</f>
        <v>5</v>
      </c>
      <c r="E159" s="13">
        <f>COUNTIFS(Table4[MONTH],"5-2026",Table4[Port Clear],"OLAIR")</f>
        <v>2</v>
      </c>
      <c r="F159" s="13">
        <f>COUNTIFS(Table4[MONTH],"5-2026",Table4[Port Clear],"TEC SRUN")</f>
        <v>4</v>
      </c>
      <c r="G159" s="13">
        <f>COUNTIFS(Table4[MONTH],"5-2026",Table4[Port Clear],"PREMIUM")</f>
        <v>0</v>
      </c>
      <c r="H159" s="13">
        <f>COUNTIFS(Table4[MONTH],"5-2026",Table4[Port Clear],"KTI")</f>
        <v>1</v>
      </c>
      <c r="I159" s="13">
        <f>COUNTIFS(Table4[MONTH],"5-2026",Table4[Port Clear],"SO NGUON-BAVET")</f>
        <v>0</v>
      </c>
      <c r="J159" s="147">
        <f>COUNTIFS(Table4[MONTH],"5-2026",Table4[Port Clear],"CHAY DA")</f>
        <v>0</v>
      </c>
    </row>
    <row r="160" spans="1:16384" x14ac:dyDescent="0.25">
      <c r="A160" s="12">
        <v>46174</v>
      </c>
      <c r="B160" s="13">
        <f>COUNTIFS(Table4[MONTH],"6-2026",Table4[Consignee],"VFL")</f>
        <v>5</v>
      </c>
      <c r="C160" s="13">
        <f>COUNTIFS(Table4[MONTH],"6-2026",Table4[Consignee],"Sportline")</f>
        <v>7</v>
      </c>
      <c r="D160" s="14">
        <f>COUNTIFS(Table4[MONTH],"6-2026",Table4[Port Clear],"SHV")</f>
        <v>6</v>
      </c>
      <c r="E160" s="13">
        <f>COUNTIFS(Table4[MONTH],"6-2026",Table4[Port Clear],"OLAIR")</f>
        <v>0</v>
      </c>
      <c r="F160" s="13">
        <f>COUNTIFS(Table4[MONTH],"6-2026",Table4[Port Clear],"TEC SRUN")</f>
        <v>3</v>
      </c>
      <c r="G160" s="13">
        <f>COUNTIFS(Table4[MONTH],"6-2026",Table4[Port Clear],"PREMIUM")</f>
        <v>2</v>
      </c>
      <c r="H160" s="13">
        <f>COUNTIFS(Table4[MONTH],"6-2026",Table4[Port Clear],"KTI")</f>
        <v>1</v>
      </c>
      <c r="I160" s="13">
        <f>COUNTIFS(Table4[MONTH],"6-2026",Table4[Port Clear],"SO NGUON-BAVET")</f>
        <v>0</v>
      </c>
      <c r="J160" s="147">
        <f>COUNTIFS(Table4[MONTH],"6-2026",Table4[Port Clear],"CHAY DA")</f>
        <v>0</v>
      </c>
    </row>
    <row r="161" spans="1:10" x14ac:dyDescent="0.25">
      <c r="A161" s="12">
        <v>46204</v>
      </c>
      <c r="B161" s="13">
        <f>COUNTIFS(Table4[MONTH],"7-2026",Table4[Consignee],"VFL")</f>
        <v>14</v>
      </c>
      <c r="C161" s="13">
        <f>COUNTIFS(Table4[MONTH],"7-2026",Table4[Consignee],"Sportline")</f>
        <v>9</v>
      </c>
      <c r="D161" s="14">
        <f>COUNTIFS(Table4[MONTH],"7-2026",Table4[Port Clear],"SHV")</f>
        <v>6</v>
      </c>
      <c r="E161" s="13">
        <f>COUNTIFS(Table4[MONTH],"7-2026",Table4[Port Clear],"OLAIR")</f>
        <v>1</v>
      </c>
      <c r="F161" s="13">
        <f>COUNTIFS(Table4[MONTH],"7-2026",Table4[Port Clear],"TEC SRUN")</f>
        <v>6</v>
      </c>
      <c r="G161" s="13">
        <f>COUNTIFS(Table4[MONTH],"7-2026",Table4[Port Clear],"PREMIUM")</f>
        <v>2</v>
      </c>
      <c r="H161" s="13">
        <f>COUNTIFS(Table4[MONTH],"7-2026",Table4[Port Clear],"KTI")</f>
        <v>7</v>
      </c>
      <c r="I161" s="13">
        <f>COUNTIFS(Table4[MONTH],"7-2026",Table4[Port Clear],"SO NGUON-BAVET")</f>
        <v>0</v>
      </c>
      <c r="J161" s="147">
        <f>COUNTIFS(Table4[MONTH],"7-2026",Table4[Port Clear],"CHAY DA")</f>
        <v>0</v>
      </c>
    </row>
    <row r="162" spans="1:10" x14ac:dyDescent="0.25">
      <c r="A162" s="12">
        <v>46235</v>
      </c>
      <c r="B162" s="13">
        <f>COUNTIFS(Table4[MONTH],"8-2026",Table4[Consignee],"VFL")</f>
        <v>11</v>
      </c>
      <c r="C162" s="13">
        <f>COUNTIFS(Table4[MONTH],"8-2026",Table4[Consignee],"Sportline")</f>
        <v>3</v>
      </c>
      <c r="D162" s="14">
        <f>COUNTIFS(Table4[MONTH],"8-2026",Table4[Port Clear],"SHV")</f>
        <v>3</v>
      </c>
      <c r="E162" s="13">
        <f>COUNTIFS(Table4[MONTH],"8-2026",Table4[Port Clear],"OLAIR")</f>
        <v>3</v>
      </c>
      <c r="F162" s="13">
        <f>COUNTIFS(Table4[MONTH],"8-2026",Table4[Port Clear],"TEC SRUN")</f>
        <v>3</v>
      </c>
      <c r="G162" s="13">
        <f>COUNTIFS(Table4[MONTH],"8-2026",Table4[Port Clear],"PREMIUM")</f>
        <v>0</v>
      </c>
      <c r="H162" s="13">
        <f>COUNTIFS(Table4[MONTH],"8-2026",Table4[Port Clear],"KTI")</f>
        <v>4</v>
      </c>
      <c r="I162" s="13">
        <f>COUNTIFS(Table4[MONTH],"8-2026",Table4[Port Clear],"SO NGUON-BAVET")</f>
        <v>1</v>
      </c>
      <c r="J162" s="147">
        <f>COUNTIFS(Table4[MONTH],"8-2026",Table4[Port Clear],"CHAY DA")</f>
        <v>0</v>
      </c>
    </row>
    <row r="163" spans="1:10" x14ac:dyDescent="0.25">
      <c r="A163" s="12">
        <v>46266</v>
      </c>
      <c r="B163" s="13">
        <f>COUNTIFS(Table4[MONTH],"9-2026",Table4[Consignee],"VFL")</f>
        <v>10</v>
      </c>
      <c r="C163" s="13">
        <f>COUNTIFS(Table4[MONTH],"9-2026",Table4[Consignee],"Sportline")</f>
        <v>5</v>
      </c>
      <c r="D163" s="14">
        <f>COUNTIFS(Table4[MONTH],"9-2026",Table4[Port Clear],"SHV")</f>
        <v>6</v>
      </c>
      <c r="E163" s="13">
        <f>COUNTIFS(Table4[MONTH],"9-2026",Table4[Port Clear],"OLAIR")</f>
        <v>2</v>
      </c>
      <c r="F163" s="13">
        <f>COUNTIFS(Table4[MONTH],"9-2026",Table4[Port Clear],"TEC SRUN")</f>
        <v>2</v>
      </c>
      <c r="G163" s="13">
        <f>COUNTIFS(Table4[MONTH],"9-2026",Table4[Port Clear],"PREMIUM")</f>
        <v>0</v>
      </c>
      <c r="H163" s="13">
        <f>COUNTIFS(Table4[MONTH],"9-2026",Table4[Port Clear],"KTI")</f>
        <v>2</v>
      </c>
      <c r="I163" s="13">
        <f>COUNTIFS(Table4[MONTH],"9-2026",Table4[Port Clear],"SO NGUON-BAVET")</f>
        <v>0</v>
      </c>
      <c r="J163" s="147">
        <f>COUNTIFS(Table4[MONTH],"9-2026",Table4[Port Clear],"CHAY DA")</f>
        <v>2</v>
      </c>
    </row>
    <row r="164" spans="1:10" x14ac:dyDescent="0.25">
      <c r="A164" s="12">
        <v>46296</v>
      </c>
      <c r="B164" s="13">
        <f>COUNTIFS(Table4[MONTH],"10-2026",Table4[Consignee],"VFL")</f>
        <v>4</v>
      </c>
      <c r="C164" s="13">
        <f>COUNTIFS(Table4[MONTH],"10-2026",Table4[Consignee],"Sportline")</f>
        <v>3</v>
      </c>
      <c r="D164" s="14">
        <f>COUNTIFS(Table4[MONTH],"10-2026",Table4[Port Clear],"SHV")</f>
        <v>4</v>
      </c>
      <c r="E164" s="13">
        <f>COUNTIFS(Table4[MONTH],"10-2026",Table4[Port Clear],"OLAIR")</f>
        <v>1</v>
      </c>
      <c r="F164" s="13">
        <f>COUNTIFS(Table4[MONTH],"10-2026",Table4[Port Clear],"TEC SRUN")</f>
        <v>1</v>
      </c>
      <c r="G164" s="13">
        <f>COUNTIFS(Table4[MONTH],"10-2026",Table4[Port Clear],"PREMIUM")</f>
        <v>0</v>
      </c>
      <c r="H164" s="13">
        <f>COUNTIFS(Table4[MONTH],"10-2026",Table4[Port Clear],"KTI")</f>
        <v>1</v>
      </c>
      <c r="I164" s="13">
        <f>COUNTIFS(Table4[MONTH],"10-2026",Table4[Port Clear],"SO NGUON-BAVET")</f>
        <v>0</v>
      </c>
      <c r="J164" s="147">
        <f>COUNTIFS(Table4[MONTH],"10-2026",Table4[Port Clear],"CHAY DA")</f>
        <v>0</v>
      </c>
    </row>
    <row r="165" spans="1:10" x14ac:dyDescent="0.25">
      <c r="A165" s="12">
        <v>46327</v>
      </c>
      <c r="B165" s="13">
        <f>COUNTIFS(Table4[MONTH],"11-2026",Table4[Consignee],"VFL")</f>
        <v>0</v>
      </c>
      <c r="C165" s="13">
        <f>COUNTIFS(Table4[MONTH],"11-2026",Table4[Consignee],"Sportline")</f>
        <v>0</v>
      </c>
      <c r="D165" s="14">
        <f>COUNTIFS(Table4[MONTH],"11-2026",Table4[Port Clear],"SHV")</f>
        <v>0</v>
      </c>
      <c r="E165" s="13">
        <f>COUNTIFS(Table4[MONTH],"11-2026",Table4[Port Clear],"OLAIR")</f>
        <v>0</v>
      </c>
      <c r="F165" s="13">
        <f>COUNTIFS(Table4[MONTH],"11-2026",Table4[Port Clear],"TEC SRUN")</f>
        <v>0</v>
      </c>
      <c r="G165" s="13">
        <f>COUNTIFS(Table4[MONTH],"11-2026",Table4[Port Clear],"PREMIUM")</f>
        <v>0</v>
      </c>
      <c r="H165" s="13">
        <f>COUNTIFS(Table4[MONTH],"11-2026",Table4[Port Clear],"KTI")</f>
        <v>0</v>
      </c>
      <c r="I165" s="13">
        <f>COUNTIFS(Table4[MONTH],"11-2026",Table4[Port Clear],"SO NGUON-BAVET")</f>
        <v>0</v>
      </c>
      <c r="J165" s="147">
        <f>COUNTIFS(Table4[MONTH],"11-2026",Table4[Port Clear],"CHAY DA")</f>
        <v>0</v>
      </c>
    </row>
    <row r="166" spans="1:10" x14ac:dyDescent="0.25">
      <c r="A166" s="15">
        <v>46357</v>
      </c>
      <c r="B166" s="16">
        <f>COUNTIFS(Table4[MONTH],"12-2026",Table4[Consignee],"VFL")</f>
        <v>0</v>
      </c>
      <c r="C166" s="16">
        <f>COUNTIFS(Table4[MONTH],"12-2026",Table4[Consignee],"Sportline")</f>
        <v>0</v>
      </c>
      <c r="D166" s="17">
        <f>COUNTIFS(Table4[MONTH],"12-2026",Table4[Port Clear],"SHV")</f>
        <v>0</v>
      </c>
      <c r="E166" s="16">
        <f>COUNTIFS(Table4[MONTH],"12-2026",Table4[Port Clear],"OLAIR")</f>
        <v>0</v>
      </c>
      <c r="F166" s="16">
        <f>COUNTIFS(Table4[MONTH],"12-2026",Table4[Port Clear],"TEC SRUN")</f>
        <v>0</v>
      </c>
      <c r="G166" s="16">
        <f>COUNTIFS(Table4[MONTH],"12-2026",Table4[Port Clear],"PREMIUM")</f>
        <v>0</v>
      </c>
      <c r="H166" s="16">
        <f>COUNTIFS(Table4[MONTH],"12-2026",Table4[Port Clear],"KTI")</f>
        <v>0</v>
      </c>
      <c r="I166" s="13">
        <f>COUNTIFS(Table4[MONTH],"12-2026",Table4[Port Clear],"SO NGUON-BAVET")</f>
        <v>0</v>
      </c>
      <c r="J166" s="147">
        <f>COUNTIFS(Table4[MONTH],"12-2026",Table4[Port Clear],"CHAY DA")</f>
        <v>0</v>
      </c>
    </row>
    <row r="167" spans="1:10" x14ac:dyDescent="0.25">
      <c r="B167" s="10"/>
      <c r="C167" s="10"/>
      <c r="D167" s="11"/>
      <c r="E167" s="10"/>
      <c r="F167" s="10"/>
      <c r="G167" s="10"/>
      <c r="H167" s="10"/>
      <c r="I167" s="10"/>
      <c r="J167" s="148"/>
    </row>
    <row r="168" spans="1:10" x14ac:dyDescent="0.25">
      <c r="B168" s="10"/>
      <c r="C168" s="10"/>
      <c r="D168" s="11"/>
      <c r="E168" s="10"/>
      <c r="F168" s="10"/>
      <c r="G168" s="10"/>
      <c r="H168" s="10"/>
      <c r="I168" s="10"/>
    </row>
  </sheetData>
  <conditionalFormatting sqref="A3:U146142">
    <cfRule type="expression" dxfId="16438" priority="3" stopIfTrue="1">
      <formula>$B3="VFL"</formula>
    </cfRule>
  </conditionalFormatting>
  <conditionalFormatting sqref="R33">
    <cfRule type="expression" dxfId="16437" priority="5" stopIfTrue="1">
      <formula>$B36="VFL"</formula>
    </cfRule>
  </conditionalFormatting>
  <conditionalFormatting sqref="D2:D1048576">
    <cfRule type="duplicateValues" dxfId="16436" priority="18"/>
  </conditionalFormatting>
  <conditionalFormatting sqref="R130:R135 R117:R119 R53:U53 S2:U52 S54:U136 S138:U1048576">
    <cfRule type="duplicateValues" dxfId="16435" priority="21"/>
  </conditionalFormatting>
  <pageMargins left="0.7" right="0.7" top="0.75" bottom="0.75" header="0.3" footer="0.3"/>
  <pageSetup scale="52" orientation="portrait" verticalDpi="0" r:id="rId1"/>
  <colBreaks count="1" manualBreakCount="1">
    <brk id="9" max="1048575" man="1"/>
  </colBreak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view="pageBreakPreview" zoomScale="115" zoomScaleNormal="115" zoomScaleSheetLayoutView="115" workbookViewId="0">
      <selection activeCell="D28" sqref="D28"/>
    </sheetView>
  </sheetViews>
  <sheetFormatPr defaultRowHeight="15" x14ac:dyDescent="0.25"/>
  <cols>
    <col min="1" max="1" width="13.42578125" style="35" customWidth="1"/>
    <col min="2" max="2" width="14.140625" customWidth="1"/>
    <col min="3" max="3" width="16.140625" style="38" customWidth="1"/>
    <col min="4" max="4" width="12.28515625" style="32" customWidth="1"/>
    <col min="5" max="5" width="14.28515625" style="18" customWidth="1"/>
    <col min="6" max="6" width="11.85546875" style="29" customWidth="1"/>
    <col min="7" max="7" width="14.140625" style="46" customWidth="1"/>
    <col min="8" max="8" width="15.85546875" style="18" customWidth="1"/>
    <col min="9" max="9" width="9" style="29" customWidth="1"/>
    <col min="10" max="10" width="15.42578125" style="29" customWidth="1"/>
    <col min="11" max="11" width="15.5703125" style="46" customWidth="1"/>
    <col min="12" max="12" width="13.42578125" style="41" customWidth="1"/>
    <col min="13" max="13" width="14.7109375" style="18" customWidth="1"/>
    <col min="14" max="14" width="14.7109375" style="46" customWidth="1"/>
    <col min="15" max="15" width="11.5703125" style="18" customWidth="1"/>
    <col min="16" max="16" width="9.140625" style="18"/>
    <col min="17" max="17" width="13.5703125" style="18" customWidth="1"/>
    <col min="18" max="18" width="18.140625" customWidth="1"/>
  </cols>
  <sheetData>
    <row r="1" spans="1:18" s="30" customFormat="1" ht="27.75" customHeight="1" x14ac:dyDescent="0.25">
      <c r="A1" s="70" t="s">
        <v>0</v>
      </c>
      <c r="B1" s="71" t="s">
        <v>430</v>
      </c>
      <c r="C1" s="72" t="s">
        <v>431</v>
      </c>
      <c r="D1" s="73" t="s">
        <v>444</v>
      </c>
      <c r="E1" s="71" t="s">
        <v>881</v>
      </c>
      <c r="F1" s="75" t="s">
        <v>882</v>
      </c>
      <c r="G1" s="74" t="s">
        <v>943</v>
      </c>
      <c r="H1" s="71" t="s">
        <v>432</v>
      </c>
      <c r="I1" s="75" t="s">
        <v>880</v>
      </c>
      <c r="J1" s="75" t="s">
        <v>459</v>
      </c>
      <c r="K1" s="99" t="s">
        <v>934</v>
      </c>
      <c r="L1" s="76" t="s">
        <v>883</v>
      </c>
      <c r="M1" s="71" t="s">
        <v>433</v>
      </c>
      <c r="N1" s="74" t="s">
        <v>879</v>
      </c>
      <c r="O1" s="71" t="s">
        <v>18</v>
      </c>
      <c r="P1" s="71" t="s">
        <v>19</v>
      </c>
      <c r="Q1" s="71" t="s">
        <v>20</v>
      </c>
      <c r="R1" s="71" t="s">
        <v>920</v>
      </c>
    </row>
    <row r="2" spans="1:18" x14ac:dyDescent="0.25">
      <c r="A2" s="77" t="s">
        <v>387</v>
      </c>
      <c r="B2" s="78" t="s">
        <v>434</v>
      </c>
      <c r="C2" s="79" t="s">
        <v>435</v>
      </c>
      <c r="D2" s="80" t="s">
        <v>445</v>
      </c>
      <c r="E2" s="81" t="s">
        <v>43</v>
      </c>
      <c r="F2" s="101" t="s">
        <v>436</v>
      </c>
      <c r="G2" s="96">
        <v>46240</v>
      </c>
      <c r="H2" s="81" t="s">
        <v>41</v>
      </c>
      <c r="I2" s="101" t="s">
        <v>45</v>
      </c>
      <c r="J2" s="82" t="s">
        <v>45</v>
      </c>
      <c r="K2" s="96">
        <v>46239</v>
      </c>
      <c r="L2" s="83">
        <v>732.74</v>
      </c>
      <c r="M2" s="81" t="s">
        <v>443</v>
      </c>
      <c r="N2" s="96">
        <v>46239</v>
      </c>
      <c r="O2" s="81" t="s">
        <v>448</v>
      </c>
      <c r="P2" s="81" t="s">
        <v>449</v>
      </c>
      <c r="Q2" s="81" t="s">
        <v>450</v>
      </c>
      <c r="R2" s="84"/>
    </row>
    <row r="3" spans="1:18" x14ac:dyDescent="0.25">
      <c r="A3" s="77" t="s">
        <v>387</v>
      </c>
      <c r="B3" s="78" t="s">
        <v>434</v>
      </c>
      <c r="C3" s="79" t="s">
        <v>437</v>
      </c>
      <c r="D3" s="80" t="s">
        <v>446</v>
      </c>
      <c r="E3" s="81" t="s">
        <v>43</v>
      </c>
      <c r="F3" s="101" t="s">
        <v>438</v>
      </c>
      <c r="G3" s="96">
        <v>46240</v>
      </c>
      <c r="H3" s="81" t="s">
        <v>41</v>
      </c>
      <c r="I3" s="101" t="s">
        <v>45</v>
      </c>
      <c r="J3" s="82" t="s">
        <v>45</v>
      </c>
      <c r="K3" s="96">
        <v>46239</v>
      </c>
      <c r="L3" s="83">
        <v>524</v>
      </c>
      <c r="M3" s="81" t="s">
        <v>447</v>
      </c>
      <c r="N3" s="96">
        <v>46240</v>
      </c>
      <c r="O3" s="81" t="s">
        <v>451</v>
      </c>
      <c r="P3" s="81" t="s">
        <v>452</v>
      </c>
      <c r="Q3" s="81" t="s">
        <v>453</v>
      </c>
      <c r="R3" s="84"/>
    </row>
    <row r="4" spans="1:18" x14ac:dyDescent="0.25">
      <c r="A4" s="77" t="s">
        <v>387</v>
      </c>
      <c r="B4" s="78" t="s">
        <v>22</v>
      </c>
      <c r="C4" s="85" t="s">
        <v>864</v>
      </c>
      <c r="D4" s="80" t="s">
        <v>876</v>
      </c>
      <c r="E4" s="81" t="s">
        <v>441</v>
      </c>
      <c r="F4" s="101" t="s">
        <v>439</v>
      </c>
      <c r="G4" s="96">
        <v>46251</v>
      </c>
      <c r="H4" s="81" t="s">
        <v>440</v>
      </c>
      <c r="I4" s="101" t="s">
        <v>130</v>
      </c>
      <c r="J4" s="86" t="s">
        <v>866</v>
      </c>
      <c r="K4" s="100">
        <v>46246</v>
      </c>
      <c r="L4" s="87">
        <v>2314.7600000000002</v>
      </c>
      <c r="M4" s="81" t="s">
        <v>896</v>
      </c>
      <c r="N4" s="96">
        <v>46248</v>
      </c>
      <c r="O4" s="81" t="s">
        <v>900</v>
      </c>
      <c r="P4" s="81" t="s">
        <v>901</v>
      </c>
      <c r="Q4" s="81" t="s">
        <v>902</v>
      </c>
      <c r="R4" s="84" t="s">
        <v>921</v>
      </c>
    </row>
    <row r="5" spans="1:18" x14ac:dyDescent="0.25">
      <c r="A5" s="77" t="s">
        <v>387</v>
      </c>
      <c r="B5" s="78" t="s">
        <v>434</v>
      </c>
      <c r="C5" s="85" t="s">
        <v>865</v>
      </c>
      <c r="D5" s="80" t="s">
        <v>877</v>
      </c>
      <c r="E5" s="81" t="s">
        <v>441</v>
      </c>
      <c r="F5" s="101" t="s">
        <v>442</v>
      </c>
      <c r="G5" s="96">
        <v>46250</v>
      </c>
      <c r="H5" s="110" t="s">
        <v>457</v>
      </c>
      <c r="I5" s="101" t="s">
        <v>878</v>
      </c>
      <c r="J5" s="86" t="s">
        <v>868</v>
      </c>
      <c r="K5" s="100">
        <v>46247</v>
      </c>
      <c r="L5" s="87">
        <v>13764.67</v>
      </c>
      <c r="M5" s="81" t="s">
        <v>893</v>
      </c>
      <c r="N5" s="96">
        <v>46248</v>
      </c>
      <c r="O5" s="81" t="s">
        <v>897</v>
      </c>
      <c r="P5" s="81" t="s">
        <v>898</v>
      </c>
      <c r="Q5" s="81" t="s">
        <v>899</v>
      </c>
      <c r="R5" s="84"/>
    </row>
    <row r="6" spans="1:18" x14ac:dyDescent="0.25">
      <c r="A6" s="88"/>
      <c r="B6" s="78"/>
      <c r="C6" s="79"/>
      <c r="D6" s="80"/>
      <c r="E6" s="81"/>
      <c r="F6" s="101"/>
      <c r="G6" s="96"/>
      <c r="H6" s="110" t="s">
        <v>458</v>
      </c>
      <c r="I6" s="101" t="s">
        <v>130</v>
      </c>
      <c r="J6" s="86" t="s">
        <v>867</v>
      </c>
      <c r="K6" s="100"/>
      <c r="L6" s="87"/>
      <c r="M6" s="81"/>
      <c r="N6" s="96"/>
      <c r="O6" s="81"/>
      <c r="P6" s="81"/>
      <c r="Q6" s="81"/>
      <c r="R6" s="84"/>
    </row>
    <row r="7" spans="1:18" x14ac:dyDescent="0.25">
      <c r="A7" s="77" t="s">
        <v>387</v>
      </c>
      <c r="B7" s="78" t="s">
        <v>434</v>
      </c>
      <c r="C7" s="85" t="s">
        <v>927</v>
      </c>
      <c r="D7" s="80" t="s">
        <v>942</v>
      </c>
      <c r="E7" s="81" t="s">
        <v>441</v>
      </c>
      <c r="F7" s="101" t="s">
        <v>442</v>
      </c>
      <c r="G7" s="96">
        <v>46264</v>
      </c>
      <c r="H7" s="81" t="s">
        <v>932</v>
      </c>
      <c r="I7" s="101" t="s">
        <v>915</v>
      </c>
      <c r="J7" s="82" t="s">
        <v>933</v>
      </c>
      <c r="K7" s="96">
        <v>46261</v>
      </c>
      <c r="L7" s="83">
        <v>8223.760000000002</v>
      </c>
      <c r="M7" s="81" t="s">
        <v>964</v>
      </c>
      <c r="N7" s="96">
        <v>46261</v>
      </c>
      <c r="O7" s="81" t="s">
        <v>958</v>
      </c>
      <c r="P7" s="81" t="s">
        <v>975</v>
      </c>
      <c r="Q7" s="81" t="s">
        <v>976</v>
      </c>
      <c r="R7" s="84"/>
    </row>
    <row r="8" spans="1:18" x14ac:dyDescent="0.25">
      <c r="A8" s="77" t="s">
        <v>387</v>
      </c>
      <c r="B8" s="78" t="s">
        <v>434</v>
      </c>
      <c r="C8" s="79" t="s">
        <v>939</v>
      </c>
      <c r="D8" s="80" t="s">
        <v>940</v>
      </c>
      <c r="E8" s="81" t="s">
        <v>43</v>
      </c>
      <c r="F8" s="101" t="s">
        <v>941</v>
      </c>
      <c r="G8" s="96">
        <v>46267</v>
      </c>
      <c r="H8" s="81" t="s">
        <v>41</v>
      </c>
      <c r="I8" s="101" t="s">
        <v>45</v>
      </c>
      <c r="J8" s="82" t="s">
        <v>45</v>
      </c>
      <c r="K8" s="96">
        <v>46265</v>
      </c>
      <c r="L8" s="83">
        <v>275.14999999999998</v>
      </c>
      <c r="M8" s="81" t="s">
        <v>963</v>
      </c>
      <c r="N8" s="96">
        <v>46265</v>
      </c>
      <c r="O8" s="81" t="s">
        <v>973</v>
      </c>
      <c r="P8" s="81" t="s">
        <v>959</v>
      </c>
      <c r="Q8" s="81" t="s">
        <v>974</v>
      </c>
      <c r="R8" s="84"/>
    </row>
    <row r="9" spans="1:18" x14ac:dyDescent="0.25">
      <c r="A9" s="111"/>
      <c r="B9" s="112"/>
      <c r="C9" s="113"/>
      <c r="D9" s="114"/>
      <c r="E9" s="115"/>
      <c r="F9" s="116"/>
      <c r="G9" s="117"/>
      <c r="H9" s="115"/>
      <c r="I9" s="118"/>
      <c r="J9" s="118"/>
      <c r="K9" s="117"/>
      <c r="L9" s="119"/>
      <c r="M9" s="115"/>
      <c r="N9" s="117"/>
      <c r="O9" s="115"/>
      <c r="P9" s="115"/>
      <c r="Q9" s="115"/>
      <c r="R9" s="112"/>
    </row>
    <row r="10" spans="1:18" x14ac:dyDescent="0.25">
      <c r="A10" s="77" t="s">
        <v>945</v>
      </c>
      <c r="B10" s="78" t="s">
        <v>22</v>
      </c>
      <c r="C10" s="89" t="s">
        <v>944</v>
      </c>
      <c r="D10" s="80" t="s">
        <v>972</v>
      </c>
      <c r="E10" s="81" t="s">
        <v>441</v>
      </c>
      <c r="F10" s="101" t="s">
        <v>439</v>
      </c>
      <c r="G10" s="96">
        <v>46272</v>
      </c>
      <c r="H10" s="81" t="s">
        <v>951</v>
      </c>
      <c r="I10" s="101" t="s">
        <v>878</v>
      </c>
      <c r="J10" s="86" t="s">
        <v>950</v>
      </c>
      <c r="K10" s="96">
        <v>46267</v>
      </c>
      <c r="L10" s="83">
        <v>5811.39</v>
      </c>
      <c r="M10" s="81" t="s">
        <v>965</v>
      </c>
      <c r="N10" s="96">
        <v>46267</v>
      </c>
      <c r="O10" s="81" t="s">
        <v>1048</v>
      </c>
      <c r="P10" s="81" t="s">
        <v>1049</v>
      </c>
      <c r="Q10" s="81" t="s">
        <v>1050</v>
      </c>
      <c r="R10" s="84"/>
    </row>
    <row r="11" spans="1:18" x14ac:dyDescent="0.25">
      <c r="A11" s="77" t="s">
        <v>945</v>
      </c>
      <c r="B11" s="78" t="s">
        <v>434</v>
      </c>
      <c r="C11" s="90" t="s">
        <v>987</v>
      </c>
      <c r="D11" s="91" t="s">
        <v>989</v>
      </c>
      <c r="E11" s="92" t="s">
        <v>43</v>
      </c>
      <c r="F11" s="105" t="s">
        <v>436</v>
      </c>
      <c r="G11" s="97">
        <v>46279</v>
      </c>
      <c r="H11" s="92" t="s">
        <v>41</v>
      </c>
      <c r="I11" s="105" t="s">
        <v>45</v>
      </c>
      <c r="J11" s="93" t="s">
        <v>45</v>
      </c>
      <c r="K11" s="97">
        <v>46272</v>
      </c>
      <c r="L11" s="94">
        <v>874.2</v>
      </c>
      <c r="M11" s="92" t="s">
        <v>990</v>
      </c>
      <c r="N11" s="97">
        <v>46272</v>
      </c>
      <c r="O11" s="81" t="s">
        <v>1041</v>
      </c>
      <c r="P11" s="81" t="s">
        <v>1042</v>
      </c>
      <c r="Q11" s="81" t="s">
        <v>1043</v>
      </c>
      <c r="R11" s="84"/>
    </row>
    <row r="12" spans="1:18" x14ac:dyDescent="0.25">
      <c r="A12" s="77" t="s">
        <v>945</v>
      </c>
      <c r="B12" s="78" t="s">
        <v>434</v>
      </c>
      <c r="C12" s="90" t="s">
        <v>988</v>
      </c>
      <c r="D12" s="91" t="s">
        <v>992</v>
      </c>
      <c r="E12" s="92" t="s">
        <v>43</v>
      </c>
      <c r="F12" s="105" t="s">
        <v>438</v>
      </c>
      <c r="G12" s="97">
        <v>46279</v>
      </c>
      <c r="H12" s="92" t="s">
        <v>41</v>
      </c>
      <c r="I12" s="105" t="s">
        <v>45</v>
      </c>
      <c r="J12" s="93" t="s">
        <v>45</v>
      </c>
      <c r="K12" s="97">
        <v>46272</v>
      </c>
      <c r="L12" s="94">
        <v>834.7</v>
      </c>
      <c r="M12" s="92" t="s">
        <v>991</v>
      </c>
      <c r="N12" s="97">
        <v>46272</v>
      </c>
      <c r="O12" s="81" t="s">
        <v>1044</v>
      </c>
      <c r="P12" s="81" t="s">
        <v>1045</v>
      </c>
      <c r="Q12" s="81" t="s">
        <v>1029</v>
      </c>
      <c r="R12" s="84"/>
    </row>
    <row r="13" spans="1:18" ht="19.5" customHeight="1" x14ac:dyDescent="0.25">
      <c r="A13" s="77" t="s">
        <v>945</v>
      </c>
      <c r="B13" s="78" t="s">
        <v>434</v>
      </c>
      <c r="C13" s="89" t="s">
        <v>946</v>
      </c>
      <c r="D13" s="80" t="s">
        <v>996</v>
      </c>
      <c r="E13" s="81" t="s">
        <v>441</v>
      </c>
      <c r="F13" s="101" t="s">
        <v>442</v>
      </c>
      <c r="G13" s="96">
        <v>46268</v>
      </c>
      <c r="H13" s="81" t="s">
        <v>993</v>
      </c>
      <c r="I13" s="101" t="s">
        <v>878</v>
      </c>
      <c r="J13" s="86" t="s">
        <v>1005</v>
      </c>
      <c r="K13" s="96">
        <v>46275</v>
      </c>
      <c r="L13" s="83">
        <v>10199</v>
      </c>
      <c r="M13" s="81" t="s">
        <v>1014</v>
      </c>
      <c r="N13" s="96">
        <v>46275</v>
      </c>
      <c r="O13" s="81" t="s">
        <v>1046</v>
      </c>
      <c r="P13" s="81" t="s">
        <v>1047</v>
      </c>
      <c r="Q13" s="81" t="s">
        <v>1039</v>
      </c>
      <c r="R13" s="95"/>
    </row>
    <row r="14" spans="1:18" x14ac:dyDescent="0.25">
      <c r="A14" s="77" t="s">
        <v>945</v>
      </c>
      <c r="B14" s="78" t="s">
        <v>22</v>
      </c>
      <c r="C14" s="89" t="s">
        <v>982</v>
      </c>
      <c r="D14" s="80" t="s">
        <v>995</v>
      </c>
      <c r="E14" s="81" t="s">
        <v>441</v>
      </c>
      <c r="F14" s="101" t="s">
        <v>442</v>
      </c>
      <c r="G14" s="96">
        <v>46280</v>
      </c>
      <c r="H14" s="81" t="s">
        <v>997</v>
      </c>
      <c r="I14" s="101" t="s">
        <v>878</v>
      </c>
      <c r="J14" s="82" t="s">
        <v>1004</v>
      </c>
      <c r="K14" s="96">
        <v>46275</v>
      </c>
      <c r="L14" s="83">
        <v>12156.5</v>
      </c>
      <c r="M14" s="81" t="s">
        <v>1015</v>
      </c>
      <c r="N14" s="96">
        <v>46275</v>
      </c>
      <c r="O14" s="81" t="s">
        <v>1016</v>
      </c>
      <c r="P14" s="81" t="s">
        <v>1017</v>
      </c>
      <c r="Q14" s="81" t="s">
        <v>1018</v>
      </c>
      <c r="R14" s="95"/>
    </row>
    <row r="15" spans="1:18" x14ac:dyDescent="0.25">
      <c r="A15" s="77" t="s">
        <v>945</v>
      </c>
      <c r="B15" s="78" t="s">
        <v>22</v>
      </c>
      <c r="C15" s="90" t="s">
        <v>1062</v>
      </c>
      <c r="D15" s="134" t="s">
        <v>1079</v>
      </c>
      <c r="E15" s="92" t="s">
        <v>441</v>
      </c>
      <c r="F15" s="108" t="s">
        <v>442</v>
      </c>
      <c r="G15" s="97">
        <v>46287</v>
      </c>
      <c r="H15" s="97" t="s">
        <v>1063</v>
      </c>
      <c r="I15" s="97" t="s">
        <v>878</v>
      </c>
      <c r="J15" s="106" t="s">
        <v>1064</v>
      </c>
      <c r="K15" s="97">
        <v>46282</v>
      </c>
      <c r="L15" s="94">
        <v>5536.56</v>
      </c>
      <c r="M15" s="92" t="s">
        <v>1083</v>
      </c>
      <c r="N15" s="92">
        <v>46282</v>
      </c>
      <c r="O15" s="92" t="s">
        <v>1106</v>
      </c>
      <c r="P15" s="92" t="s">
        <v>1107</v>
      </c>
      <c r="Q15" s="92" t="s">
        <v>1061</v>
      </c>
      <c r="R15" s="104"/>
    </row>
    <row r="16" spans="1:18" x14ac:dyDescent="0.25">
      <c r="A16" s="77" t="s">
        <v>945</v>
      </c>
      <c r="B16" s="78" t="s">
        <v>434</v>
      </c>
      <c r="C16" s="89" t="s">
        <v>1052</v>
      </c>
      <c r="D16" s="80" t="s">
        <v>1053</v>
      </c>
      <c r="E16" s="81" t="s">
        <v>441</v>
      </c>
      <c r="F16" s="101" t="s">
        <v>442</v>
      </c>
      <c r="G16" s="96">
        <v>46292</v>
      </c>
      <c r="H16" s="81" t="s">
        <v>1076</v>
      </c>
      <c r="I16" s="101" t="s">
        <v>878</v>
      </c>
      <c r="J16" s="122" t="s">
        <v>1077</v>
      </c>
      <c r="K16" s="96">
        <v>46290</v>
      </c>
      <c r="L16" s="83">
        <v>9443.16</v>
      </c>
      <c r="M16" s="81" t="s">
        <v>1125</v>
      </c>
      <c r="N16" s="102">
        <v>46290</v>
      </c>
      <c r="O16" s="81" t="s">
        <v>1126</v>
      </c>
      <c r="P16" s="81" t="s">
        <v>1127</v>
      </c>
      <c r="Q16" s="81" t="s">
        <v>1128</v>
      </c>
      <c r="R16" s="84" t="s">
        <v>1074</v>
      </c>
    </row>
    <row r="17" spans="1:19" x14ac:dyDescent="0.25">
      <c r="A17" s="77" t="s">
        <v>945</v>
      </c>
      <c r="B17" s="84" t="s">
        <v>22</v>
      </c>
      <c r="C17" s="90" t="s">
        <v>1075</v>
      </c>
      <c r="D17" s="103" t="s">
        <v>1079</v>
      </c>
      <c r="E17" s="92" t="s">
        <v>441</v>
      </c>
      <c r="F17" s="108" t="s">
        <v>442</v>
      </c>
      <c r="G17" s="97">
        <v>46292</v>
      </c>
      <c r="H17" s="92" t="s">
        <v>1078</v>
      </c>
      <c r="I17" s="120" t="s">
        <v>878</v>
      </c>
      <c r="J17" s="123" t="s">
        <v>1084</v>
      </c>
      <c r="K17" s="97">
        <v>46290</v>
      </c>
      <c r="L17" s="94">
        <v>10982.09</v>
      </c>
      <c r="M17" s="92" t="s">
        <v>1135</v>
      </c>
      <c r="N17" s="97" t="s">
        <v>1134</v>
      </c>
      <c r="O17" s="92" t="s">
        <v>1111</v>
      </c>
      <c r="P17" s="92" t="s">
        <v>1112</v>
      </c>
      <c r="Q17" s="92" t="s">
        <v>1113</v>
      </c>
      <c r="R17" s="84"/>
    </row>
    <row r="18" spans="1:19" x14ac:dyDescent="0.25">
      <c r="A18" s="77" t="s">
        <v>945</v>
      </c>
      <c r="B18" s="84" t="s">
        <v>22</v>
      </c>
      <c r="C18" s="89" t="s">
        <v>1072</v>
      </c>
      <c r="D18" s="103" t="s">
        <v>871</v>
      </c>
      <c r="E18" s="81" t="s">
        <v>43</v>
      </c>
      <c r="F18" s="109" t="s">
        <v>442</v>
      </c>
      <c r="G18" s="96">
        <v>46292</v>
      </c>
      <c r="H18" s="81" t="s">
        <v>41</v>
      </c>
      <c r="I18" s="107" t="s">
        <v>45</v>
      </c>
      <c r="J18" s="107" t="s">
        <v>45</v>
      </c>
      <c r="K18" s="96">
        <v>46290</v>
      </c>
      <c r="L18" s="96">
        <v>252.8</v>
      </c>
      <c r="M18" s="96" t="s">
        <v>1133</v>
      </c>
      <c r="N18" s="96" t="s">
        <v>1134</v>
      </c>
      <c r="O18" s="96" t="s">
        <v>1108</v>
      </c>
      <c r="P18" s="96" t="s">
        <v>1109</v>
      </c>
      <c r="Q18" s="96" t="s">
        <v>1110</v>
      </c>
      <c r="R18" s="84"/>
    </row>
    <row r="19" spans="1:19" x14ac:dyDescent="0.25">
      <c r="A19" s="77" t="s">
        <v>1130</v>
      </c>
      <c r="B19" s="78" t="s">
        <v>434</v>
      </c>
      <c r="C19" s="79" t="s">
        <v>1070</v>
      </c>
      <c r="D19" s="80" t="s">
        <v>30</v>
      </c>
      <c r="E19" s="81" t="s">
        <v>28</v>
      </c>
      <c r="F19" s="101" t="s">
        <v>442</v>
      </c>
      <c r="G19" s="96">
        <v>46301</v>
      </c>
      <c r="H19" s="81" t="s">
        <v>1136</v>
      </c>
      <c r="I19" s="101" t="s">
        <v>1071</v>
      </c>
      <c r="J19" s="122" t="s">
        <v>1137</v>
      </c>
      <c r="K19" s="96">
        <v>46296</v>
      </c>
      <c r="L19" s="83" t="s">
        <v>30</v>
      </c>
      <c r="M19" s="81" t="s">
        <v>30</v>
      </c>
      <c r="N19" s="96" t="s">
        <v>30</v>
      </c>
      <c r="O19" s="81" t="s">
        <v>30</v>
      </c>
      <c r="P19" s="81" t="s">
        <v>30</v>
      </c>
      <c r="Q19" s="81" t="s">
        <v>1129</v>
      </c>
      <c r="R19" s="84" t="s">
        <v>1073</v>
      </c>
      <c r="S19" s="20"/>
    </row>
    <row r="20" spans="1:19" x14ac:dyDescent="0.25">
      <c r="A20" s="62"/>
      <c r="B20" s="63"/>
      <c r="C20" s="64"/>
      <c r="D20" s="65"/>
      <c r="E20" s="66"/>
      <c r="F20" s="67"/>
      <c r="G20" s="98"/>
      <c r="H20" s="66"/>
      <c r="I20" s="67"/>
      <c r="J20" s="67"/>
      <c r="K20" s="98"/>
      <c r="L20" s="68"/>
      <c r="M20" s="66"/>
      <c r="N20" s="98"/>
      <c r="O20" s="66"/>
      <c r="P20" s="66"/>
      <c r="Q20" s="66"/>
      <c r="R20" s="69"/>
      <c r="S20" s="20"/>
    </row>
    <row r="21" spans="1:19" x14ac:dyDescent="0.25">
      <c r="A21" s="62"/>
      <c r="B21" s="63"/>
      <c r="C21" s="64"/>
      <c r="D21" s="65"/>
      <c r="E21" s="66"/>
      <c r="F21" s="67"/>
      <c r="G21" s="98"/>
      <c r="H21" s="66"/>
      <c r="I21" s="67"/>
      <c r="J21" s="67"/>
      <c r="K21" s="98"/>
      <c r="L21" s="68"/>
      <c r="M21" s="66"/>
      <c r="N21" s="98"/>
      <c r="O21" s="66"/>
      <c r="P21" s="66"/>
      <c r="Q21" s="66"/>
      <c r="R21" s="69"/>
      <c r="S21" s="20"/>
    </row>
    <row r="22" spans="1:19" x14ac:dyDescent="0.25">
      <c r="A22" s="62"/>
      <c r="B22" s="63"/>
      <c r="C22" s="64"/>
      <c r="D22" s="65"/>
      <c r="E22" s="66"/>
      <c r="F22" s="67"/>
      <c r="G22" s="98"/>
      <c r="H22" s="66"/>
      <c r="I22" s="67"/>
      <c r="J22" s="67"/>
      <c r="K22" s="98"/>
      <c r="L22" s="121"/>
      <c r="M22" s="68"/>
      <c r="N22" s="98"/>
      <c r="O22" s="66"/>
      <c r="P22" s="66"/>
      <c r="Q22" s="66"/>
      <c r="R22" s="69"/>
      <c r="S22" s="20"/>
    </row>
    <row r="23" spans="1:19" x14ac:dyDescent="0.25">
      <c r="A23" s="62"/>
      <c r="B23" s="63"/>
      <c r="C23" s="64"/>
      <c r="D23" s="65"/>
      <c r="E23" s="66"/>
      <c r="F23" s="67"/>
      <c r="G23" s="98"/>
      <c r="H23" s="66"/>
      <c r="I23" s="67"/>
      <c r="J23" s="67"/>
      <c r="K23" s="98"/>
      <c r="L23" s="68"/>
      <c r="M23" s="66"/>
      <c r="N23" s="98"/>
      <c r="O23" s="66"/>
      <c r="P23" s="66"/>
      <c r="Q23" s="66"/>
      <c r="R23" s="69"/>
      <c r="S23" s="20"/>
    </row>
    <row r="24" spans="1:19" x14ac:dyDescent="0.25">
      <c r="A24" s="62"/>
      <c r="B24" s="63"/>
      <c r="C24" s="64"/>
      <c r="D24" s="65"/>
      <c r="E24" s="66"/>
      <c r="F24" s="67"/>
      <c r="G24" s="98"/>
      <c r="H24" s="66"/>
      <c r="I24" s="67"/>
      <c r="J24" s="67"/>
      <c r="K24" s="98"/>
      <c r="L24" s="68"/>
      <c r="M24" s="66"/>
      <c r="N24" s="98"/>
      <c r="O24" s="66"/>
      <c r="P24" s="66"/>
      <c r="Q24" s="66"/>
      <c r="R24" s="69"/>
      <c r="S24" s="20"/>
    </row>
    <row r="25" spans="1:19" x14ac:dyDescent="0.25">
      <c r="A25" s="62"/>
      <c r="B25" s="63"/>
      <c r="C25" s="64"/>
      <c r="D25" s="65"/>
      <c r="E25" s="66"/>
      <c r="F25" s="67"/>
      <c r="G25" s="98"/>
      <c r="H25" s="66"/>
      <c r="I25" s="67"/>
      <c r="J25" s="67"/>
      <c r="K25" s="98"/>
      <c r="L25" s="68"/>
      <c r="M25" s="66"/>
      <c r="N25" s="98"/>
      <c r="O25" s="66"/>
      <c r="P25" s="66"/>
      <c r="Q25" s="66"/>
      <c r="R25" s="69"/>
      <c r="S25" s="20"/>
    </row>
    <row r="26" spans="1:19" x14ac:dyDescent="0.25">
      <c r="A26" s="62"/>
      <c r="B26" s="63"/>
      <c r="C26" s="64"/>
      <c r="D26" s="65"/>
      <c r="E26" s="66"/>
      <c r="F26" s="67"/>
      <c r="G26" s="98"/>
      <c r="H26" s="66"/>
      <c r="I26" s="67"/>
      <c r="J26" s="67"/>
      <c r="K26" s="98"/>
      <c r="L26" s="68"/>
      <c r="M26" s="66"/>
      <c r="N26" s="98"/>
      <c r="O26" s="66"/>
      <c r="P26" s="66"/>
      <c r="Q26" s="66"/>
      <c r="R26" s="69"/>
      <c r="S26" s="20"/>
    </row>
    <row r="27" spans="1:19" x14ac:dyDescent="0.25">
      <c r="A27" s="62"/>
      <c r="B27" s="63"/>
      <c r="C27" s="64"/>
      <c r="D27" s="65"/>
      <c r="E27" s="66"/>
      <c r="F27" s="67"/>
      <c r="G27" s="98"/>
      <c r="H27" s="66"/>
      <c r="I27" s="67"/>
      <c r="J27" s="67"/>
      <c r="K27" s="98"/>
      <c r="L27" s="68"/>
      <c r="M27" s="66"/>
      <c r="N27" s="98"/>
      <c r="O27" s="66"/>
      <c r="P27" s="66"/>
      <c r="Q27" s="66"/>
      <c r="R27" s="69"/>
      <c r="S27" s="20"/>
    </row>
    <row r="28" spans="1:19" x14ac:dyDescent="0.25">
      <c r="A28" s="62"/>
      <c r="B28" s="63"/>
      <c r="C28" s="64"/>
      <c r="D28" s="65"/>
      <c r="E28" s="66"/>
      <c r="F28" s="67"/>
      <c r="G28" s="98"/>
      <c r="H28" s="66"/>
      <c r="I28" s="67"/>
      <c r="J28" s="67"/>
      <c r="K28" s="98"/>
      <c r="L28" s="68"/>
      <c r="M28" s="66"/>
      <c r="N28" s="98"/>
      <c r="O28" s="66"/>
      <c r="P28" s="66"/>
      <c r="Q28" s="66"/>
      <c r="R28" s="69"/>
      <c r="S28" s="20"/>
    </row>
    <row r="29" spans="1:19" x14ac:dyDescent="0.25">
      <c r="A29" s="62"/>
      <c r="B29" s="63"/>
      <c r="C29" s="64"/>
      <c r="D29" s="65"/>
      <c r="E29" s="66"/>
      <c r="F29" s="67"/>
      <c r="G29" s="98"/>
      <c r="H29" s="66"/>
      <c r="I29" s="67"/>
      <c r="J29" s="67"/>
      <c r="K29" s="98"/>
      <c r="L29" s="68"/>
      <c r="M29" s="66"/>
      <c r="N29" s="98"/>
      <c r="O29" s="66"/>
      <c r="P29" s="66"/>
      <c r="Q29" s="66"/>
      <c r="R29" s="69"/>
      <c r="S29" s="20"/>
    </row>
    <row r="30" spans="1:19" x14ac:dyDescent="0.25">
      <c r="A30" s="124"/>
      <c r="B30" s="69"/>
      <c r="C30" s="125"/>
      <c r="D30" s="126"/>
      <c r="E30" s="127"/>
      <c r="F30" s="128"/>
      <c r="G30" s="129"/>
      <c r="H30" s="127"/>
      <c r="I30" s="130"/>
      <c r="J30" s="130"/>
      <c r="K30" s="129"/>
      <c r="L30" s="131"/>
      <c r="M30" s="127"/>
      <c r="N30" s="129"/>
      <c r="O30" s="127"/>
      <c r="P30" s="127"/>
      <c r="Q30" s="127"/>
      <c r="R30" s="69"/>
      <c r="S30" s="20"/>
    </row>
    <row r="31" spans="1:19" x14ac:dyDescent="0.25">
      <c r="A31" s="34"/>
      <c r="B31" s="20"/>
      <c r="C31" s="37"/>
      <c r="D31" s="31"/>
      <c r="E31" s="25"/>
      <c r="F31" s="28"/>
      <c r="G31" s="45"/>
      <c r="H31" s="25"/>
      <c r="I31" s="28"/>
      <c r="J31" s="28"/>
      <c r="K31" s="45"/>
      <c r="L31" s="40"/>
      <c r="M31" s="25"/>
      <c r="N31" s="45"/>
      <c r="O31" s="25"/>
      <c r="P31" s="25"/>
      <c r="Q31" s="25"/>
      <c r="R31" s="20"/>
      <c r="S31" s="20"/>
    </row>
    <row r="39" spans="1:12" x14ac:dyDescent="0.25">
      <c r="A39" s="36" t="s">
        <v>429</v>
      </c>
      <c r="B39" s="19" t="s">
        <v>22</v>
      </c>
      <c r="C39" s="39" t="s">
        <v>33</v>
      </c>
      <c r="D39" s="33" t="s">
        <v>28</v>
      </c>
      <c r="E39" s="19" t="s">
        <v>441</v>
      </c>
      <c r="F39" s="21" t="s">
        <v>43</v>
      </c>
      <c r="G39" s="47"/>
    </row>
    <row r="40" spans="1:12" x14ac:dyDescent="0.25">
      <c r="A40" s="12">
        <v>46235</v>
      </c>
      <c r="B40" s="48">
        <f>COUNTIFS(Table5[MONTH], "8-2026", Table5[CLIENT], "VFL")</f>
        <v>1</v>
      </c>
      <c r="C40" s="48">
        <f>COUNTIFS(Table5[MONTH], "8-2026", Table5[CLIENT], "SPORTLINE")</f>
        <v>5</v>
      </c>
      <c r="D40" s="48">
        <f>COUNTIFS(Table5[MONTH],"8-2026",Table5[POL],"SHV")</f>
        <v>0</v>
      </c>
      <c r="E40" s="48">
        <f>COUNTIFS(Table5[MONTH],"8-2026",Table5[POL],"PNH")</f>
        <v>3</v>
      </c>
      <c r="F40" s="48">
        <f>COUNTIFS(Table5[MONTH],"8-2026",Table5[POL],"KTI")</f>
        <v>3</v>
      </c>
      <c r="G40" s="45"/>
    </row>
    <row r="41" spans="1:12" x14ac:dyDescent="0.25">
      <c r="A41" s="12">
        <v>46266</v>
      </c>
      <c r="B41" s="48">
        <f>COUNTIFS(Table5[MONTH], "9-2026", Table5[CLIENT], "VFL")</f>
        <v>5</v>
      </c>
      <c r="C41" s="48">
        <f>COUNTIFS(Table5[MONTH], "9-2026", Table5[CLIENT], "SPORTLINE")</f>
        <v>4</v>
      </c>
      <c r="D41" s="48">
        <f>COUNTIFS(Table5[MONTH],"9-2026",Table5[POL],"SHV")</f>
        <v>0</v>
      </c>
      <c r="E41" s="48">
        <f>COUNTIFS(Table5[MONTH],"9-2026",Table5[POL],"PNH")</f>
        <v>6</v>
      </c>
      <c r="F41" s="48">
        <f>COUNTIFS(Table5[MONTH],"9-2026",Table5[POL],"KTI")</f>
        <v>3</v>
      </c>
      <c r="G41" s="45"/>
    </row>
    <row r="42" spans="1:12" x14ac:dyDescent="0.25">
      <c r="A42" s="12">
        <v>46296</v>
      </c>
      <c r="B42" s="48">
        <f>COUNTIFS(Table5[MONTH], "10-2026", Table5[CLIENT], "VFL")</f>
        <v>0</v>
      </c>
      <c r="C42" s="48">
        <f>COUNTIFS(Table5[MONTH], "10-2026", Table5[CLIENT], "SPORTLINE")</f>
        <v>1</v>
      </c>
      <c r="D42" s="48">
        <f>COUNTIFS(Table5[MONTH],"10-2026",Table5[POL],"SHV")</f>
        <v>1</v>
      </c>
      <c r="E42" s="48">
        <f>COUNTIFS(Table5[MONTH],"10-2026",Table5[POL],"PNH")</f>
        <v>0</v>
      </c>
      <c r="F42" s="48">
        <f>COUNTIFS(Table5[MONTH],"10-2026",Table5[POL],"KTI")</f>
        <v>0</v>
      </c>
      <c r="G42" s="45"/>
    </row>
    <row r="43" spans="1:12" x14ac:dyDescent="0.25">
      <c r="A43" s="12">
        <v>46327</v>
      </c>
      <c r="B43" s="48">
        <f>COUNTIFS(Table5[MONTH], "11-2026", Table5[CLIENT], "VFL")</f>
        <v>0</v>
      </c>
      <c r="C43" s="48">
        <f>COUNTIFS(Table5[MONTH], "11-2026", Table5[CLIENT], "SPORTLINE")</f>
        <v>0</v>
      </c>
      <c r="D43" s="48">
        <f>COUNTIFS(Table5[MONTH],"11-2026",Table5[POL],"SHV")</f>
        <v>0</v>
      </c>
      <c r="E43" s="48">
        <f>COUNTIFS(Table5[MONTH],"11-2026",Table5[POL],"PNH")</f>
        <v>0</v>
      </c>
      <c r="F43" s="48">
        <f>COUNTIFS(Table5[MONTH],"11-2026",Table5[POL],"KTI")</f>
        <v>0</v>
      </c>
      <c r="G43" s="45"/>
    </row>
    <row r="44" spans="1:12" x14ac:dyDescent="0.25">
      <c r="A44" s="15">
        <v>46357</v>
      </c>
      <c r="B44" s="48">
        <f>COUNTIFS(Table5[MONTH], "12-2026", Table5[CLIENT], "VFL")</f>
        <v>0</v>
      </c>
      <c r="C44" s="48">
        <f>COUNTIFS(Table5[MONTH], "12-2026", Table5[CLIENT], "SPORTLINE")</f>
        <v>0</v>
      </c>
      <c r="D44" s="48">
        <f>COUNTIFS(Table5[MONTH],"12-2026",Table5[POL],"SHV")</f>
        <v>0</v>
      </c>
      <c r="E44" s="48">
        <f>COUNTIFS(Table5[MONTH],"12-2026",Table5[POL],"PNH")</f>
        <v>0</v>
      </c>
      <c r="F44" s="48">
        <f>COUNTIFS(Table5[MONTH],"12-2026",Table5[POL],"KTI")</f>
        <v>0</v>
      </c>
      <c r="G44" s="45"/>
    </row>
    <row r="45" spans="1:12" x14ac:dyDescent="0.25">
      <c r="J45" s="28"/>
      <c r="K45" s="45"/>
      <c r="L45" s="40"/>
    </row>
  </sheetData>
  <conditionalFormatting sqref="A2:R21 A23:R29 A22:K22 M22:R22">
    <cfRule type="expression" dxfId="35" priority="3">
      <formula>$B2="VFL"</formula>
    </cfRule>
  </conditionalFormatting>
  <conditionalFormatting sqref="M45:Q495 H40:N44">
    <cfRule type="expression" dxfId="34" priority="10">
      <formula>$B53="VFL"</formula>
    </cfRule>
  </conditionalFormatting>
  <conditionalFormatting sqref="H39:N39">
    <cfRule type="expression" dxfId="33" priority="11">
      <formula>$B45="VFL"</formula>
    </cfRule>
  </conditionalFormatting>
  <conditionalFormatting sqref="D39:D43">
    <cfRule type="duplicateValues" dxfId="32" priority="15"/>
  </conditionalFormatting>
  <pageMargins left="0.7" right="0.7" top="0.75" bottom="0.75" header="0.3" footer="0.3"/>
  <pageSetup orientation="portrait" verticalDpi="0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1" stopIfTrue="1" id="{D511F5E9-5A40-45AA-89CA-2B7A00CD4C36}">
            <xm:f>IMPORT!$B39="VFL"</xm:f>
            <x14:dxf>
              <fill>
                <patternFill>
                  <bgColor theme="8" tint="0.59996337778862885"/>
                </patternFill>
              </fill>
            </x14:dxf>
          </x14:cfRule>
          <xm:sqref>A39:G39</xm:sqref>
        </x14:conditionalFormatting>
        <x14:conditionalFormatting xmlns:xm="http://schemas.microsoft.com/office/excel/2006/main">
          <x14:cfRule type="expression" priority="42" stopIfTrue="1" id="{D511F5E9-5A40-45AA-89CA-2B7A00CD4C36}">
            <xm:f>IMPORT!$B47="VFL"</xm:f>
            <x14:dxf>
              <fill>
                <patternFill>
                  <bgColor theme="8" tint="0.59996337778862885"/>
                </patternFill>
              </fill>
            </x14:dxf>
          </x14:cfRule>
          <xm:sqref>A40:G44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IMPORT</vt:lpstr>
      <vt:lpstr>EXPORT</vt:lpstr>
      <vt:lpstr>EXPORT!Print_Area</vt:lpstr>
      <vt:lpstr>IMPORT!Print_Area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2026-09-12T02:04:50Z</cp:lastPrinted>
  <dcterms:created xsi:type="dcterms:W3CDTF">2026-08-12T04:29:51Z</dcterms:created>
  <dcterms:modified xsi:type="dcterms:W3CDTF">2026-10-16T01:14:25Z</dcterms:modified>
</cp:coreProperties>
</file>