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.253\client\1-JR APPAREL\7-WASTAGE\2026\6-7\"/>
    </mc:Choice>
  </mc:AlternateContent>
  <xr:revisionPtr revIDLastSave="0" documentId="13_ncr:1_{70AD7A8E-FE4B-43E0-9828-EA4756C6CF67}" xr6:coauthVersionLast="47" xr6:coauthVersionMax="47" xr10:uidLastSave="{00000000-0000-0000-0000-000000000000}"/>
  <bookViews>
    <workbookView xWindow="-120" yWindow="-120" windowWidth="29040" windowHeight="15720" tabRatio="718" activeTab="1" xr2:uid="{00000000-000D-0000-FFFF-FFFF00000000}"/>
  </bookViews>
  <sheets>
    <sheet name="JR-IMP-1-7" sheetId="15" r:id="rId1"/>
    <sheet name="JR-EXP-6-7" sheetId="18" r:id="rId2"/>
    <sheet name="Sheet1" sheetId="19" r:id="rId3"/>
  </sheets>
  <definedNames>
    <definedName name="_xlnm._FilterDatabase" localSheetId="1" hidden="1">'JR-EXP-6-7'!$C$4:$I$4</definedName>
    <definedName name="_xlnm._FilterDatabase" localSheetId="0" hidden="1">'JR-IMP-1-7'!$A$4:$I$33</definedName>
    <definedName name="_xlnm.Print_Area" localSheetId="1">'JR-EXP-6-7'!$A$1:$I$76</definedName>
    <definedName name="_xlnm.Print_Area" localSheetId="0">'JR-IMP-1-7'!$A$1:$I$44</definedName>
    <definedName name="_xlnm.Print_Titles" localSheetId="1">'JR-EXP-6-7'!$3:$4</definedName>
    <definedName name="_xlnm.Print_Titles" localSheetId="0">'JR-IMP-1-7'!$3:$4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18" l="1"/>
  <c r="J64" i="18" s="1"/>
  <c r="K31" i="19"/>
  <c r="K30" i="19"/>
  <c r="K18" i="19"/>
  <c r="K13" i="19"/>
  <c r="H30" i="19"/>
  <c r="H22" i="19"/>
  <c r="H12" i="19"/>
  <c r="H31" i="19" s="1"/>
  <c r="H29" i="19"/>
  <c r="H28" i="19"/>
  <c r="H26" i="19"/>
  <c r="H25" i="19"/>
  <c r="H24" i="19"/>
  <c r="H23" i="19"/>
  <c r="H21" i="19"/>
  <c r="H20" i="19"/>
  <c r="H19" i="19"/>
  <c r="H18" i="19"/>
  <c r="H17" i="19"/>
  <c r="H16" i="19"/>
  <c r="H15" i="19"/>
  <c r="H14" i="19"/>
  <c r="H13" i="19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H64" i="18" l="1"/>
  <c r="I64" i="18"/>
  <c r="F64" i="18"/>
  <c r="E58" i="18"/>
  <c r="E57" i="18"/>
  <c r="E56" i="18"/>
  <c r="E55" i="18"/>
  <c r="E54" i="18"/>
  <c r="E53" i="18"/>
  <c r="E52" i="18"/>
  <c r="E51" i="18"/>
  <c r="E50" i="18"/>
  <c r="E49" i="18"/>
  <c r="E62" i="18"/>
  <c r="E61" i="18"/>
  <c r="E60" i="18"/>
  <c r="E59" i="18"/>
  <c r="E43" i="18"/>
  <c r="E42" i="18"/>
  <c r="E41" i="18"/>
  <c r="E40" i="18"/>
  <c r="E39" i="18"/>
  <c r="E38" i="18"/>
  <c r="E37" i="18"/>
  <c r="E36" i="18"/>
  <c r="E48" i="18"/>
  <c r="E47" i="18"/>
  <c r="E46" i="18"/>
  <c r="E45" i="18"/>
  <c r="E44" i="18"/>
  <c r="E32" i="18"/>
  <c r="E31" i="18"/>
  <c r="E35" i="18"/>
  <c r="E34" i="18"/>
  <c r="E33" i="18"/>
  <c r="E30" i="18"/>
  <c r="E29" i="18"/>
  <c r="E28" i="18"/>
  <c r="E23" i="18"/>
  <c r="E22" i="18"/>
  <c r="E21" i="18"/>
  <c r="E20" i="18"/>
  <c r="E19" i="18"/>
  <c r="E18" i="18"/>
  <c r="E17" i="18"/>
  <c r="E16" i="18"/>
  <c r="E27" i="18"/>
  <c r="E26" i="18"/>
  <c r="E25" i="18"/>
  <c r="E8" i="18"/>
  <c r="E7" i="18"/>
  <c r="E6" i="18"/>
  <c r="E5" i="18"/>
  <c r="E24" i="18"/>
  <c r="E15" i="18"/>
  <c r="E14" i="18"/>
  <c r="E13" i="18"/>
  <c r="E12" i="18"/>
  <c r="E11" i="18"/>
  <c r="E10" i="18"/>
  <c r="E9" i="18"/>
  <c r="A18" i="15" l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F34" i="15"/>
  <c r="E7" i="15" l="1"/>
  <c r="E8" i="15"/>
  <c r="E9" i="15"/>
  <c r="E10" i="15"/>
  <c r="E6" i="15"/>
  <c r="E5" i="15"/>
  <c r="I34" i="15" l="1"/>
  <c r="G34" i="15" l="1"/>
  <c r="H34" i="15" l="1"/>
</calcChain>
</file>

<file path=xl/sharedStrings.xml><?xml version="1.0" encoding="utf-8"?>
<sst xmlns="http://schemas.openxmlformats.org/spreadsheetml/2006/main" count="264" uniqueCount="78">
  <si>
    <t>Unit</t>
  </si>
  <si>
    <t xml:space="preserve">ល.រ </t>
  </si>
  <si>
    <t>លេខប្រតិវេតន៍គយ</t>
  </si>
  <si>
    <t>កាលបរិច្ឆេទ</t>
  </si>
  <si>
    <t>មុខទំនិញ</t>
  </si>
  <si>
    <t>ឯកតា</t>
  </si>
  <si>
    <t>បរិមាណ</t>
  </si>
  <si>
    <t>តម្លៃគិតពន្ធគយ</t>
  </si>
  <si>
    <t>No.</t>
  </si>
  <si>
    <t>Custosms Declaration No.</t>
  </si>
  <si>
    <t>Custosms Declaration Date</t>
  </si>
  <si>
    <t>Descripion of Goods</t>
  </si>
  <si>
    <t>Quantity</t>
  </si>
  <si>
    <t>Net Weight
 (Kgs.)</t>
  </si>
  <si>
    <t>Customs Value
 (USD)</t>
  </si>
  <si>
    <t>Gross Weight
 (Kgs.)</t>
  </si>
  <si>
    <t>ទម្ងន់សុទ្ធ</t>
  </si>
  <si>
    <t>ទម្ងន់សរុប</t>
  </si>
  <si>
    <t>តារាងរបាយការណ៏នាំចូលវត្ថុធាតុដើមតាមប្រតិវេទន៏គយ</t>
  </si>
  <si>
    <t>តារាងរបាយការណ៏នាំចេញតាមប្រតិវេទន៏គយ</t>
  </si>
  <si>
    <t>ប្រធានក្រុមហ៊ុន</t>
  </si>
  <si>
    <t>បរិមាណ PCS</t>
  </si>
  <si>
    <t>WOVEN FABRIC</t>
  </si>
  <si>
    <t>KNITTED FABRIC</t>
  </si>
  <si>
    <t>WOVEN TAPE</t>
  </si>
  <si>
    <t>I 14254</t>
  </si>
  <si>
    <t>HANGER</t>
  </si>
  <si>
    <t>I 15940</t>
  </si>
  <si>
    <t>I 21065</t>
  </si>
  <si>
    <t>I 27779</t>
  </si>
  <si>
    <t>I 32429</t>
  </si>
  <si>
    <t>I 32408</t>
  </si>
  <si>
    <t>I 43602</t>
  </si>
  <si>
    <t>TOTAL​2026:</t>
  </si>
  <si>
    <t>TOTAL 2026  :</t>
  </si>
  <si>
    <t>LADIES WOVEN PANT</t>
  </si>
  <si>
    <t>LADIES KNITTED PANT</t>
  </si>
  <si>
    <t xml:space="preserve"> I 44874</t>
  </si>
  <si>
    <t>I 48322</t>
  </si>
  <si>
    <t>I 54125</t>
  </si>
  <si>
    <t>I 54535</t>
  </si>
  <si>
    <t>E 151185</t>
  </si>
  <si>
    <t>LADIES KNITTED 2PC PAJAMAS</t>
  </si>
  <si>
    <t>E 22600</t>
  </si>
  <si>
    <t>E 150950</t>
  </si>
  <si>
    <t>E 158607</t>
  </si>
  <si>
    <t>E 155508</t>
  </si>
  <si>
    <t>E 157509</t>
  </si>
  <si>
    <t>E 165484</t>
  </si>
  <si>
    <t>E 167278</t>
  </si>
  <si>
    <t>E 166063</t>
  </si>
  <si>
    <t>E 173249</t>
  </si>
  <si>
    <t>E 175464</t>
  </si>
  <si>
    <t>E 168899</t>
  </si>
  <si>
    <t>E 186000</t>
  </si>
  <si>
    <t>LADIES SKORT KNITTED</t>
  </si>
  <si>
    <t>E 195384</t>
  </si>
  <si>
    <t>E 202564</t>
  </si>
  <si>
    <t>E 208779</t>
  </si>
  <si>
    <t>ថ្ងៃទី ៣១ ខែ កក្កដា ឆ្នាំ ២០២៦</t>
  </si>
  <si>
    <t>I 96707</t>
  </si>
  <si>
    <t>WOVEN LABEL</t>
  </si>
  <si>
    <t>PLASTIC BUTTON</t>
  </si>
  <si>
    <t>HANG TAG</t>
  </si>
  <si>
    <t>I 105712</t>
  </si>
  <si>
    <t>I 105711</t>
  </si>
  <si>
    <t>METAL BUTTON</t>
  </si>
  <si>
    <t>MAIN LABEL</t>
  </si>
  <si>
    <t>I 107653</t>
  </si>
  <si>
    <t>E 168958</t>
  </si>
  <si>
    <t>E 214571</t>
  </si>
  <si>
    <t>E 225809</t>
  </si>
  <si>
    <t>Net Weight</t>
  </si>
  <si>
    <t>Customs Declare</t>
  </si>
  <si>
    <t>Export Report</t>
  </si>
  <si>
    <t>ក្រុមហ៊ុន JR APPAREL CO., LTD មាន អ.ត.ប លេខ L001-902501613 សំរាប់ ខែ មករា ឆ្នាំ 2026 រហូតដល់ ខែ កក្កដា  ឆ្នាំ 2026</t>
  </si>
  <si>
    <t>ក្រុមហ៊ុន JR APPAREL CO., LTD មាន អ.ត.ប លេខ L001-902501613 សំរាប់  ខែ​ កក្កដា ឆ្នាំ 2026</t>
  </si>
  <si>
    <t>KONG YEKSEAM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</si>
</sst>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[$-409]dd\-mmm\-yy;@"/>
    <numFmt numFmtId="167" formatCode="0.000"/>
  </numFmts>
  <fonts count="2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Times New Roman"/>
      <family val="1"/>
    </font>
    <font>
      <b/>
      <sz val="13"/>
      <name val="Arial"/>
      <family val="2"/>
    </font>
    <font>
      <sz val="12"/>
      <color indexed="8"/>
      <name val="Khmer OS Muol Light"/>
    </font>
    <font>
      <sz val="11"/>
      <color indexed="8"/>
      <name val="Khmer OS Siemreap"/>
    </font>
    <font>
      <sz val="9"/>
      <color indexed="8"/>
      <name val="Times New Roman"/>
      <family val="1"/>
    </font>
    <font>
      <sz val="12"/>
      <color indexed="8"/>
      <name val="Khmer OS Battambang"/>
    </font>
    <font>
      <sz val="9"/>
      <name val="Arial"/>
      <family val="2"/>
    </font>
    <font>
      <sz val="9"/>
      <color indexed="8"/>
      <name val="Khmer OS Siemreap"/>
    </font>
    <font>
      <sz val="10"/>
      <name val="Arial"/>
      <family val="2"/>
    </font>
    <font>
      <b/>
      <sz val="11"/>
      <color indexed="8"/>
      <name val="Times New Roman"/>
      <family val="1"/>
    </font>
    <font>
      <b/>
      <sz val="9"/>
      <color indexed="8"/>
      <name val="Times New Roman"/>
      <family val="1"/>
    </font>
    <font>
      <sz val="11"/>
      <color theme="1"/>
      <name val="Arial"/>
      <family val="2"/>
    </font>
    <font>
      <sz val="10.199999999999999"/>
      <color indexed="8"/>
      <name val="Khmer OS Battambang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top"/>
    </xf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right" wrapText="1"/>
    </xf>
    <xf numFmtId="0" fontId="0" fillId="0" borderId="0" xfId="0" applyAlignment="1">
      <alignment horizontal="right" wrapText="1"/>
    </xf>
    <xf numFmtId="4" fontId="0" fillId="2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0" fontId="0" fillId="2" borderId="0" xfId="5" applyNumberFormat="1" applyFont="1" applyFill="1" applyBorder="1" applyAlignment="1">
      <alignment horizontal="center"/>
    </xf>
    <xf numFmtId="0" fontId="0" fillId="0" borderId="0" xfId="5" applyNumberFormat="1" applyFont="1" applyBorder="1" applyAlignment="1">
      <alignment horizontal="center"/>
    </xf>
    <xf numFmtId="0" fontId="0" fillId="0" borderId="0" xfId="5" applyNumberFormat="1" applyFont="1" applyAlignment="1">
      <alignment horizontal="center"/>
    </xf>
    <xf numFmtId="0" fontId="11" fillId="0" borderId="0" xfId="0" applyFont="1"/>
    <xf numFmtId="4" fontId="15" fillId="0" borderId="3" xfId="0" applyNumberFormat="1" applyFont="1" applyBorder="1" applyAlignment="1">
      <alignment horizontal="right" vertical="center" wrapText="1"/>
    </xf>
    <xf numFmtId="4" fontId="1" fillId="0" borderId="0" xfId="0" applyNumberFormat="1" applyFont="1" applyAlignment="1">
      <alignment wrapText="1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4" fillId="0" borderId="1" xfId="5" applyNumberFormat="1" applyFont="1" applyBorder="1" applyAlignment="1">
      <alignment horizontal="center" vertical="center" wrapText="1"/>
    </xf>
    <xf numFmtId="43" fontId="4" fillId="0" borderId="1" xfId="0" applyNumberFormat="1" applyFont="1" applyBorder="1" applyAlignment="1">
      <alignment horizontal="right" vertical="center" wrapText="1"/>
    </xf>
    <xf numFmtId="43" fontId="1" fillId="0" borderId="1" xfId="6" applyFont="1" applyFill="1" applyBorder="1" applyAlignment="1">
      <alignment horizontal="center" vertical="center" wrapText="1"/>
    </xf>
    <xf numFmtId="0" fontId="5" fillId="0" borderId="7" xfId="5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3" fontId="1" fillId="0" borderId="0" xfId="5" applyFont="1" applyAlignment="1">
      <alignment wrapText="1"/>
    </xf>
    <xf numFmtId="43" fontId="4" fillId="0" borderId="1" xfId="5" applyFont="1" applyBorder="1" applyAlignment="1">
      <alignment horizontal="right" vertical="center" wrapText="1"/>
    </xf>
    <xf numFmtId="4" fontId="14" fillId="0" borderId="3" xfId="0" applyNumberFormat="1" applyFont="1" applyBorder="1" applyAlignment="1">
      <alignment horizontal="right" vertical="center" wrapText="1"/>
    </xf>
    <xf numFmtId="43" fontId="1" fillId="2" borderId="0" xfId="0" applyNumberFormat="1" applyFont="1" applyFill="1"/>
    <xf numFmtId="0" fontId="1" fillId="0" borderId="0" xfId="0" applyFont="1" applyAlignment="1">
      <alignment horizontal="center" wrapText="1"/>
    </xf>
    <xf numFmtId="0" fontId="1" fillId="0" borderId="1" xfId="6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166" fontId="1" fillId="0" borderId="1" xfId="6" applyNumberFormat="1" applyFont="1" applyFill="1" applyBorder="1" applyAlignment="1">
      <alignment horizontal="center" vertical="center" wrapText="1"/>
    </xf>
    <xf numFmtId="43" fontId="0" fillId="0" borderId="1" xfId="5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167" fontId="0" fillId="0" borderId="1" xfId="5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5" fillId="2" borderId="7" xfId="0" applyNumberFormat="1" applyFont="1" applyFill="1" applyBorder="1" applyAlignment="1">
      <alignment horizontal="center" vertical="center" wrapText="1"/>
    </xf>
    <xf numFmtId="4" fontId="9" fillId="2" borderId="7" xfId="0" applyNumberFormat="1" applyFont="1" applyFill="1" applyBorder="1" applyAlignment="1">
      <alignment horizontal="center"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3" fontId="9" fillId="2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/>
    <xf numFmtId="4" fontId="3" fillId="2" borderId="12" xfId="0" applyNumberFormat="1" applyFont="1" applyFill="1" applyBorder="1"/>
    <xf numFmtId="0" fontId="1" fillId="0" borderId="1" xfId="0" applyFont="1" applyBorder="1" applyAlignment="1">
      <alignment horizontal="center" vertical="center"/>
    </xf>
    <xf numFmtId="4" fontId="9" fillId="2" borderId="12" xfId="0" applyNumberFormat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166" fontId="16" fillId="0" borderId="5" xfId="0" applyNumberFormat="1" applyFont="1" applyBorder="1" applyAlignment="1">
      <alignment horizontal="center" vertical="center"/>
    </xf>
    <xf numFmtId="167" fontId="1" fillId="0" borderId="1" xfId="5" applyNumberFormat="1" applyFont="1" applyFill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43" fontId="1" fillId="0" borderId="1" xfId="5" applyFont="1" applyFill="1" applyBorder="1" applyAlignment="1">
      <alignment horizontal="center" vertical="center"/>
    </xf>
    <xf numFmtId="43" fontId="1" fillId="0" borderId="3" xfId="0" applyNumberFormat="1" applyFont="1" applyBorder="1" applyAlignment="1">
      <alignment horizontal="center" vertical="center"/>
    </xf>
    <xf numFmtId="43" fontId="1" fillId="0" borderId="3" xfId="5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6" fontId="19" fillId="0" borderId="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2" fillId="0" borderId="2" xfId="5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4" fontId="12" fillId="0" borderId="2" xfId="0" applyNumberFormat="1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4" fontId="8" fillId="2" borderId="2" xfId="0" applyNumberFormat="1" applyFont="1" applyFill="1" applyBorder="1" applyAlignment="1">
      <alignment horizontal="center" vertical="center"/>
    </xf>
    <xf numFmtId="3" fontId="8" fillId="2" borderId="2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 vertical="center"/>
    </xf>
    <xf numFmtId="4" fontId="0" fillId="2" borderId="1" xfId="0" applyNumberFormat="1" applyFill="1" applyBorder="1" applyAlignment="1">
      <alignment vertical="center"/>
    </xf>
    <xf numFmtId="43" fontId="3" fillId="2" borderId="1" xfId="5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right" vertical="center" wrapText="1"/>
    </xf>
    <xf numFmtId="4" fontId="0" fillId="2" borderId="0" xfId="0" applyNumberForma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4" fontId="0" fillId="2" borderId="0" xfId="0" applyNumberForma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3" fontId="0" fillId="2" borderId="0" xfId="0" applyNumberFormat="1" applyFill="1" applyAlignment="1">
      <alignment vertical="center"/>
    </xf>
    <xf numFmtId="0" fontId="0" fillId="0" borderId="12" xfId="0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3" fontId="0" fillId="0" borderId="12" xfId="0" applyNumberFormat="1" applyBorder="1" applyAlignment="1">
      <alignment vertical="center"/>
    </xf>
    <xf numFmtId="4" fontId="0" fillId="3" borderId="0" xfId="0" applyNumberFormat="1" applyFill="1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4" fontId="0" fillId="3" borderId="0" xfId="0" applyNumberFormat="1" applyFill="1" applyAlignment="1">
      <alignment horizontal="right" vertical="center"/>
    </xf>
    <xf numFmtId="4" fontId="0" fillId="0" borderId="0" xfId="0" applyNumberFormat="1"/>
    <xf numFmtId="0" fontId="0" fillId="0" borderId="0" xfId="0" applyAlignment="1">
      <alignment horizontal="right" vertical="center"/>
    </xf>
    <xf numFmtId="4" fontId="0" fillId="3" borderId="0" xfId="0" applyNumberFormat="1" applyFill="1"/>
    <xf numFmtId="0" fontId="18" fillId="2" borderId="0" xfId="0" applyFont="1" applyFill="1" applyAlignment="1">
      <alignment horizontal="center"/>
    </xf>
    <xf numFmtId="4" fontId="14" fillId="0" borderId="9" xfId="0" applyNumberFormat="1" applyFont="1" applyBorder="1" applyAlignment="1">
      <alignment horizontal="right" vertical="center" wrapText="1"/>
    </xf>
    <xf numFmtId="4" fontId="14" fillId="0" borderId="8" xfId="0" applyNumberFormat="1" applyFont="1" applyBorder="1" applyAlignment="1">
      <alignment horizontal="right" vertical="center" wrapText="1"/>
    </xf>
    <xf numFmtId="4" fontId="14" fillId="0" borderId="10" xfId="0" applyNumberFormat="1" applyFont="1" applyBorder="1" applyAlignment="1">
      <alignment horizontal="right" vertical="center" wrapText="1"/>
    </xf>
    <xf numFmtId="4" fontId="7" fillId="0" borderId="0" xfId="0" applyNumberFormat="1" applyFont="1" applyAlignment="1">
      <alignment horizontal="center" vertical="center"/>
    </xf>
    <xf numFmtId="4" fontId="17" fillId="0" borderId="8" xfId="0" applyNumberFormat="1" applyFont="1" applyBorder="1" applyAlignment="1">
      <alignment horizontal="center" vertical="center" wrapText="1"/>
    </xf>
    <xf numFmtId="4" fontId="10" fillId="2" borderId="6" xfId="0" applyNumberFormat="1" applyFont="1" applyFill="1" applyBorder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4" fontId="7" fillId="2" borderId="0" xfId="0" applyNumberFormat="1" applyFont="1" applyFill="1" applyAlignment="1">
      <alignment horizontal="center" vertical="center"/>
    </xf>
    <xf numFmtId="4" fontId="10" fillId="2" borderId="8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0" fontId="0" fillId="0" borderId="0" xfId="0" applyAlignment="1">
      <alignment horizontal="center"/>
    </xf>
  </cellXfs>
  <cellStyles count="7">
    <cellStyle name="Comma" xfId="5" builtinId="3"/>
    <cellStyle name="Comma 2" xfId="6" xr:uid="{00000000-0005-0000-0000-000001000000}"/>
    <cellStyle name="Normal" xfId="0" builtinId="0"/>
    <cellStyle name="Normal 3" xfId="1" xr:uid="{00000000-0005-0000-0000-000003000000}"/>
    <cellStyle name="Normal 8" xfId="2" xr:uid="{00000000-0005-0000-0000-000004000000}"/>
    <cellStyle name="Normal 9" xfId="3" xr:uid="{00000000-0005-0000-0000-000005000000}"/>
    <cellStyle name="Style 1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72"/>
  <sheetViews>
    <sheetView view="pageBreakPreview" zoomScale="118" zoomScaleNormal="100" zoomScaleSheetLayoutView="100" workbookViewId="0">
      <pane xSplit="9" ySplit="4" topLeftCell="J35" activePane="bottomRight" state="frozen"/>
      <selection activeCell="H28" sqref="H28"/>
      <selection pane="topRight" activeCell="H28" sqref="H28"/>
      <selection pane="bottomLeft" activeCell="H28" sqref="H28"/>
      <selection pane="bottomRight" activeCell="G44" sqref="G44:H44"/>
    </sheetView>
  </sheetViews>
  <sheetFormatPr defaultRowHeight="12.75" x14ac:dyDescent="0.2"/>
  <cols>
    <col min="1" max="1" width="5.7109375" style="12" customWidth="1"/>
    <col min="2" max="2" width="12.42578125" style="1" customWidth="1"/>
    <col min="3" max="3" width="12.42578125" style="20" customWidth="1"/>
    <col min="4" max="4" width="28.5703125" style="7" customWidth="1"/>
    <col min="5" max="5" width="7" style="9" customWidth="1"/>
    <col min="6" max="6" width="14.42578125" style="9" customWidth="1"/>
    <col min="7" max="7" width="13.28515625" style="9" customWidth="1"/>
    <col min="8" max="8" width="13" style="9" customWidth="1"/>
    <col min="9" max="9" width="12.42578125" style="9" customWidth="1"/>
    <col min="10" max="10" width="18" customWidth="1"/>
    <col min="11" max="11" width="10.5703125" bestFit="1" customWidth="1"/>
    <col min="12" max="12" width="10.28515625" bestFit="1" customWidth="1"/>
  </cols>
  <sheetData>
    <row r="1" spans="1:9" s="3" customFormat="1" ht="35.25" customHeight="1" x14ac:dyDescent="0.2">
      <c r="A1" s="103" t="s">
        <v>18</v>
      </c>
      <c r="B1" s="103"/>
      <c r="C1" s="103"/>
      <c r="D1" s="103"/>
      <c r="E1" s="103"/>
      <c r="F1" s="103"/>
      <c r="G1" s="103"/>
      <c r="H1" s="103"/>
      <c r="I1" s="103"/>
    </row>
    <row r="2" spans="1:9" ht="21.75" x14ac:dyDescent="0.2">
      <c r="A2" s="104" t="s">
        <v>75</v>
      </c>
      <c r="B2" s="104"/>
      <c r="C2" s="104"/>
      <c r="D2" s="104"/>
      <c r="E2" s="104"/>
      <c r="F2" s="104"/>
      <c r="G2" s="104"/>
      <c r="H2" s="104"/>
      <c r="I2" s="104"/>
    </row>
    <row r="3" spans="1:9" s="13" customFormat="1" ht="19.5" x14ac:dyDescent="0.2">
      <c r="A3" s="63" t="s">
        <v>1</v>
      </c>
      <c r="B3" s="64" t="s">
        <v>2</v>
      </c>
      <c r="C3" s="65" t="s">
        <v>3</v>
      </c>
      <c r="D3" s="66" t="s">
        <v>4</v>
      </c>
      <c r="E3" s="67" t="s">
        <v>5</v>
      </c>
      <c r="F3" s="67" t="s">
        <v>6</v>
      </c>
      <c r="G3" s="67" t="s">
        <v>16</v>
      </c>
      <c r="H3" s="67" t="s">
        <v>17</v>
      </c>
      <c r="I3" s="67" t="s">
        <v>7</v>
      </c>
    </row>
    <row r="4" spans="1:9" s="31" customFormat="1" ht="36" x14ac:dyDescent="0.2">
      <c r="A4" s="24" t="s">
        <v>8</v>
      </c>
      <c r="B4" s="25" t="s">
        <v>9</v>
      </c>
      <c r="C4" s="26" t="s">
        <v>10</v>
      </c>
      <c r="D4" s="25" t="s">
        <v>11</v>
      </c>
      <c r="E4" s="25" t="s">
        <v>0</v>
      </c>
      <c r="F4" s="25" t="s">
        <v>12</v>
      </c>
      <c r="G4" s="25" t="s">
        <v>13</v>
      </c>
      <c r="H4" s="25" t="s">
        <v>15</v>
      </c>
      <c r="I4" s="25" t="s">
        <v>14</v>
      </c>
    </row>
    <row r="5" spans="1:9" s="2" customFormat="1" ht="12" customHeight="1" x14ac:dyDescent="0.2">
      <c r="A5" s="21">
        <v>1</v>
      </c>
      <c r="B5" s="32" t="s">
        <v>25</v>
      </c>
      <c r="C5" s="34">
        <v>46050</v>
      </c>
      <c r="D5" s="23" t="s">
        <v>23</v>
      </c>
      <c r="E5" s="28">
        <f>I5/F5</f>
        <v>1</v>
      </c>
      <c r="F5" s="22">
        <v>17262</v>
      </c>
      <c r="G5" s="22">
        <v>6298.9</v>
      </c>
      <c r="H5" s="22">
        <v>6379</v>
      </c>
      <c r="I5" s="28">
        <v>17262</v>
      </c>
    </row>
    <row r="6" spans="1:9" s="2" customFormat="1" ht="12" customHeight="1" x14ac:dyDescent="0.2">
      <c r="A6" s="21">
        <v>2</v>
      </c>
      <c r="B6" s="32" t="s">
        <v>25</v>
      </c>
      <c r="C6" s="34">
        <v>46050</v>
      </c>
      <c r="D6" s="23" t="s">
        <v>22</v>
      </c>
      <c r="E6" s="28">
        <f>I6/F6</f>
        <v>1.8</v>
      </c>
      <c r="F6" s="22">
        <v>50625.4</v>
      </c>
      <c r="G6" s="22">
        <v>12927.4</v>
      </c>
      <c r="H6" s="22">
        <v>13172.5</v>
      </c>
      <c r="I6" s="28">
        <v>91125.72</v>
      </c>
    </row>
    <row r="7" spans="1:9" s="2" customFormat="1" ht="12" customHeight="1" x14ac:dyDescent="0.2">
      <c r="A7" s="21">
        <v>3</v>
      </c>
      <c r="B7" s="32" t="s">
        <v>25</v>
      </c>
      <c r="C7" s="34">
        <v>46050</v>
      </c>
      <c r="D7" s="23" t="s">
        <v>26</v>
      </c>
      <c r="E7" s="28">
        <f t="shared" ref="E7:E33" si="0">I7/F7</f>
        <v>1</v>
      </c>
      <c r="F7" s="22">
        <v>380</v>
      </c>
      <c r="G7" s="22">
        <v>375.4</v>
      </c>
      <c r="H7" s="22">
        <v>402.6</v>
      </c>
      <c r="I7" s="28">
        <v>380</v>
      </c>
    </row>
    <row r="8" spans="1:9" s="2" customFormat="1" ht="12" customHeight="1" x14ac:dyDescent="0.2">
      <c r="A8" s="21">
        <v>4</v>
      </c>
      <c r="B8" s="32" t="s">
        <v>27</v>
      </c>
      <c r="C8" s="34">
        <v>46052</v>
      </c>
      <c r="D8" s="23" t="s">
        <v>22</v>
      </c>
      <c r="E8" s="28">
        <f t="shared" si="0"/>
        <v>1.7999999999999998</v>
      </c>
      <c r="F8" s="22">
        <v>28887.4</v>
      </c>
      <c r="G8" s="22">
        <v>7934.8</v>
      </c>
      <c r="H8" s="22">
        <v>8022.1</v>
      </c>
      <c r="I8" s="28">
        <v>51997.32</v>
      </c>
    </row>
    <row r="9" spans="1:9" s="2" customFormat="1" ht="12" customHeight="1" x14ac:dyDescent="0.2">
      <c r="A9" s="21">
        <v>5</v>
      </c>
      <c r="B9" s="32" t="s">
        <v>28</v>
      </c>
      <c r="C9" s="34">
        <v>46062</v>
      </c>
      <c r="D9" s="23" t="s">
        <v>23</v>
      </c>
      <c r="E9" s="28">
        <f t="shared" si="0"/>
        <v>1</v>
      </c>
      <c r="F9" s="22">
        <v>41469.800000000003</v>
      </c>
      <c r="G9" s="22">
        <v>19220.900000000001</v>
      </c>
      <c r="H9" s="22">
        <v>19367.3</v>
      </c>
      <c r="I9" s="28">
        <v>41469.800000000003</v>
      </c>
    </row>
    <row r="10" spans="1:9" s="2" customFormat="1" ht="12" customHeight="1" x14ac:dyDescent="0.2">
      <c r="A10" s="21">
        <v>6</v>
      </c>
      <c r="B10" s="32" t="s">
        <v>28</v>
      </c>
      <c r="C10" s="34">
        <v>46062</v>
      </c>
      <c r="D10" s="23" t="s">
        <v>24</v>
      </c>
      <c r="E10" s="28">
        <f t="shared" si="0"/>
        <v>0.02</v>
      </c>
      <c r="F10" s="22">
        <v>2977</v>
      </c>
      <c r="G10" s="22">
        <v>94.3</v>
      </c>
      <c r="H10" s="22">
        <v>99.8</v>
      </c>
      <c r="I10" s="28">
        <v>59.54</v>
      </c>
    </row>
    <row r="11" spans="1:9" s="2" customFormat="1" ht="12" customHeight="1" x14ac:dyDescent="0.2">
      <c r="A11" s="21">
        <v>7</v>
      </c>
      <c r="B11" s="32" t="s">
        <v>29</v>
      </c>
      <c r="C11" s="34">
        <v>46076</v>
      </c>
      <c r="D11" s="23" t="s">
        <v>23</v>
      </c>
      <c r="E11" s="28">
        <f t="shared" si="0"/>
        <v>1</v>
      </c>
      <c r="F11" s="22">
        <v>39717.9</v>
      </c>
      <c r="G11" s="22">
        <v>23936</v>
      </c>
      <c r="H11" s="22">
        <v>24105</v>
      </c>
      <c r="I11" s="28">
        <v>39717.9</v>
      </c>
    </row>
    <row r="12" spans="1:9" s="2" customFormat="1" ht="12" customHeight="1" x14ac:dyDescent="0.2">
      <c r="A12" s="21">
        <v>8</v>
      </c>
      <c r="B12" s="32" t="s">
        <v>30</v>
      </c>
      <c r="C12" s="34">
        <v>46083</v>
      </c>
      <c r="D12" s="23" t="s">
        <v>23</v>
      </c>
      <c r="E12" s="28">
        <f t="shared" si="0"/>
        <v>1</v>
      </c>
      <c r="F12" s="22">
        <v>29217.8</v>
      </c>
      <c r="G12" s="22">
        <v>8594.9</v>
      </c>
      <c r="H12" s="22">
        <v>86999.9</v>
      </c>
      <c r="I12" s="28">
        <v>29217.8</v>
      </c>
    </row>
    <row r="13" spans="1:9" s="2" customFormat="1" ht="12" customHeight="1" x14ac:dyDescent="0.2">
      <c r="A13" s="21">
        <v>9</v>
      </c>
      <c r="B13" s="32" t="s">
        <v>30</v>
      </c>
      <c r="C13" s="34">
        <v>46083</v>
      </c>
      <c r="D13" s="23" t="s">
        <v>22</v>
      </c>
      <c r="E13" s="28">
        <f t="shared" si="0"/>
        <v>1.8</v>
      </c>
      <c r="F13" s="22">
        <v>282.5</v>
      </c>
      <c r="G13" s="22">
        <v>97.9</v>
      </c>
      <c r="H13" s="22">
        <v>99.1</v>
      </c>
      <c r="I13" s="28">
        <v>508.5</v>
      </c>
    </row>
    <row r="14" spans="1:9" s="2" customFormat="1" ht="12" customHeight="1" x14ac:dyDescent="0.2">
      <c r="A14" s="21">
        <v>10</v>
      </c>
      <c r="B14" s="32" t="s">
        <v>30</v>
      </c>
      <c r="C14" s="34">
        <v>46083</v>
      </c>
      <c r="D14" s="23" t="s">
        <v>24</v>
      </c>
      <c r="E14" s="28">
        <f t="shared" si="0"/>
        <v>0.02</v>
      </c>
      <c r="F14" s="22">
        <v>4013</v>
      </c>
      <c r="G14" s="22">
        <v>110.4</v>
      </c>
      <c r="H14" s="22">
        <v>114.4</v>
      </c>
      <c r="I14" s="28">
        <v>80.260000000000005</v>
      </c>
    </row>
    <row r="15" spans="1:9" s="2" customFormat="1" ht="12" customHeight="1" x14ac:dyDescent="0.2">
      <c r="A15" s="21">
        <v>11</v>
      </c>
      <c r="B15" s="32" t="s">
        <v>30</v>
      </c>
      <c r="C15" s="34">
        <v>46083</v>
      </c>
      <c r="D15" s="23" t="s">
        <v>26</v>
      </c>
      <c r="E15" s="28">
        <f t="shared" si="0"/>
        <v>1</v>
      </c>
      <c r="F15" s="22">
        <v>234</v>
      </c>
      <c r="G15" s="22">
        <v>161.1</v>
      </c>
      <c r="H15" s="22">
        <v>173.4</v>
      </c>
      <c r="I15" s="28">
        <v>234</v>
      </c>
    </row>
    <row r="16" spans="1:9" s="2" customFormat="1" ht="12" customHeight="1" x14ac:dyDescent="0.2">
      <c r="A16" s="21">
        <v>12</v>
      </c>
      <c r="B16" s="32" t="s">
        <v>31</v>
      </c>
      <c r="C16" s="34">
        <v>46083</v>
      </c>
      <c r="D16" s="23" t="s">
        <v>22</v>
      </c>
      <c r="E16" s="28">
        <f t="shared" si="0"/>
        <v>1.7999999999999998</v>
      </c>
      <c r="F16" s="22">
        <v>13511.9</v>
      </c>
      <c r="G16" s="22">
        <v>2147.8000000000002</v>
      </c>
      <c r="H16" s="22">
        <v>2198.6999999999998</v>
      </c>
      <c r="I16" s="28">
        <v>24321.42</v>
      </c>
    </row>
    <row r="17" spans="1:9" s="2" customFormat="1" ht="12" customHeight="1" x14ac:dyDescent="0.2">
      <c r="A17" s="21">
        <v>13</v>
      </c>
      <c r="B17" s="32" t="s">
        <v>31</v>
      </c>
      <c r="C17" s="34">
        <v>46083</v>
      </c>
      <c r="D17" s="23" t="s">
        <v>23</v>
      </c>
      <c r="E17" s="28">
        <f t="shared" si="0"/>
        <v>1</v>
      </c>
      <c r="F17" s="22">
        <v>57310.9</v>
      </c>
      <c r="G17" s="22">
        <v>18189.7</v>
      </c>
      <c r="H17" s="22">
        <v>18406.599999999999</v>
      </c>
      <c r="I17" s="28">
        <v>57310.9</v>
      </c>
    </row>
    <row r="18" spans="1:9" s="2" customFormat="1" ht="12" customHeight="1" x14ac:dyDescent="0.2">
      <c r="A18" s="21">
        <f>A17+1</f>
        <v>14</v>
      </c>
      <c r="B18" s="32" t="s">
        <v>32</v>
      </c>
      <c r="C18" s="34">
        <v>46111</v>
      </c>
      <c r="D18" s="23" t="s">
        <v>23</v>
      </c>
      <c r="E18" s="28">
        <f t="shared" si="0"/>
        <v>1</v>
      </c>
      <c r="F18" s="22">
        <v>51525.8</v>
      </c>
      <c r="G18" s="22">
        <v>19277.7</v>
      </c>
      <c r="H18" s="22">
        <v>19489.8</v>
      </c>
      <c r="I18" s="28">
        <v>51525.8</v>
      </c>
    </row>
    <row r="19" spans="1:9" s="2" customFormat="1" ht="12" customHeight="1" x14ac:dyDescent="0.2">
      <c r="A19" s="21">
        <f t="shared" ref="A19:A33" si="1">A18+1</f>
        <v>15</v>
      </c>
      <c r="B19" s="32" t="s">
        <v>37</v>
      </c>
      <c r="C19" s="34">
        <v>46113</v>
      </c>
      <c r="D19" s="23" t="s">
        <v>22</v>
      </c>
      <c r="E19" s="28">
        <f t="shared" si="0"/>
        <v>1.7999999999999998</v>
      </c>
      <c r="F19" s="22">
        <v>4111.1000000000004</v>
      </c>
      <c r="G19" s="22">
        <v>1403.6</v>
      </c>
      <c r="H19" s="22">
        <v>1415.6</v>
      </c>
      <c r="I19" s="28">
        <v>7399.98</v>
      </c>
    </row>
    <row r="20" spans="1:9" s="2" customFormat="1" ht="12" customHeight="1" x14ac:dyDescent="0.2">
      <c r="A20" s="21">
        <f t="shared" si="1"/>
        <v>16</v>
      </c>
      <c r="B20" s="32" t="s">
        <v>37</v>
      </c>
      <c r="C20" s="34">
        <v>46113</v>
      </c>
      <c r="D20" s="23" t="s">
        <v>23</v>
      </c>
      <c r="E20" s="28">
        <f t="shared" si="0"/>
        <v>1</v>
      </c>
      <c r="F20" s="22">
        <v>31890</v>
      </c>
      <c r="G20" s="22">
        <v>13949.8</v>
      </c>
      <c r="H20" s="22">
        <v>14148.3</v>
      </c>
      <c r="I20" s="28">
        <v>31890</v>
      </c>
    </row>
    <row r="21" spans="1:9" s="2" customFormat="1" ht="12" customHeight="1" x14ac:dyDescent="0.2">
      <c r="A21" s="21">
        <f t="shared" si="1"/>
        <v>17</v>
      </c>
      <c r="B21" s="32" t="s">
        <v>38</v>
      </c>
      <c r="C21" s="34">
        <v>46120</v>
      </c>
      <c r="D21" s="23" t="s">
        <v>23</v>
      </c>
      <c r="E21" s="28">
        <f t="shared" si="0"/>
        <v>1</v>
      </c>
      <c r="F21" s="22">
        <v>20161.3</v>
      </c>
      <c r="G21" s="22">
        <v>9037.2999999999993</v>
      </c>
      <c r="H21" s="22">
        <v>9100.7000000000007</v>
      </c>
      <c r="I21" s="28">
        <v>20161.3</v>
      </c>
    </row>
    <row r="22" spans="1:9" s="2" customFormat="1" ht="12" customHeight="1" x14ac:dyDescent="0.2">
      <c r="A22" s="21">
        <f t="shared" si="1"/>
        <v>18</v>
      </c>
      <c r="B22" s="32" t="s">
        <v>39</v>
      </c>
      <c r="C22" s="34">
        <v>46133</v>
      </c>
      <c r="D22" s="23" t="s">
        <v>23</v>
      </c>
      <c r="E22" s="28">
        <f t="shared" si="0"/>
        <v>1.0000000000000002</v>
      </c>
      <c r="F22" s="22">
        <v>41686.299999999996</v>
      </c>
      <c r="G22" s="22">
        <v>24819.5</v>
      </c>
      <c r="H22" s="22">
        <v>24980.3</v>
      </c>
      <c r="I22" s="28">
        <v>41686.300000000003</v>
      </c>
    </row>
    <row r="23" spans="1:9" s="2" customFormat="1" ht="12" customHeight="1" x14ac:dyDescent="0.2">
      <c r="A23" s="21">
        <f t="shared" si="1"/>
        <v>19</v>
      </c>
      <c r="B23" s="32" t="s">
        <v>40</v>
      </c>
      <c r="C23" s="34">
        <v>46134</v>
      </c>
      <c r="D23" s="23" t="s">
        <v>23</v>
      </c>
      <c r="E23" s="28">
        <f t="shared" si="0"/>
        <v>1</v>
      </c>
      <c r="F23" s="22">
        <v>18692.3</v>
      </c>
      <c r="G23" s="22">
        <v>9748.0000000000018</v>
      </c>
      <c r="H23" s="22">
        <v>9816.8000000000011</v>
      </c>
      <c r="I23" s="28">
        <v>18692.3</v>
      </c>
    </row>
    <row r="24" spans="1:9" s="2" customFormat="1" ht="12" customHeight="1" x14ac:dyDescent="0.2">
      <c r="A24" s="21">
        <f t="shared" si="1"/>
        <v>20</v>
      </c>
      <c r="B24" s="32" t="s">
        <v>60</v>
      </c>
      <c r="C24" s="34">
        <v>46205</v>
      </c>
      <c r="D24" s="23" t="s">
        <v>23</v>
      </c>
      <c r="E24" s="28">
        <f t="shared" si="0"/>
        <v>1</v>
      </c>
      <c r="F24" s="22">
        <v>28752</v>
      </c>
      <c r="G24" s="22">
        <v>15190.6</v>
      </c>
      <c r="H24" s="22">
        <v>15385.400000000001</v>
      </c>
      <c r="I24" s="28">
        <v>28752</v>
      </c>
    </row>
    <row r="25" spans="1:9" s="2" customFormat="1" ht="12" customHeight="1" x14ac:dyDescent="0.2">
      <c r="A25" s="21">
        <f t="shared" si="1"/>
        <v>21</v>
      </c>
      <c r="B25" s="32" t="s">
        <v>60</v>
      </c>
      <c r="C25" s="34">
        <v>46205</v>
      </c>
      <c r="D25" s="23" t="s">
        <v>61</v>
      </c>
      <c r="E25" s="28">
        <f t="shared" si="0"/>
        <v>0.05</v>
      </c>
      <c r="F25" s="22">
        <v>764</v>
      </c>
      <c r="G25" s="22">
        <v>10.7</v>
      </c>
      <c r="H25" s="22">
        <v>11</v>
      </c>
      <c r="I25" s="28">
        <v>38.200000000000003</v>
      </c>
    </row>
    <row r="26" spans="1:9" s="2" customFormat="1" ht="12" customHeight="1" x14ac:dyDescent="0.2">
      <c r="A26" s="21">
        <f t="shared" si="1"/>
        <v>22</v>
      </c>
      <c r="B26" s="32" t="s">
        <v>60</v>
      </c>
      <c r="C26" s="34">
        <v>46205</v>
      </c>
      <c r="D26" s="23" t="s">
        <v>62</v>
      </c>
      <c r="E26" s="28">
        <f t="shared" si="0"/>
        <v>1.5</v>
      </c>
      <c r="F26" s="22">
        <v>14</v>
      </c>
      <c r="G26" s="22">
        <v>0.9</v>
      </c>
      <c r="H26" s="22">
        <v>1</v>
      </c>
      <c r="I26" s="28">
        <v>21</v>
      </c>
    </row>
    <row r="27" spans="1:9" s="2" customFormat="1" ht="12" customHeight="1" x14ac:dyDescent="0.2">
      <c r="A27" s="21">
        <f t="shared" si="1"/>
        <v>23</v>
      </c>
      <c r="B27" s="32" t="s">
        <v>60</v>
      </c>
      <c r="C27" s="34">
        <v>46205</v>
      </c>
      <c r="D27" s="23" t="s">
        <v>63</v>
      </c>
      <c r="E27" s="28">
        <f t="shared" si="0"/>
        <v>0.12</v>
      </c>
      <c r="F27" s="22">
        <v>450</v>
      </c>
      <c r="G27" s="22">
        <v>18.399999999999999</v>
      </c>
      <c r="H27" s="22">
        <v>19</v>
      </c>
      <c r="I27" s="28">
        <v>54</v>
      </c>
    </row>
    <row r="28" spans="1:9" s="2" customFormat="1" ht="12" customHeight="1" x14ac:dyDescent="0.2">
      <c r="A28" s="21">
        <f t="shared" si="1"/>
        <v>24</v>
      </c>
      <c r="B28" s="32" t="s">
        <v>64</v>
      </c>
      <c r="C28" s="34">
        <v>46223</v>
      </c>
      <c r="D28" s="23" t="s">
        <v>23</v>
      </c>
      <c r="E28" s="28">
        <f t="shared" si="0"/>
        <v>1</v>
      </c>
      <c r="F28" s="22">
        <v>50616.7</v>
      </c>
      <c r="G28" s="22">
        <v>21453.1</v>
      </c>
      <c r="H28" s="22">
        <v>21634.1</v>
      </c>
      <c r="I28" s="28">
        <v>50616.7</v>
      </c>
    </row>
    <row r="29" spans="1:9" s="2" customFormat="1" ht="12" customHeight="1" x14ac:dyDescent="0.2">
      <c r="A29" s="21">
        <f t="shared" si="1"/>
        <v>25</v>
      </c>
      <c r="B29" s="32" t="s">
        <v>65</v>
      </c>
      <c r="C29" s="34">
        <v>46223</v>
      </c>
      <c r="D29" s="23" t="s">
        <v>23</v>
      </c>
      <c r="E29" s="28">
        <f t="shared" si="0"/>
        <v>1</v>
      </c>
      <c r="F29" s="22">
        <v>50579.7</v>
      </c>
      <c r="G29" s="22">
        <v>21441</v>
      </c>
      <c r="H29" s="22">
        <v>21654.3</v>
      </c>
      <c r="I29" s="28">
        <v>50579.7</v>
      </c>
    </row>
    <row r="30" spans="1:9" s="2" customFormat="1" ht="12" customHeight="1" x14ac:dyDescent="0.2">
      <c r="A30" s="21">
        <f t="shared" si="1"/>
        <v>26</v>
      </c>
      <c r="B30" s="32" t="s">
        <v>65</v>
      </c>
      <c r="C30" s="34">
        <v>46223</v>
      </c>
      <c r="D30" s="23" t="s">
        <v>66</v>
      </c>
      <c r="E30" s="28">
        <f t="shared" si="0"/>
        <v>4</v>
      </c>
      <c r="F30" s="22">
        <v>1228</v>
      </c>
      <c r="G30" s="22">
        <v>493.8</v>
      </c>
      <c r="H30" s="22">
        <v>510.7</v>
      </c>
      <c r="I30" s="28">
        <v>4912</v>
      </c>
    </row>
    <row r="31" spans="1:9" s="2" customFormat="1" ht="12" customHeight="1" x14ac:dyDescent="0.2">
      <c r="A31" s="21">
        <f t="shared" si="1"/>
        <v>27</v>
      </c>
      <c r="B31" s="32" t="s">
        <v>65</v>
      </c>
      <c r="C31" s="34">
        <v>46223</v>
      </c>
      <c r="D31" s="23" t="s">
        <v>62</v>
      </c>
      <c r="E31" s="28">
        <f t="shared" si="0"/>
        <v>1.5</v>
      </c>
      <c r="F31" s="22">
        <v>299</v>
      </c>
      <c r="G31" s="22">
        <v>6.5</v>
      </c>
      <c r="H31" s="22">
        <v>7</v>
      </c>
      <c r="I31" s="28">
        <v>448.5</v>
      </c>
    </row>
    <row r="32" spans="1:9" s="2" customFormat="1" ht="12" customHeight="1" x14ac:dyDescent="0.2">
      <c r="A32" s="21">
        <f t="shared" si="1"/>
        <v>28</v>
      </c>
      <c r="B32" s="32" t="s">
        <v>65</v>
      </c>
      <c r="C32" s="34">
        <v>46223</v>
      </c>
      <c r="D32" s="23" t="s">
        <v>67</v>
      </c>
      <c r="E32" s="28">
        <f t="shared" si="0"/>
        <v>0.05</v>
      </c>
      <c r="F32" s="22">
        <v>7175</v>
      </c>
      <c r="G32" s="22">
        <v>42</v>
      </c>
      <c r="H32" s="22">
        <v>45</v>
      </c>
      <c r="I32" s="28">
        <v>358.75</v>
      </c>
    </row>
    <row r="33" spans="1:11" s="2" customFormat="1" ht="12" customHeight="1" x14ac:dyDescent="0.2">
      <c r="A33" s="21">
        <f t="shared" si="1"/>
        <v>29</v>
      </c>
      <c r="B33" s="32" t="s">
        <v>68</v>
      </c>
      <c r="C33" s="34">
        <v>46226</v>
      </c>
      <c r="D33" s="23" t="s">
        <v>23</v>
      </c>
      <c r="E33" s="28">
        <f t="shared" si="0"/>
        <v>1</v>
      </c>
      <c r="F33" s="22">
        <v>39790.300000000003</v>
      </c>
      <c r="G33" s="22">
        <v>19321.400000000001</v>
      </c>
      <c r="H33" s="22">
        <v>19573.2</v>
      </c>
      <c r="I33" s="28">
        <v>39790.300000000003</v>
      </c>
    </row>
    <row r="34" spans="1:11" s="2" customFormat="1" ht="14.25" customHeight="1" x14ac:dyDescent="0.2">
      <c r="A34" s="100" t="s">
        <v>33</v>
      </c>
      <c r="B34" s="101"/>
      <c r="C34" s="101"/>
      <c r="D34" s="102"/>
      <c r="E34" s="14"/>
      <c r="F34" s="29">
        <f>SUBTOTAL(9,F5:F33)</f>
        <v>633625.09999999986</v>
      </c>
      <c r="G34" s="29">
        <f>SUBTOTAL(9,G5:G33)</f>
        <v>256303.8</v>
      </c>
      <c r="H34" s="29">
        <f>SUBTOTAL(9,H5:H33)</f>
        <v>337332.6</v>
      </c>
      <c r="I34" s="29">
        <f>SUBTOTAL(9,I5:I33)</f>
        <v>700611.98999999987</v>
      </c>
      <c r="J34" s="27"/>
      <c r="K34" s="15"/>
    </row>
    <row r="35" spans="1:11" s="5" customFormat="1" ht="25.5" x14ac:dyDescent="0.2">
      <c r="A35" s="10"/>
      <c r="B35" s="16"/>
      <c r="C35" s="17"/>
      <c r="D35" s="6"/>
      <c r="E35" s="105"/>
      <c r="F35" s="105"/>
      <c r="G35" s="105"/>
      <c r="H35" s="105"/>
      <c r="I35" s="105"/>
    </row>
    <row r="36" spans="1:11" s="5" customFormat="1" ht="25.5" x14ac:dyDescent="0.2">
      <c r="A36" s="10"/>
      <c r="B36" s="16"/>
      <c r="C36" s="17"/>
      <c r="D36" s="6"/>
      <c r="E36" s="4"/>
      <c r="F36" s="106" t="s">
        <v>59</v>
      </c>
      <c r="G36" s="106"/>
      <c r="H36" s="106"/>
      <c r="I36" s="106"/>
    </row>
    <row r="37" spans="1:11" s="5" customFormat="1" ht="25.5" x14ac:dyDescent="0.2">
      <c r="A37" s="10"/>
      <c r="B37" s="16"/>
      <c r="C37" s="17"/>
      <c r="D37" s="6"/>
      <c r="E37" s="4"/>
      <c r="F37" s="106" t="s">
        <v>20</v>
      </c>
      <c r="G37" s="106"/>
      <c r="H37" s="106"/>
      <c r="I37" s="106"/>
    </row>
    <row r="38" spans="1:11" s="5" customFormat="1" x14ac:dyDescent="0.2">
      <c r="A38" s="10"/>
      <c r="B38" s="16"/>
      <c r="C38" s="17"/>
      <c r="D38" s="6"/>
      <c r="E38" s="8"/>
      <c r="F38" s="8"/>
      <c r="G38" s="8"/>
      <c r="H38" s="8"/>
      <c r="I38" s="8"/>
    </row>
    <row r="39" spans="1:11" s="5" customFormat="1" x14ac:dyDescent="0.2">
      <c r="A39" s="10"/>
      <c r="B39" s="16"/>
      <c r="C39" s="17"/>
      <c r="D39" s="6"/>
      <c r="E39" s="8"/>
      <c r="F39" s="8"/>
      <c r="G39" s="8"/>
      <c r="H39" s="8"/>
      <c r="I39" s="8"/>
    </row>
    <row r="40" spans="1:11" s="5" customFormat="1" x14ac:dyDescent="0.2">
      <c r="A40" s="10"/>
      <c r="B40" s="16"/>
      <c r="C40" s="17"/>
      <c r="D40" s="6"/>
      <c r="E40" s="8"/>
      <c r="F40" s="8"/>
      <c r="G40" s="8"/>
      <c r="H40" s="8"/>
      <c r="I40" s="8"/>
    </row>
    <row r="41" spans="1:11" s="5" customFormat="1" x14ac:dyDescent="0.2">
      <c r="A41" s="10"/>
      <c r="B41" s="16"/>
      <c r="C41" s="17"/>
      <c r="D41" s="6"/>
      <c r="E41" s="8"/>
      <c r="F41" s="8"/>
      <c r="G41" s="8"/>
      <c r="H41" s="8"/>
      <c r="I41" s="8"/>
    </row>
    <row r="42" spans="1:11" s="5" customFormat="1" x14ac:dyDescent="0.2">
      <c r="A42" s="10"/>
      <c r="B42" s="16"/>
      <c r="C42" s="17"/>
      <c r="D42" s="6"/>
      <c r="E42" s="8"/>
      <c r="F42" s="8"/>
      <c r="G42" s="8"/>
      <c r="H42" s="8"/>
      <c r="I42" s="8"/>
    </row>
    <row r="43" spans="1:11" s="5" customFormat="1" x14ac:dyDescent="0.2">
      <c r="A43" s="10"/>
      <c r="B43" s="16"/>
      <c r="C43" s="17"/>
      <c r="D43" s="6"/>
      <c r="E43" s="8"/>
      <c r="F43" s="8"/>
      <c r="H43" s="8"/>
      <c r="I43" s="8"/>
    </row>
    <row r="44" spans="1:11" s="5" customFormat="1" x14ac:dyDescent="0.2">
      <c r="A44" s="10"/>
      <c r="B44" s="16"/>
      <c r="C44" s="17"/>
      <c r="D44" s="6"/>
      <c r="E44" s="8"/>
      <c r="F44" s="8"/>
      <c r="G44" s="99" t="s">
        <v>77</v>
      </c>
      <c r="H44" s="99"/>
      <c r="I44" s="8"/>
    </row>
    <row r="45" spans="1:11" s="5" customFormat="1" x14ac:dyDescent="0.2">
      <c r="A45" s="10"/>
      <c r="B45" s="16"/>
      <c r="C45" s="17"/>
      <c r="D45" s="6"/>
      <c r="E45" s="8"/>
      <c r="F45" s="8"/>
      <c r="G45" s="8"/>
      <c r="H45" s="8"/>
      <c r="I45" s="8"/>
    </row>
    <row r="46" spans="1:11" s="5" customFormat="1" x14ac:dyDescent="0.2">
      <c r="A46" s="10"/>
      <c r="B46" s="16"/>
      <c r="C46" s="17"/>
      <c r="D46" s="6"/>
      <c r="E46" s="8"/>
      <c r="F46" s="8"/>
      <c r="G46" s="8"/>
      <c r="H46" s="8"/>
      <c r="I46" s="8"/>
    </row>
    <row r="47" spans="1:11" s="5" customFormat="1" x14ac:dyDescent="0.2">
      <c r="A47" s="10"/>
      <c r="B47" s="16"/>
      <c r="C47" s="17"/>
      <c r="D47" s="6"/>
      <c r="E47" s="8"/>
      <c r="F47" s="8"/>
      <c r="G47" s="8"/>
      <c r="H47" s="8"/>
      <c r="I47" s="8"/>
    </row>
    <row r="48" spans="1:11" s="5" customFormat="1" x14ac:dyDescent="0.2">
      <c r="A48" s="10"/>
      <c r="B48" s="16"/>
      <c r="C48" s="17"/>
      <c r="D48" s="6"/>
      <c r="E48" s="8"/>
      <c r="F48" s="8"/>
      <c r="G48" s="8"/>
      <c r="H48" s="8"/>
      <c r="I48" s="8"/>
    </row>
    <row r="49" spans="1:9" s="5" customFormat="1" x14ac:dyDescent="0.2">
      <c r="A49" s="10"/>
      <c r="B49" s="16"/>
      <c r="C49" s="17"/>
      <c r="D49" s="6"/>
      <c r="E49" s="8"/>
      <c r="F49" s="8"/>
      <c r="G49" s="8"/>
      <c r="H49" s="8"/>
      <c r="I49" s="8"/>
    </row>
    <row r="50" spans="1:9" s="5" customFormat="1" x14ac:dyDescent="0.2">
      <c r="A50" s="10"/>
      <c r="B50" s="16"/>
      <c r="C50" s="17"/>
      <c r="D50" s="6"/>
      <c r="E50" s="8"/>
      <c r="F50" s="8"/>
      <c r="G50" s="8"/>
      <c r="H50" s="8"/>
      <c r="I50" s="8"/>
    </row>
    <row r="51" spans="1:9" s="5" customFormat="1" x14ac:dyDescent="0.2">
      <c r="A51" s="10"/>
      <c r="B51" s="16"/>
      <c r="C51" s="17"/>
      <c r="D51" s="6"/>
      <c r="E51" s="8"/>
      <c r="F51" s="8"/>
      <c r="G51" s="8"/>
      <c r="H51" s="8"/>
      <c r="I51" s="8"/>
    </row>
    <row r="52" spans="1:9" s="5" customFormat="1" x14ac:dyDescent="0.2">
      <c r="A52" s="10"/>
      <c r="B52" s="16"/>
      <c r="C52" s="17"/>
      <c r="D52" s="6"/>
      <c r="E52" s="8"/>
      <c r="F52" s="8"/>
      <c r="G52" s="8"/>
      <c r="H52" s="8"/>
      <c r="I52" s="8"/>
    </row>
    <row r="53" spans="1:9" s="5" customFormat="1" x14ac:dyDescent="0.2">
      <c r="A53" s="10"/>
      <c r="B53" s="16"/>
      <c r="C53" s="17"/>
      <c r="D53" s="6"/>
      <c r="E53" s="8"/>
      <c r="F53" s="8"/>
      <c r="G53" s="8"/>
      <c r="H53" s="8"/>
      <c r="I53" s="8"/>
    </row>
    <row r="54" spans="1:9" s="5" customFormat="1" x14ac:dyDescent="0.2">
      <c r="A54" s="10"/>
      <c r="B54" s="16"/>
      <c r="C54" s="17"/>
      <c r="D54" s="6"/>
      <c r="E54" s="8"/>
      <c r="F54" s="8"/>
      <c r="G54" s="8"/>
      <c r="H54" s="8"/>
      <c r="I54" s="8"/>
    </row>
    <row r="55" spans="1:9" s="5" customFormat="1" x14ac:dyDescent="0.2">
      <c r="A55" s="10"/>
      <c r="B55" s="16"/>
      <c r="C55" s="17"/>
      <c r="D55" s="6"/>
      <c r="E55" s="8"/>
      <c r="F55" s="8"/>
      <c r="G55" s="8"/>
      <c r="H55" s="8"/>
      <c r="I55" s="8"/>
    </row>
    <row r="56" spans="1:9" s="5" customFormat="1" x14ac:dyDescent="0.2">
      <c r="A56" s="10"/>
      <c r="B56" s="16"/>
      <c r="C56" s="17"/>
      <c r="D56" s="6"/>
      <c r="E56" s="8"/>
      <c r="F56" s="8"/>
      <c r="G56" s="8"/>
      <c r="H56" s="8"/>
      <c r="I56" s="8"/>
    </row>
    <row r="57" spans="1:9" s="5" customFormat="1" x14ac:dyDescent="0.2">
      <c r="A57" s="10"/>
      <c r="B57" s="16"/>
      <c r="C57" s="17"/>
      <c r="D57" s="6"/>
      <c r="E57" s="8"/>
      <c r="F57" s="8"/>
      <c r="G57" s="8"/>
      <c r="H57" s="8"/>
      <c r="I57" s="8"/>
    </row>
    <row r="58" spans="1:9" s="5" customFormat="1" x14ac:dyDescent="0.2">
      <c r="A58" s="10"/>
      <c r="B58" s="16"/>
      <c r="C58" s="17"/>
      <c r="D58" s="6"/>
      <c r="E58" s="8"/>
      <c r="F58" s="8"/>
      <c r="G58" s="8"/>
      <c r="H58" s="8"/>
      <c r="I58" s="8"/>
    </row>
    <row r="59" spans="1:9" s="5" customFormat="1" x14ac:dyDescent="0.2">
      <c r="A59" s="10"/>
      <c r="B59" s="16"/>
      <c r="C59" s="17"/>
      <c r="D59" s="6"/>
      <c r="E59" s="8"/>
      <c r="F59" s="8"/>
      <c r="G59" s="8"/>
      <c r="H59" s="8"/>
      <c r="I59" s="8"/>
    </row>
    <row r="60" spans="1:9" s="5" customFormat="1" x14ac:dyDescent="0.2">
      <c r="A60" s="10"/>
      <c r="B60" s="16"/>
      <c r="C60" s="17"/>
      <c r="D60" s="6"/>
      <c r="E60" s="8"/>
      <c r="F60" s="8"/>
      <c r="G60" s="8"/>
      <c r="H60" s="8"/>
      <c r="I60" s="8"/>
    </row>
    <row r="61" spans="1:9" s="5" customFormat="1" x14ac:dyDescent="0.2">
      <c r="A61" s="10"/>
      <c r="B61" s="16"/>
      <c r="C61" s="17"/>
      <c r="D61" s="6"/>
      <c r="E61" s="8"/>
      <c r="F61" s="8"/>
      <c r="G61" s="8"/>
      <c r="H61" s="8"/>
      <c r="I61" s="8"/>
    </row>
    <row r="62" spans="1:9" s="5" customFormat="1" x14ac:dyDescent="0.2">
      <c r="A62" s="10"/>
      <c r="B62" s="16"/>
      <c r="C62" s="17"/>
      <c r="D62" s="6"/>
      <c r="E62" s="8"/>
      <c r="F62" s="8"/>
      <c r="G62" s="8"/>
      <c r="H62" s="8"/>
      <c r="I62" s="8"/>
    </row>
    <row r="63" spans="1:9" s="5" customFormat="1" x14ac:dyDescent="0.2">
      <c r="A63" s="10"/>
      <c r="B63" s="16"/>
      <c r="C63" s="17"/>
      <c r="D63" s="6"/>
      <c r="E63" s="8"/>
      <c r="F63" s="8"/>
      <c r="G63" s="8"/>
      <c r="H63" s="8"/>
      <c r="I63" s="8"/>
    </row>
    <row r="64" spans="1:9" s="5" customFormat="1" x14ac:dyDescent="0.2">
      <c r="A64" s="10"/>
      <c r="B64" s="16"/>
      <c r="C64" s="17"/>
      <c r="D64" s="6"/>
      <c r="E64" s="8"/>
      <c r="F64" s="8"/>
      <c r="G64" s="8"/>
      <c r="H64" s="8"/>
      <c r="I64" s="8"/>
    </row>
    <row r="65" spans="1:9" s="5" customFormat="1" x14ac:dyDescent="0.2">
      <c r="A65" s="10"/>
      <c r="B65" s="16"/>
      <c r="C65" s="17"/>
      <c r="D65" s="6"/>
      <c r="E65" s="8"/>
      <c r="F65" s="8"/>
      <c r="G65" s="8"/>
      <c r="H65" s="8"/>
      <c r="I65" s="8"/>
    </row>
    <row r="66" spans="1:9" s="5" customFormat="1" x14ac:dyDescent="0.2">
      <c r="A66" s="10"/>
      <c r="B66" s="16"/>
      <c r="C66" s="17"/>
      <c r="D66" s="6"/>
      <c r="E66" s="8"/>
      <c r="F66" s="8"/>
      <c r="G66" s="8"/>
      <c r="H66" s="8"/>
      <c r="I66" s="8"/>
    </row>
    <row r="67" spans="1:9" s="5" customFormat="1" x14ac:dyDescent="0.2">
      <c r="A67" s="10"/>
      <c r="B67" s="16"/>
      <c r="C67" s="17"/>
      <c r="D67" s="6"/>
      <c r="E67" s="8"/>
      <c r="F67" s="8"/>
      <c r="G67" s="8"/>
      <c r="H67" s="8"/>
      <c r="I67" s="8"/>
    </row>
    <row r="68" spans="1:9" s="5" customFormat="1" x14ac:dyDescent="0.2">
      <c r="A68" s="10"/>
      <c r="B68" s="16"/>
      <c r="C68" s="17"/>
      <c r="D68" s="6"/>
      <c r="E68" s="8"/>
      <c r="F68" s="8"/>
      <c r="G68" s="8"/>
      <c r="H68" s="8"/>
      <c r="I68" s="8"/>
    </row>
    <row r="69" spans="1:9" s="5" customFormat="1" x14ac:dyDescent="0.2">
      <c r="A69" s="10"/>
      <c r="B69" s="16"/>
      <c r="C69" s="17"/>
      <c r="D69" s="6"/>
      <c r="E69" s="8"/>
      <c r="F69" s="8"/>
      <c r="G69" s="8"/>
      <c r="H69" s="8"/>
      <c r="I69" s="8"/>
    </row>
    <row r="70" spans="1:9" s="5" customFormat="1" x14ac:dyDescent="0.2">
      <c r="A70" s="10"/>
      <c r="B70" s="16"/>
      <c r="C70" s="17"/>
      <c r="D70" s="6"/>
      <c r="E70" s="8"/>
      <c r="F70" s="8"/>
      <c r="G70" s="8"/>
      <c r="H70" s="8"/>
      <c r="I70" s="8"/>
    </row>
    <row r="71" spans="1:9" s="5" customFormat="1" x14ac:dyDescent="0.2">
      <c r="A71" s="10"/>
      <c r="B71" s="16"/>
      <c r="C71" s="17"/>
      <c r="D71" s="6"/>
      <c r="E71" s="8"/>
      <c r="F71" s="8"/>
      <c r="G71" s="8"/>
      <c r="H71" s="8"/>
      <c r="I71" s="8"/>
    </row>
    <row r="72" spans="1:9" s="5" customFormat="1" x14ac:dyDescent="0.2">
      <c r="A72" s="10"/>
      <c r="B72" s="16"/>
      <c r="C72" s="17"/>
      <c r="D72" s="6"/>
      <c r="E72" s="8"/>
      <c r="F72" s="8"/>
      <c r="G72" s="8"/>
      <c r="H72" s="8"/>
      <c r="I72" s="8"/>
    </row>
    <row r="73" spans="1:9" s="5" customFormat="1" x14ac:dyDescent="0.2">
      <c r="A73" s="10"/>
      <c r="B73" s="16"/>
      <c r="C73" s="17"/>
      <c r="D73" s="6"/>
      <c r="E73" s="8"/>
      <c r="F73" s="8"/>
      <c r="G73" s="8"/>
      <c r="H73" s="8"/>
      <c r="I73" s="8"/>
    </row>
    <row r="74" spans="1:9" s="5" customFormat="1" x14ac:dyDescent="0.2">
      <c r="A74" s="10"/>
      <c r="B74" s="16"/>
      <c r="C74" s="17"/>
      <c r="D74" s="6"/>
      <c r="E74" s="8"/>
      <c r="F74" s="8"/>
      <c r="G74" s="8"/>
      <c r="H74" s="8"/>
      <c r="I74" s="8"/>
    </row>
    <row r="75" spans="1:9" s="5" customFormat="1" x14ac:dyDescent="0.2">
      <c r="A75" s="10"/>
      <c r="B75" s="16"/>
      <c r="C75" s="17"/>
      <c r="D75" s="6"/>
      <c r="E75" s="8"/>
      <c r="F75" s="8"/>
      <c r="G75" s="8"/>
      <c r="H75" s="8"/>
      <c r="I75" s="8"/>
    </row>
    <row r="76" spans="1:9" s="5" customFormat="1" x14ac:dyDescent="0.2">
      <c r="A76" s="10"/>
      <c r="B76" s="16"/>
      <c r="C76" s="17"/>
      <c r="D76" s="6"/>
      <c r="E76" s="8"/>
      <c r="F76" s="8"/>
      <c r="G76" s="8"/>
      <c r="H76" s="8"/>
      <c r="I76" s="8"/>
    </row>
    <row r="77" spans="1:9" s="5" customFormat="1" x14ac:dyDescent="0.2">
      <c r="A77" s="10"/>
      <c r="B77" s="16"/>
      <c r="C77" s="17"/>
      <c r="D77" s="6"/>
      <c r="E77" s="8"/>
      <c r="F77" s="8"/>
      <c r="G77" s="8"/>
      <c r="H77" s="8"/>
      <c r="I77" s="8"/>
    </row>
    <row r="78" spans="1:9" s="5" customFormat="1" x14ac:dyDescent="0.2">
      <c r="A78" s="10"/>
      <c r="B78" s="16"/>
      <c r="C78" s="17"/>
      <c r="D78" s="6"/>
      <c r="E78" s="8"/>
      <c r="F78" s="8"/>
      <c r="G78" s="8"/>
      <c r="H78" s="8"/>
      <c r="I78" s="8"/>
    </row>
    <row r="79" spans="1:9" s="5" customFormat="1" x14ac:dyDescent="0.2">
      <c r="A79" s="10"/>
      <c r="B79" s="16"/>
      <c r="C79" s="17"/>
      <c r="D79" s="6"/>
      <c r="E79" s="8"/>
      <c r="F79" s="8"/>
      <c r="G79" s="8"/>
      <c r="H79" s="8"/>
      <c r="I79" s="8"/>
    </row>
    <row r="80" spans="1:9" s="5" customFormat="1" x14ac:dyDescent="0.2">
      <c r="A80" s="10"/>
      <c r="B80" s="16"/>
      <c r="C80" s="17"/>
      <c r="D80" s="6"/>
      <c r="E80" s="8"/>
      <c r="F80" s="8"/>
      <c r="G80" s="8"/>
      <c r="H80" s="8"/>
      <c r="I80" s="8"/>
    </row>
    <row r="81" spans="1:9" s="5" customFormat="1" x14ac:dyDescent="0.2">
      <c r="A81" s="10"/>
      <c r="B81" s="16"/>
      <c r="C81" s="17"/>
      <c r="D81" s="6"/>
      <c r="E81" s="8"/>
      <c r="F81" s="8"/>
      <c r="G81" s="8"/>
      <c r="H81" s="8"/>
      <c r="I81" s="8"/>
    </row>
    <row r="82" spans="1:9" s="5" customFormat="1" x14ac:dyDescent="0.2">
      <c r="A82" s="10"/>
      <c r="B82" s="16"/>
      <c r="C82" s="17"/>
      <c r="D82" s="6"/>
      <c r="E82" s="8"/>
      <c r="F82" s="8"/>
      <c r="G82" s="8"/>
      <c r="H82" s="8"/>
      <c r="I82" s="8"/>
    </row>
    <row r="83" spans="1:9" s="5" customFormat="1" x14ac:dyDescent="0.2">
      <c r="A83" s="10"/>
      <c r="B83" s="16"/>
      <c r="C83" s="17"/>
      <c r="D83" s="6"/>
      <c r="E83" s="8"/>
      <c r="F83" s="8"/>
      <c r="G83" s="8"/>
      <c r="H83" s="8"/>
      <c r="I83" s="8"/>
    </row>
    <row r="84" spans="1:9" s="5" customFormat="1" x14ac:dyDescent="0.2">
      <c r="A84" s="10"/>
      <c r="B84" s="16"/>
      <c r="C84" s="17"/>
      <c r="D84" s="6"/>
      <c r="E84" s="8"/>
      <c r="F84" s="8"/>
      <c r="G84" s="8"/>
      <c r="H84" s="8"/>
      <c r="I84" s="8"/>
    </row>
    <row r="85" spans="1:9" s="5" customFormat="1" x14ac:dyDescent="0.2">
      <c r="A85" s="10"/>
      <c r="B85" s="16"/>
      <c r="C85" s="17"/>
      <c r="D85" s="6"/>
      <c r="E85" s="8"/>
      <c r="F85" s="8"/>
      <c r="G85" s="8"/>
      <c r="H85" s="8"/>
      <c r="I85" s="8"/>
    </row>
    <row r="86" spans="1:9" s="5" customFormat="1" x14ac:dyDescent="0.2">
      <c r="A86" s="10"/>
      <c r="B86" s="16"/>
      <c r="C86" s="17"/>
      <c r="D86" s="6"/>
      <c r="E86" s="8"/>
      <c r="F86" s="8"/>
      <c r="G86" s="8"/>
      <c r="H86" s="8"/>
      <c r="I86" s="8"/>
    </row>
    <row r="87" spans="1:9" s="5" customFormat="1" x14ac:dyDescent="0.2">
      <c r="A87" s="10"/>
      <c r="B87" s="16"/>
      <c r="C87" s="17"/>
      <c r="D87" s="6"/>
      <c r="E87" s="8"/>
      <c r="F87" s="8"/>
      <c r="G87" s="8"/>
      <c r="H87" s="8"/>
      <c r="I87" s="8"/>
    </row>
    <row r="88" spans="1:9" s="5" customFormat="1" x14ac:dyDescent="0.2">
      <c r="A88" s="10"/>
      <c r="B88" s="16"/>
      <c r="C88" s="17"/>
      <c r="D88" s="6"/>
      <c r="E88" s="8"/>
      <c r="F88" s="8"/>
      <c r="G88" s="8"/>
      <c r="H88" s="8"/>
      <c r="I88" s="8"/>
    </row>
    <row r="89" spans="1:9" s="5" customFormat="1" x14ac:dyDescent="0.2">
      <c r="A89" s="10"/>
      <c r="B89" s="16"/>
      <c r="C89" s="17"/>
      <c r="D89" s="6"/>
      <c r="E89" s="8"/>
      <c r="F89" s="8"/>
      <c r="G89" s="8"/>
      <c r="H89" s="8"/>
      <c r="I89" s="8"/>
    </row>
    <row r="90" spans="1:9" s="5" customFormat="1" x14ac:dyDescent="0.2">
      <c r="A90" s="10"/>
      <c r="B90" s="16"/>
      <c r="C90" s="17"/>
      <c r="D90" s="6"/>
      <c r="E90" s="8"/>
      <c r="F90" s="8"/>
      <c r="G90" s="8"/>
      <c r="H90" s="8"/>
      <c r="I90" s="8"/>
    </row>
    <row r="91" spans="1:9" s="5" customFormat="1" x14ac:dyDescent="0.2">
      <c r="A91" s="10"/>
      <c r="B91" s="16"/>
      <c r="C91" s="17"/>
      <c r="D91" s="6"/>
      <c r="E91" s="8"/>
      <c r="F91" s="8"/>
      <c r="G91" s="8"/>
      <c r="H91" s="8"/>
      <c r="I91" s="8"/>
    </row>
    <row r="92" spans="1:9" s="5" customFormat="1" x14ac:dyDescent="0.2">
      <c r="A92" s="10"/>
      <c r="B92" s="16"/>
      <c r="C92" s="17"/>
      <c r="D92" s="6"/>
      <c r="E92" s="8"/>
      <c r="F92" s="8"/>
      <c r="G92" s="8"/>
      <c r="H92" s="8"/>
      <c r="I92" s="8"/>
    </row>
    <row r="93" spans="1:9" s="5" customFormat="1" x14ac:dyDescent="0.2">
      <c r="A93" s="10"/>
      <c r="B93" s="16"/>
      <c r="C93" s="17"/>
      <c r="D93" s="6"/>
      <c r="E93" s="8"/>
      <c r="F93" s="8"/>
      <c r="G93" s="8"/>
      <c r="H93" s="8"/>
      <c r="I93" s="8"/>
    </row>
    <row r="94" spans="1:9" s="5" customFormat="1" x14ac:dyDescent="0.2">
      <c r="A94" s="10"/>
      <c r="B94" s="16"/>
      <c r="C94" s="17"/>
      <c r="D94" s="6"/>
      <c r="E94" s="8"/>
      <c r="F94" s="8"/>
      <c r="G94" s="8"/>
      <c r="H94" s="8"/>
      <c r="I94" s="8"/>
    </row>
    <row r="95" spans="1:9" s="5" customFormat="1" x14ac:dyDescent="0.2">
      <c r="A95" s="10"/>
      <c r="B95" s="16"/>
      <c r="C95" s="17"/>
      <c r="D95" s="6"/>
      <c r="E95" s="8"/>
      <c r="F95" s="8"/>
      <c r="G95" s="8"/>
      <c r="H95" s="8"/>
      <c r="I95" s="8"/>
    </row>
    <row r="96" spans="1:9" s="5" customFormat="1" x14ac:dyDescent="0.2">
      <c r="A96" s="10"/>
      <c r="B96" s="16"/>
      <c r="C96" s="17"/>
      <c r="D96" s="6"/>
      <c r="E96" s="8"/>
      <c r="F96" s="8"/>
      <c r="G96" s="8"/>
      <c r="H96" s="8"/>
      <c r="I96" s="8"/>
    </row>
    <row r="97" spans="1:9" s="5" customFormat="1" x14ac:dyDescent="0.2">
      <c r="A97" s="10"/>
      <c r="B97" s="16"/>
      <c r="C97" s="17"/>
      <c r="D97" s="6"/>
      <c r="E97" s="8"/>
      <c r="F97" s="8"/>
      <c r="G97" s="8"/>
      <c r="H97" s="8"/>
      <c r="I97" s="8"/>
    </row>
    <row r="98" spans="1:9" s="5" customFormat="1" x14ac:dyDescent="0.2">
      <c r="A98" s="10"/>
      <c r="B98" s="16"/>
      <c r="C98" s="17"/>
      <c r="D98" s="6"/>
      <c r="E98" s="8"/>
      <c r="F98" s="8"/>
      <c r="G98" s="8"/>
      <c r="H98" s="8"/>
      <c r="I98" s="8"/>
    </row>
    <row r="99" spans="1:9" s="5" customFormat="1" x14ac:dyDescent="0.2">
      <c r="A99" s="10"/>
      <c r="B99" s="16"/>
      <c r="C99" s="17"/>
      <c r="D99" s="6"/>
      <c r="E99" s="8"/>
      <c r="F99" s="8"/>
      <c r="G99" s="8"/>
      <c r="H99" s="8"/>
      <c r="I99" s="8"/>
    </row>
    <row r="100" spans="1:9" s="5" customFormat="1" x14ac:dyDescent="0.2">
      <c r="A100" s="10"/>
      <c r="B100" s="16"/>
      <c r="C100" s="17"/>
      <c r="D100" s="6"/>
      <c r="E100" s="8"/>
      <c r="F100" s="8"/>
      <c r="G100" s="8"/>
      <c r="H100" s="8"/>
      <c r="I100" s="8"/>
    </row>
    <row r="101" spans="1:9" s="5" customFormat="1" x14ac:dyDescent="0.2">
      <c r="A101" s="10"/>
      <c r="B101" s="16"/>
      <c r="C101" s="17"/>
      <c r="D101" s="6"/>
      <c r="E101" s="8"/>
      <c r="F101" s="8"/>
      <c r="G101" s="8"/>
      <c r="H101" s="8"/>
      <c r="I101" s="8"/>
    </row>
    <row r="102" spans="1:9" s="5" customFormat="1" x14ac:dyDescent="0.2">
      <c r="A102" s="10"/>
      <c r="B102" s="16"/>
      <c r="C102" s="17"/>
      <c r="D102" s="6"/>
      <c r="E102" s="8"/>
      <c r="F102" s="8"/>
      <c r="G102" s="8"/>
      <c r="H102" s="8"/>
      <c r="I102" s="8"/>
    </row>
    <row r="103" spans="1:9" s="5" customFormat="1" x14ac:dyDescent="0.2">
      <c r="A103" s="10"/>
      <c r="B103" s="16"/>
      <c r="C103" s="17"/>
      <c r="D103" s="6"/>
      <c r="E103" s="8"/>
      <c r="F103" s="8"/>
      <c r="G103" s="8"/>
      <c r="H103" s="8"/>
      <c r="I103" s="8"/>
    </row>
    <row r="104" spans="1:9" s="5" customFormat="1" x14ac:dyDescent="0.2">
      <c r="A104" s="10"/>
      <c r="B104" s="16"/>
      <c r="C104" s="17"/>
      <c r="D104" s="6"/>
      <c r="E104" s="8"/>
      <c r="F104" s="8"/>
      <c r="G104" s="8"/>
      <c r="H104" s="8"/>
      <c r="I104" s="8"/>
    </row>
    <row r="105" spans="1:9" s="5" customFormat="1" x14ac:dyDescent="0.2">
      <c r="A105" s="10"/>
      <c r="B105" s="16"/>
      <c r="C105" s="17"/>
      <c r="D105" s="6"/>
      <c r="E105" s="8"/>
      <c r="F105" s="8"/>
      <c r="G105" s="8"/>
      <c r="H105" s="8"/>
      <c r="I105" s="8"/>
    </row>
    <row r="106" spans="1:9" s="5" customFormat="1" x14ac:dyDescent="0.2">
      <c r="A106" s="10"/>
      <c r="B106" s="16"/>
      <c r="C106" s="17"/>
      <c r="D106" s="6"/>
      <c r="E106" s="8"/>
      <c r="F106" s="8"/>
      <c r="G106" s="8"/>
      <c r="H106" s="8"/>
      <c r="I106" s="8"/>
    </row>
    <row r="107" spans="1:9" s="5" customFormat="1" x14ac:dyDescent="0.2">
      <c r="A107" s="10"/>
      <c r="B107" s="16"/>
      <c r="C107" s="17"/>
      <c r="D107" s="6"/>
      <c r="E107" s="8"/>
      <c r="F107" s="8"/>
      <c r="G107" s="8"/>
      <c r="H107" s="8"/>
      <c r="I107" s="8"/>
    </row>
    <row r="108" spans="1:9" s="5" customFormat="1" x14ac:dyDescent="0.2">
      <c r="A108" s="10"/>
      <c r="B108" s="16"/>
      <c r="C108" s="17"/>
      <c r="D108" s="6"/>
      <c r="E108" s="8"/>
      <c r="F108" s="8"/>
      <c r="G108" s="8"/>
      <c r="H108" s="8"/>
      <c r="I108" s="8"/>
    </row>
    <row r="109" spans="1:9" s="5" customFormat="1" x14ac:dyDescent="0.2">
      <c r="A109" s="10"/>
      <c r="B109" s="16"/>
      <c r="C109" s="17"/>
      <c r="D109" s="6"/>
      <c r="E109" s="8"/>
      <c r="F109" s="8"/>
      <c r="G109" s="8"/>
      <c r="H109" s="8"/>
      <c r="I109" s="8"/>
    </row>
    <row r="110" spans="1:9" s="5" customFormat="1" x14ac:dyDescent="0.2">
      <c r="A110" s="10"/>
      <c r="B110" s="16"/>
      <c r="C110" s="17"/>
      <c r="D110" s="6"/>
      <c r="E110" s="8"/>
      <c r="F110" s="8"/>
      <c r="G110" s="8"/>
      <c r="H110" s="8"/>
      <c r="I110" s="8"/>
    </row>
    <row r="111" spans="1:9" s="5" customFormat="1" x14ac:dyDescent="0.2">
      <c r="A111" s="10"/>
      <c r="B111" s="16"/>
      <c r="C111" s="17"/>
      <c r="D111" s="6"/>
      <c r="E111" s="8"/>
      <c r="F111" s="8"/>
      <c r="G111" s="8"/>
      <c r="H111" s="8"/>
      <c r="I111" s="8"/>
    </row>
    <row r="112" spans="1:9" s="5" customFormat="1" x14ac:dyDescent="0.2">
      <c r="A112" s="10"/>
      <c r="B112" s="16"/>
      <c r="C112" s="17"/>
      <c r="D112" s="6"/>
      <c r="E112" s="8"/>
      <c r="F112" s="8"/>
      <c r="G112" s="8"/>
      <c r="H112" s="8"/>
      <c r="I112" s="8"/>
    </row>
    <row r="113" spans="1:9" s="5" customFormat="1" x14ac:dyDescent="0.2">
      <c r="A113" s="10"/>
      <c r="B113" s="16"/>
      <c r="C113" s="17"/>
      <c r="D113" s="6"/>
      <c r="E113" s="8"/>
      <c r="F113" s="8"/>
      <c r="G113" s="8"/>
      <c r="H113" s="8"/>
      <c r="I113" s="8"/>
    </row>
    <row r="114" spans="1:9" s="5" customFormat="1" x14ac:dyDescent="0.2">
      <c r="A114" s="10"/>
      <c r="B114" s="16"/>
      <c r="C114" s="17"/>
      <c r="D114" s="6"/>
      <c r="E114" s="8"/>
      <c r="F114" s="8"/>
      <c r="G114" s="8"/>
      <c r="H114" s="8"/>
      <c r="I114" s="8"/>
    </row>
    <row r="115" spans="1:9" s="5" customFormat="1" x14ac:dyDescent="0.2">
      <c r="A115" s="10"/>
      <c r="B115" s="16"/>
      <c r="C115" s="17"/>
      <c r="D115" s="6"/>
      <c r="E115" s="8"/>
      <c r="F115" s="8"/>
      <c r="G115" s="8"/>
      <c r="H115" s="8"/>
      <c r="I115" s="8"/>
    </row>
    <row r="116" spans="1:9" s="5" customFormat="1" x14ac:dyDescent="0.2">
      <c r="A116" s="10"/>
      <c r="B116" s="16"/>
      <c r="C116" s="17"/>
      <c r="D116" s="6"/>
      <c r="E116" s="8"/>
      <c r="F116" s="8"/>
      <c r="G116" s="8"/>
      <c r="H116" s="8"/>
      <c r="I116" s="8"/>
    </row>
    <row r="117" spans="1:9" s="5" customFormat="1" x14ac:dyDescent="0.2">
      <c r="A117" s="10"/>
      <c r="B117" s="16"/>
      <c r="C117" s="17"/>
      <c r="D117" s="6"/>
      <c r="E117" s="8"/>
      <c r="F117" s="8"/>
      <c r="G117" s="8"/>
      <c r="H117" s="8"/>
      <c r="I117" s="8"/>
    </row>
    <row r="118" spans="1:9" s="5" customFormat="1" x14ac:dyDescent="0.2">
      <c r="A118" s="10"/>
      <c r="B118" s="16"/>
      <c r="C118" s="17"/>
      <c r="D118" s="6"/>
      <c r="E118" s="8"/>
      <c r="F118" s="8"/>
      <c r="G118" s="8"/>
      <c r="H118" s="8"/>
      <c r="I118" s="8"/>
    </row>
    <row r="119" spans="1:9" s="5" customFormat="1" x14ac:dyDescent="0.2">
      <c r="A119" s="10"/>
      <c r="B119" s="16"/>
      <c r="C119" s="17"/>
      <c r="D119" s="6"/>
      <c r="E119" s="8"/>
      <c r="F119" s="8"/>
      <c r="G119" s="8"/>
      <c r="H119" s="8"/>
      <c r="I119" s="8"/>
    </row>
    <row r="120" spans="1:9" s="5" customFormat="1" x14ac:dyDescent="0.2">
      <c r="A120" s="10"/>
      <c r="B120" s="16"/>
      <c r="C120" s="17"/>
      <c r="D120" s="6"/>
      <c r="E120" s="8"/>
      <c r="F120" s="8"/>
      <c r="G120" s="8"/>
      <c r="H120" s="8"/>
      <c r="I120" s="8"/>
    </row>
    <row r="121" spans="1:9" s="5" customFormat="1" x14ac:dyDescent="0.2">
      <c r="A121" s="10"/>
      <c r="B121" s="16"/>
      <c r="C121" s="17"/>
      <c r="D121" s="6"/>
      <c r="E121" s="8"/>
      <c r="F121" s="8"/>
      <c r="G121" s="8"/>
      <c r="H121" s="8"/>
      <c r="I121" s="8"/>
    </row>
    <row r="122" spans="1:9" s="5" customFormat="1" x14ac:dyDescent="0.2">
      <c r="A122" s="10"/>
      <c r="B122" s="16"/>
      <c r="C122" s="17"/>
      <c r="D122" s="6"/>
      <c r="E122" s="8"/>
      <c r="F122" s="8"/>
      <c r="G122" s="8"/>
      <c r="H122" s="8"/>
      <c r="I122" s="8"/>
    </row>
    <row r="123" spans="1:9" s="5" customFormat="1" x14ac:dyDescent="0.2">
      <c r="A123" s="10"/>
      <c r="B123" s="16"/>
      <c r="C123" s="17"/>
      <c r="D123" s="6"/>
      <c r="E123" s="8"/>
      <c r="F123" s="8"/>
      <c r="G123" s="8"/>
      <c r="H123" s="8"/>
      <c r="I123" s="8"/>
    </row>
    <row r="124" spans="1:9" s="5" customFormat="1" x14ac:dyDescent="0.2">
      <c r="A124" s="10"/>
      <c r="B124" s="16"/>
      <c r="C124" s="17"/>
      <c r="D124" s="6"/>
      <c r="E124" s="8"/>
      <c r="F124" s="8"/>
      <c r="G124" s="8"/>
      <c r="H124" s="8"/>
      <c r="I124" s="8"/>
    </row>
    <row r="125" spans="1:9" s="5" customFormat="1" x14ac:dyDescent="0.2">
      <c r="A125" s="10"/>
      <c r="B125" s="16"/>
      <c r="C125" s="17"/>
      <c r="D125" s="6"/>
      <c r="E125" s="8"/>
      <c r="F125" s="8"/>
      <c r="G125" s="8"/>
      <c r="H125" s="8"/>
      <c r="I125" s="8"/>
    </row>
    <row r="126" spans="1:9" x14ac:dyDescent="0.2">
      <c r="A126" s="11"/>
      <c r="B126" s="18"/>
      <c r="C126" s="19"/>
    </row>
    <row r="127" spans="1:9" x14ac:dyDescent="0.2">
      <c r="A127" s="11"/>
      <c r="B127" s="18"/>
      <c r="C127" s="19"/>
    </row>
    <row r="128" spans="1:9" x14ac:dyDescent="0.2">
      <c r="A128" s="11"/>
      <c r="B128" s="18"/>
      <c r="C128" s="19"/>
    </row>
    <row r="129" spans="1:3" x14ac:dyDescent="0.2">
      <c r="A129" s="11"/>
      <c r="B129" s="18"/>
      <c r="C129" s="19"/>
    </row>
    <row r="130" spans="1:3" x14ac:dyDescent="0.2">
      <c r="A130" s="11"/>
      <c r="B130" s="18"/>
      <c r="C130" s="19"/>
    </row>
    <row r="131" spans="1:3" x14ac:dyDescent="0.2">
      <c r="A131" s="11"/>
      <c r="B131" s="18"/>
      <c r="C131" s="19"/>
    </row>
    <row r="132" spans="1:3" x14ac:dyDescent="0.2">
      <c r="A132" s="11"/>
      <c r="B132" s="18"/>
      <c r="C132" s="19"/>
    </row>
    <row r="133" spans="1:3" x14ac:dyDescent="0.2">
      <c r="A133" s="11"/>
      <c r="B133" s="18"/>
      <c r="C133" s="19"/>
    </row>
    <row r="134" spans="1:3" x14ac:dyDescent="0.2">
      <c r="A134" s="11"/>
      <c r="B134" s="18"/>
      <c r="C134" s="19"/>
    </row>
    <row r="135" spans="1:3" x14ac:dyDescent="0.2">
      <c r="A135" s="11"/>
      <c r="B135" s="18"/>
      <c r="C135" s="19"/>
    </row>
    <row r="136" spans="1:3" x14ac:dyDescent="0.2">
      <c r="A136" s="11"/>
      <c r="B136" s="18"/>
      <c r="C136" s="19"/>
    </row>
    <row r="137" spans="1:3" x14ac:dyDescent="0.2">
      <c r="A137" s="11"/>
      <c r="B137" s="18"/>
      <c r="C137" s="19"/>
    </row>
    <row r="138" spans="1:3" x14ac:dyDescent="0.2">
      <c r="A138" s="11"/>
      <c r="B138" s="18"/>
      <c r="C138" s="19"/>
    </row>
    <row r="139" spans="1:3" x14ac:dyDescent="0.2">
      <c r="A139" s="11"/>
      <c r="B139" s="18"/>
      <c r="C139" s="19"/>
    </row>
    <row r="140" spans="1:3" x14ac:dyDescent="0.2">
      <c r="A140" s="11"/>
      <c r="B140" s="18"/>
      <c r="C140" s="19"/>
    </row>
    <row r="141" spans="1:3" x14ac:dyDescent="0.2">
      <c r="A141" s="11"/>
      <c r="B141" s="18"/>
      <c r="C141" s="19"/>
    </row>
    <row r="142" spans="1:3" x14ac:dyDescent="0.2">
      <c r="A142" s="11"/>
      <c r="B142" s="18"/>
      <c r="C142" s="19"/>
    </row>
    <row r="143" spans="1:3" x14ac:dyDescent="0.2">
      <c r="A143" s="11"/>
      <c r="B143" s="18"/>
      <c r="C143" s="19"/>
    </row>
    <row r="144" spans="1:3" x14ac:dyDescent="0.2">
      <c r="A144" s="11"/>
      <c r="B144" s="18"/>
      <c r="C144" s="19"/>
    </row>
    <row r="145" spans="1:3" x14ac:dyDescent="0.2">
      <c r="A145" s="11"/>
      <c r="B145" s="18"/>
      <c r="C145" s="19"/>
    </row>
    <row r="146" spans="1:3" x14ac:dyDescent="0.2">
      <c r="A146" s="11"/>
      <c r="B146" s="18"/>
      <c r="C146" s="19"/>
    </row>
    <row r="147" spans="1:3" x14ac:dyDescent="0.2">
      <c r="A147" s="11"/>
      <c r="B147" s="18"/>
      <c r="C147" s="19"/>
    </row>
    <row r="148" spans="1:3" x14ac:dyDescent="0.2">
      <c r="A148" s="11"/>
      <c r="B148" s="18"/>
      <c r="C148" s="19"/>
    </row>
    <row r="149" spans="1:3" x14ac:dyDescent="0.2">
      <c r="A149" s="11"/>
      <c r="B149" s="18"/>
      <c r="C149" s="19"/>
    </row>
    <row r="150" spans="1:3" x14ac:dyDescent="0.2">
      <c r="A150" s="11"/>
      <c r="B150" s="18"/>
      <c r="C150" s="19"/>
    </row>
    <row r="151" spans="1:3" x14ac:dyDescent="0.2">
      <c r="A151" s="11"/>
      <c r="B151" s="18"/>
      <c r="C151" s="19"/>
    </row>
    <row r="152" spans="1:3" x14ac:dyDescent="0.2">
      <c r="A152" s="11"/>
      <c r="B152" s="18"/>
      <c r="C152" s="19"/>
    </row>
    <row r="153" spans="1:3" x14ac:dyDescent="0.2">
      <c r="A153" s="11"/>
      <c r="B153" s="18"/>
      <c r="C153" s="19"/>
    </row>
    <row r="154" spans="1:3" x14ac:dyDescent="0.2">
      <c r="A154" s="11"/>
      <c r="B154" s="18"/>
      <c r="C154" s="19"/>
    </row>
    <row r="155" spans="1:3" x14ac:dyDescent="0.2">
      <c r="A155" s="11"/>
      <c r="B155" s="18"/>
      <c r="C155" s="19"/>
    </row>
    <row r="156" spans="1:3" x14ac:dyDescent="0.2">
      <c r="A156" s="11"/>
      <c r="B156" s="18"/>
      <c r="C156" s="19"/>
    </row>
    <row r="157" spans="1:3" x14ac:dyDescent="0.2">
      <c r="A157" s="11"/>
      <c r="B157" s="18"/>
      <c r="C157" s="19"/>
    </row>
    <row r="158" spans="1:3" x14ac:dyDescent="0.2">
      <c r="A158" s="11"/>
      <c r="B158" s="18"/>
      <c r="C158" s="19"/>
    </row>
    <row r="159" spans="1:3" x14ac:dyDescent="0.2">
      <c r="A159" s="11"/>
      <c r="B159" s="18"/>
      <c r="C159" s="19"/>
    </row>
    <row r="160" spans="1:3" x14ac:dyDescent="0.2">
      <c r="A160" s="11"/>
      <c r="B160" s="18"/>
      <c r="C160" s="19"/>
    </row>
    <row r="161" spans="1:3" x14ac:dyDescent="0.2">
      <c r="A161" s="11"/>
      <c r="B161" s="18"/>
      <c r="C161" s="19"/>
    </row>
    <row r="162" spans="1:3" x14ac:dyDescent="0.2">
      <c r="A162" s="11"/>
      <c r="B162" s="18"/>
      <c r="C162" s="19"/>
    </row>
    <row r="163" spans="1:3" x14ac:dyDescent="0.2">
      <c r="A163" s="11"/>
      <c r="B163" s="18"/>
      <c r="C163" s="19"/>
    </row>
    <row r="164" spans="1:3" x14ac:dyDescent="0.2">
      <c r="A164" s="11"/>
      <c r="B164" s="18"/>
      <c r="C164" s="19"/>
    </row>
    <row r="165" spans="1:3" x14ac:dyDescent="0.2">
      <c r="A165" s="11"/>
      <c r="B165" s="18"/>
      <c r="C165" s="19"/>
    </row>
    <row r="166" spans="1:3" x14ac:dyDescent="0.2">
      <c r="A166" s="11"/>
      <c r="B166" s="18"/>
      <c r="C166" s="19"/>
    </row>
    <row r="167" spans="1:3" x14ac:dyDescent="0.2">
      <c r="A167" s="11"/>
      <c r="B167" s="18"/>
      <c r="C167" s="19"/>
    </row>
    <row r="168" spans="1:3" x14ac:dyDescent="0.2">
      <c r="A168" s="11"/>
      <c r="B168" s="18"/>
      <c r="C168" s="19"/>
    </row>
    <row r="169" spans="1:3" x14ac:dyDescent="0.2">
      <c r="A169" s="11"/>
      <c r="B169" s="18"/>
      <c r="C169" s="19"/>
    </row>
    <row r="170" spans="1:3" x14ac:dyDescent="0.2">
      <c r="A170" s="11"/>
      <c r="B170" s="18"/>
      <c r="C170" s="19"/>
    </row>
    <row r="171" spans="1:3" x14ac:dyDescent="0.2">
      <c r="A171" s="11"/>
      <c r="B171" s="18"/>
      <c r="C171" s="19"/>
    </row>
    <row r="172" spans="1:3" x14ac:dyDescent="0.2">
      <c r="A172" s="11"/>
      <c r="B172" s="18"/>
      <c r="C172" s="19"/>
    </row>
  </sheetData>
  <autoFilter ref="A4:I33" xr:uid="{00000000-0009-0000-0000-000000000000}"/>
  <mergeCells count="7">
    <mergeCell ref="G44:H44"/>
    <mergeCell ref="A34:D34"/>
    <mergeCell ref="A1:I1"/>
    <mergeCell ref="A2:I2"/>
    <mergeCell ref="E35:I35"/>
    <mergeCell ref="F36:I36"/>
    <mergeCell ref="F37:I37"/>
  </mergeCells>
  <printOptions horizontalCentered="1"/>
  <pageMargins left="0.25" right="0.2" top="0.25" bottom="0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4809-7572-4BA4-9C7E-55F6D85E5545}">
  <sheetPr>
    <pageSetUpPr fitToPage="1"/>
  </sheetPr>
  <dimension ref="A1:M76"/>
  <sheetViews>
    <sheetView tabSelected="1" view="pageBreakPreview" zoomScaleNormal="100" zoomScaleSheetLayoutView="100" workbookViewId="0">
      <pane ySplit="4" topLeftCell="A56" activePane="bottomLeft" state="frozen"/>
      <selection activeCell="H28" sqref="H28"/>
      <selection pane="bottomLeft" activeCell="G75" sqref="G75:H75"/>
    </sheetView>
  </sheetViews>
  <sheetFormatPr defaultRowHeight="12.75" x14ac:dyDescent="0.2"/>
  <cols>
    <col min="1" max="1" width="5.7109375" style="78" customWidth="1"/>
    <col min="2" max="2" width="17.28515625" style="33" customWidth="1"/>
    <col min="3" max="3" width="18.5703125" style="79" customWidth="1"/>
    <col min="4" max="4" width="30.28515625" style="82" customWidth="1"/>
    <col min="5" max="5" width="8.7109375" style="81" customWidth="1"/>
    <col min="6" max="6" width="13.42578125" style="85" customWidth="1"/>
    <col min="7" max="7" width="13.28515625" style="81" customWidth="1"/>
    <col min="8" max="8" width="12.5703125" style="81" customWidth="1"/>
    <col min="9" max="9" width="15.140625" style="81" customWidth="1"/>
    <col min="10" max="10" width="18" style="5" customWidth="1"/>
    <col min="11" max="11" width="13.85546875" style="5" customWidth="1"/>
    <col min="12" max="16384" width="9.140625" style="5"/>
  </cols>
  <sheetData>
    <row r="1" spans="1:13" s="78" customFormat="1" ht="32.450000000000003" customHeight="1" x14ac:dyDescent="0.2">
      <c r="A1" s="108" t="s">
        <v>19</v>
      </c>
      <c r="B1" s="108"/>
      <c r="C1" s="108"/>
      <c r="D1" s="108"/>
      <c r="E1" s="108"/>
      <c r="F1" s="108"/>
      <c r="G1" s="108"/>
      <c r="H1" s="108"/>
      <c r="I1" s="108"/>
    </row>
    <row r="2" spans="1:13" s="78" customFormat="1" ht="23.25" customHeight="1" x14ac:dyDescent="0.2">
      <c r="A2" s="109" t="s">
        <v>76</v>
      </c>
      <c r="B2" s="109"/>
      <c r="C2" s="109"/>
      <c r="D2" s="109"/>
      <c r="E2" s="109"/>
      <c r="F2" s="109"/>
      <c r="G2" s="109"/>
      <c r="H2" s="109"/>
      <c r="I2" s="109"/>
    </row>
    <row r="3" spans="1:13" s="87" customFormat="1" ht="23.25" x14ac:dyDescent="0.2">
      <c r="A3" s="68" t="s">
        <v>1</v>
      </c>
      <c r="B3" s="69" t="s">
        <v>2</v>
      </c>
      <c r="C3" s="70" t="s">
        <v>3</v>
      </c>
      <c r="D3" s="71" t="s">
        <v>4</v>
      </c>
      <c r="E3" s="72" t="s">
        <v>5</v>
      </c>
      <c r="F3" s="73" t="s">
        <v>21</v>
      </c>
      <c r="G3" s="72" t="s">
        <v>16</v>
      </c>
      <c r="H3" s="72" t="s">
        <v>17</v>
      </c>
      <c r="I3" s="72" t="s">
        <v>7</v>
      </c>
    </row>
    <row r="4" spans="1:13" s="88" customFormat="1" ht="24" x14ac:dyDescent="0.2">
      <c r="A4" s="41" t="s">
        <v>8</v>
      </c>
      <c r="B4" s="42" t="s">
        <v>9</v>
      </c>
      <c r="C4" s="43" t="s">
        <v>10</v>
      </c>
      <c r="D4" s="49" t="s">
        <v>11</v>
      </c>
      <c r="E4" s="42" t="s">
        <v>0</v>
      </c>
      <c r="F4" s="44" t="s">
        <v>12</v>
      </c>
      <c r="G4" s="42" t="s">
        <v>13</v>
      </c>
      <c r="H4" s="42" t="s">
        <v>15</v>
      </c>
      <c r="I4" s="42" t="s">
        <v>14</v>
      </c>
    </row>
    <row r="5" spans="1:13" s="45" customFormat="1" ht="12.95" customHeight="1" x14ac:dyDescent="0.2">
      <c r="A5" s="48">
        <v>1</v>
      </c>
      <c r="B5" s="57" t="s">
        <v>44</v>
      </c>
      <c r="C5" s="58">
        <v>46204</v>
      </c>
      <c r="D5" s="59" t="s">
        <v>36</v>
      </c>
      <c r="E5" s="52">
        <f t="shared" ref="E5:E36" si="0">I5/F5</f>
        <v>2.0499999999999998</v>
      </c>
      <c r="F5" s="40">
        <v>8000</v>
      </c>
      <c r="G5" s="53">
        <v>3375</v>
      </c>
      <c r="H5" s="53">
        <v>3625</v>
      </c>
      <c r="I5" s="54">
        <v>16400</v>
      </c>
      <c r="J5" s="86"/>
    </row>
    <row r="6" spans="1:13" s="45" customFormat="1" ht="12.95" customHeight="1" x14ac:dyDescent="0.2">
      <c r="A6" s="48">
        <v>2</v>
      </c>
      <c r="B6" s="57" t="s">
        <v>44</v>
      </c>
      <c r="C6" s="58">
        <v>46204</v>
      </c>
      <c r="D6" s="59" t="s">
        <v>36</v>
      </c>
      <c r="E6" s="52">
        <f t="shared" si="0"/>
        <v>1.9</v>
      </c>
      <c r="F6" s="40">
        <v>15680</v>
      </c>
      <c r="G6" s="53">
        <v>5880</v>
      </c>
      <c r="H6" s="53">
        <v>6372</v>
      </c>
      <c r="I6" s="54">
        <v>29792</v>
      </c>
      <c r="J6" s="86"/>
    </row>
    <row r="7" spans="1:13" s="45" customFormat="1" ht="12.95" customHeight="1" x14ac:dyDescent="0.2">
      <c r="A7" s="48">
        <v>3</v>
      </c>
      <c r="B7" s="57" t="s">
        <v>44</v>
      </c>
      <c r="C7" s="58">
        <v>46204</v>
      </c>
      <c r="D7" s="59" t="s">
        <v>36</v>
      </c>
      <c r="E7" s="52">
        <f t="shared" si="0"/>
        <v>2.0500000000000003</v>
      </c>
      <c r="F7" s="40">
        <v>4624</v>
      </c>
      <c r="G7" s="53">
        <v>2504.6999999999998</v>
      </c>
      <c r="H7" s="53">
        <v>2659.1</v>
      </c>
      <c r="I7" s="54">
        <v>9479.2000000000007</v>
      </c>
      <c r="J7" s="86"/>
    </row>
    <row r="8" spans="1:13" s="45" customFormat="1" ht="12.95" customHeight="1" x14ac:dyDescent="0.2">
      <c r="A8" s="48">
        <v>4</v>
      </c>
      <c r="B8" s="57" t="s">
        <v>44</v>
      </c>
      <c r="C8" s="58">
        <v>46204</v>
      </c>
      <c r="D8" s="59" t="s">
        <v>36</v>
      </c>
      <c r="E8" s="52">
        <f t="shared" si="0"/>
        <v>2.0499999999999998</v>
      </c>
      <c r="F8" s="40">
        <v>1024</v>
      </c>
      <c r="G8" s="53">
        <v>529.1</v>
      </c>
      <c r="H8" s="53">
        <v>563.5</v>
      </c>
      <c r="I8" s="54">
        <v>2099.1999999999998</v>
      </c>
      <c r="J8" s="92"/>
    </row>
    <row r="9" spans="1:13" s="45" customFormat="1" ht="12.95" customHeight="1" x14ac:dyDescent="0.2">
      <c r="A9" s="48">
        <v>5</v>
      </c>
      <c r="B9" s="57" t="s">
        <v>41</v>
      </c>
      <c r="C9" s="58">
        <v>46204</v>
      </c>
      <c r="D9" s="59" t="s">
        <v>36</v>
      </c>
      <c r="E9" s="52">
        <f t="shared" si="0"/>
        <v>2.0499999999999998</v>
      </c>
      <c r="F9" s="40">
        <v>2844</v>
      </c>
      <c r="G9" s="53">
        <v>1106</v>
      </c>
      <c r="H9" s="53">
        <v>1264</v>
      </c>
      <c r="I9" s="54">
        <v>5830.2</v>
      </c>
    </row>
    <row r="10" spans="1:13" s="91" customFormat="1" ht="12.95" customHeight="1" x14ac:dyDescent="0.2">
      <c r="A10" s="48">
        <v>6</v>
      </c>
      <c r="B10" s="57" t="s">
        <v>41</v>
      </c>
      <c r="C10" s="58">
        <v>46204</v>
      </c>
      <c r="D10" s="59" t="s">
        <v>36</v>
      </c>
      <c r="E10" s="52">
        <f t="shared" si="0"/>
        <v>2.6</v>
      </c>
      <c r="F10" s="40">
        <v>2850</v>
      </c>
      <c r="G10" s="53">
        <v>1330</v>
      </c>
      <c r="H10" s="53">
        <v>1425</v>
      </c>
      <c r="I10" s="54">
        <v>7410</v>
      </c>
      <c r="J10" s="90"/>
      <c r="K10" s="90"/>
      <c r="L10" s="90"/>
      <c r="M10" s="90"/>
    </row>
    <row r="11" spans="1:13" s="45" customFormat="1" ht="12.95" customHeight="1" x14ac:dyDescent="0.2">
      <c r="A11" s="48">
        <v>7</v>
      </c>
      <c r="B11" s="57" t="s">
        <v>41</v>
      </c>
      <c r="C11" s="58">
        <v>46204</v>
      </c>
      <c r="D11" s="59" t="s">
        <v>36</v>
      </c>
      <c r="E11" s="52">
        <f t="shared" si="0"/>
        <v>2.15</v>
      </c>
      <c r="F11" s="40">
        <v>1314</v>
      </c>
      <c r="G11" s="53">
        <v>657</v>
      </c>
      <c r="H11" s="53">
        <v>730</v>
      </c>
      <c r="I11" s="54">
        <v>2825.1</v>
      </c>
      <c r="J11" s="90"/>
      <c r="K11" s="90"/>
      <c r="L11" s="90"/>
      <c r="M11" s="90"/>
    </row>
    <row r="12" spans="1:13" s="45" customFormat="1" ht="12.95" customHeight="1" x14ac:dyDescent="0.2">
      <c r="A12" s="48">
        <v>8</v>
      </c>
      <c r="B12" s="57" t="s">
        <v>41</v>
      </c>
      <c r="C12" s="58">
        <v>46204</v>
      </c>
      <c r="D12" s="59" t="s">
        <v>36</v>
      </c>
      <c r="E12" s="52">
        <f t="shared" si="0"/>
        <v>2.15</v>
      </c>
      <c r="F12" s="40">
        <v>102</v>
      </c>
      <c r="G12" s="53">
        <v>51</v>
      </c>
      <c r="H12" s="53">
        <v>57</v>
      </c>
      <c r="I12" s="54">
        <v>219.3</v>
      </c>
      <c r="J12" s="90"/>
      <c r="K12" s="90"/>
      <c r="L12" s="90"/>
      <c r="M12" s="90"/>
    </row>
    <row r="13" spans="1:13" s="45" customFormat="1" ht="12.95" customHeight="1" x14ac:dyDescent="0.2">
      <c r="A13" s="48">
        <v>9</v>
      </c>
      <c r="B13" s="57" t="s">
        <v>41</v>
      </c>
      <c r="C13" s="58">
        <v>46204</v>
      </c>
      <c r="D13" s="59" t="s">
        <v>36</v>
      </c>
      <c r="E13" s="52">
        <f t="shared" si="0"/>
        <v>2.0499999999999998</v>
      </c>
      <c r="F13" s="40">
        <v>2000</v>
      </c>
      <c r="G13" s="53">
        <v>937</v>
      </c>
      <c r="H13" s="53">
        <v>1000</v>
      </c>
      <c r="I13" s="54">
        <v>4100</v>
      </c>
      <c r="J13" s="89"/>
    </row>
    <row r="14" spans="1:13" s="45" customFormat="1" ht="12.95" customHeight="1" x14ac:dyDescent="0.2">
      <c r="A14" s="48">
        <v>10</v>
      </c>
      <c r="B14" s="57" t="s">
        <v>41</v>
      </c>
      <c r="C14" s="58">
        <v>46204</v>
      </c>
      <c r="D14" s="59" t="s">
        <v>36</v>
      </c>
      <c r="E14" s="52">
        <f t="shared" si="0"/>
        <v>2.0499999999999998</v>
      </c>
      <c r="F14" s="40">
        <v>2000</v>
      </c>
      <c r="G14" s="53">
        <v>813</v>
      </c>
      <c r="H14" s="53">
        <v>876</v>
      </c>
      <c r="I14" s="54">
        <v>4100</v>
      </c>
      <c r="J14" s="89"/>
    </row>
    <row r="15" spans="1:13" s="45" customFormat="1" ht="12.95" customHeight="1" x14ac:dyDescent="0.2">
      <c r="A15" s="48">
        <v>11</v>
      </c>
      <c r="B15" s="57" t="s">
        <v>41</v>
      </c>
      <c r="C15" s="58">
        <v>46204</v>
      </c>
      <c r="D15" s="59" t="s">
        <v>42</v>
      </c>
      <c r="E15" s="52">
        <f t="shared" si="0"/>
        <v>1.1499999999999999</v>
      </c>
      <c r="F15" s="40">
        <v>2964</v>
      </c>
      <c r="G15" s="53">
        <v>864.5</v>
      </c>
      <c r="H15" s="53">
        <v>1012.27</v>
      </c>
      <c r="I15" s="54">
        <v>3408.6</v>
      </c>
      <c r="J15" s="89"/>
    </row>
    <row r="16" spans="1:13" s="45" customFormat="1" ht="12.95" customHeight="1" x14ac:dyDescent="0.2">
      <c r="A16" s="48">
        <v>12</v>
      </c>
      <c r="B16" s="60" t="s">
        <v>46</v>
      </c>
      <c r="C16" s="58">
        <v>46204</v>
      </c>
      <c r="D16" s="59" t="s">
        <v>36</v>
      </c>
      <c r="E16" s="52">
        <f t="shared" si="0"/>
        <v>1.9</v>
      </c>
      <c r="F16" s="38">
        <v>5270</v>
      </c>
      <c r="G16" s="55">
        <v>2980.2</v>
      </c>
      <c r="H16" s="55">
        <v>3058.5</v>
      </c>
      <c r="I16" s="56">
        <v>10013</v>
      </c>
      <c r="J16" s="89"/>
    </row>
    <row r="17" spans="1:10" s="45" customFormat="1" ht="12.95" customHeight="1" x14ac:dyDescent="0.2">
      <c r="A17" s="48">
        <v>13</v>
      </c>
      <c r="B17" s="60" t="s">
        <v>46</v>
      </c>
      <c r="C17" s="58">
        <v>46204</v>
      </c>
      <c r="D17" s="59" t="s">
        <v>36</v>
      </c>
      <c r="E17" s="52">
        <f t="shared" si="0"/>
        <v>1.5</v>
      </c>
      <c r="F17" s="38">
        <v>8036</v>
      </c>
      <c r="G17" s="55">
        <v>3775.7</v>
      </c>
      <c r="H17" s="55">
        <v>4010.9</v>
      </c>
      <c r="I17" s="56">
        <v>12054</v>
      </c>
      <c r="J17" s="89"/>
    </row>
    <row r="18" spans="1:10" s="45" customFormat="1" ht="12.95" customHeight="1" x14ac:dyDescent="0.2">
      <c r="A18" s="48">
        <v>14</v>
      </c>
      <c r="B18" s="60" t="s">
        <v>46</v>
      </c>
      <c r="C18" s="58">
        <v>46204</v>
      </c>
      <c r="D18" s="59" t="s">
        <v>36</v>
      </c>
      <c r="E18" s="52">
        <f t="shared" si="0"/>
        <v>1.5</v>
      </c>
      <c r="F18" s="38">
        <v>5574</v>
      </c>
      <c r="G18" s="55">
        <v>2461.6</v>
      </c>
      <c r="H18" s="55">
        <v>2624.7</v>
      </c>
      <c r="I18" s="56">
        <v>8361</v>
      </c>
      <c r="J18" s="89"/>
    </row>
    <row r="19" spans="1:10" s="45" customFormat="1" ht="12.95" customHeight="1" x14ac:dyDescent="0.2">
      <c r="A19" s="48">
        <v>15</v>
      </c>
      <c r="B19" s="60" t="s">
        <v>46</v>
      </c>
      <c r="C19" s="58">
        <v>46204</v>
      </c>
      <c r="D19" s="59" t="s">
        <v>36</v>
      </c>
      <c r="E19" s="52">
        <f t="shared" si="0"/>
        <v>2</v>
      </c>
      <c r="F19" s="38">
        <v>3506</v>
      </c>
      <c r="G19" s="55">
        <v>2076</v>
      </c>
      <c r="H19" s="55">
        <v>2193.6</v>
      </c>
      <c r="I19" s="56">
        <v>7012</v>
      </c>
      <c r="J19" s="89"/>
    </row>
    <row r="20" spans="1:10" s="45" customFormat="1" ht="12.95" customHeight="1" x14ac:dyDescent="0.2">
      <c r="A20" s="48">
        <v>16</v>
      </c>
      <c r="B20" s="60" t="s">
        <v>47</v>
      </c>
      <c r="C20" s="58">
        <v>46204</v>
      </c>
      <c r="D20" s="59" t="s">
        <v>36</v>
      </c>
      <c r="E20" s="52">
        <f t="shared" si="0"/>
        <v>3.2</v>
      </c>
      <c r="F20" s="38">
        <v>982</v>
      </c>
      <c r="G20" s="55">
        <v>589.29999999999995</v>
      </c>
      <c r="H20" s="55">
        <v>626.29999999999995</v>
      </c>
      <c r="I20" s="56">
        <v>3142.4</v>
      </c>
      <c r="J20" s="89"/>
    </row>
    <row r="21" spans="1:10" s="45" customFormat="1" ht="12.95" customHeight="1" x14ac:dyDescent="0.2">
      <c r="A21" s="48">
        <v>17</v>
      </c>
      <c r="B21" s="60" t="s">
        <v>47</v>
      </c>
      <c r="C21" s="58">
        <v>46204</v>
      </c>
      <c r="D21" s="59" t="s">
        <v>36</v>
      </c>
      <c r="E21" s="52">
        <f t="shared" si="0"/>
        <v>3.1</v>
      </c>
      <c r="F21" s="38">
        <v>719</v>
      </c>
      <c r="G21" s="55">
        <v>422.1</v>
      </c>
      <c r="H21" s="55">
        <v>428.1</v>
      </c>
      <c r="I21" s="56">
        <v>2228.9</v>
      </c>
      <c r="J21" s="89"/>
    </row>
    <row r="22" spans="1:10" s="45" customFormat="1" ht="12.95" customHeight="1" x14ac:dyDescent="0.2">
      <c r="A22" s="48">
        <v>18</v>
      </c>
      <c r="B22" s="60" t="s">
        <v>47</v>
      </c>
      <c r="C22" s="58">
        <v>46204</v>
      </c>
      <c r="D22" s="59" t="s">
        <v>36</v>
      </c>
      <c r="E22" s="52">
        <f t="shared" si="0"/>
        <v>2.8</v>
      </c>
      <c r="F22" s="38">
        <v>3198</v>
      </c>
      <c r="G22" s="55">
        <v>1889.4</v>
      </c>
      <c r="H22" s="55">
        <v>2018.1</v>
      </c>
      <c r="I22" s="56">
        <v>8954.4</v>
      </c>
      <c r="J22" s="89"/>
    </row>
    <row r="23" spans="1:10" s="45" customFormat="1" ht="12.95" customHeight="1" x14ac:dyDescent="0.2">
      <c r="A23" s="48">
        <v>19</v>
      </c>
      <c r="B23" s="60" t="s">
        <v>47</v>
      </c>
      <c r="C23" s="58">
        <v>46204</v>
      </c>
      <c r="D23" s="59" t="s">
        <v>36</v>
      </c>
      <c r="E23" s="52">
        <f t="shared" si="0"/>
        <v>2</v>
      </c>
      <c r="F23" s="38">
        <v>2800</v>
      </c>
      <c r="G23" s="55">
        <v>1733.7</v>
      </c>
      <c r="H23" s="55">
        <v>1877.7</v>
      </c>
      <c r="I23" s="56">
        <v>5600</v>
      </c>
      <c r="J23" s="89"/>
    </row>
    <row r="24" spans="1:10" s="45" customFormat="1" ht="12.95" customHeight="1" x14ac:dyDescent="0.2">
      <c r="A24" s="48">
        <v>20</v>
      </c>
      <c r="B24" s="62" t="s">
        <v>43</v>
      </c>
      <c r="C24" s="58">
        <v>46204</v>
      </c>
      <c r="D24" s="59" t="s">
        <v>36</v>
      </c>
      <c r="E24" s="52">
        <f t="shared" si="0"/>
        <v>2.15</v>
      </c>
      <c r="F24" s="40">
        <v>60</v>
      </c>
      <c r="G24" s="53">
        <v>48</v>
      </c>
      <c r="H24" s="53">
        <v>53</v>
      </c>
      <c r="I24" s="54">
        <v>129</v>
      </c>
      <c r="J24" s="89"/>
    </row>
    <row r="25" spans="1:10" s="45" customFormat="1" ht="12.95" customHeight="1" x14ac:dyDescent="0.2">
      <c r="A25" s="48">
        <v>21</v>
      </c>
      <c r="B25" s="57" t="s">
        <v>45</v>
      </c>
      <c r="C25" s="58">
        <v>46204</v>
      </c>
      <c r="D25" s="59" t="s">
        <v>36</v>
      </c>
      <c r="E25" s="52">
        <f t="shared" si="0"/>
        <v>1.9000000000000001</v>
      </c>
      <c r="F25" s="40">
        <v>8408</v>
      </c>
      <c r="G25" s="53">
        <v>3941</v>
      </c>
      <c r="H25" s="53">
        <v>4204</v>
      </c>
      <c r="I25" s="54">
        <v>15975.2</v>
      </c>
      <c r="J25" s="89"/>
    </row>
    <row r="26" spans="1:10" s="45" customFormat="1" ht="12.95" customHeight="1" x14ac:dyDescent="0.2">
      <c r="A26" s="48">
        <v>22</v>
      </c>
      <c r="B26" s="57" t="s">
        <v>45</v>
      </c>
      <c r="C26" s="58">
        <v>46204</v>
      </c>
      <c r="D26" s="59" t="s">
        <v>36</v>
      </c>
      <c r="E26" s="52">
        <f t="shared" si="0"/>
        <v>1.9000000000000001</v>
      </c>
      <c r="F26" s="40">
        <v>2352</v>
      </c>
      <c r="G26" s="53">
        <v>1029</v>
      </c>
      <c r="H26" s="53">
        <v>1103</v>
      </c>
      <c r="I26" s="54">
        <v>4468.8</v>
      </c>
      <c r="J26" s="89"/>
    </row>
    <row r="27" spans="1:10" s="45" customFormat="1" ht="12.95" customHeight="1" x14ac:dyDescent="0.2">
      <c r="A27" s="48">
        <v>23</v>
      </c>
      <c r="B27" s="57" t="s">
        <v>45</v>
      </c>
      <c r="C27" s="58">
        <v>46204</v>
      </c>
      <c r="D27" s="59" t="s">
        <v>36</v>
      </c>
      <c r="E27" s="52">
        <f t="shared" si="0"/>
        <v>2.0500000000000003</v>
      </c>
      <c r="F27" s="40">
        <v>13083</v>
      </c>
      <c r="G27" s="53">
        <v>6133</v>
      </c>
      <c r="H27" s="53">
        <v>6543</v>
      </c>
      <c r="I27" s="54">
        <v>26820.15</v>
      </c>
      <c r="J27" s="89"/>
    </row>
    <row r="28" spans="1:10" s="45" customFormat="1" ht="12.95" customHeight="1" x14ac:dyDescent="0.2">
      <c r="A28" s="48">
        <v>24</v>
      </c>
      <c r="B28" s="60" t="s">
        <v>48</v>
      </c>
      <c r="C28" s="58">
        <v>46215</v>
      </c>
      <c r="D28" s="59" t="s">
        <v>36</v>
      </c>
      <c r="E28" s="52">
        <f t="shared" si="0"/>
        <v>2.1</v>
      </c>
      <c r="F28" s="38">
        <v>6916</v>
      </c>
      <c r="G28" s="55">
        <v>3237</v>
      </c>
      <c r="H28" s="55">
        <v>3454</v>
      </c>
      <c r="I28" s="56">
        <v>14523.6</v>
      </c>
      <c r="J28" s="89"/>
    </row>
    <row r="29" spans="1:10" s="45" customFormat="1" ht="12.95" customHeight="1" x14ac:dyDescent="0.2">
      <c r="A29" s="48">
        <v>25</v>
      </c>
      <c r="B29" s="60" t="s">
        <v>48</v>
      </c>
      <c r="C29" s="58">
        <v>46215</v>
      </c>
      <c r="D29" s="59" t="s">
        <v>36</v>
      </c>
      <c r="E29" s="52">
        <f t="shared" si="0"/>
        <v>2</v>
      </c>
      <c r="F29" s="38">
        <v>7914</v>
      </c>
      <c r="G29" s="55">
        <v>4327.5</v>
      </c>
      <c r="H29" s="55">
        <v>4575.5</v>
      </c>
      <c r="I29" s="56">
        <v>15828</v>
      </c>
      <c r="J29" s="89"/>
    </row>
    <row r="30" spans="1:10" s="45" customFormat="1" ht="12.95" customHeight="1" x14ac:dyDescent="0.2">
      <c r="A30" s="48">
        <v>26</v>
      </c>
      <c r="B30" s="60" t="s">
        <v>48</v>
      </c>
      <c r="C30" s="58">
        <v>46215</v>
      </c>
      <c r="D30" s="59" t="s">
        <v>42</v>
      </c>
      <c r="E30" s="52">
        <f t="shared" si="0"/>
        <v>1.325</v>
      </c>
      <c r="F30" s="38">
        <v>1992</v>
      </c>
      <c r="G30" s="55">
        <v>725.5</v>
      </c>
      <c r="H30" s="55">
        <v>809.5</v>
      </c>
      <c r="I30" s="56">
        <v>2639.4</v>
      </c>
      <c r="J30" s="89"/>
    </row>
    <row r="31" spans="1:10" s="45" customFormat="1" ht="12.95" customHeight="1" x14ac:dyDescent="0.2">
      <c r="A31" s="48">
        <v>27</v>
      </c>
      <c r="B31" s="60" t="s">
        <v>50</v>
      </c>
      <c r="C31" s="58">
        <v>46215</v>
      </c>
      <c r="D31" s="59" t="s">
        <v>36</v>
      </c>
      <c r="E31" s="52">
        <f t="shared" si="0"/>
        <v>2.85</v>
      </c>
      <c r="F31" s="38">
        <v>1386</v>
      </c>
      <c r="G31" s="55">
        <v>855.6</v>
      </c>
      <c r="H31" s="55">
        <v>903.6</v>
      </c>
      <c r="I31" s="56">
        <v>3950.1</v>
      </c>
      <c r="J31" s="89"/>
    </row>
    <row r="32" spans="1:10" s="45" customFormat="1" ht="12.95" customHeight="1" x14ac:dyDescent="0.2">
      <c r="A32" s="48">
        <v>28</v>
      </c>
      <c r="B32" s="60" t="s">
        <v>50</v>
      </c>
      <c r="C32" s="58">
        <v>46215</v>
      </c>
      <c r="D32" s="59" t="s">
        <v>36</v>
      </c>
      <c r="E32" s="52">
        <f t="shared" si="0"/>
        <v>2.85</v>
      </c>
      <c r="F32" s="38">
        <v>2256</v>
      </c>
      <c r="G32" s="55">
        <v>1206.3</v>
      </c>
      <c r="H32" s="55">
        <v>1282.2</v>
      </c>
      <c r="I32" s="56">
        <v>6429.6</v>
      </c>
      <c r="J32" s="89"/>
    </row>
    <row r="33" spans="1:10" s="45" customFormat="1" ht="12.95" customHeight="1" x14ac:dyDescent="0.2">
      <c r="A33" s="48">
        <v>29</v>
      </c>
      <c r="B33" s="60" t="s">
        <v>49</v>
      </c>
      <c r="C33" s="58">
        <v>46215</v>
      </c>
      <c r="D33" s="59" t="s">
        <v>36</v>
      </c>
      <c r="E33" s="52">
        <f t="shared" si="0"/>
        <v>2.0499999999999998</v>
      </c>
      <c r="F33" s="38">
        <v>1500</v>
      </c>
      <c r="G33" s="55">
        <v>578.9</v>
      </c>
      <c r="H33" s="55">
        <v>617.9</v>
      </c>
      <c r="I33" s="56">
        <v>3075</v>
      </c>
      <c r="J33" s="89"/>
    </row>
    <row r="34" spans="1:10" s="45" customFormat="1" ht="12.95" customHeight="1" x14ac:dyDescent="0.2">
      <c r="A34" s="48">
        <v>30</v>
      </c>
      <c r="B34" s="60" t="s">
        <v>49</v>
      </c>
      <c r="C34" s="58">
        <v>46215</v>
      </c>
      <c r="D34" s="59" t="s">
        <v>36</v>
      </c>
      <c r="E34" s="52">
        <f t="shared" si="0"/>
        <v>2.15</v>
      </c>
      <c r="F34" s="38">
        <v>800</v>
      </c>
      <c r="G34" s="55">
        <v>587.6</v>
      </c>
      <c r="H34" s="55">
        <v>621.6</v>
      </c>
      <c r="I34" s="56">
        <v>1720</v>
      </c>
      <c r="J34" s="89"/>
    </row>
    <row r="35" spans="1:10" s="45" customFormat="1" ht="12.95" customHeight="1" x14ac:dyDescent="0.2">
      <c r="A35" s="48">
        <v>31</v>
      </c>
      <c r="B35" s="60" t="s">
        <v>49</v>
      </c>
      <c r="C35" s="58">
        <v>46215</v>
      </c>
      <c r="D35" s="59" t="s">
        <v>36</v>
      </c>
      <c r="E35" s="52">
        <f t="shared" si="0"/>
        <v>2.75</v>
      </c>
      <c r="F35" s="38">
        <v>2280</v>
      </c>
      <c r="G35" s="55">
        <v>1335.2</v>
      </c>
      <c r="H35" s="55">
        <v>1423.6</v>
      </c>
      <c r="I35" s="56">
        <v>6270</v>
      </c>
      <c r="J35" s="89"/>
    </row>
    <row r="36" spans="1:10" s="45" customFormat="1" ht="12.95" customHeight="1" x14ac:dyDescent="0.2">
      <c r="A36" s="48">
        <v>32</v>
      </c>
      <c r="B36" s="60" t="s">
        <v>53</v>
      </c>
      <c r="C36" s="61">
        <v>46221</v>
      </c>
      <c r="D36" s="59" t="s">
        <v>36</v>
      </c>
      <c r="E36" s="52">
        <f t="shared" si="0"/>
        <v>1.9</v>
      </c>
      <c r="F36" s="38">
        <v>720</v>
      </c>
      <c r="G36" s="55">
        <v>270</v>
      </c>
      <c r="H36" s="55">
        <v>293</v>
      </c>
      <c r="I36" s="56">
        <v>1368</v>
      </c>
      <c r="J36" s="89"/>
    </row>
    <row r="37" spans="1:10" s="45" customFormat="1" ht="12.95" customHeight="1" x14ac:dyDescent="0.2">
      <c r="A37" s="48">
        <v>33</v>
      </c>
      <c r="B37" s="60" t="s">
        <v>53</v>
      </c>
      <c r="C37" s="61">
        <v>46221</v>
      </c>
      <c r="D37" s="59" t="s">
        <v>36</v>
      </c>
      <c r="E37" s="52">
        <f t="shared" ref="E37:E58" si="1">I37/F37</f>
        <v>2</v>
      </c>
      <c r="F37" s="38">
        <v>480</v>
      </c>
      <c r="G37" s="55">
        <v>202.5</v>
      </c>
      <c r="H37" s="55">
        <v>217.5</v>
      </c>
      <c r="I37" s="56">
        <v>960</v>
      </c>
      <c r="J37" s="89"/>
    </row>
    <row r="38" spans="1:10" s="45" customFormat="1" ht="12.95" customHeight="1" x14ac:dyDescent="0.2">
      <c r="A38" s="48">
        <v>34</v>
      </c>
      <c r="B38" s="60" t="s">
        <v>53</v>
      </c>
      <c r="C38" s="61">
        <v>46221</v>
      </c>
      <c r="D38" s="59" t="s">
        <v>36</v>
      </c>
      <c r="E38" s="52">
        <f t="shared" si="1"/>
        <v>2</v>
      </c>
      <c r="F38" s="38">
        <v>480</v>
      </c>
      <c r="G38" s="55">
        <v>202.5</v>
      </c>
      <c r="H38" s="55">
        <v>217.5</v>
      </c>
      <c r="I38" s="56">
        <v>960</v>
      </c>
      <c r="J38" s="89"/>
    </row>
    <row r="39" spans="1:10" s="45" customFormat="1" ht="12.95" customHeight="1" x14ac:dyDescent="0.2">
      <c r="A39" s="48">
        <v>35</v>
      </c>
      <c r="B39" s="60" t="s">
        <v>53</v>
      </c>
      <c r="C39" s="61">
        <v>46221</v>
      </c>
      <c r="D39" s="59" t="s">
        <v>36</v>
      </c>
      <c r="E39" s="52">
        <f t="shared" si="1"/>
        <v>2.0499999999999998</v>
      </c>
      <c r="F39" s="40">
        <v>480</v>
      </c>
      <c r="G39" s="53">
        <v>260</v>
      </c>
      <c r="H39" s="53">
        <v>276</v>
      </c>
      <c r="I39" s="54">
        <v>984</v>
      </c>
      <c r="J39" s="89"/>
    </row>
    <row r="40" spans="1:10" s="45" customFormat="1" ht="12.95" customHeight="1" x14ac:dyDescent="0.2">
      <c r="A40" s="48">
        <v>36</v>
      </c>
      <c r="B40" s="57" t="s">
        <v>69</v>
      </c>
      <c r="C40" s="61">
        <v>46221</v>
      </c>
      <c r="D40" s="59" t="s">
        <v>36</v>
      </c>
      <c r="E40" s="52">
        <f t="shared" si="1"/>
        <v>1.9</v>
      </c>
      <c r="F40" s="40">
        <v>1080</v>
      </c>
      <c r="G40" s="53">
        <v>405</v>
      </c>
      <c r="H40" s="53">
        <v>439</v>
      </c>
      <c r="I40" s="54">
        <v>2052</v>
      </c>
      <c r="J40" s="89"/>
    </row>
    <row r="41" spans="1:10" s="45" customFormat="1" ht="12.95" customHeight="1" x14ac:dyDescent="0.2">
      <c r="A41" s="48">
        <v>37</v>
      </c>
      <c r="B41" s="57" t="s">
        <v>69</v>
      </c>
      <c r="C41" s="61">
        <v>46221</v>
      </c>
      <c r="D41" s="59" t="s">
        <v>36</v>
      </c>
      <c r="E41" s="52">
        <f t="shared" si="1"/>
        <v>2</v>
      </c>
      <c r="F41" s="40">
        <v>720</v>
      </c>
      <c r="G41" s="53">
        <v>304</v>
      </c>
      <c r="H41" s="53">
        <v>327</v>
      </c>
      <c r="I41" s="54">
        <v>1440</v>
      </c>
      <c r="J41" s="89"/>
    </row>
    <row r="42" spans="1:10" s="45" customFormat="1" ht="12.95" customHeight="1" x14ac:dyDescent="0.2">
      <c r="A42" s="48">
        <v>38</v>
      </c>
      <c r="B42" s="57" t="s">
        <v>69</v>
      </c>
      <c r="C42" s="61">
        <v>46221</v>
      </c>
      <c r="D42" s="59" t="s">
        <v>36</v>
      </c>
      <c r="E42" s="52">
        <f t="shared" si="1"/>
        <v>2</v>
      </c>
      <c r="F42" s="40">
        <v>720</v>
      </c>
      <c r="G42" s="53">
        <v>304</v>
      </c>
      <c r="H42" s="53">
        <v>327</v>
      </c>
      <c r="I42" s="54">
        <v>1440</v>
      </c>
      <c r="J42" s="89"/>
    </row>
    <row r="43" spans="1:10" s="45" customFormat="1" ht="12.95" customHeight="1" x14ac:dyDescent="0.2">
      <c r="A43" s="48">
        <v>39</v>
      </c>
      <c r="B43" s="57" t="s">
        <v>69</v>
      </c>
      <c r="C43" s="61">
        <v>46221</v>
      </c>
      <c r="D43" s="59" t="s">
        <v>36</v>
      </c>
      <c r="E43" s="52">
        <f t="shared" si="1"/>
        <v>2.0499999999999998</v>
      </c>
      <c r="F43" s="40">
        <v>720</v>
      </c>
      <c r="G43" s="53">
        <v>390</v>
      </c>
      <c r="H43" s="53">
        <v>414</v>
      </c>
      <c r="I43" s="54">
        <v>1476</v>
      </c>
      <c r="J43" s="89"/>
    </row>
    <row r="44" spans="1:10" s="45" customFormat="1" ht="12.95" customHeight="1" x14ac:dyDescent="0.2">
      <c r="A44" s="48">
        <v>40</v>
      </c>
      <c r="B44" s="60" t="s">
        <v>51</v>
      </c>
      <c r="C44" s="61">
        <v>46222</v>
      </c>
      <c r="D44" s="59" t="s">
        <v>42</v>
      </c>
      <c r="E44" s="52">
        <f t="shared" si="1"/>
        <v>1.325</v>
      </c>
      <c r="F44" s="38">
        <v>3432</v>
      </c>
      <c r="G44" s="55">
        <v>1172.5999999999999</v>
      </c>
      <c r="H44" s="55">
        <v>1458.6</v>
      </c>
      <c r="I44" s="56">
        <v>4547.3999999999996</v>
      </c>
      <c r="J44" s="89"/>
    </row>
    <row r="45" spans="1:10" s="45" customFormat="1" ht="12.95" customHeight="1" x14ac:dyDescent="0.2">
      <c r="A45" s="48">
        <v>41</v>
      </c>
      <c r="B45" s="60" t="s">
        <v>52</v>
      </c>
      <c r="C45" s="61">
        <v>46223</v>
      </c>
      <c r="D45" s="59" t="s">
        <v>36</v>
      </c>
      <c r="E45" s="52">
        <f t="shared" si="1"/>
        <v>2.8499999999999996</v>
      </c>
      <c r="F45" s="38">
        <v>2424</v>
      </c>
      <c r="G45" s="55">
        <v>1481.8</v>
      </c>
      <c r="H45" s="55">
        <v>1570.8</v>
      </c>
      <c r="I45" s="56">
        <v>6908.4</v>
      </c>
      <c r="J45" s="89"/>
    </row>
    <row r="46" spans="1:10" s="45" customFormat="1" ht="12.95" customHeight="1" x14ac:dyDescent="0.2">
      <c r="A46" s="48">
        <v>42</v>
      </c>
      <c r="B46" s="60" t="s">
        <v>52</v>
      </c>
      <c r="C46" s="61">
        <v>46223</v>
      </c>
      <c r="D46" s="59" t="s">
        <v>36</v>
      </c>
      <c r="E46" s="52">
        <f t="shared" si="1"/>
        <v>2.8499999999999996</v>
      </c>
      <c r="F46" s="38">
        <v>757</v>
      </c>
      <c r="G46" s="55">
        <v>476.6</v>
      </c>
      <c r="H46" s="55">
        <v>506.3</v>
      </c>
      <c r="I46" s="56">
        <v>2157.4499999999998</v>
      </c>
      <c r="J46" s="89"/>
    </row>
    <row r="47" spans="1:10" s="45" customFormat="1" ht="12.95" customHeight="1" x14ac:dyDescent="0.2">
      <c r="A47" s="48">
        <v>43</v>
      </c>
      <c r="B47" s="60" t="s">
        <v>52</v>
      </c>
      <c r="C47" s="61">
        <v>46223</v>
      </c>
      <c r="D47" s="59" t="s">
        <v>36</v>
      </c>
      <c r="E47" s="52">
        <f t="shared" si="1"/>
        <v>2.75</v>
      </c>
      <c r="F47" s="38">
        <v>5105</v>
      </c>
      <c r="G47" s="55">
        <v>2994.1</v>
      </c>
      <c r="H47" s="55">
        <v>3203.1</v>
      </c>
      <c r="I47" s="56">
        <v>14038.75</v>
      </c>
      <c r="J47" s="89"/>
    </row>
    <row r="48" spans="1:10" s="45" customFormat="1" ht="12.95" customHeight="1" x14ac:dyDescent="0.2">
      <c r="A48" s="48">
        <v>44</v>
      </c>
      <c r="B48" s="60" t="s">
        <v>52</v>
      </c>
      <c r="C48" s="61">
        <v>46223</v>
      </c>
      <c r="D48" s="59" t="s">
        <v>36</v>
      </c>
      <c r="E48" s="52">
        <f t="shared" si="1"/>
        <v>2.15</v>
      </c>
      <c r="F48" s="38">
        <v>2398</v>
      </c>
      <c r="G48" s="55">
        <v>1445.3</v>
      </c>
      <c r="H48" s="55">
        <v>1524.3</v>
      </c>
      <c r="I48" s="56">
        <v>5155.7</v>
      </c>
      <c r="J48" s="89"/>
    </row>
    <row r="49" spans="1:11" s="45" customFormat="1" ht="12.95" customHeight="1" x14ac:dyDescent="0.2">
      <c r="A49" s="48">
        <v>45</v>
      </c>
      <c r="B49" s="57" t="s">
        <v>54</v>
      </c>
      <c r="C49" s="61">
        <v>46223</v>
      </c>
      <c r="D49" s="59" t="s">
        <v>36</v>
      </c>
      <c r="E49" s="52">
        <f t="shared" si="1"/>
        <v>1.85</v>
      </c>
      <c r="F49" s="40">
        <v>1184</v>
      </c>
      <c r="G49" s="53">
        <v>790.5</v>
      </c>
      <c r="H49" s="53">
        <v>841.5</v>
      </c>
      <c r="I49" s="54">
        <v>2190.4</v>
      </c>
      <c r="J49" s="89"/>
    </row>
    <row r="50" spans="1:11" s="45" customFormat="1" ht="12.95" customHeight="1" x14ac:dyDescent="0.2">
      <c r="A50" s="48">
        <v>46</v>
      </c>
      <c r="B50" s="57" t="s">
        <v>54</v>
      </c>
      <c r="C50" s="61">
        <v>46223</v>
      </c>
      <c r="D50" s="59" t="s">
        <v>55</v>
      </c>
      <c r="E50" s="52">
        <f t="shared" si="1"/>
        <v>1.95</v>
      </c>
      <c r="F50" s="40">
        <v>1000</v>
      </c>
      <c r="G50" s="53">
        <v>224.6</v>
      </c>
      <c r="H50" s="53">
        <v>249.8</v>
      </c>
      <c r="I50" s="54">
        <v>1950</v>
      </c>
      <c r="J50" s="89"/>
    </row>
    <row r="51" spans="1:11" s="45" customFormat="1" ht="12.95" customHeight="1" x14ac:dyDescent="0.2">
      <c r="A51" s="48">
        <v>47</v>
      </c>
      <c r="B51" s="57" t="s">
        <v>54</v>
      </c>
      <c r="C51" s="61">
        <v>46223</v>
      </c>
      <c r="D51" s="59" t="s">
        <v>36</v>
      </c>
      <c r="E51" s="52">
        <f t="shared" si="1"/>
        <v>3.05</v>
      </c>
      <c r="F51" s="40">
        <v>2195</v>
      </c>
      <c r="G51" s="53">
        <v>982.2</v>
      </c>
      <c r="H51" s="53">
        <v>1066.8</v>
      </c>
      <c r="I51" s="54">
        <v>6694.75</v>
      </c>
      <c r="J51" s="89"/>
    </row>
    <row r="52" spans="1:11" s="45" customFormat="1" ht="12.95" customHeight="1" x14ac:dyDescent="0.2">
      <c r="A52" s="48">
        <v>48</v>
      </c>
      <c r="B52" s="57" t="s">
        <v>56</v>
      </c>
      <c r="C52" s="61">
        <v>46223</v>
      </c>
      <c r="D52" s="59" t="s">
        <v>36</v>
      </c>
      <c r="E52" s="52">
        <f t="shared" si="1"/>
        <v>3.1</v>
      </c>
      <c r="F52" s="40">
        <v>3550</v>
      </c>
      <c r="G52" s="53">
        <v>2038.4</v>
      </c>
      <c r="H52" s="53">
        <v>2167.4</v>
      </c>
      <c r="I52" s="54">
        <v>11005</v>
      </c>
      <c r="J52" s="89"/>
    </row>
    <row r="53" spans="1:11" s="45" customFormat="1" ht="12.95" customHeight="1" x14ac:dyDescent="0.2">
      <c r="A53" s="48">
        <v>49</v>
      </c>
      <c r="B53" s="57" t="s">
        <v>57</v>
      </c>
      <c r="C53" s="61">
        <v>46223</v>
      </c>
      <c r="D53" s="59" t="s">
        <v>36</v>
      </c>
      <c r="E53" s="52">
        <f t="shared" si="1"/>
        <v>2.1</v>
      </c>
      <c r="F53" s="40">
        <v>3420</v>
      </c>
      <c r="G53" s="53">
        <v>1425</v>
      </c>
      <c r="H53" s="53">
        <v>1615</v>
      </c>
      <c r="I53" s="54">
        <v>7182</v>
      </c>
      <c r="J53" s="89"/>
    </row>
    <row r="54" spans="1:11" s="45" customFormat="1" ht="12.95" customHeight="1" x14ac:dyDescent="0.2">
      <c r="A54" s="48">
        <v>50</v>
      </c>
      <c r="B54" s="57" t="s">
        <v>57</v>
      </c>
      <c r="C54" s="61">
        <v>46223</v>
      </c>
      <c r="D54" s="59" t="s">
        <v>36</v>
      </c>
      <c r="E54" s="52">
        <f t="shared" si="1"/>
        <v>2.75</v>
      </c>
      <c r="F54" s="40">
        <v>2850</v>
      </c>
      <c r="G54" s="53">
        <v>1330</v>
      </c>
      <c r="H54" s="53">
        <v>1425</v>
      </c>
      <c r="I54" s="54">
        <v>7837.5</v>
      </c>
      <c r="J54" s="89"/>
    </row>
    <row r="55" spans="1:11" s="45" customFormat="1" ht="12.95" customHeight="1" x14ac:dyDescent="0.2">
      <c r="A55" s="48">
        <v>51</v>
      </c>
      <c r="B55" s="57" t="s">
        <v>57</v>
      </c>
      <c r="C55" s="61">
        <v>46223</v>
      </c>
      <c r="D55" s="59" t="s">
        <v>36</v>
      </c>
      <c r="E55" s="52">
        <f t="shared" si="1"/>
        <v>2.2000000000000002</v>
      </c>
      <c r="F55" s="40">
        <v>1980</v>
      </c>
      <c r="G55" s="53">
        <v>990</v>
      </c>
      <c r="H55" s="53">
        <v>1100</v>
      </c>
      <c r="I55" s="54">
        <v>4356</v>
      </c>
      <c r="J55" s="89"/>
    </row>
    <row r="56" spans="1:11" s="45" customFormat="1" ht="12.95" customHeight="1" x14ac:dyDescent="0.2">
      <c r="A56" s="48">
        <v>52</v>
      </c>
      <c r="B56" s="57" t="s">
        <v>57</v>
      </c>
      <c r="C56" s="61">
        <v>46223</v>
      </c>
      <c r="D56" s="59" t="s">
        <v>36</v>
      </c>
      <c r="E56" s="52">
        <f t="shared" si="1"/>
        <v>2.1999999999999997</v>
      </c>
      <c r="F56" s="40">
        <v>858</v>
      </c>
      <c r="G56" s="53">
        <v>429</v>
      </c>
      <c r="H56" s="53">
        <v>477</v>
      </c>
      <c r="I56" s="54">
        <v>1887.6</v>
      </c>
      <c r="J56" s="89"/>
    </row>
    <row r="57" spans="1:11" s="45" customFormat="1" ht="12.95" customHeight="1" x14ac:dyDescent="0.2">
      <c r="A57" s="48">
        <v>53</v>
      </c>
      <c r="B57" s="57" t="s">
        <v>58</v>
      </c>
      <c r="C57" s="61">
        <v>46223</v>
      </c>
      <c r="D57" s="59" t="s">
        <v>35</v>
      </c>
      <c r="E57" s="52">
        <f t="shared" si="1"/>
        <v>2.8499999999999996</v>
      </c>
      <c r="F57" s="40">
        <v>1749</v>
      </c>
      <c r="G57" s="53">
        <v>872.7</v>
      </c>
      <c r="H57" s="53">
        <v>936.7</v>
      </c>
      <c r="I57" s="54">
        <v>4984.6499999999996</v>
      </c>
      <c r="J57" s="89"/>
    </row>
    <row r="58" spans="1:11" s="45" customFormat="1" ht="12.95" customHeight="1" x14ac:dyDescent="0.2">
      <c r="A58" s="48">
        <v>54</v>
      </c>
      <c r="B58" s="57" t="s">
        <v>70</v>
      </c>
      <c r="C58" s="58">
        <v>46227</v>
      </c>
      <c r="D58" s="59" t="s">
        <v>35</v>
      </c>
      <c r="E58" s="52">
        <f t="shared" si="1"/>
        <v>2.8499999999999996</v>
      </c>
      <c r="F58" s="40">
        <v>1252</v>
      </c>
      <c r="G58" s="53">
        <v>625.70000000000005</v>
      </c>
      <c r="H58" s="53">
        <v>670.7</v>
      </c>
      <c r="I58" s="54">
        <v>3568.2</v>
      </c>
      <c r="J58" s="89"/>
    </row>
    <row r="59" spans="1:11" s="45" customFormat="1" ht="12.95" customHeight="1" x14ac:dyDescent="0.2">
      <c r="A59" s="48">
        <v>55</v>
      </c>
      <c r="B59" s="57" t="s">
        <v>71</v>
      </c>
      <c r="C59" s="61">
        <v>46234</v>
      </c>
      <c r="D59" s="59" t="s">
        <v>42</v>
      </c>
      <c r="E59" s="52">
        <f t="shared" ref="E59:E62" si="2">I59/F59</f>
        <v>1.325</v>
      </c>
      <c r="F59" s="40">
        <v>3036</v>
      </c>
      <c r="G59" s="53">
        <v>1012</v>
      </c>
      <c r="H59" s="53">
        <v>1265</v>
      </c>
      <c r="I59" s="54">
        <v>4022.7</v>
      </c>
      <c r="J59" s="89"/>
    </row>
    <row r="60" spans="1:11" s="45" customFormat="1" ht="12.95" customHeight="1" x14ac:dyDescent="0.2">
      <c r="A60" s="48">
        <v>56</v>
      </c>
      <c r="B60" s="57" t="s">
        <v>71</v>
      </c>
      <c r="C60" s="61">
        <v>46234</v>
      </c>
      <c r="D60" s="59" t="s">
        <v>42</v>
      </c>
      <c r="E60" s="52">
        <f t="shared" si="2"/>
        <v>1.325</v>
      </c>
      <c r="F60" s="40">
        <v>2868</v>
      </c>
      <c r="G60" s="53">
        <v>956</v>
      </c>
      <c r="H60" s="53">
        <v>1195</v>
      </c>
      <c r="I60" s="54">
        <v>3800.1</v>
      </c>
      <c r="J60" s="89"/>
    </row>
    <row r="61" spans="1:11" s="45" customFormat="1" ht="12.95" customHeight="1" x14ac:dyDescent="0.2">
      <c r="A61" s="48">
        <v>57</v>
      </c>
      <c r="B61" s="57" t="s">
        <v>71</v>
      </c>
      <c r="C61" s="61">
        <v>46234</v>
      </c>
      <c r="D61" s="59" t="s">
        <v>42</v>
      </c>
      <c r="E61" s="52">
        <f t="shared" si="2"/>
        <v>1.2</v>
      </c>
      <c r="F61" s="40">
        <v>2580</v>
      </c>
      <c r="G61" s="53">
        <v>946</v>
      </c>
      <c r="H61" s="53">
        <v>1161</v>
      </c>
      <c r="I61" s="54">
        <v>3096</v>
      </c>
      <c r="J61" s="89"/>
    </row>
    <row r="62" spans="1:11" s="45" customFormat="1" ht="12.95" customHeight="1" x14ac:dyDescent="0.2">
      <c r="A62" s="48">
        <v>58</v>
      </c>
      <c r="B62" s="57" t="s">
        <v>71</v>
      </c>
      <c r="C62" s="61">
        <v>46234</v>
      </c>
      <c r="D62" s="59" t="s">
        <v>36</v>
      </c>
      <c r="E62" s="52">
        <f t="shared" si="2"/>
        <v>2.0499999999999998</v>
      </c>
      <c r="F62" s="40">
        <v>3448</v>
      </c>
      <c r="G62" s="53">
        <v>2155</v>
      </c>
      <c r="H62" s="53">
        <v>2586</v>
      </c>
      <c r="I62" s="54">
        <v>7068.4</v>
      </c>
      <c r="J62" s="89"/>
    </row>
    <row r="63" spans="1:11" customFormat="1" ht="12.95" customHeight="1" x14ac:dyDescent="0.2">
      <c r="A63" s="74"/>
      <c r="B63" s="50"/>
      <c r="C63" s="51"/>
      <c r="D63" s="75"/>
      <c r="E63" s="39"/>
      <c r="F63" s="36"/>
      <c r="G63" s="37"/>
      <c r="H63" s="37"/>
      <c r="I63" s="35"/>
      <c r="J63" s="46"/>
    </row>
    <row r="64" spans="1:11" ht="16.5" x14ac:dyDescent="0.25">
      <c r="A64" s="110" t="s">
        <v>34</v>
      </c>
      <c r="B64" s="111"/>
      <c r="C64" s="111"/>
      <c r="D64" s="111"/>
      <c r="E64" s="76"/>
      <c r="F64" s="77">
        <f>SUM(F5:F63)</f>
        <v>173920</v>
      </c>
      <c r="G64" s="77">
        <f>SUM(G5:G63)</f>
        <v>82665.399999999994</v>
      </c>
      <c r="H64" s="77">
        <f t="shared" ref="H64:I64" si="3">SUM(H5:H63)</f>
        <v>89543.67</v>
      </c>
      <c r="I64" s="77">
        <f t="shared" si="3"/>
        <v>357989.15000000008</v>
      </c>
      <c r="J64" s="47">
        <f>G64*0.13</f>
        <v>10746.502</v>
      </c>
      <c r="K64" s="4"/>
    </row>
    <row r="65" spans="2:11" ht="25.5" x14ac:dyDescent="0.2">
      <c r="B65" s="78"/>
      <c r="D65" s="80"/>
      <c r="E65" s="105"/>
      <c r="F65" s="105"/>
      <c r="G65" s="105"/>
      <c r="H65" s="105"/>
      <c r="I65" s="105"/>
      <c r="J65" s="30"/>
      <c r="K65" s="4"/>
    </row>
    <row r="66" spans="2:11" ht="25.5" x14ac:dyDescent="0.2">
      <c r="B66" s="78"/>
      <c r="D66" s="80"/>
      <c r="F66" s="106" t="s">
        <v>59</v>
      </c>
      <c r="G66" s="106"/>
      <c r="H66" s="106"/>
      <c r="I66" s="106"/>
      <c r="J66" s="93"/>
    </row>
    <row r="67" spans="2:11" ht="25.5" x14ac:dyDescent="0.2">
      <c r="B67" s="78"/>
      <c r="D67" s="80"/>
      <c r="F67" s="106" t="s">
        <v>20</v>
      </c>
      <c r="G67" s="106"/>
      <c r="H67" s="106"/>
      <c r="I67" s="106"/>
    </row>
    <row r="68" spans="2:11" x14ac:dyDescent="0.2">
      <c r="E68" s="83"/>
      <c r="F68" s="83"/>
      <c r="G68" s="83"/>
      <c r="H68" s="83"/>
      <c r="I68" s="83"/>
    </row>
    <row r="69" spans="2:11" x14ac:dyDescent="0.2">
      <c r="E69" s="83"/>
      <c r="F69" s="83"/>
      <c r="G69" s="83"/>
      <c r="H69" s="83"/>
      <c r="I69" s="83"/>
    </row>
    <row r="70" spans="2:11" x14ac:dyDescent="0.2">
      <c r="E70" s="83"/>
      <c r="F70" s="83"/>
      <c r="G70" s="83"/>
      <c r="H70" s="83"/>
      <c r="I70" s="83"/>
    </row>
    <row r="71" spans="2:11" x14ac:dyDescent="0.2">
      <c r="E71" s="83"/>
      <c r="F71" s="83"/>
      <c r="G71" s="83"/>
      <c r="H71" s="83"/>
      <c r="I71" s="83"/>
    </row>
    <row r="72" spans="2:11" x14ac:dyDescent="0.2">
      <c r="E72" s="83"/>
      <c r="F72" s="83"/>
      <c r="G72" s="83"/>
      <c r="H72" s="83"/>
      <c r="I72" s="83"/>
    </row>
    <row r="73" spans="2:11" x14ac:dyDescent="0.2">
      <c r="E73" s="83"/>
      <c r="F73" s="83"/>
      <c r="G73" s="83"/>
      <c r="H73" s="83"/>
      <c r="I73" s="83"/>
    </row>
    <row r="74" spans="2:11" x14ac:dyDescent="0.2">
      <c r="E74" s="83"/>
      <c r="F74" s="83"/>
      <c r="G74" s="83"/>
      <c r="H74" s="83"/>
      <c r="I74" s="83"/>
    </row>
    <row r="75" spans="2:11" x14ac:dyDescent="0.2">
      <c r="E75" s="83"/>
      <c r="F75" s="83"/>
      <c r="G75" s="99" t="s">
        <v>77</v>
      </c>
      <c r="H75" s="99"/>
      <c r="I75" s="84"/>
    </row>
    <row r="76" spans="2:11" x14ac:dyDescent="0.2">
      <c r="E76" s="83"/>
      <c r="F76" s="83"/>
      <c r="G76" s="107"/>
      <c r="H76" s="107"/>
      <c r="I76" s="83"/>
    </row>
  </sheetData>
  <autoFilter ref="C4:I4" xr:uid="{00000000-0009-0000-0000-000002000000}">
    <filterColumn colId="1" showButton="0"/>
  </autoFilter>
  <mergeCells count="8">
    <mergeCell ref="G75:H75"/>
    <mergeCell ref="G76:H76"/>
    <mergeCell ref="A1:I1"/>
    <mergeCell ref="A2:I2"/>
    <mergeCell ref="A64:D64"/>
    <mergeCell ref="E65:I65"/>
    <mergeCell ref="F66:I66"/>
    <mergeCell ref="F67:I67"/>
  </mergeCells>
  <printOptions horizontalCentered="1"/>
  <pageMargins left="0.25" right="0.2" top="0.25" bottom="0" header="0.3" footer="0.3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BCBA-B1BB-4C72-BE58-793E5A0D0070}">
  <dimension ref="G9:K31"/>
  <sheetViews>
    <sheetView topLeftCell="B7" zoomScale="144" workbookViewId="0">
      <selection activeCell="I31" sqref="I31"/>
    </sheetView>
  </sheetViews>
  <sheetFormatPr defaultRowHeight="12.75" x14ac:dyDescent="0.2"/>
  <cols>
    <col min="8" max="8" width="15" style="45" customWidth="1"/>
    <col min="11" max="11" width="15" customWidth="1"/>
  </cols>
  <sheetData>
    <row r="9" spans="7:11" x14ac:dyDescent="0.2">
      <c r="G9" s="112" t="s">
        <v>74</v>
      </c>
      <c r="H9" s="112"/>
      <c r="J9" s="112" t="s">
        <v>73</v>
      </c>
      <c r="K9" s="112"/>
    </row>
    <row r="10" spans="7:11" x14ac:dyDescent="0.2">
      <c r="H10" s="97" t="s">
        <v>72</v>
      </c>
      <c r="K10" s="97" t="s">
        <v>72</v>
      </c>
    </row>
    <row r="11" spans="7:11" x14ac:dyDescent="0.2">
      <c r="H11" s="97"/>
      <c r="K11" s="97"/>
    </row>
    <row r="12" spans="7:11" x14ac:dyDescent="0.2">
      <c r="G12" s="1" t="s">
        <v>44</v>
      </c>
      <c r="H12" s="94">
        <f>SUMIF('JR-EXP-6-7'!$B$5:$B$58, G12, 'JR-EXP-6-7'!$G$5:$G$58)</f>
        <v>12288.800000000001</v>
      </c>
      <c r="J12" s="1" t="s">
        <v>44</v>
      </c>
      <c r="K12" s="96">
        <v>12288.8</v>
      </c>
    </row>
    <row r="13" spans="7:11" x14ac:dyDescent="0.2">
      <c r="G13" t="s">
        <v>41</v>
      </c>
      <c r="H13" s="94">
        <f>SUMIF('JR-EXP-6-7'!$B$5:$B$58, G13, 'JR-EXP-6-7'!$G$5:$G$58)</f>
        <v>5758.5</v>
      </c>
      <c r="J13" t="s">
        <v>41</v>
      </c>
      <c r="K13">
        <f>4894+864.5</f>
        <v>5758.5</v>
      </c>
    </row>
    <row r="14" spans="7:11" x14ac:dyDescent="0.2">
      <c r="G14" t="s">
        <v>46</v>
      </c>
      <c r="H14" s="94">
        <f>SUMIF('JR-EXP-6-7'!$B$5:$B$58, G14, 'JR-EXP-6-7'!$G$5:$G$58)</f>
        <v>11293.5</v>
      </c>
      <c r="J14" t="s">
        <v>46</v>
      </c>
      <c r="K14" s="96">
        <v>11293.5</v>
      </c>
    </row>
    <row r="15" spans="7:11" x14ac:dyDescent="0.2">
      <c r="G15" t="s">
        <v>47</v>
      </c>
      <c r="H15" s="94">
        <f>SUMIF('JR-EXP-6-7'!$B$5:$B$58, G15, 'JR-EXP-6-7'!$G$5:$G$58)</f>
        <v>4634.5</v>
      </c>
      <c r="J15" t="s">
        <v>47</v>
      </c>
      <c r="K15">
        <v>4634.5</v>
      </c>
    </row>
    <row r="16" spans="7:11" x14ac:dyDescent="0.2">
      <c r="G16" t="s">
        <v>43</v>
      </c>
      <c r="H16" s="94">
        <f>SUMIF('JR-EXP-6-7'!$B$5:$B$58, G16, 'JR-EXP-6-7'!$G$5:$G$58)</f>
        <v>48</v>
      </c>
      <c r="J16" t="s">
        <v>43</v>
      </c>
      <c r="K16">
        <v>48</v>
      </c>
    </row>
    <row r="17" spans="7:11" x14ac:dyDescent="0.2">
      <c r="G17" t="s">
        <v>45</v>
      </c>
      <c r="H17" s="94">
        <f>SUMIF('JR-EXP-6-7'!$B$5:$B$58, G17, 'JR-EXP-6-7'!$G$5:$G$58)</f>
        <v>11103</v>
      </c>
      <c r="J17" t="s">
        <v>45</v>
      </c>
      <c r="K17">
        <v>11103</v>
      </c>
    </row>
    <row r="18" spans="7:11" x14ac:dyDescent="0.2">
      <c r="G18" t="s">
        <v>48</v>
      </c>
      <c r="H18" s="94">
        <f>SUMIF('JR-EXP-6-7'!$B$5:$B$58, G18, 'JR-EXP-6-7'!$G$5:$G$58)</f>
        <v>8290</v>
      </c>
      <c r="J18" t="s">
        <v>48</v>
      </c>
      <c r="K18">
        <f>7564.5+725.5</f>
        <v>8290</v>
      </c>
    </row>
    <row r="19" spans="7:11" x14ac:dyDescent="0.2">
      <c r="G19" t="s">
        <v>50</v>
      </c>
      <c r="H19" s="94">
        <f>SUMIF('JR-EXP-6-7'!$B$5:$B$58, G19, 'JR-EXP-6-7'!$G$5:$G$58)</f>
        <v>2061.9</v>
      </c>
      <c r="J19" t="s">
        <v>50</v>
      </c>
      <c r="K19">
        <v>2061.9</v>
      </c>
    </row>
    <row r="20" spans="7:11" x14ac:dyDescent="0.2">
      <c r="G20" t="s">
        <v>49</v>
      </c>
      <c r="H20" s="94">
        <f>SUMIF('JR-EXP-6-7'!$B$5:$B$58, G20, 'JR-EXP-6-7'!$G$5:$G$58)</f>
        <v>2501.6999999999998</v>
      </c>
      <c r="J20" t="s">
        <v>49</v>
      </c>
      <c r="K20">
        <v>2501.6999999999998</v>
      </c>
    </row>
    <row r="21" spans="7:11" x14ac:dyDescent="0.2">
      <c r="G21" t="s">
        <v>53</v>
      </c>
      <c r="H21" s="94">
        <f>SUMIF('JR-EXP-6-7'!$B$5:$B$58, G21, 'JR-EXP-6-7'!$G$5:$G$58)</f>
        <v>935</v>
      </c>
      <c r="J21" t="s">
        <v>53</v>
      </c>
      <c r="K21">
        <v>935</v>
      </c>
    </row>
    <row r="22" spans="7:11" x14ac:dyDescent="0.2">
      <c r="G22" s="1" t="s">
        <v>69</v>
      </c>
      <c r="H22" s="94">
        <f>SUMIF('JR-EXP-6-7'!$B$5:$B$58, G22, 'JR-EXP-6-7'!$G$5:$G$58)</f>
        <v>1403</v>
      </c>
      <c r="J22" s="1" t="s">
        <v>69</v>
      </c>
      <c r="K22">
        <v>1403</v>
      </c>
    </row>
    <row r="23" spans="7:11" x14ac:dyDescent="0.2">
      <c r="G23" t="s">
        <v>51</v>
      </c>
      <c r="H23" s="94">
        <f>SUMIF('JR-EXP-6-7'!$B$5:$B$58, G23, 'JR-EXP-6-7'!$G$5:$G$58)</f>
        <v>1172.5999999999999</v>
      </c>
      <c r="J23" t="s">
        <v>51</v>
      </c>
      <c r="K23">
        <v>1172.5999999999999</v>
      </c>
    </row>
    <row r="24" spans="7:11" x14ac:dyDescent="0.2">
      <c r="G24" t="s">
        <v>52</v>
      </c>
      <c r="H24" s="94">
        <f>SUMIF('JR-EXP-6-7'!$B$5:$B$58, G24, 'JR-EXP-6-7'!$G$5:$G$58)</f>
        <v>6397.8</v>
      </c>
      <c r="J24" t="s">
        <v>52</v>
      </c>
      <c r="K24">
        <v>6397.8</v>
      </c>
    </row>
    <row r="25" spans="7:11" x14ac:dyDescent="0.2">
      <c r="G25" t="s">
        <v>54</v>
      </c>
      <c r="H25" s="94">
        <f>SUMIF('JR-EXP-6-7'!$B$5:$B$58, G25, 'JR-EXP-6-7'!$G$5:$G$58)</f>
        <v>1997.3000000000002</v>
      </c>
      <c r="J25" t="s">
        <v>54</v>
      </c>
      <c r="K25">
        <v>1997.3000000000002</v>
      </c>
    </row>
    <row r="26" spans="7:11" x14ac:dyDescent="0.2">
      <c r="G26" t="s">
        <v>56</v>
      </c>
      <c r="H26" s="94">
        <f>SUMIF('JR-EXP-6-7'!$B$5:$B$58, G26, 'JR-EXP-6-7'!$G$5:$G$58)</f>
        <v>2038.4</v>
      </c>
      <c r="J26" t="s">
        <v>56</v>
      </c>
      <c r="K26">
        <v>2038.4</v>
      </c>
    </row>
    <row r="27" spans="7:11" x14ac:dyDescent="0.2">
      <c r="G27" t="s">
        <v>57</v>
      </c>
      <c r="H27" s="94">
        <v>4174</v>
      </c>
      <c r="J27" t="s">
        <v>57</v>
      </c>
      <c r="K27">
        <v>4174</v>
      </c>
    </row>
    <row r="28" spans="7:11" x14ac:dyDescent="0.2">
      <c r="G28" t="s">
        <v>58</v>
      </c>
      <c r="H28" s="94">
        <f>SUMIF('JR-EXP-6-7'!$B$5:$B$58, G28, 'JR-EXP-6-7'!$G$5:$G$58)</f>
        <v>872.7</v>
      </c>
      <c r="J28" t="s">
        <v>58</v>
      </c>
      <c r="K28">
        <v>872.7</v>
      </c>
    </row>
    <row r="29" spans="7:11" x14ac:dyDescent="0.2">
      <c r="G29" t="s">
        <v>70</v>
      </c>
      <c r="H29" s="94">
        <f>SUMIF('JR-EXP-6-7'!$B$5:$B$58, G29, 'JR-EXP-6-7'!$G$5:$G$58)</f>
        <v>625.70000000000005</v>
      </c>
      <c r="J29" t="s">
        <v>70</v>
      </c>
      <c r="K29">
        <v>625.70000000000005</v>
      </c>
    </row>
    <row r="30" spans="7:11" x14ac:dyDescent="0.2">
      <c r="G30" t="s">
        <v>71</v>
      </c>
      <c r="H30" s="94">
        <f>SUMIF('JR-EXP-6-7'!$B$5:$B$62, G30, 'JR-EXP-6-7'!$G$5:$G$62)</f>
        <v>5069</v>
      </c>
      <c r="J30" t="s">
        <v>71</v>
      </c>
      <c r="K30">
        <f>2914+2155</f>
        <v>5069</v>
      </c>
    </row>
    <row r="31" spans="7:11" x14ac:dyDescent="0.2">
      <c r="H31" s="95">
        <f>SUM(H12:H30)</f>
        <v>82665.399999999994</v>
      </c>
      <c r="K31" s="98">
        <f>SUM(K12:K30)</f>
        <v>82665.399999999994</v>
      </c>
    </row>
  </sheetData>
  <mergeCells count="2">
    <mergeCell ref="G9:H9"/>
    <mergeCell ref="J9:K9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JR-IMP-1-7</vt:lpstr>
      <vt:lpstr>JR-EXP-6-7</vt:lpstr>
      <vt:lpstr>Sheet1</vt:lpstr>
      <vt:lpstr>'JR-EXP-6-7'!Print_Area</vt:lpstr>
      <vt:lpstr>'JR-IMP-1-7'!Print_Area</vt:lpstr>
      <vt:lpstr>'JR-EXP-6-7'!Print_Titles</vt:lpstr>
      <vt:lpstr>'JR-IMP-1-7'!Print_Titles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ship71</dc:creator>
  <cp:lastModifiedBy>User</cp:lastModifiedBy>
  <cp:lastPrinted>2026-09-30T06:58:32Z</cp:lastPrinted>
  <dcterms:created xsi:type="dcterms:W3CDTF">2014-02-04T03:41:13Z</dcterms:created>
  <dcterms:modified xsi:type="dcterms:W3CDTF">2026-09-30T12:45:16Z</dcterms:modified>
</cp:coreProperties>
</file>