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-JR APPAREL\12-WASTAGE\2-3\"/>
    </mc:Choice>
  </mc:AlternateContent>
  <xr:revisionPtr revIDLastSave="0" documentId="13_ncr:1_{2F5FFEA6-F528-436B-8E51-1410EF0B89B4}" xr6:coauthVersionLast="47" xr6:coauthVersionMax="47" xr10:uidLastSave="{00000000-0000-0000-0000-000000000000}"/>
  <bookViews>
    <workbookView xWindow="-120" yWindow="-120" windowWidth="29040" windowHeight="15720" tabRatio="718" activeTab="1" xr2:uid="{00000000-000D-0000-FFFF-FFFF00000000}"/>
  </bookViews>
  <sheets>
    <sheet name="JR-IMP-1-3" sheetId="15" r:id="rId1"/>
    <sheet name="JR-EXP-2-3" sheetId="14" r:id="rId2"/>
    <sheet name="Sheet1" sheetId="16" r:id="rId3"/>
  </sheets>
  <externalReferences>
    <externalReference r:id="rId4"/>
  </externalReferences>
  <definedNames>
    <definedName name="_xlnm._FilterDatabase" localSheetId="1" hidden="1">'JR-EXP-2-3'!$C$4:$J$4</definedName>
    <definedName name="_xlnm._FilterDatabase" localSheetId="0" hidden="1">'JR-IMP-1-3'!$A$4:$I$4</definedName>
    <definedName name="_xlnm.Print_Area" localSheetId="1">'JR-EXP-2-3'!$A$1:$J$66</definedName>
    <definedName name="_xlnm.Print_Area" localSheetId="0">'JR-IMP-1-3'!$A$1:$I$30</definedName>
    <definedName name="_xlnm.Print_Titles" localSheetId="1">'JR-EXP-2-3'!$3:$4</definedName>
    <definedName name="_xlnm.Print_Titles" localSheetId="0">'JR-IMP-1-3'!$3:$4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6" l="1"/>
  <c r="L11" i="16" s="1"/>
  <c r="K10" i="16"/>
  <c r="L10" i="16" s="1"/>
  <c r="K9" i="16"/>
  <c r="L9" i="16" s="1"/>
  <c r="K8" i="16"/>
  <c r="L8" i="16" s="1"/>
  <c r="K7" i="16"/>
  <c r="L7" i="16" s="1"/>
  <c r="K6" i="16"/>
  <c r="L6" i="16" s="1"/>
  <c r="K5" i="16"/>
  <c r="L5" i="16" s="1"/>
  <c r="K4" i="16"/>
  <c r="L4" i="16" s="1"/>
  <c r="K3" i="16"/>
  <c r="L3" i="16" s="1"/>
  <c r="K2" i="16"/>
  <c r="L2" i="16" s="1"/>
  <c r="F10" i="16"/>
  <c r="F11" i="16"/>
  <c r="F9" i="16"/>
  <c r="F8" i="16"/>
  <c r="F7" i="16"/>
  <c r="F6" i="16"/>
  <c r="F5" i="16"/>
  <c r="F4" i="16"/>
  <c r="F3" i="16"/>
  <c r="F2" i="16"/>
  <c r="F6" i="14"/>
  <c r="F20" i="15"/>
  <c r="F7" i="14"/>
  <c r="F9" i="14"/>
  <c r="F8" i="14"/>
  <c r="F5" i="14"/>
  <c r="G54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36" i="14" l="1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E7" i="15" l="1"/>
  <c r="E8" i="15"/>
  <c r="E9" i="15"/>
  <c r="E10" i="15"/>
  <c r="E11" i="15"/>
  <c r="E12" i="15"/>
  <c r="E13" i="15"/>
  <c r="E14" i="15"/>
  <c r="E15" i="15"/>
  <c r="E16" i="15"/>
  <c r="E17" i="15"/>
  <c r="E18" i="15"/>
  <c r="E6" i="15"/>
  <c r="E5" i="15"/>
  <c r="I20" i="15" l="1"/>
  <c r="G20" i="15" l="1"/>
  <c r="H54" i="14" l="1"/>
  <c r="K54" i="14" s="1"/>
  <c r="I54" i="14"/>
  <c r="H20" i="15" l="1"/>
  <c r="J54" i="14" l="1"/>
</calcChain>
</file>

<file path=xl/sharedStrings.xml><?xml version="1.0" encoding="utf-8"?>
<sst xmlns="http://schemas.openxmlformats.org/spreadsheetml/2006/main" count="194" uniqueCount="68">
  <si>
    <t>Unit</t>
  </si>
  <si>
    <t xml:space="preserve">ល.រ </t>
  </si>
  <si>
    <t>លេខប្រតិវេតន៍គយ</t>
  </si>
  <si>
    <t>កាលបរិច្ឆេទ</t>
  </si>
  <si>
    <t>មុខទំនិញ</t>
  </si>
  <si>
    <t>ឯកតា</t>
  </si>
  <si>
    <t>បរិមាណ</t>
  </si>
  <si>
    <t>តម្លៃគិតពន្ធគយ</t>
  </si>
  <si>
    <t>No.</t>
  </si>
  <si>
    <t>Custosms Declaration No.</t>
  </si>
  <si>
    <t>Custosms Declaration Date</t>
  </si>
  <si>
    <t>Descripion of Goods</t>
  </si>
  <si>
    <t>Quantity</t>
  </si>
  <si>
    <t>Net Weight
 (Kgs.)</t>
  </si>
  <si>
    <t>Customs Value
 (USD)</t>
  </si>
  <si>
    <t>Gross Weight
 (Kgs.)</t>
  </si>
  <si>
    <t>ទម្ងន់សុទ្ធ</t>
  </si>
  <si>
    <t>ទម្ងន់សរុប</t>
  </si>
  <si>
    <t>តារាងរបាយការណ៏នាំចូលវត្ថុធាតុដើមតាមប្រតិវេទន៏គយ</t>
  </si>
  <si>
    <t>តារាងរបាយការណ៏នាំចេញតាមប្រតិវេទន៏គយ</t>
  </si>
  <si>
    <t>ប្រធានក្រុមហ៊ុន</t>
  </si>
  <si>
    <t>បរិមាណ PCS</t>
  </si>
  <si>
    <t>WOVEN FABRIC</t>
  </si>
  <si>
    <t>KNITTED FABRIC</t>
  </si>
  <si>
    <t>WOVEN TAPE</t>
  </si>
  <si>
    <t>I 14254</t>
  </si>
  <si>
    <t>HANGER</t>
  </si>
  <si>
    <t>I 15940</t>
  </si>
  <si>
    <t>I 21065</t>
  </si>
  <si>
    <t>I 27779</t>
  </si>
  <si>
    <t>I 32429</t>
  </si>
  <si>
    <t>I 32408</t>
  </si>
  <si>
    <t>I 43602</t>
  </si>
  <si>
    <t>TOTAL​2026:</t>
  </si>
  <si>
    <t>TOTAL 2026  :</t>
  </si>
  <si>
    <t>E 52039</t>
  </si>
  <si>
    <t>E 52971</t>
  </si>
  <si>
    <t>LADIES PANT</t>
  </si>
  <si>
    <t xml:space="preserve">LADIES WOVEN PANT </t>
  </si>
  <si>
    <t>E 56303</t>
  </si>
  <si>
    <t>LADIES WOVEN PANT</t>
  </si>
  <si>
    <t>E 58393</t>
  </si>
  <si>
    <t>LADIES WOVEN SHORT</t>
  </si>
  <si>
    <t>LADIES WOVEN PAJAMAS</t>
  </si>
  <si>
    <t>LADIES WOVEN SKIRT</t>
  </si>
  <si>
    <t>E 64094</t>
  </si>
  <si>
    <t>LADIES KNITTED 3PC PAJAMAS</t>
  </si>
  <si>
    <t>LADIES KNITTED PANT</t>
  </si>
  <si>
    <t>LADIES WOVEN NIGHT GOWN</t>
  </si>
  <si>
    <t>LADIES WOVEN  PANT</t>
  </si>
  <si>
    <t>E 65834</t>
  </si>
  <si>
    <t xml:space="preserve">LADIES WOVEN  PANT </t>
  </si>
  <si>
    <t>LADIES KNITTED PAJAMA 2PC</t>
  </si>
  <si>
    <t>LADIES KINTTED  PANT</t>
  </si>
  <si>
    <t>E 69968</t>
  </si>
  <si>
    <t>LADIES WOVEN PANTS</t>
  </si>
  <si>
    <t>E 72299</t>
  </si>
  <si>
    <t>E 79749</t>
  </si>
  <si>
    <t>LADIES PANT WOVEN</t>
  </si>
  <si>
    <t>LADIES 2PC PAJAMAS KNIT</t>
  </si>
  <si>
    <t>LADIES PANT KNIT</t>
  </si>
  <si>
    <t>E 76799</t>
  </si>
  <si>
    <t>LADIES 2PC PAJAMAS KNITTED</t>
  </si>
  <si>
    <t>LADIES WOVEN TANK</t>
  </si>
  <si>
    <t>NI,CUNLAN</t>
  </si>
  <si>
    <t>ក្រុមហ៊ុន JR APPAREL CO., LTD មាន អ.ត.ប លេខ L001-902501613 សំរាប់ ខែ មករា ឆ្នាំ 2026 រហូតដល់ ខែ មិនា  ឆ្នាំ 2026</t>
  </si>
  <si>
    <t>ថ្ងៃទី ៣០ ខែ មេសា ឆ្នាំ ២០២៦</t>
  </si>
  <si>
    <t>ក្រុមហ៊ុន JR APPAREL CO., LTD មាន អ.ត.ប លេខ L001-902501613 សំរាប់  ខែ មេសា ឆ្នាំ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</si>
</sst>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$-409]dd\-mmm\-yy;@"/>
    <numFmt numFmtId="167" formatCode="0.000"/>
  </numFmts>
  <fonts count="1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indexed="8"/>
      <name val="Times New Roman"/>
      <family val="1"/>
    </font>
    <font>
      <b/>
      <sz val="13"/>
      <name val="Arial"/>
      <family val="2"/>
    </font>
    <font>
      <sz val="12"/>
      <color indexed="8"/>
      <name val="Khmer OS Muol Light"/>
    </font>
    <font>
      <sz val="11"/>
      <color indexed="8"/>
      <name val="Khmer OS Siemreap"/>
    </font>
    <font>
      <sz val="9"/>
      <color indexed="8"/>
      <name val="Times New Roman"/>
      <family val="1"/>
    </font>
    <font>
      <sz val="12"/>
      <color indexed="8"/>
      <name val="Khmer OS Battambang"/>
    </font>
    <font>
      <sz val="9"/>
      <name val="Arial"/>
      <family val="2"/>
    </font>
    <font>
      <sz val="9"/>
      <color indexed="8"/>
      <name val="Khmer OS Siemreap"/>
    </font>
    <font>
      <sz val="10"/>
      <name val="Arial"/>
      <family val="2"/>
    </font>
    <font>
      <b/>
      <sz val="11"/>
      <color indexed="8"/>
      <name val="Times New Roman"/>
      <family val="1"/>
    </font>
    <font>
      <b/>
      <sz val="9"/>
      <color indexed="8"/>
      <name val="Times New Roman"/>
      <family val="1"/>
    </font>
    <font>
      <sz val="11"/>
      <color theme="1"/>
      <name val="Arial"/>
      <family val="2"/>
    </font>
    <font>
      <sz val="10.199999999999999"/>
      <color indexed="8"/>
      <name val="Khmer OS Battambang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4" fillId="0" borderId="0">
      <alignment vertical="top"/>
    </xf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4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right" wrapText="1"/>
    </xf>
    <xf numFmtId="0" fontId="0" fillId="0" borderId="0" xfId="0" applyAlignment="1">
      <alignment horizontal="right" wrapText="1"/>
    </xf>
    <xf numFmtId="0" fontId="12" fillId="0" borderId="3" xfId="0" applyFont="1" applyBorder="1" applyAlignment="1">
      <alignment horizontal="center"/>
    </xf>
    <xf numFmtId="4" fontId="0" fillId="2" borderId="0" xfId="0" applyNumberFormat="1" applyFill="1" applyAlignment="1">
      <alignment horizontal="right"/>
    </xf>
    <xf numFmtId="4" fontId="0" fillId="0" borderId="0" xfId="0" applyNumberFormat="1" applyAlignment="1">
      <alignment horizontal="right"/>
    </xf>
    <xf numFmtId="0" fontId="0" fillId="2" borderId="0" xfId="5" applyNumberFormat="1" applyFont="1" applyFill="1" applyBorder="1" applyAlignment="1">
      <alignment horizontal="center"/>
    </xf>
    <xf numFmtId="0" fontId="0" fillId="0" borderId="0" xfId="5" applyNumberFormat="1" applyFont="1" applyBorder="1" applyAlignment="1">
      <alignment horizontal="center"/>
    </xf>
    <xf numFmtId="0" fontId="0" fillId="0" borderId="0" xfId="5" applyNumberFormat="1" applyFont="1" applyAlignment="1">
      <alignment horizontal="center"/>
    </xf>
    <xf numFmtId="0" fontId="12" fillId="0" borderId="3" xfId="5" applyNumberFormat="1" applyFont="1" applyBorder="1" applyAlignment="1">
      <alignment horizontal="center"/>
    </xf>
    <xf numFmtId="16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 wrapText="1"/>
    </xf>
    <xf numFmtId="4" fontId="12" fillId="0" borderId="3" xfId="0" applyNumberFormat="1" applyFont="1" applyBorder="1" applyAlignment="1">
      <alignment horizontal="right"/>
    </xf>
    <xf numFmtId="0" fontId="11" fillId="0" borderId="0" xfId="0" applyFont="1"/>
    <xf numFmtId="4" fontId="15" fillId="0" borderId="4" xfId="0" applyNumberFormat="1" applyFont="1" applyBorder="1" applyAlignment="1">
      <alignment horizontal="right" vertical="center" wrapText="1"/>
    </xf>
    <xf numFmtId="0" fontId="0" fillId="2" borderId="0" xfId="0" applyFill="1" applyAlignment="1">
      <alignment horizontal="left" wrapText="1"/>
    </xf>
    <xf numFmtId="4" fontId="1" fillId="0" borderId="0" xfId="0" applyNumberFormat="1" applyFont="1" applyAlignment="1">
      <alignment wrapText="1"/>
    </xf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/>
    <xf numFmtId="0" fontId="4" fillId="0" borderId="1" xfId="5" applyNumberFormat="1" applyFont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right" vertical="center" wrapText="1"/>
    </xf>
    <xf numFmtId="43" fontId="1" fillId="0" borderId="1" xfId="6" applyFont="1" applyFill="1" applyBorder="1" applyAlignment="1">
      <alignment horizontal="center" vertical="center" wrapText="1"/>
    </xf>
    <xf numFmtId="0" fontId="5" fillId="0" borderId="8" xfId="5" applyNumberFormat="1" applyFont="1" applyBorder="1" applyAlignment="1">
      <alignment horizontal="center" vertical="center" wrapText="1"/>
    </xf>
    <xf numFmtId="4" fontId="9" fillId="0" borderId="8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43" fontId="1" fillId="0" borderId="0" xfId="5" applyFont="1" applyAlignment="1">
      <alignment wrapText="1"/>
    </xf>
    <xf numFmtId="43" fontId="4" fillId="0" borderId="1" xfId="5" applyFont="1" applyBorder="1" applyAlignment="1">
      <alignment horizontal="right" vertical="center" wrapText="1"/>
    </xf>
    <xf numFmtId="4" fontId="14" fillId="0" borderId="4" xfId="0" applyNumberFormat="1" applyFont="1" applyBorder="1" applyAlignment="1">
      <alignment horizontal="right" vertical="center" wrapText="1"/>
    </xf>
    <xf numFmtId="43" fontId="1" fillId="2" borderId="0" xfId="0" applyNumberFormat="1" applyFont="1" applyFill="1"/>
    <xf numFmtId="0" fontId="1" fillId="0" borderId="0" xfId="0" applyFont="1" applyAlignment="1">
      <alignment horizontal="center" wrapText="1"/>
    </xf>
    <xf numFmtId="0" fontId="1" fillId="0" borderId="1" xfId="6" applyNumberFormat="1" applyFont="1" applyFill="1" applyBorder="1" applyAlignment="1">
      <alignment horizontal="center" vertical="center" wrapText="1"/>
    </xf>
    <xf numFmtId="164" fontId="1" fillId="0" borderId="1" xfId="6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8" fillId="2" borderId="3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164" fontId="8" fillId="2" borderId="3" xfId="0" applyNumberFormat="1" applyFont="1" applyFill="1" applyBorder="1" applyAlignment="1">
      <alignment horizontal="center"/>
    </xf>
    <xf numFmtId="4" fontId="8" fillId="2" borderId="3" xfId="0" applyNumberFormat="1" applyFont="1" applyFill="1" applyBorder="1" applyAlignment="1">
      <alignment horizontal="center"/>
    </xf>
    <xf numFmtId="3" fontId="8" fillId="2" borderId="3" xfId="0" applyNumberFormat="1" applyFont="1" applyFill="1" applyBorder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4" fontId="0" fillId="2" borderId="1" xfId="0" applyNumberFormat="1" applyFill="1" applyBorder="1"/>
    <xf numFmtId="3" fontId="3" fillId="2" borderId="1" xfId="0" applyNumberFormat="1" applyFont="1" applyFill="1" applyBorder="1"/>
    <xf numFmtId="43" fontId="3" fillId="2" borderId="1" xfId="5" applyFont="1" applyFill="1" applyBorder="1"/>
    <xf numFmtId="0" fontId="11" fillId="2" borderId="0" xfId="0" applyFont="1" applyFill="1" applyAlignment="1">
      <alignment horizontal="right"/>
    </xf>
    <xf numFmtId="0" fontId="11" fillId="2" borderId="0" xfId="0" applyFont="1" applyFill="1" applyAlignment="1">
      <alignment horizontal="left"/>
    </xf>
    <xf numFmtId="3" fontId="0" fillId="2" borderId="0" xfId="0" applyNumberFormat="1" applyFill="1"/>
    <xf numFmtId="166" fontId="1" fillId="0" borderId="1" xfId="6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43" fontId="0" fillId="0" borderId="1" xfId="5" applyFont="1" applyFill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43" fontId="0" fillId="0" borderId="4" xfId="0" applyNumberFormat="1" applyBorder="1" applyAlignment="1">
      <alignment horizontal="center" vertical="center"/>
    </xf>
    <xf numFmtId="43" fontId="0" fillId="0" borderId="4" xfId="5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166" fontId="16" fillId="0" borderId="4" xfId="0" applyNumberFormat="1" applyFont="1" applyBorder="1" applyAlignment="1">
      <alignment horizontal="center" vertical="center"/>
    </xf>
    <xf numFmtId="167" fontId="0" fillId="0" borderId="1" xfId="5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4" fontId="5" fillId="2" borderId="8" xfId="0" applyNumberFormat="1" applyFont="1" applyFill="1" applyBorder="1" applyAlignment="1">
      <alignment horizontal="center" vertical="center" wrapText="1"/>
    </xf>
    <xf numFmtId="4" fontId="9" fillId="2" borderId="8" xfId="0" applyNumberFormat="1" applyFont="1" applyFill="1" applyBorder="1" applyAlignment="1">
      <alignment horizontal="center" vertical="center" wrapText="1"/>
    </xf>
    <xf numFmtId="164" fontId="9" fillId="2" borderId="8" xfId="0" applyNumberFormat="1" applyFont="1" applyFill="1" applyBorder="1" applyAlignment="1">
      <alignment horizontal="center" vertical="center" wrapText="1"/>
    </xf>
    <xf numFmtId="3" fontId="9" fillId="2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4" xfId="0" applyBorder="1"/>
    <xf numFmtId="4" fontId="3" fillId="2" borderId="14" xfId="0" applyNumberFormat="1" applyFont="1" applyFill="1" applyBorder="1"/>
    <xf numFmtId="0" fontId="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43" fontId="0" fillId="0" borderId="0" xfId="5" applyFont="1"/>
    <xf numFmtId="43" fontId="0" fillId="0" borderId="0" xfId="0" applyNumberFormat="1"/>
    <xf numFmtId="43" fontId="18" fillId="0" borderId="0" xfId="5" applyFont="1"/>
    <xf numFmtId="43" fontId="18" fillId="0" borderId="0" xfId="0" applyNumberFormat="1" applyFont="1"/>
    <xf numFmtId="0" fontId="18" fillId="2" borderId="0" xfId="0" applyFont="1" applyFill="1"/>
    <xf numFmtId="4" fontId="1" fillId="2" borderId="0" xfId="0" applyNumberFormat="1" applyFont="1" applyFill="1" applyAlignment="1">
      <alignment horizontal="center"/>
    </xf>
    <xf numFmtId="4" fontId="10" fillId="2" borderId="0" xfId="0" applyNumberFormat="1" applyFont="1" applyFill="1" applyAlignment="1">
      <alignment horizontal="center" vertical="center"/>
    </xf>
    <xf numFmtId="4" fontId="10" fillId="2" borderId="7" xfId="0" applyNumberFormat="1" applyFont="1" applyFill="1" applyBorder="1" applyAlignment="1">
      <alignment horizontal="center" vertical="center"/>
    </xf>
    <xf numFmtId="4" fontId="7" fillId="2" borderId="0" xfId="0" applyNumberFormat="1" applyFont="1" applyFill="1" applyAlignment="1">
      <alignment horizontal="center" vertical="center"/>
    </xf>
    <xf numFmtId="4" fontId="10" fillId="2" borderId="9" xfId="0" applyNumberFormat="1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/>
    </xf>
    <xf numFmtId="0" fontId="12" fillId="2" borderId="13" xfId="0" applyFont="1" applyFill="1" applyBorder="1" applyAlignment="1">
      <alignment horizontal="center"/>
    </xf>
    <xf numFmtId="4" fontId="9" fillId="2" borderId="14" xfId="0" applyNumberFormat="1" applyFont="1" applyFill="1" applyBorder="1" applyAlignment="1">
      <alignment horizontal="center" vertical="center" wrapText="1"/>
    </xf>
    <xf numFmtId="4" fontId="9" fillId="2" borderId="15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165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/>
    </xf>
    <xf numFmtId="165" fontId="11" fillId="0" borderId="5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0" fontId="18" fillId="2" borderId="0" xfId="0" applyFont="1" applyFill="1" applyAlignment="1">
      <alignment horizontal="center"/>
    </xf>
    <xf numFmtId="4" fontId="14" fillId="0" borderId="10" xfId="0" applyNumberFormat="1" applyFont="1" applyBorder="1" applyAlignment="1">
      <alignment horizontal="right" vertical="center" wrapText="1"/>
    </xf>
    <xf numFmtId="4" fontId="14" fillId="0" borderId="9" xfId="0" applyNumberFormat="1" applyFont="1" applyBorder="1" applyAlignment="1">
      <alignment horizontal="right" vertical="center" wrapText="1"/>
    </xf>
    <xf numFmtId="4" fontId="14" fillId="0" borderId="11" xfId="0" applyNumberFormat="1" applyFont="1" applyBorder="1" applyAlignment="1">
      <alignment horizontal="right" vertical="center" wrapText="1"/>
    </xf>
    <xf numFmtId="4" fontId="7" fillId="0" borderId="0" xfId="0" applyNumberFormat="1" applyFont="1" applyAlignment="1">
      <alignment horizontal="center" vertical="center"/>
    </xf>
    <xf numFmtId="4" fontId="17" fillId="0" borderId="9" xfId="0" applyNumberFormat="1" applyFont="1" applyBorder="1" applyAlignment="1">
      <alignment horizontal="center" vertical="center" wrapText="1"/>
    </xf>
  </cellXfs>
  <cellStyles count="7">
    <cellStyle name="Comma" xfId="5" builtinId="3"/>
    <cellStyle name="Comma 2" xfId="6" xr:uid="{00000000-0005-0000-0000-000001000000}"/>
    <cellStyle name="Normal" xfId="0" builtinId="0"/>
    <cellStyle name="Normal 3" xfId="1" xr:uid="{00000000-0005-0000-0000-000003000000}"/>
    <cellStyle name="Normal 8" xfId="2" xr:uid="{00000000-0005-0000-0000-000004000000}"/>
    <cellStyle name="Normal 9" xfId="3" xr:uid="{00000000-0005-0000-0000-000005000000}"/>
    <cellStyle name="Style 1" xfId="4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026-JR%20SCH.xlsx" TargetMode="External"/><Relationship Id="rId1" Type="http://schemas.openxmlformats.org/officeDocument/2006/relationships/externalLinkPath" Target="/2026-JR%20SC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 LIST"/>
      <sheetName val="EXPORT"/>
      <sheetName val="IMPORT"/>
      <sheetName val="CDC"/>
      <sheetName val="MARK"/>
      <sheetName val="STOCK"/>
      <sheetName val="EN-ST"/>
      <sheetName val="CT-COVER"/>
      <sheetName val="CUT STOCK"/>
      <sheetName val="INSP"/>
      <sheetName val="LDP"/>
      <sheetName val="VERIFY"/>
      <sheetName val="GS FEE"/>
      <sheetName val="MACHINE"/>
      <sheetName val="CHIENSE"/>
      <sheetName val="Sheet3"/>
      <sheetName val="Sheet2"/>
    </sheetNames>
    <sheetDataSet>
      <sheetData sheetId="0"/>
      <sheetData sheetId="1">
        <row r="2">
          <cell r="O2">
            <v>1.44</v>
          </cell>
          <cell r="X2"/>
        </row>
        <row r="3">
          <cell r="O3"/>
          <cell r="X3"/>
        </row>
        <row r="4">
          <cell r="O4"/>
          <cell r="X4"/>
        </row>
        <row r="5">
          <cell r="O5">
            <v>2.0186639999999998</v>
          </cell>
          <cell r="X5"/>
        </row>
        <row r="6">
          <cell r="O6">
            <v>2.0186639999999998</v>
          </cell>
          <cell r="X6"/>
        </row>
        <row r="7">
          <cell r="O7">
            <v>5.477328</v>
          </cell>
          <cell r="X7"/>
        </row>
        <row r="8">
          <cell r="O8">
            <v>3.28</v>
          </cell>
          <cell r="X8"/>
        </row>
        <row r="9">
          <cell r="O9">
            <v>3.59</v>
          </cell>
          <cell r="X9"/>
        </row>
        <row r="10">
          <cell r="O10">
            <v>3.75</v>
          </cell>
          <cell r="X10"/>
        </row>
        <row r="11">
          <cell r="O11"/>
          <cell r="X11"/>
        </row>
        <row r="12">
          <cell r="O12"/>
          <cell r="X12"/>
        </row>
        <row r="13">
          <cell r="O13">
            <v>10.62</v>
          </cell>
          <cell r="X13"/>
        </row>
        <row r="14">
          <cell r="O14">
            <v>1.1810400000000001</v>
          </cell>
          <cell r="X14"/>
        </row>
        <row r="15">
          <cell r="O15">
            <v>3.00048</v>
          </cell>
          <cell r="X15"/>
        </row>
        <row r="16">
          <cell r="O16">
            <v>1.1439999999999999</v>
          </cell>
          <cell r="X16"/>
        </row>
        <row r="17">
          <cell r="O17">
            <v>5.32552</v>
          </cell>
          <cell r="X17"/>
        </row>
        <row r="18">
          <cell r="O18">
            <v>2.5499999999999998</v>
          </cell>
          <cell r="X18"/>
        </row>
        <row r="19">
          <cell r="O19">
            <v>7.1</v>
          </cell>
          <cell r="X19"/>
        </row>
        <row r="20">
          <cell r="O20">
            <v>21.49</v>
          </cell>
          <cell r="X20"/>
        </row>
        <row r="21">
          <cell r="O21">
            <v>0.53</v>
          </cell>
          <cell r="X21"/>
        </row>
        <row r="22">
          <cell r="O22">
            <v>2</v>
          </cell>
          <cell r="X22"/>
        </row>
        <row r="23">
          <cell r="O23">
            <v>2.31</v>
          </cell>
          <cell r="X23"/>
        </row>
        <row r="24">
          <cell r="O24">
            <v>2.23</v>
          </cell>
          <cell r="X24"/>
        </row>
        <row r="25">
          <cell r="O25">
            <v>2.0299999999999998</v>
          </cell>
          <cell r="X25"/>
        </row>
        <row r="26">
          <cell r="O26">
            <v>40.24</v>
          </cell>
          <cell r="X26"/>
        </row>
        <row r="27">
          <cell r="O27"/>
          <cell r="X27"/>
        </row>
        <row r="28">
          <cell r="O28">
            <v>10.199999999999999</v>
          </cell>
          <cell r="X28"/>
        </row>
        <row r="29">
          <cell r="O29">
            <v>10.199999999999999</v>
          </cell>
          <cell r="X29"/>
        </row>
        <row r="30">
          <cell r="O30">
            <v>2.4</v>
          </cell>
          <cell r="X30"/>
        </row>
        <row r="31">
          <cell r="O31">
            <v>2.73</v>
          </cell>
          <cell r="X31"/>
        </row>
        <row r="32">
          <cell r="O32">
            <v>9.69</v>
          </cell>
          <cell r="X32"/>
        </row>
        <row r="33">
          <cell r="O33">
            <v>12.610000000000001</v>
          </cell>
          <cell r="X33"/>
        </row>
        <row r="34">
          <cell r="O34">
            <v>47.83</v>
          </cell>
          <cell r="X34"/>
        </row>
        <row r="35">
          <cell r="O35">
            <v>5.61</v>
          </cell>
          <cell r="X35"/>
        </row>
        <row r="36">
          <cell r="O36">
            <v>5.61</v>
          </cell>
          <cell r="X36"/>
        </row>
        <row r="37">
          <cell r="O37">
            <v>1.44</v>
          </cell>
          <cell r="X37"/>
        </row>
        <row r="38">
          <cell r="O38">
            <v>1.44</v>
          </cell>
          <cell r="X38"/>
        </row>
        <row r="39">
          <cell r="O39">
            <v>4.33</v>
          </cell>
          <cell r="X39"/>
        </row>
        <row r="40">
          <cell r="O40">
            <v>1.1299999999999999</v>
          </cell>
          <cell r="X40"/>
        </row>
        <row r="41">
          <cell r="O41">
            <v>1.1299999999999999</v>
          </cell>
          <cell r="X41"/>
        </row>
        <row r="42">
          <cell r="O42">
            <v>5.09</v>
          </cell>
          <cell r="X42"/>
        </row>
        <row r="43">
          <cell r="O43">
            <v>7.04</v>
          </cell>
          <cell r="X43"/>
        </row>
        <row r="44">
          <cell r="O44">
            <v>5.52</v>
          </cell>
          <cell r="X44"/>
        </row>
        <row r="45">
          <cell r="O45">
            <v>3.47</v>
          </cell>
          <cell r="X45"/>
        </row>
        <row r="46">
          <cell r="O46">
            <v>41.81</v>
          </cell>
          <cell r="X46"/>
        </row>
        <row r="47">
          <cell r="O47">
            <v>5.38</v>
          </cell>
          <cell r="X47"/>
        </row>
        <row r="48">
          <cell r="O48">
            <v>5.38</v>
          </cell>
          <cell r="X48"/>
        </row>
        <row r="49">
          <cell r="O49">
            <v>3</v>
          </cell>
          <cell r="X49"/>
        </row>
        <row r="50">
          <cell r="O50">
            <v>19.53</v>
          </cell>
          <cell r="X50"/>
        </row>
        <row r="51">
          <cell r="O51">
            <v>22.53</v>
          </cell>
          <cell r="X51"/>
        </row>
        <row r="52">
          <cell r="O52">
            <v>18.729999999999997</v>
          </cell>
          <cell r="X52"/>
        </row>
        <row r="53">
          <cell r="O53">
            <v>2.4</v>
          </cell>
          <cell r="X53"/>
        </row>
        <row r="54">
          <cell r="O54">
            <v>8.01</v>
          </cell>
          <cell r="X54"/>
        </row>
        <row r="55">
          <cell r="O55">
            <v>29.139999999999993</v>
          </cell>
          <cell r="X55"/>
        </row>
        <row r="56">
          <cell r="O56">
            <v>1.77</v>
          </cell>
          <cell r="X56"/>
        </row>
        <row r="57">
          <cell r="O57">
            <v>3.37</v>
          </cell>
          <cell r="X57"/>
        </row>
        <row r="58">
          <cell r="O58">
            <v>4.8</v>
          </cell>
          <cell r="X58"/>
        </row>
        <row r="59">
          <cell r="O59">
            <v>3.37</v>
          </cell>
          <cell r="X59"/>
        </row>
        <row r="60">
          <cell r="O60">
            <v>10.18</v>
          </cell>
          <cell r="X60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8"/>
  <sheetViews>
    <sheetView view="pageBreakPreview" zoomScale="115" zoomScaleNormal="100" zoomScaleSheetLayoutView="115" workbookViewId="0">
      <pane xSplit="9" ySplit="4" topLeftCell="J5" activePane="bottomRight" state="frozen"/>
      <selection activeCell="H28" sqref="H28"/>
      <selection pane="topRight" activeCell="H28" sqref="H28"/>
      <selection pane="bottomLeft" activeCell="H28" sqref="H28"/>
      <selection pane="bottomRight" activeCell="F22" sqref="F22:I22"/>
    </sheetView>
  </sheetViews>
  <sheetFormatPr defaultRowHeight="12.75" x14ac:dyDescent="0.2"/>
  <cols>
    <col min="1" max="1" width="5.7109375" style="15" customWidth="1"/>
    <col min="2" max="2" width="12.42578125" style="1" customWidth="1"/>
    <col min="3" max="3" width="12.42578125" style="28" customWidth="1"/>
    <col min="4" max="4" width="28.5703125" style="9" customWidth="1"/>
    <col min="5" max="5" width="7" style="12" customWidth="1"/>
    <col min="6" max="6" width="14.42578125" style="12" customWidth="1"/>
    <col min="7" max="7" width="13.28515625" style="12" customWidth="1"/>
    <col min="8" max="8" width="13" style="12" customWidth="1"/>
    <col min="9" max="9" width="12.42578125" style="12" customWidth="1"/>
    <col min="10" max="10" width="18" customWidth="1"/>
    <col min="11" max="11" width="10.5703125" bestFit="1" customWidth="1"/>
    <col min="12" max="12" width="10.28515625" bestFit="1" customWidth="1"/>
  </cols>
  <sheetData>
    <row r="1" spans="1:9" s="3" customFormat="1" ht="35.25" customHeight="1" x14ac:dyDescent="0.2">
      <c r="A1" s="104" t="s">
        <v>18</v>
      </c>
      <c r="B1" s="104"/>
      <c r="C1" s="104"/>
      <c r="D1" s="104"/>
      <c r="E1" s="104"/>
      <c r="F1" s="104"/>
      <c r="G1" s="104"/>
      <c r="H1" s="104"/>
      <c r="I1" s="104"/>
    </row>
    <row r="2" spans="1:9" ht="21.75" x14ac:dyDescent="0.2">
      <c r="A2" s="105" t="s">
        <v>65</v>
      </c>
      <c r="B2" s="105"/>
      <c r="C2" s="105"/>
      <c r="D2" s="105"/>
      <c r="E2" s="105"/>
      <c r="F2" s="105"/>
      <c r="G2" s="105"/>
      <c r="H2" s="105"/>
      <c r="I2" s="105"/>
    </row>
    <row r="3" spans="1:9" s="20" customFormat="1" ht="19.5" x14ac:dyDescent="0.55000000000000004">
      <c r="A3" s="16" t="s">
        <v>1</v>
      </c>
      <c r="B3" s="10" t="s">
        <v>2</v>
      </c>
      <c r="C3" s="17" t="s">
        <v>3</v>
      </c>
      <c r="D3" s="18" t="s">
        <v>4</v>
      </c>
      <c r="E3" s="19" t="s">
        <v>5</v>
      </c>
      <c r="F3" s="19" t="s">
        <v>6</v>
      </c>
      <c r="G3" s="19" t="s">
        <v>16</v>
      </c>
      <c r="H3" s="19" t="s">
        <v>17</v>
      </c>
      <c r="I3" s="19" t="s">
        <v>7</v>
      </c>
    </row>
    <row r="4" spans="1:9" s="39" customFormat="1" ht="36" x14ac:dyDescent="0.2">
      <c r="A4" s="32" t="s">
        <v>8</v>
      </c>
      <c r="B4" s="33" t="s">
        <v>9</v>
      </c>
      <c r="C4" s="34" t="s">
        <v>10</v>
      </c>
      <c r="D4" s="33" t="s">
        <v>11</v>
      </c>
      <c r="E4" s="33" t="s">
        <v>0</v>
      </c>
      <c r="F4" s="33" t="s">
        <v>12</v>
      </c>
      <c r="G4" s="33" t="s">
        <v>13</v>
      </c>
      <c r="H4" s="33" t="s">
        <v>15</v>
      </c>
      <c r="I4" s="33" t="s">
        <v>14</v>
      </c>
    </row>
    <row r="5" spans="1:9" s="2" customFormat="1" ht="12" customHeight="1" x14ac:dyDescent="0.2">
      <c r="A5" s="29">
        <v>1</v>
      </c>
      <c r="B5" s="40" t="s">
        <v>25</v>
      </c>
      <c r="C5" s="56">
        <v>46050</v>
      </c>
      <c r="D5" s="31" t="s">
        <v>23</v>
      </c>
      <c r="E5" s="36">
        <f>I5/F5</f>
        <v>1</v>
      </c>
      <c r="F5" s="30">
        <v>17262</v>
      </c>
      <c r="G5" s="30">
        <v>6298.9</v>
      </c>
      <c r="H5" s="30">
        <v>6379</v>
      </c>
      <c r="I5" s="36">
        <v>17262</v>
      </c>
    </row>
    <row r="6" spans="1:9" s="2" customFormat="1" ht="12" customHeight="1" x14ac:dyDescent="0.2">
      <c r="A6" s="29">
        <v>2</v>
      </c>
      <c r="B6" s="40" t="s">
        <v>25</v>
      </c>
      <c r="C6" s="56">
        <v>46050</v>
      </c>
      <c r="D6" s="31" t="s">
        <v>22</v>
      </c>
      <c r="E6" s="36">
        <f>I6/F6</f>
        <v>1.8</v>
      </c>
      <c r="F6" s="30">
        <v>50625.4</v>
      </c>
      <c r="G6" s="30">
        <v>12927.4</v>
      </c>
      <c r="H6" s="30">
        <v>13172.5</v>
      </c>
      <c r="I6" s="36">
        <v>91125.72</v>
      </c>
    </row>
    <row r="7" spans="1:9" s="2" customFormat="1" ht="12" customHeight="1" x14ac:dyDescent="0.2">
      <c r="A7" s="29">
        <v>3</v>
      </c>
      <c r="B7" s="40" t="s">
        <v>25</v>
      </c>
      <c r="C7" s="56">
        <v>46050</v>
      </c>
      <c r="D7" s="31" t="s">
        <v>26</v>
      </c>
      <c r="E7" s="36">
        <f t="shared" ref="E7:E17" si="0">I7/F7</f>
        <v>1</v>
      </c>
      <c r="F7" s="30">
        <v>380</v>
      </c>
      <c r="G7" s="30">
        <v>375.4</v>
      </c>
      <c r="H7" s="30">
        <v>402.6</v>
      </c>
      <c r="I7" s="36">
        <v>380</v>
      </c>
    </row>
    <row r="8" spans="1:9" s="2" customFormat="1" ht="12" customHeight="1" x14ac:dyDescent="0.2">
      <c r="A8" s="29">
        <v>4</v>
      </c>
      <c r="B8" s="40" t="s">
        <v>27</v>
      </c>
      <c r="C8" s="56">
        <v>46052</v>
      </c>
      <c r="D8" s="31" t="s">
        <v>22</v>
      </c>
      <c r="E8" s="36">
        <f t="shared" si="0"/>
        <v>1.7999999999999998</v>
      </c>
      <c r="F8" s="30">
        <v>28887.4</v>
      </c>
      <c r="G8" s="30">
        <v>7934.8</v>
      </c>
      <c r="H8" s="30">
        <v>8022.1</v>
      </c>
      <c r="I8" s="36">
        <v>51997.32</v>
      </c>
    </row>
    <row r="9" spans="1:9" s="2" customFormat="1" ht="12" customHeight="1" x14ac:dyDescent="0.2">
      <c r="A9" s="29">
        <v>5</v>
      </c>
      <c r="B9" s="40" t="s">
        <v>28</v>
      </c>
      <c r="C9" s="56">
        <v>46062</v>
      </c>
      <c r="D9" s="31" t="s">
        <v>23</v>
      </c>
      <c r="E9" s="36">
        <f t="shared" si="0"/>
        <v>1</v>
      </c>
      <c r="F9" s="30">
        <v>41469.800000000003</v>
      </c>
      <c r="G9" s="30">
        <v>19220.900000000001</v>
      </c>
      <c r="H9" s="30">
        <v>19367.3</v>
      </c>
      <c r="I9" s="36">
        <v>41469.800000000003</v>
      </c>
    </row>
    <row r="10" spans="1:9" s="2" customFormat="1" ht="12" customHeight="1" x14ac:dyDescent="0.2">
      <c r="A10" s="29">
        <v>6</v>
      </c>
      <c r="B10" s="40" t="s">
        <v>28</v>
      </c>
      <c r="C10" s="56">
        <v>46062</v>
      </c>
      <c r="D10" s="31" t="s">
        <v>24</v>
      </c>
      <c r="E10" s="36">
        <f t="shared" si="0"/>
        <v>0.02</v>
      </c>
      <c r="F10" s="30">
        <v>2977</v>
      </c>
      <c r="G10" s="30">
        <v>94.3</v>
      </c>
      <c r="H10" s="30">
        <v>99.8</v>
      </c>
      <c r="I10" s="36">
        <v>59.54</v>
      </c>
    </row>
    <row r="11" spans="1:9" s="2" customFormat="1" ht="12" customHeight="1" x14ac:dyDescent="0.2">
      <c r="A11" s="29">
        <v>7</v>
      </c>
      <c r="B11" s="40" t="s">
        <v>29</v>
      </c>
      <c r="C11" s="56">
        <v>46076</v>
      </c>
      <c r="D11" s="31" t="s">
        <v>23</v>
      </c>
      <c r="E11" s="36">
        <f t="shared" si="0"/>
        <v>1</v>
      </c>
      <c r="F11" s="30">
        <v>39717.9</v>
      </c>
      <c r="G11" s="30">
        <v>23936</v>
      </c>
      <c r="H11" s="30">
        <v>24105</v>
      </c>
      <c r="I11" s="36">
        <v>39717.9</v>
      </c>
    </row>
    <row r="12" spans="1:9" s="2" customFormat="1" ht="12" customHeight="1" x14ac:dyDescent="0.2">
      <c r="A12" s="29">
        <v>8</v>
      </c>
      <c r="B12" s="40" t="s">
        <v>30</v>
      </c>
      <c r="C12" s="56">
        <v>46083</v>
      </c>
      <c r="D12" s="31" t="s">
        <v>23</v>
      </c>
      <c r="E12" s="36">
        <f t="shared" si="0"/>
        <v>1</v>
      </c>
      <c r="F12" s="30">
        <v>29217.8</v>
      </c>
      <c r="G12" s="30">
        <v>8594.9</v>
      </c>
      <c r="H12" s="30">
        <v>86999.9</v>
      </c>
      <c r="I12" s="36">
        <v>29217.8</v>
      </c>
    </row>
    <row r="13" spans="1:9" s="2" customFormat="1" ht="12" customHeight="1" x14ac:dyDescent="0.2">
      <c r="A13" s="29">
        <v>9</v>
      </c>
      <c r="B13" s="40" t="s">
        <v>30</v>
      </c>
      <c r="C13" s="56">
        <v>46083</v>
      </c>
      <c r="D13" s="31" t="s">
        <v>22</v>
      </c>
      <c r="E13" s="36">
        <f t="shared" si="0"/>
        <v>1.8</v>
      </c>
      <c r="F13" s="30">
        <v>282.5</v>
      </c>
      <c r="G13" s="30">
        <v>97.9</v>
      </c>
      <c r="H13" s="30">
        <v>99.1</v>
      </c>
      <c r="I13" s="36">
        <v>508.5</v>
      </c>
    </row>
    <row r="14" spans="1:9" s="2" customFormat="1" ht="12" customHeight="1" x14ac:dyDescent="0.2">
      <c r="A14" s="29">
        <v>10</v>
      </c>
      <c r="B14" s="40" t="s">
        <v>30</v>
      </c>
      <c r="C14" s="56">
        <v>46083</v>
      </c>
      <c r="D14" s="31" t="s">
        <v>24</v>
      </c>
      <c r="E14" s="36">
        <f t="shared" si="0"/>
        <v>0.02</v>
      </c>
      <c r="F14" s="30">
        <v>4013</v>
      </c>
      <c r="G14" s="30">
        <v>110.4</v>
      </c>
      <c r="H14" s="30">
        <v>114.4</v>
      </c>
      <c r="I14" s="36">
        <v>80.260000000000005</v>
      </c>
    </row>
    <row r="15" spans="1:9" s="2" customFormat="1" ht="12" customHeight="1" x14ac:dyDescent="0.2">
      <c r="A15" s="29">
        <v>11</v>
      </c>
      <c r="B15" s="40" t="s">
        <v>30</v>
      </c>
      <c r="C15" s="56">
        <v>46083</v>
      </c>
      <c r="D15" s="31" t="s">
        <v>26</v>
      </c>
      <c r="E15" s="36">
        <f t="shared" si="0"/>
        <v>1</v>
      </c>
      <c r="F15" s="30">
        <v>234</v>
      </c>
      <c r="G15" s="30">
        <v>161.1</v>
      </c>
      <c r="H15" s="30">
        <v>173.4</v>
      </c>
      <c r="I15" s="36">
        <v>234</v>
      </c>
    </row>
    <row r="16" spans="1:9" s="2" customFormat="1" ht="12" customHeight="1" x14ac:dyDescent="0.2">
      <c r="A16" s="29">
        <v>12</v>
      </c>
      <c r="B16" s="40" t="s">
        <v>31</v>
      </c>
      <c r="C16" s="56">
        <v>46083</v>
      </c>
      <c r="D16" s="31" t="s">
        <v>22</v>
      </c>
      <c r="E16" s="36">
        <f t="shared" si="0"/>
        <v>1.7999999999999998</v>
      </c>
      <c r="F16" s="30">
        <v>13511.9</v>
      </c>
      <c r="G16" s="30">
        <v>2147.8000000000002</v>
      </c>
      <c r="H16" s="30">
        <v>2198.6999999999998</v>
      </c>
      <c r="I16" s="36">
        <v>24321.42</v>
      </c>
    </row>
    <row r="17" spans="1:11" s="2" customFormat="1" ht="12" customHeight="1" x14ac:dyDescent="0.2">
      <c r="A17" s="29">
        <v>13</v>
      </c>
      <c r="B17" s="40" t="s">
        <v>31</v>
      </c>
      <c r="C17" s="56">
        <v>46083</v>
      </c>
      <c r="D17" s="31" t="s">
        <v>23</v>
      </c>
      <c r="E17" s="36">
        <f t="shared" si="0"/>
        <v>1</v>
      </c>
      <c r="F17" s="30">
        <v>57310.9</v>
      </c>
      <c r="G17" s="30">
        <v>18189.7</v>
      </c>
      <c r="H17" s="30">
        <v>18406.599999999999</v>
      </c>
      <c r="I17" s="36">
        <v>57310.9</v>
      </c>
    </row>
    <row r="18" spans="1:11" s="2" customFormat="1" ht="12" customHeight="1" x14ac:dyDescent="0.2">
      <c r="A18" s="29">
        <v>14</v>
      </c>
      <c r="B18" s="40" t="s">
        <v>32</v>
      </c>
      <c r="C18" s="56">
        <v>46111</v>
      </c>
      <c r="D18" s="31" t="s">
        <v>23</v>
      </c>
      <c r="E18" s="36">
        <f>I18/F18</f>
        <v>1</v>
      </c>
      <c r="F18" s="30">
        <v>51525.8</v>
      </c>
      <c r="G18" s="30">
        <v>19277.7</v>
      </c>
      <c r="H18" s="30">
        <v>19489.8</v>
      </c>
      <c r="I18" s="36">
        <v>51525.8</v>
      </c>
    </row>
    <row r="19" spans="1:11" s="2" customFormat="1" ht="12" customHeight="1" x14ac:dyDescent="0.2">
      <c r="A19" s="29"/>
      <c r="B19" s="40"/>
      <c r="C19" s="41"/>
      <c r="D19" s="31"/>
      <c r="E19" s="36"/>
      <c r="F19" s="30"/>
      <c r="G19" s="30"/>
      <c r="H19" s="30"/>
      <c r="I19" s="36"/>
    </row>
    <row r="20" spans="1:11" s="2" customFormat="1" ht="14.25" customHeight="1" x14ac:dyDescent="0.2">
      <c r="A20" s="101" t="s">
        <v>33</v>
      </c>
      <c r="B20" s="102"/>
      <c r="C20" s="102"/>
      <c r="D20" s="103"/>
      <c r="E20" s="21"/>
      <c r="F20" s="37">
        <f>SUBTOTAL(9,F5:F19)</f>
        <v>337415.39999999997</v>
      </c>
      <c r="G20" s="37">
        <f>SUBTOTAL(9,G5:G19)</f>
        <v>119367.2</v>
      </c>
      <c r="H20" s="37">
        <f>SUBTOTAL(9,H5:H19)</f>
        <v>199030.2</v>
      </c>
      <c r="I20" s="37">
        <f>SUBTOTAL(9,I5:I19)</f>
        <v>405210.96</v>
      </c>
      <c r="J20" s="35"/>
      <c r="K20" s="23"/>
    </row>
    <row r="21" spans="1:11" s="7" customFormat="1" ht="25.5" x14ac:dyDescent="0.2">
      <c r="A21" s="13"/>
      <c r="B21" s="24"/>
      <c r="C21" s="25"/>
      <c r="D21" s="8"/>
      <c r="E21" s="86"/>
      <c r="F21" s="86"/>
      <c r="G21" s="86"/>
      <c r="H21" s="86"/>
      <c r="I21" s="86"/>
    </row>
    <row r="22" spans="1:11" s="7" customFormat="1" ht="25.5" x14ac:dyDescent="0.2">
      <c r="A22" s="13"/>
      <c r="B22" s="24"/>
      <c r="C22" s="25"/>
      <c r="D22" s="8"/>
      <c r="E22" s="6"/>
      <c r="F22" s="85" t="s">
        <v>66</v>
      </c>
      <c r="G22" s="85"/>
      <c r="H22" s="85"/>
      <c r="I22" s="85"/>
    </row>
    <row r="23" spans="1:11" s="7" customFormat="1" ht="25.5" x14ac:dyDescent="0.2">
      <c r="A23" s="13"/>
      <c r="B23" s="24"/>
      <c r="C23" s="25"/>
      <c r="D23" s="8"/>
      <c r="E23" s="6"/>
      <c r="F23" s="85" t="s">
        <v>20</v>
      </c>
      <c r="G23" s="85"/>
      <c r="H23" s="85"/>
      <c r="I23" s="85"/>
    </row>
    <row r="24" spans="1:11" s="7" customFormat="1" x14ac:dyDescent="0.2">
      <c r="A24" s="13"/>
      <c r="B24" s="24"/>
      <c r="C24" s="25"/>
      <c r="D24" s="8"/>
      <c r="E24" s="11"/>
      <c r="F24" s="11"/>
      <c r="G24" s="11"/>
      <c r="H24" s="11"/>
      <c r="I24" s="11"/>
    </row>
    <row r="25" spans="1:11" s="7" customFormat="1" x14ac:dyDescent="0.2">
      <c r="A25" s="13"/>
      <c r="B25" s="24"/>
      <c r="C25" s="25"/>
      <c r="D25" s="8"/>
      <c r="E25" s="11"/>
      <c r="F25" s="11"/>
      <c r="G25" s="11"/>
      <c r="H25" s="11"/>
      <c r="I25" s="11"/>
    </row>
    <row r="26" spans="1:11" s="7" customFormat="1" x14ac:dyDescent="0.2">
      <c r="A26" s="13"/>
      <c r="B26" s="24"/>
      <c r="C26" s="25"/>
      <c r="D26" s="8"/>
      <c r="E26" s="11"/>
      <c r="F26" s="11"/>
      <c r="G26" s="11"/>
      <c r="H26" s="11"/>
      <c r="I26" s="11"/>
    </row>
    <row r="27" spans="1:11" s="7" customFormat="1" x14ac:dyDescent="0.2">
      <c r="A27" s="13"/>
      <c r="B27" s="24"/>
      <c r="C27" s="25"/>
      <c r="D27" s="8"/>
      <c r="E27" s="11"/>
      <c r="F27" s="11"/>
      <c r="G27" s="11"/>
      <c r="H27" s="11"/>
      <c r="I27" s="11"/>
    </row>
    <row r="28" spans="1:11" s="7" customFormat="1" x14ac:dyDescent="0.2">
      <c r="A28" s="13"/>
      <c r="B28" s="24"/>
      <c r="C28" s="25"/>
      <c r="D28" s="8"/>
      <c r="E28" s="11"/>
      <c r="F28" s="11"/>
      <c r="G28" s="11"/>
      <c r="H28" s="11"/>
      <c r="I28" s="11"/>
    </row>
    <row r="29" spans="1:11" s="7" customFormat="1" x14ac:dyDescent="0.2">
      <c r="A29" s="13"/>
      <c r="B29" s="24"/>
      <c r="C29" s="25"/>
      <c r="D29" s="8"/>
      <c r="E29" s="11"/>
      <c r="F29" s="11"/>
      <c r="H29" s="11"/>
      <c r="I29" s="11"/>
    </row>
    <row r="30" spans="1:11" s="7" customFormat="1" x14ac:dyDescent="0.2">
      <c r="A30" s="13"/>
      <c r="B30" s="24"/>
      <c r="C30" s="25"/>
      <c r="D30" s="8"/>
      <c r="E30" s="11"/>
      <c r="F30" s="11"/>
      <c r="G30" s="100" t="s">
        <v>64</v>
      </c>
      <c r="H30" s="100"/>
      <c r="I30" s="11"/>
    </row>
    <row r="31" spans="1:11" s="7" customFormat="1" x14ac:dyDescent="0.2">
      <c r="A31" s="13"/>
      <c r="B31" s="24"/>
      <c r="C31" s="25"/>
      <c r="D31" s="8"/>
      <c r="E31" s="11"/>
      <c r="F31" s="11"/>
      <c r="G31" s="11"/>
      <c r="H31" s="11"/>
      <c r="I31" s="11"/>
    </row>
    <row r="32" spans="1:11" s="7" customFormat="1" x14ac:dyDescent="0.2">
      <c r="A32" s="13"/>
      <c r="B32" s="24"/>
      <c r="C32" s="25"/>
      <c r="D32" s="8"/>
      <c r="E32" s="11"/>
      <c r="F32" s="11"/>
      <c r="G32" s="11"/>
      <c r="H32" s="11"/>
      <c r="I32" s="11"/>
    </row>
    <row r="33" spans="1:9" s="7" customFormat="1" x14ac:dyDescent="0.2">
      <c r="A33" s="13"/>
      <c r="B33" s="24"/>
      <c r="C33" s="25"/>
      <c r="D33" s="8"/>
      <c r="E33" s="11"/>
      <c r="F33" s="11"/>
      <c r="G33" s="11"/>
      <c r="H33" s="11"/>
      <c r="I33" s="11"/>
    </row>
    <row r="34" spans="1:9" s="7" customFormat="1" x14ac:dyDescent="0.2">
      <c r="A34" s="13"/>
      <c r="B34" s="24"/>
      <c r="C34" s="25"/>
      <c r="D34" s="8"/>
      <c r="E34" s="11"/>
      <c r="F34" s="11"/>
      <c r="G34" s="11"/>
      <c r="H34" s="11"/>
      <c r="I34" s="11"/>
    </row>
    <row r="35" spans="1:9" s="7" customFormat="1" x14ac:dyDescent="0.2">
      <c r="A35" s="13"/>
      <c r="B35" s="24"/>
      <c r="C35" s="25"/>
      <c r="D35" s="8"/>
      <c r="E35" s="11"/>
      <c r="F35" s="11"/>
      <c r="G35" s="11"/>
      <c r="H35" s="11"/>
      <c r="I35" s="11"/>
    </row>
    <row r="36" spans="1:9" s="7" customFormat="1" x14ac:dyDescent="0.2">
      <c r="A36" s="13"/>
      <c r="B36" s="24"/>
      <c r="C36" s="25"/>
      <c r="D36" s="8"/>
      <c r="E36" s="11"/>
      <c r="F36" s="11"/>
      <c r="G36" s="11"/>
      <c r="H36" s="11"/>
      <c r="I36" s="11"/>
    </row>
    <row r="37" spans="1:9" s="7" customFormat="1" x14ac:dyDescent="0.2">
      <c r="A37" s="13"/>
      <c r="B37" s="24"/>
      <c r="C37" s="25"/>
      <c r="D37" s="8"/>
      <c r="E37" s="11"/>
      <c r="F37" s="11"/>
      <c r="G37" s="11"/>
      <c r="H37" s="11"/>
      <c r="I37" s="11"/>
    </row>
    <row r="38" spans="1:9" s="7" customFormat="1" x14ac:dyDescent="0.2">
      <c r="A38" s="13"/>
      <c r="B38" s="24"/>
      <c r="C38" s="25"/>
      <c r="D38" s="8"/>
      <c r="E38" s="11"/>
      <c r="F38" s="11"/>
      <c r="G38" s="11"/>
      <c r="H38" s="11"/>
      <c r="I38" s="11"/>
    </row>
    <row r="39" spans="1:9" s="7" customFormat="1" x14ac:dyDescent="0.2">
      <c r="A39" s="13"/>
      <c r="B39" s="24"/>
      <c r="C39" s="25"/>
      <c r="D39" s="8"/>
      <c r="E39" s="11"/>
      <c r="F39" s="11"/>
      <c r="G39" s="11"/>
      <c r="H39" s="11"/>
      <c r="I39" s="11"/>
    </row>
    <row r="40" spans="1:9" s="7" customFormat="1" x14ac:dyDescent="0.2">
      <c r="A40" s="13"/>
      <c r="B40" s="24"/>
      <c r="C40" s="25"/>
      <c r="D40" s="8"/>
      <c r="E40" s="11"/>
      <c r="F40" s="11"/>
      <c r="G40" s="11"/>
      <c r="H40" s="11"/>
      <c r="I40" s="11"/>
    </row>
    <row r="41" spans="1:9" s="7" customFormat="1" x14ac:dyDescent="0.2">
      <c r="A41" s="13"/>
      <c r="B41" s="24"/>
      <c r="C41" s="25"/>
      <c r="D41" s="8"/>
      <c r="E41" s="11"/>
      <c r="F41" s="11"/>
      <c r="G41" s="11"/>
      <c r="H41" s="11"/>
      <c r="I41" s="11"/>
    </row>
    <row r="42" spans="1:9" s="7" customFormat="1" x14ac:dyDescent="0.2">
      <c r="A42" s="13"/>
      <c r="B42" s="24"/>
      <c r="C42" s="25"/>
      <c r="D42" s="8"/>
      <c r="E42" s="11"/>
      <c r="F42" s="11"/>
      <c r="G42" s="11"/>
      <c r="H42" s="11"/>
      <c r="I42" s="11"/>
    </row>
    <row r="43" spans="1:9" s="7" customFormat="1" x14ac:dyDescent="0.2">
      <c r="A43" s="13"/>
      <c r="B43" s="24"/>
      <c r="C43" s="25"/>
      <c r="D43" s="8"/>
      <c r="E43" s="11"/>
      <c r="F43" s="11"/>
      <c r="G43" s="11"/>
      <c r="H43" s="11"/>
      <c r="I43" s="11"/>
    </row>
    <row r="44" spans="1:9" s="7" customFormat="1" x14ac:dyDescent="0.2">
      <c r="A44" s="13"/>
      <c r="B44" s="24"/>
      <c r="C44" s="25"/>
      <c r="D44" s="8"/>
      <c r="E44" s="11"/>
      <c r="F44" s="11"/>
      <c r="G44" s="11"/>
      <c r="H44" s="11"/>
      <c r="I44" s="11"/>
    </row>
    <row r="45" spans="1:9" s="7" customFormat="1" x14ac:dyDescent="0.2">
      <c r="A45" s="13"/>
      <c r="B45" s="24"/>
      <c r="C45" s="25"/>
      <c r="D45" s="8"/>
      <c r="E45" s="11"/>
      <c r="F45" s="11"/>
      <c r="G45" s="11"/>
      <c r="H45" s="11"/>
      <c r="I45" s="11"/>
    </row>
    <row r="46" spans="1:9" s="7" customFormat="1" x14ac:dyDescent="0.2">
      <c r="A46" s="13"/>
      <c r="B46" s="24"/>
      <c r="C46" s="25"/>
      <c r="D46" s="8"/>
      <c r="E46" s="11"/>
      <c r="F46" s="11"/>
      <c r="G46" s="11"/>
      <c r="H46" s="11"/>
      <c r="I46" s="11"/>
    </row>
    <row r="47" spans="1:9" s="7" customFormat="1" x14ac:dyDescent="0.2">
      <c r="A47" s="13"/>
      <c r="B47" s="24"/>
      <c r="C47" s="25"/>
      <c r="D47" s="8"/>
      <c r="E47" s="11"/>
      <c r="F47" s="11"/>
      <c r="G47" s="11"/>
      <c r="H47" s="11"/>
      <c r="I47" s="11"/>
    </row>
    <row r="48" spans="1:9" s="7" customFormat="1" x14ac:dyDescent="0.2">
      <c r="A48" s="13"/>
      <c r="B48" s="24"/>
      <c r="C48" s="25"/>
      <c r="D48" s="8"/>
      <c r="E48" s="11"/>
      <c r="F48" s="11"/>
      <c r="G48" s="11"/>
      <c r="H48" s="11"/>
      <c r="I48" s="11"/>
    </row>
    <row r="49" spans="1:9" s="7" customFormat="1" x14ac:dyDescent="0.2">
      <c r="A49" s="13"/>
      <c r="B49" s="24"/>
      <c r="C49" s="25"/>
      <c r="D49" s="8"/>
      <c r="E49" s="11"/>
      <c r="F49" s="11"/>
      <c r="G49" s="11"/>
      <c r="H49" s="11"/>
      <c r="I49" s="11"/>
    </row>
    <row r="50" spans="1:9" s="7" customFormat="1" x14ac:dyDescent="0.2">
      <c r="A50" s="13"/>
      <c r="B50" s="24"/>
      <c r="C50" s="25"/>
      <c r="D50" s="8"/>
      <c r="E50" s="11"/>
      <c r="F50" s="11"/>
      <c r="G50" s="11"/>
      <c r="H50" s="11"/>
      <c r="I50" s="11"/>
    </row>
    <row r="51" spans="1:9" s="7" customFormat="1" x14ac:dyDescent="0.2">
      <c r="A51" s="13"/>
      <c r="B51" s="24"/>
      <c r="C51" s="25"/>
      <c r="D51" s="8"/>
      <c r="E51" s="11"/>
      <c r="F51" s="11"/>
      <c r="G51" s="11"/>
      <c r="H51" s="11"/>
      <c r="I51" s="11"/>
    </row>
    <row r="52" spans="1:9" s="7" customFormat="1" x14ac:dyDescent="0.2">
      <c r="A52" s="13"/>
      <c r="B52" s="24"/>
      <c r="C52" s="25"/>
      <c r="D52" s="8"/>
      <c r="E52" s="11"/>
      <c r="F52" s="11"/>
      <c r="G52" s="11"/>
      <c r="H52" s="11"/>
      <c r="I52" s="11"/>
    </row>
    <row r="53" spans="1:9" s="7" customFormat="1" x14ac:dyDescent="0.2">
      <c r="A53" s="13"/>
      <c r="B53" s="24"/>
      <c r="C53" s="25"/>
      <c r="D53" s="8"/>
      <c r="E53" s="11"/>
      <c r="F53" s="11"/>
      <c r="G53" s="11"/>
      <c r="H53" s="11"/>
      <c r="I53" s="11"/>
    </row>
    <row r="54" spans="1:9" s="7" customFormat="1" x14ac:dyDescent="0.2">
      <c r="A54" s="13"/>
      <c r="B54" s="24"/>
      <c r="C54" s="25"/>
      <c r="D54" s="8"/>
      <c r="E54" s="11"/>
      <c r="F54" s="11"/>
      <c r="G54" s="11"/>
      <c r="H54" s="11"/>
      <c r="I54" s="11"/>
    </row>
    <row r="55" spans="1:9" s="7" customFormat="1" x14ac:dyDescent="0.2">
      <c r="A55" s="13"/>
      <c r="B55" s="24"/>
      <c r="C55" s="25"/>
      <c r="D55" s="8"/>
      <c r="E55" s="11"/>
      <c r="F55" s="11"/>
      <c r="G55" s="11"/>
      <c r="H55" s="11"/>
      <c r="I55" s="11"/>
    </row>
    <row r="56" spans="1:9" s="7" customFormat="1" x14ac:dyDescent="0.2">
      <c r="A56" s="13"/>
      <c r="B56" s="24"/>
      <c r="C56" s="25"/>
      <c r="D56" s="8"/>
      <c r="E56" s="11"/>
      <c r="F56" s="11"/>
      <c r="G56" s="11"/>
      <c r="H56" s="11"/>
      <c r="I56" s="11"/>
    </row>
    <row r="57" spans="1:9" s="7" customFormat="1" x14ac:dyDescent="0.2">
      <c r="A57" s="13"/>
      <c r="B57" s="24"/>
      <c r="C57" s="25"/>
      <c r="D57" s="8"/>
      <c r="E57" s="11"/>
      <c r="F57" s="11"/>
      <c r="G57" s="11"/>
      <c r="H57" s="11"/>
      <c r="I57" s="11"/>
    </row>
    <row r="58" spans="1:9" s="7" customFormat="1" x14ac:dyDescent="0.2">
      <c r="A58" s="13"/>
      <c r="B58" s="24"/>
      <c r="C58" s="25"/>
      <c r="D58" s="8"/>
      <c r="E58" s="11"/>
      <c r="F58" s="11"/>
      <c r="G58" s="11"/>
      <c r="H58" s="11"/>
      <c r="I58" s="11"/>
    </row>
    <row r="59" spans="1:9" s="7" customFormat="1" x14ac:dyDescent="0.2">
      <c r="A59" s="13"/>
      <c r="B59" s="24"/>
      <c r="C59" s="25"/>
      <c r="D59" s="8"/>
      <c r="E59" s="11"/>
      <c r="F59" s="11"/>
      <c r="G59" s="11"/>
      <c r="H59" s="11"/>
      <c r="I59" s="11"/>
    </row>
    <row r="60" spans="1:9" s="7" customFormat="1" x14ac:dyDescent="0.2">
      <c r="A60" s="13"/>
      <c r="B60" s="24"/>
      <c r="C60" s="25"/>
      <c r="D60" s="8"/>
      <c r="E60" s="11"/>
      <c r="F60" s="11"/>
      <c r="G60" s="11"/>
      <c r="H60" s="11"/>
      <c r="I60" s="11"/>
    </row>
    <row r="61" spans="1:9" s="7" customFormat="1" x14ac:dyDescent="0.2">
      <c r="A61" s="13"/>
      <c r="B61" s="24"/>
      <c r="C61" s="25"/>
      <c r="D61" s="8"/>
      <c r="E61" s="11"/>
      <c r="F61" s="11"/>
      <c r="G61" s="11"/>
      <c r="H61" s="11"/>
      <c r="I61" s="11"/>
    </row>
    <row r="62" spans="1:9" s="7" customFormat="1" x14ac:dyDescent="0.2">
      <c r="A62" s="13"/>
      <c r="B62" s="24"/>
      <c r="C62" s="25"/>
      <c r="D62" s="8"/>
      <c r="E62" s="11"/>
      <c r="F62" s="11"/>
      <c r="G62" s="11"/>
      <c r="H62" s="11"/>
      <c r="I62" s="11"/>
    </row>
    <row r="63" spans="1:9" s="7" customFormat="1" x14ac:dyDescent="0.2">
      <c r="A63" s="13"/>
      <c r="B63" s="24"/>
      <c r="C63" s="25"/>
      <c r="D63" s="8"/>
      <c r="E63" s="11"/>
      <c r="F63" s="11"/>
      <c r="G63" s="11"/>
      <c r="H63" s="11"/>
      <c r="I63" s="11"/>
    </row>
    <row r="64" spans="1:9" s="7" customFormat="1" x14ac:dyDescent="0.2">
      <c r="A64" s="13"/>
      <c r="B64" s="24"/>
      <c r="C64" s="25"/>
      <c r="D64" s="8"/>
      <c r="E64" s="11"/>
      <c r="F64" s="11"/>
      <c r="G64" s="11"/>
      <c r="H64" s="11"/>
      <c r="I64" s="11"/>
    </row>
    <row r="65" spans="1:9" s="7" customFormat="1" x14ac:dyDescent="0.2">
      <c r="A65" s="13"/>
      <c r="B65" s="24"/>
      <c r="C65" s="25"/>
      <c r="D65" s="8"/>
      <c r="E65" s="11"/>
      <c r="F65" s="11"/>
      <c r="G65" s="11"/>
      <c r="H65" s="11"/>
      <c r="I65" s="11"/>
    </row>
    <row r="66" spans="1:9" s="7" customFormat="1" x14ac:dyDescent="0.2">
      <c r="A66" s="13"/>
      <c r="B66" s="24"/>
      <c r="C66" s="25"/>
      <c r="D66" s="8"/>
      <c r="E66" s="11"/>
      <c r="F66" s="11"/>
      <c r="G66" s="11"/>
      <c r="H66" s="11"/>
      <c r="I66" s="11"/>
    </row>
    <row r="67" spans="1:9" s="7" customFormat="1" x14ac:dyDescent="0.2">
      <c r="A67" s="13"/>
      <c r="B67" s="24"/>
      <c r="C67" s="25"/>
      <c r="D67" s="8"/>
      <c r="E67" s="11"/>
      <c r="F67" s="11"/>
      <c r="G67" s="11"/>
      <c r="H67" s="11"/>
      <c r="I67" s="11"/>
    </row>
    <row r="68" spans="1:9" s="7" customFormat="1" x14ac:dyDescent="0.2">
      <c r="A68" s="13"/>
      <c r="B68" s="24"/>
      <c r="C68" s="25"/>
      <c r="D68" s="8"/>
      <c r="E68" s="11"/>
      <c r="F68" s="11"/>
      <c r="G68" s="11"/>
      <c r="H68" s="11"/>
      <c r="I68" s="11"/>
    </row>
    <row r="69" spans="1:9" s="7" customFormat="1" x14ac:dyDescent="0.2">
      <c r="A69" s="13"/>
      <c r="B69" s="24"/>
      <c r="C69" s="25"/>
      <c r="D69" s="8"/>
      <c r="E69" s="11"/>
      <c r="F69" s="11"/>
      <c r="G69" s="11"/>
      <c r="H69" s="11"/>
      <c r="I69" s="11"/>
    </row>
    <row r="70" spans="1:9" s="7" customFormat="1" x14ac:dyDescent="0.2">
      <c r="A70" s="13"/>
      <c r="B70" s="24"/>
      <c r="C70" s="25"/>
      <c r="D70" s="8"/>
      <c r="E70" s="11"/>
      <c r="F70" s="11"/>
      <c r="G70" s="11"/>
      <c r="H70" s="11"/>
      <c r="I70" s="11"/>
    </row>
    <row r="71" spans="1:9" s="7" customFormat="1" x14ac:dyDescent="0.2">
      <c r="A71" s="13"/>
      <c r="B71" s="24"/>
      <c r="C71" s="25"/>
      <c r="D71" s="8"/>
      <c r="E71" s="11"/>
      <c r="F71" s="11"/>
      <c r="G71" s="11"/>
      <c r="H71" s="11"/>
      <c r="I71" s="11"/>
    </row>
    <row r="72" spans="1:9" s="7" customFormat="1" x14ac:dyDescent="0.2">
      <c r="A72" s="13"/>
      <c r="B72" s="24"/>
      <c r="C72" s="25"/>
      <c r="D72" s="8"/>
      <c r="E72" s="11"/>
      <c r="F72" s="11"/>
      <c r="G72" s="11"/>
      <c r="H72" s="11"/>
      <c r="I72" s="11"/>
    </row>
    <row r="73" spans="1:9" s="7" customFormat="1" x14ac:dyDescent="0.2">
      <c r="A73" s="13"/>
      <c r="B73" s="24"/>
      <c r="C73" s="25"/>
      <c r="D73" s="8"/>
      <c r="E73" s="11"/>
      <c r="F73" s="11"/>
      <c r="G73" s="11"/>
      <c r="H73" s="11"/>
      <c r="I73" s="11"/>
    </row>
    <row r="74" spans="1:9" s="7" customFormat="1" x14ac:dyDescent="0.2">
      <c r="A74" s="13"/>
      <c r="B74" s="24"/>
      <c r="C74" s="25"/>
      <c r="D74" s="8"/>
      <c r="E74" s="11"/>
      <c r="F74" s="11"/>
      <c r="G74" s="11"/>
      <c r="H74" s="11"/>
      <c r="I74" s="11"/>
    </row>
    <row r="75" spans="1:9" s="7" customFormat="1" x14ac:dyDescent="0.2">
      <c r="A75" s="13"/>
      <c r="B75" s="24"/>
      <c r="C75" s="25"/>
      <c r="D75" s="8"/>
      <c r="E75" s="11"/>
      <c r="F75" s="11"/>
      <c r="G75" s="11"/>
      <c r="H75" s="11"/>
      <c r="I75" s="11"/>
    </row>
    <row r="76" spans="1:9" s="7" customFormat="1" x14ac:dyDescent="0.2">
      <c r="A76" s="13"/>
      <c r="B76" s="24"/>
      <c r="C76" s="25"/>
      <c r="D76" s="8"/>
      <c r="E76" s="11"/>
      <c r="F76" s="11"/>
      <c r="G76" s="11"/>
      <c r="H76" s="11"/>
      <c r="I76" s="11"/>
    </row>
    <row r="77" spans="1:9" s="7" customFormat="1" x14ac:dyDescent="0.2">
      <c r="A77" s="13"/>
      <c r="B77" s="24"/>
      <c r="C77" s="25"/>
      <c r="D77" s="8"/>
      <c r="E77" s="11"/>
      <c r="F77" s="11"/>
      <c r="G77" s="11"/>
      <c r="H77" s="11"/>
      <c r="I77" s="11"/>
    </row>
    <row r="78" spans="1:9" s="7" customFormat="1" x14ac:dyDescent="0.2">
      <c r="A78" s="13"/>
      <c r="B78" s="24"/>
      <c r="C78" s="25"/>
      <c r="D78" s="8"/>
      <c r="E78" s="11"/>
      <c r="F78" s="11"/>
      <c r="G78" s="11"/>
      <c r="H78" s="11"/>
      <c r="I78" s="11"/>
    </row>
    <row r="79" spans="1:9" s="7" customFormat="1" x14ac:dyDescent="0.2">
      <c r="A79" s="13"/>
      <c r="B79" s="24"/>
      <c r="C79" s="25"/>
      <c r="D79" s="8"/>
      <c r="E79" s="11"/>
      <c r="F79" s="11"/>
      <c r="G79" s="11"/>
      <c r="H79" s="11"/>
      <c r="I79" s="11"/>
    </row>
    <row r="80" spans="1:9" s="7" customFormat="1" x14ac:dyDescent="0.2">
      <c r="A80" s="13"/>
      <c r="B80" s="24"/>
      <c r="C80" s="25"/>
      <c r="D80" s="8"/>
      <c r="E80" s="11"/>
      <c r="F80" s="11"/>
      <c r="G80" s="11"/>
      <c r="H80" s="11"/>
      <c r="I80" s="11"/>
    </row>
    <row r="81" spans="1:9" s="7" customFormat="1" x14ac:dyDescent="0.2">
      <c r="A81" s="13"/>
      <c r="B81" s="24"/>
      <c r="C81" s="25"/>
      <c r="D81" s="8"/>
      <c r="E81" s="11"/>
      <c r="F81" s="11"/>
      <c r="G81" s="11"/>
      <c r="H81" s="11"/>
      <c r="I81" s="11"/>
    </row>
    <row r="82" spans="1:9" s="7" customFormat="1" x14ac:dyDescent="0.2">
      <c r="A82" s="13"/>
      <c r="B82" s="24"/>
      <c r="C82" s="25"/>
      <c r="D82" s="8"/>
      <c r="E82" s="11"/>
      <c r="F82" s="11"/>
      <c r="G82" s="11"/>
      <c r="H82" s="11"/>
      <c r="I82" s="11"/>
    </row>
    <row r="83" spans="1:9" s="7" customFormat="1" x14ac:dyDescent="0.2">
      <c r="A83" s="13"/>
      <c r="B83" s="24"/>
      <c r="C83" s="25"/>
      <c r="D83" s="8"/>
      <c r="E83" s="11"/>
      <c r="F83" s="11"/>
      <c r="G83" s="11"/>
      <c r="H83" s="11"/>
      <c r="I83" s="11"/>
    </row>
    <row r="84" spans="1:9" s="7" customFormat="1" x14ac:dyDescent="0.2">
      <c r="A84" s="13"/>
      <c r="B84" s="24"/>
      <c r="C84" s="25"/>
      <c r="D84" s="8"/>
      <c r="E84" s="11"/>
      <c r="F84" s="11"/>
      <c r="G84" s="11"/>
      <c r="H84" s="11"/>
      <c r="I84" s="11"/>
    </row>
    <row r="85" spans="1:9" s="7" customFormat="1" x14ac:dyDescent="0.2">
      <c r="A85" s="13"/>
      <c r="B85" s="24"/>
      <c r="C85" s="25"/>
      <c r="D85" s="8"/>
      <c r="E85" s="11"/>
      <c r="F85" s="11"/>
      <c r="G85" s="11"/>
      <c r="H85" s="11"/>
      <c r="I85" s="11"/>
    </row>
    <row r="86" spans="1:9" s="7" customFormat="1" x14ac:dyDescent="0.2">
      <c r="A86" s="13"/>
      <c r="B86" s="24"/>
      <c r="C86" s="25"/>
      <c r="D86" s="8"/>
      <c r="E86" s="11"/>
      <c r="F86" s="11"/>
      <c r="G86" s="11"/>
      <c r="H86" s="11"/>
      <c r="I86" s="11"/>
    </row>
    <row r="87" spans="1:9" s="7" customFormat="1" x14ac:dyDescent="0.2">
      <c r="A87" s="13"/>
      <c r="B87" s="24"/>
      <c r="C87" s="25"/>
      <c r="D87" s="8"/>
      <c r="E87" s="11"/>
      <c r="F87" s="11"/>
      <c r="G87" s="11"/>
      <c r="H87" s="11"/>
      <c r="I87" s="11"/>
    </row>
    <row r="88" spans="1:9" s="7" customFormat="1" x14ac:dyDescent="0.2">
      <c r="A88" s="13"/>
      <c r="B88" s="24"/>
      <c r="C88" s="25"/>
      <c r="D88" s="8"/>
      <c r="E88" s="11"/>
      <c r="F88" s="11"/>
      <c r="G88" s="11"/>
      <c r="H88" s="11"/>
      <c r="I88" s="11"/>
    </row>
    <row r="89" spans="1:9" s="7" customFormat="1" x14ac:dyDescent="0.2">
      <c r="A89" s="13"/>
      <c r="B89" s="24"/>
      <c r="C89" s="25"/>
      <c r="D89" s="8"/>
      <c r="E89" s="11"/>
      <c r="F89" s="11"/>
      <c r="G89" s="11"/>
      <c r="H89" s="11"/>
      <c r="I89" s="11"/>
    </row>
    <row r="90" spans="1:9" s="7" customFormat="1" x14ac:dyDescent="0.2">
      <c r="A90" s="13"/>
      <c r="B90" s="24"/>
      <c r="C90" s="25"/>
      <c r="D90" s="8"/>
      <c r="E90" s="11"/>
      <c r="F90" s="11"/>
      <c r="G90" s="11"/>
      <c r="H90" s="11"/>
      <c r="I90" s="11"/>
    </row>
    <row r="91" spans="1:9" s="7" customFormat="1" x14ac:dyDescent="0.2">
      <c r="A91" s="13"/>
      <c r="B91" s="24"/>
      <c r="C91" s="25"/>
      <c r="D91" s="8"/>
      <c r="E91" s="11"/>
      <c r="F91" s="11"/>
      <c r="G91" s="11"/>
      <c r="H91" s="11"/>
      <c r="I91" s="11"/>
    </row>
    <row r="92" spans="1:9" s="7" customFormat="1" x14ac:dyDescent="0.2">
      <c r="A92" s="13"/>
      <c r="B92" s="24"/>
      <c r="C92" s="25"/>
      <c r="D92" s="8"/>
      <c r="E92" s="11"/>
      <c r="F92" s="11"/>
      <c r="G92" s="11"/>
      <c r="H92" s="11"/>
      <c r="I92" s="11"/>
    </row>
    <row r="93" spans="1:9" s="7" customFormat="1" x14ac:dyDescent="0.2">
      <c r="A93" s="13"/>
      <c r="B93" s="24"/>
      <c r="C93" s="25"/>
      <c r="D93" s="8"/>
      <c r="E93" s="11"/>
      <c r="F93" s="11"/>
      <c r="G93" s="11"/>
      <c r="H93" s="11"/>
      <c r="I93" s="11"/>
    </row>
    <row r="94" spans="1:9" s="7" customFormat="1" x14ac:dyDescent="0.2">
      <c r="A94" s="13"/>
      <c r="B94" s="24"/>
      <c r="C94" s="25"/>
      <c r="D94" s="8"/>
      <c r="E94" s="11"/>
      <c r="F94" s="11"/>
      <c r="G94" s="11"/>
      <c r="H94" s="11"/>
      <c r="I94" s="11"/>
    </row>
    <row r="95" spans="1:9" s="7" customFormat="1" x14ac:dyDescent="0.2">
      <c r="A95" s="13"/>
      <c r="B95" s="24"/>
      <c r="C95" s="25"/>
      <c r="D95" s="8"/>
      <c r="E95" s="11"/>
      <c r="F95" s="11"/>
      <c r="G95" s="11"/>
      <c r="H95" s="11"/>
      <c r="I95" s="11"/>
    </row>
    <row r="96" spans="1:9" s="7" customFormat="1" x14ac:dyDescent="0.2">
      <c r="A96" s="13"/>
      <c r="B96" s="24"/>
      <c r="C96" s="25"/>
      <c r="D96" s="8"/>
      <c r="E96" s="11"/>
      <c r="F96" s="11"/>
      <c r="G96" s="11"/>
      <c r="H96" s="11"/>
      <c r="I96" s="11"/>
    </row>
    <row r="97" spans="1:9" s="7" customFormat="1" x14ac:dyDescent="0.2">
      <c r="A97" s="13"/>
      <c r="B97" s="24"/>
      <c r="C97" s="25"/>
      <c r="D97" s="8"/>
      <c r="E97" s="11"/>
      <c r="F97" s="11"/>
      <c r="G97" s="11"/>
      <c r="H97" s="11"/>
      <c r="I97" s="11"/>
    </row>
    <row r="98" spans="1:9" s="7" customFormat="1" x14ac:dyDescent="0.2">
      <c r="A98" s="13"/>
      <c r="B98" s="24"/>
      <c r="C98" s="25"/>
      <c r="D98" s="8"/>
      <c r="E98" s="11"/>
      <c r="F98" s="11"/>
      <c r="G98" s="11"/>
      <c r="H98" s="11"/>
      <c r="I98" s="11"/>
    </row>
    <row r="99" spans="1:9" s="7" customFormat="1" x14ac:dyDescent="0.2">
      <c r="A99" s="13"/>
      <c r="B99" s="24"/>
      <c r="C99" s="25"/>
      <c r="D99" s="8"/>
      <c r="E99" s="11"/>
      <c r="F99" s="11"/>
      <c r="G99" s="11"/>
      <c r="H99" s="11"/>
      <c r="I99" s="11"/>
    </row>
    <row r="100" spans="1:9" s="7" customFormat="1" x14ac:dyDescent="0.2">
      <c r="A100" s="13"/>
      <c r="B100" s="24"/>
      <c r="C100" s="25"/>
      <c r="D100" s="8"/>
      <c r="E100" s="11"/>
      <c r="F100" s="11"/>
      <c r="G100" s="11"/>
      <c r="H100" s="11"/>
      <c r="I100" s="11"/>
    </row>
    <row r="101" spans="1:9" s="7" customFormat="1" x14ac:dyDescent="0.2">
      <c r="A101" s="13"/>
      <c r="B101" s="24"/>
      <c r="C101" s="25"/>
      <c r="D101" s="8"/>
      <c r="E101" s="11"/>
      <c r="F101" s="11"/>
      <c r="G101" s="11"/>
      <c r="H101" s="11"/>
      <c r="I101" s="11"/>
    </row>
    <row r="102" spans="1:9" s="7" customFormat="1" x14ac:dyDescent="0.2">
      <c r="A102" s="13"/>
      <c r="B102" s="24"/>
      <c r="C102" s="25"/>
      <c r="D102" s="8"/>
      <c r="E102" s="11"/>
      <c r="F102" s="11"/>
      <c r="G102" s="11"/>
      <c r="H102" s="11"/>
      <c r="I102" s="11"/>
    </row>
    <row r="103" spans="1:9" s="7" customFormat="1" x14ac:dyDescent="0.2">
      <c r="A103" s="13"/>
      <c r="B103" s="24"/>
      <c r="C103" s="25"/>
      <c r="D103" s="8"/>
      <c r="E103" s="11"/>
      <c r="F103" s="11"/>
      <c r="G103" s="11"/>
      <c r="H103" s="11"/>
      <c r="I103" s="11"/>
    </row>
    <row r="104" spans="1:9" s="7" customFormat="1" x14ac:dyDescent="0.2">
      <c r="A104" s="13"/>
      <c r="B104" s="24"/>
      <c r="C104" s="25"/>
      <c r="D104" s="8"/>
      <c r="E104" s="11"/>
      <c r="F104" s="11"/>
      <c r="G104" s="11"/>
      <c r="H104" s="11"/>
      <c r="I104" s="11"/>
    </row>
    <row r="105" spans="1:9" s="7" customFormat="1" x14ac:dyDescent="0.2">
      <c r="A105" s="13"/>
      <c r="B105" s="24"/>
      <c r="C105" s="25"/>
      <c r="D105" s="8"/>
      <c r="E105" s="11"/>
      <c r="F105" s="11"/>
      <c r="G105" s="11"/>
      <c r="H105" s="11"/>
      <c r="I105" s="11"/>
    </row>
    <row r="106" spans="1:9" s="7" customFormat="1" x14ac:dyDescent="0.2">
      <c r="A106" s="13"/>
      <c r="B106" s="24"/>
      <c r="C106" s="25"/>
      <c r="D106" s="8"/>
      <c r="E106" s="11"/>
      <c r="F106" s="11"/>
      <c r="G106" s="11"/>
      <c r="H106" s="11"/>
      <c r="I106" s="11"/>
    </row>
    <row r="107" spans="1:9" s="7" customFormat="1" x14ac:dyDescent="0.2">
      <c r="A107" s="13"/>
      <c r="B107" s="24"/>
      <c r="C107" s="25"/>
      <c r="D107" s="8"/>
      <c r="E107" s="11"/>
      <c r="F107" s="11"/>
      <c r="G107" s="11"/>
      <c r="H107" s="11"/>
      <c r="I107" s="11"/>
    </row>
    <row r="108" spans="1:9" s="7" customFormat="1" x14ac:dyDescent="0.2">
      <c r="A108" s="13"/>
      <c r="B108" s="24"/>
      <c r="C108" s="25"/>
      <c r="D108" s="8"/>
      <c r="E108" s="11"/>
      <c r="F108" s="11"/>
      <c r="G108" s="11"/>
      <c r="H108" s="11"/>
      <c r="I108" s="11"/>
    </row>
    <row r="109" spans="1:9" s="7" customFormat="1" x14ac:dyDescent="0.2">
      <c r="A109" s="13"/>
      <c r="B109" s="24"/>
      <c r="C109" s="25"/>
      <c r="D109" s="8"/>
      <c r="E109" s="11"/>
      <c r="F109" s="11"/>
      <c r="G109" s="11"/>
      <c r="H109" s="11"/>
      <c r="I109" s="11"/>
    </row>
    <row r="110" spans="1:9" s="7" customFormat="1" x14ac:dyDescent="0.2">
      <c r="A110" s="13"/>
      <c r="B110" s="24"/>
      <c r="C110" s="25"/>
      <c r="D110" s="8"/>
      <c r="E110" s="11"/>
      <c r="F110" s="11"/>
      <c r="G110" s="11"/>
      <c r="H110" s="11"/>
      <c r="I110" s="11"/>
    </row>
    <row r="111" spans="1:9" s="7" customFormat="1" x14ac:dyDescent="0.2">
      <c r="A111" s="13"/>
      <c r="B111" s="24"/>
      <c r="C111" s="25"/>
      <c r="D111" s="8"/>
      <c r="E111" s="11"/>
      <c r="F111" s="11"/>
      <c r="G111" s="11"/>
      <c r="H111" s="11"/>
      <c r="I111" s="11"/>
    </row>
    <row r="112" spans="1:9" x14ac:dyDescent="0.2">
      <c r="A112" s="14"/>
      <c r="B112" s="26"/>
      <c r="C112" s="27"/>
    </row>
    <row r="113" spans="1:3" x14ac:dyDescent="0.2">
      <c r="A113" s="14"/>
      <c r="B113" s="26"/>
      <c r="C113" s="27"/>
    </row>
    <row r="114" spans="1:3" x14ac:dyDescent="0.2">
      <c r="A114" s="14"/>
      <c r="B114" s="26"/>
      <c r="C114" s="27"/>
    </row>
    <row r="115" spans="1:3" x14ac:dyDescent="0.2">
      <c r="A115" s="14"/>
      <c r="B115" s="26"/>
      <c r="C115" s="27"/>
    </row>
    <row r="116" spans="1:3" x14ac:dyDescent="0.2">
      <c r="A116" s="14"/>
      <c r="B116" s="26"/>
      <c r="C116" s="27"/>
    </row>
    <row r="117" spans="1:3" x14ac:dyDescent="0.2">
      <c r="A117" s="14"/>
      <c r="B117" s="26"/>
      <c r="C117" s="27"/>
    </row>
    <row r="118" spans="1:3" x14ac:dyDescent="0.2">
      <c r="A118" s="14"/>
      <c r="B118" s="26"/>
      <c r="C118" s="27"/>
    </row>
    <row r="119" spans="1:3" x14ac:dyDescent="0.2">
      <c r="A119" s="14"/>
      <c r="B119" s="26"/>
      <c r="C119" s="27"/>
    </row>
    <row r="120" spans="1:3" x14ac:dyDescent="0.2">
      <c r="A120" s="14"/>
      <c r="B120" s="26"/>
      <c r="C120" s="27"/>
    </row>
    <row r="121" spans="1:3" x14ac:dyDescent="0.2">
      <c r="A121" s="14"/>
      <c r="B121" s="26"/>
      <c r="C121" s="27"/>
    </row>
    <row r="122" spans="1:3" x14ac:dyDescent="0.2">
      <c r="A122" s="14"/>
      <c r="B122" s="26"/>
      <c r="C122" s="27"/>
    </row>
    <row r="123" spans="1:3" x14ac:dyDescent="0.2">
      <c r="A123" s="14"/>
      <c r="B123" s="26"/>
      <c r="C123" s="27"/>
    </row>
    <row r="124" spans="1:3" x14ac:dyDescent="0.2">
      <c r="A124" s="14"/>
      <c r="B124" s="26"/>
      <c r="C124" s="27"/>
    </row>
    <row r="125" spans="1:3" x14ac:dyDescent="0.2">
      <c r="A125" s="14"/>
      <c r="B125" s="26"/>
      <c r="C125" s="27"/>
    </row>
    <row r="126" spans="1:3" x14ac:dyDescent="0.2">
      <c r="A126" s="14"/>
      <c r="B126" s="26"/>
      <c r="C126" s="27"/>
    </row>
    <row r="127" spans="1:3" x14ac:dyDescent="0.2">
      <c r="A127" s="14"/>
      <c r="B127" s="26"/>
      <c r="C127" s="27"/>
    </row>
    <row r="128" spans="1:3" x14ac:dyDescent="0.2">
      <c r="A128" s="14"/>
      <c r="B128" s="26"/>
      <c r="C128" s="27"/>
    </row>
    <row r="129" spans="1:3" x14ac:dyDescent="0.2">
      <c r="A129" s="14"/>
      <c r="B129" s="26"/>
      <c r="C129" s="27"/>
    </row>
    <row r="130" spans="1:3" x14ac:dyDescent="0.2">
      <c r="A130" s="14"/>
      <c r="B130" s="26"/>
      <c r="C130" s="27"/>
    </row>
    <row r="131" spans="1:3" x14ac:dyDescent="0.2">
      <c r="A131" s="14"/>
      <c r="B131" s="26"/>
      <c r="C131" s="27"/>
    </row>
    <row r="132" spans="1:3" x14ac:dyDescent="0.2">
      <c r="A132" s="14"/>
      <c r="B132" s="26"/>
      <c r="C132" s="27"/>
    </row>
    <row r="133" spans="1:3" x14ac:dyDescent="0.2">
      <c r="A133" s="14"/>
      <c r="B133" s="26"/>
      <c r="C133" s="27"/>
    </row>
    <row r="134" spans="1:3" x14ac:dyDescent="0.2">
      <c r="A134" s="14"/>
      <c r="B134" s="26"/>
      <c r="C134" s="27"/>
    </row>
    <row r="135" spans="1:3" x14ac:dyDescent="0.2">
      <c r="A135" s="14"/>
      <c r="B135" s="26"/>
      <c r="C135" s="27"/>
    </row>
    <row r="136" spans="1:3" x14ac:dyDescent="0.2">
      <c r="A136" s="14"/>
      <c r="B136" s="26"/>
      <c r="C136" s="27"/>
    </row>
    <row r="137" spans="1:3" x14ac:dyDescent="0.2">
      <c r="A137" s="14"/>
      <c r="B137" s="26"/>
      <c r="C137" s="27"/>
    </row>
    <row r="138" spans="1:3" x14ac:dyDescent="0.2">
      <c r="A138" s="14"/>
      <c r="B138" s="26"/>
      <c r="C138" s="27"/>
    </row>
    <row r="139" spans="1:3" x14ac:dyDescent="0.2">
      <c r="A139" s="14"/>
      <c r="B139" s="26"/>
      <c r="C139" s="27"/>
    </row>
    <row r="140" spans="1:3" x14ac:dyDescent="0.2">
      <c r="A140" s="14"/>
      <c r="B140" s="26"/>
      <c r="C140" s="27"/>
    </row>
    <row r="141" spans="1:3" x14ac:dyDescent="0.2">
      <c r="A141" s="14"/>
      <c r="B141" s="26"/>
      <c r="C141" s="27"/>
    </row>
    <row r="142" spans="1:3" x14ac:dyDescent="0.2">
      <c r="A142" s="14"/>
      <c r="B142" s="26"/>
      <c r="C142" s="27"/>
    </row>
    <row r="143" spans="1:3" x14ac:dyDescent="0.2">
      <c r="A143" s="14"/>
      <c r="B143" s="26"/>
      <c r="C143" s="27"/>
    </row>
    <row r="144" spans="1:3" x14ac:dyDescent="0.2">
      <c r="A144" s="14"/>
      <c r="B144" s="26"/>
      <c r="C144" s="27"/>
    </row>
    <row r="145" spans="1:3" x14ac:dyDescent="0.2">
      <c r="A145" s="14"/>
      <c r="B145" s="26"/>
      <c r="C145" s="27"/>
    </row>
    <row r="146" spans="1:3" x14ac:dyDescent="0.2">
      <c r="A146" s="14"/>
      <c r="B146" s="26"/>
      <c r="C146" s="27"/>
    </row>
    <row r="147" spans="1:3" x14ac:dyDescent="0.2">
      <c r="A147" s="14"/>
      <c r="B147" s="26"/>
      <c r="C147" s="27"/>
    </row>
    <row r="148" spans="1:3" x14ac:dyDescent="0.2">
      <c r="A148" s="14"/>
      <c r="B148" s="26"/>
      <c r="C148" s="27"/>
    </row>
    <row r="149" spans="1:3" x14ac:dyDescent="0.2">
      <c r="A149" s="14"/>
      <c r="B149" s="26"/>
      <c r="C149" s="27"/>
    </row>
    <row r="150" spans="1:3" x14ac:dyDescent="0.2">
      <c r="A150" s="14"/>
      <c r="B150" s="26"/>
      <c r="C150" s="27"/>
    </row>
    <row r="151" spans="1:3" x14ac:dyDescent="0.2">
      <c r="A151" s="14"/>
      <c r="B151" s="26"/>
      <c r="C151" s="27"/>
    </row>
    <row r="152" spans="1:3" x14ac:dyDescent="0.2">
      <c r="A152" s="14"/>
      <c r="B152" s="26"/>
      <c r="C152" s="27"/>
    </row>
    <row r="153" spans="1:3" x14ac:dyDescent="0.2">
      <c r="A153" s="14"/>
      <c r="B153" s="26"/>
      <c r="C153" s="27"/>
    </row>
    <row r="154" spans="1:3" x14ac:dyDescent="0.2">
      <c r="A154" s="14"/>
      <c r="B154" s="26"/>
      <c r="C154" s="27"/>
    </row>
    <row r="155" spans="1:3" x14ac:dyDescent="0.2">
      <c r="A155" s="14"/>
      <c r="B155" s="26"/>
      <c r="C155" s="27"/>
    </row>
    <row r="156" spans="1:3" x14ac:dyDescent="0.2">
      <c r="A156" s="14"/>
      <c r="B156" s="26"/>
      <c r="C156" s="27"/>
    </row>
    <row r="157" spans="1:3" x14ac:dyDescent="0.2">
      <c r="A157" s="14"/>
      <c r="B157" s="26"/>
      <c r="C157" s="27"/>
    </row>
    <row r="158" spans="1:3" x14ac:dyDescent="0.2">
      <c r="A158" s="14"/>
      <c r="B158" s="26"/>
      <c r="C158" s="27"/>
    </row>
  </sheetData>
  <autoFilter ref="A4:I4" xr:uid="{00000000-0009-0000-0000-000000000000}"/>
  <mergeCells count="7">
    <mergeCell ref="G30:H30"/>
    <mergeCell ref="A20:D20"/>
    <mergeCell ref="A1:I1"/>
    <mergeCell ref="A2:I2"/>
    <mergeCell ref="E21:I21"/>
    <mergeCell ref="F22:I22"/>
    <mergeCell ref="F23:I23"/>
  </mergeCells>
  <printOptions horizontalCentered="1"/>
  <pageMargins left="0.45" right="0.48" top="0.61" bottom="0.36" header="0.3" footer="0.16"/>
  <pageSetup paperSize="9" scale="80" orientation="portrait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"/>
  <sheetViews>
    <sheetView tabSelected="1" view="pageBreakPreview" zoomScaleNormal="100" zoomScaleSheetLayoutView="100" workbookViewId="0">
      <pane ySplit="4" topLeftCell="A5" activePane="bottomLeft" state="frozen"/>
      <selection activeCell="H28" sqref="H28"/>
      <selection pane="bottomLeft" activeCell="A3" sqref="A3"/>
    </sheetView>
  </sheetViews>
  <sheetFormatPr defaultRowHeight="12.75" x14ac:dyDescent="0.2"/>
  <cols>
    <col min="1" max="1" width="5.7109375" style="4" customWidth="1"/>
    <col min="2" max="2" width="17.28515625" style="7" customWidth="1"/>
    <col min="3" max="3" width="18.5703125" style="5" customWidth="1"/>
    <col min="4" max="4" width="13.42578125" style="53" customWidth="1"/>
    <col min="5" max="5" width="13.42578125" style="54" customWidth="1"/>
    <col min="6" max="6" width="8.7109375" style="6" customWidth="1"/>
    <col min="7" max="7" width="13.42578125" style="55" customWidth="1"/>
    <col min="8" max="8" width="13.28515625" style="6" customWidth="1"/>
    <col min="9" max="9" width="12.5703125" style="6" customWidth="1"/>
    <col min="10" max="10" width="15.140625" style="6" customWidth="1"/>
    <col min="11" max="11" width="18" style="7" customWidth="1"/>
    <col min="12" max="12" width="13.85546875" style="7" customWidth="1"/>
    <col min="13" max="16384" width="9.140625" style="7"/>
  </cols>
  <sheetData>
    <row r="1" spans="1:10" s="42" customFormat="1" ht="32.450000000000003" customHeight="1" x14ac:dyDescent="0.2">
      <c r="A1" s="87" t="s">
        <v>19</v>
      </c>
      <c r="B1" s="87"/>
      <c r="C1" s="87"/>
      <c r="D1" s="87"/>
      <c r="E1" s="87"/>
      <c r="F1" s="87"/>
      <c r="G1" s="87"/>
      <c r="H1" s="87"/>
      <c r="I1" s="87"/>
      <c r="J1" s="87"/>
    </row>
    <row r="2" spans="1:10" ht="23.25" customHeight="1" x14ac:dyDescent="0.2">
      <c r="A2" s="88" t="s">
        <v>67</v>
      </c>
      <c r="B2" s="88"/>
      <c r="C2" s="88"/>
      <c r="D2" s="88"/>
      <c r="E2" s="88"/>
      <c r="F2" s="88"/>
      <c r="G2" s="88"/>
      <c r="H2" s="88"/>
      <c r="I2" s="88"/>
      <c r="J2" s="88"/>
    </row>
    <row r="3" spans="1:10" s="48" customFormat="1" ht="23.25" x14ac:dyDescent="0.65">
      <c r="A3" s="43" t="s">
        <v>1</v>
      </c>
      <c r="B3" s="44" t="s">
        <v>2</v>
      </c>
      <c r="C3" s="45" t="s">
        <v>3</v>
      </c>
      <c r="D3" s="89" t="s">
        <v>4</v>
      </c>
      <c r="E3" s="90"/>
      <c r="F3" s="46" t="s">
        <v>5</v>
      </c>
      <c r="G3" s="47" t="s">
        <v>21</v>
      </c>
      <c r="H3" s="46" t="s">
        <v>16</v>
      </c>
      <c r="I3" s="46" t="s">
        <v>17</v>
      </c>
      <c r="J3" s="46" t="s">
        <v>7</v>
      </c>
    </row>
    <row r="4" spans="1:10" s="49" customFormat="1" ht="24" x14ac:dyDescent="0.2">
      <c r="A4" s="70" t="s">
        <v>8</v>
      </c>
      <c r="B4" s="71" t="s">
        <v>9</v>
      </c>
      <c r="C4" s="72" t="s">
        <v>10</v>
      </c>
      <c r="D4" s="91" t="s">
        <v>11</v>
      </c>
      <c r="E4" s="92"/>
      <c r="F4" s="71" t="s">
        <v>0</v>
      </c>
      <c r="G4" s="73" t="s">
        <v>12</v>
      </c>
      <c r="H4" s="71" t="s">
        <v>13</v>
      </c>
      <c r="I4" s="71" t="s">
        <v>15</v>
      </c>
      <c r="J4" s="71" t="s">
        <v>14</v>
      </c>
    </row>
    <row r="5" spans="1:10" s="74" customFormat="1" ht="12.95" customHeight="1" x14ac:dyDescent="0.2">
      <c r="A5" s="77">
        <v>1</v>
      </c>
      <c r="B5" s="78" t="s">
        <v>35</v>
      </c>
      <c r="C5" s="66">
        <v>46132</v>
      </c>
      <c r="D5" s="96" t="s">
        <v>40</v>
      </c>
      <c r="E5" s="96"/>
      <c r="F5" s="68">
        <f t="shared" ref="F5:F9" si="0">J5/G5</f>
        <v>1.88</v>
      </c>
      <c r="G5" s="69">
        <v>800</v>
      </c>
      <c r="H5" s="64">
        <v>275</v>
      </c>
      <c r="I5" s="64">
        <v>300</v>
      </c>
      <c r="J5" s="59">
        <v>1504</v>
      </c>
    </row>
    <row r="6" spans="1:10" s="74" customFormat="1" ht="12.95" customHeight="1" x14ac:dyDescent="0.2">
      <c r="A6" s="77">
        <v>2</v>
      </c>
      <c r="B6" s="78" t="s">
        <v>35</v>
      </c>
      <c r="C6" s="66">
        <v>46132</v>
      </c>
      <c r="D6" s="96" t="s">
        <v>40</v>
      </c>
      <c r="E6" s="96"/>
      <c r="F6" s="68">
        <f t="shared" ref="F6" si="1">J6/G6</f>
        <v>2.0959999999999996</v>
      </c>
      <c r="G6" s="63">
        <v>600</v>
      </c>
      <c r="H6" s="64">
        <v>131</v>
      </c>
      <c r="I6" s="64">
        <v>150</v>
      </c>
      <c r="J6" s="59">
        <v>1257.5999999999999</v>
      </c>
    </row>
    <row r="7" spans="1:10" s="74" customFormat="1" ht="12.95" customHeight="1" x14ac:dyDescent="0.2">
      <c r="A7" s="77">
        <v>3</v>
      </c>
      <c r="B7" s="78" t="s">
        <v>35</v>
      </c>
      <c r="C7" s="66">
        <v>46132</v>
      </c>
      <c r="D7" s="96" t="s">
        <v>40</v>
      </c>
      <c r="E7" s="96"/>
      <c r="F7" s="68">
        <f>J7/G7</f>
        <v>2.0959999999999996</v>
      </c>
      <c r="G7" s="63">
        <v>600</v>
      </c>
      <c r="H7" s="64">
        <v>131</v>
      </c>
      <c r="I7" s="64">
        <v>150</v>
      </c>
      <c r="J7" s="59">
        <v>1257.5999999999999</v>
      </c>
    </row>
    <row r="8" spans="1:10" s="74" customFormat="1" ht="12.95" customHeight="1" x14ac:dyDescent="0.2">
      <c r="A8" s="77">
        <v>4</v>
      </c>
      <c r="B8" s="78" t="s">
        <v>35</v>
      </c>
      <c r="C8" s="66">
        <v>46132</v>
      </c>
      <c r="D8" s="96" t="s">
        <v>63</v>
      </c>
      <c r="E8" s="96"/>
      <c r="F8" s="68">
        <f t="shared" si="0"/>
        <v>0.79600000000000004</v>
      </c>
      <c r="G8" s="63">
        <v>600</v>
      </c>
      <c r="H8" s="64">
        <v>131</v>
      </c>
      <c r="I8" s="64">
        <v>150</v>
      </c>
      <c r="J8" s="59">
        <v>477.6</v>
      </c>
    </row>
    <row r="9" spans="1:10" s="74" customFormat="1" ht="12.95" customHeight="1" x14ac:dyDescent="0.2">
      <c r="A9" s="77">
        <v>5</v>
      </c>
      <c r="B9" s="78" t="s">
        <v>35</v>
      </c>
      <c r="C9" s="66">
        <v>46132</v>
      </c>
      <c r="D9" s="96" t="s">
        <v>63</v>
      </c>
      <c r="E9" s="96"/>
      <c r="F9" s="68">
        <f t="shared" si="0"/>
        <v>0.79600000000000004</v>
      </c>
      <c r="G9" s="63">
        <v>600</v>
      </c>
      <c r="H9" s="64">
        <v>131</v>
      </c>
      <c r="I9" s="64">
        <v>150</v>
      </c>
      <c r="J9" s="59">
        <v>477.6</v>
      </c>
    </row>
    <row r="10" spans="1:10" customFormat="1" ht="12.95" customHeight="1" x14ac:dyDescent="0.2">
      <c r="A10" s="57">
        <v>6</v>
      </c>
      <c r="B10" s="78" t="s">
        <v>36</v>
      </c>
      <c r="C10" s="66">
        <v>46132</v>
      </c>
      <c r="D10" s="97" t="s">
        <v>40</v>
      </c>
      <c r="E10" s="97"/>
      <c r="F10" s="68">
        <f>J10/G10</f>
        <v>1.4</v>
      </c>
      <c r="G10" s="63">
        <v>1824</v>
      </c>
      <c r="H10" s="64">
        <v>627.5</v>
      </c>
      <c r="I10" s="64">
        <v>684.5</v>
      </c>
      <c r="J10" s="59">
        <v>2553.6</v>
      </c>
    </row>
    <row r="11" spans="1:10" customFormat="1" ht="12.95" customHeight="1" x14ac:dyDescent="0.2">
      <c r="A11" s="57">
        <v>7</v>
      </c>
      <c r="B11" s="78" t="s">
        <v>36</v>
      </c>
      <c r="C11" s="66">
        <v>46132</v>
      </c>
      <c r="D11" s="97" t="s">
        <v>63</v>
      </c>
      <c r="E11" s="97"/>
      <c r="F11" s="68">
        <f t="shared" ref="F11:F53" si="2">J11/G11</f>
        <v>0.6</v>
      </c>
      <c r="G11" s="63">
        <v>1074</v>
      </c>
      <c r="H11" s="64">
        <v>235</v>
      </c>
      <c r="I11" s="64">
        <v>268.5</v>
      </c>
      <c r="J11" s="59">
        <v>644.4</v>
      </c>
    </row>
    <row r="12" spans="1:10" customFormat="1" ht="12.95" customHeight="1" x14ac:dyDescent="0.2">
      <c r="A12" s="57">
        <v>8</v>
      </c>
      <c r="B12" s="78" t="s">
        <v>36</v>
      </c>
      <c r="C12" s="66">
        <v>46132</v>
      </c>
      <c r="D12" s="97" t="s">
        <v>63</v>
      </c>
      <c r="E12" s="97"/>
      <c r="F12" s="68">
        <f t="shared" si="2"/>
        <v>0.60000000000000009</v>
      </c>
      <c r="G12" s="63">
        <v>1122</v>
      </c>
      <c r="H12" s="64">
        <v>245</v>
      </c>
      <c r="I12" s="64">
        <v>280.5</v>
      </c>
      <c r="J12" s="59">
        <v>673.2</v>
      </c>
    </row>
    <row r="13" spans="1:10" customFormat="1" ht="12.95" customHeight="1" x14ac:dyDescent="0.2">
      <c r="A13" s="57">
        <v>9</v>
      </c>
      <c r="B13" s="78" t="s">
        <v>36</v>
      </c>
      <c r="C13" s="66">
        <v>46132</v>
      </c>
      <c r="D13" s="97" t="s">
        <v>38</v>
      </c>
      <c r="E13" s="97"/>
      <c r="F13" s="68">
        <f t="shared" si="2"/>
        <v>1.2</v>
      </c>
      <c r="G13" s="63">
        <v>1074</v>
      </c>
      <c r="H13" s="64">
        <v>235</v>
      </c>
      <c r="I13" s="64">
        <v>268.5</v>
      </c>
      <c r="J13" s="59">
        <v>1288.8</v>
      </c>
    </row>
    <row r="14" spans="1:10" customFormat="1" ht="12.95" customHeight="1" x14ac:dyDescent="0.2">
      <c r="A14" s="57">
        <v>10</v>
      </c>
      <c r="B14" s="78" t="s">
        <v>36</v>
      </c>
      <c r="C14" s="66">
        <v>46132</v>
      </c>
      <c r="D14" s="97" t="s">
        <v>38</v>
      </c>
      <c r="E14" s="97"/>
      <c r="F14" s="68">
        <f t="shared" si="2"/>
        <v>1.2000000000000002</v>
      </c>
      <c r="G14" s="63">
        <v>1122</v>
      </c>
      <c r="H14" s="64">
        <v>245.5</v>
      </c>
      <c r="I14" s="64">
        <v>280.5</v>
      </c>
      <c r="J14" s="59">
        <v>1346.4</v>
      </c>
    </row>
    <row r="15" spans="1:10" customFormat="1" ht="12.95" customHeight="1" x14ac:dyDescent="0.2">
      <c r="A15" s="57">
        <v>11</v>
      </c>
      <c r="B15" s="78" t="s">
        <v>39</v>
      </c>
      <c r="C15" s="66">
        <v>46139</v>
      </c>
      <c r="D15" s="97" t="s">
        <v>40</v>
      </c>
      <c r="E15" s="97"/>
      <c r="F15" s="68">
        <f t="shared" si="2"/>
        <v>2.58</v>
      </c>
      <c r="G15" s="63">
        <v>600</v>
      </c>
      <c r="H15" s="64">
        <v>159</v>
      </c>
      <c r="I15" s="64">
        <v>178</v>
      </c>
      <c r="J15" s="59">
        <v>1548</v>
      </c>
    </row>
    <row r="16" spans="1:10" customFormat="1" ht="12.95" customHeight="1" x14ac:dyDescent="0.2">
      <c r="A16" s="57">
        <v>12</v>
      </c>
      <c r="B16" s="78" t="s">
        <v>39</v>
      </c>
      <c r="C16" s="66">
        <v>46139</v>
      </c>
      <c r="D16" s="97" t="s">
        <v>40</v>
      </c>
      <c r="E16" s="97"/>
      <c r="F16" s="68">
        <f t="shared" si="2"/>
        <v>2.11</v>
      </c>
      <c r="G16" s="63">
        <v>1200</v>
      </c>
      <c r="H16" s="64">
        <v>450</v>
      </c>
      <c r="I16" s="64">
        <v>488</v>
      </c>
      <c r="J16" s="59">
        <v>2532</v>
      </c>
    </row>
    <row r="17" spans="1:11" customFormat="1" ht="12.95" customHeight="1" x14ac:dyDescent="0.2">
      <c r="A17" s="57">
        <v>13</v>
      </c>
      <c r="B17" s="78" t="s">
        <v>39</v>
      </c>
      <c r="C17" s="66">
        <v>46139</v>
      </c>
      <c r="D17" s="97" t="s">
        <v>40</v>
      </c>
      <c r="E17" s="97"/>
      <c r="F17" s="68">
        <f t="shared" si="2"/>
        <v>1.86</v>
      </c>
      <c r="G17" s="63">
        <v>800</v>
      </c>
      <c r="H17" s="64">
        <v>225</v>
      </c>
      <c r="I17" s="64">
        <v>250</v>
      </c>
      <c r="J17" s="59">
        <v>1488</v>
      </c>
    </row>
    <row r="18" spans="1:11" customFormat="1" ht="12.95" customHeight="1" x14ac:dyDescent="0.2">
      <c r="A18" s="57">
        <v>14</v>
      </c>
      <c r="B18" s="78" t="s">
        <v>41</v>
      </c>
      <c r="C18" s="66">
        <v>46139</v>
      </c>
      <c r="D18" s="97" t="s">
        <v>40</v>
      </c>
      <c r="E18" s="97"/>
      <c r="F18" s="68">
        <f t="shared" si="2"/>
        <v>2.58</v>
      </c>
      <c r="G18" s="63">
        <v>1296</v>
      </c>
      <c r="H18" s="64">
        <v>344.5</v>
      </c>
      <c r="I18" s="64">
        <v>385.5</v>
      </c>
      <c r="J18" s="59">
        <v>3343.68</v>
      </c>
    </row>
    <row r="19" spans="1:11" customFormat="1" ht="12.95" customHeight="1" x14ac:dyDescent="0.2">
      <c r="A19" s="57">
        <v>15</v>
      </c>
      <c r="B19" s="78" t="s">
        <v>41</v>
      </c>
      <c r="C19" s="66">
        <v>46139</v>
      </c>
      <c r="D19" s="97" t="s">
        <v>40</v>
      </c>
      <c r="E19" s="97"/>
      <c r="F19" s="68">
        <f t="shared" si="2"/>
        <v>2.11</v>
      </c>
      <c r="G19" s="63">
        <v>2866</v>
      </c>
      <c r="H19" s="64">
        <v>1074</v>
      </c>
      <c r="I19" s="64">
        <v>1164</v>
      </c>
      <c r="J19" s="59">
        <v>6047.26</v>
      </c>
      <c r="K19" s="75"/>
    </row>
    <row r="20" spans="1:11" customFormat="1" ht="12.95" customHeight="1" x14ac:dyDescent="0.2">
      <c r="A20" s="57">
        <v>16</v>
      </c>
      <c r="B20" s="78" t="s">
        <v>41</v>
      </c>
      <c r="C20" s="66">
        <v>46139</v>
      </c>
      <c r="D20" s="97" t="s">
        <v>40</v>
      </c>
      <c r="E20" s="97"/>
      <c r="F20" s="68">
        <f t="shared" si="2"/>
        <v>2.2399999999999998</v>
      </c>
      <c r="G20" s="63">
        <v>9408</v>
      </c>
      <c r="H20" s="64">
        <v>3087</v>
      </c>
      <c r="I20" s="64">
        <v>3381</v>
      </c>
      <c r="J20" s="59">
        <v>21073.919999999998</v>
      </c>
      <c r="K20" s="75"/>
    </row>
    <row r="21" spans="1:11" customFormat="1" ht="12.95" customHeight="1" x14ac:dyDescent="0.2">
      <c r="A21" s="57">
        <v>17</v>
      </c>
      <c r="B21" s="78" t="s">
        <v>41</v>
      </c>
      <c r="C21" s="66">
        <v>46139</v>
      </c>
      <c r="D21" s="97" t="s">
        <v>40</v>
      </c>
      <c r="E21" s="97"/>
      <c r="F21" s="68">
        <f t="shared" si="2"/>
        <v>1.86</v>
      </c>
      <c r="G21" s="63">
        <v>359</v>
      </c>
      <c r="H21" s="64">
        <v>101</v>
      </c>
      <c r="I21" s="64">
        <v>113</v>
      </c>
      <c r="J21" s="59">
        <v>667.74</v>
      </c>
      <c r="K21" s="75"/>
    </row>
    <row r="22" spans="1:11" customFormat="1" ht="12.95" customHeight="1" x14ac:dyDescent="0.2">
      <c r="A22" s="57">
        <v>18</v>
      </c>
      <c r="B22" s="78" t="s">
        <v>41</v>
      </c>
      <c r="C22" s="66">
        <v>46139</v>
      </c>
      <c r="D22" s="97" t="s">
        <v>42</v>
      </c>
      <c r="E22" s="97"/>
      <c r="F22" s="68">
        <f t="shared" si="2"/>
        <v>1.41</v>
      </c>
      <c r="G22" s="63">
        <v>1848</v>
      </c>
      <c r="H22" s="64">
        <v>333.5</v>
      </c>
      <c r="I22" s="64">
        <v>362</v>
      </c>
      <c r="J22" s="59">
        <v>2605.6799999999998</v>
      </c>
      <c r="K22" s="75"/>
    </row>
    <row r="23" spans="1:11" customFormat="1" ht="12.95" customHeight="1" x14ac:dyDescent="0.2">
      <c r="A23" s="57">
        <v>19</v>
      </c>
      <c r="B23" s="78" t="s">
        <v>41</v>
      </c>
      <c r="C23" s="66">
        <v>46139</v>
      </c>
      <c r="D23" s="97" t="s">
        <v>43</v>
      </c>
      <c r="E23" s="97"/>
      <c r="F23" s="68">
        <f t="shared" si="2"/>
        <v>2.04</v>
      </c>
      <c r="G23" s="63">
        <v>2052</v>
      </c>
      <c r="H23" s="64">
        <v>285</v>
      </c>
      <c r="I23" s="64">
        <v>342</v>
      </c>
      <c r="J23" s="59">
        <v>4186.08</v>
      </c>
      <c r="K23" s="75"/>
    </row>
    <row r="24" spans="1:11" customFormat="1" ht="12.95" customHeight="1" x14ac:dyDescent="0.2">
      <c r="A24" s="57">
        <v>20</v>
      </c>
      <c r="B24" s="78" t="s">
        <v>41</v>
      </c>
      <c r="C24" s="66">
        <v>46139</v>
      </c>
      <c r="D24" s="97" t="s">
        <v>43</v>
      </c>
      <c r="E24" s="97"/>
      <c r="F24" s="68">
        <f t="shared" si="2"/>
        <v>2.04</v>
      </c>
      <c r="G24" s="63">
        <v>1974</v>
      </c>
      <c r="H24" s="64">
        <v>274</v>
      </c>
      <c r="I24" s="64">
        <v>329</v>
      </c>
      <c r="J24" s="59">
        <v>4026.96</v>
      </c>
      <c r="K24" s="75"/>
    </row>
    <row r="25" spans="1:11" customFormat="1" ht="12.95" customHeight="1" x14ac:dyDescent="0.2">
      <c r="A25" s="57">
        <v>21</v>
      </c>
      <c r="B25" s="78" t="s">
        <v>41</v>
      </c>
      <c r="C25" s="66">
        <v>46139</v>
      </c>
      <c r="D25" s="97" t="s">
        <v>44</v>
      </c>
      <c r="E25" s="97"/>
      <c r="F25" s="68">
        <f t="shared" si="2"/>
        <v>1.5</v>
      </c>
      <c r="G25" s="63">
        <v>1635</v>
      </c>
      <c r="H25" s="64">
        <v>408.5</v>
      </c>
      <c r="I25" s="64">
        <v>438.5</v>
      </c>
      <c r="J25" s="59">
        <v>2452.5</v>
      </c>
      <c r="K25" s="75"/>
    </row>
    <row r="26" spans="1:11" customFormat="1" ht="12.95" customHeight="1" x14ac:dyDescent="0.2">
      <c r="A26" s="57">
        <v>22</v>
      </c>
      <c r="B26" s="78" t="s">
        <v>45</v>
      </c>
      <c r="C26" s="66">
        <v>46118</v>
      </c>
      <c r="D26" s="97" t="s">
        <v>46</v>
      </c>
      <c r="E26" s="97"/>
      <c r="F26" s="68">
        <f t="shared" si="2"/>
        <v>2.5998003992015968</v>
      </c>
      <c r="G26" s="63">
        <v>3006</v>
      </c>
      <c r="H26" s="64">
        <v>752</v>
      </c>
      <c r="I26" s="64">
        <v>836</v>
      </c>
      <c r="J26" s="59">
        <v>7815</v>
      </c>
      <c r="K26" s="75"/>
    </row>
    <row r="27" spans="1:11" customFormat="1" ht="12.95" customHeight="1" x14ac:dyDescent="0.2">
      <c r="A27" s="57">
        <v>23</v>
      </c>
      <c r="B27" s="78" t="s">
        <v>45</v>
      </c>
      <c r="C27" s="66">
        <v>46118</v>
      </c>
      <c r="D27" s="97" t="s">
        <v>46</v>
      </c>
      <c r="E27" s="97"/>
      <c r="F27" s="68">
        <f t="shared" si="2"/>
        <v>2.5998003992015968</v>
      </c>
      <c r="G27" s="63">
        <v>3006</v>
      </c>
      <c r="H27" s="64">
        <v>752</v>
      </c>
      <c r="I27" s="64">
        <v>836</v>
      </c>
      <c r="J27" s="59">
        <v>7815</v>
      </c>
      <c r="K27" s="75"/>
    </row>
    <row r="28" spans="1:11" customFormat="1" ht="12.95" customHeight="1" x14ac:dyDescent="0.2">
      <c r="A28" s="57">
        <v>24</v>
      </c>
      <c r="B28" s="78" t="s">
        <v>45</v>
      </c>
      <c r="C28" s="66">
        <v>46118</v>
      </c>
      <c r="D28" s="97" t="s">
        <v>47</v>
      </c>
      <c r="E28" s="97"/>
      <c r="F28" s="68">
        <f t="shared" si="2"/>
        <v>2.48</v>
      </c>
      <c r="G28" s="63">
        <v>520</v>
      </c>
      <c r="H28" s="64">
        <v>271.60000000000002</v>
      </c>
      <c r="I28" s="64">
        <v>294</v>
      </c>
      <c r="J28" s="59">
        <v>1289.5999999999999</v>
      </c>
      <c r="K28" s="75"/>
    </row>
    <row r="29" spans="1:11" customFormat="1" ht="12.95" customHeight="1" x14ac:dyDescent="0.2">
      <c r="A29" s="57">
        <v>25</v>
      </c>
      <c r="B29" s="78" t="s">
        <v>45</v>
      </c>
      <c r="C29" s="66">
        <v>46118</v>
      </c>
      <c r="D29" s="97" t="s">
        <v>47</v>
      </c>
      <c r="E29" s="97"/>
      <c r="F29" s="68">
        <f t="shared" si="2"/>
        <v>2.8</v>
      </c>
      <c r="G29" s="63">
        <v>520</v>
      </c>
      <c r="H29" s="64">
        <v>271.60000000000002</v>
      </c>
      <c r="I29" s="64">
        <v>293.60000000000002</v>
      </c>
      <c r="J29" s="59">
        <v>1456</v>
      </c>
      <c r="K29" s="75"/>
    </row>
    <row r="30" spans="1:11" customFormat="1" ht="12.95" customHeight="1" x14ac:dyDescent="0.2">
      <c r="A30" s="57">
        <v>26</v>
      </c>
      <c r="B30" s="58" t="s">
        <v>45</v>
      </c>
      <c r="C30" s="66">
        <v>46118</v>
      </c>
      <c r="D30" s="98" t="s">
        <v>47</v>
      </c>
      <c r="E30" s="99"/>
      <c r="F30" s="68">
        <f t="shared" si="2"/>
        <v>1.72</v>
      </c>
      <c r="G30" s="65">
        <v>2080</v>
      </c>
      <c r="H30" s="61">
        <v>877.5</v>
      </c>
      <c r="I30" s="61">
        <v>942.5</v>
      </c>
      <c r="J30" s="62">
        <v>3577.6</v>
      </c>
      <c r="K30" s="75"/>
    </row>
    <row r="31" spans="1:11" customFormat="1" ht="12.95" customHeight="1" x14ac:dyDescent="0.2">
      <c r="A31" s="57">
        <v>27</v>
      </c>
      <c r="B31" s="58" t="s">
        <v>45</v>
      </c>
      <c r="C31" s="66">
        <v>46118</v>
      </c>
      <c r="D31" s="98" t="s">
        <v>48</v>
      </c>
      <c r="E31" s="99"/>
      <c r="F31" s="68">
        <f t="shared" si="2"/>
        <v>2.04</v>
      </c>
      <c r="G31" s="60">
        <v>1002</v>
      </c>
      <c r="H31" s="61">
        <v>135</v>
      </c>
      <c r="I31" s="61">
        <v>167</v>
      </c>
      <c r="J31" s="62">
        <v>2044.08</v>
      </c>
      <c r="K31" s="75"/>
    </row>
    <row r="32" spans="1:11" customFormat="1" ht="12.95" customHeight="1" x14ac:dyDescent="0.2">
      <c r="A32" s="57">
        <v>28</v>
      </c>
      <c r="B32" s="58" t="s">
        <v>45</v>
      </c>
      <c r="C32" s="66">
        <v>46118</v>
      </c>
      <c r="D32" s="98" t="s">
        <v>48</v>
      </c>
      <c r="E32" s="99"/>
      <c r="F32" s="68">
        <f t="shared" si="2"/>
        <v>2.04</v>
      </c>
      <c r="G32" s="60">
        <v>1002</v>
      </c>
      <c r="H32" s="61">
        <v>135</v>
      </c>
      <c r="I32" s="61">
        <v>167</v>
      </c>
      <c r="J32" s="62">
        <v>2044.08</v>
      </c>
      <c r="K32" s="75"/>
    </row>
    <row r="33" spans="1:11" customFormat="1" ht="12.95" customHeight="1" x14ac:dyDescent="0.2">
      <c r="A33" s="57">
        <v>29</v>
      </c>
      <c r="B33" s="58" t="s">
        <v>45</v>
      </c>
      <c r="C33" s="66">
        <v>46118</v>
      </c>
      <c r="D33" s="98" t="s">
        <v>49</v>
      </c>
      <c r="E33" s="99"/>
      <c r="F33" s="68">
        <f t="shared" si="2"/>
        <v>2.5300000000000002</v>
      </c>
      <c r="G33" s="60">
        <v>2896</v>
      </c>
      <c r="H33" s="61">
        <v>1131.5</v>
      </c>
      <c r="I33" s="61">
        <v>1222.5</v>
      </c>
      <c r="J33" s="62">
        <v>7326.88</v>
      </c>
      <c r="K33" s="75"/>
    </row>
    <row r="34" spans="1:11" customFormat="1" ht="12.95" customHeight="1" x14ac:dyDescent="0.2">
      <c r="A34" s="57">
        <v>30</v>
      </c>
      <c r="B34" s="58" t="s">
        <v>45</v>
      </c>
      <c r="C34" s="66">
        <v>46118</v>
      </c>
      <c r="D34" s="98" t="s">
        <v>49</v>
      </c>
      <c r="E34" s="99"/>
      <c r="F34" s="68">
        <f t="shared" si="2"/>
        <v>2.3200000000000003</v>
      </c>
      <c r="G34" s="60">
        <v>3680</v>
      </c>
      <c r="H34" s="61">
        <v>1553</v>
      </c>
      <c r="I34" s="61">
        <v>1669</v>
      </c>
      <c r="J34" s="62">
        <v>8537.6</v>
      </c>
      <c r="K34" s="75"/>
    </row>
    <row r="35" spans="1:11" customFormat="1" ht="12.95" customHeight="1" x14ac:dyDescent="0.2">
      <c r="A35" s="57">
        <v>31</v>
      </c>
      <c r="B35" s="58" t="s">
        <v>45</v>
      </c>
      <c r="C35" s="66">
        <v>46118</v>
      </c>
      <c r="D35" s="98" t="s">
        <v>49</v>
      </c>
      <c r="E35" s="99"/>
      <c r="F35" s="68">
        <f t="shared" si="2"/>
        <v>2.19</v>
      </c>
      <c r="G35" s="60">
        <v>2720</v>
      </c>
      <c r="H35" s="61">
        <v>1232</v>
      </c>
      <c r="I35" s="61">
        <v>1317.5</v>
      </c>
      <c r="J35" s="62">
        <v>5956.8</v>
      </c>
      <c r="K35" s="75"/>
    </row>
    <row r="36" spans="1:11" customFormat="1" ht="12.95" customHeight="1" x14ac:dyDescent="0.2">
      <c r="A36" s="57">
        <v>32</v>
      </c>
      <c r="B36" s="58" t="s">
        <v>45</v>
      </c>
      <c r="C36" s="66">
        <v>46118</v>
      </c>
      <c r="D36" s="98" t="s">
        <v>49</v>
      </c>
      <c r="E36" s="99"/>
      <c r="F36" s="68">
        <f t="shared" si="2"/>
        <v>1.77</v>
      </c>
      <c r="G36" s="60">
        <v>2000</v>
      </c>
      <c r="H36" s="61">
        <v>465</v>
      </c>
      <c r="I36" s="61">
        <v>520</v>
      </c>
      <c r="J36" s="62">
        <v>3540</v>
      </c>
      <c r="K36" s="75"/>
    </row>
    <row r="37" spans="1:11" customFormat="1" ht="12.95" customHeight="1" x14ac:dyDescent="0.2">
      <c r="A37" s="57">
        <v>33</v>
      </c>
      <c r="B37" s="58" t="s">
        <v>50</v>
      </c>
      <c r="C37" s="66">
        <v>46118</v>
      </c>
      <c r="D37" s="98" t="s">
        <v>46</v>
      </c>
      <c r="E37" s="99"/>
      <c r="F37" s="68">
        <f t="shared" si="2"/>
        <v>2.6</v>
      </c>
      <c r="G37" s="60">
        <v>3636</v>
      </c>
      <c r="H37" s="61">
        <v>909</v>
      </c>
      <c r="I37" s="61">
        <v>1010</v>
      </c>
      <c r="J37" s="62">
        <v>9453.6</v>
      </c>
      <c r="K37" s="75"/>
    </row>
    <row r="38" spans="1:11" customFormat="1" ht="12.95" customHeight="1" x14ac:dyDescent="0.2">
      <c r="A38" s="57">
        <v>34</v>
      </c>
      <c r="B38" s="58" t="s">
        <v>50</v>
      </c>
      <c r="C38" s="66">
        <v>46118</v>
      </c>
      <c r="D38" s="98" t="s">
        <v>46</v>
      </c>
      <c r="E38" s="99"/>
      <c r="F38" s="68">
        <f t="shared" si="2"/>
        <v>2.6</v>
      </c>
      <c r="G38" s="60">
        <v>3672</v>
      </c>
      <c r="H38" s="61">
        <v>918</v>
      </c>
      <c r="I38" s="61">
        <v>1020</v>
      </c>
      <c r="J38" s="62">
        <v>9547.2000000000007</v>
      </c>
      <c r="K38" s="75"/>
    </row>
    <row r="39" spans="1:11" customFormat="1" ht="12.95" customHeight="1" x14ac:dyDescent="0.2">
      <c r="A39" s="57">
        <v>35</v>
      </c>
      <c r="B39" s="58" t="s">
        <v>50</v>
      </c>
      <c r="C39" s="66">
        <v>46118</v>
      </c>
      <c r="D39" s="98" t="s">
        <v>52</v>
      </c>
      <c r="E39" s="99"/>
      <c r="F39" s="68">
        <f t="shared" si="2"/>
        <v>1.95</v>
      </c>
      <c r="G39" s="60">
        <v>648</v>
      </c>
      <c r="H39" s="61">
        <v>135</v>
      </c>
      <c r="I39" s="61">
        <v>162</v>
      </c>
      <c r="J39" s="62">
        <v>1263.5999999999999</v>
      </c>
      <c r="K39" s="75"/>
    </row>
    <row r="40" spans="1:11" customFormat="1" ht="12.95" customHeight="1" x14ac:dyDescent="0.2">
      <c r="A40" s="57">
        <v>36</v>
      </c>
      <c r="B40" s="58" t="s">
        <v>50</v>
      </c>
      <c r="C40" s="66">
        <v>46118</v>
      </c>
      <c r="D40" s="98" t="s">
        <v>53</v>
      </c>
      <c r="E40" s="99"/>
      <c r="F40" s="68">
        <f t="shared" si="2"/>
        <v>2.48</v>
      </c>
      <c r="G40" s="60">
        <v>792</v>
      </c>
      <c r="H40" s="61">
        <v>415.8</v>
      </c>
      <c r="I40" s="61">
        <v>449</v>
      </c>
      <c r="J40" s="62">
        <v>1964.16</v>
      </c>
      <c r="K40" s="75"/>
    </row>
    <row r="41" spans="1:11" customFormat="1" ht="12.95" customHeight="1" x14ac:dyDescent="0.2">
      <c r="A41" s="57">
        <v>37</v>
      </c>
      <c r="B41" s="58" t="s">
        <v>50</v>
      </c>
      <c r="C41" s="66">
        <v>46118</v>
      </c>
      <c r="D41" s="98" t="s">
        <v>51</v>
      </c>
      <c r="E41" s="99"/>
      <c r="F41" s="68">
        <f t="shared" si="2"/>
        <v>1.81</v>
      </c>
      <c r="G41" s="60">
        <v>3904</v>
      </c>
      <c r="H41" s="61">
        <v>1830</v>
      </c>
      <c r="I41" s="61">
        <v>1952</v>
      </c>
      <c r="J41" s="62">
        <v>7066.24</v>
      </c>
      <c r="K41" s="75"/>
    </row>
    <row r="42" spans="1:11" customFormat="1" ht="12.95" customHeight="1" x14ac:dyDescent="0.2">
      <c r="A42" s="57">
        <v>38</v>
      </c>
      <c r="B42" s="58" t="s">
        <v>50</v>
      </c>
      <c r="C42" s="66">
        <v>46118</v>
      </c>
      <c r="D42" s="98" t="s">
        <v>51</v>
      </c>
      <c r="E42" s="99"/>
      <c r="F42" s="68">
        <f t="shared" si="2"/>
        <v>1.77</v>
      </c>
      <c r="G42" s="60">
        <v>7232</v>
      </c>
      <c r="H42" s="61">
        <v>1627</v>
      </c>
      <c r="I42" s="61">
        <v>1826</v>
      </c>
      <c r="J42" s="62">
        <v>12800.64</v>
      </c>
      <c r="K42" s="75"/>
    </row>
    <row r="43" spans="1:11" customFormat="1" ht="12.95" customHeight="1" x14ac:dyDescent="0.2">
      <c r="A43" s="57">
        <v>39</v>
      </c>
      <c r="B43" s="58" t="s">
        <v>54</v>
      </c>
      <c r="C43" s="67">
        <v>46125</v>
      </c>
      <c r="D43" s="98" t="s">
        <v>55</v>
      </c>
      <c r="E43" s="99"/>
      <c r="F43" s="68">
        <f t="shared" si="2"/>
        <v>1.76</v>
      </c>
      <c r="G43" s="60">
        <v>2475</v>
      </c>
      <c r="H43" s="61">
        <v>853.4</v>
      </c>
      <c r="I43" s="61">
        <v>969.4</v>
      </c>
      <c r="J43" s="62">
        <v>4356</v>
      </c>
      <c r="K43" s="75"/>
    </row>
    <row r="44" spans="1:11" customFormat="1" ht="12.95" customHeight="1" x14ac:dyDescent="0.2">
      <c r="A44" s="57">
        <v>40</v>
      </c>
      <c r="B44" s="58" t="s">
        <v>56</v>
      </c>
      <c r="C44" s="67">
        <v>46125</v>
      </c>
      <c r="D44" s="98" t="s">
        <v>37</v>
      </c>
      <c r="E44" s="99"/>
      <c r="F44" s="68">
        <f t="shared" si="2"/>
        <v>2.8</v>
      </c>
      <c r="G44" s="60">
        <v>912</v>
      </c>
      <c r="H44" s="61">
        <v>478.8</v>
      </c>
      <c r="I44" s="61">
        <v>517</v>
      </c>
      <c r="J44" s="62">
        <v>2553.6</v>
      </c>
      <c r="K44" s="75"/>
    </row>
    <row r="45" spans="1:11" customFormat="1" ht="12.95" customHeight="1" x14ac:dyDescent="0.2">
      <c r="A45" s="57">
        <v>41</v>
      </c>
      <c r="B45" s="58" t="s">
        <v>56</v>
      </c>
      <c r="C45" s="67">
        <v>46125</v>
      </c>
      <c r="D45" s="98" t="s">
        <v>37</v>
      </c>
      <c r="E45" s="99"/>
      <c r="F45" s="68">
        <f t="shared" si="2"/>
        <v>1.94</v>
      </c>
      <c r="G45" s="60">
        <v>6767</v>
      </c>
      <c r="H45" s="61">
        <v>3173.5</v>
      </c>
      <c r="I45" s="61">
        <v>3386.5</v>
      </c>
      <c r="J45" s="62">
        <v>13127.98</v>
      </c>
      <c r="K45" s="75"/>
    </row>
    <row r="46" spans="1:11" customFormat="1" ht="12.95" customHeight="1" x14ac:dyDescent="0.2">
      <c r="A46" s="57">
        <v>42</v>
      </c>
      <c r="B46" s="58" t="s">
        <v>57</v>
      </c>
      <c r="C46" s="67">
        <v>46132</v>
      </c>
      <c r="D46" s="98" t="s">
        <v>58</v>
      </c>
      <c r="E46" s="99"/>
      <c r="F46" s="68">
        <f t="shared" si="2"/>
        <v>1.81</v>
      </c>
      <c r="G46" s="60">
        <v>800</v>
      </c>
      <c r="H46" s="61">
        <v>300</v>
      </c>
      <c r="I46" s="61">
        <v>337.5</v>
      </c>
      <c r="J46" s="62">
        <v>1448</v>
      </c>
      <c r="K46" s="75"/>
    </row>
    <row r="47" spans="1:11" customFormat="1" ht="12.95" customHeight="1" x14ac:dyDescent="0.2">
      <c r="A47" s="57">
        <v>43</v>
      </c>
      <c r="B47" s="58" t="s">
        <v>57</v>
      </c>
      <c r="C47" s="67">
        <v>46132</v>
      </c>
      <c r="D47" s="98" t="s">
        <v>59</v>
      </c>
      <c r="E47" s="99"/>
      <c r="F47" s="68">
        <f t="shared" si="2"/>
        <v>1.085</v>
      </c>
      <c r="G47" s="60">
        <v>2016</v>
      </c>
      <c r="H47" s="61">
        <v>588</v>
      </c>
      <c r="I47" s="61">
        <v>714</v>
      </c>
      <c r="J47" s="62">
        <v>2187.36</v>
      </c>
      <c r="K47" s="75"/>
    </row>
    <row r="48" spans="1:11" customFormat="1" ht="12.95" customHeight="1" x14ac:dyDescent="0.2">
      <c r="A48" s="57">
        <v>44</v>
      </c>
      <c r="B48" s="58" t="s">
        <v>57</v>
      </c>
      <c r="C48" s="67">
        <v>46132</v>
      </c>
      <c r="D48" s="98" t="s">
        <v>60</v>
      </c>
      <c r="E48" s="99"/>
      <c r="F48" s="68">
        <f t="shared" si="2"/>
        <v>1.98</v>
      </c>
      <c r="G48" s="60">
        <v>2096</v>
      </c>
      <c r="H48" s="61">
        <v>785.5</v>
      </c>
      <c r="I48" s="61">
        <v>884.5</v>
      </c>
      <c r="J48" s="62">
        <v>4150.08</v>
      </c>
      <c r="K48" s="75"/>
    </row>
    <row r="49" spans="1:12" customFormat="1" ht="12.95" customHeight="1" x14ac:dyDescent="0.2">
      <c r="A49" s="57">
        <v>45</v>
      </c>
      <c r="B49" s="58" t="s">
        <v>57</v>
      </c>
      <c r="C49" s="67">
        <v>46132</v>
      </c>
      <c r="D49" s="98" t="s">
        <v>60</v>
      </c>
      <c r="E49" s="99"/>
      <c r="F49" s="68">
        <f t="shared" si="2"/>
        <v>1.7200000000000002</v>
      </c>
      <c r="G49" s="60">
        <v>4896</v>
      </c>
      <c r="H49" s="61">
        <v>1989</v>
      </c>
      <c r="I49" s="61">
        <v>2218.5</v>
      </c>
      <c r="J49" s="62">
        <v>8421.1200000000008</v>
      </c>
      <c r="K49" s="75"/>
    </row>
    <row r="50" spans="1:12" customFormat="1" ht="12.95" customHeight="1" x14ac:dyDescent="0.2">
      <c r="A50" s="57">
        <v>46</v>
      </c>
      <c r="B50" s="58" t="s">
        <v>57</v>
      </c>
      <c r="C50" s="67">
        <v>46132</v>
      </c>
      <c r="D50" s="98" t="s">
        <v>58</v>
      </c>
      <c r="E50" s="99"/>
      <c r="F50" s="68">
        <f t="shared" si="2"/>
        <v>2.02</v>
      </c>
      <c r="G50" s="60">
        <v>2112</v>
      </c>
      <c r="H50" s="61">
        <v>726</v>
      </c>
      <c r="I50" s="61">
        <v>825</v>
      </c>
      <c r="J50" s="62">
        <v>4266.24</v>
      </c>
      <c r="K50" s="75"/>
    </row>
    <row r="51" spans="1:12" customFormat="1" ht="12.95" customHeight="1" x14ac:dyDescent="0.2">
      <c r="A51" s="57">
        <v>47</v>
      </c>
      <c r="B51" s="58" t="s">
        <v>61</v>
      </c>
      <c r="C51" s="67">
        <v>46132</v>
      </c>
      <c r="D51" s="98" t="s">
        <v>58</v>
      </c>
      <c r="E51" s="99"/>
      <c r="F51" s="68">
        <f t="shared" si="2"/>
        <v>2.0300000000000002</v>
      </c>
      <c r="G51" s="60">
        <v>12583</v>
      </c>
      <c r="H51" s="61">
        <v>3537.5</v>
      </c>
      <c r="I51" s="61">
        <v>4128.5</v>
      </c>
      <c r="J51" s="62">
        <v>25543.49</v>
      </c>
      <c r="K51" s="75"/>
    </row>
    <row r="52" spans="1:12" customFormat="1" ht="12.95" customHeight="1" x14ac:dyDescent="0.2">
      <c r="A52" s="57">
        <v>48</v>
      </c>
      <c r="B52" s="58" t="s">
        <v>61</v>
      </c>
      <c r="C52" s="67">
        <v>46132</v>
      </c>
      <c r="D52" s="98" t="s">
        <v>58</v>
      </c>
      <c r="E52" s="99"/>
      <c r="F52" s="68">
        <f t="shared" si="2"/>
        <v>1.8099999999999998</v>
      </c>
      <c r="G52" s="60">
        <v>1154</v>
      </c>
      <c r="H52" s="61">
        <v>432.7</v>
      </c>
      <c r="I52" s="61">
        <v>486.7</v>
      </c>
      <c r="J52" s="62">
        <v>2088.7399999999998</v>
      </c>
      <c r="K52" s="75"/>
    </row>
    <row r="53" spans="1:12" customFormat="1" ht="12.95" customHeight="1" x14ac:dyDescent="0.2">
      <c r="A53" s="57">
        <v>49</v>
      </c>
      <c r="B53" s="58" t="s">
        <v>61</v>
      </c>
      <c r="C53" s="67">
        <v>46132</v>
      </c>
      <c r="D53" s="98" t="s">
        <v>62</v>
      </c>
      <c r="E53" s="99"/>
      <c r="F53" s="68">
        <f t="shared" si="2"/>
        <v>1.085</v>
      </c>
      <c r="G53" s="60">
        <v>3696</v>
      </c>
      <c r="H53" s="61">
        <v>1078</v>
      </c>
      <c r="I53" s="61">
        <v>1309</v>
      </c>
      <c r="J53" s="62">
        <v>4010.16</v>
      </c>
      <c r="K53" s="75"/>
    </row>
    <row r="54" spans="1:12" ht="16.5" x14ac:dyDescent="0.25">
      <c r="A54" s="93" t="s">
        <v>34</v>
      </c>
      <c r="B54" s="94"/>
      <c r="C54" s="94"/>
      <c r="D54" s="94"/>
      <c r="E54" s="95"/>
      <c r="F54" s="50"/>
      <c r="G54" s="51">
        <f>SUBTOTAL(9,G5:G53)</f>
        <v>115277</v>
      </c>
      <c r="H54" s="52">
        <f>SUBTOTAL(9,H5:H53)</f>
        <v>36481.899999999994</v>
      </c>
      <c r="I54" s="52">
        <f>SUBTOTAL(9,I5:I53)</f>
        <v>40574.199999999997</v>
      </c>
      <c r="J54" s="52">
        <f>SUBTOTAL(9,J5:J53)</f>
        <v>227103.46999999997</v>
      </c>
      <c r="K54" s="76">
        <f>H54*0.13</f>
        <v>4742.646999999999</v>
      </c>
      <c r="L54" s="6"/>
    </row>
    <row r="55" spans="1:12" ht="25.5" x14ac:dyDescent="0.2">
      <c r="B55" s="4"/>
      <c r="D55" s="8"/>
      <c r="E55" s="22"/>
      <c r="F55" s="86"/>
      <c r="G55" s="86"/>
      <c r="H55" s="86"/>
      <c r="I55" s="86"/>
      <c r="J55" s="86"/>
      <c r="K55" s="38"/>
      <c r="L55" s="6"/>
    </row>
    <row r="56" spans="1:12" ht="25.5" x14ac:dyDescent="0.2">
      <c r="B56" s="4"/>
      <c r="D56" s="8"/>
      <c r="E56" s="22"/>
      <c r="G56" s="85" t="s">
        <v>66</v>
      </c>
      <c r="H56" s="85"/>
      <c r="I56" s="85"/>
      <c r="J56" s="85"/>
    </row>
    <row r="57" spans="1:12" ht="25.5" x14ac:dyDescent="0.2">
      <c r="B57" s="4"/>
      <c r="D57" s="8"/>
      <c r="E57" s="22"/>
      <c r="G57" s="85" t="s">
        <v>20</v>
      </c>
      <c r="H57" s="85"/>
      <c r="I57" s="85"/>
      <c r="J57" s="85"/>
    </row>
    <row r="58" spans="1:12" x14ac:dyDescent="0.2">
      <c r="F58" s="11"/>
      <c r="G58" s="11"/>
      <c r="H58" s="11"/>
      <c r="I58" s="11"/>
      <c r="J58" s="11"/>
    </row>
    <row r="59" spans="1:12" x14ac:dyDescent="0.2">
      <c r="F59" s="11"/>
      <c r="G59" s="11"/>
      <c r="H59" s="11"/>
      <c r="I59" s="11"/>
      <c r="J59" s="11"/>
    </row>
    <row r="60" spans="1:12" x14ac:dyDescent="0.2">
      <c r="F60" s="11"/>
      <c r="G60" s="11"/>
      <c r="H60" s="11"/>
      <c r="I60" s="11"/>
      <c r="J60" s="11"/>
    </row>
    <row r="61" spans="1:12" x14ac:dyDescent="0.2">
      <c r="F61" s="11"/>
      <c r="G61" s="11"/>
      <c r="H61" s="11"/>
      <c r="I61" s="11"/>
      <c r="J61" s="11"/>
    </row>
    <row r="62" spans="1:12" x14ac:dyDescent="0.2">
      <c r="F62" s="11"/>
      <c r="G62" s="11"/>
      <c r="H62" s="11"/>
      <c r="I62" s="11"/>
      <c r="J62" s="11"/>
    </row>
    <row r="63" spans="1:12" x14ac:dyDescent="0.2">
      <c r="F63" s="11"/>
      <c r="G63" s="11"/>
      <c r="H63" s="11"/>
      <c r="I63" s="11"/>
      <c r="J63" s="11"/>
    </row>
    <row r="64" spans="1:12" x14ac:dyDescent="0.2">
      <c r="F64" s="11"/>
      <c r="G64" s="11"/>
      <c r="H64" s="11"/>
      <c r="I64" s="11"/>
      <c r="J64" s="11"/>
    </row>
    <row r="65" spans="6:10" x14ac:dyDescent="0.2">
      <c r="F65" s="11"/>
      <c r="G65" s="11"/>
      <c r="H65" s="100" t="s">
        <v>64</v>
      </c>
      <c r="I65" s="100"/>
      <c r="J65" s="83"/>
    </row>
    <row r="66" spans="6:10" x14ac:dyDescent="0.2">
      <c r="F66" s="11"/>
      <c r="G66" s="11"/>
      <c r="H66" s="84"/>
      <c r="I66" s="84"/>
      <c r="J66" s="11"/>
    </row>
  </sheetData>
  <autoFilter ref="C4:J4" xr:uid="{00000000-0009-0000-0000-000001000000}">
    <filterColumn colId="1" showButton="0"/>
  </autoFilter>
  <mergeCells count="59">
    <mergeCell ref="H65:I65"/>
    <mergeCell ref="D6:E6"/>
    <mergeCell ref="D51:E51"/>
    <mergeCell ref="D52:E52"/>
    <mergeCell ref="D53:E53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50:E50"/>
    <mergeCell ref="D32:E32"/>
    <mergeCell ref="D33:E33"/>
    <mergeCell ref="D34:E34"/>
    <mergeCell ref="D35:E35"/>
    <mergeCell ref="D36:E36"/>
    <mergeCell ref="D28:E28"/>
    <mergeCell ref="D29:E29"/>
    <mergeCell ref="D30:E30"/>
    <mergeCell ref="D31:E31"/>
    <mergeCell ref="D49:E49"/>
    <mergeCell ref="D48:E48"/>
    <mergeCell ref="D23:E23"/>
    <mergeCell ref="D24:E24"/>
    <mergeCell ref="D25:E25"/>
    <mergeCell ref="D26:E26"/>
    <mergeCell ref="D27:E27"/>
    <mergeCell ref="D18:E18"/>
    <mergeCell ref="D19:E19"/>
    <mergeCell ref="D20:E20"/>
    <mergeCell ref="D21:E21"/>
    <mergeCell ref="D22:E22"/>
    <mergeCell ref="D13:E13"/>
    <mergeCell ref="D14:E14"/>
    <mergeCell ref="D15:E15"/>
    <mergeCell ref="D16:E16"/>
    <mergeCell ref="D17:E17"/>
    <mergeCell ref="H66:I66"/>
    <mergeCell ref="G57:J57"/>
    <mergeCell ref="F55:J55"/>
    <mergeCell ref="A1:J1"/>
    <mergeCell ref="A2:J2"/>
    <mergeCell ref="D3:E3"/>
    <mergeCell ref="D4:E4"/>
    <mergeCell ref="G56:J56"/>
    <mergeCell ref="A54:E54"/>
    <mergeCell ref="D5:E5"/>
    <mergeCell ref="D8:E8"/>
    <mergeCell ref="D9:E9"/>
    <mergeCell ref="D7:E7"/>
    <mergeCell ref="D10:E10"/>
    <mergeCell ref="D11:E11"/>
    <mergeCell ref="D12:E12"/>
  </mergeCells>
  <printOptions horizontalCentered="1"/>
  <pageMargins left="0.5" right="0.48" top="0.36" bottom="0.3" header="0.3" footer="0.16"/>
  <pageSetup scale="73" orientation="portrait" r:id="rId1"/>
  <headerFoot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475A-2375-466C-9D2B-E215B08DAC6E}">
  <dimension ref="E2:L12"/>
  <sheetViews>
    <sheetView zoomScale="115" zoomScaleNormal="115" workbookViewId="0">
      <selection activeCell="R17" sqref="R17"/>
    </sheetView>
  </sheetViews>
  <sheetFormatPr defaultRowHeight="12.75" x14ac:dyDescent="0.2"/>
  <cols>
    <col min="8" max="9" width="0" hidden="1" customWidth="1"/>
  </cols>
  <sheetData>
    <row r="2" spans="5:12" x14ac:dyDescent="0.2">
      <c r="E2" t="s">
        <v>35</v>
      </c>
      <c r="F2" s="79">
        <f>SUMIFS('JR-EXP-2-3'!$H$5:$H$53,'JR-EXP-2-3'!$B$5:$B$53,Sheet1!E2)</f>
        <v>799</v>
      </c>
      <c r="J2" t="s">
        <v>35</v>
      </c>
      <c r="K2" s="79" t="e">
        <f>SUMIFS([1]EXPORT!O$2:O$60,[1]EXPORT!$X$2:$X$60,J2)</f>
        <v>#VALUE!</v>
      </c>
      <c r="L2" s="80" t="e">
        <f>K2-F2</f>
        <v>#VALUE!</v>
      </c>
    </row>
    <row r="3" spans="5:12" x14ac:dyDescent="0.2">
      <c r="E3" t="s">
        <v>36</v>
      </c>
      <c r="F3" s="79">
        <f>SUMIFS('JR-EXP-2-3'!$H$5:$H$53,'JR-EXP-2-3'!$B$5:$B$53,Sheet1!E3)</f>
        <v>1588</v>
      </c>
      <c r="J3" t="s">
        <v>36</v>
      </c>
      <c r="K3" s="79" t="e">
        <f>SUMIFS([1]EXPORT!O$2:O$60,[1]EXPORT!$X$2:$X$60,J3)</f>
        <v>#VALUE!</v>
      </c>
      <c r="L3" s="80" t="e">
        <f t="shared" ref="L3:L11" si="0">K3-F3</f>
        <v>#VALUE!</v>
      </c>
    </row>
    <row r="4" spans="5:12" x14ac:dyDescent="0.2">
      <c r="E4" t="s">
        <v>39</v>
      </c>
      <c r="F4" s="79">
        <f>SUMIFS('JR-EXP-2-3'!$H$5:$H$53,'JR-EXP-2-3'!$B$5:$B$53,Sheet1!E4)</f>
        <v>834</v>
      </c>
      <c r="J4" t="s">
        <v>39</v>
      </c>
      <c r="K4" s="79" t="e">
        <f>SUMIFS([1]EXPORT!O$2:O$60,[1]EXPORT!$X$2:$X$60,J4)</f>
        <v>#VALUE!</v>
      </c>
      <c r="L4" s="80" t="e">
        <f t="shared" si="0"/>
        <v>#VALUE!</v>
      </c>
    </row>
    <row r="5" spans="5:12" x14ac:dyDescent="0.2">
      <c r="E5" t="s">
        <v>41</v>
      </c>
      <c r="F5" s="79">
        <f>SUMIFS('JR-EXP-2-3'!$H$5:$H$53,'JR-EXP-2-3'!$B$5:$B$53,Sheet1!E5)</f>
        <v>5907.5</v>
      </c>
      <c r="J5" t="s">
        <v>41</v>
      </c>
      <c r="K5" s="79" t="e">
        <f>SUMIFS([1]EXPORT!O$2:O$60,[1]EXPORT!$X$2:$X$60,J5)</f>
        <v>#VALUE!</v>
      </c>
      <c r="L5" s="80" t="e">
        <f t="shared" si="0"/>
        <v>#VALUE!</v>
      </c>
    </row>
    <row r="6" spans="5:12" x14ac:dyDescent="0.2">
      <c r="E6" t="s">
        <v>45</v>
      </c>
      <c r="F6" s="79">
        <f>SUMIFS('JR-EXP-2-3'!$H$5:$H$53,'JR-EXP-2-3'!$B$5:$B$53,Sheet1!E6)</f>
        <v>7576.2</v>
      </c>
      <c r="J6" t="s">
        <v>45</v>
      </c>
      <c r="K6" s="81" t="e">
        <f>SUMIFS([1]EXPORT!O$2:O$60,[1]EXPORT!$X$2:$X$60,J6)</f>
        <v>#VALUE!</v>
      </c>
      <c r="L6" s="82" t="e">
        <f t="shared" si="0"/>
        <v>#VALUE!</v>
      </c>
    </row>
    <row r="7" spans="5:12" x14ac:dyDescent="0.2">
      <c r="E7" t="s">
        <v>50</v>
      </c>
      <c r="F7" s="79">
        <f>SUMIFS('JR-EXP-2-3'!$H$5:$H$53,'JR-EXP-2-3'!$B$5:$B$53,Sheet1!E7)</f>
        <v>5834.8</v>
      </c>
      <c r="J7" t="s">
        <v>50</v>
      </c>
      <c r="K7" s="81" t="e">
        <f>SUMIFS([1]EXPORT!O$2:O$60,[1]EXPORT!$X$2:$X$60,J7)</f>
        <v>#VALUE!</v>
      </c>
      <c r="L7" s="82" t="e">
        <f t="shared" si="0"/>
        <v>#VALUE!</v>
      </c>
    </row>
    <row r="8" spans="5:12" x14ac:dyDescent="0.2">
      <c r="E8" t="s">
        <v>54</v>
      </c>
      <c r="F8" s="79">
        <f>SUMIFS('JR-EXP-2-3'!$H$5:$H$53,'JR-EXP-2-3'!$B$5:$B$53,Sheet1!E8)</f>
        <v>853.4</v>
      </c>
      <c r="J8" t="s">
        <v>54</v>
      </c>
      <c r="K8" s="79" t="e">
        <f>SUMIFS([1]EXPORT!O$2:O$60,[1]EXPORT!$X$2:$X$60,J8)</f>
        <v>#VALUE!</v>
      </c>
      <c r="L8" s="80" t="e">
        <f t="shared" si="0"/>
        <v>#VALUE!</v>
      </c>
    </row>
    <row r="9" spans="5:12" x14ac:dyDescent="0.2">
      <c r="E9" t="s">
        <v>56</v>
      </c>
      <c r="F9" s="79">
        <f>SUMIFS('JR-EXP-2-3'!$H$5:$H$53,'JR-EXP-2-3'!$B$5:$B$53,Sheet1!E9)</f>
        <v>3652.3</v>
      </c>
      <c r="J9" t="s">
        <v>56</v>
      </c>
      <c r="K9" s="79" t="e">
        <f>SUMIFS([1]EXPORT!O$2:O$60,[1]EXPORT!$X$2:$X$60,J9)</f>
        <v>#VALUE!</v>
      </c>
      <c r="L9" s="80" t="e">
        <f t="shared" si="0"/>
        <v>#VALUE!</v>
      </c>
    </row>
    <row r="10" spans="5:12" x14ac:dyDescent="0.2">
      <c r="E10" t="s">
        <v>61</v>
      </c>
      <c r="F10" s="79">
        <f>SUMIFS('JR-EXP-2-3'!$H$5:$H$53,'JR-EXP-2-3'!$B$5:$B$53,Sheet1!E11)</f>
        <v>4388.5</v>
      </c>
      <c r="J10" t="s">
        <v>61</v>
      </c>
      <c r="K10" s="81" t="e">
        <f>SUMIFS([1]EXPORT!O$2:O$60,[1]EXPORT!$X$2:$X$60,J10)</f>
        <v>#VALUE!</v>
      </c>
      <c r="L10" s="82" t="e">
        <f t="shared" si="0"/>
        <v>#VALUE!</v>
      </c>
    </row>
    <row r="11" spans="5:12" x14ac:dyDescent="0.2">
      <c r="E11" t="s">
        <v>57</v>
      </c>
      <c r="F11" s="79">
        <f>SUMIFS('JR-EXP-2-3'!$H$5:$H$53,'JR-EXP-2-3'!$B$5:$B$53,Sheet1!E10)</f>
        <v>5048.2</v>
      </c>
      <c r="J11" t="s">
        <v>57</v>
      </c>
      <c r="K11" s="81" t="e">
        <f>SUMIFS([1]EXPORT!O$2:O$60,[1]EXPORT!$X$2:$X$60,J11)</f>
        <v>#VALUE!</v>
      </c>
      <c r="L11" s="82" t="e">
        <f t="shared" si="0"/>
        <v>#VALUE!</v>
      </c>
    </row>
    <row r="12" spans="5:12" x14ac:dyDescent="0.2">
      <c r="F12" s="79"/>
    </row>
  </sheetData>
  <sortState xmlns:xlrd2="http://schemas.microsoft.com/office/spreadsheetml/2017/richdata2" ref="J2:J50">
    <sortCondition ref="J2:J50"/>
  </sortState>
  <conditionalFormatting sqref="E1:E11 E51:E1048576">
    <cfRule type="duplicateValues" dxfId="1" priority="2"/>
  </conditionalFormatting>
  <conditionalFormatting sqref="J2:J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JR-IMP-1-3</vt:lpstr>
      <vt:lpstr>JR-EXP-2-3</vt:lpstr>
      <vt:lpstr>Sheet1</vt:lpstr>
      <vt:lpstr>'JR-EXP-2-3'!Print_Area</vt:lpstr>
      <vt:lpstr>'JR-IMP-1-3'!Print_Area</vt:lpstr>
      <vt:lpstr>'JR-EXP-2-3'!Print_Titles</vt:lpstr>
      <vt:lpstr>'JR-IMP-1-3'!Print_Titles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ship71</dc:creator>
  <cp:lastModifiedBy>User</cp:lastModifiedBy>
  <cp:lastPrinted>2026-06-22T05:25:17Z</cp:lastPrinted>
  <dcterms:created xsi:type="dcterms:W3CDTF">2014-02-04T03:41:13Z</dcterms:created>
  <dcterms:modified xsi:type="dcterms:W3CDTF">2026-06-22T05:25:19Z</dcterms:modified>
</cp:coreProperties>
</file>