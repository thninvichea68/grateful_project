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s-command-center\"/>
    </mc:Choice>
  </mc:AlternateContent>
  <xr:revisionPtr revIDLastSave="0" documentId="8_{6FDA5AC0-4F18-402C-A2F1-3FF2BB8A76D9}" xr6:coauthVersionLast="47" xr6:coauthVersionMax="47" xr10:uidLastSave="{00000000-0000-0000-0000-000000000000}"/>
  <bookViews>
    <workbookView xWindow="-120" yWindow="-120" windowWidth="29040" windowHeight="15690" tabRatio="688" xr2:uid="{00000000-000D-0000-FFFF-FFFF00000000}"/>
  </bookViews>
  <sheets>
    <sheet name="IMPORT" sheetId="8" r:id="rId1"/>
    <sheet name="CDC" sheetId="6" r:id="rId2"/>
  </sheets>
  <definedNames>
    <definedName name="_xlnm._FilterDatabase" localSheetId="1" hidden="1">CDC!$A$5:$R$203</definedName>
    <definedName name="_xlnm._FilterDatabase" localSheetId="0" hidden="1">IMPORT!$A$1:$T$94</definedName>
    <definedName name="_xlnm.Print_Area" localSheetId="1">CDC!$A$1:$O$205</definedName>
    <definedName name="_xlnm.Print_Area" localSheetId="0">IMPORT!$A$1:$Y$93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8" l="1"/>
  <c r="L92" i="8"/>
  <c r="R93" i="8"/>
  <c r="R92" i="8"/>
  <c r="W89" i="8" l="1"/>
  <c r="W91" i="8" l="1"/>
  <c r="W87" i="8" l="1"/>
  <c r="W83" i="8"/>
  <c r="R91" i="8" l="1"/>
  <c r="L91" i="8"/>
  <c r="R90" i="8" l="1"/>
  <c r="R89" i="8"/>
  <c r="L89" i="8"/>
  <c r="L90" i="8"/>
  <c r="R87" i="8" l="1"/>
  <c r="L87" i="8"/>
  <c r="R86" i="8" l="1"/>
  <c r="L86" i="8"/>
  <c r="R85" i="8"/>
  <c r="L85" i="8"/>
  <c r="R84" i="8" l="1"/>
  <c r="R83" i="8"/>
  <c r="L84" i="8"/>
  <c r="L83" i="8"/>
  <c r="R80" i="8" l="1"/>
  <c r="L80" i="8"/>
  <c r="R79" i="8" l="1"/>
  <c r="L79" i="8"/>
  <c r="R78" i="8" l="1"/>
  <c r="L78" i="8"/>
  <c r="R76" i="8" l="1"/>
  <c r="L76" i="8"/>
  <c r="R71" i="8" l="1"/>
  <c r="L71" i="8"/>
  <c r="R75" i="8" l="1"/>
  <c r="R74" i="8"/>
  <c r="R73" i="8"/>
  <c r="R72" i="8"/>
  <c r="R67" i="8" l="1"/>
  <c r="R68" i="8"/>
  <c r="R69" i="8"/>
  <c r="R70" i="8"/>
  <c r="R65" i="8" l="1"/>
  <c r="L65" i="8"/>
  <c r="R64" i="8"/>
  <c r="L64" i="8"/>
  <c r="R63" i="8"/>
  <c r="L63" i="8"/>
  <c r="R62" i="8"/>
  <c r="L62" i="8"/>
  <c r="R61" i="8"/>
  <c r="L61" i="8"/>
  <c r="R60" i="8"/>
  <c r="R59" i="8"/>
  <c r="R58" i="8"/>
  <c r="R57" i="8"/>
  <c r="R56" i="8"/>
  <c r="L60" i="8"/>
  <c r="L59" i="8"/>
  <c r="L58" i="8"/>
  <c r="L57" i="8"/>
  <c r="L56" i="8"/>
  <c r="R55" i="8" l="1"/>
  <c r="R54" i="8"/>
  <c r="L54" i="8"/>
  <c r="L39" i="8" l="1"/>
  <c r="F204" i="6" l="1"/>
  <c r="E204" i="6"/>
  <c r="R52" i="8" l="1"/>
  <c r="L52" i="8"/>
  <c r="R51" i="8" l="1"/>
  <c r="L51" i="8"/>
  <c r="L50" i="8" l="1"/>
  <c r="L28" i="8"/>
  <c r="R50" i="8" l="1"/>
  <c r="I126" i="6" l="1"/>
  <c r="I193" i="6" l="1"/>
  <c r="R45" i="8"/>
  <c r="R48" i="8"/>
  <c r="R49" i="8"/>
  <c r="R47" i="8"/>
  <c r="L48" i="8"/>
  <c r="L49" i="8"/>
  <c r="L45" i="8"/>
  <c r="R40" i="8" l="1"/>
  <c r="R41" i="8"/>
  <c r="R42" i="8"/>
  <c r="R39" i="8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31" i="6" s="1"/>
  <c r="A132" i="6" s="1"/>
  <c r="L40" i="8"/>
  <c r="L41" i="8"/>
  <c r="L42" i="8"/>
  <c r="L37" i="8" l="1"/>
  <c r="L72" i="8"/>
  <c r="L73" i="8"/>
  <c r="L74" i="8"/>
  <c r="L75" i="8"/>
  <c r="L44" i="8"/>
  <c r="L47" i="8"/>
  <c r="L55" i="8"/>
  <c r="L67" i="8"/>
  <c r="L68" i="8"/>
  <c r="L69" i="8"/>
  <c r="L70" i="8"/>
  <c r="L36" i="8"/>
  <c r="L43" i="8"/>
  <c r="L35" i="8"/>
  <c r="L30" i="8"/>
  <c r="L31" i="8"/>
  <c r="L32" i="8"/>
  <c r="L33" i="8"/>
  <c r="Q28" i="8" l="1"/>
  <c r="N28" i="8" l="1"/>
  <c r="N27" i="8" l="1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 l="1"/>
  <c r="L9" i="8"/>
  <c r="L8" i="8"/>
  <c r="L7" i="8"/>
  <c r="L6" i="8"/>
  <c r="L5" i="8"/>
  <c r="L4" i="8"/>
  <c r="L3" i="8"/>
  <c r="L2" i="8"/>
  <c r="K203" i="6"/>
  <c r="J203" i="6"/>
  <c r="I203" i="6"/>
  <c r="L203" i="6" s="1"/>
  <c r="M203" i="6" s="1"/>
  <c r="N203" i="6" s="1"/>
  <c r="K202" i="6"/>
  <c r="J202" i="6"/>
  <c r="I202" i="6"/>
  <c r="L202" i="6" s="1"/>
  <c r="M202" i="6" s="1"/>
  <c r="N202" i="6" s="1"/>
  <c r="K201" i="6"/>
  <c r="J201" i="6"/>
  <c r="I201" i="6"/>
  <c r="L201" i="6" s="1"/>
  <c r="M201" i="6" s="1"/>
  <c r="N201" i="6" s="1"/>
  <c r="K200" i="6"/>
  <c r="J200" i="6"/>
  <c r="I200" i="6"/>
  <c r="L200" i="6" s="1"/>
  <c r="M200" i="6" s="1"/>
  <c r="N200" i="6" s="1"/>
  <c r="K199" i="6"/>
  <c r="J199" i="6"/>
  <c r="I199" i="6"/>
  <c r="L199" i="6" s="1"/>
  <c r="M199" i="6" s="1"/>
  <c r="N199" i="6" s="1"/>
  <c r="K198" i="6"/>
  <c r="J198" i="6"/>
  <c r="I198" i="6"/>
  <c r="L198" i="6" s="1"/>
  <c r="M198" i="6" s="1"/>
  <c r="N198" i="6" s="1"/>
  <c r="K197" i="6"/>
  <c r="J197" i="6"/>
  <c r="I197" i="6"/>
  <c r="L197" i="6" s="1"/>
  <c r="M197" i="6" s="1"/>
  <c r="N197" i="6" s="1"/>
  <c r="K196" i="6"/>
  <c r="J196" i="6"/>
  <c r="I196" i="6"/>
  <c r="L196" i="6" s="1"/>
  <c r="M196" i="6" s="1"/>
  <c r="N196" i="6" s="1"/>
  <c r="K195" i="6"/>
  <c r="J195" i="6"/>
  <c r="I195" i="6"/>
  <c r="L195" i="6" s="1"/>
  <c r="M195" i="6" s="1"/>
  <c r="N195" i="6" s="1"/>
  <c r="K194" i="6"/>
  <c r="J194" i="6"/>
  <c r="I194" i="6"/>
  <c r="L194" i="6" s="1"/>
  <c r="M194" i="6" s="1"/>
  <c r="N194" i="6" s="1"/>
  <c r="K193" i="6"/>
  <c r="J193" i="6"/>
  <c r="L193" i="6"/>
  <c r="M193" i="6" s="1"/>
  <c r="N193" i="6" s="1"/>
  <c r="K192" i="6"/>
  <c r="J192" i="6"/>
  <c r="I192" i="6"/>
  <c r="L192" i="6" s="1"/>
  <c r="M192" i="6" s="1"/>
  <c r="N192" i="6" s="1"/>
  <c r="K191" i="6"/>
  <c r="J191" i="6"/>
  <c r="I191" i="6"/>
  <c r="L191" i="6" s="1"/>
  <c r="M191" i="6" s="1"/>
  <c r="N191" i="6" s="1"/>
  <c r="K190" i="6"/>
  <c r="J190" i="6"/>
  <c r="I190" i="6"/>
  <c r="L190" i="6" s="1"/>
  <c r="M190" i="6" s="1"/>
  <c r="N190" i="6" s="1"/>
  <c r="K189" i="6"/>
  <c r="J189" i="6"/>
  <c r="I189" i="6"/>
  <c r="L189" i="6" s="1"/>
  <c r="M189" i="6" s="1"/>
  <c r="N189" i="6" s="1"/>
  <c r="K188" i="6"/>
  <c r="J188" i="6"/>
  <c r="I188" i="6"/>
  <c r="L188" i="6" s="1"/>
  <c r="M188" i="6" s="1"/>
  <c r="N188" i="6" s="1"/>
  <c r="K187" i="6"/>
  <c r="J187" i="6"/>
  <c r="I187" i="6"/>
  <c r="L187" i="6" s="1"/>
  <c r="M187" i="6" s="1"/>
  <c r="N187" i="6" s="1"/>
  <c r="K186" i="6"/>
  <c r="J186" i="6"/>
  <c r="I186" i="6"/>
  <c r="L186" i="6" s="1"/>
  <c r="M186" i="6" s="1"/>
  <c r="N186" i="6" s="1"/>
  <c r="K185" i="6"/>
  <c r="J185" i="6"/>
  <c r="I185" i="6"/>
  <c r="L185" i="6" s="1"/>
  <c r="M185" i="6" s="1"/>
  <c r="N185" i="6" s="1"/>
  <c r="K184" i="6"/>
  <c r="J184" i="6"/>
  <c r="I184" i="6"/>
  <c r="L184" i="6" s="1"/>
  <c r="M184" i="6" s="1"/>
  <c r="N184" i="6" s="1"/>
  <c r="K183" i="6"/>
  <c r="J183" i="6"/>
  <c r="I183" i="6"/>
  <c r="L183" i="6" s="1"/>
  <c r="M183" i="6" s="1"/>
  <c r="N183" i="6" s="1"/>
  <c r="K182" i="6"/>
  <c r="J182" i="6"/>
  <c r="I182" i="6"/>
  <c r="L182" i="6" s="1"/>
  <c r="M182" i="6" s="1"/>
  <c r="N182" i="6" s="1"/>
  <c r="K181" i="6"/>
  <c r="J181" i="6"/>
  <c r="I181" i="6"/>
  <c r="L181" i="6" s="1"/>
  <c r="M181" i="6" s="1"/>
  <c r="N181" i="6" s="1"/>
  <c r="K180" i="6"/>
  <c r="J180" i="6"/>
  <c r="I180" i="6"/>
  <c r="L180" i="6" s="1"/>
  <c r="M180" i="6" s="1"/>
  <c r="N180" i="6" s="1"/>
  <c r="K179" i="6"/>
  <c r="J179" i="6"/>
  <c r="I179" i="6"/>
  <c r="L179" i="6" s="1"/>
  <c r="M179" i="6" s="1"/>
  <c r="N179" i="6" s="1"/>
  <c r="K178" i="6"/>
  <c r="J178" i="6"/>
  <c r="I178" i="6"/>
  <c r="L178" i="6" s="1"/>
  <c r="M178" i="6" s="1"/>
  <c r="N178" i="6" s="1"/>
  <c r="K177" i="6"/>
  <c r="J177" i="6"/>
  <c r="I177" i="6"/>
  <c r="L177" i="6" s="1"/>
  <c r="M177" i="6" s="1"/>
  <c r="N177" i="6" s="1"/>
  <c r="K176" i="6"/>
  <c r="J176" i="6"/>
  <c r="I176" i="6"/>
  <c r="L176" i="6" s="1"/>
  <c r="M176" i="6" s="1"/>
  <c r="N176" i="6" s="1"/>
  <c r="K175" i="6"/>
  <c r="J175" i="6"/>
  <c r="I175" i="6"/>
  <c r="L175" i="6" s="1"/>
  <c r="M175" i="6" s="1"/>
  <c r="N175" i="6" s="1"/>
  <c r="K174" i="6"/>
  <c r="J174" i="6"/>
  <c r="I174" i="6"/>
  <c r="L174" i="6" s="1"/>
  <c r="M174" i="6" s="1"/>
  <c r="N174" i="6" s="1"/>
  <c r="K173" i="6"/>
  <c r="J173" i="6"/>
  <c r="I173" i="6"/>
  <c r="L173" i="6" s="1"/>
  <c r="M173" i="6" s="1"/>
  <c r="N173" i="6" s="1"/>
  <c r="K172" i="6"/>
  <c r="J172" i="6"/>
  <c r="I172" i="6"/>
  <c r="L172" i="6" s="1"/>
  <c r="M172" i="6" s="1"/>
  <c r="N172" i="6" s="1"/>
  <c r="K171" i="6"/>
  <c r="J171" i="6"/>
  <c r="I171" i="6"/>
  <c r="L171" i="6" s="1"/>
  <c r="M171" i="6" s="1"/>
  <c r="N171" i="6" s="1"/>
  <c r="K170" i="6"/>
  <c r="J170" i="6"/>
  <c r="I170" i="6"/>
  <c r="L170" i="6" s="1"/>
  <c r="M170" i="6" s="1"/>
  <c r="N170" i="6" s="1"/>
  <c r="K169" i="6"/>
  <c r="J169" i="6"/>
  <c r="I169" i="6"/>
  <c r="L169" i="6" s="1"/>
  <c r="M169" i="6" s="1"/>
  <c r="N169" i="6" s="1"/>
  <c r="K168" i="6"/>
  <c r="J168" i="6"/>
  <c r="I168" i="6"/>
  <c r="L168" i="6" s="1"/>
  <c r="M168" i="6" s="1"/>
  <c r="N168" i="6" s="1"/>
  <c r="K167" i="6"/>
  <c r="J167" i="6"/>
  <c r="I167" i="6"/>
  <c r="L167" i="6" s="1"/>
  <c r="M167" i="6" s="1"/>
  <c r="N167" i="6" s="1"/>
  <c r="K166" i="6"/>
  <c r="J166" i="6"/>
  <c r="I166" i="6"/>
  <c r="L166" i="6" s="1"/>
  <c r="M166" i="6" s="1"/>
  <c r="N166" i="6" s="1"/>
  <c r="K165" i="6"/>
  <c r="J165" i="6"/>
  <c r="I165" i="6"/>
  <c r="L165" i="6" s="1"/>
  <c r="M165" i="6" s="1"/>
  <c r="N165" i="6" s="1"/>
  <c r="K164" i="6"/>
  <c r="J164" i="6"/>
  <c r="I164" i="6"/>
  <c r="L164" i="6" s="1"/>
  <c r="M164" i="6" s="1"/>
  <c r="N164" i="6" s="1"/>
  <c r="K163" i="6"/>
  <c r="J163" i="6"/>
  <c r="I163" i="6"/>
  <c r="L163" i="6" s="1"/>
  <c r="M163" i="6" s="1"/>
  <c r="N163" i="6" s="1"/>
  <c r="K162" i="6"/>
  <c r="J162" i="6"/>
  <c r="I162" i="6"/>
  <c r="L162" i="6" s="1"/>
  <c r="M162" i="6" s="1"/>
  <c r="N162" i="6" s="1"/>
  <c r="K161" i="6"/>
  <c r="J161" i="6"/>
  <c r="I161" i="6"/>
  <c r="L161" i="6" s="1"/>
  <c r="M161" i="6" s="1"/>
  <c r="N161" i="6" s="1"/>
  <c r="K160" i="6"/>
  <c r="J160" i="6"/>
  <c r="I160" i="6"/>
  <c r="L160" i="6" s="1"/>
  <c r="M160" i="6" s="1"/>
  <c r="N160" i="6" s="1"/>
  <c r="K159" i="6"/>
  <c r="J159" i="6"/>
  <c r="I159" i="6"/>
  <c r="L159" i="6" s="1"/>
  <c r="M159" i="6" s="1"/>
  <c r="N159" i="6" s="1"/>
  <c r="K158" i="6"/>
  <c r="J158" i="6"/>
  <c r="I158" i="6"/>
  <c r="L158" i="6" s="1"/>
  <c r="M158" i="6" s="1"/>
  <c r="N158" i="6" s="1"/>
  <c r="K157" i="6"/>
  <c r="J157" i="6"/>
  <c r="I157" i="6"/>
  <c r="L157" i="6" s="1"/>
  <c r="M157" i="6" s="1"/>
  <c r="N157" i="6" s="1"/>
  <c r="K156" i="6"/>
  <c r="J156" i="6"/>
  <c r="I156" i="6"/>
  <c r="L156" i="6" s="1"/>
  <c r="M156" i="6" s="1"/>
  <c r="N156" i="6" s="1"/>
  <c r="K155" i="6"/>
  <c r="J155" i="6"/>
  <c r="I155" i="6"/>
  <c r="L155" i="6" s="1"/>
  <c r="M155" i="6" s="1"/>
  <c r="N155" i="6" s="1"/>
  <c r="K154" i="6"/>
  <c r="J154" i="6"/>
  <c r="I154" i="6"/>
  <c r="L154" i="6" s="1"/>
  <c r="M154" i="6" s="1"/>
  <c r="N154" i="6" s="1"/>
  <c r="K153" i="6"/>
  <c r="J153" i="6"/>
  <c r="I153" i="6"/>
  <c r="L153" i="6" s="1"/>
  <c r="M153" i="6" s="1"/>
  <c r="N153" i="6" s="1"/>
  <c r="K152" i="6"/>
  <c r="J152" i="6"/>
  <c r="I152" i="6"/>
  <c r="L152" i="6" s="1"/>
  <c r="M152" i="6" s="1"/>
  <c r="N152" i="6" s="1"/>
  <c r="K151" i="6"/>
  <c r="J151" i="6"/>
  <c r="I151" i="6"/>
  <c r="L151" i="6" s="1"/>
  <c r="M151" i="6" s="1"/>
  <c r="N151" i="6" s="1"/>
  <c r="K150" i="6"/>
  <c r="J150" i="6"/>
  <c r="I150" i="6"/>
  <c r="L150" i="6" s="1"/>
  <c r="M150" i="6" s="1"/>
  <c r="N150" i="6" s="1"/>
  <c r="K149" i="6"/>
  <c r="J149" i="6"/>
  <c r="I149" i="6"/>
  <c r="L149" i="6" s="1"/>
  <c r="M149" i="6" s="1"/>
  <c r="N149" i="6" s="1"/>
  <c r="K148" i="6"/>
  <c r="J148" i="6"/>
  <c r="I148" i="6"/>
  <c r="L148" i="6" s="1"/>
  <c r="M148" i="6" s="1"/>
  <c r="N148" i="6" s="1"/>
  <c r="K147" i="6"/>
  <c r="J147" i="6"/>
  <c r="I147" i="6"/>
  <c r="L147" i="6" s="1"/>
  <c r="M147" i="6" s="1"/>
  <c r="N147" i="6" s="1"/>
  <c r="K146" i="6"/>
  <c r="J146" i="6"/>
  <c r="I146" i="6"/>
  <c r="L146" i="6" s="1"/>
  <c r="M146" i="6" s="1"/>
  <c r="N146" i="6" s="1"/>
  <c r="K145" i="6"/>
  <c r="J145" i="6"/>
  <c r="I145" i="6"/>
  <c r="L145" i="6" s="1"/>
  <c r="M145" i="6" s="1"/>
  <c r="N145" i="6" s="1"/>
  <c r="K144" i="6"/>
  <c r="J144" i="6"/>
  <c r="I144" i="6"/>
  <c r="L144" i="6" s="1"/>
  <c r="M144" i="6" s="1"/>
  <c r="N144" i="6" s="1"/>
  <c r="K143" i="6"/>
  <c r="J143" i="6"/>
  <c r="I143" i="6"/>
  <c r="L143" i="6" s="1"/>
  <c r="M143" i="6" s="1"/>
  <c r="N143" i="6" s="1"/>
  <c r="K142" i="6"/>
  <c r="J142" i="6"/>
  <c r="I142" i="6"/>
  <c r="L142" i="6" s="1"/>
  <c r="M142" i="6" s="1"/>
  <c r="N142" i="6" s="1"/>
  <c r="K141" i="6"/>
  <c r="J141" i="6"/>
  <c r="I141" i="6"/>
  <c r="L141" i="6" s="1"/>
  <c r="M141" i="6" s="1"/>
  <c r="N141" i="6" s="1"/>
  <c r="K140" i="6"/>
  <c r="J140" i="6"/>
  <c r="I140" i="6"/>
  <c r="L140" i="6" s="1"/>
  <c r="M140" i="6" s="1"/>
  <c r="N140" i="6" s="1"/>
  <c r="K139" i="6"/>
  <c r="J139" i="6"/>
  <c r="I139" i="6"/>
  <c r="L139" i="6" s="1"/>
  <c r="M139" i="6" s="1"/>
  <c r="N139" i="6" s="1"/>
  <c r="K138" i="6"/>
  <c r="J138" i="6"/>
  <c r="I138" i="6"/>
  <c r="L138" i="6" s="1"/>
  <c r="M138" i="6" s="1"/>
  <c r="N138" i="6" s="1"/>
  <c r="K137" i="6"/>
  <c r="J137" i="6"/>
  <c r="I137" i="6"/>
  <c r="L137" i="6" s="1"/>
  <c r="M137" i="6" s="1"/>
  <c r="N137" i="6" s="1"/>
  <c r="K136" i="6"/>
  <c r="J136" i="6"/>
  <c r="I136" i="6"/>
  <c r="L136" i="6" s="1"/>
  <c r="M136" i="6" s="1"/>
  <c r="N136" i="6" s="1"/>
  <c r="K135" i="6"/>
  <c r="J135" i="6"/>
  <c r="I135" i="6"/>
  <c r="L135" i="6" s="1"/>
  <c r="M135" i="6" s="1"/>
  <c r="N135" i="6" s="1"/>
  <c r="K134" i="6"/>
  <c r="J134" i="6"/>
  <c r="I134" i="6"/>
  <c r="L134" i="6" s="1"/>
  <c r="M134" i="6" s="1"/>
  <c r="N134" i="6" s="1"/>
  <c r="K133" i="6"/>
  <c r="J133" i="6"/>
  <c r="I133" i="6"/>
  <c r="L133" i="6" s="1"/>
  <c r="K132" i="6"/>
  <c r="J132" i="6"/>
  <c r="I132" i="6"/>
  <c r="L132" i="6" s="1"/>
  <c r="M132" i="6" s="1"/>
  <c r="N132" i="6" s="1"/>
  <c r="K131" i="6"/>
  <c r="J131" i="6"/>
  <c r="I131" i="6"/>
  <c r="L131" i="6" s="1"/>
  <c r="M131" i="6" s="1"/>
  <c r="N131" i="6" s="1"/>
  <c r="K130" i="6"/>
  <c r="J130" i="6"/>
  <c r="I130" i="6"/>
  <c r="L130" i="6" s="1"/>
  <c r="K128" i="6"/>
  <c r="J128" i="6"/>
  <c r="I128" i="6"/>
  <c r="L128" i="6" s="1"/>
  <c r="M128" i="6" s="1"/>
  <c r="N128" i="6" s="1"/>
  <c r="K127" i="6"/>
  <c r="J127" i="6"/>
  <c r="I127" i="6"/>
  <c r="L127" i="6" s="1"/>
  <c r="M127" i="6" s="1"/>
  <c r="N127" i="6" s="1"/>
  <c r="K126" i="6"/>
  <c r="J126" i="6"/>
  <c r="L126" i="6"/>
  <c r="N126" i="6" s="1"/>
  <c r="K125" i="6"/>
  <c r="J125" i="6"/>
  <c r="I125" i="6"/>
  <c r="L125" i="6" s="1"/>
  <c r="N125" i="6" s="1"/>
  <c r="K124" i="6"/>
  <c r="J124" i="6"/>
  <c r="I124" i="6"/>
  <c r="L124" i="6" s="1"/>
  <c r="N124" i="6" s="1"/>
  <c r="K123" i="6"/>
  <c r="J123" i="6"/>
  <c r="I123" i="6"/>
  <c r="L123" i="6" s="1"/>
  <c r="N123" i="6" s="1"/>
  <c r="K122" i="6"/>
  <c r="J122" i="6"/>
  <c r="I122" i="6"/>
  <c r="L122" i="6" s="1"/>
  <c r="N122" i="6" s="1"/>
  <c r="K121" i="6"/>
  <c r="J121" i="6"/>
  <c r="I121" i="6"/>
  <c r="L121" i="6" s="1"/>
  <c r="N121" i="6" s="1"/>
  <c r="K120" i="6"/>
  <c r="J120" i="6"/>
  <c r="I120" i="6"/>
  <c r="L120" i="6" s="1"/>
  <c r="N120" i="6" s="1"/>
  <c r="K119" i="6"/>
  <c r="J119" i="6"/>
  <c r="I119" i="6"/>
  <c r="L119" i="6" s="1"/>
  <c r="N119" i="6" s="1"/>
  <c r="K118" i="6"/>
  <c r="J118" i="6"/>
  <c r="I118" i="6"/>
  <c r="L118" i="6" s="1"/>
  <c r="N118" i="6" s="1"/>
  <c r="K117" i="6"/>
  <c r="J117" i="6"/>
  <c r="I117" i="6"/>
  <c r="L117" i="6" s="1"/>
  <c r="N117" i="6" s="1"/>
  <c r="K116" i="6"/>
  <c r="J116" i="6"/>
  <c r="I116" i="6"/>
  <c r="L116" i="6" s="1"/>
  <c r="K115" i="6"/>
  <c r="J115" i="6"/>
  <c r="I115" i="6"/>
  <c r="L115" i="6" s="1"/>
  <c r="N115" i="6" s="1"/>
  <c r="K114" i="6"/>
  <c r="J114" i="6"/>
  <c r="I114" i="6"/>
  <c r="L114" i="6" s="1"/>
  <c r="N114" i="6" s="1"/>
  <c r="K113" i="6"/>
  <c r="J113" i="6"/>
  <c r="I113" i="6"/>
  <c r="L113" i="6" s="1"/>
  <c r="M113" i="6" s="1"/>
  <c r="N113" i="6" s="1"/>
  <c r="K112" i="6"/>
  <c r="J112" i="6"/>
  <c r="I112" i="6"/>
  <c r="L112" i="6" s="1"/>
  <c r="M112" i="6" s="1"/>
  <c r="N112" i="6" s="1"/>
  <c r="K111" i="6"/>
  <c r="J111" i="6"/>
  <c r="I111" i="6"/>
  <c r="L111" i="6" s="1"/>
  <c r="M111" i="6" s="1"/>
  <c r="N111" i="6" s="1"/>
  <c r="K110" i="6"/>
  <c r="J110" i="6"/>
  <c r="I110" i="6"/>
  <c r="L110" i="6" s="1"/>
  <c r="M110" i="6" s="1"/>
  <c r="N110" i="6" s="1"/>
  <c r="K109" i="6"/>
  <c r="J109" i="6"/>
  <c r="I109" i="6"/>
  <c r="L109" i="6" s="1"/>
  <c r="M109" i="6" s="1"/>
  <c r="N109" i="6" s="1"/>
  <c r="K108" i="6"/>
  <c r="J108" i="6"/>
  <c r="I108" i="6"/>
  <c r="L108" i="6" s="1"/>
  <c r="M108" i="6" s="1"/>
  <c r="N108" i="6" s="1"/>
  <c r="K107" i="6"/>
  <c r="J107" i="6"/>
  <c r="I107" i="6"/>
  <c r="L107" i="6" s="1"/>
  <c r="M107" i="6" s="1"/>
  <c r="N107" i="6" s="1"/>
  <c r="K106" i="6"/>
  <c r="J106" i="6"/>
  <c r="I106" i="6"/>
  <c r="L106" i="6" s="1"/>
  <c r="M106" i="6" s="1"/>
  <c r="N106" i="6" s="1"/>
  <c r="K105" i="6"/>
  <c r="J105" i="6"/>
  <c r="I105" i="6"/>
  <c r="L105" i="6" s="1"/>
  <c r="M105" i="6" s="1"/>
  <c r="N105" i="6" s="1"/>
  <c r="K104" i="6"/>
  <c r="J104" i="6"/>
  <c r="I104" i="6"/>
  <c r="L104" i="6" s="1"/>
  <c r="M104" i="6" s="1"/>
  <c r="N104" i="6" s="1"/>
  <c r="K103" i="6"/>
  <c r="J103" i="6"/>
  <c r="I103" i="6"/>
  <c r="L103" i="6" s="1"/>
  <c r="M103" i="6" s="1"/>
  <c r="N103" i="6" s="1"/>
  <c r="K102" i="6"/>
  <c r="J102" i="6"/>
  <c r="I102" i="6"/>
  <c r="L102" i="6" s="1"/>
  <c r="M102" i="6" s="1"/>
  <c r="N102" i="6" s="1"/>
  <c r="K101" i="6"/>
  <c r="J101" i="6"/>
  <c r="I101" i="6"/>
  <c r="L101" i="6" s="1"/>
  <c r="M101" i="6" s="1"/>
  <c r="N101" i="6" s="1"/>
  <c r="K100" i="6"/>
  <c r="J100" i="6"/>
  <c r="I100" i="6"/>
  <c r="L100" i="6" s="1"/>
  <c r="M100" i="6" s="1"/>
  <c r="N100" i="6" s="1"/>
  <c r="K99" i="6"/>
  <c r="J99" i="6"/>
  <c r="I99" i="6"/>
  <c r="L99" i="6" s="1"/>
  <c r="N99" i="6" s="1"/>
  <c r="K98" i="6"/>
  <c r="J98" i="6"/>
  <c r="I98" i="6"/>
  <c r="L98" i="6" s="1"/>
  <c r="N98" i="6" s="1"/>
  <c r="K97" i="6"/>
  <c r="J97" i="6"/>
  <c r="I97" i="6"/>
  <c r="L97" i="6" s="1"/>
  <c r="N97" i="6" s="1"/>
  <c r="K96" i="6"/>
  <c r="J96" i="6"/>
  <c r="I96" i="6"/>
  <c r="L96" i="6" s="1"/>
  <c r="M96" i="6" s="1"/>
  <c r="N96" i="6" s="1"/>
  <c r="K95" i="6"/>
  <c r="J95" i="6"/>
  <c r="I95" i="6"/>
  <c r="L95" i="6" s="1"/>
  <c r="M95" i="6" s="1"/>
  <c r="N95" i="6" s="1"/>
  <c r="K94" i="6"/>
  <c r="J94" i="6"/>
  <c r="I94" i="6"/>
  <c r="L94" i="6" s="1"/>
  <c r="N94" i="6" s="1"/>
  <c r="K93" i="6"/>
  <c r="J93" i="6"/>
  <c r="I93" i="6"/>
  <c r="L93" i="6" s="1"/>
  <c r="N93" i="6" s="1"/>
  <c r="K92" i="6"/>
  <c r="J92" i="6"/>
  <c r="I92" i="6"/>
  <c r="L92" i="6" s="1"/>
  <c r="N92" i="6" s="1"/>
  <c r="K91" i="6"/>
  <c r="J91" i="6"/>
  <c r="I91" i="6"/>
  <c r="L91" i="6" s="1"/>
  <c r="M91" i="6" s="1"/>
  <c r="N91" i="6" s="1"/>
  <c r="K90" i="6"/>
  <c r="J90" i="6"/>
  <c r="I90" i="6"/>
  <c r="L90" i="6" s="1"/>
  <c r="M90" i="6" s="1"/>
  <c r="N90" i="6" s="1"/>
  <c r="K89" i="6"/>
  <c r="J89" i="6"/>
  <c r="I89" i="6"/>
  <c r="L89" i="6" s="1"/>
  <c r="M89" i="6" s="1"/>
  <c r="N89" i="6" s="1"/>
  <c r="K88" i="6"/>
  <c r="J88" i="6"/>
  <c r="I88" i="6"/>
  <c r="L88" i="6" s="1"/>
  <c r="M88" i="6" s="1"/>
  <c r="N88" i="6" s="1"/>
  <c r="K87" i="6"/>
  <c r="J87" i="6"/>
  <c r="I87" i="6"/>
  <c r="L87" i="6" s="1"/>
  <c r="M87" i="6" s="1"/>
  <c r="N87" i="6" s="1"/>
  <c r="K86" i="6"/>
  <c r="J86" i="6"/>
  <c r="I86" i="6"/>
  <c r="L86" i="6" s="1"/>
  <c r="N86" i="6" s="1"/>
  <c r="K85" i="6"/>
  <c r="J85" i="6"/>
  <c r="I85" i="6"/>
  <c r="L85" i="6" s="1"/>
  <c r="N85" i="6" s="1"/>
  <c r="K84" i="6"/>
  <c r="J84" i="6"/>
  <c r="I84" i="6"/>
  <c r="L84" i="6" s="1"/>
  <c r="N84" i="6" s="1"/>
  <c r="K83" i="6"/>
  <c r="J83" i="6"/>
  <c r="I83" i="6"/>
  <c r="L83" i="6" s="1"/>
  <c r="N83" i="6" s="1"/>
  <c r="K82" i="6"/>
  <c r="J82" i="6"/>
  <c r="I82" i="6"/>
  <c r="L82" i="6" s="1"/>
  <c r="N82" i="6" s="1"/>
  <c r="K81" i="6"/>
  <c r="J81" i="6"/>
  <c r="I81" i="6"/>
  <c r="L81" i="6" s="1"/>
  <c r="N81" i="6" s="1"/>
  <c r="K80" i="6"/>
  <c r="J80" i="6"/>
  <c r="I80" i="6"/>
  <c r="L80" i="6" s="1"/>
  <c r="N80" i="6" s="1"/>
  <c r="K79" i="6"/>
  <c r="J79" i="6"/>
  <c r="I79" i="6"/>
  <c r="L79" i="6" s="1"/>
  <c r="N79" i="6" s="1"/>
  <c r="K78" i="6"/>
  <c r="J78" i="6"/>
  <c r="I78" i="6"/>
  <c r="L78" i="6" s="1"/>
  <c r="M78" i="6" s="1"/>
  <c r="N78" i="6" s="1"/>
  <c r="K77" i="6"/>
  <c r="J77" i="6"/>
  <c r="I77" i="6"/>
  <c r="L77" i="6" s="1"/>
  <c r="M77" i="6" s="1"/>
  <c r="N77" i="6" s="1"/>
  <c r="K76" i="6"/>
  <c r="J76" i="6"/>
  <c r="I76" i="6"/>
  <c r="L76" i="6" s="1"/>
  <c r="M76" i="6" s="1"/>
  <c r="N76" i="6" s="1"/>
  <c r="K75" i="6"/>
  <c r="J75" i="6"/>
  <c r="I75" i="6"/>
  <c r="L75" i="6" s="1"/>
  <c r="M75" i="6" s="1"/>
  <c r="N75" i="6" s="1"/>
  <c r="K74" i="6"/>
  <c r="J74" i="6"/>
  <c r="I74" i="6"/>
  <c r="L74" i="6" s="1"/>
  <c r="M74" i="6" s="1"/>
  <c r="N74" i="6" s="1"/>
  <c r="K73" i="6"/>
  <c r="J73" i="6"/>
  <c r="I73" i="6"/>
  <c r="L73" i="6" s="1"/>
  <c r="M73" i="6" s="1"/>
  <c r="N73" i="6" s="1"/>
  <c r="K72" i="6"/>
  <c r="J72" i="6"/>
  <c r="I72" i="6"/>
  <c r="L72" i="6" s="1"/>
  <c r="M72" i="6" s="1"/>
  <c r="N72" i="6" s="1"/>
  <c r="K71" i="6"/>
  <c r="J71" i="6"/>
  <c r="I71" i="6"/>
  <c r="L71" i="6" s="1"/>
  <c r="M71" i="6" s="1"/>
  <c r="N71" i="6" s="1"/>
  <c r="K70" i="6"/>
  <c r="J70" i="6"/>
  <c r="I70" i="6"/>
  <c r="L70" i="6" s="1"/>
  <c r="M70" i="6" s="1"/>
  <c r="N70" i="6" s="1"/>
  <c r="K69" i="6"/>
  <c r="J69" i="6"/>
  <c r="I69" i="6"/>
  <c r="L69" i="6" s="1"/>
  <c r="M69" i="6" s="1"/>
  <c r="N69" i="6" s="1"/>
  <c r="K68" i="6"/>
  <c r="J68" i="6"/>
  <c r="I68" i="6"/>
  <c r="L68" i="6" s="1"/>
  <c r="M68" i="6" s="1"/>
  <c r="N68" i="6" s="1"/>
  <c r="K67" i="6"/>
  <c r="J67" i="6"/>
  <c r="I67" i="6"/>
  <c r="L67" i="6" s="1"/>
  <c r="M67" i="6" s="1"/>
  <c r="N67" i="6" s="1"/>
  <c r="K66" i="6"/>
  <c r="J66" i="6"/>
  <c r="I66" i="6"/>
  <c r="L66" i="6" s="1"/>
  <c r="M66" i="6" s="1"/>
  <c r="N66" i="6" s="1"/>
  <c r="K65" i="6"/>
  <c r="J65" i="6"/>
  <c r="I65" i="6"/>
  <c r="L65" i="6" s="1"/>
  <c r="M65" i="6" s="1"/>
  <c r="N65" i="6" s="1"/>
  <c r="K64" i="6"/>
  <c r="J64" i="6"/>
  <c r="I64" i="6"/>
  <c r="L64" i="6" s="1"/>
  <c r="M64" i="6" s="1"/>
  <c r="N64" i="6" s="1"/>
  <c r="K63" i="6"/>
  <c r="J63" i="6"/>
  <c r="I63" i="6"/>
  <c r="L63" i="6" s="1"/>
  <c r="M63" i="6" s="1"/>
  <c r="N63" i="6" s="1"/>
  <c r="K62" i="6"/>
  <c r="J62" i="6"/>
  <c r="I62" i="6"/>
  <c r="L62" i="6" s="1"/>
  <c r="M62" i="6" s="1"/>
  <c r="N62" i="6" s="1"/>
  <c r="K61" i="6"/>
  <c r="J61" i="6"/>
  <c r="I61" i="6"/>
  <c r="L61" i="6" s="1"/>
  <c r="M61" i="6" s="1"/>
  <c r="N61" i="6" s="1"/>
  <c r="K60" i="6"/>
  <c r="J60" i="6"/>
  <c r="I60" i="6"/>
  <c r="L60" i="6" s="1"/>
  <c r="M60" i="6" s="1"/>
  <c r="N60" i="6" s="1"/>
  <c r="K59" i="6"/>
  <c r="J59" i="6"/>
  <c r="I59" i="6"/>
  <c r="L59" i="6" s="1"/>
  <c r="M59" i="6" s="1"/>
  <c r="N59" i="6" s="1"/>
  <c r="K58" i="6"/>
  <c r="J58" i="6"/>
  <c r="I58" i="6"/>
  <c r="L58" i="6" s="1"/>
  <c r="M58" i="6" s="1"/>
  <c r="N58" i="6" s="1"/>
  <c r="K57" i="6"/>
  <c r="J57" i="6"/>
  <c r="I57" i="6"/>
  <c r="L57" i="6" s="1"/>
  <c r="M57" i="6" s="1"/>
  <c r="N57" i="6" s="1"/>
  <c r="K56" i="6"/>
  <c r="J56" i="6"/>
  <c r="I56" i="6"/>
  <c r="L56" i="6" s="1"/>
  <c r="M56" i="6" s="1"/>
  <c r="N56" i="6" s="1"/>
  <c r="K55" i="6"/>
  <c r="J55" i="6"/>
  <c r="I55" i="6"/>
  <c r="L55" i="6" s="1"/>
  <c r="M55" i="6" s="1"/>
  <c r="N55" i="6" s="1"/>
  <c r="K54" i="6"/>
  <c r="J54" i="6"/>
  <c r="I54" i="6"/>
  <c r="L54" i="6" s="1"/>
  <c r="M54" i="6" s="1"/>
  <c r="N54" i="6" s="1"/>
  <c r="K53" i="6"/>
  <c r="J53" i="6"/>
  <c r="I53" i="6"/>
  <c r="L53" i="6" s="1"/>
  <c r="M53" i="6" s="1"/>
  <c r="N53" i="6" s="1"/>
  <c r="K52" i="6"/>
  <c r="J52" i="6"/>
  <c r="I52" i="6"/>
  <c r="L52" i="6" s="1"/>
  <c r="M52" i="6" s="1"/>
  <c r="N52" i="6" s="1"/>
  <c r="K51" i="6"/>
  <c r="J51" i="6"/>
  <c r="I51" i="6"/>
  <c r="L51" i="6" s="1"/>
  <c r="M51" i="6" s="1"/>
  <c r="N51" i="6" s="1"/>
  <c r="K50" i="6"/>
  <c r="J50" i="6"/>
  <c r="I50" i="6"/>
  <c r="L50" i="6" s="1"/>
  <c r="M50" i="6" s="1"/>
  <c r="N50" i="6" s="1"/>
  <c r="K49" i="6"/>
  <c r="J49" i="6"/>
  <c r="I49" i="6"/>
  <c r="L49" i="6" s="1"/>
  <c r="M49" i="6" s="1"/>
  <c r="N49" i="6" s="1"/>
  <c r="K48" i="6"/>
  <c r="J48" i="6"/>
  <c r="I48" i="6"/>
  <c r="L48" i="6" s="1"/>
  <c r="M48" i="6" s="1"/>
  <c r="N48" i="6" s="1"/>
  <c r="K47" i="6"/>
  <c r="J47" i="6"/>
  <c r="I47" i="6"/>
  <c r="L47" i="6" s="1"/>
  <c r="M47" i="6" s="1"/>
  <c r="N47" i="6" s="1"/>
  <c r="K46" i="6"/>
  <c r="J46" i="6"/>
  <c r="I46" i="6"/>
  <c r="L46" i="6" s="1"/>
  <c r="M46" i="6" s="1"/>
  <c r="N46" i="6" s="1"/>
  <c r="K45" i="6"/>
  <c r="J45" i="6"/>
  <c r="I45" i="6"/>
  <c r="L45" i="6" s="1"/>
  <c r="M45" i="6" s="1"/>
  <c r="N45" i="6" s="1"/>
  <c r="K44" i="6"/>
  <c r="J44" i="6"/>
  <c r="I44" i="6"/>
  <c r="L44" i="6" s="1"/>
  <c r="M44" i="6" s="1"/>
  <c r="N44" i="6" s="1"/>
  <c r="K43" i="6"/>
  <c r="J43" i="6"/>
  <c r="I43" i="6"/>
  <c r="L43" i="6" s="1"/>
  <c r="M43" i="6" s="1"/>
  <c r="N43" i="6" s="1"/>
  <c r="K42" i="6"/>
  <c r="J42" i="6"/>
  <c r="I42" i="6"/>
  <c r="L42" i="6" s="1"/>
  <c r="M42" i="6" s="1"/>
  <c r="N42" i="6" s="1"/>
  <c r="K41" i="6"/>
  <c r="J41" i="6"/>
  <c r="I41" i="6"/>
  <c r="L41" i="6" s="1"/>
  <c r="M41" i="6" s="1"/>
  <c r="N41" i="6" s="1"/>
  <c r="K40" i="6"/>
  <c r="J40" i="6"/>
  <c r="I40" i="6"/>
  <c r="L40" i="6" s="1"/>
  <c r="M40" i="6" s="1"/>
  <c r="N40" i="6" s="1"/>
  <c r="K39" i="6"/>
  <c r="J39" i="6"/>
  <c r="I39" i="6"/>
  <c r="L39" i="6" s="1"/>
  <c r="M39" i="6" s="1"/>
  <c r="N39" i="6" s="1"/>
  <c r="K38" i="6"/>
  <c r="J38" i="6"/>
  <c r="I38" i="6"/>
  <c r="L38" i="6" s="1"/>
  <c r="M38" i="6" s="1"/>
  <c r="N38" i="6" s="1"/>
  <c r="K37" i="6"/>
  <c r="J37" i="6"/>
  <c r="I37" i="6"/>
  <c r="L37" i="6" s="1"/>
  <c r="M37" i="6" s="1"/>
  <c r="N37" i="6" s="1"/>
  <c r="K36" i="6"/>
  <c r="J36" i="6"/>
  <c r="I36" i="6"/>
  <c r="L36" i="6" s="1"/>
  <c r="M36" i="6" s="1"/>
  <c r="N36" i="6" s="1"/>
  <c r="K35" i="6"/>
  <c r="J35" i="6"/>
  <c r="I35" i="6"/>
  <c r="L35" i="6" s="1"/>
  <c r="M35" i="6" s="1"/>
  <c r="N35" i="6" s="1"/>
  <c r="K34" i="6"/>
  <c r="J34" i="6"/>
  <c r="I34" i="6"/>
  <c r="L34" i="6" s="1"/>
  <c r="M34" i="6" s="1"/>
  <c r="N34" i="6" s="1"/>
  <c r="K33" i="6"/>
  <c r="J33" i="6"/>
  <c r="I33" i="6"/>
  <c r="L33" i="6" s="1"/>
  <c r="M33" i="6" s="1"/>
  <c r="N33" i="6" s="1"/>
  <c r="K32" i="6"/>
  <c r="J32" i="6"/>
  <c r="I32" i="6"/>
  <c r="L32" i="6" s="1"/>
  <c r="M32" i="6" s="1"/>
  <c r="N32" i="6" s="1"/>
  <c r="K31" i="6"/>
  <c r="J31" i="6"/>
  <c r="I31" i="6"/>
  <c r="L31" i="6" s="1"/>
  <c r="M31" i="6" s="1"/>
  <c r="N31" i="6" s="1"/>
  <c r="K30" i="6"/>
  <c r="J30" i="6"/>
  <c r="I30" i="6"/>
  <c r="L30" i="6" s="1"/>
  <c r="M30" i="6" s="1"/>
  <c r="N30" i="6" s="1"/>
  <c r="K29" i="6"/>
  <c r="J29" i="6"/>
  <c r="I29" i="6"/>
  <c r="L29" i="6" s="1"/>
  <c r="M29" i="6" s="1"/>
  <c r="N29" i="6" s="1"/>
  <c r="K28" i="6"/>
  <c r="J28" i="6"/>
  <c r="I28" i="6"/>
  <c r="L28" i="6" s="1"/>
  <c r="M28" i="6" s="1"/>
  <c r="N28" i="6" s="1"/>
  <c r="K27" i="6"/>
  <c r="J27" i="6"/>
  <c r="I27" i="6"/>
  <c r="L27" i="6" s="1"/>
  <c r="M27" i="6" s="1"/>
  <c r="N27" i="6" s="1"/>
  <c r="K26" i="6"/>
  <c r="J26" i="6"/>
  <c r="I26" i="6"/>
  <c r="L26" i="6" s="1"/>
  <c r="M26" i="6" s="1"/>
  <c r="N26" i="6" s="1"/>
  <c r="K25" i="6"/>
  <c r="J25" i="6"/>
  <c r="I25" i="6"/>
  <c r="L25" i="6" s="1"/>
  <c r="M25" i="6" s="1"/>
  <c r="N25" i="6" s="1"/>
  <c r="K24" i="6"/>
  <c r="J24" i="6"/>
  <c r="I24" i="6"/>
  <c r="L24" i="6" s="1"/>
  <c r="M24" i="6" s="1"/>
  <c r="N24" i="6" s="1"/>
  <c r="K23" i="6"/>
  <c r="J23" i="6"/>
  <c r="I23" i="6"/>
  <c r="L23" i="6" s="1"/>
  <c r="M23" i="6" s="1"/>
  <c r="N23" i="6" s="1"/>
  <c r="K22" i="6"/>
  <c r="J22" i="6"/>
  <c r="I22" i="6"/>
  <c r="L22" i="6" s="1"/>
  <c r="M22" i="6" s="1"/>
  <c r="N22" i="6" s="1"/>
  <c r="K21" i="6"/>
  <c r="J21" i="6"/>
  <c r="I21" i="6"/>
  <c r="L21" i="6" s="1"/>
  <c r="M21" i="6" s="1"/>
  <c r="N21" i="6" s="1"/>
  <c r="K20" i="6"/>
  <c r="J20" i="6"/>
  <c r="I20" i="6"/>
  <c r="L20" i="6" s="1"/>
  <c r="M20" i="6" s="1"/>
  <c r="N20" i="6" s="1"/>
  <c r="K19" i="6"/>
  <c r="J19" i="6"/>
  <c r="I19" i="6"/>
  <c r="L19" i="6" s="1"/>
  <c r="M19" i="6" s="1"/>
  <c r="N19" i="6" s="1"/>
  <c r="K18" i="6"/>
  <c r="J18" i="6"/>
  <c r="I18" i="6"/>
  <c r="L18" i="6" s="1"/>
  <c r="M18" i="6" s="1"/>
  <c r="N18" i="6" s="1"/>
  <c r="K17" i="6"/>
  <c r="J17" i="6"/>
  <c r="I17" i="6"/>
  <c r="L17" i="6" s="1"/>
  <c r="K16" i="6"/>
  <c r="J16" i="6"/>
  <c r="I16" i="6"/>
  <c r="L16" i="6" s="1"/>
  <c r="K15" i="6"/>
  <c r="J15" i="6"/>
  <c r="I15" i="6"/>
  <c r="L15" i="6" s="1"/>
  <c r="M15" i="6" s="1"/>
  <c r="N15" i="6" s="1"/>
  <c r="K14" i="6"/>
  <c r="J14" i="6"/>
  <c r="I14" i="6"/>
  <c r="L14" i="6" s="1"/>
  <c r="M14" i="6" s="1"/>
  <c r="N14" i="6" s="1"/>
  <c r="K13" i="6"/>
  <c r="J13" i="6"/>
  <c r="I13" i="6"/>
  <c r="K12" i="6"/>
  <c r="J12" i="6"/>
  <c r="I12" i="6"/>
  <c r="L12" i="6" s="1"/>
  <c r="M12" i="6" s="1"/>
  <c r="K11" i="6"/>
  <c r="J11" i="6"/>
  <c r="I11" i="6"/>
  <c r="L11" i="6" s="1"/>
  <c r="M11" i="6" s="1"/>
  <c r="N11" i="6" s="1"/>
  <c r="K10" i="6"/>
  <c r="J10" i="6"/>
  <c r="I10" i="6"/>
  <c r="L10" i="6" s="1"/>
  <c r="M10" i="6" s="1"/>
  <c r="N10" i="6" s="1"/>
  <c r="K9" i="6"/>
  <c r="J9" i="6"/>
  <c r="I9" i="6"/>
  <c r="L9" i="6" s="1"/>
  <c r="K8" i="6"/>
  <c r="J8" i="6"/>
  <c r="I8" i="6"/>
  <c r="L8" i="6" s="1"/>
  <c r="K7" i="6"/>
  <c r="J7" i="6"/>
  <c r="I7" i="6"/>
  <c r="L7" i="6" s="1"/>
  <c r="M7" i="6" s="1"/>
  <c r="N7" i="6" s="1"/>
  <c r="K6" i="6"/>
  <c r="J6" i="6"/>
  <c r="I6" i="6"/>
  <c r="M9" i="6" l="1"/>
  <c r="N9" i="6" s="1"/>
  <c r="M8" i="6"/>
  <c r="N8" i="6" s="1"/>
  <c r="M16" i="6"/>
  <c r="N16" i="6" s="1"/>
  <c r="L6" i="6"/>
  <c r="M6" i="6" s="1"/>
  <c r="N6" i="6" s="1"/>
  <c r="I129" i="6"/>
  <c r="M116" i="6"/>
  <c r="N116" i="6" s="1"/>
  <c r="M17" i="6"/>
  <c r="N17" i="6" s="1"/>
  <c r="N12" i="6"/>
  <c r="L13" i="6"/>
  <c r="M13" i="6" s="1"/>
  <c r="N13" i="6" s="1"/>
  <c r="G203" i="6" l="1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2" i="6"/>
  <c r="G131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Q9" i="6"/>
  <c r="Q8" i="6"/>
  <c r="Q7" i="6"/>
  <c r="Q6" i="6"/>
  <c r="G204" i="6" l="1"/>
</calcChain>
</file>

<file path=xl/sharedStrings.xml><?xml version="1.0" encoding="utf-8"?>
<sst xmlns="http://schemas.openxmlformats.org/spreadsheetml/2006/main" count="1634" uniqueCount="620">
  <si>
    <t>Quantity</t>
  </si>
  <si>
    <t>MTR</t>
  </si>
  <si>
    <t>FABRIC INSPECTION MACHINE</t>
  </si>
  <si>
    <t>IRON TABLE</t>
  </si>
  <si>
    <t>Fabric relaxing machine</t>
  </si>
  <si>
    <t>New</t>
  </si>
  <si>
    <t>SET</t>
  </si>
  <si>
    <t>NRL</t>
  </si>
  <si>
    <t>MTK</t>
  </si>
  <si>
    <t>N/A</t>
  </si>
  <si>
    <t>I. MACHINERIES &amp; EQUIPMENTS</t>
  </si>
  <si>
    <t>New/ Used</t>
  </si>
  <si>
    <t>Unit</t>
  </si>
  <si>
    <t>Unit Price
USD</t>
  </si>
  <si>
    <t>Remarks</t>
  </si>
  <si>
    <t>Total Price
USD</t>
  </si>
  <si>
    <t>II. RAW MATERIAL</t>
  </si>
  <si>
    <t>III. ACCESSORY</t>
  </si>
  <si>
    <t>KGM</t>
  </si>
  <si>
    <t>DZN</t>
  </si>
  <si>
    <t>UNT</t>
  </si>
  <si>
    <t>GRO</t>
  </si>
  <si>
    <t>BX</t>
  </si>
  <si>
    <t>1UNIT=100~10000 M</t>
  </si>
  <si>
    <t>1Box=100~5000pcs</t>
  </si>
  <si>
    <t>I-1</t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</si>
  <si>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</si>
  <si>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</si>
  <si>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</si>
  <si>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</si>
  <si>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</si>
  <si>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</si>
  <si>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</si>
  <si>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</si>
  <si>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</si>
  <si>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</si>
  <si>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</si>
  <si>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</si>
  <si>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</si>
  <si>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</si>
  <si>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</si>
  <si>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</si>
  <si>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</si>
  <si>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</si>
  <si>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</si>
  <si>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</si>
  <si>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</si>
  <si>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</si>
  <si>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</si>
  <si>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</si>
  <si>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</si>
  <si>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</si>
  <si>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</si>
  <si>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</si>
  <si>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</si>
  <si>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</si>
  <si>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</si>
  <si>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</si>
  <si>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</si>
  <si>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</si>
  <si>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</si>
  <si>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</si>
  <si>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</si>
  <si>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</si>
  <si>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</si>
  <si>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</si>
  <si>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</si>
  <si>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</si>
  <si>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</si>
  <si>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</si>
  <si>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</si>
  <si>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</si>
  <si>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</si>
  <si>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</si>
  <si>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</si>
  <si>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</si>
  <si>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</si>
  <si>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I-53</t>
  </si>
  <si>
    <t>I-54</t>
  </si>
  <si>
    <t>I-55</t>
  </si>
  <si>
    <t>I-56</t>
  </si>
  <si>
    <t>I-57</t>
  </si>
  <si>
    <t>I-58</t>
  </si>
  <si>
    <t>I-59</t>
  </si>
  <si>
    <t>I-60</t>
  </si>
  <si>
    <t>I-61</t>
  </si>
  <si>
    <t>I-62</t>
  </si>
  <si>
    <t>I-63</t>
  </si>
  <si>
    <t>I-64</t>
  </si>
  <si>
    <t>I-65</t>
  </si>
  <si>
    <t>I-66</t>
  </si>
  <si>
    <t>I-67</t>
  </si>
  <si>
    <t>I-68</t>
  </si>
  <si>
    <t>I-69</t>
  </si>
  <si>
    <t>I-70</t>
  </si>
  <si>
    <t>I-71</t>
  </si>
  <si>
    <t>I-72</t>
  </si>
  <si>
    <t>I-73</t>
  </si>
  <si>
    <t>I-74</t>
  </si>
  <si>
    <t>I-75</t>
  </si>
  <si>
    <t>I-76</t>
  </si>
  <si>
    <t>I-77</t>
  </si>
  <si>
    <t>I-78</t>
  </si>
  <si>
    <t>I-79</t>
  </si>
  <si>
    <t>I-80</t>
  </si>
  <si>
    <t>I-81</t>
  </si>
  <si>
    <t>I-82</t>
  </si>
  <si>
    <t>I-83</t>
  </si>
  <si>
    <t>I-84</t>
  </si>
  <si>
    <t>I-85</t>
  </si>
  <si>
    <t>I-86</t>
  </si>
  <si>
    <t>I-87</t>
  </si>
  <si>
    <t>I-88</t>
  </si>
  <si>
    <t>I-89</t>
  </si>
  <si>
    <t>I-90</t>
  </si>
  <si>
    <t>I-91</t>
  </si>
  <si>
    <t>I-92</t>
  </si>
  <si>
    <t>I-93</t>
  </si>
  <si>
    <t>I-94</t>
  </si>
  <si>
    <t>I-95</t>
  </si>
  <si>
    <t>I-96</t>
  </si>
  <si>
    <t>I-97</t>
  </si>
  <si>
    <t>I-98</t>
  </si>
  <si>
    <t>I-99</t>
  </si>
  <si>
    <t>I-100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</si>
  <si>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</si>
  <si>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</si>
  <si>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</si>
  <si>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</si>
  <si>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</si>
  <si>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</si>
  <si>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</si>
  <si>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</si>
  <si>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I-109</t>
  </si>
  <si>
    <t>I-110</t>
  </si>
  <si>
    <t>I-111</t>
  </si>
  <si>
    <t>I-112</t>
  </si>
  <si>
    <t>I-113</t>
  </si>
  <si>
    <t>I-114</t>
  </si>
  <si>
    <t>I-115</t>
  </si>
  <si>
    <t>I-116</t>
  </si>
  <si>
    <t>I-117</t>
  </si>
  <si>
    <t>I-118</t>
  </si>
  <si>
    <t>I-119</t>
  </si>
  <si>
    <t>I-120</t>
  </si>
  <si>
    <t>I-121</t>
  </si>
  <si>
    <t>I-122</t>
  </si>
  <si>
    <t>I-123</t>
  </si>
  <si>
    <t>II-124</t>
  </si>
  <si>
    <t>II-125</t>
  </si>
  <si>
    <t>III-126</t>
  </si>
  <si>
    <t>III-127</t>
  </si>
  <si>
    <t>III-128</t>
  </si>
  <si>
    <t>III-129</t>
  </si>
  <si>
    <t>III-130</t>
  </si>
  <si>
    <t>III-131</t>
  </si>
  <si>
    <t>III-132</t>
  </si>
  <si>
    <t>III-133</t>
  </si>
  <si>
    <t>III-134</t>
  </si>
  <si>
    <t>III-135</t>
  </si>
  <si>
    <t>III-136</t>
  </si>
  <si>
    <t>III-137</t>
  </si>
  <si>
    <t>III-138</t>
  </si>
  <si>
    <t>III-139</t>
  </si>
  <si>
    <t>III-140</t>
  </si>
  <si>
    <t>III-141</t>
  </si>
  <si>
    <t>III-142</t>
  </si>
  <si>
    <t>III-143</t>
  </si>
  <si>
    <t>III-144</t>
  </si>
  <si>
    <t>III-145</t>
  </si>
  <si>
    <t>III-146</t>
  </si>
  <si>
    <t>III-147</t>
  </si>
  <si>
    <t>III-148</t>
  </si>
  <si>
    <t>III-149</t>
  </si>
  <si>
    <t>III-150</t>
  </si>
  <si>
    <t>III-151</t>
  </si>
  <si>
    <t>III-152</t>
  </si>
  <si>
    <t>III-153</t>
  </si>
  <si>
    <t>III-154</t>
  </si>
  <si>
    <t>III-155</t>
  </si>
  <si>
    <t>III-156</t>
  </si>
  <si>
    <t>III-157</t>
  </si>
  <si>
    <t>III-158</t>
  </si>
  <si>
    <t>III-159</t>
  </si>
  <si>
    <t>III-160</t>
  </si>
  <si>
    <t>III-161</t>
  </si>
  <si>
    <t>III-162</t>
  </si>
  <si>
    <t>III-163</t>
  </si>
  <si>
    <t>III-164</t>
  </si>
  <si>
    <t>III-165</t>
  </si>
  <si>
    <t>III-166</t>
  </si>
  <si>
    <t>III-167</t>
  </si>
  <si>
    <t>III-168</t>
  </si>
  <si>
    <t>III-169</t>
  </si>
  <si>
    <t>III-170</t>
  </si>
  <si>
    <t>III-171</t>
  </si>
  <si>
    <t>III-172</t>
  </si>
  <si>
    <t>III-173</t>
  </si>
  <si>
    <t>III-174</t>
  </si>
  <si>
    <t>III-175</t>
  </si>
  <si>
    <t>III-176</t>
  </si>
  <si>
    <t>III-177</t>
  </si>
  <si>
    <t>III-178</t>
  </si>
  <si>
    <t>III-179</t>
  </si>
  <si>
    <t>III-180</t>
  </si>
  <si>
    <t>III-181</t>
  </si>
  <si>
    <t>III-182</t>
  </si>
  <si>
    <t>III-183</t>
  </si>
  <si>
    <t>III-184</t>
  </si>
  <si>
    <t>III-185</t>
  </si>
  <si>
    <t>III-186</t>
  </si>
  <si>
    <t>III-187</t>
  </si>
  <si>
    <t>III-188</t>
  </si>
  <si>
    <t>III-189</t>
  </si>
  <si>
    <t>III-190</t>
  </si>
  <si>
    <t>III-191</t>
  </si>
  <si>
    <t>III-192</t>
  </si>
  <si>
    <t>III-193</t>
  </si>
  <si>
    <t>III-194</t>
  </si>
  <si>
    <t>III-195</t>
  </si>
  <si>
    <t>FUSING MACHINE</t>
  </si>
  <si>
    <t>INV</t>
  </si>
  <si>
    <t>DATE</t>
  </si>
  <si>
    <t>MONTH</t>
  </si>
  <si>
    <t>MATERIAL</t>
  </si>
  <si>
    <t>ITEM</t>
  </si>
  <si>
    <t>CDC NO</t>
  </si>
  <si>
    <t>CDC UNIT</t>
  </si>
  <si>
    <t>NW.KGS</t>
  </si>
  <si>
    <t>GW.KGS</t>
  </si>
  <si>
    <t xml:space="preserve">HBL </t>
  </si>
  <si>
    <t>MARK</t>
  </si>
  <si>
    <t>ONE NEEDLE SEWING MACHINE</t>
  </si>
  <si>
    <t>TWO NEEDLE SEWING MACHINE</t>
  </si>
  <si>
    <t>FOUR NEEDLE SIX THREAD SEWING MACHINE</t>
  </si>
  <si>
    <t>FOUR THREAD OVERLOCK SEWING MACHINE</t>
  </si>
  <si>
    <t>FIVE THREAD OVERLOCK SEWING MACHINE</t>
  </si>
  <si>
    <t>SEWING MACHINE</t>
  </si>
  <si>
    <t>BARTACKING MACHINE</t>
  </si>
  <si>
    <t>AUTO POCKET MAKING MACHINE</t>
  </si>
  <si>
    <t>BUTTON SEWING MACHINE</t>
  </si>
  <si>
    <t>CH-SHV</t>
  </si>
  <si>
    <t>JRCNQ25033</t>
  </si>
  <si>
    <t xml:space="preserve">Q'TY </t>
  </si>
  <si>
    <t>PRICE</t>
  </si>
  <si>
    <t>N.W</t>
  </si>
  <si>
    <t>BALANCE</t>
  </si>
  <si>
    <t>&lt;50%</t>
  </si>
  <si>
    <t>Condition</t>
  </si>
  <si>
    <t>METAL DETECTOR MACHINE</t>
  </si>
  <si>
    <t>HANDHELD SCANNER</t>
  </si>
  <si>
    <t>ELECTRONIC SCALE-30KG</t>
  </si>
  <si>
    <t>GRAM SCALE-500G</t>
  </si>
  <si>
    <t>HANGING SYSTEM</t>
  </si>
  <si>
    <t>THREE NEEDLE FIVE THREAD SEWING MACHINE</t>
  </si>
  <si>
    <t>COVER STITCHING MACHINE</t>
  </si>
  <si>
    <t>LONG ARM SEWING MACHINE</t>
  </si>
  <si>
    <t>WAISTBAND  CHAINSTITCHING MACHINE</t>
  </si>
  <si>
    <t>TEMPLATE LASER CUT MACHINE</t>
  </si>
  <si>
    <t>TEMPLATE SEWING MACHINE</t>
  </si>
  <si>
    <t>BLIND STITCHING MACHINE</t>
  </si>
  <si>
    <t>UPPER SLEEVE MACHINE</t>
  </si>
  <si>
    <t>SPARE PART OF MACHINE</t>
  </si>
  <si>
    <t>LABEL ATTACHING MACHINE</t>
  </si>
  <si>
    <t>BUTTON HOLING MACHINE</t>
  </si>
  <si>
    <t>SNAP FIXING MACHINE</t>
  </si>
  <si>
    <t>EMBRO MACHINE(7~12 HEAD)</t>
  </si>
  <si>
    <t>AUTOMATIC STRING THRUSTING MACHINE</t>
  </si>
  <si>
    <t>AUTO ELASTIC BAND JOINING MACHINE</t>
  </si>
  <si>
    <t>PATTERN SEWING MACHINE</t>
  </si>
  <si>
    <t>TANGENT BUNDLE MACHINE</t>
  </si>
  <si>
    <t>AUTO COLLAR-BAND ATTACHING MACHINE</t>
  </si>
  <si>
    <t>AUXILIARY MACHINE</t>
  </si>
  <si>
    <t>AUTO CUTTING MACHINE</t>
  </si>
  <si>
    <t>FABRIC SPREADING MACHINE</t>
  </si>
  <si>
    <t>CUTTING TABLE</t>
  </si>
  <si>
    <t>FABRIC RELAXING MACHINE</t>
  </si>
  <si>
    <t>FABRIC CUTTING MACHINE</t>
  </si>
  <si>
    <t>HEAT TRANSFER MACHINE</t>
  </si>
  <si>
    <t>CUTTING SAFETY STEEL HAND GLOVE</t>
  </si>
  <si>
    <t>ELECTRIC KNIFE MACHINE</t>
  </si>
  <si>
    <t>PLOTTER</t>
  </si>
  <si>
    <t>NUMBERING MACHINE</t>
  </si>
  <si>
    <t>AUTO PACKED MACHINE SYSTEM</t>
  </si>
  <si>
    <t>AUTO FOLDING MACHINE</t>
  </si>
  <si>
    <t>CONVEYOR SYSTEM</t>
  </si>
  <si>
    <t>FORKLIFT (3 TON)</t>
  </si>
  <si>
    <t>VERY NARROW AISLE FORKLIFT (VNA)</t>
  </si>
  <si>
    <t>STACKER</t>
  </si>
  <si>
    <t>HYDRAULIC HAND PALLET TRUCK</t>
  </si>
  <si>
    <t>PALLET</t>
  </si>
  <si>
    <t>RACKING</t>
  </si>
  <si>
    <t>HANGING GARMENT RACK</t>
  </si>
  <si>
    <t>SWEEPER &amp; WASHING  MACHINE</t>
  </si>
  <si>
    <t>PULLING TEST MACHINE</t>
  </si>
  <si>
    <t>BUTTON PULL TEST MACHINE</t>
  </si>
  <si>
    <t>TEAR TEST MACHINE</t>
  </si>
  <si>
    <t>CRACKING TEST MACHINE</t>
  </si>
  <si>
    <t>FABRIC STRENGTH TESTER</t>
  </si>
  <si>
    <t>PH TEST MACHINE</t>
  </si>
  <si>
    <t>LIGHT BOX</t>
  </si>
  <si>
    <t>AIR COMPRESSOR (30HP)</t>
  </si>
  <si>
    <t>COLD DRYER</t>
  </si>
  <si>
    <t>GAS TANK</t>
  </si>
  <si>
    <t>AIR CONDITIONER SYSTEM</t>
  </si>
  <si>
    <t>BOILER</t>
  </si>
  <si>
    <t>STEAM IRON</t>
  </si>
  <si>
    <t>ELECTRIC BOILER</t>
  </si>
  <si>
    <t>GENERATOR (DIESEL) (350KVA)</t>
  </si>
  <si>
    <t>DEHUMIDIFIER MACHINE</t>
  </si>
  <si>
    <t>LAMP (USE IN WORKSHOP)</t>
  </si>
  <si>
    <t>EXPLOSION-PROOF  LAMP</t>
  </si>
  <si>
    <t>ELECTRIC WIRE (10-25MM) * 100M/ROLL</t>
  </si>
  <si>
    <t>ELECTRIC WIRE (1.5-6MM)  * 100M / ROLL</t>
  </si>
  <si>
    <t>CABLE (30 - 70MM)</t>
  </si>
  <si>
    <t>CABLE (120-300MM)</t>
  </si>
  <si>
    <t>BREAKERS</t>
  </si>
  <si>
    <t>FAN</t>
  </si>
  <si>
    <t>WATER DRINKING MACHINE</t>
  </si>
  <si>
    <t>WATER SOFTENER SYSTEM (RO)</t>
  </si>
  <si>
    <t>BARCODE PRINTER</t>
  </si>
  <si>
    <t>INFRARED THERMOMETER</t>
  </si>
  <si>
    <t>TEMPERATURE MEASURING DEVICE</t>
  </si>
  <si>
    <t>PUSH BAR</t>
  </si>
  <si>
    <t>PUSH BAR LOCK</t>
  </si>
  <si>
    <t>DOOR CLOSURE</t>
  </si>
  <si>
    <t>MOSQUITO KILLER TUBE</t>
  </si>
  <si>
    <t>MOSQUITO KILLER LAMP STARTER</t>
  </si>
  <si>
    <t>FAUCET</t>
  </si>
  <si>
    <t>ELECTRICAL TAPE</t>
  </si>
  <si>
    <t>CABLE TIE</t>
  </si>
  <si>
    <t>DUMMY</t>
  </si>
  <si>
    <t>INSPECTION TABLE</t>
  </si>
  <si>
    <t>PACKING TABLE</t>
  </si>
  <si>
    <t>TROLLEY</t>
  </si>
  <si>
    <t>PRODUCTION WATER TROUGH</t>
  </si>
  <si>
    <t>LOOSE CLOTH RACK</t>
  </si>
  <si>
    <t>DEHUMIDIFICATION RACK</t>
  </si>
  <si>
    <t>PVC TEMPLATE</t>
  </si>
  <si>
    <t>SEWING SITTING CHAIRS</t>
  </si>
  <si>
    <t>THREAD SUCKING MACHINE</t>
  </si>
  <si>
    <t>ASSEMBLED ISOLATION NET</t>
  </si>
  <si>
    <t>STACKING RACK</t>
  </si>
  <si>
    <t>WATER COOLING SYSTEM</t>
  </si>
  <si>
    <t>SWITCH BOX</t>
  </si>
  <si>
    <t>GALVANIZED PIPE</t>
  </si>
  <si>
    <t>PLASTIC PIPE</t>
  </si>
  <si>
    <t>WATER TANK</t>
  </si>
  <si>
    <t>GALVANIZED BRIDGE FRAME</t>
  </si>
  <si>
    <t>PLASTIC WIRE TROUGH</t>
  </si>
  <si>
    <t>GALVANIZED SQUARE PIPE</t>
  </si>
  <si>
    <t>FLAT LIGHTING</t>
  </si>
  <si>
    <t>STEEL BAR</t>
  </si>
  <si>
    <t>GLASS DOOR</t>
  </si>
  <si>
    <t>GLASS WINDOW</t>
  </si>
  <si>
    <t>ALUMINUM TUBE</t>
  </si>
  <si>
    <t>TEMPERED GLASS</t>
  </si>
  <si>
    <t>GYPSUM BOARD</t>
  </si>
  <si>
    <t>PLASTIC FRAME</t>
  </si>
  <si>
    <t>BARCODE PRINTER MACHINE</t>
  </si>
  <si>
    <t>WOVEN FABRIC</t>
  </si>
  <si>
    <t>KNITTED FABRIC</t>
  </si>
  <si>
    <t>NON-WOVEN FABRIC</t>
  </si>
  <si>
    <t>KNITTED RIB</t>
  </si>
  <si>
    <t>LINING FABRIC</t>
  </si>
  <si>
    <t>YOKE</t>
  </si>
  <si>
    <t>INTERLINING</t>
  </si>
  <si>
    <t>PU FABRIC</t>
  </si>
  <si>
    <t>NYLON THREAD</t>
  </si>
  <si>
    <t>COTTON THREAD</t>
  </si>
  <si>
    <t>POLYESTER THREAD</t>
  </si>
  <si>
    <t>ELASTIC THREAD</t>
  </si>
  <si>
    <t>EMBROIDERY THREAD</t>
  </si>
  <si>
    <t>NYLON ZIPPER</t>
  </si>
  <si>
    <t>METAL ZIPPER</t>
  </si>
  <si>
    <t>PLASTIC ZIPPER</t>
  </si>
  <si>
    <t>MAIN LABEL</t>
  </si>
  <si>
    <t>SIZE LABEL</t>
  </si>
  <si>
    <t>LEATHER PATCH</t>
  </si>
  <si>
    <t>PRINTED LABEL</t>
  </si>
  <si>
    <t>CARE LABEL</t>
  </si>
  <si>
    <t>BADGE</t>
  </si>
  <si>
    <t>WOVEN LABEL</t>
  </si>
  <si>
    <t>EMBROIDERY PATCH</t>
  </si>
  <si>
    <t>HEAT TRANSFER LABEL</t>
  </si>
  <si>
    <t>PO LABEL</t>
  </si>
  <si>
    <t>SHOULDER TAPE</t>
  </si>
  <si>
    <t>HERRINGBONE TAPE</t>
  </si>
  <si>
    <t>WOVEN TAPE</t>
  </si>
  <si>
    <t>COTTON TAPE</t>
  </si>
  <si>
    <t>ELASTIC TAPE</t>
  </si>
  <si>
    <t>DRAWSTRING (DOZ)</t>
  </si>
  <si>
    <t>DRAWSTRING (M)</t>
  </si>
  <si>
    <t>ELASTIC STRING</t>
  </si>
  <si>
    <t>ELASTIC BAND</t>
  </si>
  <si>
    <t>PIPING</t>
  </si>
  <si>
    <t>VELCRO</t>
  </si>
  <si>
    <t>STICKER</t>
  </si>
  <si>
    <t>SIZE STICKER</t>
  </si>
  <si>
    <t>PRICE STICKER</t>
  </si>
  <si>
    <t>HANGER STICKER</t>
  </si>
  <si>
    <t>BARCODE STICKER</t>
  </si>
  <si>
    <t>POLYBAG STICKER</t>
  </si>
  <si>
    <t>CARTON STICKER</t>
  </si>
  <si>
    <t>SNAP</t>
  </si>
  <si>
    <t>METAL BUTTON</t>
  </si>
  <si>
    <t>PLASTIC BUTTON</t>
  </si>
  <si>
    <t>STOPPER</t>
  </si>
  <si>
    <t>TOGGLE</t>
  </si>
  <si>
    <t>EYELET</t>
  </si>
  <si>
    <t>RIVET</t>
  </si>
  <si>
    <t>BUCKLE</t>
  </si>
  <si>
    <t>HANG TAG</t>
  </si>
  <si>
    <t>SIZE TAG</t>
  </si>
  <si>
    <t>PAPER HANGTAG</t>
  </si>
  <si>
    <t>PLASTIC HANGTAG</t>
  </si>
  <si>
    <t>WAIST TAG</t>
  </si>
  <si>
    <t>PRICE TAG</t>
  </si>
  <si>
    <t>HANGER</t>
  </si>
  <si>
    <t>SIZER CLIP</t>
  </si>
  <si>
    <t>HANGER CLIP</t>
  </si>
  <si>
    <t>TISSUE PAPER</t>
  </si>
  <si>
    <t>CARDBOARD PAPER</t>
  </si>
  <si>
    <t>SPARE POLYBAG</t>
  </si>
  <si>
    <t>POLYBAG</t>
  </si>
  <si>
    <t>PLASTIC POLYBAG</t>
  </si>
  <si>
    <t>ANTI-MOLD STICKERS</t>
  </si>
  <si>
    <t>SEAL TAPE</t>
  </si>
  <si>
    <t>PLASTIC BOX</t>
  </si>
  <si>
    <t>PLASTIC PIN</t>
  </si>
  <si>
    <t>DESICCANT</t>
  </si>
  <si>
    <t>BARCODE PRINTER RIBBON</t>
  </si>
  <si>
    <t>IMPORTED</t>
  </si>
  <si>
    <t>NBSIN5100006</t>
  </si>
  <si>
    <t xml:space="preserve">SHSIN5100005 </t>
  </si>
  <si>
    <t>JRCNQ25032</t>
  </si>
  <si>
    <t>COAU7262776160</t>
  </si>
  <si>
    <t>JRCNQ25027</t>
  </si>
  <si>
    <t>JRCNQ25038</t>
  </si>
  <si>
    <t>QDSIN5100137</t>
  </si>
  <si>
    <t>EGSU3278049/ 20GP</t>
  </si>
  <si>
    <t>CSNU8516288 / 40HQ
Driver H/P
096 6424288
21day--RED SIGNAL</t>
  </si>
  <si>
    <t>TBA</t>
  </si>
  <si>
    <t>CNQ126001</t>
  </si>
  <si>
    <t xml:space="preserve"> MTR </t>
  </si>
  <si>
    <t>SHSIN6010077</t>
  </si>
  <si>
    <t xml:space="preserve"> DZN </t>
  </si>
  <si>
    <t>CNQ126003</t>
  </si>
  <si>
    <t>SHSIN6010126</t>
  </si>
  <si>
    <t>CNQ26004</t>
  </si>
  <si>
    <t>SHSIN6010122</t>
  </si>
  <si>
    <t>SHIPPER</t>
  </si>
  <si>
    <t>BRISK INDUSTRY</t>
  </si>
  <si>
    <t>SHANGHAI YOUNGYUE</t>
  </si>
  <si>
    <t>CNQ126008</t>
  </si>
  <si>
    <t>SHSIN6020169</t>
  </si>
  <si>
    <t xml:space="preserve">HANGZHOU </t>
  </si>
  <si>
    <t>SHSIN6020045</t>
  </si>
  <si>
    <t>DECLARE</t>
  </si>
  <si>
    <t>ORG / DEST</t>
  </si>
  <si>
    <t>ETA FTY</t>
  </si>
  <si>
    <t>CNQ26006</t>
  </si>
  <si>
    <t>CNQ126007</t>
  </si>
  <si>
    <t>SHSIN6020168</t>
  </si>
  <si>
    <t>I 32408</t>
  </si>
  <si>
    <t>I 32429</t>
  </si>
  <si>
    <t>OOCU1196250 (20'GP)
Delayed 1d (01-March - 02-March) unavailable for berthing</t>
  </si>
  <si>
    <t>CNQ26011</t>
  </si>
  <si>
    <t>CNQ26013</t>
  </si>
  <si>
    <t>SHSIN6030058</t>
  </si>
  <si>
    <t>SHSIH6030051</t>
  </si>
  <si>
    <t>CNQ26015</t>
  </si>
  <si>
    <t>I 21065</t>
  </si>
  <si>
    <t>BSIU9352545 / 40HQ
Driver H/P
096 792 6032
Stand by container
21day</t>
  </si>
  <si>
    <t>TIIU5355369 / 40HQ
driver H/P
016 612 849
Retop-PP
pay to customs
for with wrong item
300$</t>
  </si>
  <si>
    <t>I 27779</t>
  </si>
  <si>
    <t>Declare</t>
  </si>
  <si>
    <t>DECLARE
DATE</t>
  </si>
  <si>
    <t>SHSIN6030071</t>
  </si>
  <si>
    <t>I 44874</t>
  </si>
  <si>
    <t>I 43602</t>
  </si>
  <si>
    <t>I 48322</t>
  </si>
  <si>
    <t>SHSIN6040026</t>
  </si>
  <si>
    <t>CNQ26017</t>
  </si>
  <si>
    <t>CNQ26018</t>
  </si>
  <si>
    <t>SHSIN6040021</t>
  </si>
  <si>
    <t>I 54125</t>
  </si>
  <si>
    <t>I 54535</t>
  </si>
  <si>
    <t>I 15940</t>
  </si>
  <si>
    <t>I 14254</t>
  </si>
  <si>
    <t>QUANTITY</t>
  </si>
  <si>
    <t>I 12031</t>
  </si>
  <si>
    <t>LC20260426-05</t>
  </si>
  <si>
    <t>CNG26021</t>
  </si>
  <si>
    <t>CNG260219</t>
  </si>
  <si>
    <t>LC202604152-06</t>
  </si>
  <si>
    <t>I 10430</t>
  </si>
  <si>
    <t>LC202604224-01</t>
  </si>
  <si>
    <t>I 11514</t>
  </si>
  <si>
    <t>I 33843</t>
  </si>
  <si>
    <t>I 33840</t>
  </si>
  <si>
    <t>I 139328</t>
  </si>
  <si>
    <t>CNQ26029</t>
  </si>
  <si>
    <t>SHSIN6060300</t>
  </si>
  <si>
    <t>I 96707</t>
  </si>
  <si>
    <t>CNQ26031</t>
  </si>
  <si>
    <t>SHSIN6070133</t>
  </si>
  <si>
    <t>SHSIN6070077</t>
  </si>
  <si>
    <t>AMOUNT</t>
  </si>
  <si>
    <t>QTY PKGS</t>
  </si>
  <si>
    <t>I 154789</t>
  </si>
  <si>
    <t>UNIT PRICE</t>
  </si>
  <si>
    <r>
      <t xml:space="preserve">TRHU52554521 (40'HQ)
Delayed 1d (01-March - 02-March) unavailable for berthing.
</t>
    </r>
    <r>
      <rPr>
        <sz val="11"/>
        <color rgb="FFFF0000"/>
        <rFont val="Calibri"/>
        <family val="2"/>
        <scheme val="minor"/>
      </rPr>
      <t>Standby (one night) $70 + Trucking Fee (6A FTY to JR FTY) $150</t>
    </r>
  </si>
  <si>
    <t>ETA PORT</t>
  </si>
  <si>
    <t>CSLU6002087 / 40'HQ
SEAL NO: CW842373
HAVE CHINA CO</t>
  </si>
  <si>
    <t>CSGU6893215 / 40'HQ
SEAL NO: CU422890
HAVE CHINA CO</t>
  </si>
  <si>
    <t>PREY VOR</t>
  </si>
  <si>
    <t>CNQ26032</t>
  </si>
  <si>
    <t>CNQ26033</t>
  </si>
  <si>
    <t>SHSIN6070127</t>
  </si>
  <si>
    <t>I 105712</t>
  </si>
  <si>
    <t>I 105711</t>
  </si>
  <si>
    <t>THC
FEE</t>
  </si>
  <si>
    <t>INVOICE
DATE</t>
  </si>
  <si>
    <t>INVOICE
NUMBER</t>
  </si>
  <si>
    <t>FWFTI266440
FWFTI266441</t>
  </si>
  <si>
    <t>FWFTI266442
FWFTI266443</t>
  </si>
  <si>
    <t>FWFTI266576
FWFTI266577</t>
  </si>
  <si>
    <t>FWFTI265795
FWFTI265796</t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</si>
  <si>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TCLU7908718 / 40'HQ
Seal No. SITE890735
Vessel: SITC ZHEJIANG / 2616S</t>
    </r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</si>
  <si>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CSLU6006821 / 40'HQ
Seal No. CT643859
Vessel: MILLENNIUM BRIGHT / 096S</t>
    </r>
  </si>
  <si>
    <r>
      <rPr>
        <sz val="11"/>
        <color rgb="FF0000FF"/>
        <rFont val="Calibri"/>
        <family val="2"/>
        <scheme val="minor"/>
      </rPr>
      <t>Drop 2 Locations 60 USD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Unload at JR (330 pkgs)
Xin Yi Yang (191 pkgs)</t>
    </r>
    <r>
      <rPr>
        <sz val="11"/>
        <rFont val="Calibri"/>
        <family val="2"/>
        <scheme val="minor"/>
      </rPr>
      <t xml:space="preserve">
CTNR No. OOCU6014830 / 40'HQ
Vessel: MILLENNIUM BRIGHT / 095S</t>
    </r>
  </si>
  <si>
    <t>CTNR No. SEGU6712980
Seal No. SITE598447
1X40HQ</t>
  </si>
  <si>
    <t>CTNR No. SEGU4507538
Seal No. CW404359
1X40HQ</t>
  </si>
  <si>
    <t>CTNR No. TLLU3124510
Seal No. SITE591088
1X20'GP</t>
  </si>
  <si>
    <t>CTNR No. DFSU7373397
Seal No. CW842307
1X40'HQ</t>
  </si>
  <si>
    <t>CTNR No. HLBU2728772 1X20'GP
Seal No. SITE577892
Drop 2 locations 50$ + Standby / night 70$
1. Kom bol / 2. Prek Leap</t>
  </si>
  <si>
    <t>CTNR No. XNKU4524024
Seal No. 0012576
45'HC Part of</t>
  </si>
  <si>
    <t>CTNR No. HAHU5041005
Seal No. 0012063
45'HC Part of</t>
  </si>
  <si>
    <t>CTNR No. HMMU9048026
Seal No. 00120505
45'HC Part of</t>
  </si>
  <si>
    <t>I 107653</t>
  </si>
  <si>
    <t>F.W
BROKER</t>
  </si>
  <si>
    <t>CNQ26040</t>
  </si>
  <si>
    <t>SHSIH6080018</t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</si>
  <si>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theme="1"/>
        <rFont val="Calibri"/>
        <family val="2"/>
        <scheme val="minor"/>
      </rPr>
      <t xml:space="preserve">
CTNR No. CAAU2810289 / 20'GP
Seal No. SITE922205
Vessel: SITC RENDE / 2616S</t>
    </r>
  </si>
  <si>
    <t>CNQ26041</t>
  </si>
  <si>
    <t>JIAXING LAYO</t>
  </si>
  <si>
    <t>GS INVOICE</t>
  </si>
  <si>
    <t>GS DIS</t>
  </si>
  <si>
    <t>GS DN</t>
  </si>
  <si>
    <t>GS26-264</t>
  </si>
  <si>
    <t>DIS296</t>
  </si>
  <si>
    <t>JR2607001</t>
  </si>
  <si>
    <t>GS26-302</t>
  </si>
  <si>
    <t>DIS334</t>
  </si>
  <si>
    <t>JR2607004</t>
  </si>
  <si>
    <t>GS26-301</t>
  </si>
  <si>
    <t>DIS333</t>
  </si>
  <si>
    <t>JR2607003</t>
  </si>
  <si>
    <t>GS26-307</t>
  </si>
  <si>
    <t>DIS339</t>
  </si>
  <si>
    <t>JR2607005</t>
  </si>
  <si>
    <t>SHSIN6080101</t>
  </si>
  <si>
    <t xml:space="preserve">YUE KONG TRADING </t>
  </si>
  <si>
    <t>MX2608115JR</t>
  </si>
  <si>
    <t>274995778</t>
  </si>
  <si>
    <r>
      <t xml:space="preserve">Unload at DALLAS
</t>
    </r>
    <r>
      <rPr>
        <sz val="11"/>
        <rFont val="Calibri"/>
        <family val="2"/>
        <scheme val="minor"/>
      </rPr>
      <t>CTNR No. FFAU7555528 / 40'HQ
Seal No. SITE966801
Vessel: SITC HAINAN / 2620S</t>
    </r>
  </si>
  <si>
    <r>
      <rPr>
        <sz val="11"/>
        <color rgb="FF0000FF"/>
        <rFont val="Calibri"/>
        <family val="2"/>
        <scheme val="minor"/>
      </rPr>
      <t>Unload at JR (482 Rolls)
XIN YI YANG (231 Rolls)</t>
    </r>
    <r>
      <rPr>
        <sz val="11"/>
        <color theme="1"/>
        <rFont val="Calibri"/>
        <family val="2"/>
        <scheme val="minor"/>
      </rPr>
      <t xml:space="preserve">
CTNR No. TRHU6687589 / 40'HQ
Seal No. SITE897153
Vessel: SITC ZHEJIANG / 2616S</t>
    </r>
  </si>
  <si>
    <t>FWFTI267508
FWFTI267509</t>
  </si>
  <si>
    <t>-MADE IN CHINA
-MODEL: YX220
-ENGINE : YC6MK350LD20
-MANUFACTURING DATE: JULY 2026</t>
  </si>
  <si>
    <r>
      <t xml:space="preserve">Unload at JR
</t>
    </r>
    <r>
      <rPr>
        <sz val="11"/>
        <rFont val="Calibri"/>
        <family val="2"/>
        <scheme val="minor"/>
      </rPr>
      <t xml:space="preserve">CTNR No. MRKU8974303 / 20'GP
Seal No. ML-CN7603246
Vessel: MAERSK NUSSFJORD / 631S
</t>
    </r>
    <r>
      <rPr>
        <sz val="11"/>
        <color rgb="FFFF0000"/>
        <rFont val="Calibri"/>
        <family val="2"/>
        <scheme val="minor"/>
      </rPr>
      <t>Apply Customs Approval Letter 500$</t>
    </r>
  </si>
  <si>
    <t>I 122050</t>
  </si>
  <si>
    <t>I 120893</t>
  </si>
  <si>
    <t>I 123321</t>
  </si>
  <si>
    <t xml:space="preserve"> FWFTI267651
 FWFTI267652</t>
  </si>
  <si>
    <t>CNQ26044</t>
  </si>
  <si>
    <t>CNQ26046</t>
  </si>
  <si>
    <t>SHSIN6090083</t>
  </si>
  <si>
    <t>CNQ26047</t>
  </si>
  <si>
    <t>SHSIN6090084</t>
  </si>
  <si>
    <t>CNQ26048</t>
  </si>
  <si>
    <r>
      <t xml:space="preserve">Unload at XIN YI YANG
</t>
    </r>
    <r>
      <rPr>
        <sz val="11"/>
        <rFont val="Calibri"/>
        <family val="2"/>
        <scheme val="minor"/>
      </rPr>
      <t>CTNR No. ZCSU7954124 / 40'HQ
Seal No. A4250250303
Vessel: NUUK MAERSK / 634S</t>
    </r>
  </si>
  <si>
    <t>FWF
GRATEFUL</t>
  </si>
  <si>
    <t>MAERSK
GRATEFUL</t>
  </si>
  <si>
    <t>NANJING LUCHI
JIANG SU KA XING</t>
  </si>
  <si>
    <t>COSCO
GRATEFUL</t>
  </si>
  <si>
    <t>SHSIN6090031</t>
  </si>
  <si>
    <t xml:space="preserve"> FWFTI268646
 FWFTI268647</t>
  </si>
  <si>
    <t xml:space="preserve"> FWFTI268648
 FWFTI268649</t>
  </si>
  <si>
    <t>SHSIN6090113</t>
  </si>
  <si>
    <r>
      <rPr>
        <sz val="11"/>
        <color rgb="FF0000FF"/>
        <rFont val="Calibri"/>
        <family val="2"/>
        <scheme val="minor"/>
      </rPr>
      <t>Unload at DALLAS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SEKU1756681 / 20'GP
Seal No. SITE928709
Vessel: SITC JIANGSU / 2622S</t>
    </r>
  </si>
  <si>
    <t>CNQ26050</t>
  </si>
  <si>
    <r>
      <t xml:space="preserve">Unload at DALLAS
</t>
    </r>
    <r>
      <rPr>
        <sz val="11"/>
        <color rgb="FFFF0000"/>
        <rFont val="Calibri"/>
        <family val="2"/>
        <scheme val="minor"/>
      </rPr>
      <t>Standby 1 Night (</t>
    </r>
    <r>
      <rPr>
        <sz val="11"/>
        <rFont val="Calibri"/>
        <family val="2"/>
        <scheme val="minor"/>
      </rPr>
      <t>Arrived 22-Sep Unload 23-Sep)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CSNU6862609 / 40'HQ
Seal No. CN735088
Vessel: PALAWAN / 038S</t>
    </r>
  </si>
  <si>
    <r>
      <t xml:space="preserve">Unload at XIN YI YANG (313) on 22-Sep
JR (484) on 23-Sep
</t>
    </r>
    <r>
      <rPr>
        <sz val="11"/>
        <rFont val="Calibri"/>
        <family val="2"/>
        <scheme val="minor"/>
      </rPr>
      <t>CTNR No. OOCU7012318 / 40'HQ
Seal No. CX793514
Vessel: PALAWAN / 038S</t>
    </r>
  </si>
  <si>
    <t>CNQ26051</t>
  </si>
  <si>
    <t>FWFTI268937
FWFTI268938</t>
  </si>
  <si>
    <t xml:space="preserve"> FWFTI268939
 FWFTI268940</t>
  </si>
  <si>
    <t>SHSIN6090118</t>
  </si>
  <si>
    <t>SHSIN6090119</t>
  </si>
  <si>
    <t>I 138725</t>
  </si>
  <si>
    <t>I 138735</t>
  </si>
  <si>
    <t>I 136243</t>
  </si>
  <si>
    <t>I 136252</t>
  </si>
  <si>
    <t>10-2026</t>
  </si>
  <si>
    <r>
      <rPr>
        <sz val="11"/>
        <color rgb="FF0000FF"/>
        <rFont val="Calibri"/>
        <family val="2"/>
        <scheme val="minor"/>
      </rPr>
      <t>Unload at XIN YI YANG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TRHU5821292 / 40'HQ
Seal No. EMCVPW2144
Vessel: EVER WIZ / 0371-024A</t>
    </r>
  </si>
  <si>
    <t>FWFTI269165
FWFTI269166</t>
  </si>
  <si>
    <t>FWFTI269173
FWFTI269174</t>
  </si>
  <si>
    <r>
      <t>Unload at XIN YI YANG (186) + JR (443)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CTNR No. TCNU5209621 / 40'HQ
Seal No. A426C597937
Vessel: MAERSK NARVIK / 636S</t>
    </r>
  </si>
  <si>
    <t>09-2026</t>
  </si>
  <si>
    <t>08-2026</t>
  </si>
  <si>
    <t>07-2026</t>
  </si>
  <si>
    <t>04-2026</t>
  </si>
  <si>
    <t>03-2026</t>
  </si>
  <si>
    <t>02-2026</t>
  </si>
  <si>
    <t>10-2025</t>
  </si>
  <si>
    <t>01-2026</t>
  </si>
  <si>
    <t>I 142374</t>
  </si>
  <si>
    <t>I 142652</t>
  </si>
  <si>
    <t>CNQ26056</t>
  </si>
  <si>
    <r>
      <rPr>
        <sz val="11"/>
        <color rgb="FFFF0000"/>
        <rFont val="Calibri"/>
        <family val="2"/>
        <scheme val="minor"/>
      </rPr>
      <t>PENDING HBL + CO</t>
    </r>
    <r>
      <rPr>
        <sz val="11"/>
        <color rgb="FF0000FF"/>
        <rFont val="Calibri"/>
        <family val="2"/>
        <scheme val="minor"/>
      </rPr>
      <t xml:space="preserve">
Unload at XIN YI YANG (162) + DALLAS (133)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</si>
</sst>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6" formatCode="&quot;$&quot;#,##0.00"/>
    <numFmt numFmtId="167" formatCode="[$-409]dd\-mmm\-yy;@"/>
    <numFmt numFmtId="168" formatCode="#,##0.0"/>
  </numFmts>
  <fonts count="2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新細明體"/>
      <family val="1"/>
      <charset val="136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SF Pro Display"/>
      <family val="3"/>
    </font>
    <font>
      <b/>
      <sz val="14"/>
      <color rgb="FF000000"/>
      <name val="Calibri"/>
      <family val="2"/>
      <scheme val="minor"/>
    </font>
    <font>
      <sz val="11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164" fontId="0" fillId="0" borderId="0"/>
    <xf numFmtId="164" fontId="1" fillId="0" borderId="0">
      <alignment vertical="top"/>
    </xf>
    <xf numFmtId="43" fontId="2" fillId="0" borderId="0" applyFont="0" applyFill="0" applyBorder="0" applyAlignment="0" applyProtection="0"/>
    <xf numFmtId="164" fontId="3" fillId="0" borderId="0"/>
    <xf numFmtId="43" fontId="7" fillId="0" borderId="0" applyFont="0" applyFill="0" applyBorder="0" applyAlignment="0" applyProtection="0"/>
  </cellStyleXfs>
  <cellXfs count="243">
    <xf numFmtId="164" fontId="0" fillId="0" borderId="0" xfId="0"/>
    <xf numFmtId="164" fontId="0" fillId="0" borderId="0" xfId="0" applyAlignment="1">
      <alignment horizontal="center"/>
    </xf>
    <xf numFmtId="164" fontId="0" fillId="0" borderId="0" xfId="0" applyAlignment="1">
      <alignment horizontal="center" vertical="center"/>
    </xf>
    <xf numFmtId="43" fontId="0" fillId="0" borderId="0" xfId="0" applyNumberFormat="1"/>
    <xf numFmtId="164" fontId="6" fillId="0" borderId="0" xfId="0" applyFont="1"/>
    <xf numFmtId="164" fontId="0" fillId="0" borderId="1" xfId="0" applyBorder="1" applyAlignment="1">
      <alignment horizontal="center" vertical="center"/>
    </xf>
    <xf numFmtId="164" fontId="0" fillId="0" borderId="1" xfId="0" applyBorder="1" applyAlignment="1">
      <alignment horizontal="center"/>
    </xf>
    <xf numFmtId="164" fontId="0" fillId="0" borderId="1" xfId="0" applyBorder="1"/>
    <xf numFmtId="43" fontId="0" fillId="0" borderId="1" xfId="0" applyNumberFormat="1" applyBorder="1"/>
    <xf numFmtId="164" fontId="6" fillId="0" borderId="1" xfId="0" applyFont="1" applyBorder="1" applyAlignment="1">
      <alignment horizontal="center"/>
    </xf>
    <xf numFmtId="164" fontId="6" fillId="0" borderId="1" xfId="0" applyFont="1" applyBorder="1"/>
    <xf numFmtId="43" fontId="6" fillId="0" borderId="1" xfId="0" applyNumberFormat="1" applyFont="1" applyBorder="1"/>
    <xf numFmtId="4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8" fillId="0" borderId="1" xfId="0" applyFont="1" applyBorder="1" applyAlignment="1">
      <alignment horizontal="center"/>
    </xf>
    <xf numFmtId="164" fontId="8" fillId="0" borderId="1" xfId="0" applyFont="1" applyBorder="1"/>
    <xf numFmtId="43" fontId="8" fillId="0" borderId="1" xfId="0" applyNumberFormat="1" applyFont="1" applyBorder="1"/>
    <xf numFmtId="43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4" fontId="8" fillId="0" borderId="0" xfId="0" applyFont="1"/>
    <xf numFmtId="4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 vertical="center"/>
    </xf>
    <xf numFmtId="43" fontId="10" fillId="4" borderId="1" xfId="0" applyNumberFormat="1" applyFont="1" applyFill="1" applyBorder="1" applyAlignment="1">
      <alignment horizontal="center" vertical="center" wrapText="1"/>
    </xf>
    <xf numFmtId="164" fontId="13" fillId="5" borderId="1" xfId="0" applyFont="1" applyFill="1" applyBorder="1" applyAlignment="1">
      <alignment horizontal="left" vertical="center"/>
    </xf>
    <xf numFmtId="164" fontId="9" fillId="5" borderId="1" xfId="0" applyFont="1" applyFill="1" applyBorder="1" applyAlignment="1">
      <alignment horizontal="center" vertical="center"/>
    </xf>
    <xf numFmtId="164" fontId="11" fillId="5" borderId="1" xfId="0" applyFont="1" applyFill="1" applyBorder="1" applyAlignment="1">
      <alignment horizontal="center" vertical="center" wrapText="1"/>
    </xf>
    <xf numFmtId="43" fontId="11" fillId="5" borderId="1" xfId="0" applyNumberFormat="1" applyFont="1" applyFill="1" applyBorder="1" applyAlignment="1">
      <alignment horizontal="center" vertical="center"/>
    </xf>
    <xf numFmtId="43" fontId="11" fillId="5" borderId="1" xfId="0" applyNumberFormat="1" applyFont="1" applyFill="1" applyBorder="1" applyAlignment="1">
      <alignment horizontal="center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164" fontId="9" fillId="5" borderId="0" xfId="0" applyFont="1" applyFill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Border="1" applyAlignment="1">
      <alignment horizontal="center" vertical="center" shrinkToFit="1"/>
    </xf>
    <xf numFmtId="49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0" xfId="0" applyFill="1" applyAlignment="1">
      <alignment horizontal="center" vertical="center"/>
    </xf>
    <xf numFmtId="164" fontId="9" fillId="0" borderId="1" xfId="0" applyFont="1" applyBorder="1" applyAlignment="1">
      <alignment horizontal="center" vertical="center"/>
    </xf>
    <xf numFmtId="164" fontId="0" fillId="0" borderId="1" xfId="0" applyBorder="1" applyAlignment="1">
      <alignment horizontal="center" vertical="center" wrapText="1"/>
    </xf>
    <xf numFmtId="164" fontId="0" fillId="3" borderId="2" xfId="0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 wrapText="1"/>
    </xf>
    <xf numFmtId="164" fontId="0" fillId="0" borderId="0" xfId="0" applyAlignment="1">
      <alignment vertical="center"/>
    </xf>
    <xf numFmtId="4" fontId="16" fillId="0" borderId="1" xfId="0" applyNumberFormat="1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 shrinkToFit="1"/>
    </xf>
    <xf numFmtId="164" fontId="16" fillId="0" borderId="1" xfId="0" applyFont="1" applyBorder="1" applyAlignment="1">
      <alignment horizontal="center" vertical="center"/>
    </xf>
    <xf numFmtId="167" fontId="0" fillId="0" borderId="1" xfId="0" quotePrefix="1" applyNumberForma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7" fontId="0" fillId="0" borderId="1" xfId="0" quotePrefix="1" applyNumberFormat="1" applyBorder="1" applyAlignment="1">
      <alignment horizontal="center" vertical="center" wrapText="1"/>
    </xf>
    <xf numFmtId="164" fontId="0" fillId="6" borderId="1" xfId="0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168" fontId="9" fillId="6" borderId="1" xfId="0" applyNumberFormat="1" applyFont="1" applyFill="1" applyBorder="1" applyAlignment="1">
      <alignment horizontal="center" vertical="center"/>
    </xf>
    <xf numFmtId="164" fontId="0" fillId="6" borderId="0" xfId="0" applyFill="1"/>
    <xf numFmtId="2" fontId="0" fillId="6" borderId="1" xfId="0" applyNumberFormat="1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 shrinkToFit="1"/>
    </xf>
    <xf numFmtId="4" fontId="0" fillId="3" borderId="1" xfId="4" applyNumberFormat="1" applyFont="1" applyFill="1" applyBorder="1" applyAlignment="1">
      <alignment horizontal="center" vertical="center"/>
    </xf>
    <xf numFmtId="4" fontId="0" fillId="0" borderId="1" xfId="4" applyNumberFormat="1" applyFont="1" applyFill="1" applyBorder="1" applyAlignment="1">
      <alignment horizontal="center" vertical="center"/>
    </xf>
    <xf numFmtId="164" fontId="0" fillId="6" borderId="1" xfId="0" applyFill="1" applyBorder="1" applyAlignment="1">
      <alignment horizontal="center" vertical="center" shrinkToFit="1"/>
    </xf>
    <xf numFmtId="167" fontId="0" fillId="0" borderId="0" xfId="0" applyNumberFormat="1" applyAlignment="1">
      <alignment horizontal="center" vertical="center"/>
    </xf>
    <xf numFmtId="164" fontId="17" fillId="0" borderId="0" xfId="0" applyFont="1" applyAlignment="1">
      <alignment horizontal="center" vertical="center"/>
    </xf>
    <xf numFmtId="164" fontId="0" fillId="2" borderId="0" xfId="0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64" fontId="0" fillId="2" borderId="0" xfId="0" applyFill="1"/>
    <xf numFmtId="167" fontId="0" fillId="3" borderId="1" xfId="0" applyNumberFormat="1" applyFill="1" applyBorder="1" applyAlignment="1">
      <alignment horizontal="center" vertical="center" wrapText="1"/>
    </xf>
    <xf numFmtId="167" fontId="0" fillId="6" borderId="1" xfId="0" applyNumberFormat="1" applyFill="1" applyBorder="1" applyAlignment="1">
      <alignment horizontal="center" vertical="center"/>
    </xf>
    <xf numFmtId="164" fontId="0" fillId="0" borderId="0" xfId="0" applyAlignment="1">
      <alignment horizontal="center" vertical="center" wrapText="1"/>
    </xf>
    <xf numFmtId="164" fontId="10" fillId="7" borderId="1" xfId="0" applyFont="1" applyFill="1" applyBorder="1" applyAlignment="1">
      <alignment horizontal="center" vertical="center"/>
    </xf>
    <xf numFmtId="164" fontId="10" fillId="7" borderId="1" xfId="0" applyFont="1" applyFill="1" applyBorder="1" applyAlignment="1">
      <alignment horizontal="center" vertical="center" wrapText="1"/>
    </xf>
    <xf numFmtId="167" fontId="10" fillId="7" borderId="1" xfId="0" applyNumberFormat="1" applyFont="1" applyFill="1" applyBorder="1" applyAlignment="1">
      <alignment horizontal="center" vertical="center" wrapText="1"/>
    </xf>
    <xf numFmtId="167" fontId="10" fillId="7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 wrapText="1"/>
    </xf>
    <xf numFmtId="4" fontId="10" fillId="7" borderId="1" xfId="0" applyNumberFormat="1" applyFont="1" applyFill="1" applyBorder="1" applyAlignment="1">
      <alignment horizontal="center" vertical="center"/>
    </xf>
    <xf numFmtId="164" fontId="15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66" fontId="10" fillId="7" borderId="1" xfId="0" applyNumberFormat="1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64" fontId="19" fillId="0" borderId="1" xfId="0" applyFont="1" applyBorder="1" applyAlignment="1">
      <alignment horizontal="center" vertical="center"/>
    </xf>
    <xf numFmtId="164" fontId="0" fillId="3" borderId="2" xfId="0" applyFill="1" applyBorder="1" applyAlignment="1">
      <alignment horizontal="center" vertical="center" wrapText="1"/>
    </xf>
    <xf numFmtId="164" fontId="14" fillId="0" borderId="1" xfId="0" applyFont="1" applyBorder="1" applyAlignment="1">
      <alignment horizontal="center" vertical="center" wrapText="1"/>
    </xf>
    <xf numFmtId="164" fontId="0" fillId="8" borderId="2" xfId="0" applyFill="1" applyBorder="1" applyAlignment="1">
      <alignment horizontal="center" vertical="center" wrapText="1"/>
    </xf>
    <xf numFmtId="167" fontId="0" fillId="8" borderId="2" xfId="0" applyNumberFormat="1" applyFill="1" applyBorder="1" applyAlignment="1">
      <alignment horizontal="center" vertical="center" wrapText="1"/>
    </xf>
    <xf numFmtId="164" fontId="0" fillId="8" borderId="2" xfId="0" applyFill="1" applyBorder="1" applyAlignment="1">
      <alignment horizontal="center" vertical="center"/>
    </xf>
    <xf numFmtId="167" fontId="0" fillId="8" borderId="2" xfId="0" applyNumberForma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164" fontId="0" fillId="8" borderId="1" xfId="0" applyFill="1" applyBorder="1" applyAlignment="1">
      <alignment horizontal="center" vertical="center" shrinkToFit="1"/>
    </xf>
    <xf numFmtId="164" fontId="0" fillId="8" borderId="1" xfId="0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7" fontId="0" fillId="8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164" fontId="0" fillId="8" borderId="0" xfId="0" applyFill="1" applyAlignment="1">
      <alignment vertical="center"/>
    </xf>
    <xf numFmtId="164" fontId="0" fillId="8" borderId="1" xfId="0" applyFill="1" applyBorder="1" applyAlignment="1">
      <alignment horizontal="center" vertical="center" wrapText="1"/>
    </xf>
    <xf numFmtId="167" fontId="0" fillId="8" borderId="1" xfId="0" applyNumberForma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/>
    </xf>
    <xf numFmtId="4" fontId="7" fillId="3" borderId="1" xfId="4" applyNumberFormat="1" applyFont="1" applyFill="1" applyBorder="1" applyAlignment="1">
      <alignment horizontal="center" vertical="center"/>
    </xf>
    <xf numFmtId="4" fontId="7" fillId="0" borderId="1" xfId="4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 wrapText="1"/>
    </xf>
    <xf numFmtId="167" fontId="0" fillId="6" borderId="2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wrapText="1"/>
    </xf>
    <xf numFmtId="164" fontId="0" fillId="0" borderId="2" xfId="0" quotePrefix="1" applyBorder="1" applyAlignment="1">
      <alignment horizontal="center" vertical="center"/>
    </xf>
    <xf numFmtId="164" fontId="0" fillId="3" borderId="2" xfId="0" quotePrefix="1" applyFill="1" applyBorder="1" applyAlignment="1">
      <alignment horizontal="center" vertical="center"/>
    </xf>
    <xf numFmtId="164" fontId="0" fillId="0" borderId="2" xfId="0" quotePrefix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4" fontId="0" fillId="0" borderId="2" xfId="0" applyBorder="1" applyAlignment="1">
      <alignment vertical="center"/>
    </xf>
    <xf numFmtId="16" fontId="0" fillId="0" borderId="2" xfId="0" applyNumberFormat="1" applyBorder="1" applyAlignment="1">
      <alignment horizontal="center" vertical="center"/>
    </xf>
    <xf numFmtId="164" fontId="0" fillId="6" borderId="2" xfId="0" applyFill="1" applyBorder="1" applyAlignment="1">
      <alignment horizontal="center" vertical="center"/>
    </xf>
    <xf numFmtId="164" fontId="16" fillId="0" borderId="2" xfId="0" applyFon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 wrapText="1"/>
    </xf>
    <xf numFmtId="16" fontId="0" fillId="0" borderId="2" xfId="0" applyNumberFormat="1" applyBorder="1" applyAlignment="1">
      <alignment vertical="center"/>
    </xf>
    <xf numFmtId="167" fontId="0" fillId="0" borderId="2" xfId="0" applyNumberFormat="1" applyBorder="1" applyAlignment="1">
      <alignment vertical="center"/>
    </xf>
    <xf numFmtId="16" fontId="16" fillId="0" borderId="2" xfId="0" applyNumberFormat="1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4" fontId="16" fillId="0" borderId="2" xfId="0" quotePrefix="1" applyFont="1" applyBorder="1" applyAlignment="1">
      <alignment horizontal="center" vertical="center"/>
    </xf>
    <xf numFmtId="164" fontId="0" fillId="0" borderId="4" xfId="0" applyBorder="1" applyAlignment="1">
      <alignment vertical="center"/>
    </xf>
    <xf numFmtId="49" fontId="0" fillId="0" borderId="1" xfId="0" quotePrefix="1" applyNumberFormat="1" applyBorder="1" applyAlignment="1">
      <alignment horizontal="left" vertical="center" wrapText="1"/>
    </xf>
    <xf numFmtId="4" fontId="0" fillId="0" borderId="4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164" fontId="0" fillId="0" borderId="2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0" fillId="0" borderId="1" xfId="0" applyBorder="1" applyAlignment="1">
      <alignment horizontal="center" vertical="center" wrapText="1"/>
    </xf>
    <xf numFmtId="164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14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4" fontId="0" fillId="6" borderId="2" xfId="0" applyFill="1" applyBorder="1" applyAlignment="1">
      <alignment horizontal="center" vertical="center"/>
    </xf>
    <xf numFmtId="164" fontId="0" fillId="6" borderId="4" xfId="0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2" xfId="0" applyBorder="1" applyAlignment="1">
      <alignment horizontal="center" vertical="center" wrapText="1"/>
    </xf>
    <xf numFmtId="164" fontId="0" fillId="0" borderId="3" xfId="0" applyBorder="1" applyAlignment="1">
      <alignment horizontal="center" vertical="center" wrapText="1"/>
    </xf>
    <xf numFmtId="164" fontId="0" fillId="0" borderId="4" xfId="0" applyBorder="1" applyAlignment="1">
      <alignment horizontal="center" vertical="center" wrapText="1"/>
    </xf>
    <xf numFmtId="164" fontId="0" fillId="6" borderId="2" xfId="0" applyFill="1" applyBorder="1" applyAlignment="1">
      <alignment horizontal="center" vertical="center" wrapText="1"/>
    </xf>
    <xf numFmtId="164" fontId="0" fillId="6" borderId="3" xfId="0" applyFill="1" applyBorder="1" applyAlignment="1">
      <alignment horizontal="center" vertical="center" wrapText="1"/>
    </xf>
    <xf numFmtId="164" fontId="0" fillId="6" borderId="4" xfId="0" applyFill="1" applyBorder="1" applyAlignment="1">
      <alignment horizontal="center" vertical="center" wrapText="1"/>
    </xf>
    <xf numFmtId="167" fontId="0" fillId="6" borderId="2" xfId="4" applyNumberFormat="1" applyFont="1" applyFill="1" applyBorder="1" applyAlignment="1">
      <alignment horizontal="center" vertical="center"/>
    </xf>
    <xf numFmtId="167" fontId="0" fillId="6" borderId="3" xfId="4" applyNumberFormat="1" applyFont="1" applyFill="1" applyBorder="1" applyAlignment="1">
      <alignment horizontal="center" vertical="center"/>
    </xf>
    <xf numFmtId="167" fontId="0" fillId="6" borderId="4" xfId="4" applyNumberFormat="1" applyFont="1" applyFill="1" applyBorder="1" applyAlignment="1">
      <alignment horizontal="center" vertical="center"/>
    </xf>
    <xf numFmtId="164" fontId="0" fillId="6" borderId="3" xfId="0" applyFill="1" applyBorder="1" applyAlignment="1">
      <alignment horizontal="center" vertical="center"/>
    </xf>
    <xf numFmtId="164" fontId="0" fillId="3" borderId="2" xfId="0" applyFill="1" applyBorder="1" applyAlignment="1">
      <alignment horizontal="center" vertical="center" wrapText="1"/>
    </xf>
    <xf numFmtId="164" fontId="0" fillId="3" borderId="3" xfId="0" applyFill="1" applyBorder="1" applyAlignment="1">
      <alignment horizontal="center" vertical="center" wrapText="1"/>
    </xf>
    <xf numFmtId="164" fontId="0" fillId="3" borderId="4" xfId="0" applyFill="1" applyBorder="1" applyAlignment="1">
      <alignment horizontal="center" vertical="center" wrapText="1"/>
    </xf>
    <xf numFmtId="43" fontId="0" fillId="0" borderId="2" xfId="4" applyFont="1" applyBorder="1" applyAlignment="1">
      <alignment horizontal="center" vertical="center" wrapText="1"/>
    </xf>
    <xf numFmtId="43" fontId="0" fillId="0" borderId="4" xfId="4" applyFont="1" applyBorder="1" applyAlignment="1">
      <alignment horizontal="center" vertical="center" wrapText="1"/>
    </xf>
    <xf numFmtId="164" fontId="16" fillId="0" borderId="2" xfId="0" applyFont="1" applyBorder="1" applyAlignment="1">
      <alignment horizontal="center" vertical="center" wrapText="1"/>
    </xf>
    <xf numFmtId="164" fontId="16" fillId="0" borderId="3" xfId="0" applyFont="1" applyBorder="1" applyAlignment="1">
      <alignment horizontal="center" vertical="center" wrapText="1"/>
    </xf>
    <xf numFmtId="164" fontId="16" fillId="0" borderId="4" xfId="0" applyFont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167" fontId="0" fillId="3" borderId="3" xfId="0" applyNumberFormat="1" applyFill="1" applyBorder="1" applyAlignment="1">
      <alignment horizontal="center" vertical="center"/>
    </xf>
    <xf numFmtId="167" fontId="0" fillId="3" borderId="4" xfId="0" applyNumberFormat="1" applyFill="1" applyBorder="1" applyAlignment="1">
      <alignment horizontal="center" vertical="center"/>
    </xf>
    <xf numFmtId="164" fontId="0" fillId="3" borderId="2" xfId="0" applyFill="1" applyBorder="1" applyAlignment="1">
      <alignment horizontal="center" vertical="center"/>
    </xf>
    <xf numFmtId="164" fontId="0" fillId="3" borderId="3" xfId="0" applyFill="1" applyBorder="1" applyAlignment="1">
      <alignment horizontal="center" vertical="center"/>
    </xf>
    <xf numFmtId="164" fontId="0" fillId="3" borderId="4" xfId="0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167" fontId="16" fillId="0" borderId="2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164" fontId="16" fillId="0" borderId="2" xfId="0" applyFont="1" applyBorder="1" applyAlignment="1">
      <alignment horizontal="center" vertical="center"/>
    </xf>
    <xf numFmtId="164" fontId="16" fillId="0" borderId="3" xfId="0" applyFont="1" applyBorder="1" applyAlignment="1">
      <alignment horizontal="center" vertical="center"/>
    </xf>
    <xf numFmtId="164" fontId="16" fillId="0" borderId="4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4" fillId="6" borderId="4" xfId="0" applyNumberFormat="1" applyFont="1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 wrapText="1"/>
    </xf>
    <xf numFmtId="164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shrinkToFit="1"/>
    </xf>
    <xf numFmtId="164" fontId="0" fillId="0" borderId="4" xfId="0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4" fontId="0" fillId="6" borderId="1" xfId="0" applyFill="1" applyBorder="1" applyAlignment="1">
      <alignment horizontal="center" vertical="center" wrapText="1"/>
    </xf>
    <xf numFmtId="164" fontId="9" fillId="0" borderId="1" xfId="0" applyFont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66" fontId="0" fillId="3" borderId="4" xfId="0" applyNumberForma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 wrapText="1"/>
    </xf>
    <xf numFmtId="167" fontId="0" fillId="3" borderId="3" xfId="0" applyNumberFormat="1" applyFill="1" applyBorder="1" applyAlignment="1">
      <alignment horizontal="center" vertical="center" wrapText="1"/>
    </xf>
    <xf numFmtId="167" fontId="0" fillId="3" borderId="4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164" fontId="14" fillId="0" borderId="2" xfId="0" applyFont="1" applyBorder="1" applyAlignment="1">
      <alignment horizontal="center" vertical="center" wrapText="1"/>
    </xf>
    <xf numFmtId="164" fontId="14" fillId="0" borderId="4" xfId="0" applyFont="1" applyBorder="1" applyAlignment="1">
      <alignment horizontal="center" vertical="center" wrapText="1"/>
    </xf>
    <xf numFmtId="43" fontId="10" fillId="4" borderId="5" xfId="0" applyNumberFormat="1" applyFont="1" applyFill="1" applyBorder="1" applyAlignment="1">
      <alignment horizontal="center"/>
    </xf>
  </cellXfs>
  <cellStyles count="5">
    <cellStyle name="Comma" xfId="4" builtinId="3"/>
    <cellStyle name="Comma 2" xfId="2" xr:uid="{00000000-0005-0000-0000-000003000000}"/>
    <cellStyle name="Normal" xfId="0" builtinId="0"/>
    <cellStyle name="Style 1" xfId="1" xr:uid="{00000000-0005-0000-0000-000007000000}"/>
    <cellStyle name="一般 3" xfId="3" xr:uid="{00000000-0005-0000-0000-000008000000}"/>
  </cellStyles>
  <dxfs count="1">
    <dxf>
      <font>
        <b/>
        <i/>
        <color rgb="FF0000FF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00CC00"/>
      <color rgb="FFCC0000"/>
      <color rgb="FF990033"/>
      <color rgb="FF660033"/>
      <color rgb="FF66FF66"/>
      <color rgb="FF34F09B"/>
      <color rgb="FFFF66FF"/>
      <color rgb="FF66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85725</xdr:rowOff>
    </xdr:from>
    <xdr:to>
      <xdr:col>1</xdr:col>
      <xdr:colOff>2180858</xdr:colOff>
      <xdr:row>3</xdr:row>
      <xdr:rowOff>18987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85725"/>
          <a:ext cx="2314286" cy="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47625</xdr:rowOff>
    </xdr:from>
    <xdr:to>
      <xdr:col>5</xdr:col>
      <xdr:colOff>43014</xdr:colOff>
      <xdr:row>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5" y="47625"/>
          <a:ext cx="2219048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31377</xdr:rowOff>
    </xdr:from>
    <xdr:to>
      <xdr:col>8</xdr:col>
      <xdr:colOff>319658</xdr:colOff>
      <xdr:row>234</xdr:row>
      <xdr:rowOff>155433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401377"/>
          <a:ext cx="9956212" cy="5221218"/>
        </a:xfrm>
        <a:prstGeom prst="rect">
          <a:avLst/>
        </a:prstGeom>
      </xdr:spPr>
    </xdr:pic>
    <xdr:clientData/>
  </xdr:twoCellAnchor>
  <xdr:twoCellAnchor editAs="oneCell">
    <xdr:from>
      <xdr:col>8</xdr:col>
      <xdr:colOff>547477</xdr:colOff>
      <xdr:row>207</xdr:row>
      <xdr:rowOff>21635</xdr:rowOff>
    </xdr:from>
    <xdr:to>
      <xdr:col>15</xdr:col>
      <xdr:colOff>742050</xdr:colOff>
      <xdr:row>234</xdr:row>
      <xdr:rowOff>55566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15382" y="39391635"/>
          <a:ext cx="6450181" cy="51310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117465</xdr:rowOff>
    </xdr:from>
    <xdr:to>
      <xdr:col>7</xdr:col>
      <xdr:colOff>1597271</xdr:colOff>
      <xdr:row>272</xdr:row>
      <xdr:rowOff>18609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584627"/>
          <a:ext cx="9509028" cy="7074928"/>
        </a:xfrm>
        <a:prstGeom prst="rect">
          <a:avLst/>
        </a:prstGeom>
      </xdr:spPr>
    </xdr:pic>
    <xdr:clientData/>
  </xdr:twoCellAnchor>
  <xdr:twoCellAnchor editAs="oneCell">
    <xdr:from>
      <xdr:col>7</xdr:col>
      <xdr:colOff>1517181</xdr:colOff>
      <xdr:row>234</xdr:row>
      <xdr:rowOff>44699</xdr:rowOff>
    </xdr:from>
    <xdr:to>
      <xdr:col>16</xdr:col>
      <xdr:colOff>323220</xdr:colOff>
      <xdr:row>269</xdr:row>
      <xdr:rowOff>17025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8938" y="44511861"/>
          <a:ext cx="9377931" cy="6579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00FF"/>
  </sheetPr>
  <dimension ref="A1:AB95"/>
  <sheetViews>
    <sheetView tabSelected="1" view="pageBreakPreview" zoomScale="96" zoomScaleNormal="96" zoomScaleSheetLayoutView="96" workbookViewId="0">
      <pane xSplit="8" ySplit="1" topLeftCell="I86" activePane="bottomRight" state="frozen"/>
      <selection pane="topRight" activeCell="K1" sqref="K1"/>
      <selection pane="bottomLeft" activeCell="A2" sqref="A2"/>
      <selection pane="bottomRight" activeCell="H91" sqref="H91"/>
    </sheetView>
  </sheetViews>
  <sheetFormatPr defaultColWidth="8.85546875" defaultRowHeight="18.75"/>
  <cols>
    <col min="1" max="1" width="12.28515625" style="2" customWidth="1"/>
    <col min="2" max="2" width="12.28515625" style="69" customWidth="1"/>
    <col min="3" max="3" width="14.85546875" style="2" customWidth="1"/>
    <col min="4" max="4" width="21.7109375" style="2" customWidth="1"/>
    <col min="5" max="5" width="13.140625" style="2" customWidth="1"/>
    <col min="6" max="6" width="12" style="69" customWidth="1"/>
    <col min="7" max="7" width="12.140625" style="98" customWidth="1"/>
    <col min="8" max="9" width="15.5703125" style="2" customWidth="1"/>
    <col min="10" max="10" width="30.140625" style="2" customWidth="1"/>
    <col min="11" max="11" width="40.85546875" style="2" customWidth="1"/>
    <col min="12" max="12" width="8.85546875" style="2" customWidth="1"/>
    <col min="13" max="13" width="12.85546875" style="26" customWidth="1"/>
    <col min="14" max="14" width="10.28515625" style="2" customWidth="1"/>
    <col min="15" max="17" width="12.28515625" style="26" customWidth="1"/>
    <col min="18" max="18" width="13.7109375" style="2" customWidth="1"/>
    <col min="19" max="19" width="17.5703125" style="2" customWidth="1"/>
    <col min="20" max="20" width="35.140625" style="2" customWidth="1"/>
    <col min="21" max="21" width="9.140625" style="2" customWidth="1"/>
    <col min="22" max="22" width="10.42578125" style="69" customWidth="1"/>
    <col min="23" max="23" width="10.42578125" style="87" customWidth="1"/>
    <col min="24" max="24" width="10.42578125" style="69" customWidth="1"/>
    <col min="25" max="25" width="15.5703125" style="25" customWidth="1"/>
    <col min="26" max="28" width="16" customWidth="1"/>
  </cols>
  <sheetData>
    <row r="1" spans="1:28" s="70" customFormat="1" ht="41.1" customHeight="1">
      <c r="A1" s="79" t="s">
        <v>513</v>
      </c>
      <c r="B1" s="80" t="s">
        <v>460</v>
      </c>
      <c r="C1" s="79" t="s">
        <v>541</v>
      </c>
      <c r="D1" s="79" t="s">
        <v>451</v>
      </c>
      <c r="E1" s="78" t="s">
        <v>221</v>
      </c>
      <c r="F1" s="81" t="s">
        <v>222</v>
      </c>
      <c r="G1" s="82" t="s">
        <v>509</v>
      </c>
      <c r="H1" s="79" t="s">
        <v>459</v>
      </c>
      <c r="I1" s="79" t="s">
        <v>223</v>
      </c>
      <c r="J1" s="78" t="s">
        <v>224</v>
      </c>
      <c r="K1" s="78" t="s">
        <v>225</v>
      </c>
      <c r="L1" s="78" t="s">
        <v>226</v>
      </c>
      <c r="M1" s="83" t="s">
        <v>490</v>
      </c>
      <c r="N1" s="78" t="s">
        <v>227</v>
      </c>
      <c r="O1" s="83" t="s">
        <v>228</v>
      </c>
      <c r="P1" s="83" t="s">
        <v>229</v>
      </c>
      <c r="Q1" s="83" t="s">
        <v>511</v>
      </c>
      <c r="R1" s="79" t="s">
        <v>508</v>
      </c>
      <c r="S1" s="78" t="s">
        <v>230</v>
      </c>
      <c r="T1" s="78" t="s">
        <v>231</v>
      </c>
      <c r="U1" s="78" t="s">
        <v>458</v>
      </c>
      <c r="V1" s="80" t="s">
        <v>477</v>
      </c>
      <c r="W1" s="93" t="s">
        <v>522</v>
      </c>
      <c r="X1" s="80" t="s">
        <v>523</v>
      </c>
      <c r="Y1" s="88" t="s">
        <v>524</v>
      </c>
      <c r="Z1" s="88" t="s">
        <v>547</v>
      </c>
      <c r="AA1" s="88" t="s">
        <v>548</v>
      </c>
      <c r="AB1" s="88" t="s">
        <v>549</v>
      </c>
    </row>
    <row r="2" spans="1:28" s="45" customFormat="1" ht="15" customHeight="1">
      <c r="A2" s="125">
        <v>45945</v>
      </c>
      <c r="B2" s="131">
        <v>45959</v>
      </c>
      <c r="C2" s="172" t="s">
        <v>582</v>
      </c>
      <c r="D2" s="172" t="s">
        <v>452</v>
      </c>
      <c r="E2" s="188" t="s">
        <v>242</v>
      </c>
      <c r="F2" s="185">
        <v>45929</v>
      </c>
      <c r="G2" s="180">
        <v>388</v>
      </c>
      <c r="H2" s="48" t="s">
        <v>241</v>
      </c>
      <c r="I2" s="129" t="s">
        <v>614</v>
      </c>
      <c r="J2" s="65" t="s">
        <v>10</v>
      </c>
      <c r="K2" s="49" t="s">
        <v>232</v>
      </c>
      <c r="L2" s="49" t="str">
        <f>VLOOKUP(K2,CDC!$B$6:$O$203,14,FALSE)</f>
        <v>I-7</v>
      </c>
      <c r="M2" s="44">
        <v>64</v>
      </c>
      <c r="N2" s="49" t="str">
        <f>VLOOKUP(K2,CDC!$B$6:$O$203,3,FALSE)</f>
        <v>SET</v>
      </c>
      <c r="O2" s="120">
        <v>4268</v>
      </c>
      <c r="P2" s="66">
        <v>4656</v>
      </c>
      <c r="Q2" s="66">
        <v>320</v>
      </c>
      <c r="R2" s="66">
        <v>20480</v>
      </c>
      <c r="S2" s="49" t="s">
        <v>433</v>
      </c>
      <c r="T2" s="209" t="s">
        <v>473</v>
      </c>
      <c r="U2" s="101" t="s">
        <v>499</v>
      </c>
      <c r="V2" s="137">
        <v>45947</v>
      </c>
      <c r="W2" s="94"/>
      <c r="X2" s="75"/>
      <c r="Y2" s="89"/>
      <c r="Z2" s="228"/>
      <c r="AA2" s="231"/>
      <c r="AB2" s="234"/>
    </row>
    <row r="3" spans="1:28" s="45" customFormat="1" ht="15">
      <c r="A3" s="125">
        <v>45945</v>
      </c>
      <c r="B3" s="131">
        <v>45959</v>
      </c>
      <c r="C3" s="173"/>
      <c r="D3" s="173"/>
      <c r="E3" s="189"/>
      <c r="F3" s="186"/>
      <c r="G3" s="181"/>
      <c r="H3" s="48" t="s">
        <v>241</v>
      </c>
      <c r="I3" s="129" t="s">
        <v>614</v>
      </c>
      <c r="J3" s="65" t="s">
        <v>10</v>
      </c>
      <c r="K3" s="49" t="s">
        <v>233</v>
      </c>
      <c r="L3" s="49" t="str">
        <f>VLOOKUP(K3,CDC!$B$6:$O$203,14,FALSE)</f>
        <v>I-8</v>
      </c>
      <c r="M3" s="44">
        <v>2</v>
      </c>
      <c r="N3" s="49" t="str">
        <f>VLOOKUP(K3,CDC!$B$6:$O$203,3,FALSE)</f>
        <v>SET</v>
      </c>
      <c r="O3" s="120">
        <v>138</v>
      </c>
      <c r="P3" s="66">
        <v>160</v>
      </c>
      <c r="Q3" s="66">
        <v>1500</v>
      </c>
      <c r="R3" s="66">
        <v>3000</v>
      </c>
      <c r="S3" s="49"/>
      <c r="T3" s="210"/>
      <c r="U3" s="101" t="s">
        <v>499</v>
      </c>
      <c r="V3" s="137">
        <v>45947</v>
      </c>
      <c r="W3" s="86"/>
      <c r="X3" s="132"/>
      <c r="Y3" s="43"/>
      <c r="Z3" s="229"/>
      <c r="AA3" s="232"/>
      <c r="AB3" s="235"/>
    </row>
    <row r="4" spans="1:28" s="45" customFormat="1" ht="15">
      <c r="A4" s="125">
        <v>45945</v>
      </c>
      <c r="B4" s="131">
        <v>45959</v>
      </c>
      <c r="C4" s="173"/>
      <c r="D4" s="173"/>
      <c r="E4" s="189"/>
      <c r="F4" s="186"/>
      <c r="G4" s="181"/>
      <c r="H4" s="48" t="s">
        <v>241</v>
      </c>
      <c r="I4" s="129" t="s">
        <v>614</v>
      </c>
      <c r="J4" s="65" t="s">
        <v>10</v>
      </c>
      <c r="K4" s="49" t="s">
        <v>234</v>
      </c>
      <c r="L4" s="49" t="str">
        <f>VLOOKUP(K4,CDC!$B$6:$O$203,14,FALSE)</f>
        <v>I-10</v>
      </c>
      <c r="M4" s="44">
        <v>2</v>
      </c>
      <c r="N4" s="49" t="str">
        <f>VLOOKUP(K4,CDC!$B$6:$O$203,3,FALSE)</f>
        <v>SET</v>
      </c>
      <c r="O4" s="120">
        <v>380</v>
      </c>
      <c r="P4" s="66">
        <v>500</v>
      </c>
      <c r="Q4" s="66">
        <v>3000</v>
      </c>
      <c r="R4" s="66">
        <v>6000</v>
      </c>
      <c r="S4" s="49"/>
      <c r="T4" s="210"/>
      <c r="U4" s="101" t="s">
        <v>499</v>
      </c>
      <c r="V4" s="137">
        <v>45947</v>
      </c>
      <c r="W4" s="86"/>
      <c r="X4" s="132"/>
      <c r="Y4" s="43"/>
      <c r="Z4" s="229"/>
      <c r="AA4" s="232"/>
      <c r="AB4" s="235"/>
    </row>
    <row r="5" spans="1:28" s="45" customFormat="1" ht="15">
      <c r="A5" s="125">
        <v>45945</v>
      </c>
      <c r="B5" s="131">
        <v>45959</v>
      </c>
      <c r="C5" s="173"/>
      <c r="D5" s="173"/>
      <c r="E5" s="189"/>
      <c r="F5" s="186"/>
      <c r="G5" s="181"/>
      <c r="H5" s="48" t="s">
        <v>241</v>
      </c>
      <c r="I5" s="129" t="s">
        <v>614</v>
      </c>
      <c r="J5" s="65" t="s">
        <v>10</v>
      </c>
      <c r="K5" s="49" t="s">
        <v>235</v>
      </c>
      <c r="L5" s="49" t="str">
        <f>VLOOKUP(K5,CDC!$B$6:$O$203,14,FALSE)</f>
        <v>I-11</v>
      </c>
      <c r="M5" s="44">
        <v>24</v>
      </c>
      <c r="N5" s="49" t="str">
        <f>VLOOKUP(K5,CDC!$B$6:$O$203,3,FALSE)</f>
        <v>SET</v>
      </c>
      <c r="O5" s="120">
        <v>1540</v>
      </c>
      <c r="P5" s="66">
        <v>1676</v>
      </c>
      <c r="Q5" s="66">
        <v>500</v>
      </c>
      <c r="R5" s="66">
        <v>12000</v>
      </c>
      <c r="S5" s="49"/>
      <c r="T5" s="210"/>
      <c r="U5" s="101" t="s">
        <v>499</v>
      </c>
      <c r="V5" s="137">
        <v>45947</v>
      </c>
      <c r="W5" s="86"/>
      <c r="X5" s="132"/>
      <c r="Y5" s="43"/>
      <c r="Z5" s="229"/>
      <c r="AA5" s="232"/>
      <c r="AB5" s="235"/>
    </row>
    <row r="6" spans="1:28" s="45" customFormat="1" ht="15">
      <c r="A6" s="125">
        <v>45945</v>
      </c>
      <c r="B6" s="131">
        <v>45959</v>
      </c>
      <c r="C6" s="173"/>
      <c r="D6" s="173"/>
      <c r="E6" s="189"/>
      <c r="F6" s="186"/>
      <c r="G6" s="181"/>
      <c r="H6" s="48" t="s">
        <v>241</v>
      </c>
      <c r="I6" s="129" t="s">
        <v>614</v>
      </c>
      <c r="J6" s="65" t="s">
        <v>10</v>
      </c>
      <c r="K6" s="49" t="s">
        <v>236</v>
      </c>
      <c r="L6" s="49" t="str">
        <f>VLOOKUP(K6,CDC!$B$6:$O$203,14,FALSE)</f>
        <v>I-12</v>
      </c>
      <c r="M6" s="44">
        <v>46</v>
      </c>
      <c r="N6" s="49" t="str">
        <f>VLOOKUP(K6,CDC!$B$6:$O$203,3,FALSE)</f>
        <v>SET</v>
      </c>
      <c r="O6" s="120">
        <v>3082</v>
      </c>
      <c r="P6" s="66">
        <v>3367.2000000000003</v>
      </c>
      <c r="Q6" s="66">
        <v>550</v>
      </c>
      <c r="R6" s="66">
        <v>25300</v>
      </c>
      <c r="S6" s="49"/>
      <c r="T6" s="210"/>
      <c r="U6" s="101" t="s">
        <v>499</v>
      </c>
      <c r="V6" s="137">
        <v>45947</v>
      </c>
      <c r="W6" s="86"/>
      <c r="X6" s="132"/>
      <c r="Y6" s="43"/>
      <c r="Z6" s="229"/>
      <c r="AA6" s="232"/>
      <c r="AB6" s="235"/>
    </row>
    <row r="7" spans="1:28" s="45" customFormat="1" ht="15">
      <c r="A7" s="125">
        <v>45945</v>
      </c>
      <c r="B7" s="131">
        <v>45959</v>
      </c>
      <c r="C7" s="173"/>
      <c r="D7" s="173"/>
      <c r="E7" s="189"/>
      <c r="F7" s="186"/>
      <c r="G7" s="181"/>
      <c r="H7" s="48" t="s">
        <v>241</v>
      </c>
      <c r="I7" s="129" t="s">
        <v>614</v>
      </c>
      <c r="J7" s="65" t="s">
        <v>10</v>
      </c>
      <c r="K7" s="49" t="s">
        <v>237</v>
      </c>
      <c r="L7" s="49" t="str">
        <f>VLOOKUP(K7,CDC!$B$6:$O$203,14,FALSE)</f>
        <v>I-14</v>
      </c>
      <c r="M7" s="44">
        <v>7</v>
      </c>
      <c r="N7" s="49" t="str">
        <f>VLOOKUP(K7,CDC!$B$6:$O$203,3,FALSE)</f>
        <v>SET</v>
      </c>
      <c r="O7" s="120">
        <v>553</v>
      </c>
      <c r="P7" s="66">
        <v>581</v>
      </c>
      <c r="Q7" s="66">
        <v>1000</v>
      </c>
      <c r="R7" s="66">
        <v>7000</v>
      </c>
      <c r="S7" s="49"/>
      <c r="T7" s="210"/>
      <c r="U7" s="101" t="s">
        <v>499</v>
      </c>
      <c r="V7" s="137">
        <v>45947</v>
      </c>
      <c r="W7" s="86"/>
      <c r="X7" s="132"/>
      <c r="Y7" s="43"/>
      <c r="Z7" s="229"/>
      <c r="AA7" s="232"/>
      <c r="AB7" s="235"/>
    </row>
    <row r="8" spans="1:28" s="45" customFormat="1" ht="15">
      <c r="A8" s="125">
        <v>45945</v>
      </c>
      <c r="B8" s="131">
        <v>45959</v>
      </c>
      <c r="C8" s="173"/>
      <c r="D8" s="173"/>
      <c r="E8" s="189"/>
      <c r="F8" s="186"/>
      <c r="G8" s="181"/>
      <c r="H8" s="48" t="s">
        <v>241</v>
      </c>
      <c r="I8" s="129" t="s">
        <v>614</v>
      </c>
      <c r="J8" s="65" t="s">
        <v>10</v>
      </c>
      <c r="K8" s="49" t="s">
        <v>238</v>
      </c>
      <c r="L8" s="49" t="str">
        <f>VLOOKUP(K8,CDC!$B$6:$O$203,14,FALSE)</f>
        <v>I-16</v>
      </c>
      <c r="M8" s="44">
        <v>10</v>
      </c>
      <c r="N8" s="49" t="str">
        <f>VLOOKUP(K8,CDC!$B$6:$O$203,3,FALSE)</f>
        <v>SET</v>
      </c>
      <c r="O8" s="120">
        <v>820</v>
      </c>
      <c r="P8" s="66">
        <v>890</v>
      </c>
      <c r="Q8" s="66">
        <v>1200</v>
      </c>
      <c r="R8" s="66">
        <v>12000</v>
      </c>
      <c r="S8" s="49"/>
      <c r="T8" s="210"/>
      <c r="U8" s="101" t="s">
        <v>499</v>
      </c>
      <c r="V8" s="137">
        <v>45947</v>
      </c>
      <c r="W8" s="86"/>
      <c r="X8" s="132"/>
      <c r="Y8" s="43"/>
      <c r="Z8" s="229"/>
      <c r="AA8" s="232"/>
      <c r="AB8" s="235"/>
    </row>
    <row r="9" spans="1:28" s="45" customFormat="1" ht="15">
      <c r="A9" s="125">
        <v>45945</v>
      </c>
      <c r="B9" s="131">
        <v>45959</v>
      </c>
      <c r="C9" s="173"/>
      <c r="D9" s="173"/>
      <c r="E9" s="189"/>
      <c r="F9" s="186"/>
      <c r="G9" s="181"/>
      <c r="H9" s="48" t="s">
        <v>241</v>
      </c>
      <c r="I9" s="129" t="s">
        <v>614</v>
      </c>
      <c r="J9" s="65" t="s">
        <v>10</v>
      </c>
      <c r="K9" s="49" t="s">
        <v>239</v>
      </c>
      <c r="L9" s="49" t="str">
        <f>VLOOKUP(K9,CDC!$B$6:$O$203,14,FALSE)</f>
        <v>I-20</v>
      </c>
      <c r="M9" s="44">
        <v>4</v>
      </c>
      <c r="N9" s="49" t="str">
        <f>VLOOKUP(K9,CDC!$B$6:$O$203,3,FALSE)</f>
        <v>SET</v>
      </c>
      <c r="O9" s="120">
        <v>1040</v>
      </c>
      <c r="P9" s="66">
        <v>1440</v>
      </c>
      <c r="Q9" s="66">
        <v>3200</v>
      </c>
      <c r="R9" s="66">
        <v>12800</v>
      </c>
      <c r="S9" s="49"/>
      <c r="T9" s="210"/>
      <c r="U9" s="101" t="s">
        <v>499</v>
      </c>
      <c r="V9" s="137">
        <v>45947</v>
      </c>
      <c r="W9" s="86"/>
      <c r="X9" s="132"/>
      <c r="Y9" s="43"/>
      <c r="Z9" s="229"/>
      <c r="AA9" s="232"/>
      <c r="AB9" s="235"/>
    </row>
    <row r="10" spans="1:28" s="45" customFormat="1" ht="15">
      <c r="A10" s="125">
        <v>45945</v>
      </c>
      <c r="B10" s="131">
        <v>45959</v>
      </c>
      <c r="C10" s="174"/>
      <c r="D10" s="174"/>
      <c r="E10" s="190"/>
      <c r="F10" s="187"/>
      <c r="G10" s="182"/>
      <c r="H10" s="48" t="s">
        <v>241</v>
      </c>
      <c r="I10" s="129" t="s">
        <v>614</v>
      </c>
      <c r="J10" s="65" t="s">
        <v>10</v>
      </c>
      <c r="K10" s="49" t="s">
        <v>240</v>
      </c>
      <c r="L10" s="49" t="str">
        <f>VLOOKUP(K10,CDC!$B$6:$O$203,14,FALSE)</f>
        <v>I-26</v>
      </c>
      <c r="M10" s="44">
        <v>5</v>
      </c>
      <c r="N10" s="49" t="str">
        <f>VLOOKUP(K10,CDC!$B$6:$O$203,3,FALSE)</f>
        <v>SET</v>
      </c>
      <c r="O10" s="120">
        <v>370</v>
      </c>
      <c r="P10" s="66">
        <v>415</v>
      </c>
      <c r="Q10" s="66">
        <v>1500</v>
      </c>
      <c r="R10" s="66">
        <v>7500</v>
      </c>
      <c r="S10" s="49"/>
      <c r="T10" s="210"/>
      <c r="U10" s="101" t="s">
        <v>499</v>
      </c>
      <c r="V10" s="137">
        <v>45947</v>
      </c>
      <c r="W10" s="86"/>
      <c r="X10" s="132"/>
      <c r="Y10" s="43"/>
      <c r="Z10" s="230"/>
      <c r="AA10" s="233"/>
      <c r="AB10" s="236"/>
    </row>
    <row r="11" spans="1:28" ht="15" customHeight="1">
      <c r="A11" s="134">
        <v>45945</v>
      </c>
      <c r="B11" s="126">
        <v>45959</v>
      </c>
      <c r="C11" s="162" t="s">
        <v>582</v>
      </c>
      <c r="D11" s="162" t="s">
        <v>452</v>
      </c>
      <c r="E11" s="148" t="s">
        <v>435</v>
      </c>
      <c r="F11" s="158">
        <v>45929</v>
      </c>
      <c r="G11" s="191">
        <v>57</v>
      </c>
      <c r="H11" s="48" t="s">
        <v>241</v>
      </c>
      <c r="I11" s="129" t="s">
        <v>614</v>
      </c>
      <c r="J11" s="42" t="s">
        <v>10</v>
      </c>
      <c r="K11" s="5" t="s">
        <v>2</v>
      </c>
      <c r="L11" s="5" t="str">
        <f>VLOOKUP(K11,CDC!$B$6:$O$203,14,FALSE)</f>
        <v>I-3</v>
      </c>
      <c r="M11" s="23">
        <v>2</v>
      </c>
      <c r="N11" s="5" t="str">
        <f>VLOOKUP(K11,CDC!$B$6:$O$203,3,FALSE)</f>
        <v>SET</v>
      </c>
      <c r="O11" s="121">
        <v>1660</v>
      </c>
      <c r="P11" s="67">
        <v>1920</v>
      </c>
      <c r="Q11" s="67">
        <v>5500</v>
      </c>
      <c r="R11" s="67">
        <v>11000</v>
      </c>
      <c r="S11" s="5" t="s">
        <v>434</v>
      </c>
      <c r="T11" s="150" t="s">
        <v>441</v>
      </c>
      <c r="U11" s="127" t="s">
        <v>500</v>
      </c>
      <c r="V11" s="123">
        <v>45947</v>
      </c>
      <c r="W11" s="95"/>
      <c r="X11" s="52"/>
      <c r="Y11" s="90"/>
      <c r="Z11" s="237"/>
      <c r="AA11" s="237"/>
      <c r="AB11" s="237"/>
    </row>
    <row r="12" spans="1:28" ht="15">
      <c r="A12" s="134">
        <v>45945</v>
      </c>
      <c r="B12" s="126">
        <v>45959</v>
      </c>
      <c r="C12" s="163"/>
      <c r="D12" s="163"/>
      <c r="E12" s="161"/>
      <c r="F12" s="159"/>
      <c r="G12" s="192"/>
      <c r="H12" s="48" t="s">
        <v>241</v>
      </c>
      <c r="I12" s="129" t="s">
        <v>614</v>
      </c>
      <c r="J12" s="42" t="s">
        <v>10</v>
      </c>
      <c r="K12" s="5" t="s">
        <v>276</v>
      </c>
      <c r="L12" s="5" t="str">
        <f>VLOOKUP(K12,CDC!$B$6:$O$203,14,FALSE)</f>
        <v>I-38</v>
      </c>
      <c r="M12" s="23">
        <v>1</v>
      </c>
      <c r="N12" s="5" t="str">
        <f>VLOOKUP(K12,CDC!$B$6:$O$203,3,FALSE)</f>
        <v>SET</v>
      </c>
      <c r="O12" s="121">
        <v>230</v>
      </c>
      <c r="P12" s="67">
        <v>320</v>
      </c>
      <c r="Q12" s="67">
        <v>2100</v>
      </c>
      <c r="R12" s="67">
        <v>2100</v>
      </c>
      <c r="S12" s="5"/>
      <c r="T12" s="151"/>
      <c r="U12" s="127" t="s">
        <v>500</v>
      </c>
      <c r="V12" s="123">
        <v>45947</v>
      </c>
      <c r="W12" s="85"/>
      <c r="X12" s="40"/>
      <c r="Y12" s="22"/>
      <c r="Z12" s="238"/>
      <c r="AA12" s="238"/>
      <c r="AB12" s="238"/>
    </row>
    <row r="13" spans="1:28" ht="15">
      <c r="A13" s="134">
        <v>45945</v>
      </c>
      <c r="B13" s="126">
        <v>45959</v>
      </c>
      <c r="C13" s="163"/>
      <c r="D13" s="163"/>
      <c r="E13" s="161"/>
      <c r="F13" s="159"/>
      <c r="G13" s="192"/>
      <c r="H13" s="48" t="s">
        <v>241</v>
      </c>
      <c r="I13" s="129" t="s">
        <v>614</v>
      </c>
      <c r="J13" s="42" t="s">
        <v>10</v>
      </c>
      <c r="K13" s="5" t="s">
        <v>220</v>
      </c>
      <c r="L13" s="5" t="str">
        <f>VLOOKUP(K13,CDC!$B$6:$O$203,14,FALSE)</f>
        <v>I-43</v>
      </c>
      <c r="M13" s="23">
        <v>2</v>
      </c>
      <c r="N13" s="5" t="str">
        <f>VLOOKUP(K13,CDC!$B$6:$O$203,3,FALSE)</f>
        <v>SET</v>
      </c>
      <c r="O13" s="121">
        <v>1160</v>
      </c>
      <c r="P13" s="67">
        <v>1340</v>
      </c>
      <c r="Q13" s="67">
        <v>3000</v>
      </c>
      <c r="R13" s="67">
        <v>6000</v>
      </c>
      <c r="S13" s="5"/>
      <c r="T13" s="151"/>
      <c r="U13" s="127" t="s">
        <v>500</v>
      </c>
      <c r="V13" s="123">
        <v>45947</v>
      </c>
      <c r="W13" s="85"/>
      <c r="X13" s="40"/>
      <c r="Y13" s="22"/>
      <c r="Z13" s="238"/>
      <c r="AA13" s="238"/>
      <c r="AB13" s="238"/>
    </row>
    <row r="14" spans="1:28" ht="15">
      <c r="A14" s="134">
        <v>45945</v>
      </c>
      <c r="B14" s="126">
        <v>45959</v>
      </c>
      <c r="C14" s="164"/>
      <c r="D14" s="164"/>
      <c r="E14" s="149"/>
      <c r="F14" s="160"/>
      <c r="G14" s="193"/>
      <c r="H14" s="48" t="s">
        <v>241</v>
      </c>
      <c r="I14" s="129" t="s">
        <v>614</v>
      </c>
      <c r="J14" s="42" t="s">
        <v>10</v>
      </c>
      <c r="K14" s="5" t="s">
        <v>3</v>
      </c>
      <c r="L14" s="5" t="str">
        <f>VLOOKUP(K14,CDC!$B$6:$O$203,14,FALSE)</f>
        <v>I-70</v>
      </c>
      <c r="M14" s="23">
        <v>20</v>
      </c>
      <c r="N14" s="5" t="str">
        <f>VLOOKUP(K14,CDC!$B$6:$O$203,3,FALSE)</f>
        <v>SET</v>
      </c>
      <c r="O14" s="121">
        <v>1180</v>
      </c>
      <c r="P14" s="67">
        <v>1262</v>
      </c>
      <c r="Q14" s="67">
        <v>200</v>
      </c>
      <c r="R14" s="67">
        <v>4000</v>
      </c>
      <c r="S14" s="5"/>
      <c r="T14" s="151"/>
      <c r="U14" s="127" t="s">
        <v>500</v>
      </c>
      <c r="V14" s="123">
        <v>45947</v>
      </c>
      <c r="W14" s="85"/>
      <c r="X14" s="40"/>
      <c r="Y14" s="22"/>
      <c r="Z14" s="239"/>
      <c r="AA14" s="239"/>
      <c r="AB14" s="239"/>
    </row>
    <row r="15" spans="1:28" ht="15" customHeight="1">
      <c r="A15" s="134">
        <v>45945</v>
      </c>
      <c r="B15" s="126">
        <v>45959</v>
      </c>
      <c r="C15" s="162" t="s">
        <v>585</v>
      </c>
      <c r="D15" s="162" t="s">
        <v>452</v>
      </c>
      <c r="E15" s="148" t="s">
        <v>437</v>
      </c>
      <c r="F15" s="158">
        <v>45937</v>
      </c>
      <c r="G15" s="191">
        <v>93</v>
      </c>
      <c r="H15" s="48" t="s">
        <v>241</v>
      </c>
      <c r="I15" s="129" t="s">
        <v>614</v>
      </c>
      <c r="J15" s="42" t="s">
        <v>10</v>
      </c>
      <c r="K15" s="5" t="s">
        <v>295</v>
      </c>
      <c r="L15" s="5" t="str">
        <f>VLOOKUP(K15,CDC!$B$6:$O$203,14,FALSE)</f>
        <v>I-58</v>
      </c>
      <c r="M15" s="23">
        <v>1</v>
      </c>
      <c r="N15" s="5" t="str">
        <f>VLOOKUP(K15,CDC!$B$6:$O$203,3,FALSE)</f>
        <v>SET</v>
      </c>
      <c r="O15" s="121">
        <v>272.2</v>
      </c>
      <c r="P15" s="67">
        <v>26</v>
      </c>
      <c r="Q15" s="67">
        <v>600</v>
      </c>
      <c r="R15" s="67">
        <v>600</v>
      </c>
      <c r="S15" s="5" t="s">
        <v>436</v>
      </c>
      <c r="T15" s="150" t="s">
        <v>474</v>
      </c>
      <c r="U15" s="127" t="s">
        <v>501</v>
      </c>
      <c r="V15" s="123">
        <v>45958</v>
      </c>
      <c r="W15" s="95"/>
      <c r="X15" s="52"/>
      <c r="Y15" s="90"/>
      <c r="Z15" s="237"/>
      <c r="AA15" s="237"/>
      <c r="AB15" s="237"/>
    </row>
    <row r="16" spans="1:28" ht="15">
      <c r="A16" s="134">
        <v>45945</v>
      </c>
      <c r="B16" s="126">
        <v>45959</v>
      </c>
      <c r="C16" s="163"/>
      <c r="D16" s="163"/>
      <c r="E16" s="161"/>
      <c r="F16" s="159"/>
      <c r="G16" s="192"/>
      <c r="H16" s="48" t="s">
        <v>241</v>
      </c>
      <c r="I16" s="129" t="s">
        <v>614</v>
      </c>
      <c r="J16" s="42" t="s">
        <v>10</v>
      </c>
      <c r="K16" s="5" t="s">
        <v>322</v>
      </c>
      <c r="L16" s="5" t="str">
        <f>VLOOKUP(K16,CDC!$B$6:$O$203,14,FALSE)</f>
        <v>I-86</v>
      </c>
      <c r="M16" s="23">
        <v>2</v>
      </c>
      <c r="N16" s="5" t="str">
        <f>VLOOKUP(K16,CDC!$B$6:$O$203,3,FALSE)</f>
        <v>SET</v>
      </c>
      <c r="O16" s="121">
        <v>1</v>
      </c>
      <c r="P16" s="67">
        <v>0.6</v>
      </c>
      <c r="Q16" s="67">
        <v>60</v>
      </c>
      <c r="R16" s="67">
        <v>120</v>
      </c>
      <c r="S16" s="5"/>
      <c r="T16" s="151"/>
      <c r="U16" s="127" t="s">
        <v>501</v>
      </c>
      <c r="V16" s="123">
        <v>45958</v>
      </c>
      <c r="W16" s="85"/>
      <c r="X16" s="40"/>
      <c r="Y16" s="22"/>
      <c r="Z16" s="238"/>
      <c r="AA16" s="238"/>
      <c r="AB16" s="238"/>
    </row>
    <row r="17" spans="1:28" ht="15">
      <c r="A17" s="134">
        <v>45945</v>
      </c>
      <c r="B17" s="126">
        <v>45959</v>
      </c>
      <c r="C17" s="163"/>
      <c r="D17" s="163"/>
      <c r="E17" s="161"/>
      <c r="F17" s="159"/>
      <c r="G17" s="192"/>
      <c r="H17" s="48" t="s">
        <v>241</v>
      </c>
      <c r="I17" s="129" t="s">
        <v>614</v>
      </c>
      <c r="J17" s="42" t="s">
        <v>10</v>
      </c>
      <c r="K17" s="5" t="s">
        <v>339</v>
      </c>
      <c r="L17" s="5" t="str">
        <f>VLOOKUP(K17,CDC!$B$6:$O$203,14,FALSE)</f>
        <v>I-103</v>
      </c>
      <c r="M17" s="23">
        <v>212</v>
      </c>
      <c r="N17" s="5" t="str">
        <f>VLOOKUP(K17,CDC!$B$6:$O$203,3,FALSE)</f>
        <v>SET</v>
      </c>
      <c r="O17" s="121">
        <v>172.8</v>
      </c>
      <c r="P17" s="67">
        <v>1048.8</v>
      </c>
      <c r="Q17" s="67">
        <v>10</v>
      </c>
      <c r="R17" s="67">
        <v>2120</v>
      </c>
      <c r="S17" s="5"/>
      <c r="T17" s="151"/>
      <c r="U17" s="127" t="s">
        <v>501</v>
      </c>
      <c r="V17" s="123">
        <v>45958</v>
      </c>
      <c r="W17" s="85"/>
      <c r="X17" s="40"/>
      <c r="Y17" s="22"/>
      <c r="Z17" s="238"/>
      <c r="AA17" s="238"/>
      <c r="AB17" s="238"/>
    </row>
    <row r="18" spans="1:28" ht="15">
      <c r="A18" s="134">
        <v>45945</v>
      </c>
      <c r="B18" s="126">
        <v>45959</v>
      </c>
      <c r="C18" s="163"/>
      <c r="D18" s="163"/>
      <c r="E18" s="161"/>
      <c r="F18" s="159"/>
      <c r="G18" s="192"/>
      <c r="H18" s="48" t="s">
        <v>241</v>
      </c>
      <c r="I18" s="129" t="s">
        <v>614</v>
      </c>
      <c r="J18" s="42" t="s">
        <v>10</v>
      </c>
      <c r="K18" s="5" t="s">
        <v>334</v>
      </c>
      <c r="L18" s="5" t="str">
        <f>VLOOKUP(K18,CDC!$B$6:$O$203,14,FALSE)</f>
        <v>I-98</v>
      </c>
      <c r="M18" s="23">
        <v>18</v>
      </c>
      <c r="N18" s="5" t="str">
        <f>VLOOKUP(K18,CDC!$B$6:$O$203,3,FALSE)</f>
        <v>SET</v>
      </c>
      <c r="O18" s="121">
        <v>580</v>
      </c>
      <c r="P18" s="67">
        <v>906</v>
      </c>
      <c r="Q18" s="67">
        <v>110</v>
      </c>
      <c r="R18" s="67">
        <v>1980</v>
      </c>
      <c r="S18" s="5"/>
      <c r="T18" s="151"/>
      <c r="U18" s="127" t="s">
        <v>501</v>
      </c>
      <c r="V18" s="123">
        <v>45958</v>
      </c>
      <c r="W18" s="85"/>
      <c r="X18" s="40"/>
      <c r="Y18" s="22"/>
      <c r="Z18" s="238"/>
      <c r="AA18" s="238"/>
      <c r="AB18" s="238"/>
    </row>
    <row r="19" spans="1:28" ht="15">
      <c r="A19" s="134">
        <v>45945</v>
      </c>
      <c r="B19" s="126">
        <v>45959</v>
      </c>
      <c r="C19" s="163"/>
      <c r="D19" s="163"/>
      <c r="E19" s="161"/>
      <c r="F19" s="159"/>
      <c r="G19" s="192"/>
      <c r="H19" s="48" t="s">
        <v>241</v>
      </c>
      <c r="I19" s="129" t="s">
        <v>614</v>
      </c>
      <c r="J19" s="42" t="s">
        <v>10</v>
      </c>
      <c r="K19" s="5" t="s">
        <v>358</v>
      </c>
      <c r="L19" s="5" t="str">
        <f>VLOOKUP(K19,CDC!$B$6:$O$203,14,FALSE)</f>
        <v>I-122</v>
      </c>
      <c r="M19" s="23">
        <v>20</v>
      </c>
      <c r="N19" s="5" t="str">
        <f>VLOOKUP(K19,CDC!$B$6:$O$203,3,FALSE)</f>
        <v>SET</v>
      </c>
      <c r="O19" s="121">
        <v>25</v>
      </c>
      <c r="P19" s="67">
        <v>200</v>
      </c>
      <c r="Q19" s="67">
        <v>20</v>
      </c>
      <c r="R19" s="67">
        <v>400</v>
      </c>
      <c r="S19" s="5"/>
      <c r="T19" s="151"/>
      <c r="U19" s="127" t="s">
        <v>501</v>
      </c>
      <c r="V19" s="123">
        <v>45958</v>
      </c>
      <c r="W19" s="85"/>
      <c r="X19" s="40"/>
      <c r="Y19" s="22"/>
      <c r="Z19" s="238"/>
      <c r="AA19" s="238"/>
      <c r="AB19" s="238"/>
    </row>
    <row r="20" spans="1:28" ht="15">
      <c r="A20" s="134">
        <v>45945</v>
      </c>
      <c r="B20" s="126">
        <v>45959</v>
      </c>
      <c r="C20" s="163"/>
      <c r="D20" s="163"/>
      <c r="E20" s="161"/>
      <c r="F20" s="159"/>
      <c r="G20" s="192"/>
      <c r="H20" s="48" t="s">
        <v>241</v>
      </c>
      <c r="I20" s="129" t="s">
        <v>614</v>
      </c>
      <c r="J20" s="42" t="s">
        <v>10</v>
      </c>
      <c r="K20" s="5" t="s">
        <v>265</v>
      </c>
      <c r="L20" s="5" t="str">
        <f>VLOOKUP(K20,CDC!$B$6:$O$203,14,FALSE)</f>
        <v>I-27</v>
      </c>
      <c r="M20" s="23">
        <v>6</v>
      </c>
      <c r="N20" s="5" t="str">
        <f>VLOOKUP(K20,CDC!$B$6:$O$203,3,FALSE)</f>
        <v>SET</v>
      </c>
      <c r="O20" s="121">
        <v>40.4</v>
      </c>
      <c r="P20" s="67">
        <v>180</v>
      </c>
      <c r="Q20" s="67">
        <v>300</v>
      </c>
      <c r="R20" s="67">
        <v>1800</v>
      </c>
      <c r="S20" s="5"/>
      <c r="T20" s="151"/>
      <c r="U20" s="127" t="s">
        <v>501</v>
      </c>
      <c r="V20" s="123">
        <v>45958</v>
      </c>
      <c r="W20" s="85"/>
      <c r="X20" s="40"/>
      <c r="Y20" s="22"/>
      <c r="Z20" s="238"/>
      <c r="AA20" s="238"/>
      <c r="AB20" s="238"/>
    </row>
    <row r="21" spans="1:28" ht="15">
      <c r="A21" s="134">
        <v>45945</v>
      </c>
      <c r="B21" s="126">
        <v>45959</v>
      </c>
      <c r="C21" s="163"/>
      <c r="D21" s="163"/>
      <c r="E21" s="161"/>
      <c r="F21" s="159"/>
      <c r="G21" s="192"/>
      <c r="H21" s="48" t="s">
        <v>241</v>
      </c>
      <c r="I21" s="129" t="s">
        <v>614</v>
      </c>
      <c r="J21" s="42" t="s">
        <v>10</v>
      </c>
      <c r="K21" s="5" t="s">
        <v>332</v>
      </c>
      <c r="L21" s="5" t="str">
        <f>VLOOKUP(K21,CDC!$B$6:$O$203,14,FALSE)</f>
        <v>I-96</v>
      </c>
      <c r="M21" s="23">
        <v>40</v>
      </c>
      <c r="N21" s="5" t="str">
        <f>VLOOKUP(K21,CDC!$B$6:$O$203,3,FALSE)</f>
        <v>SET</v>
      </c>
      <c r="O21" s="121">
        <v>1973.7</v>
      </c>
      <c r="P21" s="67">
        <v>3363</v>
      </c>
      <c r="Q21" s="67">
        <v>80</v>
      </c>
      <c r="R21" s="67">
        <v>3200</v>
      </c>
      <c r="S21" s="5"/>
      <c r="T21" s="151"/>
      <c r="U21" s="127" t="s">
        <v>501</v>
      </c>
      <c r="V21" s="123">
        <v>45958</v>
      </c>
      <c r="W21" s="85"/>
      <c r="X21" s="40"/>
      <c r="Y21" s="22"/>
      <c r="Z21" s="238"/>
      <c r="AA21" s="238"/>
      <c r="AB21" s="238"/>
    </row>
    <row r="22" spans="1:28" ht="15">
      <c r="A22" s="134">
        <v>45945</v>
      </c>
      <c r="B22" s="126">
        <v>45959</v>
      </c>
      <c r="C22" s="163"/>
      <c r="D22" s="163"/>
      <c r="E22" s="161"/>
      <c r="F22" s="159"/>
      <c r="G22" s="192"/>
      <c r="H22" s="48" t="s">
        <v>241</v>
      </c>
      <c r="I22" s="129" t="s">
        <v>614</v>
      </c>
      <c r="J22" s="42" t="s">
        <v>10</v>
      </c>
      <c r="K22" s="5" t="s">
        <v>336</v>
      </c>
      <c r="L22" s="5" t="str">
        <f>VLOOKUP(K22,CDC!$B$6:$O$203,14,FALSE)</f>
        <v>I-100</v>
      </c>
      <c r="M22" s="23">
        <v>5</v>
      </c>
      <c r="N22" s="5" t="str">
        <f>VLOOKUP(K22,CDC!$B$6:$O$203,3,FALSE)</f>
        <v>SET</v>
      </c>
      <c r="O22" s="121">
        <v>0.56999999999999995</v>
      </c>
      <c r="P22" s="67">
        <v>477</v>
      </c>
      <c r="Q22" s="67">
        <v>240</v>
      </c>
      <c r="R22" s="67">
        <v>1200</v>
      </c>
      <c r="S22" s="5"/>
      <c r="T22" s="151"/>
      <c r="U22" s="127" t="s">
        <v>501</v>
      </c>
      <c r="V22" s="123">
        <v>45958</v>
      </c>
      <c r="W22" s="85"/>
      <c r="X22" s="40"/>
      <c r="Y22" s="22"/>
      <c r="Z22" s="238"/>
      <c r="AA22" s="238"/>
      <c r="AB22" s="238"/>
    </row>
    <row r="23" spans="1:28" ht="15">
      <c r="A23" s="134">
        <v>45945</v>
      </c>
      <c r="B23" s="126">
        <v>45959</v>
      </c>
      <c r="C23" s="163"/>
      <c r="D23" s="163"/>
      <c r="E23" s="161"/>
      <c r="F23" s="159"/>
      <c r="G23" s="192"/>
      <c r="H23" s="48" t="s">
        <v>241</v>
      </c>
      <c r="I23" s="129" t="s">
        <v>614</v>
      </c>
      <c r="J23" s="42" t="s">
        <v>10</v>
      </c>
      <c r="K23" s="5" t="s">
        <v>305</v>
      </c>
      <c r="L23" s="5" t="str">
        <f>VLOOKUP(K23,CDC!$B$6:$O$203,14,FALSE)</f>
        <v>I-68</v>
      </c>
      <c r="M23" s="23">
        <v>1</v>
      </c>
      <c r="N23" s="5" t="str">
        <f>VLOOKUP(K23,CDC!$B$6:$O$203,3,FALSE)</f>
        <v>SET</v>
      </c>
      <c r="O23" s="121">
        <v>3360.6</v>
      </c>
      <c r="P23" s="67">
        <v>1983.3</v>
      </c>
      <c r="Q23" s="67">
        <v>8000</v>
      </c>
      <c r="R23" s="67">
        <v>8000</v>
      </c>
      <c r="S23" s="5"/>
      <c r="T23" s="151"/>
      <c r="U23" s="127" t="s">
        <v>501</v>
      </c>
      <c r="V23" s="123">
        <v>45958</v>
      </c>
      <c r="W23" s="85"/>
      <c r="X23" s="40"/>
      <c r="Y23" s="22"/>
      <c r="Z23" s="238"/>
      <c r="AA23" s="238"/>
      <c r="AB23" s="238"/>
    </row>
    <row r="24" spans="1:28" ht="15">
      <c r="A24" s="134">
        <v>45945</v>
      </c>
      <c r="B24" s="126">
        <v>45959</v>
      </c>
      <c r="C24" s="163"/>
      <c r="D24" s="163"/>
      <c r="E24" s="161"/>
      <c r="F24" s="159"/>
      <c r="G24" s="192"/>
      <c r="H24" s="48" t="s">
        <v>241</v>
      </c>
      <c r="I24" s="129" t="s">
        <v>614</v>
      </c>
      <c r="J24" s="42" t="s">
        <v>10</v>
      </c>
      <c r="K24" s="5" t="s">
        <v>287</v>
      </c>
      <c r="L24" s="5" t="str">
        <f>VLOOKUP(K24,CDC!$B$6:$O$203,14,FALSE)</f>
        <v>I-50</v>
      </c>
      <c r="M24" s="23">
        <v>1</v>
      </c>
      <c r="N24" s="5" t="str">
        <f>VLOOKUP(K24,CDC!$B$6:$O$203,3,FALSE)</f>
        <v>SET</v>
      </c>
      <c r="O24" s="121">
        <v>903</v>
      </c>
      <c r="P24" s="67">
        <v>700</v>
      </c>
      <c r="Q24" s="67">
        <v>6000</v>
      </c>
      <c r="R24" s="67">
        <v>6000</v>
      </c>
      <c r="S24" s="5"/>
      <c r="T24" s="151"/>
      <c r="U24" s="127" t="s">
        <v>501</v>
      </c>
      <c r="V24" s="123">
        <v>45958</v>
      </c>
      <c r="W24" s="85"/>
      <c r="X24" s="40"/>
      <c r="Y24" s="22"/>
      <c r="Z24" s="238"/>
      <c r="AA24" s="238"/>
      <c r="AB24" s="238"/>
    </row>
    <row r="25" spans="1:28" ht="15">
      <c r="A25" s="134">
        <v>45945</v>
      </c>
      <c r="B25" s="126">
        <v>45959</v>
      </c>
      <c r="C25" s="163"/>
      <c r="D25" s="163"/>
      <c r="E25" s="161"/>
      <c r="F25" s="159"/>
      <c r="G25" s="192"/>
      <c r="H25" s="48" t="s">
        <v>241</v>
      </c>
      <c r="I25" s="129" t="s">
        <v>614</v>
      </c>
      <c r="J25" s="42" t="s">
        <v>10</v>
      </c>
      <c r="K25" s="5" t="s">
        <v>300</v>
      </c>
      <c r="L25" s="5" t="str">
        <f>VLOOKUP(K25,CDC!$B$6:$O$203,14,FALSE)</f>
        <v>I-63</v>
      </c>
      <c r="M25" s="23">
        <v>1</v>
      </c>
      <c r="N25" s="5" t="str">
        <f>VLOOKUP(K25,CDC!$B$6:$O$203,3,FALSE)</f>
        <v>SET</v>
      </c>
      <c r="O25" s="121">
        <v>476.2</v>
      </c>
      <c r="P25" s="67">
        <v>41</v>
      </c>
      <c r="Q25" s="67">
        <v>700</v>
      </c>
      <c r="R25" s="67">
        <v>700</v>
      </c>
      <c r="S25" s="5"/>
      <c r="T25" s="151"/>
      <c r="U25" s="127" t="s">
        <v>501</v>
      </c>
      <c r="V25" s="123">
        <v>45958</v>
      </c>
      <c r="W25" s="85"/>
      <c r="X25" s="40"/>
      <c r="Y25" s="22"/>
      <c r="Z25" s="238"/>
      <c r="AA25" s="238"/>
      <c r="AB25" s="238"/>
    </row>
    <row r="26" spans="1:28" ht="15">
      <c r="A26" s="134">
        <v>45945</v>
      </c>
      <c r="B26" s="126">
        <v>45959</v>
      </c>
      <c r="C26" s="163"/>
      <c r="D26" s="163"/>
      <c r="E26" s="161"/>
      <c r="F26" s="159"/>
      <c r="G26" s="192"/>
      <c r="H26" s="48" t="s">
        <v>241</v>
      </c>
      <c r="I26" s="129" t="s">
        <v>614</v>
      </c>
      <c r="J26" s="42" t="s">
        <v>10</v>
      </c>
      <c r="K26" s="5" t="s">
        <v>249</v>
      </c>
      <c r="L26" s="5" t="str">
        <f>VLOOKUP(K26,CDC!$B$6:$O$203,14,FALSE)</f>
        <v>I-1</v>
      </c>
      <c r="M26" s="23">
        <v>1</v>
      </c>
      <c r="N26" s="5" t="str">
        <f>VLOOKUP(K26,CDC!$B$6:$O$203,3,FALSE)</f>
        <v>SET</v>
      </c>
      <c r="O26" s="121">
        <v>1014.6</v>
      </c>
      <c r="P26" s="67">
        <v>273</v>
      </c>
      <c r="Q26" s="67">
        <v>4500</v>
      </c>
      <c r="R26" s="67">
        <v>4500</v>
      </c>
      <c r="S26" s="5"/>
      <c r="T26" s="151"/>
      <c r="U26" s="127" t="s">
        <v>501</v>
      </c>
      <c r="V26" s="123">
        <v>45958</v>
      </c>
      <c r="W26" s="85"/>
      <c r="X26" s="40"/>
      <c r="Y26" s="22"/>
      <c r="Z26" s="238"/>
      <c r="AA26" s="238"/>
      <c r="AB26" s="238"/>
    </row>
    <row r="27" spans="1:28" ht="15">
      <c r="A27" s="134">
        <v>45945</v>
      </c>
      <c r="B27" s="126">
        <v>45959</v>
      </c>
      <c r="C27" s="164"/>
      <c r="D27" s="164"/>
      <c r="E27" s="149"/>
      <c r="F27" s="160"/>
      <c r="G27" s="193"/>
      <c r="H27" s="48" t="s">
        <v>241</v>
      </c>
      <c r="I27" s="129" t="s">
        <v>614</v>
      </c>
      <c r="J27" s="42" t="s">
        <v>10</v>
      </c>
      <c r="K27" s="5" t="s">
        <v>250</v>
      </c>
      <c r="L27" s="5" t="str">
        <f>VLOOKUP(K27,CDC!$B$6:$O$203,14,FALSE)</f>
        <v>I-2</v>
      </c>
      <c r="M27" s="23">
        <v>2</v>
      </c>
      <c r="N27" s="5" t="str">
        <f>VLOOKUP(K27,CDC!$B$6:$O$203,3,FALSE)</f>
        <v>SET</v>
      </c>
      <c r="O27" s="121">
        <v>197</v>
      </c>
      <c r="P27" s="67">
        <v>2</v>
      </c>
      <c r="Q27" s="67">
        <v>130</v>
      </c>
      <c r="R27" s="67">
        <v>260</v>
      </c>
      <c r="S27" s="5"/>
      <c r="T27" s="151"/>
      <c r="U27" s="127" t="s">
        <v>501</v>
      </c>
      <c r="V27" s="123">
        <v>45958</v>
      </c>
      <c r="W27" s="85"/>
      <c r="X27" s="40"/>
      <c r="Y27" s="22"/>
      <c r="Z27" s="239"/>
      <c r="AA27" s="239"/>
      <c r="AB27" s="239"/>
    </row>
    <row r="28" spans="1:28" s="53" customFormat="1" ht="30" customHeight="1">
      <c r="A28" s="47">
        <v>45967</v>
      </c>
      <c r="B28" s="52">
        <v>45938</v>
      </c>
      <c r="C28" s="47" t="s">
        <v>582</v>
      </c>
      <c r="D28" s="47" t="s">
        <v>452</v>
      </c>
      <c r="E28" s="5" t="s">
        <v>438</v>
      </c>
      <c r="F28" s="40">
        <v>45947</v>
      </c>
      <c r="G28" s="122">
        <v>5</v>
      </c>
      <c r="H28" s="5" t="s">
        <v>241</v>
      </c>
      <c r="I28" s="129" t="s">
        <v>614</v>
      </c>
      <c r="J28" s="42" t="s">
        <v>10</v>
      </c>
      <c r="K28" s="5" t="s">
        <v>274</v>
      </c>
      <c r="L28" s="5" t="str">
        <f>VLOOKUP(K28,CDC!$B$6:$O$203,14,FALSE)</f>
        <v>I-36</v>
      </c>
      <c r="M28" s="23">
        <v>1</v>
      </c>
      <c r="N28" s="5" t="str">
        <f>VLOOKUP(K28,CDC!$B$6:$O$203,3,FALSE)</f>
        <v>SET</v>
      </c>
      <c r="O28" s="23">
        <v>4785.07</v>
      </c>
      <c r="P28" s="23">
        <v>4985.95</v>
      </c>
      <c r="Q28" s="23">
        <f>R28/M28</f>
        <v>19000</v>
      </c>
      <c r="R28" s="23">
        <v>19000</v>
      </c>
      <c r="S28" s="5" t="s">
        <v>439</v>
      </c>
      <c r="T28" s="5" t="s">
        <v>440</v>
      </c>
      <c r="U28" s="5" t="s">
        <v>510</v>
      </c>
      <c r="V28" s="40">
        <v>45988</v>
      </c>
      <c r="W28" s="85"/>
      <c r="X28" s="40"/>
      <c r="Y28" s="22"/>
      <c r="Z28" s="85"/>
      <c r="AA28" s="40"/>
      <c r="AB28" s="22"/>
    </row>
    <row r="29" spans="1:28" s="116" customFormat="1" ht="17.25" customHeight="1">
      <c r="A29" s="103"/>
      <c r="B29" s="104"/>
      <c r="C29" s="103"/>
      <c r="D29" s="103"/>
      <c r="E29" s="105"/>
      <c r="F29" s="106"/>
      <c r="G29" s="107"/>
      <c r="H29" s="105"/>
      <c r="I29" s="105"/>
      <c r="J29" s="108"/>
      <c r="K29" s="109"/>
      <c r="L29" s="109"/>
      <c r="M29" s="110"/>
      <c r="N29" s="109"/>
      <c r="O29" s="110"/>
      <c r="P29" s="110"/>
      <c r="Q29" s="110"/>
      <c r="R29" s="110"/>
      <c r="S29" s="105"/>
      <c r="T29" s="109"/>
      <c r="U29" s="105"/>
      <c r="V29" s="106"/>
      <c r="W29" s="111"/>
      <c r="X29" s="112"/>
      <c r="Y29" s="113"/>
      <c r="Z29" s="114"/>
      <c r="AA29" s="106"/>
      <c r="AB29" s="115"/>
    </row>
    <row r="30" spans="1:28" s="1" customFormat="1" ht="15" customHeight="1">
      <c r="A30" s="140">
        <v>46048</v>
      </c>
      <c r="B30" s="141">
        <v>46051</v>
      </c>
      <c r="C30" s="177" t="s">
        <v>582</v>
      </c>
      <c r="D30" s="177" t="s">
        <v>453</v>
      </c>
      <c r="E30" s="200" t="s">
        <v>443</v>
      </c>
      <c r="F30" s="197">
        <v>46041</v>
      </c>
      <c r="G30" s="194">
        <v>912</v>
      </c>
      <c r="H30" s="136" t="s">
        <v>241</v>
      </c>
      <c r="I30" s="142" t="s">
        <v>615</v>
      </c>
      <c r="J30" s="42" t="s">
        <v>16</v>
      </c>
      <c r="K30" s="46" t="s">
        <v>361</v>
      </c>
      <c r="L30" s="5" t="str">
        <f>VLOOKUP(K30,CDC!$B$6:$O$203,14,FALSE)</f>
        <v>II-125</v>
      </c>
      <c r="M30" s="54">
        <v>17262</v>
      </c>
      <c r="N30" s="55" t="s">
        <v>444</v>
      </c>
      <c r="O30" s="24">
        <v>6298.9</v>
      </c>
      <c r="P30" s="54">
        <v>6379</v>
      </c>
      <c r="Q30" s="24">
        <v>1</v>
      </c>
      <c r="R30" s="24">
        <v>17262</v>
      </c>
      <c r="S30" s="200" t="s">
        <v>445</v>
      </c>
      <c r="T30" s="211"/>
      <c r="U30" s="50" t="s">
        <v>489</v>
      </c>
      <c r="V30" s="126">
        <v>46050</v>
      </c>
      <c r="W30" s="85"/>
      <c r="X30" s="40"/>
      <c r="Y30" s="22"/>
      <c r="Z30" s="223"/>
      <c r="AA30" s="223"/>
      <c r="AB30" s="223"/>
    </row>
    <row r="31" spans="1:28" s="1" customFormat="1" ht="15">
      <c r="A31" s="140">
        <v>46048</v>
      </c>
      <c r="B31" s="141">
        <v>46051</v>
      </c>
      <c r="C31" s="178"/>
      <c r="D31" s="178"/>
      <c r="E31" s="201"/>
      <c r="F31" s="198"/>
      <c r="G31" s="195"/>
      <c r="H31" s="136" t="s">
        <v>241</v>
      </c>
      <c r="I31" s="142" t="s">
        <v>615</v>
      </c>
      <c r="J31" s="42" t="s">
        <v>16</v>
      </c>
      <c r="K31" s="46" t="s">
        <v>360</v>
      </c>
      <c r="L31" s="5" t="str">
        <f>VLOOKUP(K31,CDC!$B$6:$O$203,14,FALSE)</f>
        <v>II-124</v>
      </c>
      <c r="M31" s="54">
        <v>50625.4</v>
      </c>
      <c r="N31" s="55" t="s">
        <v>444</v>
      </c>
      <c r="O31" s="24">
        <v>12927.4</v>
      </c>
      <c r="P31" s="54">
        <v>13172.5</v>
      </c>
      <c r="Q31" s="24">
        <v>1.8</v>
      </c>
      <c r="R31" s="24">
        <v>91125.72</v>
      </c>
      <c r="S31" s="201"/>
      <c r="T31" s="211"/>
      <c r="U31" s="50" t="s">
        <v>489</v>
      </c>
      <c r="V31" s="126">
        <v>46050</v>
      </c>
      <c r="W31" s="85"/>
      <c r="X31" s="40"/>
      <c r="Y31" s="22"/>
      <c r="Z31" s="224"/>
      <c r="AA31" s="224"/>
      <c r="AB31" s="224"/>
    </row>
    <row r="32" spans="1:28" s="1" customFormat="1" ht="15">
      <c r="A32" s="140">
        <v>46048</v>
      </c>
      <c r="B32" s="141">
        <v>46051</v>
      </c>
      <c r="C32" s="179"/>
      <c r="D32" s="179"/>
      <c r="E32" s="202"/>
      <c r="F32" s="199"/>
      <c r="G32" s="196"/>
      <c r="H32" s="136" t="s">
        <v>241</v>
      </c>
      <c r="I32" s="142" t="s">
        <v>615</v>
      </c>
      <c r="J32" s="42" t="s">
        <v>16</v>
      </c>
      <c r="K32" s="46" t="s">
        <v>418</v>
      </c>
      <c r="L32" s="5" t="str">
        <f>VLOOKUP(K32,CDC!$B$6:$O$203,14,FALSE)</f>
        <v>III-182</v>
      </c>
      <c r="M32" s="54">
        <v>380</v>
      </c>
      <c r="N32" s="55" t="s">
        <v>446</v>
      </c>
      <c r="O32" s="24">
        <v>375.4</v>
      </c>
      <c r="P32" s="54">
        <v>402.6</v>
      </c>
      <c r="Q32" s="24">
        <v>1</v>
      </c>
      <c r="R32" s="24">
        <v>380</v>
      </c>
      <c r="S32" s="202"/>
      <c r="T32" s="211"/>
      <c r="U32" s="50" t="s">
        <v>489</v>
      </c>
      <c r="V32" s="126">
        <v>46050</v>
      </c>
      <c r="W32" s="85"/>
      <c r="X32" s="40"/>
      <c r="Y32" s="22"/>
      <c r="Z32" s="225"/>
      <c r="AA32" s="225"/>
      <c r="AB32" s="225"/>
    </row>
    <row r="33" spans="1:28" ht="30" customHeight="1">
      <c r="A33" s="51">
        <v>46051</v>
      </c>
      <c r="B33" s="57">
        <v>46055</v>
      </c>
      <c r="C33" s="47" t="s">
        <v>582</v>
      </c>
      <c r="D33" s="47" t="s">
        <v>453</v>
      </c>
      <c r="E33" s="5" t="s">
        <v>447</v>
      </c>
      <c r="F33" s="40">
        <v>46043</v>
      </c>
      <c r="G33" s="122">
        <v>362</v>
      </c>
      <c r="H33" s="56" t="s">
        <v>241</v>
      </c>
      <c r="I33" s="142" t="s">
        <v>615</v>
      </c>
      <c r="J33" s="42" t="s">
        <v>17</v>
      </c>
      <c r="K33" s="5" t="s">
        <v>360</v>
      </c>
      <c r="L33" s="5" t="str">
        <f>VLOOKUP(K33,CDC!$B$6:$O$203,14,FALSE)</f>
        <v>II-124</v>
      </c>
      <c r="M33" s="23">
        <v>28887.4</v>
      </c>
      <c r="N33" s="5" t="s">
        <v>1</v>
      </c>
      <c r="O33" s="23">
        <v>7934.8</v>
      </c>
      <c r="P33" s="23">
        <v>8022.1</v>
      </c>
      <c r="Q33" s="23">
        <v>1.8</v>
      </c>
      <c r="R33" s="23">
        <v>51997.32</v>
      </c>
      <c r="S33" s="5" t="s">
        <v>448</v>
      </c>
      <c r="T33" s="5"/>
      <c r="U33" s="5" t="s">
        <v>488</v>
      </c>
      <c r="V33" s="40">
        <v>46052</v>
      </c>
      <c r="W33" s="85"/>
      <c r="X33" s="40"/>
      <c r="Y33" s="22"/>
      <c r="Z33" s="85"/>
      <c r="AA33" s="40"/>
      <c r="AB33" s="22"/>
    </row>
    <row r="34" spans="1:28" s="116" customFormat="1" ht="17.25" customHeight="1">
      <c r="A34" s="103"/>
      <c r="B34" s="104"/>
      <c r="C34" s="103"/>
      <c r="D34" s="103"/>
      <c r="E34" s="105"/>
      <c r="F34" s="106"/>
      <c r="G34" s="107"/>
      <c r="H34" s="105"/>
      <c r="I34" s="105"/>
      <c r="J34" s="108"/>
      <c r="K34" s="109"/>
      <c r="L34" s="109"/>
      <c r="M34" s="110"/>
      <c r="N34" s="109"/>
      <c r="O34" s="110"/>
      <c r="P34" s="110"/>
      <c r="Q34" s="110"/>
      <c r="R34" s="110"/>
      <c r="S34" s="105"/>
      <c r="T34" s="109"/>
      <c r="U34" s="105"/>
      <c r="V34" s="106"/>
      <c r="W34" s="111"/>
      <c r="X34" s="112"/>
      <c r="Y34" s="113"/>
      <c r="Z34" s="114"/>
      <c r="AA34" s="106"/>
      <c r="AB34" s="115"/>
    </row>
    <row r="35" spans="1:28" s="53" customFormat="1" ht="15" customHeight="1">
      <c r="A35" s="138">
        <v>46061</v>
      </c>
      <c r="B35" s="139">
        <v>46063</v>
      </c>
      <c r="C35" s="175" t="s">
        <v>582</v>
      </c>
      <c r="D35" s="162" t="s">
        <v>453</v>
      </c>
      <c r="E35" s="148" t="s">
        <v>449</v>
      </c>
      <c r="F35" s="158">
        <v>46045</v>
      </c>
      <c r="G35" s="191">
        <v>743</v>
      </c>
      <c r="H35" s="148" t="s">
        <v>241</v>
      </c>
      <c r="I35" s="128" t="s">
        <v>613</v>
      </c>
      <c r="J35" s="42" t="s">
        <v>16</v>
      </c>
      <c r="K35" s="5" t="s">
        <v>361</v>
      </c>
      <c r="L35" s="5" t="str">
        <f>VLOOKUP(K35,CDC!$B$6:$O$203,14,FALSE)</f>
        <v>II-125</v>
      </c>
      <c r="M35" s="23">
        <v>41469.800000000003</v>
      </c>
      <c r="N35" s="5" t="s">
        <v>1</v>
      </c>
      <c r="O35" s="23">
        <v>19220.900000000001</v>
      </c>
      <c r="P35" s="23">
        <v>19367.3</v>
      </c>
      <c r="Q35" s="23">
        <v>1</v>
      </c>
      <c r="R35" s="23">
        <v>41469.800000000003</v>
      </c>
      <c r="S35" s="148" t="s">
        <v>450</v>
      </c>
      <c r="T35" s="150" t="s">
        <v>514</v>
      </c>
      <c r="U35" s="50" t="s">
        <v>472</v>
      </c>
      <c r="V35" s="126">
        <v>46062</v>
      </c>
      <c r="W35" s="85"/>
      <c r="X35" s="40"/>
      <c r="Y35" s="22"/>
      <c r="Z35" s="223"/>
      <c r="AA35" s="223"/>
      <c r="AB35" s="223"/>
    </row>
    <row r="36" spans="1:28" s="53" customFormat="1" ht="15" customHeight="1">
      <c r="A36" s="138">
        <v>46061</v>
      </c>
      <c r="B36" s="139">
        <v>46063</v>
      </c>
      <c r="C36" s="176"/>
      <c r="D36" s="164"/>
      <c r="E36" s="149"/>
      <c r="F36" s="160"/>
      <c r="G36" s="193"/>
      <c r="H36" s="149"/>
      <c r="I36" s="128" t="s">
        <v>613</v>
      </c>
      <c r="J36" s="5" t="s">
        <v>17</v>
      </c>
      <c r="K36" s="5" t="s">
        <v>388</v>
      </c>
      <c r="L36" s="5" t="str">
        <f>VLOOKUP(K36,CDC!$B$6:$O$203,14,FALSE)</f>
        <v>III-152</v>
      </c>
      <c r="M36" s="23">
        <v>2977</v>
      </c>
      <c r="N36" s="5" t="s">
        <v>1</v>
      </c>
      <c r="O36" s="23">
        <v>94.3</v>
      </c>
      <c r="P36" s="23">
        <v>99.8</v>
      </c>
      <c r="Q36" s="23">
        <v>0.02</v>
      </c>
      <c r="R36" s="23">
        <v>59.54</v>
      </c>
      <c r="S36" s="149"/>
      <c r="T36" s="151"/>
      <c r="U36" s="50" t="s">
        <v>472</v>
      </c>
      <c r="V36" s="126">
        <v>46062</v>
      </c>
      <c r="W36" s="85"/>
      <c r="X36" s="40"/>
      <c r="Y36" s="22"/>
      <c r="Z36" s="225"/>
      <c r="AA36" s="225"/>
      <c r="AB36" s="225"/>
    </row>
    <row r="37" spans="1:28" s="53" customFormat="1" ht="30" customHeight="1">
      <c r="A37" s="5">
        <v>46070</v>
      </c>
      <c r="B37" s="40">
        <v>46076</v>
      </c>
      <c r="C37" s="47" t="s">
        <v>582</v>
      </c>
      <c r="D37" s="5" t="s">
        <v>456</v>
      </c>
      <c r="E37" s="5" t="s">
        <v>461</v>
      </c>
      <c r="F37" s="40">
        <v>46059</v>
      </c>
      <c r="G37" s="122">
        <v>843</v>
      </c>
      <c r="H37" s="5" t="s">
        <v>241</v>
      </c>
      <c r="I37" s="128" t="s">
        <v>613</v>
      </c>
      <c r="J37" s="5" t="s">
        <v>16</v>
      </c>
      <c r="K37" s="5" t="s">
        <v>361</v>
      </c>
      <c r="L37" s="5" t="str">
        <f>VLOOKUP(K37,CDC!$B$6:$O$203,14,FALSE)</f>
        <v>II-125</v>
      </c>
      <c r="M37" s="23">
        <v>39717.9</v>
      </c>
      <c r="N37" s="5" t="s">
        <v>1</v>
      </c>
      <c r="O37" s="23">
        <v>23936</v>
      </c>
      <c r="P37" s="23">
        <v>24105</v>
      </c>
      <c r="Q37" s="23">
        <v>1</v>
      </c>
      <c r="R37" s="23">
        <v>39717.9</v>
      </c>
      <c r="S37" s="5" t="s">
        <v>457</v>
      </c>
      <c r="T37" s="47" t="s">
        <v>515</v>
      </c>
      <c r="U37" s="5" t="s">
        <v>475</v>
      </c>
      <c r="V37" s="40">
        <v>46076</v>
      </c>
      <c r="W37" s="85"/>
      <c r="X37" s="40"/>
      <c r="Y37" s="22"/>
      <c r="Z37" s="85"/>
      <c r="AA37" s="40"/>
      <c r="AB37" s="22"/>
    </row>
    <row r="38" spans="1:28" s="116" customFormat="1" ht="17.25" customHeight="1">
      <c r="A38" s="103"/>
      <c r="B38" s="104"/>
      <c r="C38" s="103"/>
      <c r="D38" s="103"/>
      <c r="E38" s="105"/>
      <c r="F38" s="106"/>
      <c r="G38" s="107"/>
      <c r="H38" s="105"/>
      <c r="I38" s="105"/>
      <c r="J38" s="108"/>
      <c r="K38" s="109"/>
      <c r="L38" s="109"/>
      <c r="M38" s="110"/>
      <c r="N38" s="109"/>
      <c r="O38" s="110"/>
      <c r="P38" s="110"/>
      <c r="Q38" s="110"/>
      <c r="R38" s="110"/>
      <c r="S38" s="105"/>
      <c r="T38" s="109"/>
      <c r="U38" s="105"/>
      <c r="V38" s="106"/>
      <c r="W38" s="111"/>
      <c r="X38" s="112"/>
      <c r="Y38" s="113"/>
      <c r="Z38" s="114"/>
      <c r="AA38" s="106"/>
      <c r="AB38" s="115"/>
    </row>
    <row r="39" spans="1:28" s="2" customFormat="1" ht="15" customHeight="1">
      <c r="A39" s="133">
        <v>46083</v>
      </c>
      <c r="B39" s="139">
        <v>46084</v>
      </c>
      <c r="C39" s="162" t="s">
        <v>582</v>
      </c>
      <c r="D39" s="162" t="s">
        <v>453</v>
      </c>
      <c r="E39" s="148" t="s">
        <v>462</v>
      </c>
      <c r="F39" s="158">
        <v>46064</v>
      </c>
      <c r="G39" s="191">
        <v>369</v>
      </c>
      <c r="H39" s="50" t="s">
        <v>241</v>
      </c>
      <c r="I39" s="128" t="s">
        <v>612</v>
      </c>
      <c r="J39" s="42" t="s">
        <v>16</v>
      </c>
      <c r="K39" s="5" t="s">
        <v>361</v>
      </c>
      <c r="L39" s="5" t="str">
        <f>VLOOKUP(K39,CDC!$B$6:$O$203,14,FALSE)</f>
        <v>II-125</v>
      </c>
      <c r="M39" s="23">
        <v>29217.8</v>
      </c>
      <c r="N39" s="5" t="s">
        <v>1</v>
      </c>
      <c r="O39" s="23">
        <v>8594.9</v>
      </c>
      <c r="P39" s="23">
        <v>86999.9</v>
      </c>
      <c r="Q39" s="23">
        <v>1</v>
      </c>
      <c r="R39" s="23">
        <f>ROUND(M39*Q39,2)</f>
        <v>29217.8</v>
      </c>
      <c r="S39" s="148" t="s">
        <v>463</v>
      </c>
      <c r="T39" s="150" t="s">
        <v>466</v>
      </c>
      <c r="U39" s="50" t="s">
        <v>465</v>
      </c>
      <c r="V39" s="126">
        <v>46083</v>
      </c>
      <c r="W39" s="85"/>
      <c r="X39" s="40"/>
      <c r="Y39" s="22"/>
      <c r="Z39" s="223"/>
      <c r="AA39" s="223"/>
      <c r="AB39" s="223"/>
    </row>
    <row r="40" spans="1:28" s="2" customFormat="1" ht="15" customHeight="1">
      <c r="A40" s="133">
        <v>46083</v>
      </c>
      <c r="B40" s="139">
        <v>46084</v>
      </c>
      <c r="C40" s="163"/>
      <c r="D40" s="163"/>
      <c r="E40" s="161"/>
      <c r="F40" s="159"/>
      <c r="G40" s="192"/>
      <c r="H40" s="50" t="s">
        <v>241</v>
      </c>
      <c r="I40" s="128" t="s">
        <v>612</v>
      </c>
      <c r="J40" s="42" t="s">
        <v>16</v>
      </c>
      <c r="K40" s="5" t="s">
        <v>360</v>
      </c>
      <c r="L40" s="5" t="str">
        <f>VLOOKUP(K40,CDC!$B$6:$O$203,14,FALSE)</f>
        <v>II-124</v>
      </c>
      <c r="M40" s="23">
        <v>282.5</v>
      </c>
      <c r="N40" s="5" t="s">
        <v>1</v>
      </c>
      <c r="O40" s="23">
        <v>97.9</v>
      </c>
      <c r="P40" s="23">
        <v>99.1</v>
      </c>
      <c r="Q40" s="23">
        <v>1.8</v>
      </c>
      <c r="R40" s="23">
        <f>ROUND(M40*Q40,2)</f>
        <v>508.5</v>
      </c>
      <c r="S40" s="161"/>
      <c r="T40" s="151"/>
      <c r="U40" s="50" t="s">
        <v>465</v>
      </c>
      <c r="V40" s="126">
        <v>46083</v>
      </c>
      <c r="W40" s="85"/>
      <c r="X40" s="40"/>
      <c r="Y40" s="22"/>
      <c r="Z40" s="224"/>
      <c r="AA40" s="224"/>
      <c r="AB40" s="224"/>
    </row>
    <row r="41" spans="1:28" s="2" customFormat="1" ht="15" customHeight="1">
      <c r="A41" s="133">
        <v>46083</v>
      </c>
      <c r="B41" s="139">
        <v>46084</v>
      </c>
      <c r="C41" s="163"/>
      <c r="D41" s="163"/>
      <c r="E41" s="161"/>
      <c r="F41" s="159"/>
      <c r="G41" s="192"/>
      <c r="H41" s="50" t="s">
        <v>241</v>
      </c>
      <c r="I41" s="128" t="s">
        <v>612</v>
      </c>
      <c r="J41" s="42" t="s">
        <v>16</v>
      </c>
      <c r="K41" s="5" t="s">
        <v>388</v>
      </c>
      <c r="L41" s="5" t="str">
        <f>VLOOKUP(K41,CDC!$B$6:$O$203,14,FALSE)</f>
        <v>III-152</v>
      </c>
      <c r="M41" s="23">
        <v>4013</v>
      </c>
      <c r="N41" s="5" t="s">
        <v>1</v>
      </c>
      <c r="O41" s="23">
        <v>110.4</v>
      </c>
      <c r="P41" s="23">
        <v>114.4</v>
      </c>
      <c r="Q41" s="23">
        <v>0.02</v>
      </c>
      <c r="R41" s="23">
        <f>ROUND(M41*Q41,2)</f>
        <v>80.260000000000005</v>
      </c>
      <c r="S41" s="161"/>
      <c r="T41" s="151"/>
      <c r="U41" s="50" t="s">
        <v>465</v>
      </c>
      <c r="V41" s="126">
        <v>46083</v>
      </c>
      <c r="W41" s="85"/>
      <c r="X41" s="40"/>
      <c r="Y41" s="22"/>
      <c r="Z41" s="224"/>
      <c r="AA41" s="224"/>
      <c r="AB41" s="224"/>
    </row>
    <row r="42" spans="1:28" s="2" customFormat="1" ht="15" customHeight="1">
      <c r="A42" s="133">
        <v>46083</v>
      </c>
      <c r="B42" s="139">
        <v>46084</v>
      </c>
      <c r="C42" s="164"/>
      <c r="D42" s="164"/>
      <c r="E42" s="149"/>
      <c r="F42" s="160"/>
      <c r="G42" s="193"/>
      <c r="H42" s="50" t="s">
        <v>241</v>
      </c>
      <c r="I42" s="128" t="s">
        <v>612</v>
      </c>
      <c r="J42" s="42" t="s">
        <v>16</v>
      </c>
      <c r="K42" s="5" t="s">
        <v>418</v>
      </c>
      <c r="L42" s="5" t="str">
        <f>VLOOKUP(K42,CDC!$B$6:$O$203,14,FALSE)</f>
        <v>III-182</v>
      </c>
      <c r="M42" s="23">
        <v>234</v>
      </c>
      <c r="N42" s="5" t="s">
        <v>19</v>
      </c>
      <c r="O42" s="23">
        <v>161.1</v>
      </c>
      <c r="P42" s="23">
        <v>173.4</v>
      </c>
      <c r="Q42" s="23">
        <v>1</v>
      </c>
      <c r="R42" s="23">
        <f>ROUND(M42*Q42,2)</f>
        <v>234</v>
      </c>
      <c r="S42" s="149"/>
      <c r="T42" s="151"/>
      <c r="U42" s="50" t="s">
        <v>465</v>
      </c>
      <c r="V42" s="126">
        <v>46083</v>
      </c>
      <c r="W42" s="85"/>
      <c r="X42" s="40"/>
      <c r="Y42" s="22"/>
      <c r="Z42" s="225"/>
      <c r="AA42" s="225"/>
      <c r="AB42" s="225"/>
    </row>
    <row r="43" spans="1:28" s="1" customFormat="1" ht="15" customHeight="1">
      <c r="A43" s="148">
        <v>46083</v>
      </c>
      <c r="B43" s="158">
        <v>46084</v>
      </c>
      <c r="C43" s="162" t="s">
        <v>582</v>
      </c>
      <c r="D43" s="162" t="s">
        <v>453</v>
      </c>
      <c r="E43" s="183" t="s">
        <v>454</v>
      </c>
      <c r="F43" s="158">
        <v>46064</v>
      </c>
      <c r="G43" s="191">
        <v>1000</v>
      </c>
      <c r="H43" s="148" t="s">
        <v>241</v>
      </c>
      <c r="I43" s="128" t="s">
        <v>612</v>
      </c>
      <c r="J43" s="5" t="s">
        <v>16</v>
      </c>
      <c r="K43" s="5" t="s">
        <v>360</v>
      </c>
      <c r="L43" s="5" t="str">
        <f>VLOOKUP(K43,CDC!$B$6:$O$203,14,FALSE)</f>
        <v>II-124</v>
      </c>
      <c r="M43" s="23">
        <v>13511.9</v>
      </c>
      <c r="N43" s="5" t="s">
        <v>1</v>
      </c>
      <c r="O43" s="23">
        <v>2147.8000000000002</v>
      </c>
      <c r="P43" s="23">
        <v>2198.6999999999998</v>
      </c>
      <c r="Q43" s="23">
        <v>1.8</v>
      </c>
      <c r="R43" s="23">
        <v>24321.42</v>
      </c>
      <c r="S43" s="148" t="s">
        <v>455</v>
      </c>
      <c r="T43" s="150" t="s">
        <v>512</v>
      </c>
      <c r="U43" s="50" t="s">
        <v>464</v>
      </c>
      <c r="V43" s="126">
        <v>46083</v>
      </c>
      <c r="W43" s="85"/>
      <c r="X43" s="40"/>
      <c r="Y43" s="22"/>
      <c r="Z43" s="223"/>
      <c r="AA43" s="158"/>
      <c r="AB43" s="158"/>
    </row>
    <row r="44" spans="1:28" s="1" customFormat="1" ht="15" customHeight="1">
      <c r="A44" s="149"/>
      <c r="B44" s="160"/>
      <c r="C44" s="164"/>
      <c r="D44" s="164"/>
      <c r="E44" s="184"/>
      <c r="F44" s="160"/>
      <c r="G44" s="193"/>
      <c r="H44" s="149"/>
      <c r="I44" s="128" t="s">
        <v>612</v>
      </c>
      <c r="J44" s="5" t="s">
        <v>16</v>
      </c>
      <c r="K44" s="5" t="s">
        <v>361</v>
      </c>
      <c r="L44" s="5" t="str">
        <f>VLOOKUP(K44,CDC!$B$6:$O$203,14,FALSE)</f>
        <v>II-125</v>
      </c>
      <c r="M44" s="23">
        <v>57310.9</v>
      </c>
      <c r="N44" s="5" t="s">
        <v>1</v>
      </c>
      <c r="O44" s="23">
        <v>18189.7</v>
      </c>
      <c r="P44" s="23">
        <v>18406.599999999999</v>
      </c>
      <c r="Q44" s="23">
        <v>1</v>
      </c>
      <c r="R44" s="23">
        <v>57310.9</v>
      </c>
      <c r="S44" s="149"/>
      <c r="T44" s="151"/>
      <c r="U44" s="50" t="s">
        <v>464</v>
      </c>
      <c r="V44" s="126">
        <v>46083</v>
      </c>
      <c r="W44" s="85"/>
      <c r="X44" s="40"/>
      <c r="Y44" s="22"/>
      <c r="Z44" s="225"/>
      <c r="AA44" s="160"/>
      <c r="AB44" s="160"/>
    </row>
    <row r="45" spans="1:28" s="53" customFormat="1" ht="30" customHeight="1">
      <c r="A45" s="5">
        <v>46109</v>
      </c>
      <c r="B45" s="40">
        <v>46112</v>
      </c>
      <c r="C45" s="47" t="s">
        <v>582</v>
      </c>
      <c r="D45" s="47" t="s">
        <v>453</v>
      </c>
      <c r="E45" s="5" t="s">
        <v>468</v>
      </c>
      <c r="F45" s="40">
        <v>46100</v>
      </c>
      <c r="G45" s="122">
        <v>707</v>
      </c>
      <c r="H45" s="5" t="s">
        <v>241</v>
      </c>
      <c r="I45" s="128" t="s">
        <v>612</v>
      </c>
      <c r="J45" s="42" t="s">
        <v>16</v>
      </c>
      <c r="K45" s="5" t="s">
        <v>361</v>
      </c>
      <c r="L45" s="5" t="str">
        <f>VLOOKUP(K45,CDC!$B$6:$O$203,14,FALSE)</f>
        <v>II-125</v>
      </c>
      <c r="M45" s="23">
        <v>51525.8</v>
      </c>
      <c r="N45" s="5" t="s">
        <v>1</v>
      </c>
      <c r="O45" s="23">
        <v>19277.7</v>
      </c>
      <c r="P45" s="23">
        <v>19489.8</v>
      </c>
      <c r="Q45" s="23">
        <v>1</v>
      </c>
      <c r="R45" s="23">
        <f t="shared" ref="R45:R51" si="0">ROUND(M45*Q45,2)</f>
        <v>51525.8</v>
      </c>
      <c r="S45" s="5" t="s">
        <v>470</v>
      </c>
      <c r="T45" s="47" t="s">
        <v>533</v>
      </c>
      <c r="U45" s="5" t="s">
        <v>480</v>
      </c>
      <c r="V45" s="40">
        <v>46111</v>
      </c>
      <c r="W45" s="85"/>
      <c r="X45" s="40"/>
      <c r="Y45" s="22"/>
      <c r="Z45" s="85"/>
      <c r="AA45" s="40"/>
      <c r="AB45" s="22"/>
    </row>
    <row r="46" spans="1:28" s="116" customFormat="1" ht="17.25" customHeight="1">
      <c r="A46" s="103"/>
      <c r="B46" s="104"/>
      <c r="C46" s="103"/>
      <c r="D46" s="103"/>
      <c r="E46" s="105"/>
      <c r="F46" s="106"/>
      <c r="G46" s="107"/>
      <c r="H46" s="105"/>
      <c r="I46" s="105"/>
      <c r="J46" s="108"/>
      <c r="K46" s="109"/>
      <c r="L46" s="109"/>
      <c r="M46" s="110"/>
      <c r="N46" s="109"/>
      <c r="O46" s="110"/>
      <c r="P46" s="110"/>
      <c r="Q46" s="110"/>
      <c r="R46" s="110"/>
      <c r="S46" s="105"/>
      <c r="T46" s="109"/>
      <c r="U46" s="105"/>
      <c r="V46" s="106"/>
      <c r="W46" s="111"/>
      <c r="X46" s="112"/>
      <c r="Y46" s="113"/>
      <c r="Z46" s="114"/>
      <c r="AA46" s="106"/>
      <c r="AB46" s="115"/>
    </row>
    <row r="47" spans="1:28" s="1" customFormat="1" ht="15" customHeight="1">
      <c r="A47" s="148">
        <v>46111</v>
      </c>
      <c r="B47" s="158">
        <v>46113</v>
      </c>
      <c r="C47" s="162" t="s">
        <v>582</v>
      </c>
      <c r="D47" s="162" t="s">
        <v>453</v>
      </c>
      <c r="E47" s="148" t="s">
        <v>467</v>
      </c>
      <c r="F47" s="158">
        <v>46100</v>
      </c>
      <c r="G47" s="191">
        <v>518</v>
      </c>
      <c r="H47" s="50" t="s">
        <v>241</v>
      </c>
      <c r="I47" s="128" t="s">
        <v>611</v>
      </c>
      <c r="J47" s="42" t="s">
        <v>16</v>
      </c>
      <c r="K47" s="5" t="s">
        <v>360</v>
      </c>
      <c r="L47" s="5" t="str">
        <f>VLOOKUP(K47,CDC!$B$6:$O$203,14,FALSE)</f>
        <v>II-124</v>
      </c>
      <c r="M47" s="23">
        <v>4111.1000000000004</v>
      </c>
      <c r="N47" s="5" t="s">
        <v>1</v>
      </c>
      <c r="O47" s="23">
        <v>1403.6</v>
      </c>
      <c r="P47" s="23">
        <v>1415.6</v>
      </c>
      <c r="Q47" s="23">
        <v>1.8</v>
      </c>
      <c r="R47" s="23">
        <f>ROUND(M47*Q47,2)</f>
        <v>7399.98</v>
      </c>
      <c r="S47" s="50" t="s">
        <v>469</v>
      </c>
      <c r="T47" s="150" t="s">
        <v>532</v>
      </c>
      <c r="U47" s="50" t="s">
        <v>479</v>
      </c>
      <c r="V47" s="126">
        <v>46113</v>
      </c>
      <c r="W47" s="155"/>
      <c r="X47" s="152"/>
      <c r="Y47" s="218"/>
      <c r="Z47" s="155"/>
      <c r="AA47" s="152"/>
      <c r="AB47" s="218"/>
    </row>
    <row r="48" spans="1:28" s="1" customFormat="1" ht="15" customHeight="1">
      <c r="A48" s="161"/>
      <c r="B48" s="159"/>
      <c r="C48" s="163"/>
      <c r="D48" s="163"/>
      <c r="E48" s="161"/>
      <c r="F48" s="159"/>
      <c r="G48" s="192"/>
      <c r="H48" s="50" t="s">
        <v>241</v>
      </c>
      <c r="I48" s="128" t="s">
        <v>611</v>
      </c>
      <c r="J48" s="42" t="s">
        <v>16</v>
      </c>
      <c r="K48" s="5" t="s">
        <v>361</v>
      </c>
      <c r="L48" s="5" t="str">
        <f>VLOOKUP(K48,CDC!$B$6:$O$203,14,FALSE)</f>
        <v>II-125</v>
      </c>
      <c r="M48" s="23">
        <v>31748</v>
      </c>
      <c r="N48" s="5" t="s">
        <v>1</v>
      </c>
      <c r="O48" s="23">
        <v>13949.4</v>
      </c>
      <c r="P48" s="23">
        <v>14043.4</v>
      </c>
      <c r="Q48" s="23">
        <v>1</v>
      </c>
      <c r="R48" s="23">
        <f>ROUND(M48*Q48,2)</f>
        <v>31748</v>
      </c>
      <c r="S48" s="50" t="s">
        <v>469</v>
      </c>
      <c r="T48" s="151"/>
      <c r="U48" s="50" t="s">
        <v>479</v>
      </c>
      <c r="V48" s="126">
        <v>46113</v>
      </c>
      <c r="W48" s="155"/>
      <c r="X48" s="152"/>
      <c r="Y48" s="218"/>
      <c r="Z48" s="155"/>
      <c r="AA48" s="152"/>
      <c r="AB48" s="218"/>
    </row>
    <row r="49" spans="1:28" s="1" customFormat="1" ht="15" customHeight="1">
      <c r="A49" s="149"/>
      <c r="B49" s="160"/>
      <c r="C49" s="164"/>
      <c r="D49" s="164"/>
      <c r="E49" s="149"/>
      <c r="F49" s="160"/>
      <c r="G49" s="193"/>
      <c r="H49" s="50" t="s">
        <v>241</v>
      </c>
      <c r="I49" s="128" t="s">
        <v>611</v>
      </c>
      <c r="J49" s="42" t="s">
        <v>17</v>
      </c>
      <c r="K49" s="5" t="s">
        <v>418</v>
      </c>
      <c r="L49" s="5" t="str">
        <f>VLOOKUP(K49,CDC!$B$6:$O$203,14,FALSE)</f>
        <v>III-182</v>
      </c>
      <c r="M49" s="23">
        <v>142</v>
      </c>
      <c r="N49" s="5" t="s">
        <v>19</v>
      </c>
      <c r="O49" s="23">
        <v>97.3</v>
      </c>
      <c r="P49" s="23">
        <v>104.9</v>
      </c>
      <c r="Q49" s="23">
        <v>1</v>
      </c>
      <c r="R49" s="23">
        <f>ROUND(M49*Q49,2)</f>
        <v>142</v>
      </c>
      <c r="S49" s="50" t="s">
        <v>469</v>
      </c>
      <c r="T49" s="151"/>
      <c r="U49" s="50" t="s">
        <v>479</v>
      </c>
      <c r="V49" s="126">
        <v>46113</v>
      </c>
      <c r="W49" s="155"/>
      <c r="X49" s="152"/>
      <c r="Y49" s="218"/>
      <c r="Z49" s="155"/>
      <c r="AA49" s="152"/>
      <c r="AB49" s="218"/>
    </row>
    <row r="50" spans="1:28" s="53" customFormat="1" ht="30" customHeight="1">
      <c r="A50" s="5">
        <v>46118</v>
      </c>
      <c r="B50" s="40">
        <v>46122</v>
      </c>
      <c r="C50" s="47" t="s">
        <v>582</v>
      </c>
      <c r="D50" s="47" t="s">
        <v>453</v>
      </c>
      <c r="E50" s="5" t="s">
        <v>471</v>
      </c>
      <c r="F50" s="40">
        <v>46106</v>
      </c>
      <c r="G50" s="122">
        <v>317</v>
      </c>
      <c r="H50" s="5" t="s">
        <v>241</v>
      </c>
      <c r="I50" s="128" t="s">
        <v>611</v>
      </c>
      <c r="J50" s="42" t="s">
        <v>16</v>
      </c>
      <c r="K50" s="5" t="s">
        <v>361</v>
      </c>
      <c r="L50" s="5" t="str">
        <f>VLOOKUP(K50,CDC!$B$6:$O$203,14,FALSE)</f>
        <v>II-125</v>
      </c>
      <c r="M50" s="23">
        <v>20161.3</v>
      </c>
      <c r="N50" s="5" t="s">
        <v>1</v>
      </c>
      <c r="O50" s="58">
        <v>9037.2999999999993</v>
      </c>
      <c r="P50" s="23">
        <v>9100.7000000000007</v>
      </c>
      <c r="Q50" s="23">
        <v>1</v>
      </c>
      <c r="R50" s="23">
        <f t="shared" si="0"/>
        <v>20161.3</v>
      </c>
      <c r="S50" s="5" t="s">
        <v>478</v>
      </c>
      <c r="T50" s="47" t="s">
        <v>534</v>
      </c>
      <c r="U50" s="5" t="s">
        <v>481</v>
      </c>
      <c r="V50" s="40">
        <v>46120</v>
      </c>
      <c r="W50" s="85"/>
      <c r="X50" s="40"/>
      <c r="Y50" s="22"/>
      <c r="Z50" s="85"/>
      <c r="AA50" s="40"/>
      <c r="AB50" s="22"/>
    </row>
    <row r="51" spans="1:28" s="53" customFormat="1" ht="30" customHeight="1">
      <c r="A51" s="5">
        <v>46129</v>
      </c>
      <c r="B51" s="40">
        <v>46134</v>
      </c>
      <c r="C51" s="47" t="s">
        <v>582</v>
      </c>
      <c r="D51" s="47" t="s">
        <v>453</v>
      </c>
      <c r="E51" s="5" t="s">
        <v>483</v>
      </c>
      <c r="F51" s="40">
        <v>46113</v>
      </c>
      <c r="G51" s="122">
        <v>813</v>
      </c>
      <c r="H51" s="5" t="s">
        <v>241</v>
      </c>
      <c r="I51" s="128" t="s">
        <v>611</v>
      </c>
      <c r="J51" s="42" t="s">
        <v>16</v>
      </c>
      <c r="K51" s="5" t="s">
        <v>361</v>
      </c>
      <c r="L51" s="5" t="str">
        <f>VLOOKUP(K51,CDC!$B$6:$O$203,14,FALSE)</f>
        <v>II-125</v>
      </c>
      <c r="M51" s="23">
        <v>41686.300000000003</v>
      </c>
      <c r="N51" s="5" t="s">
        <v>1</v>
      </c>
      <c r="O51" s="58">
        <v>24819.5</v>
      </c>
      <c r="P51" s="23">
        <v>24980.3</v>
      </c>
      <c r="Q51" s="23">
        <v>1</v>
      </c>
      <c r="R51" s="23">
        <f t="shared" si="0"/>
        <v>41686.300000000003</v>
      </c>
      <c r="S51" s="5" t="s">
        <v>482</v>
      </c>
      <c r="T51" s="47" t="s">
        <v>535</v>
      </c>
      <c r="U51" s="5" t="s">
        <v>486</v>
      </c>
      <c r="V51" s="5">
        <v>46133</v>
      </c>
      <c r="W51" s="85"/>
      <c r="X51" s="40"/>
      <c r="Y51" s="22"/>
      <c r="Z51" s="85"/>
      <c r="AA51" s="40"/>
      <c r="AB51" s="22"/>
    </row>
    <row r="52" spans="1:28" ht="29.25" customHeight="1">
      <c r="A52" s="50">
        <v>46133</v>
      </c>
      <c r="B52" s="59">
        <v>46135</v>
      </c>
      <c r="C52" s="162" t="s">
        <v>582</v>
      </c>
      <c r="D52" s="162" t="s">
        <v>453</v>
      </c>
      <c r="E52" s="148" t="s">
        <v>484</v>
      </c>
      <c r="F52" s="158">
        <v>46121</v>
      </c>
      <c r="G52" s="191">
        <v>344</v>
      </c>
      <c r="H52" s="50" t="s">
        <v>241</v>
      </c>
      <c r="I52" s="128" t="s">
        <v>611</v>
      </c>
      <c r="J52" s="216" t="s">
        <v>16</v>
      </c>
      <c r="K52" s="148" t="s">
        <v>361</v>
      </c>
      <c r="L52" s="148" t="str">
        <f>VLOOKUP(K52,CDC!$B$6:$O$203,14,FALSE)</f>
        <v>II-125</v>
      </c>
      <c r="M52" s="214">
        <v>18692.3</v>
      </c>
      <c r="N52" s="148" t="s">
        <v>1</v>
      </c>
      <c r="O52" s="212">
        <v>9748</v>
      </c>
      <c r="P52" s="214">
        <v>9816.7999999999993</v>
      </c>
      <c r="Q52" s="214">
        <v>1</v>
      </c>
      <c r="R52" s="214">
        <f>ROUND(M52*Q52,2)</f>
        <v>18692.3</v>
      </c>
      <c r="S52" s="50" t="s">
        <v>485</v>
      </c>
      <c r="T52" s="162" t="s">
        <v>536</v>
      </c>
      <c r="U52" s="50" t="s">
        <v>487</v>
      </c>
      <c r="V52" s="50">
        <v>46134</v>
      </c>
      <c r="W52" s="223"/>
      <c r="X52" s="158"/>
      <c r="Y52" s="219"/>
      <c r="Z52" s="223"/>
      <c r="AA52" s="158"/>
      <c r="AB52" s="219"/>
    </row>
    <row r="53" spans="1:28" ht="29.25" customHeight="1">
      <c r="A53" s="50">
        <v>46133</v>
      </c>
      <c r="B53" s="59">
        <v>46136</v>
      </c>
      <c r="C53" s="164"/>
      <c r="D53" s="164"/>
      <c r="E53" s="149"/>
      <c r="F53" s="160"/>
      <c r="G53" s="193"/>
      <c r="H53" s="50" t="s">
        <v>241</v>
      </c>
      <c r="I53" s="128" t="s">
        <v>611</v>
      </c>
      <c r="J53" s="217"/>
      <c r="K53" s="149"/>
      <c r="L53" s="149"/>
      <c r="M53" s="215"/>
      <c r="N53" s="149"/>
      <c r="O53" s="213"/>
      <c r="P53" s="215"/>
      <c r="Q53" s="215"/>
      <c r="R53" s="215"/>
      <c r="S53" s="50" t="s">
        <v>485</v>
      </c>
      <c r="T53" s="164"/>
      <c r="U53" s="50" t="s">
        <v>487</v>
      </c>
      <c r="V53" s="50">
        <v>46134</v>
      </c>
      <c r="W53" s="225"/>
      <c r="X53" s="160"/>
      <c r="Y53" s="220"/>
      <c r="Z53" s="225"/>
      <c r="AA53" s="160"/>
      <c r="AB53" s="220"/>
    </row>
    <row r="54" spans="1:28" s="63" customFormat="1" ht="26.25" customHeight="1">
      <c r="A54" s="156" t="s">
        <v>9</v>
      </c>
      <c r="B54" s="156" t="s">
        <v>9</v>
      </c>
      <c r="C54" s="165" t="s">
        <v>584</v>
      </c>
      <c r="D54" s="165" t="s">
        <v>453</v>
      </c>
      <c r="E54" s="156" t="s">
        <v>493</v>
      </c>
      <c r="F54" s="156">
        <v>46138</v>
      </c>
      <c r="G54" s="206">
        <v>96</v>
      </c>
      <c r="H54" s="135" t="s">
        <v>516</v>
      </c>
      <c r="I54" s="135" t="s">
        <v>611</v>
      </c>
      <c r="J54" s="68" t="s">
        <v>16</v>
      </c>
      <c r="K54" s="60" t="s">
        <v>360</v>
      </c>
      <c r="L54" s="60" t="str">
        <f>VLOOKUP(K54,CDC!$B$6:$O$203,14,FALSE)</f>
        <v>II-124</v>
      </c>
      <c r="M54" s="61">
        <v>315</v>
      </c>
      <c r="N54" s="60" t="s">
        <v>1</v>
      </c>
      <c r="O54" s="62">
        <v>28.5</v>
      </c>
      <c r="P54" s="61">
        <v>29.5</v>
      </c>
      <c r="Q54" s="61">
        <v>1.8</v>
      </c>
      <c r="R54" s="61">
        <f t="shared" ref="R54:R65" si="1">ROUND(M54*Q54,2)</f>
        <v>567</v>
      </c>
      <c r="S54" s="135" t="s">
        <v>492</v>
      </c>
      <c r="T54" s="226" t="s">
        <v>537</v>
      </c>
      <c r="U54" s="135" t="s">
        <v>491</v>
      </c>
      <c r="V54" s="124">
        <v>46142</v>
      </c>
      <c r="W54" s="96"/>
      <c r="X54" s="76"/>
      <c r="Y54" s="91"/>
      <c r="Z54" s="96"/>
      <c r="AA54" s="76"/>
      <c r="AB54" s="91"/>
    </row>
    <row r="55" spans="1:28" s="63" customFormat="1" ht="26.25" customHeight="1">
      <c r="A55" s="157"/>
      <c r="B55" s="157"/>
      <c r="C55" s="167"/>
      <c r="D55" s="167"/>
      <c r="E55" s="157"/>
      <c r="F55" s="157"/>
      <c r="G55" s="208"/>
      <c r="H55" s="135" t="s">
        <v>516</v>
      </c>
      <c r="I55" s="135" t="s">
        <v>611</v>
      </c>
      <c r="J55" s="68" t="s">
        <v>16</v>
      </c>
      <c r="K55" s="64" t="s">
        <v>361</v>
      </c>
      <c r="L55" s="60" t="str">
        <f>VLOOKUP(K55,CDC!$B$6:$O$203,14,FALSE)</f>
        <v>II-125</v>
      </c>
      <c r="M55" s="61">
        <v>5998.5</v>
      </c>
      <c r="N55" s="60" t="s">
        <v>1</v>
      </c>
      <c r="O55" s="61">
        <v>2295.6</v>
      </c>
      <c r="P55" s="61">
        <v>2305</v>
      </c>
      <c r="Q55" s="61">
        <v>1</v>
      </c>
      <c r="R55" s="61">
        <f t="shared" si="1"/>
        <v>5998.5</v>
      </c>
      <c r="S55" s="135" t="s">
        <v>492</v>
      </c>
      <c r="T55" s="226"/>
      <c r="U55" s="135" t="s">
        <v>491</v>
      </c>
      <c r="V55" s="124">
        <v>46142</v>
      </c>
      <c r="W55" s="96"/>
      <c r="X55" s="76"/>
      <c r="Y55" s="91"/>
      <c r="Z55" s="96"/>
      <c r="AA55" s="76"/>
      <c r="AB55" s="91"/>
    </row>
    <row r="56" spans="1:28" s="63" customFormat="1" ht="15" customHeight="1">
      <c r="A56" s="156" t="s">
        <v>9</v>
      </c>
      <c r="B56" s="156" t="s">
        <v>9</v>
      </c>
      <c r="C56" s="165" t="s">
        <v>584</v>
      </c>
      <c r="D56" s="165" t="s">
        <v>453</v>
      </c>
      <c r="E56" s="156" t="s">
        <v>494</v>
      </c>
      <c r="F56" s="168">
        <v>46127</v>
      </c>
      <c r="G56" s="206">
        <v>45</v>
      </c>
      <c r="H56" s="135" t="s">
        <v>516</v>
      </c>
      <c r="I56" s="135" t="s">
        <v>611</v>
      </c>
      <c r="J56" s="68" t="s">
        <v>17</v>
      </c>
      <c r="K56" s="64" t="s">
        <v>366</v>
      </c>
      <c r="L56" s="60" t="str">
        <f>VLOOKUP(K56,CDC!$B$6:$O$203,14,FALSE)</f>
        <v>III-130</v>
      </c>
      <c r="M56" s="61">
        <v>714.2</v>
      </c>
      <c r="N56" s="60" t="s">
        <v>1</v>
      </c>
      <c r="O56" s="61">
        <v>437</v>
      </c>
      <c r="P56" s="61">
        <v>440</v>
      </c>
      <c r="Q56" s="61">
        <v>0.2</v>
      </c>
      <c r="R56" s="61">
        <f t="shared" si="1"/>
        <v>142.84</v>
      </c>
      <c r="S56" s="135" t="s">
        <v>495</v>
      </c>
      <c r="T56" s="226" t="s">
        <v>538</v>
      </c>
      <c r="U56" s="135" t="s">
        <v>496</v>
      </c>
      <c r="V56" s="135">
        <v>46133</v>
      </c>
      <c r="W56" s="96"/>
      <c r="X56" s="76"/>
      <c r="Y56" s="91"/>
      <c r="Z56" s="96"/>
      <c r="AA56" s="76"/>
      <c r="AB56" s="91"/>
    </row>
    <row r="57" spans="1:28" s="63" customFormat="1" ht="15" customHeight="1">
      <c r="A57" s="171"/>
      <c r="B57" s="171"/>
      <c r="C57" s="166"/>
      <c r="D57" s="166"/>
      <c r="E57" s="171"/>
      <c r="F57" s="169"/>
      <c r="G57" s="207"/>
      <c r="H57" s="135" t="s">
        <v>516</v>
      </c>
      <c r="I57" s="135" t="s">
        <v>611</v>
      </c>
      <c r="J57" s="68" t="s">
        <v>17</v>
      </c>
      <c r="K57" s="64" t="s">
        <v>376</v>
      </c>
      <c r="L57" s="60" t="str">
        <f>VLOOKUP(K57,CDC!$B$6:$O$203,14,FALSE)</f>
        <v>III-140</v>
      </c>
      <c r="M57" s="61">
        <v>240</v>
      </c>
      <c r="N57" s="60" t="s">
        <v>19</v>
      </c>
      <c r="O57" s="61">
        <v>9.5</v>
      </c>
      <c r="P57" s="61">
        <v>10</v>
      </c>
      <c r="Q57" s="61">
        <v>0.05</v>
      </c>
      <c r="R57" s="61">
        <f t="shared" si="1"/>
        <v>12</v>
      </c>
      <c r="S57" s="135" t="s">
        <v>495</v>
      </c>
      <c r="T57" s="226"/>
      <c r="U57" s="135" t="s">
        <v>496</v>
      </c>
      <c r="V57" s="135">
        <v>46133</v>
      </c>
      <c r="W57" s="96"/>
      <c r="X57" s="76"/>
      <c r="Y57" s="91"/>
      <c r="Z57" s="96"/>
      <c r="AA57" s="76"/>
      <c r="AB57" s="91"/>
    </row>
    <row r="58" spans="1:28" s="63" customFormat="1" ht="15" customHeight="1">
      <c r="A58" s="171"/>
      <c r="B58" s="171"/>
      <c r="C58" s="166"/>
      <c r="D58" s="166"/>
      <c r="E58" s="171"/>
      <c r="F58" s="169"/>
      <c r="G58" s="207"/>
      <c r="H58" s="135" t="s">
        <v>516</v>
      </c>
      <c r="I58" s="135" t="s">
        <v>611</v>
      </c>
      <c r="J58" s="68" t="s">
        <v>17</v>
      </c>
      <c r="K58" s="64" t="s">
        <v>405</v>
      </c>
      <c r="L58" s="60" t="str">
        <f>VLOOKUP(K58,CDC!$B$6:$O$203,14,FALSE)</f>
        <v>III-169</v>
      </c>
      <c r="M58" s="61">
        <v>341</v>
      </c>
      <c r="N58" s="60" t="s">
        <v>21</v>
      </c>
      <c r="O58" s="61">
        <v>61</v>
      </c>
      <c r="P58" s="61">
        <v>62.7</v>
      </c>
      <c r="Q58" s="61">
        <v>4</v>
      </c>
      <c r="R58" s="61">
        <f t="shared" si="1"/>
        <v>1364</v>
      </c>
      <c r="S58" s="135" t="s">
        <v>495</v>
      </c>
      <c r="T58" s="226"/>
      <c r="U58" s="135" t="s">
        <v>496</v>
      </c>
      <c r="V58" s="135">
        <v>46133</v>
      </c>
      <c r="W58" s="96"/>
      <c r="X58" s="76"/>
      <c r="Y58" s="91"/>
      <c r="Z58" s="96"/>
      <c r="AA58" s="76"/>
      <c r="AB58" s="91"/>
    </row>
    <row r="59" spans="1:28" s="63" customFormat="1" ht="15" customHeight="1">
      <c r="A59" s="171"/>
      <c r="B59" s="171"/>
      <c r="C59" s="166"/>
      <c r="D59" s="166"/>
      <c r="E59" s="171"/>
      <c r="F59" s="169"/>
      <c r="G59" s="207"/>
      <c r="H59" s="135" t="s">
        <v>516</v>
      </c>
      <c r="I59" s="135" t="s">
        <v>611</v>
      </c>
      <c r="J59" s="68" t="s">
        <v>17</v>
      </c>
      <c r="K59" s="64" t="s">
        <v>406</v>
      </c>
      <c r="L59" s="60" t="str">
        <f>VLOOKUP(K59,CDC!$B$6:$O$203,14,FALSE)</f>
        <v>III-170</v>
      </c>
      <c r="M59" s="61">
        <v>393</v>
      </c>
      <c r="N59" s="60" t="s">
        <v>21</v>
      </c>
      <c r="O59" s="61">
        <v>483.1</v>
      </c>
      <c r="P59" s="61">
        <v>498.8</v>
      </c>
      <c r="Q59" s="61">
        <v>1.5</v>
      </c>
      <c r="R59" s="61">
        <f t="shared" si="1"/>
        <v>589.5</v>
      </c>
      <c r="S59" s="135" t="s">
        <v>495</v>
      </c>
      <c r="T59" s="226"/>
      <c r="U59" s="135" t="s">
        <v>496</v>
      </c>
      <c r="V59" s="135">
        <v>46133</v>
      </c>
      <c r="W59" s="96"/>
      <c r="X59" s="76"/>
      <c r="Y59" s="91"/>
      <c r="Z59" s="96"/>
      <c r="AA59" s="76"/>
      <c r="AB59" s="91"/>
    </row>
    <row r="60" spans="1:28" s="63" customFormat="1" ht="15" customHeight="1">
      <c r="A60" s="157"/>
      <c r="B60" s="157"/>
      <c r="C60" s="167"/>
      <c r="D60" s="167"/>
      <c r="E60" s="157"/>
      <c r="F60" s="170"/>
      <c r="G60" s="208"/>
      <c r="H60" s="135" t="s">
        <v>516</v>
      </c>
      <c r="I60" s="135" t="s">
        <v>611</v>
      </c>
      <c r="J60" s="68" t="s">
        <v>17</v>
      </c>
      <c r="K60" s="60" t="s">
        <v>412</v>
      </c>
      <c r="L60" s="60" t="str">
        <f>VLOOKUP(K60,CDC!$B$6:$O$203,14,FALSE)</f>
        <v>III-176</v>
      </c>
      <c r="M60" s="61">
        <v>61</v>
      </c>
      <c r="N60" s="60" t="s">
        <v>19</v>
      </c>
      <c r="O60" s="61">
        <v>15.5</v>
      </c>
      <c r="P60" s="61">
        <v>16</v>
      </c>
      <c r="Q60" s="61">
        <v>0.12</v>
      </c>
      <c r="R60" s="61">
        <f t="shared" si="1"/>
        <v>7.32</v>
      </c>
      <c r="S60" s="135" t="s">
        <v>495</v>
      </c>
      <c r="T60" s="226"/>
      <c r="U60" s="135" t="s">
        <v>496</v>
      </c>
      <c r="V60" s="135">
        <v>46133</v>
      </c>
      <c r="W60" s="96"/>
      <c r="X60" s="76"/>
      <c r="Y60" s="91"/>
      <c r="Z60" s="96"/>
      <c r="AA60" s="76"/>
      <c r="AB60" s="91"/>
    </row>
    <row r="61" spans="1:28" s="63" customFormat="1" ht="15" customHeight="1">
      <c r="A61" s="156" t="s">
        <v>9</v>
      </c>
      <c r="B61" s="156" t="s">
        <v>9</v>
      </c>
      <c r="C61" s="165" t="s">
        <v>584</v>
      </c>
      <c r="D61" s="165" t="s">
        <v>453</v>
      </c>
      <c r="E61" s="156" t="s">
        <v>494</v>
      </c>
      <c r="F61" s="168">
        <v>46127</v>
      </c>
      <c r="G61" s="206">
        <v>12</v>
      </c>
      <c r="H61" s="135" t="s">
        <v>516</v>
      </c>
      <c r="I61" s="135" t="s">
        <v>611</v>
      </c>
      <c r="J61" s="68" t="s">
        <v>17</v>
      </c>
      <c r="K61" s="64" t="s">
        <v>366</v>
      </c>
      <c r="L61" s="60" t="str">
        <f>VLOOKUP(K61,CDC!$B$6:$O$203,14,FALSE)</f>
        <v>III-130</v>
      </c>
      <c r="M61" s="61">
        <v>302</v>
      </c>
      <c r="N61" s="60" t="s">
        <v>1</v>
      </c>
      <c r="O61" s="61">
        <v>26.95</v>
      </c>
      <c r="P61" s="61">
        <v>27.95</v>
      </c>
      <c r="Q61" s="61">
        <v>0.2</v>
      </c>
      <c r="R61" s="61">
        <f t="shared" si="1"/>
        <v>60.4</v>
      </c>
      <c r="S61" s="135" t="s">
        <v>497</v>
      </c>
      <c r="T61" s="226" t="s">
        <v>539</v>
      </c>
      <c r="U61" s="135" t="s">
        <v>498</v>
      </c>
      <c r="V61" s="135">
        <v>46139</v>
      </c>
      <c r="W61" s="96"/>
      <c r="X61" s="76"/>
      <c r="Y61" s="91"/>
      <c r="Z61" s="96"/>
      <c r="AA61" s="76"/>
      <c r="AB61" s="91"/>
    </row>
    <row r="62" spans="1:28" s="63" customFormat="1" ht="15" customHeight="1">
      <c r="A62" s="171"/>
      <c r="B62" s="171"/>
      <c r="C62" s="166"/>
      <c r="D62" s="166"/>
      <c r="E62" s="171"/>
      <c r="F62" s="169"/>
      <c r="G62" s="207"/>
      <c r="H62" s="135" t="s">
        <v>516</v>
      </c>
      <c r="I62" s="135" t="s">
        <v>611</v>
      </c>
      <c r="J62" s="68" t="s">
        <v>17</v>
      </c>
      <c r="K62" s="64" t="s">
        <v>375</v>
      </c>
      <c r="L62" s="60" t="str">
        <f>VLOOKUP(K62,CDC!$B$6:$O$203,14,FALSE)</f>
        <v>III-139</v>
      </c>
      <c r="M62" s="61">
        <v>602</v>
      </c>
      <c r="N62" s="60" t="s">
        <v>19</v>
      </c>
      <c r="O62" s="61">
        <v>23</v>
      </c>
      <c r="P62" s="61">
        <v>23.5</v>
      </c>
      <c r="Q62" s="61">
        <v>1.2</v>
      </c>
      <c r="R62" s="61">
        <f t="shared" si="1"/>
        <v>722.4</v>
      </c>
      <c r="S62" s="135" t="s">
        <v>497</v>
      </c>
      <c r="T62" s="226"/>
      <c r="U62" s="135" t="s">
        <v>498</v>
      </c>
      <c r="V62" s="135">
        <v>46139</v>
      </c>
      <c r="W62" s="96"/>
      <c r="X62" s="76"/>
      <c r="Y62" s="91"/>
      <c r="Z62" s="96"/>
      <c r="AA62" s="76"/>
      <c r="AB62" s="91"/>
    </row>
    <row r="63" spans="1:28" s="63" customFormat="1" ht="15" customHeight="1">
      <c r="A63" s="171"/>
      <c r="B63" s="171"/>
      <c r="C63" s="166"/>
      <c r="D63" s="166"/>
      <c r="E63" s="171"/>
      <c r="F63" s="169"/>
      <c r="G63" s="207"/>
      <c r="H63" s="135" t="s">
        <v>516</v>
      </c>
      <c r="I63" s="135" t="s">
        <v>611</v>
      </c>
      <c r="J63" s="68" t="s">
        <v>17</v>
      </c>
      <c r="K63" s="64" t="s">
        <v>390</v>
      </c>
      <c r="L63" s="60" t="str">
        <f>VLOOKUP(K63,CDC!$B$6:$O$203,14,FALSE)</f>
        <v>III-154</v>
      </c>
      <c r="M63" s="61">
        <v>341</v>
      </c>
      <c r="N63" s="60" t="s">
        <v>1</v>
      </c>
      <c r="O63" s="61">
        <v>22</v>
      </c>
      <c r="P63" s="61">
        <v>23</v>
      </c>
      <c r="Q63" s="61">
        <v>0.03</v>
      </c>
      <c r="R63" s="61">
        <f t="shared" si="1"/>
        <v>10.23</v>
      </c>
      <c r="S63" s="135" t="s">
        <v>497</v>
      </c>
      <c r="T63" s="226"/>
      <c r="U63" s="135" t="s">
        <v>498</v>
      </c>
      <c r="V63" s="135">
        <v>46139</v>
      </c>
      <c r="W63" s="96"/>
      <c r="X63" s="76"/>
      <c r="Y63" s="91"/>
      <c r="Z63" s="96"/>
      <c r="AA63" s="76"/>
      <c r="AB63" s="91"/>
    </row>
    <row r="64" spans="1:28" s="63" customFormat="1" ht="15" customHeight="1">
      <c r="A64" s="171"/>
      <c r="B64" s="171"/>
      <c r="C64" s="166"/>
      <c r="D64" s="166"/>
      <c r="E64" s="171"/>
      <c r="F64" s="169"/>
      <c r="G64" s="207"/>
      <c r="H64" s="135" t="s">
        <v>516</v>
      </c>
      <c r="I64" s="135" t="s">
        <v>611</v>
      </c>
      <c r="J64" s="68" t="s">
        <v>17</v>
      </c>
      <c r="K64" s="64" t="s">
        <v>406</v>
      </c>
      <c r="L64" s="60" t="str">
        <f>VLOOKUP(K64,CDC!$B$6:$O$203,14,FALSE)</f>
        <v>III-170</v>
      </c>
      <c r="M64" s="61">
        <v>143</v>
      </c>
      <c r="N64" s="60" t="s">
        <v>21</v>
      </c>
      <c r="O64" s="61">
        <v>72.2</v>
      </c>
      <c r="P64" s="61">
        <v>75</v>
      </c>
      <c r="Q64" s="61">
        <v>1.5</v>
      </c>
      <c r="R64" s="61">
        <f t="shared" si="1"/>
        <v>214.5</v>
      </c>
      <c r="S64" s="135" t="s">
        <v>497</v>
      </c>
      <c r="T64" s="226"/>
      <c r="U64" s="135" t="s">
        <v>498</v>
      </c>
      <c r="V64" s="135">
        <v>46139</v>
      </c>
      <c r="W64" s="96"/>
      <c r="X64" s="76"/>
      <c r="Y64" s="91"/>
      <c r="Z64" s="96"/>
      <c r="AA64" s="76"/>
      <c r="AB64" s="91"/>
    </row>
    <row r="65" spans="1:28" s="63" customFormat="1" ht="15" customHeight="1">
      <c r="A65" s="157"/>
      <c r="B65" s="157"/>
      <c r="C65" s="167"/>
      <c r="D65" s="167"/>
      <c r="E65" s="157"/>
      <c r="F65" s="170"/>
      <c r="G65" s="208"/>
      <c r="H65" s="135" t="s">
        <v>516</v>
      </c>
      <c r="I65" s="135" t="s">
        <v>611</v>
      </c>
      <c r="J65" s="68" t="s">
        <v>17</v>
      </c>
      <c r="K65" s="60" t="s">
        <v>412</v>
      </c>
      <c r="L65" s="60" t="str">
        <f>VLOOKUP(K65,CDC!$B$6:$O$203,14,FALSE)</f>
        <v>III-176</v>
      </c>
      <c r="M65" s="61">
        <v>773</v>
      </c>
      <c r="N65" s="60" t="s">
        <v>19</v>
      </c>
      <c r="O65" s="61">
        <v>33</v>
      </c>
      <c r="P65" s="61">
        <v>34</v>
      </c>
      <c r="Q65" s="61">
        <v>0.12</v>
      </c>
      <c r="R65" s="61">
        <f t="shared" si="1"/>
        <v>92.76</v>
      </c>
      <c r="S65" s="135" t="s">
        <v>497</v>
      </c>
      <c r="T65" s="226"/>
      <c r="U65" s="135" t="s">
        <v>498</v>
      </c>
      <c r="V65" s="135">
        <v>46139</v>
      </c>
      <c r="W65" s="96"/>
      <c r="X65" s="76"/>
      <c r="Y65" s="91"/>
      <c r="Z65" s="96"/>
      <c r="AA65" s="76"/>
      <c r="AB65" s="91"/>
    </row>
    <row r="66" spans="1:28" s="116" customFormat="1" ht="17.25" customHeight="1">
      <c r="A66" s="103"/>
      <c r="B66" s="104"/>
      <c r="C66" s="103"/>
      <c r="D66" s="103"/>
      <c r="E66" s="105"/>
      <c r="F66" s="106"/>
      <c r="G66" s="107"/>
      <c r="H66" s="105"/>
      <c r="I66" s="105"/>
      <c r="J66" s="108"/>
      <c r="K66" s="109"/>
      <c r="L66" s="109"/>
      <c r="M66" s="110"/>
      <c r="N66" s="109"/>
      <c r="O66" s="110"/>
      <c r="P66" s="110"/>
      <c r="Q66" s="110"/>
      <c r="R66" s="110"/>
      <c r="S66" s="105"/>
      <c r="T66" s="109"/>
      <c r="U66" s="105"/>
      <c r="V66" s="106"/>
      <c r="W66" s="111"/>
      <c r="X66" s="112"/>
      <c r="Y66" s="113"/>
      <c r="Z66" s="114"/>
      <c r="AA66" s="106"/>
      <c r="AB66" s="115"/>
    </row>
    <row r="67" spans="1:28" ht="24" customHeight="1">
      <c r="A67" s="126">
        <v>46205</v>
      </c>
      <c r="B67" s="123">
        <v>46207</v>
      </c>
      <c r="C67" s="162" t="s">
        <v>582</v>
      </c>
      <c r="D67" s="162" t="s">
        <v>453</v>
      </c>
      <c r="E67" s="162" t="s">
        <v>502</v>
      </c>
      <c r="F67" s="162">
        <v>46191</v>
      </c>
      <c r="G67" s="203">
        <v>521</v>
      </c>
      <c r="H67" s="127" t="s">
        <v>241</v>
      </c>
      <c r="I67" s="130" t="s">
        <v>610</v>
      </c>
      <c r="J67" s="42" t="s">
        <v>16</v>
      </c>
      <c r="K67" s="5" t="s">
        <v>361</v>
      </c>
      <c r="L67" s="5" t="str">
        <f>VLOOKUP(K67,CDC!$B$6:$O$203,14,FALSE)</f>
        <v>II-125</v>
      </c>
      <c r="M67" s="44">
        <v>28752</v>
      </c>
      <c r="N67" s="44" t="s">
        <v>1</v>
      </c>
      <c r="O67" s="44">
        <v>15190.6</v>
      </c>
      <c r="P67" s="44">
        <v>15385.400000000001</v>
      </c>
      <c r="Q67" s="44">
        <v>1</v>
      </c>
      <c r="R67" s="44">
        <f t="shared" ref="R67:R76" si="2">ROUND(M67*Q67,2)</f>
        <v>28752</v>
      </c>
      <c r="S67" s="50" t="s">
        <v>503</v>
      </c>
      <c r="T67" s="227" t="s">
        <v>531</v>
      </c>
      <c r="U67" s="50" t="s">
        <v>504</v>
      </c>
      <c r="V67" s="50">
        <v>46205</v>
      </c>
      <c r="W67" s="223">
        <v>691.5</v>
      </c>
      <c r="X67" s="158">
        <v>46202</v>
      </c>
      <c r="Y67" s="221" t="s">
        <v>528</v>
      </c>
      <c r="Z67" s="223" t="s">
        <v>550</v>
      </c>
      <c r="AA67" s="158" t="s">
        <v>551</v>
      </c>
      <c r="AB67" s="221" t="s">
        <v>552</v>
      </c>
    </row>
    <row r="68" spans="1:28" ht="24" customHeight="1">
      <c r="A68" s="126">
        <v>46205</v>
      </c>
      <c r="B68" s="123">
        <v>46207</v>
      </c>
      <c r="C68" s="163"/>
      <c r="D68" s="163"/>
      <c r="E68" s="163"/>
      <c r="F68" s="163"/>
      <c r="G68" s="204"/>
      <c r="H68" s="127" t="s">
        <v>241</v>
      </c>
      <c r="I68" s="130" t="s">
        <v>610</v>
      </c>
      <c r="J68" s="42" t="s">
        <v>17</v>
      </c>
      <c r="K68" s="5" t="s">
        <v>382</v>
      </c>
      <c r="L68" s="5" t="str">
        <f>VLOOKUP(K68,CDC!$B$6:$O$203,14,FALSE)</f>
        <v>III-146</v>
      </c>
      <c r="M68" s="44">
        <v>764</v>
      </c>
      <c r="N68" s="49" t="s">
        <v>19</v>
      </c>
      <c r="O68" s="44">
        <v>10.7</v>
      </c>
      <c r="P68" s="44">
        <v>11</v>
      </c>
      <c r="Q68" s="44">
        <v>0.05</v>
      </c>
      <c r="R68" s="44">
        <f t="shared" si="2"/>
        <v>38.200000000000003</v>
      </c>
      <c r="S68" s="50" t="s">
        <v>503</v>
      </c>
      <c r="T68" s="227"/>
      <c r="U68" s="50" t="s">
        <v>504</v>
      </c>
      <c r="V68" s="50">
        <v>46205</v>
      </c>
      <c r="W68" s="224"/>
      <c r="X68" s="159"/>
      <c r="Y68" s="222"/>
      <c r="Z68" s="224"/>
      <c r="AA68" s="159"/>
      <c r="AB68" s="222"/>
    </row>
    <row r="69" spans="1:28" ht="24" customHeight="1">
      <c r="A69" s="126">
        <v>46205</v>
      </c>
      <c r="B69" s="123">
        <v>46207</v>
      </c>
      <c r="C69" s="163"/>
      <c r="D69" s="163"/>
      <c r="E69" s="163"/>
      <c r="F69" s="163"/>
      <c r="G69" s="204"/>
      <c r="H69" s="127" t="s">
        <v>241</v>
      </c>
      <c r="I69" s="130" t="s">
        <v>610</v>
      </c>
      <c r="J69" s="42" t="s">
        <v>17</v>
      </c>
      <c r="K69" s="5" t="s">
        <v>406</v>
      </c>
      <c r="L69" s="5" t="str">
        <f>VLOOKUP(K69,CDC!$B$6:$O$203,14,FALSE)</f>
        <v>III-170</v>
      </c>
      <c r="M69" s="44">
        <v>14</v>
      </c>
      <c r="N69" s="49" t="s">
        <v>21</v>
      </c>
      <c r="O69" s="44">
        <v>0.9</v>
      </c>
      <c r="P69" s="44">
        <v>1</v>
      </c>
      <c r="Q69" s="44">
        <v>1.5</v>
      </c>
      <c r="R69" s="44">
        <f t="shared" si="2"/>
        <v>21</v>
      </c>
      <c r="S69" s="50" t="s">
        <v>503</v>
      </c>
      <c r="T69" s="227"/>
      <c r="U69" s="50" t="s">
        <v>504</v>
      </c>
      <c r="V69" s="50">
        <v>46205</v>
      </c>
      <c r="W69" s="224"/>
      <c r="X69" s="159"/>
      <c r="Y69" s="222"/>
      <c r="Z69" s="224"/>
      <c r="AA69" s="159"/>
      <c r="AB69" s="222"/>
    </row>
    <row r="70" spans="1:28" ht="24" customHeight="1">
      <c r="A70" s="126">
        <v>46205</v>
      </c>
      <c r="B70" s="123">
        <v>46207</v>
      </c>
      <c r="C70" s="164"/>
      <c r="D70" s="164"/>
      <c r="E70" s="164"/>
      <c r="F70" s="164"/>
      <c r="G70" s="205"/>
      <c r="H70" s="127" t="s">
        <v>241</v>
      </c>
      <c r="I70" s="130" t="s">
        <v>610</v>
      </c>
      <c r="J70" s="42" t="s">
        <v>17</v>
      </c>
      <c r="K70" s="5" t="s">
        <v>412</v>
      </c>
      <c r="L70" s="5" t="str">
        <f>VLOOKUP(K70,CDC!$B$6:$O$203,14,FALSE)</f>
        <v>III-176</v>
      </c>
      <c r="M70" s="44">
        <v>450</v>
      </c>
      <c r="N70" s="49" t="s">
        <v>19</v>
      </c>
      <c r="O70" s="44">
        <v>18.399999999999999</v>
      </c>
      <c r="P70" s="44">
        <v>19</v>
      </c>
      <c r="Q70" s="44">
        <v>0.12</v>
      </c>
      <c r="R70" s="44">
        <f t="shared" si="2"/>
        <v>54</v>
      </c>
      <c r="S70" s="50" t="s">
        <v>503</v>
      </c>
      <c r="T70" s="227"/>
      <c r="U70" s="50" t="s">
        <v>504</v>
      </c>
      <c r="V70" s="50">
        <v>46205</v>
      </c>
      <c r="W70" s="225"/>
      <c r="X70" s="160"/>
      <c r="Y70" s="220"/>
      <c r="Z70" s="225"/>
      <c r="AA70" s="160"/>
      <c r="AB70" s="220"/>
    </row>
    <row r="71" spans="1:28" ht="75" customHeight="1">
      <c r="A71" s="5">
        <v>46222</v>
      </c>
      <c r="B71" s="40">
        <v>46225</v>
      </c>
      <c r="C71" s="47" t="s">
        <v>582</v>
      </c>
      <c r="D71" s="47" t="s">
        <v>453</v>
      </c>
      <c r="E71" s="5" t="s">
        <v>505</v>
      </c>
      <c r="F71" s="40">
        <v>46211</v>
      </c>
      <c r="G71" s="122">
        <v>713</v>
      </c>
      <c r="H71" s="100" t="s">
        <v>241</v>
      </c>
      <c r="I71" s="130" t="s">
        <v>610</v>
      </c>
      <c r="J71" s="42" t="s">
        <v>16</v>
      </c>
      <c r="K71" s="5" t="s">
        <v>361</v>
      </c>
      <c r="L71" s="5" t="str">
        <f>VLOOKUP(K71,CDC!$B$6:$O$203,14,FALSE)</f>
        <v>II-125</v>
      </c>
      <c r="M71" s="23">
        <v>50616.7</v>
      </c>
      <c r="N71" s="5" t="s">
        <v>1</v>
      </c>
      <c r="O71" s="23">
        <v>21453.1</v>
      </c>
      <c r="P71" s="23">
        <v>21634.1</v>
      </c>
      <c r="Q71" s="23">
        <v>1</v>
      </c>
      <c r="R71" s="23">
        <f t="shared" si="2"/>
        <v>50616.7</v>
      </c>
      <c r="S71" s="5" t="s">
        <v>507</v>
      </c>
      <c r="T71" s="47" t="s">
        <v>567</v>
      </c>
      <c r="U71" s="5" t="s">
        <v>520</v>
      </c>
      <c r="V71" s="40">
        <v>46223</v>
      </c>
      <c r="W71" s="85">
        <v>714</v>
      </c>
      <c r="X71" s="40">
        <v>46219</v>
      </c>
      <c r="Y71" s="90" t="s">
        <v>525</v>
      </c>
      <c r="Z71" s="85" t="s">
        <v>553</v>
      </c>
      <c r="AA71" s="40" t="s">
        <v>554</v>
      </c>
      <c r="AB71" s="90" t="s">
        <v>555</v>
      </c>
    </row>
    <row r="72" spans="1:28" ht="15" customHeight="1">
      <c r="A72" s="50">
        <v>46222</v>
      </c>
      <c r="B72" s="50">
        <v>46224</v>
      </c>
      <c r="C72" s="162" t="s">
        <v>582</v>
      </c>
      <c r="D72" s="162" t="s">
        <v>453</v>
      </c>
      <c r="E72" s="148" t="s">
        <v>517</v>
      </c>
      <c r="F72" s="158">
        <v>46212</v>
      </c>
      <c r="G72" s="191">
        <v>742</v>
      </c>
      <c r="H72" s="50" t="s">
        <v>241</v>
      </c>
      <c r="I72" s="130" t="s">
        <v>610</v>
      </c>
      <c r="J72" s="42" t="s">
        <v>16</v>
      </c>
      <c r="K72" s="5" t="s">
        <v>361</v>
      </c>
      <c r="L72" s="5" t="str">
        <f>VLOOKUP(K72,CDC!$B$6:$O$203,14,FALSE)</f>
        <v>II-125</v>
      </c>
      <c r="M72" s="23">
        <v>50579.7</v>
      </c>
      <c r="N72" s="5" t="s">
        <v>1</v>
      </c>
      <c r="O72" s="41">
        <v>21441</v>
      </c>
      <c r="P72" s="41">
        <v>21654.3</v>
      </c>
      <c r="Q72" s="41">
        <v>1</v>
      </c>
      <c r="R72" s="41">
        <f t="shared" si="2"/>
        <v>50579.7</v>
      </c>
      <c r="S72" s="50" t="s">
        <v>506</v>
      </c>
      <c r="T72" s="150" t="s">
        <v>529</v>
      </c>
      <c r="U72" s="50" t="s">
        <v>521</v>
      </c>
      <c r="V72" s="50">
        <v>46223</v>
      </c>
      <c r="W72" s="223">
        <v>714</v>
      </c>
      <c r="X72" s="158">
        <v>46219</v>
      </c>
      <c r="Y72" s="221" t="s">
        <v>526</v>
      </c>
      <c r="Z72" s="223" t="s">
        <v>556</v>
      </c>
      <c r="AA72" s="158" t="s">
        <v>557</v>
      </c>
      <c r="AB72" s="221" t="s">
        <v>558</v>
      </c>
    </row>
    <row r="73" spans="1:28" ht="15" customHeight="1">
      <c r="A73" s="50">
        <v>46222</v>
      </c>
      <c r="B73" s="50">
        <v>46224</v>
      </c>
      <c r="C73" s="163"/>
      <c r="D73" s="163"/>
      <c r="E73" s="161"/>
      <c r="F73" s="159"/>
      <c r="G73" s="192"/>
      <c r="H73" s="50" t="s">
        <v>241</v>
      </c>
      <c r="I73" s="130" t="s">
        <v>610</v>
      </c>
      <c r="J73" s="42" t="s">
        <v>17</v>
      </c>
      <c r="K73" s="5" t="s">
        <v>405</v>
      </c>
      <c r="L73" s="5" t="str">
        <f>VLOOKUP(K73,CDC!$B$6:$O$203,14,FALSE)</f>
        <v>III-169</v>
      </c>
      <c r="M73" s="23">
        <v>1228</v>
      </c>
      <c r="N73" s="5" t="s">
        <v>21</v>
      </c>
      <c r="O73" s="41">
        <v>493.8</v>
      </c>
      <c r="P73" s="41">
        <v>510.7</v>
      </c>
      <c r="Q73" s="23">
        <v>4</v>
      </c>
      <c r="R73" s="23">
        <f t="shared" si="2"/>
        <v>4912</v>
      </c>
      <c r="S73" s="50" t="s">
        <v>506</v>
      </c>
      <c r="T73" s="151"/>
      <c r="U73" s="50" t="s">
        <v>521</v>
      </c>
      <c r="V73" s="50">
        <v>46223</v>
      </c>
      <c r="W73" s="224"/>
      <c r="X73" s="159"/>
      <c r="Y73" s="222"/>
      <c r="Z73" s="224"/>
      <c r="AA73" s="159"/>
      <c r="AB73" s="222"/>
    </row>
    <row r="74" spans="1:28" ht="15" customHeight="1">
      <c r="A74" s="50">
        <v>46222</v>
      </c>
      <c r="B74" s="50">
        <v>46224</v>
      </c>
      <c r="C74" s="163"/>
      <c r="D74" s="163"/>
      <c r="E74" s="161"/>
      <c r="F74" s="159"/>
      <c r="G74" s="192"/>
      <c r="H74" s="50" t="s">
        <v>241</v>
      </c>
      <c r="I74" s="130" t="s">
        <v>610</v>
      </c>
      <c r="J74" s="42" t="s">
        <v>17</v>
      </c>
      <c r="K74" s="5" t="s">
        <v>406</v>
      </c>
      <c r="L74" s="5" t="str">
        <f>VLOOKUP(K74,CDC!$B$6:$O$203,14,FALSE)</f>
        <v>III-170</v>
      </c>
      <c r="M74" s="23">
        <v>299</v>
      </c>
      <c r="N74" s="5" t="s">
        <v>21</v>
      </c>
      <c r="O74" s="41">
        <v>6.5</v>
      </c>
      <c r="P74" s="41">
        <v>7</v>
      </c>
      <c r="Q74" s="23">
        <v>1.5</v>
      </c>
      <c r="R74" s="23">
        <f t="shared" si="2"/>
        <v>448.5</v>
      </c>
      <c r="S74" s="50" t="s">
        <v>506</v>
      </c>
      <c r="T74" s="151"/>
      <c r="U74" s="50" t="s">
        <v>521</v>
      </c>
      <c r="V74" s="50">
        <v>46223</v>
      </c>
      <c r="W74" s="224"/>
      <c r="X74" s="159"/>
      <c r="Y74" s="222"/>
      <c r="Z74" s="224"/>
      <c r="AA74" s="159"/>
      <c r="AB74" s="222"/>
    </row>
    <row r="75" spans="1:28" ht="15" customHeight="1">
      <c r="A75" s="50">
        <v>46222</v>
      </c>
      <c r="B75" s="50">
        <v>46224</v>
      </c>
      <c r="C75" s="164"/>
      <c r="D75" s="164"/>
      <c r="E75" s="149"/>
      <c r="F75" s="160"/>
      <c r="G75" s="193"/>
      <c r="H75" s="50" t="s">
        <v>241</v>
      </c>
      <c r="I75" s="130" t="s">
        <v>610</v>
      </c>
      <c r="J75" s="42" t="s">
        <v>17</v>
      </c>
      <c r="K75" s="5" t="s">
        <v>376</v>
      </c>
      <c r="L75" s="5" t="str">
        <f>VLOOKUP(K75,CDC!$B$6:$O$203,14,FALSE)</f>
        <v>III-140</v>
      </c>
      <c r="M75" s="23">
        <v>7175</v>
      </c>
      <c r="N75" s="5" t="s">
        <v>19</v>
      </c>
      <c r="O75" s="41">
        <v>42</v>
      </c>
      <c r="P75" s="41">
        <v>45</v>
      </c>
      <c r="Q75" s="23">
        <v>0.05</v>
      </c>
      <c r="R75" s="23">
        <f t="shared" si="2"/>
        <v>358.75</v>
      </c>
      <c r="S75" s="50" t="s">
        <v>506</v>
      </c>
      <c r="T75" s="151"/>
      <c r="U75" s="50" t="s">
        <v>521</v>
      </c>
      <c r="V75" s="50">
        <v>46223</v>
      </c>
      <c r="W75" s="225"/>
      <c r="X75" s="160"/>
      <c r="Y75" s="220"/>
      <c r="Z75" s="225"/>
      <c r="AA75" s="160"/>
      <c r="AB75" s="220"/>
    </row>
    <row r="76" spans="1:28" ht="60" customHeight="1">
      <c r="A76" s="5">
        <v>46225</v>
      </c>
      <c r="B76" s="5">
        <v>46230</v>
      </c>
      <c r="C76" s="47" t="s">
        <v>582</v>
      </c>
      <c r="D76" s="47" t="s">
        <v>453</v>
      </c>
      <c r="E76" s="5" t="s">
        <v>518</v>
      </c>
      <c r="F76" s="40">
        <v>46213</v>
      </c>
      <c r="G76" s="122">
        <v>759</v>
      </c>
      <c r="H76" s="5" t="s">
        <v>241</v>
      </c>
      <c r="I76" s="130" t="s">
        <v>610</v>
      </c>
      <c r="J76" s="42" t="s">
        <v>16</v>
      </c>
      <c r="K76" s="5" t="s">
        <v>361</v>
      </c>
      <c r="L76" s="5" t="str">
        <f>VLOOKUP(K76,CDC!$B$6:$O$203,14,FALSE)</f>
        <v>II-125</v>
      </c>
      <c r="M76" s="23">
        <v>39790.300000000003</v>
      </c>
      <c r="N76" s="5" t="s">
        <v>1</v>
      </c>
      <c r="O76" s="41">
        <v>19321.400000000001</v>
      </c>
      <c r="P76" s="41">
        <v>19573.2</v>
      </c>
      <c r="Q76" s="23">
        <v>1</v>
      </c>
      <c r="R76" s="23">
        <f t="shared" si="2"/>
        <v>39790.300000000003</v>
      </c>
      <c r="S76" s="5" t="s">
        <v>519</v>
      </c>
      <c r="T76" s="77" t="s">
        <v>530</v>
      </c>
      <c r="U76" s="5" t="s">
        <v>540</v>
      </c>
      <c r="V76" s="5">
        <v>46226</v>
      </c>
      <c r="W76" s="85">
        <v>691.5</v>
      </c>
      <c r="X76" s="40">
        <v>46223</v>
      </c>
      <c r="Y76" s="90" t="s">
        <v>527</v>
      </c>
      <c r="Z76" s="85" t="s">
        <v>559</v>
      </c>
      <c r="AA76" s="40" t="s">
        <v>560</v>
      </c>
      <c r="AB76" s="90" t="s">
        <v>561</v>
      </c>
    </row>
    <row r="77" spans="1:28" s="116" customFormat="1" ht="17.25" customHeight="1">
      <c r="A77" s="103"/>
      <c r="B77" s="104"/>
      <c r="C77" s="103"/>
      <c r="D77" s="103"/>
      <c r="E77" s="105"/>
      <c r="F77" s="106"/>
      <c r="G77" s="107"/>
      <c r="H77" s="105"/>
      <c r="I77" s="105"/>
      <c r="J77" s="108"/>
      <c r="K77" s="109"/>
      <c r="L77" s="109"/>
      <c r="M77" s="110"/>
      <c r="N77" s="109"/>
      <c r="O77" s="110"/>
      <c r="P77" s="110"/>
      <c r="Q77" s="110"/>
      <c r="R77" s="110"/>
      <c r="S77" s="105"/>
      <c r="T77" s="109"/>
      <c r="U77" s="105"/>
      <c r="V77" s="106"/>
      <c r="W77" s="111"/>
      <c r="X77" s="112"/>
      <c r="Y77" s="113"/>
      <c r="Z77" s="114"/>
      <c r="AA77" s="106"/>
      <c r="AB77" s="115"/>
    </row>
    <row r="78" spans="1:28" ht="60" customHeight="1">
      <c r="A78" s="5">
        <v>46252</v>
      </c>
      <c r="B78" s="5">
        <v>46255</v>
      </c>
      <c r="C78" s="47" t="s">
        <v>582</v>
      </c>
      <c r="D78" s="47" t="s">
        <v>453</v>
      </c>
      <c r="E78" s="5" t="s">
        <v>542</v>
      </c>
      <c r="F78" s="40">
        <v>46233</v>
      </c>
      <c r="G78" s="122">
        <v>260</v>
      </c>
      <c r="H78" s="5" t="s">
        <v>241</v>
      </c>
      <c r="I78" s="39" t="s">
        <v>609</v>
      </c>
      <c r="J78" s="42" t="s">
        <v>16</v>
      </c>
      <c r="K78" s="5" t="s">
        <v>361</v>
      </c>
      <c r="L78" s="5" t="str">
        <f>VLOOKUP(K78,CDC!$B$6:$O$203,14,FALSE)</f>
        <v>II-125</v>
      </c>
      <c r="M78" s="23">
        <v>14274</v>
      </c>
      <c r="N78" s="5" t="s">
        <v>1</v>
      </c>
      <c r="O78" s="41">
        <v>8009.9</v>
      </c>
      <c r="P78" s="41">
        <v>8048.9</v>
      </c>
      <c r="Q78" s="23">
        <v>1</v>
      </c>
      <c r="R78" s="23">
        <f>ROUND(M78*Q78,2)</f>
        <v>14274</v>
      </c>
      <c r="S78" s="5" t="s">
        <v>543</v>
      </c>
      <c r="T78" s="77" t="s">
        <v>544</v>
      </c>
      <c r="U78" s="5" t="s">
        <v>572</v>
      </c>
      <c r="V78" s="5">
        <v>46254</v>
      </c>
      <c r="W78" s="85">
        <v>464</v>
      </c>
      <c r="X78" s="5">
        <v>46248</v>
      </c>
      <c r="Y78" s="47" t="s">
        <v>568</v>
      </c>
      <c r="Z78" s="5" t="s">
        <v>442</v>
      </c>
      <c r="AA78" s="5" t="s">
        <v>442</v>
      </c>
      <c r="AB78" s="5" t="s">
        <v>442</v>
      </c>
    </row>
    <row r="79" spans="1:28" ht="60" customHeight="1">
      <c r="A79" s="5">
        <v>46255</v>
      </c>
      <c r="B79" s="5">
        <v>46259</v>
      </c>
      <c r="C79" s="47" t="s">
        <v>582</v>
      </c>
      <c r="D79" s="47" t="s">
        <v>546</v>
      </c>
      <c r="E79" s="5" t="s">
        <v>545</v>
      </c>
      <c r="F79" s="40">
        <v>46241</v>
      </c>
      <c r="G79" s="122">
        <v>393</v>
      </c>
      <c r="H79" s="5" t="s">
        <v>241</v>
      </c>
      <c r="I79" s="39" t="s">
        <v>609</v>
      </c>
      <c r="J79" s="42" t="s">
        <v>16</v>
      </c>
      <c r="K79" s="5" t="s">
        <v>361</v>
      </c>
      <c r="L79" s="5" t="str">
        <f>VLOOKUP(K79,CDC!$B$6:$O$203,14,FALSE)</f>
        <v>II-125</v>
      </c>
      <c r="M79" s="23">
        <v>24797.9</v>
      </c>
      <c r="N79" s="5" t="s">
        <v>1</v>
      </c>
      <c r="O79" s="41">
        <v>10415.299999999999</v>
      </c>
      <c r="P79" s="41">
        <v>10474.25</v>
      </c>
      <c r="Q79" s="23">
        <v>1</v>
      </c>
      <c r="R79" s="23">
        <f>ROUND(M79*Q79,2)</f>
        <v>24797.9</v>
      </c>
      <c r="S79" s="5" t="s">
        <v>562</v>
      </c>
      <c r="T79" s="102" t="s">
        <v>566</v>
      </c>
      <c r="U79" s="5" t="s">
        <v>573</v>
      </c>
      <c r="V79" s="5">
        <v>46258</v>
      </c>
      <c r="W79" s="85">
        <v>719.5</v>
      </c>
      <c r="X79" s="5">
        <v>46253</v>
      </c>
      <c r="Y79" s="47" t="s">
        <v>574</v>
      </c>
      <c r="Z79" s="5" t="s">
        <v>442</v>
      </c>
      <c r="AA79" s="5" t="s">
        <v>442</v>
      </c>
      <c r="AB79" s="5" t="s">
        <v>442</v>
      </c>
    </row>
    <row r="80" spans="1:28" ht="60" customHeight="1">
      <c r="A80" s="148">
        <v>46252</v>
      </c>
      <c r="B80" s="148">
        <v>46256</v>
      </c>
      <c r="C80" s="162" t="s">
        <v>583</v>
      </c>
      <c r="D80" s="162" t="s">
        <v>563</v>
      </c>
      <c r="E80" s="148" t="s">
        <v>564</v>
      </c>
      <c r="F80" s="158">
        <v>46243</v>
      </c>
      <c r="G80" s="191">
        <v>4</v>
      </c>
      <c r="H80" s="148" t="s">
        <v>241</v>
      </c>
      <c r="I80" s="39" t="s">
        <v>609</v>
      </c>
      <c r="J80" s="216" t="s">
        <v>10</v>
      </c>
      <c r="K80" s="5" t="s">
        <v>308</v>
      </c>
      <c r="L80" s="5" t="str">
        <f>VLOOKUP(K80,CDC!$B$6:$O$203,14,FALSE)</f>
        <v>I-72</v>
      </c>
      <c r="M80" s="23">
        <v>1</v>
      </c>
      <c r="N80" s="5" t="s">
        <v>6</v>
      </c>
      <c r="O80" s="41">
        <v>2415</v>
      </c>
      <c r="P80" s="41">
        <v>2420</v>
      </c>
      <c r="Q80" s="23">
        <v>11000</v>
      </c>
      <c r="R80" s="23">
        <f>ROUND(M80*Q80,2)</f>
        <v>11000</v>
      </c>
      <c r="S80" s="22" t="s">
        <v>565</v>
      </c>
      <c r="T80" s="240" t="s">
        <v>570</v>
      </c>
      <c r="U80" s="133" t="s">
        <v>571</v>
      </c>
      <c r="V80" s="133">
        <v>46255</v>
      </c>
      <c r="W80" s="223">
        <v>355</v>
      </c>
      <c r="X80" s="148">
        <v>46251</v>
      </c>
      <c r="Y80" s="219">
        <v>7676285562</v>
      </c>
      <c r="Z80" s="148" t="s">
        <v>442</v>
      </c>
      <c r="AA80" s="148" t="s">
        <v>442</v>
      </c>
      <c r="AB80" s="148" t="s">
        <v>442</v>
      </c>
    </row>
    <row r="81" spans="1:28" ht="60" customHeight="1">
      <c r="A81" s="149"/>
      <c r="B81" s="149"/>
      <c r="C81" s="164"/>
      <c r="D81" s="164"/>
      <c r="E81" s="149"/>
      <c r="F81" s="160"/>
      <c r="G81" s="193"/>
      <c r="H81" s="149"/>
      <c r="I81" s="39" t="s">
        <v>609</v>
      </c>
      <c r="J81" s="217"/>
      <c r="K81" s="144" t="s">
        <v>569</v>
      </c>
      <c r="L81" s="143"/>
      <c r="M81" s="145"/>
      <c r="N81" s="143"/>
      <c r="O81" s="146"/>
      <c r="P81" s="146"/>
      <c r="Q81" s="145"/>
      <c r="R81" s="145"/>
      <c r="S81" s="147"/>
      <c r="T81" s="241"/>
      <c r="U81" s="143"/>
      <c r="V81" s="143"/>
      <c r="W81" s="225"/>
      <c r="X81" s="149"/>
      <c r="Y81" s="220"/>
      <c r="Z81" s="149"/>
      <c r="AA81" s="149"/>
      <c r="AB81" s="149"/>
    </row>
    <row r="82" spans="1:28" s="116" customFormat="1" ht="17.25" customHeight="1">
      <c r="A82" s="117"/>
      <c r="B82" s="118"/>
      <c r="C82" s="117"/>
      <c r="D82" s="117"/>
      <c r="E82" s="109"/>
      <c r="F82" s="112"/>
      <c r="G82" s="119"/>
      <c r="H82" s="109"/>
      <c r="I82" s="109"/>
      <c r="J82" s="108"/>
      <c r="K82" s="109"/>
      <c r="L82" s="109"/>
      <c r="M82" s="110"/>
      <c r="N82" s="109"/>
      <c r="O82" s="110"/>
      <c r="P82" s="110"/>
      <c r="Q82" s="110"/>
      <c r="R82" s="110"/>
      <c r="S82" s="109"/>
      <c r="T82" s="109"/>
      <c r="U82" s="109"/>
      <c r="V82" s="112"/>
      <c r="W82" s="111"/>
      <c r="X82" s="112"/>
      <c r="Y82" s="113"/>
      <c r="Z82" s="111"/>
      <c r="AA82" s="112"/>
      <c r="AB82" s="113"/>
    </row>
    <row r="83" spans="1:28" ht="38.25" customHeight="1">
      <c r="A83" s="5">
        <v>46288</v>
      </c>
      <c r="B83" s="5">
        <v>46293</v>
      </c>
      <c r="C83" s="150" t="s">
        <v>582</v>
      </c>
      <c r="D83" s="151" t="s">
        <v>453</v>
      </c>
      <c r="E83" s="151" t="s">
        <v>575</v>
      </c>
      <c r="F83" s="152">
        <v>46265</v>
      </c>
      <c r="G83" s="153">
        <v>635</v>
      </c>
      <c r="H83" s="5" t="s">
        <v>241</v>
      </c>
      <c r="I83" s="39" t="s">
        <v>608</v>
      </c>
      <c r="J83" s="42" t="s">
        <v>16</v>
      </c>
      <c r="K83" s="5" t="s">
        <v>361</v>
      </c>
      <c r="L83" s="5" t="str">
        <f>VLOOKUP(K83,CDC!$B$6:$O$203,14,FALSE)</f>
        <v>II-125</v>
      </c>
      <c r="M83" s="23">
        <v>32636.7</v>
      </c>
      <c r="N83" s="5" t="s">
        <v>1</v>
      </c>
      <c r="O83" s="23">
        <v>17932.599999999999</v>
      </c>
      <c r="P83" s="23">
        <v>18111.7</v>
      </c>
      <c r="Q83" s="23">
        <v>1</v>
      </c>
      <c r="R83" s="23">
        <f t="shared" ref="R83:R86" si="3">ROUND(M83*Q83,2)</f>
        <v>32636.7</v>
      </c>
      <c r="S83" s="5" t="s">
        <v>586</v>
      </c>
      <c r="T83" s="154" t="s">
        <v>581</v>
      </c>
      <c r="U83" s="5" t="s">
        <v>600</v>
      </c>
      <c r="V83" s="5">
        <v>46290</v>
      </c>
      <c r="W83" s="155">
        <f>440+159.5</f>
        <v>599.5</v>
      </c>
      <c r="X83" s="151">
        <v>46287</v>
      </c>
      <c r="Y83" s="150" t="s">
        <v>595</v>
      </c>
      <c r="Z83" s="148"/>
      <c r="AA83" s="148"/>
      <c r="AB83" s="148"/>
    </row>
    <row r="84" spans="1:28" ht="38.25" customHeight="1">
      <c r="A84" s="5">
        <v>46288</v>
      </c>
      <c r="B84" s="5">
        <v>46293</v>
      </c>
      <c r="C84" s="151"/>
      <c r="D84" s="151"/>
      <c r="E84" s="151"/>
      <c r="F84" s="152"/>
      <c r="G84" s="153"/>
      <c r="H84" s="5" t="s">
        <v>241</v>
      </c>
      <c r="I84" s="39" t="s">
        <v>608</v>
      </c>
      <c r="J84" s="5" t="s">
        <v>17</v>
      </c>
      <c r="K84" s="5" t="s">
        <v>366</v>
      </c>
      <c r="L84" s="5" t="str">
        <f>VLOOKUP(K84,CDC!$B$6:$O$203,14,FALSE)</f>
        <v>III-130</v>
      </c>
      <c r="M84" s="23">
        <v>4968.8</v>
      </c>
      <c r="N84" s="5" t="s">
        <v>1</v>
      </c>
      <c r="O84" s="23">
        <v>678.8</v>
      </c>
      <c r="P84" s="23">
        <v>697.8</v>
      </c>
      <c r="Q84" s="23">
        <v>0.2</v>
      </c>
      <c r="R84" s="23">
        <f t="shared" si="3"/>
        <v>993.76</v>
      </c>
      <c r="S84" s="5" t="s">
        <v>586</v>
      </c>
      <c r="T84" s="151"/>
      <c r="U84" s="5" t="s">
        <v>600</v>
      </c>
      <c r="V84" s="5">
        <v>46290</v>
      </c>
      <c r="W84" s="155"/>
      <c r="X84" s="151"/>
      <c r="Y84" s="151"/>
      <c r="Z84" s="149"/>
      <c r="AA84" s="149"/>
      <c r="AB84" s="149"/>
    </row>
    <row r="85" spans="1:28" ht="90.75" customHeight="1">
      <c r="A85" s="5">
        <v>46282</v>
      </c>
      <c r="B85" s="5">
        <v>46287</v>
      </c>
      <c r="C85" s="47" t="s">
        <v>582</v>
      </c>
      <c r="D85" s="5" t="s">
        <v>453</v>
      </c>
      <c r="E85" s="5" t="s">
        <v>576</v>
      </c>
      <c r="F85" s="40">
        <v>46275</v>
      </c>
      <c r="G85" s="122">
        <v>797</v>
      </c>
      <c r="H85" s="5" t="s">
        <v>241</v>
      </c>
      <c r="I85" s="39" t="s">
        <v>608</v>
      </c>
      <c r="J85" s="5" t="s">
        <v>16</v>
      </c>
      <c r="K85" s="5" t="s">
        <v>361</v>
      </c>
      <c r="L85" s="5" t="str">
        <f>VLOOKUP(K85,CDC!$B$6:$O$203,14,FALSE)</f>
        <v>II-125</v>
      </c>
      <c r="M85" s="23">
        <v>43579.5</v>
      </c>
      <c r="N85" s="5" t="s">
        <v>1</v>
      </c>
      <c r="O85" s="23">
        <v>23993.3</v>
      </c>
      <c r="P85" s="23">
        <v>24300</v>
      </c>
      <c r="Q85" s="23">
        <v>1</v>
      </c>
      <c r="R85" s="23">
        <f t="shared" si="3"/>
        <v>43579.5</v>
      </c>
      <c r="S85" s="5" t="s">
        <v>577</v>
      </c>
      <c r="T85" s="102" t="s">
        <v>593</v>
      </c>
      <c r="U85" s="5" t="s">
        <v>602</v>
      </c>
      <c r="V85" s="40">
        <v>46284</v>
      </c>
      <c r="W85" s="85">
        <v>691.5</v>
      </c>
      <c r="X85" s="40">
        <v>46281</v>
      </c>
      <c r="Y85" s="90" t="s">
        <v>587</v>
      </c>
    </row>
    <row r="86" spans="1:28" ht="90.75" customHeight="1">
      <c r="A86" s="5">
        <v>46282</v>
      </c>
      <c r="B86" s="5">
        <v>46287</v>
      </c>
      <c r="C86" s="47" t="s">
        <v>582</v>
      </c>
      <c r="D86" s="5" t="s">
        <v>453</v>
      </c>
      <c r="E86" s="5" t="s">
        <v>578</v>
      </c>
      <c r="F86" s="40">
        <v>46275</v>
      </c>
      <c r="G86" s="122">
        <v>688</v>
      </c>
      <c r="H86" s="5" t="s">
        <v>241</v>
      </c>
      <c r="I86" s="39" t="s">
        <v>608</v>
      </c>
      <c r="J86" s="5" t="s">
        <v>16</v>
      </c>
      <c r="K86" s="5" t="s">
        <v>360</v>
      </c>
      <c r="L86" s="5" t="str">
        <f>VLOOKUP(K86,CDC!$B$6:$O$203,14,FALSE)</f>
        <v>II-124</v>
      </c>
      <c r="M86" s="23">
        <v>69565</v>
      </c>
      <c r="N86" s="5" t="s">
        <v>1</v>
      </c>
      <c r="O86" s="23">
        <v>24790.5</v>
      </c>
      <c r="P86" s="23">
        <v>24996.9</v>
      </c>
      <c r="Q86" s="23">
        <v>1.8</v>
      </c>
      <c r="R86" s="23">
        <f t="shared" si="3"/>
        <v>125217</v>
      </c>
      <c r="S86" s="5" t="s">
        <v>579</v>
      </c>
      <c r="T86" s="102" t="s">
        <v>592</v>
      </c>
      <c r="U86" s="5" t="s">
        <v>601</v>
      </c>
      <c r="V86" s="40">
        <v>46284</v>
      </c>
      <c r="W86" s="85">
        <v>691.5</v>
      </c>
      <c r="X86" s="40">
        <v>46281</v>
      </c>
      <c r="Y86" s="90" t="s">
        <v>588</v>
      </c>
    </row>
    <row r="87" spans="1:28" ht="62.25" customHeight="1">
      <c r="A87" s="5">
        <v>46288</v>
      </c>
      <c r="B87" s="5">
        <v>46293</v>
      </c>
      <c r="C87" s="47" t="s">
        <v>582</v>
      </c>
      <c r="D87" s="5" t="s">
        <v>453</v>
      </c>
      <c r="E87" s="5" t="s">
        <v>580</v>
      </c>
      <c r="F87" s="40">
        <v>46279</v>
      </c>
      <c r="G87" s="122">
        <v>306</v>
      </c>
      <c r="H87" s="5" t="s">
        <v>241</v>
      </c>
      <c r="I87" s="39" t="s">
        <v>608</v>
      </c>
      <c r="J87" s="5" t="s">
        <v>16</v>
      </c>
      <c r="K87" s="5" t="s">
        <v>360</v>
      </c>
      <c r="L87" s="5" t="str">
        <f>VLOOKUP(K87,CDC!$B$6:$O$203,14,FALSE)</f>
        <v>II-124</v>
      </c>
      <c r="M87" s="23">
        <v>31205.7</v>
      </c>
      <c r="N87" s="5" t="s">
        <v>1</v>
      </c>
      <c r="O87" s="23">
        <v>11012.3</v>
      </c>
      <c r="P87" s="23">
        <v>11104.1</v>
      </c>
      <c r="Q87" s="23">
        <v>1.8</v>
      </c>
      <c r="R87" s="23">
        <f t="shared" ref="R87:R91" si="4">ROUND(M87*Q87,2)</f>
        <v>56170.26</v>
      </c>
      <c r="S87" s="5" t="s">
        <v>589</v>
      </c>
      <c r="T87" s="84" t="s">
        <v>590</v>
      </c>
      <c r="U87" s="5" t="s">
        <v>599</v>
      </c>
      <c r="V87" s="40">
        <v>46290</v>
      </c>
      <c r="W87" s="85">
        <f>320+159.5</f>
        <v>479.5</v>
      </c>
      <c r="X87" s="40">
        <v>46287</v>
      </c>
      <c r="Y87" s="90" t="s">
        <v>596</v>
      </c>
    </row>
    <row r="88" spans="1:28" s="116" customFormat="1" ht="17.25" customHeight="1">
      <c r="A88" s="117"/>
      <c r="B88" s="118"/>
      <c r="C88" s="117"/>
      <c r="D88" s="117"/>
      <c r="E88" s="109"/>
      <c r="F88" s="112"/>
      <c r="G88" s="119"/>
      <c r="H88" s="109"/>
      <c r="I88" s="109"/>
      <c r="J88" s="108"/>
      <c r="K88" s="109"/>
      <c r="L88" s="109"/>
      <c r="M88" s="110"/>
      <c r="N88" s="109"/>
      <c r="O88" s="110"/>
      <c r="P88" s="110"/>
      <c r="Q88" s="110"/>
      <c r="R88" s="110"/>
      <c r="S88" s="109"/>
      <c r="T88" s="109"/>
      <c r="U88" s="109"/>
      <c r="V88" s="112"/>
      <c r="W88" s="111"/>
      <c r="X88" s="112"/>
      <c r="Y88" s="113"/>
      <c r="Z88" s="111"/>
      <c r="AA88" s="112"/>
      <c r="AB88" s="113"/>
    </row>
    <row r="89" spans="1:28" ht="38.25" customHeight="1">
      <c r="A89" s="5">
        <v>46295</v>
      </c>
      <c r="B89" s="5">
        <v>46297</v>
      </c>
      <c r="C89" s="150" t="s">
        <v>582</v>
      </c>
      <c r="D89" s="151" t="s">
        <v>453</v>
      </c>
      <c r="E89" s="151" t="s">
        <v>591</v>
      </c>
      <c r="F89" s="152">
        <v>46283</v>
      </c>
      <c r="G89" s="153">
        <v>629</v>
      </c>
      <c r="H89" s="5" t="s">
        <v>241</v>
      </c>
      <c r="I89" s="39" t="s">
        <v>603</v>
      </c>
      <c r="J89" s="42" t="s">
        <v>16</v>
      </c>
      <c r="K89" s="5" t="s">
        <v>361</v>
      </c>
      <c r="L89" s="5" t="str">
        <f>VLOOKUP(K89,CDC!$B$6:$O$203,14,FALSE)</f>
        <v>II-125</v>
      </c>
      <c r="M89" s="23">
        <v>35246</v>
      </c>
      <c r="N89" s="5" t="s">
        <v>1</v>
      </c>
      <c r="O89" s="23">
        <v>16177.8</v>
      </c>
      <c r="P89" s="23">
        <v>16368.3</v>
      </c>
      <c r="Q89" s="23">
        <v>1</v>
      </c>
      <c r="R89" s="23">
        <f t="shared" si="4"/>
        <v>35246</v>
      </c>
      <c r="S89" s="5" t="s">
        <v>597</v>
      </c>
      <c r="T89" s="154" t="s">
        <v>607</v>
      </c>
      <c r="U89" s="5" t="s">
        <v>616</v>
      </c>
      <c r="V89" s="5">
        <v>46296</v>
      </c>
      <c r="W89" s="155">
        <f>440+159.5</f>
        <v>599.5</v>
      </c>
      <c r="X89" s="151">
        <v>46294</v>
      </c>
      <c r="Y89" s="150" t="s">
        <v>606</v>
      </c>
      <c r="Z89" s="148"/>
      <c r="AA89" s="148"/>
      <c r="AB89" s="148"/>
    </row>
    <row r="90" spans="1:28" ht="38.25" customHeight="1">
      <c r="A90" s="5">
        <v>46295</v>
      </c>
      <c r="B90" s="5">
        <v>46297</v>
      </c>
      <c r="C90" s="151"/>
      <c r="D90" s="151"/>
      <c r="E90" s="151"/>
      <c r="F90" s="152"/>
      <c r="G90" s="153"/>
      <c r="H90" s="5" t="s">
        <v>241</v>
      </c>
      <c r="I90" s="39" t="s">
        <v>603</v>
      </c>
      <c r="J90" s="42" t="s">
        <v>16</v>
      </c>
      <c r="K90" s="5" t="s">
        <v>360</v>
      </c>
      <c r="L90" s="5" t="str">
        <f>VLOOKUP(K90,CDC!$B$6:$O$203,14,FALSE)</f>
        <v>II-124</v>
      </c>
      <c r="M90" s="23">
        <v>5706</v>
      </c>
      <c r="N90" s="5" t="s">
        <v>1</v>
      </c>
      <c r="O90" s="23">
        <v>782.30000000000007</v>
      </c>
      <c r="P90" s="23">
        <v>804.30000000000007</v>
      </c>
      <c r="Q90" s="23">
        <v>1.8</v>
      </c>
      <c r="R90" s="23">
        <f t="shared" si="4"/>
        <v>10270.799999999999</v>
      </c>
      <c r="S90" s="5"/>
      <c r="T90" s="151"/>
      <c r="U90" s="5" t="s">
        <v>616</v>
      </c>
      <c r="V90" s="5">
        <v>46296</v>
      </c>
      <c r="W90" s="155"/>
      <c r="X90" s="151"/>
      <c r="Y90" s="151"/>
      <c r="Z90" s="149"/>
      <c r="AA90" s="149"/>
      <c r="AB90" s="149"/>
    </row>
    <row r="91" spans="1:28" ht="78.75" customHeight="1">
      <c r="A91" s="5">
        <v>46294</v>
      </c>
      <c r="B91" s="5">
        <v>46298</v>
      </c>
      <c r="C91" s="47" t="s">
        <v>582</v>
      </c>
      <c r="D91" s="5" t="s">
        <v>453</v>
      </c>
      <c r="E91" s="5" t="s">
        <v>594</v>
      </c>
      <c r="F91" s="40">
        <v>46279</v>
      </c>
      <c r="G91" s="122">
        <v>715</v>
      </c>
      <c r="H91" s="5" t="s">
        <v>241</v>
      </c>
      <c r="I91" s="39" t="s">
        <v>603</v>
      </c>
      <c r="J91" s="5" t="s">
        <v>16</v>
      </c>
      <c r="K91" s="5" t="s">
        <v>361</v>
      </c>
      <c r="L91" s="5" t="str">
        <f>VLOOKUP(K91,CDC!$B$6:$O$203,14,FALSE)</f>
        <v>II-125</v>
      </c>
      <c r="M91" s="23">
        <v>37322</v>
      </c>
      <c r="N91" s="5" t="s">
        <v>1</v>
      </c>
      <c r="O91" s="23">
        <v>21745.899999999998</v>
      </c>
      <c r="P91" s="23">
        <v>21960.400000000001</v>
      </c>
      <c r="Q91" s="23">
        <v>1</v>
      </c>
      <c r="R91" s="23">
        <f t="shared" si="4"/>
        <v>37322</v>
      </c>
      <c r="S91" s="5" t="s">
        <v>598</v>
      </c>
      <c r="T91" s="84" t="s">
        <v>604</v>
      </c>
      <c r="U91" s="5" t="s">
        <v>617</v>
      </c>
      <c r="V91" s="40">
        <v>46297</v>
      </c>
      <c r="W91" s="85">
        <f>490+187</f>
        <v>677</v>
      </c>
      <c r="X91" s="40">
        <v>46294</v>
      </c>
      <c r="Y91" s="90" t="s">
        <v>605</v>
      </c>
    </row>
    <row r="92" spans="1:28" ht="38.25" customHeight="1">
      <c r="A92" s="5"/>
      <c r="B92" s="5"/>
      <c r="C92" s="150" t="s">
        <v>582</v>
      </c>
      <c r="D92" s="151" t="s">
        <v>453</v>
      </c>
      <c r="E92" s="151" t="s">
        <v>618</v>
      </c>
      <c r="F92" s="152">
        <v>46307</v>
      </c>
      <c r="G92" s="153">
        <v>296</v>
      </c>
      <c r="H92" s="5" t="s">
        <v>241</v>
      </c>
      <c r="I92" s="39" t="s">
        <v>603</v>
      </c>
      <c r="J92" s="42" t="s">
        <v>16</v>
      </c>
      <c r="K92" s="5" t="s">
        <v>360</v>
      </c>
      <c r="L92" s="5" t="str">
        <f>VLOOKUP(K92,CDC!$B$6:$O$203,14,FALSE)</f>
        <v>II-124</v>
      </c>
      <c r="M92" s="23">
        <v>30917</v>
      </c>
      <c r="N92" s="5" t="s">
        <v>1</v>
      </c>
      <c r="O92" s="23">
        <v>10139.5</v>
      </c>
      <c r="P92" s="23">
        <v>10221.299999999999</v>
      </c>
      <c r="Q92" s="23">
        <v>1</v>
      </c>
      <c r="R92" s="23">
        <f t="shared" ref="R92:R93" si="5">ROUND(M92*Q92,2)</f>
        <v>30917</v>
      </c>
      <c r="S92" s="5" t="s">
        <v>442</v>
      </c>
      <c r="T92" s="154" t="s">
        <v>619</v>
      </c>
      <c r="U92" s="5"/>
      <c r="V92" s="5"/>
      <c r="W92" s="155"/>
      <c r="X92" s="151"/>
      <c r="Y92" s="150"/>
      <c r="Z92" s="148"/>
      <c r="AA92" s="148"/>
      <c r="AB92" s="148"/>
    </row>
    <row r="93" spans="1:28" ht="38.25" customHeight="1">
      <c r="A93" s="5"/>
      <c r="B93" s="5"/>
      <c r="C93" s="151"/>
      <c r="D93" s="151"/>
      <c r="E93" s="151"/>
      <c r="F93" s="152"/>
      <c r="G93" s="153"/>
      <c r="H93" s="5" t="s">
        <v>241</v>
      </c>
      <c r="I93" s="39" t="s">
        <v>603</v>
      </c>
      <c r="J93" s="42" t="s">
        <v>17</v>
      </c>
      <c r="K93" s="2" t="s">
        <v>388</v>
      </c>
      <c r="L93" s="5" t="str">
        <f>VLOOKUP(K93,CDC!$B$6:$O$203,14,FALSE)</f>
        <v>III-152</v>
      </c>
      <c r="M93" s="23">
        <v>4696</v>
      </c>
      <c r="N93" s="5" t="s">
        <v>1</v>
      </c>
      <c r="O93" s="23">
        <v>240</v>
      </c>
      <c r="P93" s="23">
        <v>252</v>
      </c>
      <c r="Q93" s="23">
        <v>1.8</v>
      </c>
      <c r="R93" s="23">
        <f t="shared" si="5"/>
        <v>8452.7999999999993</v>
      </c>
      <c r="S93" s="5"/>
      <c r="T93" s="151"/>
      <c r="U93" s="5"/>
      <c r="V93" s="5"/>
      <c r="W93" s="155"/>
      <c r="X93" s="151"/>
      <c r="Y93" s="151"/>
      <c r="Z93" s="149"/>
      <c r="AA93" s="149"/>
      <c r="AB93" s="149"/>
    </row>
    <row r="94" spans="1:28">
      <c r="R94" s="26"/>
    </row>
    <row r="95" spans="1:28" s="74" customFormat="1">
      <c r="A95" s="71"/>
      <c r="B95" s="72"/>
      <c r="C95" s="71"/>
      <c r="D95" s="71"/>
      <c r="E95" s="71"/>
      <c r="F95" s="72"/>
      <c r="G95" s="99"/>
      <c r="H95" s="71"/>
      <c r="I95" s="71"/>
      <c r="J95" s="71"/>
      <c r="K95" s="71"/>
      <c r="L95" s="71"/>
      <c r="M95" s="73"/>
      <c r="N95" s="71"/>
      <c r="O95" s="73"/>
      <c r="P95" s="73"/>
      <c r="Q95" s="73"/>
      <c r="R95" s="71"/>
      <c r="S95" s="71"/>
      <c r="T95" s="71"/>
      <c r="U95" s="71"/>
      <c r="V95" s="72"/>
      <c r="W95" s="97"/>
      <c r="X95" s="72"/>
      <c r="Y95" s="92"/>
    </row>
  </sheetData>
  <autoFilter ref="A1:T94" xr:uid="{00000000-0009-0000-0000-000002000000}"/>
  <mergeCells count="206">
    <mergeCell ref="W83:W84"/>
    <mergeCell ref="X83:X84"/>
    <mergeCell ref="Y83:Y84"/>
    <mergeCell ref="Z83:Z84"/>
    <mergeCell ref="AA83:AA84"/>
    <mergeCell ref="AB83:AB84"/>
    <mergeCell ref="G83:G84"/>
    <mergeCell ref="E83:E84"/>
    <mergeCell ref="T83:T84"/>
    <mergeCell ref="C83:C84"/>
    <mergeCell ref="D83:D84"/>
    <mergeCell ref="F83:F84"/>
    <mergeCell ref="H80:H81"/>
    <mergeCell ref="G80:G81"/>
    <mergeCell ref="F80:F81"/>
    <mergeCell ref="E80:E81"/>
    <mergeCell ref="D80:D81"/>
    <mergeCell ref="C80:C81"/>
    <mergeCell ref="AB80:AB81"/>
    <mergeCell ref="J80:J81"/>
    <mergeCell ref="T80:T81"/>
    <mergeCell ref="B80:B81"/>
    <mergeCell ref="A80:A81"/>
    <mergeCell ref="W80:W81"/>
    <mergeCell ref="X80:X81"/>
    <mergeCell ref="Y80:Y81"/>
    <mergeCell ref="Z80:Z81"/>
    <mergeCell ref="AA80:AA81"/>
    <mergeCell ref="Z72:Z75"/>
    <mergeCell ref="AA72:AA75"/>
    <mergeCell ref="AB72:AB75"/>
    <mergeCell ref="Z2:Z10"/>
    <mergeCell ref="AA2:AA10"/>
    <mergeCell ref="AB2:AB10"/>
    <mergeCell ref="Z43:Z44"/>
    <mergeCell ref="AA43:AA44"/>
    <mergeCell ref="AB43:AB44"/>
    <mergeCell ref="Z39:Z42"/>
    <mergeCell ref="AA39:AA42"/>
    <mergeCell ref="AB39:AB42"/>
    <mergeCell ref="Z11:Z14"/>
    <mergeCell ref="AA11:AA14"/>
    <mergeCell ref="AB11:AB14"/>
    <mergeCell ref="Z15:Z27"/>
    <mergeCell ref="AA15:AA27"/>
    <mergeCell ref="AB15:AB27"/>
    <mergeCell ref="Z30:Z32"/>
    <mergeCell ref="AA30:AA32"/>
    <mergeCell ref="AB30:AB32"/>
    <mergeCell ref="Z35:Z36"/>
    <mergeCell ref="AA35:AA36"/>
    <mergeCell ref="AB35:AB36"/>
    <mergeCell ref="Z47:Z49"/>
    <mergeCell ref="AA47:AA49"/>
    <mergeCell ref="AB47:AB49"/>
    <mergeCell ref="Z52:Z53"/>
    <mergeCell ref="AA52:AA53"/>
    <mergeCell ref="AB52:AB53"/>
    <mergeCell ref="Z67:Z70"/>
    <mergeCell ref="AA67:AA70"/>
    <mergeCell ref="AB67:AB70"/>
    <mergeCell ref="S43:S44"/>
    <mergeCell ref="S39:S42"/>
    <mergeCell ref="S30:S32"/>
    <mergeCell ref="S35:S36"/>
    <mergeCell ref="Y47:Y49"/>
    <mergeCell ref="Y52:Y53"/>
    <mergeCell ref="Y67:Y70"/>
    <mergeCell ref="Y72:Y75"/>
    <mergeCell ref="X47:X49"/>
    <mergeCell ref="X52:X53"/>
    <mergeCell ref="X72:X75"/>
    <mergeCell ref="W67:W70"/>
    <mergeCell ref="X67:X70"/>
    <mergeCell ref="W47:W49"/>
    <mergeCell ref="T54:T55"/>
    <mergeCell ref="W52:W53"/>
    <mergeCell ref="W72:W75"/>
    <mergeCell ref="T61:T65"/>
    <mergeCell ref="T72:T75"/>
    <mergeCell ref="T56:T60"/>
    <mergeCell ref="T67:T70"/>
    <mergeCell ref="T2:T10"/>
    <mergeCell ref="T11:T14"/>
    <mergeCell ref="T15:T27"/>
    <mergeCell ref="T30:T32"/>
    <mergeCell ref="E52:E53"/>
    <mergeCell ref="F52:F53"/>
    <mergeCell ref="G52:G53"/>
    <mergeCell ref="T35:T36"/>
    <mergeCell ref="T39:T42"/>
    <mergeCell ref="T43:T44"/>
    <mergeCell ref="O52:O53"/>
    <mergeCell ref="P52:P53"/>
    <mergeCell ref="Q52:Q53"/>
    <mergeCell ref="R52:R53"/>
    <mergeCell ref="J52:J53"/>
    <mergeCell ref="H35:H36"/>
    <mergeCell ref="K52:K53"/>
    <mergeCell ref="L52:L53"/>
    <mergeCell ref="M52:M53"/>
    <mergeCell ref="T47:T49"/>
    <mergeCell ref="T52:T53"/>
    <mergeCell ref="N52:N53"/>
    <mergeCell ref="F47:F49"/>
    <mergeCell ref="E47:E49"/>
    <mergeCell ref="G15:G27"/>
    <mergeCell ref="G11:G14"/>
    <mergeCell ref="F61:F65"/>
    <mergeCell ref="E61:E65"/>
    <mergeCell ref="G72:G75"/>
    <mergeCell ref="G67:G70"/>
    <mergeCell ref="G61:G65"/>
    <mergeCell ref="G56:G60"/>
    <mergeCell ref="G54:G55"/>
    <mergeCell ref="F72:F75"/>
    <mergeCell ref="E72:E75"/>
    <mergeCell ref="F11:F14"/>
    <mergeCell ref="E11:E14"/>
    <mergeCell ref="B61:B65"/>
    <mergeCell ref="A61:A65"/>
    <mergeCell ref="B56:B60"/>
    <mergeCell ref="A56:A60"/>
    <mergeCell ref="D11:D14"/>
    <mergeCell ref="C11:C14"/>
    <mergeCell ref="D30:D32"/>
    <mergeCell ref="C30:C32"/>
    <mergeCell ref="G2:G10"/>
    <mergeCell ref="F43:F44"/>
    <mergeCell ref="E43:E44"/>
    <mergeCell ref="F2:F10"/>
    <mergeCell ref="E2:E10"/>
    <mergeCell ref="F15:F27"/>
    <mergeCell ref="E15:E27"/>
    <mergeCell ref="F35:F36"/>
    <mergeCell ref="E35:E36"/>
    <mergeCell ref="G47:G49"/>
    <mergeCell ref="G43:G44"/>
    <mergeCell ref="G39:G42"/>
    <mergeCell ref="G35:G36"/>
    <mergeCell ref="G30:G32"/>
    <mergeCell ref="F30:F32"/>
    <mergeCell ref="E30:E32"/>
    <mergeCell ref="D2:D10"/>
    <mergeCell ref="C2:C10"/>
    <mergeCell ref="D43:D44"/>
    <mergeCell ref="C43:C44"/>
    <mergeCell ref="B43:B44"/>
    <mergeCell ref="D35:D36"/>
    <mergeCell ref="C35:C36"/>
    <mergeCell ref="A47:A49"/>
    <mergeCell ref="B54:B55"/>
    <mergeCell ref="A54:A55"/>
    <mergeCell ref="A43:A44"/>
    <mergeCell ref="D47:D49"/>
    <mergeCell ref="C47:C49"/>
    <mergeCell ref="B47:B49"/>
    <mergeCell ref="D15:D27"/>
    <mergeCell ref="C15:C27"/>
    <mergeCell ref="H43:H44"/>
    <mergeCell ref="F54:F55"/>
    <mergeCell ref="E54:E55"/>
    <mergeCell ref="F39:F42"/>
    <mergeCell ref="E39:E42"/>
    <mergeCell ref="D72:D75"/>
    <mergeCell ref="C72:C75"/>
    <mergeCell ref="D67:D70"/>
    <mergeCell ref="C67:C70"/>
    <mergeCell ref="C52:C53"/>
    <mergeCell ref="D52:D53"/>
    <mergeCell ref="C56:C60"/>
    <mergeCell ref="C54:C55"/>
    <mergeCell ref="D56:D60"/>
    <mergeCell ref="D39:D42"/>
    <mergeCell ref="C39:C42"/>
    <mergeCell ref="D54:D55"/>
    <mergeCell ref="D61:D65"/>
    <mergeCell ref="C61:C65"/>
    <mergeCell ref="F67:F70"/>
    <mergeCell ref="E67:E70"/>
    <mergeCell ref="F56:F60"/>
    <mergeCell ref="E56:E60"/>
    <mergeCell ref="Z89:Z90"/>
    <mergeCell ref="AA89:AA90"/>
    <mergeCell ref="AB89:AB90"/>
    <mergeCell ref="C89:C90"/>
    <mergeCell ref="D89:D90"/>
    <mergeCell ref="E89:E90"/>
    <mergeCell ref="F89:F90"/>
    <mergeCell ref="G89:G90"/>
    <mergeCell ref="T89:T90"/>
    <mergeCell ref="W89:W90"/>
    <mergeCell ref="X89:X90"/>
    <mergeCell ref="Y89:Y90"/>
    <mergeCell ref="Z92:Z93"/>
    <mergeCell ref="AA92:AA93"/>
    <mergeCell ref="AB92:AB93"/>
    <mergeCell ref="C92:C93"/>
    <mergeCell ref="D92:D93"/>
    <mergeCell ref="E92:E93"/>
    <mergeCell ref="F92:F93"/>
    <mergeCell ref="G92:G93"/>
    <mergeCell ref="T92:T93"/>
    <mergeCell ref="W92:W93"/>
    <mergeCell ref="X92:X93"/>
    <mergeCell ref="Y92:Y93"/>
  </mergeCells>
  <phoneticPr fontId="5" type="noConversion"/>
  <pageMargins left="0.7" right="0.7" top="0.75" bottom="0.75" header="0.3" footer="0.3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</sheetPr>
  <dimension ref="A4:R204"/>
  <sheetViews>
    <sheetView view="pageBreakPreview" zoomScale="111" zoomScaleNormal="115" zoomScaleSheetLayoutView="85" workbookViewId="0">
      <pane xSplit="6" ySplit="5" topLeftCell="G136" activePane="bottomRight" state="frozen"/>
      <selection pane="topRight" activeCell="G1" sqref="G1"/>
      <selection pane="bottomLeft" activeCell="A3" sqref="A3"/>
      <selection pane="bottomRight" activeCell="B160" sqref="B160"/>
    </sheetView>
  </sheetViews>
  <sheetFormatPr defaultColWidth="8.85546875" defaultRowHeight="15"/>
  <cols>
    <col min="1" max="1" width="11" style="1" bestFit="1" customWidth="1"/>
    <col min="2" max="2" width="42.42578125" bestFit="1" customWidth="1"/>
    <col min="4" max="4" width="9.140625" style="1"/>
    <col min="5" max="5" width="14.28515625" style="3" bestFit="1" customWidth="1"/>
    <col min="6" max="6" width="14.28515625" style="3" customWidth="1"/>
    <col min="7" max="7" width="18.7109375" style="3" customWidth="1"/>
    <col min="8" max="8" width="25.85546875" style="1" customWidth="1"/>
    <col min="9" max="11" width="14" style="15" customWidth="1"/>
    <col min="12" max="12" width="14" style="1" customWidth="1"/>
    <col min="13" max="13" width="14" style="14" customWidth="1"/>
    <col min="14" max="14" width="14" style="1" customWidth="1"/>
    <col min="15" max="15" width="9.7109375" style="1" customWidth="1"/>
    <col min="16" max="16" width="38.85546875" customWidth="1"/>
  </cols>
  <sheetData>
    <row r="4" spans="1:17">
      <c r="I4" s="242" t="s">
        <v>432</v>
      </c>
      <c r="J4" s="242"/>
      <c r="K4" s="242"/>
    </row>
    <row r="5" spans="1:17" s="38" customFormat="1" ht="30">
      <c r="A5" s="32" t="s">
        <v>10</v>
      </c>
      <c r="B5" s="33"/>
      <c r="C5" s="34" t="s">
        <v>11</v>
      </c>
      <c r="D5" s="34" t="s">
        <v>12</v>
      </c>
      <c r="E5" s="35" t="s">
        <v>0</v>
      </c>
      <c r="F5" s="36" t="s">
        <v>13</v>
      </c>
      <c r="G5" s="36" t="s">
        <v>15</v>
      </c>
      <c r="H5" s="34" t="s">
        <v>14</v>
      </c>
      <c r="I5" s="31" t="s">
        <v>243</v>
      </c>
      <c r="J5" s="31" t="s">
        <v>244</v>
      </c>
      <c r="K5" s="31" t="s">
        <v>245</v>
      </c>
      <c r="L5" s="34" t="s">
        <v>246</v>
      </c>
      <c r="M5" s="37" t="s">
        <v>247</v>
      </c>
      <c r="N5" s="34" t="s">
        <v>248</v>
      </c>
      <c r="O5" s="34" t="s">
        <v>476</v>
      </c>
    </row>
    <row r="6" spans="1:17">
      <c r="A6" s="27">
        <v>1</v>
      </c>
      <c r="B6" s="7" t="s">
        <v>249</v>
      </c>
      <c r="C6" s="7" t="s">
        <v>5</v>
      </c>
      <c r="D6" s="6" t="s">
        <v>6</v>
      </c>
      <c r="E6" s="8">
        <v>3</v>
      </c>
      <c r="F6" s="8">
        <v>4500</v>
      </c>
      <c r="G6" s="8">
        <f>F6*E6</f>
        <v>13500</v>
      </c>
      <c r="H6" s="6" t="s">
        <v>9</v>
      </c>
      <c r="I6" s="12">
        <f>SUMIFS(IMPORT!$M$2:$M$94,IMPORT!$K$2:$K$94,CDC!B6)</f>
        <v>1</v>
      </c>
      <c r="J6" s="12">
        <f>SUMIFS(IMPORT!$R$2:$R$94,IMPORT!$K$2:$K$94,CDC!B6)</f>
        <v>4500</v>
      </c>
      <c r="K6" s="12">
        <f>SUMIFS(IMPORT!$O$2:$O$94,IMPORT!$K$2:$K$94,CDC!B6)</f>
        <v>1014.6</v>
      </c>
      <c r="L6" s="12">
        <f>E6-I6</f>
        <v>2</v>
      </c>
      <c r="M6" s="13">
        <f>L6/E6</f>
        <v>0.66666666666666663</v>
      </c>
      <c r="N6" s="12" t="str">
        <f>IF(M6&lt;50%,"CHECK","OK")</f>
        <v>OK</v>
      </c>
      <c r="O6" s="6" t="s">
        <v>25</v>
      </c>
      <c r="P6" t="s">
        <v>2</v>
      </c>
      <c r="Q6" s="1" t="str">
        <f>VLOOKUP(P6,$B$6:$O$203,3,FALSE)</f>
        <v>SET</v>
      </c>
    </row>
    <row r="7" spans="1:17">
      <c r="A7" s="27">
        <f t="shared" ref="A7:A38" si="0">A6+1</f>
        <v>2</v>
      </c>
      <c r="B7" s="7" t="s">
        <v>250</v>
      </c>
      <c r="C7" s="7" t="s">
        <v>5</v>
      </c>
      <c r="D7" s="6" t="s">
        <v>6</v>
      </c>
      <c r="E7" s="8">
        <v>8</v>
      </c>
      <c r="F7" s="8">
        <v>130</v>
      </c>
      <c r="G7" s="8">
        <f t="shared" ref="G7:G70" si="1">F7*E7</f>
        <v>1040</v>
      </c>
      <c r="H7" s="6" t="s">
        <v>9</v>
      </c>
      <c r="I7" s="12">
        <f>SUMIFS(IMPORT!$M$2:$M$94,IMPORT!$K$2:$K$94,CDC!B7)</f>
        <v>2</v>
      </c>
      <c r="J7" s="12">
        <f>SUMIFS(IMPORT!$R$2:$R$94,IMPORT!$K$2:$K$94,CDC!B7)</f>
        <v>260</v>
      </c>
      <c r="K7" s="12">
        <f>SUMIFS(IMPORT!$O$2:$O$94,IMPORT!$K$2:$K$94,CDC!B7)</f>
        <v>197</v>
      </c>
      <c r="L7" s="12">
        <f t="shared" ref="L7:L70" si="2">E7-I7</f>
        <v>6</v>
      </c>
      <c r="M7" s="13">
        <f t="shared" ref="M7:M70" si="3">L7/E7</f>
        <v>0.75</v>
      </c>
      <c r="N7" s="12" t="str">
        <f t="shared" ref="N7:N70" si="4">IF(M7&lt;50%,"CHECK","OK")</f>
        <v>OK</v>
      </c>
      <c r="O7" s="6" t="s">
        <v>26</v>
      </c>
      <c r="P7" t="s">
        <v>4</v>
      </c>
      <c r="Q7" s="1" t="str">
        <f>VLOOKUP(P7,$B$6:$O$203,3,FALSE)</f>
        <v>SET</v>
      </c>
    </row>
    <row r="8" spans="1:17">
      <c r="A8" s="27">
        <f t="shared" si="0"/>
        <v>3</v>
      </c>
      <c r="B8" s="7" t="s">
        <v>2</v>
      </c>
      <c r="C8" s="7" t="s">
        <v>5</v>
      </c>
      <c r="D8" s="6" t="s">
        <v>6</v>
      </c>
      <c r="E8" s="8">
        <v>3</v>
      </c>
      <c r="F8" s="8">
        <v>5500</v>
      </c>
      <c r="G8" s="8">
        <f t="shared" si="1"/>
        <v>16500</v>
      </c>
      <c r="H8" s="6" t="s">
        <v>9</v>
      </c>
      <c r="I8" s="12">
        <f>SUMIFS(IMPORT!$M$2:$M$94,IMPORT!$K$2:$K$94,CDC!B8)</f>
        <v>2</v>
      </c>
      <c r="J8" s="12">
        <f>SUMIFS(IMPORT!$R$2:$R$94,IMPORT!$K$2:$K$94,CDC!B8)</f>
        <v>11000</v>
      </c>
      <c r="K8" s="12">
        <f>SUMIFS(IMPORT!$O$2:$O$94,IMPORT!$K$2:$K$94,CDC!B8)</f>
        <v>1660</v>
      </c>
      <c r="L8" s="12">
        <f t="shared" si="2"/>
        <v>1</v>
      </c>
      <c r="M8" s="13">
        <f>L8/E8</f>
        <v>0.33333333333333331</v>
      </c>
      <c r="N8" s="12" t="str">
        <f t="shared" si="4"/>
        <v>CHECK</v>
      </c>
      <c r="O8" s="6" t="s">
        <v>27</v>
      </c>
      <c r="P8" t="s">
        <v>220</v>
      </c>
      <c r="Q8" s="1" t="str">
        <f>VLOOKUP(P8,$B$6:$O$203,3,FALSE)</f>
        <v>SET</v>
      </c>
    </row>
    <row r="9" spans="1:17">
      <c r="A9" s="27">
        <f t="shared" si="0"/>
        <v>4</v>
      </c>
      <c r="B9" s="7" t="s">
        <v>251</v>
      </c>
      <c r="C9" s="7" t="s">
        <v>5</v>
      </c>
      <c r="D9" s="6" t="s">
        <v>6</v>
      </c>
      <c r="E9" s="8">
        <v>10</v>
      </c>
      <c r="F9" s="8">
        <v>50</v>
      </c>
      <c r="G9" s="8">
        <f t="shared" si="1"/>
        <v>500</v>
      </c>
      <c r="H9" s="6" t="s">
        <v>9</v>
      </c>
      <c r="I9" s="12">
        <f>SUMIFS(IMPORT!$M$2:$M$94,IMPORT!$K$2:$K$94,CDC!B9)</f>
        <v>0</v>
      </c>
      <c r="J9" s="12">
        <f>SUMIFS(IMPORT!$R$2:$R$94,IMPORT!$K$2:$K$94,CDC!B9)</f>
        <v>0</v>
      </c>
      <c r="K9" s="12">
        <f>SUMIFS(IMPORT!$O$2:$O$94,IMPORT!$K$2:$K$94,CDC!B9)</f>
        <v>0</v>
      </c>
      <c r="L9" s="12">
        <f t="shared" si="2"/>
        <v>10</v>
      </c>
      <c r="M9" s="13">
        <f>L9/E9</f>
        <v>1</v>
      </c>
      <c r="N9" s="12" t="str">
        <f t="shared" si="4"/>
        <v>OK</v>
      </c>
      <c r="O9" s="6" t="s">
        <v>28</v>
      </c>
      <c r="P9" t="s">
        <v>3</v>
      </c>
      <c r="Q9" s="1" t="str">
        <f>VLOOKUP(P9,$B$6:$O$203,3,FALSE)</f>
        <v>SET</v>
      </c>
    </row>
    <row r="10" spans="1:17">
      <c r="A10" s="27">
        <f t="shared" si="0"/>
        <v>5</v>
      </c>
      <c r="B10" s="7" t="s">
        <v>252</v>
      </c>
      <c r="C10" s="7" t="s">
        <v>5</v>
      </c>
      <c r="D10" s="6" t="s">
        <v>6</v>
      </c>
      <c r="E10" s="8">
        <v>5</v>
      </c>
      <c r="F10" s="8">
        <v>50</v>
      </c>
      <c r="G10" s="8">
        <f t="shared" si="1"/>
        <v>250</v>
      </c>
      <c r="H10" s="6" t="s">
        <v>9</v>
      </c>
      <c r="I10" s="12">
        <f>SUMIFS(IMPORT!$M$2:$M$94,IMPORT!$K$2:$K$94,CDC!B10)</f>
        <v>0</v>
      </c>
      <c r="J10" s="12">
        <f>SUMIFS(IMPORT!$R$2:$R$94,IMPORT!$K$2:$K$94,CDC!B10)</f>
        <v>0</v>
      </c>
      <c r="K10" s="12">
        <f>SUMIFS(IMPORT!$O$2:$O$94,IMPORT!$K$2:$K$94,CDC!B10)</f>
        <v>0</v>
      </c>
      <c r="L10" s="12">
        <f t="shared" si="2"/>
        <v>5</v>
      </c>
      <c r="M10" s="13">
        <f t="shared" si="3"/>
        <v>1</v>
      </c>
      <c r="N10" s="12" t="str">
        <f t="shared" si="4"/>
        <v>OK</v>
      </c>
      <c r="O10" s="6" t="s">
        <v>29</v>
      </c>
    </row>
    <row r="11" spans="1:17">
      <c r="A11" s="27">
        <f t="shared" si="0"/>
        <v>6</v>
      </c>
      <c r="B11" s="7" t="s">
        <v>253</v>
      </c>
      <c r="C11" s="7" t="s">
        <v>5</v>
      </c>
      <c r="D11" s="6" t="s">
        <v>6</v>
      </c>
      <c r="E11" s="8">
        <v>8</v>
      </c>
      <c r="F11" s="8">
        <v>35000</v>
      </c>
      <c r="G11" s="8">
        <f t="shared" si="1"/>
        <v>280000</v>
      </c>
      <c r="H11" s="6" t="s">
        <v>9</v>
      </c>
      <c r="I11" s="12">
        <f>SUMIFS(IMPORT!$M$2:$M$94,IMPORT!$K$2:$K$94,CDC!B11)</f>
        <v>0</v>
      </c>
      <c r="J11" s="12">
        <f>SUMIFS(IMPORT!$R$2:$R$94,IMPORT!$K$2:$K$94,CDC!B11)</f>
        <v>0</v>
      </c>
      <c r="K11" s="12">
        <f>SUMIFS(IMPORT!$O$2:$O$94,IMPORT!$K$2:$K$94,CDC!B11)</f>
        <v>0</v>
      </c>
      <c r="L11" s="12">
        <f t="shared" si="2"/>
        <v>8</v>
      </c>
      <c r="M11" s="13">
        <f t="shared" si="3"/>
        <v>1</v>
      </c>
      <c r="N11" s="12" t="str">
        <f t="shared" si="4"/>
        <v>OK</v>
      </c>
      <c r="O11" s="6" t="s">
        <v>30</v>
      </c>
    </row>
    <row r="12" spans="1:17">
      <c r="A12" s="27">
        <f t="shared" si="0"/>
        <v>7</v>
      </c>
      <c r="B12" s="7" t="s">
        <v>232</v>
      </c>
      <c r="C12" s="7" t="s">
        <v>5</v>
      </c>
      <c r="D12" s="6" t="s">
        <v>6</v>
      </c>
      <c r="E12" s="8">
        <v>300</v>
      </c>
      <c r="F12" s="8">
        <v>320</v>
      </c>
      <c r="G12" s="8">
        <f t="shared" si="1"/>
        <v>96000</v>
      </c>
      <c r="H12" s="6" t="s">
        <v>9</v>
      </c>
      <c r="I12" s="12">
        <f>SUMIFS(IMPORT!$M$2:$M$94,IMPORT!$K$2:$K$94,CDC!B12)</f>
        <v>64</v>
      </c>
      <c r="J12" s="12">
        <f>SUMIFS(IMPORT!$R$2:$R$94,IMPORT!$K$2:$K$94,CDC!B12)</f>
        <v>20480</v>
      </c>
      <c r="K12" s="12">
        <f>SUMIFS(IMPORT!$O$2:$O$94,IMPORT!$K$2:$K$94,CDC!B12)</f>
        <v>4268</v>
      </c>
      <c r="L12" s="12">
        <f>E12-I12</f>
        <v>236</v>
      </c>
      <c r="M12" s="13">
        <f>L12/E12</f>
        <v>0.78666666666666663</v>
      </c>
      <c r="N12" s="12" t="str">
        <f t="shared" si="4"/>
        <v>OK</v>
      </c>
      <c r="O12" s="6" t="s">
        <v>31</v>
      </c>
    </row>
    <row r="13" spans="1:17">
      <c r="A13" s="27">
        <f t="shared" si="0"/>
        <v>8</v>
      </c>
      <c r="B13" s="7" t="s">
        <v>233</v>
      </c>
      <c r="C13" s="7" t="s">
        <v>5</v>
      </c>
      <c r="D13" s="6" t="s">
        <v>6</v>
      </c>
      <c r="E13" s="8">
        <v>50</v>
      </c>
      <c r="F13" s="8">
        <v>1500</v>
      </c>
      <c r="G13" s="8">
        <f t="shared" si="1"/>
        <v>75000</v>
      </c>
      <c r="H13" s="6" t="s">
        <v>9</v>
      </c>
      <c r="I13" s="12">
        <f>SUMIFS(IMPORT!$M$2:$M$94,IMPORT!$K$2:$K$94,CDC!B13)</f>
        <v>2</v>
      </c>
      <c r="J13" s="12">
        <f>SUMIFS(IMPORT!$R$2:$R$94,IMPORT!$K$2:$K$94,CDC!B13)</f>
        <v>3000</v>
      </c>
      <c r="K13" s="12">
        <f>SUMIFS(IMPORT!$O$2:$O$94,IMPORT!$K$2:$K$94,CDC!B13)</f>
        <v>138</v>
      </c>
      <c r="L13" s="12">
        <f t="shared" si="2"/>
        <v>48</v>
      </c>
      <c r="M13" s="13">
        <f t="shared" si="3"/>
        <v>0.96</v>
      </c>
      <c r="N13" s="12" t="str">
        <f t="shared" si="4"/>
        <v>OK</v>
      </c>
      <c r="O13" s="6" t="s">
        <v>32</v>
      </c>
    </row>
    <row r="14" spans="1:17">
      <c r="A14" s="27">
        <f t="shared" si="0"/>
        <v>9</v>
      </c>
      <c r="B14" s="7" t="s">
        <v>254</v>
      </c>
      <c r="C14" s="7" t="s">
        <v>5</v>
      </c>
      <c r="D14" s="6" t="s">
        <v>6</v>
      </c>
      <c r="E14" s="8">
        <v>50</v>
      </c>
      <c r="F14" s="8">
        <v>1500</v>
      </c>
      <c r="G14" s="8">
        <f t="shared" si="1"/>
        <v>75000</v>
      </c>
      <c r="H14" s="6" t="s">
        <v>9</v>
      </c>
      <c r="I14" s="12">
        <f>SUMIFS(IMPORT!$M$2:$M$94,IMPORT!$K$2:$K$94,CDC!B14)</f>
        <v>0</v>
      </c>
      <c r="J14" s="12">
        <f>SUMIFS(IMPORT!$R$2:$R$94,IMPORT!$K$2:$K$94,CDC!B14)</f>
        <v>0</v>
      </c>
      <c r="K14" s="12">
        <f>SUMIFS(IMPORT!$O$2:$O$94,IMPORT!$K$2:$K$94,CDC!B14)</f>
        <v>0</v>
      </c>
      <c r="L14" s="12">
        <f t="shared" si="2"/>
        <v>50</v>
      </c>
      <c r="M14" s="13">
        <f t="shared" si="3"/>
        <v>1</v>
      </c>
      <c r="N14" s="12" t="str">
        <f t="shared" si="4"/>
        <v>OK</v>
      </c>
      <c r="O14" s="6" t="s">
        <v>33</v>
      </c>
    </row>
    <row r="15" spans="1:17">
      <c r="A15" s="27">
        <f t="shared" si="0"/>
        <v>10</v>
      </c>
      <c r="B15" s="7" t="s">
        <v>234</v>
      </c>
      <c r="C15" s="7" t="s">
        <v>5</v>
      </c>
      <c r="D15" s="6" t="s">
        <v>6</v>
      </c>
      <c r="E15" s="8">
        <v>40</v>
      </c>
      <c r="F15" s="8">
        <v>3000</v>
      </c>
      <c r="G15" s="8">
        <f t="shared" si="1"/>
        <v>120000</v>
      </c>
      <c r="H15" s="6" t="s">
        <v>9</v>
      </c>
      <c r="I15" s="12">
        <f>SUMIFS(IMPORT!$M$2:$M$94,IMPORT!$K$2:$K$94,CDC!B15)</f>
        <v>2</v>
      </c>
      <c r="J15" s="12">
        <f>SUMIFS(IMPORT!$R$2:$R$94,IMPORT!$K$2:$K$94,CDC!B15)</f>
        <v>6000</v>
      </c>
      <c r="K15" s="12">
        <f>SUMIFS(IMPORT!$O$2:$O$94,IMPORT!$K$2:$K$94,CDC!B15)</f>
        <v>380</v>
      </c>
      <c r="L15" s="12">
        <f t="shared" si="2"/>
        <v>38</v>
      </c>
      <c r="M15" s="13">
        <f t="shared" si="3"/>
        <v>0.95</v>
      </c>
      <c r="N15" s="12" t="str">
        <f t="shared" si="4"/>
        <v>OK</v>
      </c>
      <c r="O15" s="6" t="s">
        <v>34</v>
      </c>
    </row>
    <row r="16" spans="1:17">
      <c r="A16" s="27">
        <f t="shared" si="0"/>
        <v>11</v>
      </c>
      <c r="B16" s="7" t="s">
        <v>235</v>
      </c>
      <c r="C16" s="7" t="s">
        <v>5</v>
      </c>
      <c r="D16" s="6" t="s">
        <v>6</v>
      </c>
      <c r="E16" s="8">
        <v>300</v>
      </c>
      <c r="F16" s="8">
        <v>500</v>
      </c>
      <c r="G16" s="8">
        <f t="shared" si="1"/>
        <v>150000</v>
      </c>
      <c r="H16" s="6" t="s">
        <v>9</v>
      </c>
      <c r="I16" s="12">
        <f>SUMIFS(IMPORT!$M$2:$M$94,IMPORT!$K$2:$K$94,CDC!B16)</f>
        <v>24</v>
      </c>
      <c r="J16" s="12">
        <f>SUMIFS(IMPORT!$R$2:$R$94,IMPORT!$K$2:$K$94,CDC!B16)</f>
        <v>12000</v>
      </c>
      <c r="K16" s="12">
        <f>SUMIFS(IMPORT!$O$2:$O$94,IMPORT!$K$2:$K$94,CDC!B16)</f>
        <v>1540</v>
      </c>
      <c r="L16" s="12">
        <f t="shared" si="2"/>
        <v>276</v>
      </c>
      <c r="M16" s="13">
        <f>L16/E16</f>
        <v>0.92</v>
      </c>
      <c r="N16" s="12" t="str">
        <f t="shared" si="4"/>
        <v>OK</v>
      </c>
      <c r="O16" s="6" t="s">
        <v>35</v>
      </c>
    </row>
    <row r="17" spans="1:15">
      <c r="A17" s="27">
        <f t="shared" si="0"/>
        <v>12</v>
      </c>
      <c r="B17" s="7" t="s">
        <v>236</v>
      </c>
      <c r="C17" s="7" t="s">
        <v>5</v>
      </c>
      <c r="D17" s="6" t="s">
        <v>6</v>
      </c>
      <c r="E17" s="8">
        <v>50</v>
      </c>
      <c r="F17" s="8">
        <v>550</v>
      </c>
      <c r="G17" s="8">
        <f t="shared" si="1"/>
        <v>27500</v>
      </c>
      <c r="H17" s="6" t="s">
        <v>9</v>
      </c>
      <c r="I17" s="12">
        <f>SUMIFS(IMPORT!$M$2:$M$94,IMPORT!$K$2:$K$94,CDC!B17)</f>
        <v>46</v>
      </c>
      <c r="J17" s="12">
        <f>SUMIFS(IMPORT!$R$2:$R$94,IMPORT!$K$2:$K$94,CDC!B17)</f>
        <v>25300</v>
      </c>
      <c r="K17" s="12">
        <f>SUMIFS(IMPORT!$O$2:$O$94,IMPORT!$K$2:$K$94,CDC!B17)</f>
        <v>3082</v>
      </c>
      <c r="L17" s="12">
        <f>E17-I17</f>
        <v>4</v>
      </c>
      <c r="M17" s="13">
        <f t="shared" si="3"/>
        <v>0.08</v>
      </c>
      <c r="N17" s="12" t="str">
        <f t="shared" si="4"/>
        <v>CHECK</v>
      </c>
      <c r="O17" s="6" t="s">
        <v>36</v>
      </c>
    </row>
    <row r="18" spans="1:15">
      <c r="A18" s="27">
        <f t="shared" si="0"/>
        <v>13</v>
      </c>
      <c r="B18" s="7" t="s">
        <v>255</v>
      </c>
      <c r="C18" s="7" t="s">
        <v>5</v>
      </c>
      <c r="D18" s="6" t="s">
        <v>6</v>
      </c>
      <c r="E18" s="8">
        <v>30</v>
      </c>
      <c r="F18" s="8">
        <v>600</v>
      </c>
      <c r="G18" s="8">
        <f t="shared" si="1"/>
        <v>18000</v>
      </c>
      <c r="H18" s="6" t="s">
        <v>9</v>
      </c>
      <c r="I18" s="12">
        <f>SUMIFS(IMPORT!$M$2:$M$94,IMPORT!$K$2:$K$94,CDC!B18)</f>
        <v>0</v>
      </c>
      <c r="J18" s="12">
        <f>SUMIFS(IMPORT!$R$2:$R$94,IMPORT!$K$2:$K$94,CDC!B18)</f>
        <v>0</v>
      </c>
      <c r="K18" s="12">
        <f>SUMIFS(IMPORT!$O$2:$O$94,IMPORT!$K$2:$K$94,CDC!B18)</f>
        <v>0</v>
      </c>
      <c r="L18" s="12">
        <f t="shared" si="2"/>
        <v>30</v>
      </c>
      <c r="M18" s="13">
        <f t="shared" si="3"/>
        <v>1</v>
      </c>
      <c r="N18" s="12" t="str">
        <f t="shared" si="4"/>
        <v>OK</v>
      </c>
      <c r="O18" s="6" t="s">
        <v>37</v>
      </c>
    </row>
    <row r="19" spans="1:15">
      <c r="A19" s="27">
        <f t="shared" si="0"/>
        <v>14</v>
      </c>
      <c r="B19" s="7" t="s">
        <v>237</v>
      </c>
      <c r="C19" s="7" t="s">
        <v>5</v>
      </c>
      <c r="D19" s="6" t="s">
        <v>6</v>
      </c>
      <c r="E19" s="8">
        <v>100</v>
      </c>
      <c r="F19" s="8">
        <v>1000</v>
      </c>
      <c r="G19" s="8">
        <f t="shared" si="1"/>
        <v>100000</v>
      </c>
      <c r="H19" s="6" t="s">
        <v>9</v>
      </c>
      <c r="I19" s="12">
        <f>SUMIFS(IMPORT!$M$2:$M$94,IMPORT!$K$2:$K$94,CDC!B19)</f>
        <v>7</v>
      </c>
      <c r="J19" s="12">
        <f>SUMIFS(IMPORT!$R$2:$R$94,IMPORT!$K$2:$K$94,CDC!B19)</f>
        <v>7000</v>
      </c>
      <c r="K19" s="12">
        <f>SUMIFS(IMPORT!$O$2:$O$94,IMPORT!$K$2:$K$94,CDC!B19)</f>
        <v>553</v>
      </c>
      <c r="L19" s="12">
        <f t="shared" si="2"/>
        <v>93</v>
      </c>
      <c r="M19" s="13">
        <f t="shared" si="3"/>
        <v>0.93</v>
      </c>
      <c r="N19" s="12" t="str">
        <f t="shared" si="4"/>
        <v>OK</v>
      </c>
      <c r="O19" s="6" t="s">
        <v>38</v>
      </c>
    </row>
    <row r="20" spans="1:15">
      <c r="A20" s="27">
        <f t="shared" si="0"/>
        <v>15</v>
      </c>
      <c r="B20" s="7" t="s">
        <v>256</v>
      </c>
      <c r="C20" s="7" t="s">
        <v>5</v>
      </c>
      <c r="D20" s="6" t="s">
        <v>6</v>
      </c>
      <c r="E20" s="8">
        <v>10</v>
      </c>
      <c r="F20" s="8">
        <v>800</v>
      </c>
      <c r="G20" s="8">
        <f t="shared" si="1"/>
        <v>8000</v>
      </c>
      <c r="H20" s="6" t="s">
        <v>9</v>
      </c>
      <c r="I20" s="12">
        <f>SUMIFS(IMPORT!$M$2:$M$94,IMPORT!$K$2:$K$94,CDC!B20)</f>
        <v>0</v>
      </c>
      <c r="J20" s="12">
        <f>SUMIFS(IMPORT!$R$2:$R$94,IMPORT!$K$2:$K$94,CDC!B20)</f>
        <v>0</v>
      </c>
      <c r="K20" s="12">
        <f>SUMIFS(IMPORT!$O$2:$O$94,IMPORT!$K$2:$K$94,CDC!B20)</f>
        <v>0</v>
      </c>
      <c r="L20" s="12">
        <f t="shared" si="2"/>
        <v>10</v>
      </c>
      <c r="M20" s="13">
        <f t="shared" si="3"/>
        <v>1</v>
      </c>
      <c r="N20" s="12" t="str">
        <f t="shared" si="4"/>
        <v>OK</v>
      </c>
      <c r="O20" s="6" t="s">
        <v>39</v>
      </c>
    </row>
    <row r="21" spans="1:15">
      <c r="A21" s="27">
        <f t="shared" si="0"/>
        <v>16</v>
      </c>
      <c r="B21" s="7" t="s">
        <v>238</v>
      </c>
      <c r="C21" s="7" t="s">
        <v>5</v>
      </c>
      <c r="D21" s="6" t="s">
        <v>6</v>
      </c>
      <c r="E21" s="8">
        <v>20</v>
      </c>
      <c r="F21" s="8">
        <v>1200</v>
      </c>
      <c r="G21" s="8">
        <f t="shared" si="1"/>
        <v>24000</v>
      </c>
      <c r="H21" s="6" t="s">
        <v>9</v>
      </c>
      <c r="I21" s="12">
        <f>SUMIFS(IMPORT!$M$2:$M$94,IMPORT!$K$2:$K$94,CDC!B21)</f>
        <v>10</v>
      </c>
      <c r="J21" s="12">
        <f>SUMIFS(IMPORT!$R$2:$R$94,IMPORT!$K$2:$K$94,CDC!B21)</f>
        <v>12000</v>
      </c>
      <c r="K21" s="12">
        <f>SUMIFS(IMPORT!$O$2:$O$94,IMPORT!$K$2:$K$94,CDC!B21)</f>
        <v>820</v>
      </c>
      <c r="L21" s="12">
        <f t="shared" si="2"/>
        <v>10</v>
      </c>
      <c r="M21" s="13">
        <f t="shared" si="3"/>
        <v>0.5</v>
      </c>
      <c r="N21" s="12" t="str">
        <f t="shared" si="4"/>
        <v>OK</v>
      </c>
      <c r="O21" s="6" t="s">
        <v>40</v>
      </c>
    </row>
    <row r="22" spans="1:15">
      <c r="A22" s="27">
        <f t="shared" si="0"/>
        <v>17</v>
      </c>
      <c r="B22" s="7" t="s">
        <v>257</v>
      </c>
      <c r="C22" s="7" t="s">
        <v>5</v>
      </c>
      <c r="D22" s="6" t="s">
        <v>6</v>
      </c>
      <c r="E22" s="8">
        <v>30</v>
      </c>
      <c r="F22" s="8">
        <v>1000</v>
      </c>
      <c r="G22" s="8">
        <f t="shared" si="1"/>
        <v>30000</v>
      </c>
      <c r="H22" s="6" t="s">
        <v>9</v>
      </c>
      <c r="I22" s="12">
        <f>SUMIFS(IMPORT!$M$2:$M$94,IMPORT!$K$2:$K$94,CDC!B22)</f>
        <v>0</v>
      </c>
      <c r="J22" s="12">
        <f>SUMIFS(IMPORT!$R$2:$R$94,IMPORT!$K$2:$K$94,CDC!B22)</f>
        <v>0</v>
      </c>
      <c r="K22" s="12">
        <f>SUMIFS(IMPORT!$O$2:$O$94,IMPORT!$K$2:$K$94,CDC!B22)</f>
        <v>0</v>
      </c>
      <c r="L22" s="12">
        <f t="shared" si="2"/>
        <v>30</v>
      </c>
      <c r="M22" s="13">
        <f t="shared" si="3"/>
        <v>1</v>
      </c>
      <c r="N22" s="12" t="str">
        <f t="shared" si="4"/>
        <v>OK</v>
      </c>
      <c r="O22" s="6" t="s">
        <v>41</v>
      </c>
    </row>
    <row r="23" spans="1:15">
      <c r="A23" s="27">
        <f t="shared" si="0"/>
        <v>18</v>
      </c>
      <c r="B23" s="7" t="s">
        <v>258</v>
      </c>
      <c r="C23" s="7" t="s">
        <v>5</v>
      </c>
      <c r="D23" s="6" t="s">
        <v>6</v>
      </c>
      <c r="E23" s="8">
        <v>5</v>
      </c>
      <c r="F23" s="8">
        <v>4000</v>
      </c>
      <c r="G23" s="8">
        <f t="shared" si="1"/>
        <v>20000</v>
      </c>
      <c r="H23" s="6" t="s">
        <v>9</v>
      </c>
      <c r="I23" s="12">
        <f>SUMIFS(IMPORT!$M$2:$M$94,IMPORT!$K$2:$K$94,CDC!B23)</f>
        <v>0</v>
      </c>
      <c r="J23" s="12">
        <f>SUMIFS(IMPORT!$R$2:$R$94,IMPORT!$K$2:$K$94,CDC!B23)</f>
        <v>0</v>
      </c>
      <c r="K23" s="12">
        <f>SUMIFS(IMPORT!$O$2:$O$94,IMPORT!$K$2:$K$94,CDC!B23)</f>
        <v>0</v>
      </c>
      <c r="L23" s="12">
        <f t="shared" si="2"/>
        <v>5</v>
      </c>
      <c r="M23" s="13">
        <f t="shared" si="3"/>
        <v>1</v>
      </c>
      <c r="N23" s="12" t="str">
        <f t="shared" si="4"/>
        <v>OK</v>
      </c>
      <c r="O23" s="6" t="s">
        <v>42</v>
      </c>
    </row>
    <row r="24" spans="1:15">
      <c r="A24" s="27">
        <f t="shared" si="0"/>
        <v>19</v>
      </c>
      <c r="B24" s="7" t="s">
        <v>259</v>
      </c>
      <c r="C24" s="7" t="s">
        <v>5</v>
      </c>
      <c r="D24" s="6" t="s">
        <v>6</v>
      </c>
      <c r="E24" s="8">
        <v>10</v>
      </c>
      <c r="F24" s="8">
        <v>5400</v>
      </c>
      <c r="G24" s="8">
        <f t="shared" si="1"/>
        <v>54000</v>
      </c>
      <c r="H24" s="6" t="s">
        <v>9</v>
      </c>
      <c r="I24" s="12">
        <f>SUMIFS(IMPORT!$M$2:$M$94,IMPORT!$K$2:$K$94,CDC!B24)</f>
        <v>0</v>
      </c>
      <c r="J24" s="12">
        <f>SUMIFS(IMPORT!$R$2:$R$94,IMPORT!$K$2:$K$94,CDC!B24)</f>
        <v>0</v>
      </c>
      <c r="K24" s="12">
        <f>SUMIFS(IMPORT!$O$2:$O$94,IMPORT!$K$2:$K$94,CDC!B24)</f>
        <v>0</v>
      </c>
      <c r="L24" s="12">
        <f t="shared" si="2"/>
        <v>10</v>
      </c>
      <c r="M24" s="13">
        <f t="shared" si="3"/>
        <v>1</v>
      </c>
      <c r="N24" s="12" t="str">
        <f t="shared" si="4"/>
        <v>OK</v>
      </c>
      <c r="O24" s="6" t="s">
        <v>43</v>
      </c>
    </row>
    <row r="25" spans="1:15">
      <c r="A25" s="27">
        <f t="shared" si="0"/>
        <v>20</v>
      </c>
      <c r="B25" s="7" t="s">
        <v>239</v>
      </c>
      <c r="C25" s="7" t="s">
        <v>5</v>
      </c>
      <c r="D25" s="6" t="s">
        <v>6</v>
      </c>
      <c r="E25" s="8">
        <v>4</v>
      </c>
      <c r="F25" s="8">
        <v>3200</v>
      </c>
      <c r="G25" s="8">
        <f t="shared" si="1"/>
        <v>12800</v>
      </c>
      <c r="H25" s="6" t="s">
        <v>9</v>
      </c>
      <c r="I25" s="12">
        <f>SUMIFS(IMPORT!$M$2:$M$94,IMPORT!$K$2:$K$94,CDC!B25)</f>
        <v>4</v>
      </c>
      <c r="J25" s="12">
        <f>SUMIFS(IMPORT!$R$2:$R$94,IMPORT!$K$2:$K$94,CDC!B25)</f>
        <v>12800</v>
      </c>
      <c r="K25" s="12">
        <f>SUMIFS(IMPORT!$O$2:$O$94,IMPORT!$K$2:$K$94,CDC!B25)</f>
        <v>1040</v>
      </c>
      <c r="L25" s="12">
        <f t="shared" si="2"/>
        <v>0</v>
      </c>
      <c r="M25" s="13">
        <f t="shared" si="3"/>
        <v>0</v>
      </c>
      <c r="N25" s="12" t="str">
        <f t="shared" si="4"/>
        <v>CHECK</v>
      </c>
      <c r="O25" s="6" t="s">
        <v>44</v>
      </c>
    </row>
    <row r="26" spans="1:15">
      <c r="A26" s="27">
        <f t="shared" si="0"/>
        <v>21</v>
      </c>
      <c r="B26" s="7" t="s">
        <v>260</v>
      </c>
      <c r="C26" s="7" t="s">
        <v>5</v>
      </c>
      <c r="D26" s="6" t="s">
        <v>6</v>
      </c>
      <c r="E26" s="8">
        <v>6</v>
      </c>
      <c r="F26" s="8">
        <v>1000</v>
      </c>
      <c r="G26" s="8">
        <f t="shared" si="1"/>
        <v>6000</v>
      </c>
      <c r="H26" s="6" t="s">
        <v>9</v>
      </c>
      <c r="I26" s="12">
        <f>SUMIFS(IMPORT!$M$2:$M$94,IMPORT!$K$2:$K$94,CDC!B26)</f>
        <v>0</v>
      </c>
      <c r="J26" s="12">
        <f>SUMIFS(IMPORT!$R$2:$R$94,IMPORT!$K$2:$K$94,CDC!B26)</f>
        <v>0</v>
      </c>
      <c r="K26" s="12">
        <f>SUMIFS(IMPORT!$O$2:$O$94,IMPORT!$K$2:$K$94,CDC!B26)</f>
        <v>0</v>
      </c>
      <c r="L26" s="12">
        <f t="shared" si="2"/>
        <v>6</v>
      </c>
      <c r="M26" s="13">
        <f t="shared" si="3"/>
        <v>1</v>
      </c>
      <c r="N26" s="12" t="str">
        <f t="shared" si="4"/>
        <v>OK</v>
      </c>
      <c r="O26" s="6" t="s">
        <v>45</v>
      </c>
    </row>
    <row r="27" spans="1:15">
      <c r="A27" s="27">
        <f t="shared" si="0"/>
        <v>22</v>
      </c>
      <c r="B27" s="7" t="s">
        <v>261</v>
      </c>
      <c r="C27" s="7" t="s">
        <v>5</v>
      </c>
      <c r="D27" s="6" t="s">
        <v>6</v>
      </c>
      <c r="E27" s="8">
        <v>20</v>
      </c>
      <c r="F27" s="8">
        <v>1200</v>
      </c>
      <c r="G27" s="8">
        <f t="shared" si="1"/>
        <v>24000</v>
      </c>
      <c r="H27" s="6" t="s">
        <v>9</v>
      </c>
      <c r="I27" s="12">
        <f>SUMIFS(IMPORT!$M$2:$M$94,IMPORT!$K$2:$K$94,CDC!B27)</f>
        <v>0</v>
      </c>
      <c r="J27" s="12">
        <f>SUMIFS(IMPORT!$R$2:$R$94,IMPORT!$K$2:$K$94,CDC!B27)</f>
        <v>0</v>
      </c>
      <c r="K27" s="12">
        <f>SUMIFS(IMPORT!$O$2:$O$94,IMPORT!$K$2:$K$94,CDC!B27)</f>
        <v>0</v>
      </c>
      <c r="L27" s="12">
        <f t="shared" si="2"/>
        <v>20</v>
      </c>
      <c r="M27" s="13">
        <f t="shared" si="3"/>
        <v>1</v>
      </c>
      <c r="N27" s="12" t="str">
        <f t="shared" si="4"/>
        <v>OK</v>
      </c>
      <c r="O27" s="6" t="s">
        <v>46</v>
      </c>
    </row>
    <row r="28" spans="1:15">
      <c r="A28" s="27">
        <f t="shared" si="0"/>
        <v>23</v>
      </c>
      <c r="B28" s="7" t="s">
        <v>262</v>
      </c>
      <c r="C28" s="7" t="s">
        <v>5</v>
      </c>
      <c r="D28" s="6" t="s">
        <v>6</v>
      </c>
      <c r="E28" s="8">
        <v>200</v>
      </c>
      <c r="F28" s="8">
        <v>900</v>
      </c>
      <c r="G28" s="8">
        <f t="shared" si="1"/>
        <v>180000</v>
      </c>
      <c r="H28" s="6" t="s">
        <v>9</v>
      </c>
      <c r="I28" s="12">
        <f>SUMIFS(IMPORT!$M$2:$M$94,IMPORT!$K$2:$K$94,CDC!B28)</f>
        <v>0</v>
      </c>
      <c r="J28" s="12">
        <f>SUMIFS(IMPORT!$R$2:$R$94,IMPORT!$K$2:$K$94,CDC!B28)</f>
        <v>0</v>
      </c>
      <c r="K28" s="12">
        <f>SUMIFS(IMPORT!$O$2:$O$94,IMPORT!$K$2:$K$94,CDC!B28)</f>
        <v>0</v>
      </c>
      <c r="L28" s="12">
        <f t="shared" si="2"/>
        <v>200</v>
      </c>
      <c r="M28" s="13">
        <f t="shared" si="3"/>
        <v>1</v>
      </c>
      <c r="N28" s="12" t="str">
        <f t="shared" si="4"/>
        <v>OK</v>
      </c>
      <c r="O28" s="6" t="s">
        <v>47</v>
      </c>
    </row>
    <row r="29" spans="1:15">
      <c r="A29" s="27">
        <f t="shared" si="0"/>
        <v>24</v>
      </c>
      <c r="B29" s="7" t="s">
        <v>263</v>
      </c>
      <c r="C29" s="7" t="s">
        <v>5</v>
      </c>
      <c r="D29" s="6" t="s">
        <v>6</v>
      </c>
      <c r="E29" s="8">
        <v>20</v>
      </c>
      <c r="F29" s="8">
        <v>1000</v>
      </c>
      <c r="G29" s="8">
        <f t="shared" si="1"/>
        <v>20000</v>
      </c>
      <c r="H29" s="6" t="s">
        <v>9</v>
      </c>
      <c r="I29" s="12">
        <f>SUMIFS(IMPORT!$M$2:$M$94,IMPORT!$K$2:$K$94,CDC!B29)</f>
        <v>0</v>
      </c>
      <c r="J29" s="12">
        <f>SUMIFS(IMPORT!$R$2:$R$94,IMPORT!$K$2:$K$94,CDC!B29)</f>
        <v>0</v>
      </c>
      <c r="K29" s="12">
        <f>SUMIFS(IMPORT!$O$2:$O$94,IMPORT!$K$2:$K$94,CDC!B29)</f>
        <v>0</v>
      </c>
      <c r="L29" s="12">
        <f t="shared" si="2"/>
        <v>20</v>
      </c>
      <c r="M29" s="13">
        <f t="shared" si="3"/>
        <v>1</v>
      </c>
      <c r="N29" s="12" t="str">
        <f t="shared" si="4"/>
        <v>OK</v>
      </c>
      <c r="O29" s="6" t="s">
        <v>48</v>
      </c>
    </row>
    <row r="30" spans="1:15">
      <c r="A30" s="27">
        <f t="shared" si="0"/>
        <v>25</v>
      </c>
      <c r="B30" s="7" t="s">
        <v>264</v>
      </c>
      <c r="C30" s="7" t="s">
        <v>5</v>
      </c>
      <c r="D30" s="6" t="s">
        <v>6</v>
      </c>
      <c r="E30" s="8">
        <v>5</v>
      </c>
      <c r="F30" s="8">
        <v>2000</v>
      </c>
      <c r="G30" s="8">
        <f t="shared" si="1"/>
        <v>10000</v>
      </c>
      <c r="H30" s="6" t="s">
        <v>9</v>
      </c>
      <c r="I30" s="12">
        <f>SUMIFS(IMPORT!$M$2:$M$94,IMPORT!$K$2:$K$94,CDC!B30)</f>
        <v>0</v>
      </c>
      <c r="J30" s="12">
        <f>SUMIFS(IMPORT!$R$2:$R$94,IMPORT!$K$2:$K$94,CDC!B30)</f>
        <v>0</v>
      </c>
      <c r="K30" s="12">
        <f>SUMIFS(IMPORT!$O$2:$O$94,IMPORT!$K$2:$K$94,CDC!B30)</f>
        <v>0</v>
      </c>
      <c r="L30" s="12">
        <f t="shared" si="2"/>
        <v>5</v>
      </c>
      <c r="M30" s="13">
        <f t="shared" si="3"/>
        <v>1</v>
      </c>
      <c r="N30" s="12" t="str">
        <f t="shared" si="4"/>
        <v>OK</v>
      </c>
      <c r="O30" s="6" t="s">
        <v>49</v>
      </c>
    </row>
    <row r="31" spans="1:15">
      <c r="A31" s="27">
        <f t="shared" si="0"/>
        <v>26</v>
      </c>
      <c r="B31" s="7" t="s">
        <v>240</v>
      </c>
      <c r="C31" s="7" t="s">
        <v>5</v>
      </c>
      <c r="D31" s="6" t="s">
        <v>6</v>
      </c>
      <c r="E31" s="8">
        <v>5</v>
      </c>
      <c r="F31" s="8">
        <v>1500</v>
      </c>
      <c r="G31" s="8">
        <f t="shared" si="1"/>
        <v>7500</v>
      </c>
      <c r="H31" s="6" t="s">
        <v>9</v>
      </c>
      <c r="I31" s="12">
        <f>SUMIFS(IMPORT!$M$2:$M$94,IMPORT!$K$2:$K$94,CDC!B31)</f>
        <v>5</v>
      </c>
      <c r="J31" s="12">
        <f>SUMIFS(IMPORT!$R$2:$R$94,IMPORT!$K$2:$K$94,CDC!B31)</f>
        <v>7500</v>
      </c>
      <c r="K31" s="12">
        <f>SUMIFS(IMPORT!$O$2:$O$94,IMPORT!$K$2:$K$94,CDC!B31)</f>
        <v>370</v>
      </c>
      <c r="L31" s="12">
        <f t="shared" si="2"/>
        <v>0</v>
      </c>
      <c r="M31" s="13">
        <f t="shared" si="3"/>
        <v>0</v>
      </c>
      <c r="N31" s="12" t="str">
        <f t="shared" si="4"/>
        <v>CHECK</v>
      </c>
      <c r="O31" s="6" t="s">
        <v>50</v>
      </c>
    </row>
    <row r="32" spans="1:15">
      <c r="A32" s="27">
        <f t="shared" si="0"/>
        <v>27</v>
      </c>
      <c r="B32" s="7" t="s">
        <v>265</v>
      </c>
      <c r="C32" s="7" t="s">
        <v>5</v>
      </c>
      <c r="D32" s="6" t="s">
        <v>6</v>
      </c>
      <c r="E32" s="8">
        <v>10</v>
      </c>
      <c r="F32" s="8">
        <v>300</v>
      </c>
      <c r="G32" s="8">
        <f t="shared" si="1"/>
        <v>3000</v>
      </c>
      <c r="H32" s="6" t="s">
        <v>9</v>
      </c>
      <c r="I32" s="12">
        <f>SUMIFS(IMPORT!$M$2:$M$94,IMPORT!$K$2:$K$94,CDC!B32)</f>
        <v>6</v>
      </c>
      <c r="J32" s="12">
        <f>SUMIFS(IMPORT!$R$2:$R$94,IMPORT!$K$2:$K$94,CDC!B32)</f>
        <v>1800</v>
      </c>
      <c r="K32" s="12">
        <f>SUMIFS(IMPORT!$O$2:$O$94,IMPORT!$K$2:$K$94,CDC!B32)</f>
        <v>40.4</v>
      </c>
      <c r="L32" s="12">
        <f t="shared" si="2"/>
        <v>4</v>
      </c>
      <c r="M32" s="13">
        <f t="shared" si="3"/>
        <v>0.4</v>
      </c>
      <c r="N32" s="12" t="str">
        <f t="shared" si="4"/>
        <v>CHECK</v>
      </c>
      <c r="O32" s="6" t="s">
        <v>51</v>
      </c>
    </row>
    <row r="33" spans="1:15">
      <c r="A33" s="27">
        <f t="shared" si="0"/>
        <v>28</v>
      </c>
      <c r="B33" s="7" t="s">
        <v>266</v>
      </c>
      <c r="C33" s="7" t="s">
        <v>5</v>
      </c>
      <c r="D33" s="6" t="s">
        <v>6</v>
      </c>
      <c r="E33" s="8">
        <v>5</v>
      </c>
      <c r="F33" s="8">
        <v>2500</v>
      </c>
      <c r="G33" s="8">
        <f t="shared" si="1"/>
        <v>12500</v>
      </c>
      <c r="H33" s="6" t="s">
        <v>9</v>
      </c>
      <c r="I33" s="12">
        <f>SUMIFS(IMPORT!$M$2:$M$94,IMPORT!$K$2:$K$94,CDC!B33)</f>
        <v>0</v>
      </c>
      <c r="J33" s="12">
        <f>SUMIFS(IMPORT!$R$2:$R$94,IMPORT!$K$2:$K$94,CDC!B33)</f>
        <v>0</v>
      </c>
      <c r="K33" s="12">
        <f>SUMIFS(IMPORT!$O$2:$O$94,IMPORT!$K$2:$K$94,CDC!B33)</f>
        <v>0</v>
      </c>
      <c r="L33" s="12">
        <f t="shared" si="2"/>
        <v>5</v>
      </c>
      <c r="M33" s="13">
        <f t="shared" si="3"/>
        <v>1</v>
      </c>
      <c r="N33" s="12" t="str">
        <f t="shared" si="4"/>
        <v>OK</v>
      </c>
      <c r="O33" s="6" t="s">
        <v>52</v>
      </c>
    </row>
    <row r="34" spans="1:15">
      <c r="A34" s="27">
        <f t="shared" si="0"/>
        <v>29</v>
      </c>
      <c r="B34" s="7" t="s">
        <v>267</v>
      </c>
      <c r="C34" s="7" t="s">
        <v>5</v>
      </c>
      <c r="D34" s="6" t="s">
        <v>6</v>
      </c>
      <c r="E34" s="8">
        <v>2</v>
      </c>
      <c r="F34" s="8">
        <v>2000</v>
      </c>
      <c r="G34" s="8">
        <f t="shared" si="1"/>
        <v>4000</v>
      </c>
      <c r="H34" s="6" t="s">
        <v>9</v>
      </c>
      <c r="I34" s="12">
        <f>SUMIFS(IMPORT!$M$2:$M$94,IMPORT!$K$2:$K$94,CDC!B34)</f>
        <v>0</v>
      </c>
      <c r="J34" s="12">
        <f>SUMIFS(IMPORT!$R$2:$R$94,IMPORT!$K$2:$K$94,CDC!B34)</f>
        <v>0</v>
      </c>
      <c r="K34" s="12">
        <f>SUMIFS(IMPORT!$O$2:$O$94,IMPORT!$K$2:$K$94,CDC!B34)</f>
        <v>0</v>
      </c>
      <c r="L34" s="12">
        <f t="shared" si="2"/>
        <v>2</v>
      </c>
      <c r="M34" s="13">
        <f t="shared" si="3"/>
        <v>1</v>
      </c>
      <c r="N34" s="12" t="str">
        <f t="shared" si="4"/>
        <v>OK</v>
      </c>
      <c r="O34" s="6" t="s">
        <v>53</v>
      </c>
    </row>
    <row r="35" spans="1:15">
      <c r="A35" s="27">
        <f t="shared" si="0"/>
        <v>30</v>
      </c>
      <c r="B35" s="7" t="s">
        <v>268</v>
      </c>
      <c r="C35" s="7" t="s">
        <v>5</v>
      </c>
      <c r="D35" s="6" t="s">
        <v>6</v>
      </c>
      <c r="E35" s="8">
        <v>5</v>
      </c>
      <c r="F35" s="8">
        <v>12000</v>
      </c>
      <c r="G35" s="8">
        <f t="shared" si="1"/>
        <v>60000</v>
      </c>
      <c r="H35" s="6" t="s">
        <v>9</v>
      </c>
      <c r="I35" s="12">
        <f>SUMIFS(IMPORT!$M$2:$M$94,IMPORT!$K$2:$K$94,CDC!B35)</f>
        <v>0</v>
      </c>
      <c r="J35" s="12">
        <f>SUMIFS(IMPORT!$R$2:$R$94,IMPORT!$K$2:$K$94,CDC!B35)</f>
        <v>0</v>
      </c>
      <c r="K35" s="12">
        <f>SUMIFS(IMPORT!$O$2:$O$94,IMPORT!$K$2:$K$94,CDC!B35)</f>
        <v>0</v>
      </c>
      <c r="L35" s="12">
        <f t="shared" si="2"/>
        <v>5</v>
      </c>
      <c r="M35" s="13">
        <f t="shared" si="3"/>
        <v>1</v>
      </c>
      <c r="N35" s="12" t="str">
        <f t="shared" si="4"/>
        <v>OK</v>
      </c>
      <c r="O35" s="6" t="s">
        <v>54</v>
      </c>
    </row>
    <row r="36" spans="1:15">
      <c r="A36" s="27">
        <f t="shared" si="0"/>
        <v>31</v>
      </c>
      <c r="B36" s="7" t="s">
        <v>269</v>
      </c>
      <c r="C36" s="7" t="s">
        <v>5</v>
      </c>
      <c r="D36" s="6" t="s">
        <v>6</v>
      </c>
      <c r="E36" s="8">
        <v>4</v>
      </c>
      <c r="F36" s="8">
        <v>5400</v>
      </c>
      <c r="G36" s="8">
        <f t="shared" si="1"/>
        <v>21600</v>
      </c>
      <c r="H36" s="6" t="s">
        <v>9</v>
      </c>
      <c r="I36" s="12">
        <f>SUMIFS(IMPORT!$M$2:$M$94,IMPORT!$K$2:$K$94,CDC!B36)</f>
        <v>0</v>
      </c>
      <c r="J36" s="12">
        <f>SUMIFS(IMPORT!$R$2:$R$94,IMPORT!$K$2:$K$94,CDC!B36)</f>
        <v>0</v>
      </c>
      <c r="K36" s="12">
        <f>SUMIFS(IMPORT!$O$2:$O$94,IMPORT!$K$2:$K$94,CDC!B36)</f>
        <v>0</v>
      </c>
      <c r="L36" s="12">
        <f t="shared" si="2"/>
        <v>4</v>
      </c>
      <c r="M36" s="13">
        <f t="shared" si="3"/>
        <v>1</v>
      </c>
      <c r="N36" s="12" t="str">
        <f t="shared" si="4"/>
        <v>OK</v>
      </c>
      <c r="O36" s="6" t="s">
        <v>55</v>
      </c>
    </row>
    <row r="37" spans="1:15">
      <c r="A37" s="27">
        <f t="shared" si="0"/>
        <v>32</v>
      </c>
      <c r="B37" s="7" t="s">
        <v>270</v>
      </c>
      <c r="C37" s="7" t="s">
        <v>5</v>
      </c>
      <c r="D37" s="6" t="s">
        <v>6</v>
      </c>
      <c r="E37" s="8">
        <v>2</v>
      </c>
      <c r="F37" s="8">
        <v>3000</v>
      </c>
      <c r="G37" s="8">
        <f t="shared" si="1"/>
        <v>6000</v>
      </c>
      <c r="H37" s="6" t="s">
        <v>9</v>
      </c>
      <c r="I37" s="12">
        <f>SUMIFS(IMPORT!$M$2:$M$94,IMPORT!$K$2:$K$94,CDC!B37)</f>
        <v>0</v>
      </c>
      <c r="J37" s="12">
        <f>SUMIFS(IMPORT!$R$2:$R$94,IMPORT!$K$2:$K$94,CDC!B37)</f>
        <v>0</v>
      </c>
      <c r="K37" s="12">
        <f>SUMIFS(IMPORT!$O$2:$O$94,IMPORT!$K$2:$K$94,CDC!B37)</f>
        <v>0</v>
      </c>
      <c r="L37" s="12">
        <f t="shared" si="2"/>
        <v>2</v>
      </c>
      <c r="M37" s="13">
        <f t="shared" si="3"/>
        <v>1</v>
      </c>
      <c r="N37" s="12" t="str">
        <f t="shared" si="4"/>
        <v>OK</v>
      </c>
      <c r="O37" s="6" t="s">
        <v>56</v>
      </c>
    </row>
    <row r="38" spans="1:15">
      <c r="A38" s="27">
        <f t="shared" si="0"/>
        <v>33</v>
      </c>
      <c r="B38" s="7" t="s">
        <v>271</v>
      </c>
      <c r="C38" s="7" t="s">
        <v>5</v>
      </c>
      <c r="D38" s="6" t="s">
        <v>6</v>
      </c>
      <c r="E38" s="8">
        <v>2</v>
      </c>
      <c r="F38" s="8">
        <v>6000</v>
      </c>
      <c r="G38" s="8">
        <f t="shared" si="1"/>
        <v>12000</v>
      </c>
      <c r="H38" s="6" t="s">
        <v>9</v>
      </c>
      <c r="I38" s="12">
        <f>SUMIFS(IMPORT!$M$2:$M$94,IMPORT!$K$2:$K$94,CDC!B38)</f>
        <v>0</v>
      </c>
      <c r="J38" s="12">
        <f>SUMIFS(IMPORT!$R$2:$R$94,IMPORT!$K$2:$K$94,CDC!B38)</f>
        <v>0</v>
      </c>
      <c r="K38" s="12">
        <f>SUMIFS(IMPORT!$O$2:$O$94,IMPORT!$K$2:$K$94,CDC!B38)</f>
        <v>0</v>
      </c>
      <c r="L38" s="12">
        <f t="shared" si="2"/>
        <v>2</v>
      </c>
      <c r="M38" s="13">
        <f t="shared" si="3"/>
        <v>1</v>
      </c>
      <c r="N38" s="12" t="str">
        <f t="shared" si="4"/>
        <v>OK</v>
      </c>
      <c r="O38" s="6" t="s">
        <v>57</v>
      </c>
    </row>
    <row r="39" spans="1:15">
      <c r="A39" s="27">
        <f t="shared" ref="A39:A70" si="5">A38+1</f>
        <v>34</v>
      </c>
      <c r="B39" s="7" t="s">
        <v>272</v>
      </c>
      <c r="C39" s="7" t="s">
        <v>5</v>
      </c>
      <c r="D39" s="6" t="s">
        <v>6</v>
      </c>
      <c r="E39" s="8">
        <v>5</v>
      </c>
      <c r="F39" s="8">
        <v>2000</v>
      </c>
      <c r="G39" s="8">
        <f t="shared" si="1"/>
        <v>10000</v>
      </c>
      <c r="H39" s="6" t="s">
        <v>9</v>
      </c>
      <c r="I39" s="12">
        <f>SUMIFS(IMPORT!$M$2:$M$94,IMPORT!$K$2:$K$94,CDC!B39)</f>
        <v>0</v>
      </c>
      <c r="J39" s="12">
        <f>SUMIFS(IMPORT!$R$2:$R$94,IMPORT!$K$2:$K$94,CDC!B39)</f>
        <v>0</v>
      </c>
      <c r="K39" s="12">
        <f>SUMIFS(IMPORT!$O$2:$O$94,IMPORT!$K$2:$K$94,CDC!B39)</f>
        <v>0</v>
      </c>
      <c r="L39" s="12">
        <f t="shared" si="2"/>
        <v>5</v>
      </c>
      <c r="M39" s="13">
        <f t="shared" si="3"/>
        <v>1</v>
      </c>
      <c r="N39" s="12" t="str">
        <f t="shared" si="4"/>
        <v>OK</v>
      </c>
      <c r="O39" s="6" t="s">
        <v>58</v>
      </c>
    </row>
    <row r="40" spans="1:15">
      <c r="A40" s="27">
        <f t="shared" si="5"/>
        <v>35</v>
      </c>
      <c r="B40" s="7" t="s">
        <v>273</v>
      </c>
      <c r="C40" s="7" t="s">
        <v>5</v>
      </c>
      <c r="D40" s="6" t="s">
        <v>6</v>
      </c>
      <c r="E40" s="8">
        <v>2</v>
      </c>
      <c r="F40" s="8">
        <v>90000</v>
      </c>
      <c r="G40" s="8">
        <f t="shared" si="1"/>
        <v>180000</v>
      </c>
      <c r="H40" s="6" t="s">
        <v>9</v>
      </c>
      <c r="I40" s="12">
        <f>SUMIFS(IMPORT!$M$2:$M$94,IMPORT!$K$2:$K$94,CDC!B40)</f>
        <v>0</v>
      </c>
      <c r="J40" s="12">
        <f>SUMIFS(IMPORT!$R$2:$R$94,IMPORT!$K$2:$K$94,CDC!B40)</f>
        <v>0</v>
      </c>
      <c r="K40" s="12">
        <f>SUMIFS(IMPORT!$O$2:$O$94,IMPORT!$K$2:$K$94,CDC!B40)</f>
        <v>0</v>
      </c>
      <c r="L40" s="12">
        <f t="shared" si="2"/>
        <v>2</v>
      </c>
      <c r="M40" s="13">
        <f t="shared" si="3"/>
        <v>1</v>
      </c>
      <c r="N40" s="12" t="str">
        <f t="shared" si="4"/>
        <v>OK</v>
      </c>
      <c r="O40" s="6" t="s">
        <v>59</v>
      </c>
    </row>
    <row r="41" spans="1:15">
      <c r="A41" s="27">
        <f t="shared" si="5"/>
        <v>36</v>
      </c>
      <c r="B41" s="7" t="s">
        <v>274</v>
      </c>
      <c r="C41" s="7" t="s">
        <v>5</v>
      </c>
      <c r="D41" s="6" t="s">
        <v>6</v>
      </c>
      <c r="E41" s="8">
        <v>4</v>
      </c>
      <c r="F41" s="8">
        <v>19000</v>
      </c>
      <c r="G41" s="8">
        <f t="shared" si="1"/>
        <v>76000</v>
      </c>
      <c r="H41" s="6" t="s">
        <v>9</v>
      </c>
      <c r="I41" s="12">
        <f>SUMIFS(IMPORT!$M$2:$M$94,IMPORT!$K$2:$K$94,CDC!B41)</f>
        <v>1</v>
      </c>
      <c r="J41" s="12">
        <f>SUMIFS(IMPORT!$R$2:$R$94,IMPORT!$K$2:$K$94,CDC!B41)</f>
        <v>19000</v>
      </c>
      <c r="K41" s="12">
        <f>SUMIFS(IMPORT!$O$2:$O$94,IMPORT!$K$2:$K$94,CDC!B41)</f>
        <v>4785.07</v>
      </c>
      <c r="L41" s="12">
        <f t="shared" si="2"/>
        <v>3</v>
      </c>
      <c r="M41" s="13">
        <f t="shared" si="3"/>
        <v>0.75</v>
      </c>
      <c r="N41" s="12" t="str">
        <f t="shared" si="4"/>
        <v>OK</v>
      </c>
      <c r="O41" s="6" t="s">
        <v>60</v>
      </c>
    </row>
    <row r="42" spans="1:15">
      <c r="A42" s="27">
        <f t="shared" si="5"/>
        <v>37</v>
      </c>
      <c r="B42" s="7" t="s">
        <v>275</v>
      </c>
      <c r="C42" s="7" t="s">
        <v>5</v>
      </c>
      <c r="D42" s="6" t="s">
        <v>6</v>
      </c>
      <c r="E42" s="8">
        <v>8</v>
      </c>
      <c r="F42" s="8">
        <v>4080</v>
      </c>
      <c r="G42" s="8">
        <f t="shared" si="1"/>
        <v>32640</v>
      </c>
      <c r="H42" s="6" t="s">
        <v>9</v>
      </c>
      <c r="I42" s="12">
        <f>SUMIFS(IMPORT!$M$2:$M$94,IMPORT!$K$2:$K$94,CDC!B42)</f>
        <v>0</v>
      </c>
      <c r="J42" s="12">
        <f>SUMIFS(IMPORT!$R$2:$R$94,IMPORT!$K$2:$K$94,CDC!B42)</f>
        <v>0</v>
      </c>
      <c r="K42" s="12">
        <f>SUMIFS(IMPORT!$O$2:$O$94,IMPORT!$K$2:$K$94,CDC!B42)</f>
        <v>0</v>
      </c>
      <c r="L42" s="12">
        <f t="shared" si="2"/>
        <v>8</v>
      </c>
      <c r="M42" s="13">
        <f t="shared" si="3"/>
        <v>1</v>
      </c>
      <c r="N42" s="12" t="str">
        <f t="shared" si="4"/>
        <v>OK</v>
      </c>
      <c r="O42" s="6" t="s">
        <v>61</v>
      </c>
    </row>
    <row r="43" spans="1:15">
      <c r="A43" s="27">
        <f t="shared" si="5"/>
        <v>38</v>
      </c>
      <c r="B43" s="7" t="s">
        <v>276</v>
      </c>
      <c r="C43" s="7" t="s">
        <v>5</v>
      </c>
      <c r="D43" s="6" t="s">
        <v>6</v>
      </c>
      <c r="E43" s="8">
        <v>6</v>
      </c>
      <c r="F43" s="8">
        <v>2100</v>
      </c>
      <c r="G43" s="8">
        <f t="shared" si="1"/>
        <v>12600</v>
      </c>
      <c r="H43" s="6" t="s">
        <v>9</v>
      </c>
      <c r="I43" s="12">
        <f>SUMIFS(IMPORT!$M$2:$M$94,IMPORT!$K$2:$K$94,CDC!B43)</f>
        <v>1</v>
      </c>
      <c r="J43" s="12">
        <f>SUMIFS(IMPORT!$R$2:$R$94,IMPORT!$K$2:$K$94,CDC!B43)</f>
        <v>2100</v>
      </c>
      <c r="K43" s="12">
        <f>SUMIFS(IMPORT!$O$2:$O$94,IMPORT!$K$2:$K$94,CDC!B43)</f>
        <v>230</v>
      </c>
      <c r="L43" s="12">
        <f t="shared" si="2"/>
        <v>5</v>
      </c>
      <c r="M43" s="13">
        <f t="shared" si="3"/>
        <v>0.83333333333333337</v>
      </c>
      <c r="N43" s="12" t="str">
        <f t="shared" si="4"/>
        <v>OK</v>
      </c>
      <c r="O43" s="6" t="s">
        <v>62</v>
      </c>
    </row>
    <row r="44" spans="1:15">
      <c r="A44" s="27">
        <f t="shared" si="5"/>
        <v>39</v>
      </c>
      <c r="B44" s="7" t="s">
        <v>277</v>
      </c>
      <c r="C44" s="7" t="s">
        <v>5</v>
      </c>
      <c r="D44" s="6" t="s">
        <v>6</v>
      </c>
      <c r="E44" s="8">
        <v>20</v>
      </c>
      <c r="F44" s="8">
        <v>750</v>
      </c>
      <c r="G44" s="8">
        <f t="shared" si="1"/>
        <v>15000</v>
      </c>
      <c r="H44" s="6" t="s">
        <v>9</v>
      </c>
      <c r="I44" s="12">
        <f>SUMIFS(IMPORT!$M$2:$M$94,IMPORT!$K$2:$K$94,CDC!B44)</f>
        <v>0</v>
      </c>
      <c r="J44" s="12">
        <f>SUMIFS(IMPORT!$R$2:$R$94,IMPORT!$K$2:$K$94,CDC!B44)</f>
        <v>0</v>
      </c>
      <c r="K44" s="12">
        <f>SUMIFS(IMPORT!$O$2:$O$94,IMPORT!$K$2:$K$94,CDC!B44)</f>
        <v>0</v>
      </c>
      <c r="L44" s="12">
        <f t="shared" si="2"/>
        <v>20</v>
      </c>
      <c r="M44" s="13">
        <f t="shared" si="3"/>
        <v>1</v>
      </c>
      <c r="N44" s="12" t="str">
        <f t="shared" si="4"/>
        <v>OK</v>
      </c>
      <c r="O44" s="6" t="s">
        <v>63</v>
      </c>
    </row>
    <row r="45" spans="1:15">
      <c r="A45" s="27">
        <f t="shared" si="5"/>
        <v>40</v>
      </c>
      <c r="B45" s="7" t="s">
        <v>278</v>
      </c>
      <c r="C45" s="7" t="s">
        <v>5</v>
      </c>
      <c r="D45" s="6" t="s">
        <v>6</v>
      </c>
      <c r="E45" s="8">
        <v>20</v>
      </c>
      <c r="F45" s="8">
        <v>500</v>
      </c>
      <c r="G45" s="8">
        <f t="shared" si="1"/>
        <v>10000</v>
      </c>
      <c r="H45" s="6" t="s">
        <v>9</v>
      </c>
      <c r="I45" s="12">
        <f>SUMIFS(IMPORT!$M$2:$M$94,IMPORT!$K$2:$K$94,CDC!B45)</f>
        <v>0</v>
      </c>
      <c r="J45" s="12">
        <f>SUMIFS(IMPORT!$R$2:$R$94,IMPORT!$K$2:$K$94,CDC!B45)</f>
        <v>0</v>
      </c>
      <c r="K45" s="12">
        <f>SUMIFS(IMPORT!$O$2:$O$94,IMPORT!$K$2:$K$94,CDC!B45)</f>
        <v>0</v>
      </c>
      <c r="L45" s="12">
        <f t="shared" si="2"/>
        <v>20</v>
      </c>
      <c r="M45" s="13">
        <f t="shared" si="3"/>
        <v>1</v>
      </c>
      <c r="N45" s="12" t="str">
        <f t="shared" si="4"/>
        <v>OK</v>
      </c>
      <c r="O45" s="6" t="s">
        <v>64</v>
      </c>
    </row>
    <row r="46" spans="1:15">
      <c r="A46" s="27">
        <f t="shared" si="5"/>
        <v>41</v>
      </c>
      <c r="B46" s="7" t="s">
        <v>279</v>
      </c>
      <c r="C46" s="7" t="s">
        <v>5</v>
      </c>
      <c r="D46" s="6" t="s">
        <v>6</v>
      </c>
      <c r="E46" s="8">
        <v>30</v>
      </c>
      <c r="F46" s="8">
        <v>50</v>
      </c>
      <c r="G46" s="8">
        <f t="shared" si="1"/>
        <v>1500</v>
      </c>
      <c r="H46" s="6" t="s">
        <v>9</v>
      </c>
      <c r="I46" s="12">
        <f>SUMIFS(IMPORT!$M$2:$M$94,IMPORT!$K$2:$K$94,CDC!B46)</f>
        <v>0</v>
      </c>
      <c r="J46" s="12">
        <f>SUMIFS(IMPORT!$R$2:$R$94,IMPORT!$K$2:$K$94,CDC!B46)</f>
        <v>0</v>
      </c>
      <c r="K46" s="12">
        <f>SUMIFS(IMPORT!$O$2:$O$94,IMPORT!$K$2:$K$94,CDC!B46)</f>
        <v>0</v>
      </c>
      <c r="L46" s="12">
        <f t="shared" si="2"/>
        <v>30</v>
      </c>
      <c r="M46" s="13">
        <f t="shared" si="3"/>
        <v>1</v>
      </c>
      <c r="N46" s="12" t="str">
        <f t="shared" si="4"/>
        <v>OK</v>
      </c>
      <c r="O46" s="6" t="s">
        <v>65</v>
      </c>
    </row>
    <row r="47" spans="1:15">
      <c r="A47" s="27">
        <f t="shared" si="5"/>
        <v>42</v>
      </c>
      <c r="B47" s="7" t="s">
        <v>280</v>
      </c>
      <c r="C47" s="7" t="s">
        <v>5</v>
      </c>
      <c r="D47" s="6" t="s">
        <v>6</v>
      </c>
      <c r="E47" s="8">
        <v>20</v>
      </c>
      <c r="F47" s="8">
        <v>200</v>
      </c>
      <c r="G47" s="8">
        <f t="shared" si="1"/>
        <v>4000</v>
      </c>
      <c r="H47" s="6" t="s">
        <v>9</v>
      </c>
      <c r="I47" s="12">
        <f>SUMIFS(IMPORT!$M$2:$M$94,IMPORT!$K$2:$K$94,CDC!B47)</f>
        <v>0</v>
      </c>
      <c r="J47" s="12">
        <f>SUMIFS(IMPORT!$R$2:$R$94,IMPORT!$K$2:$K$94,CDC!B47)</f>
        <v>0</v>
      </c>
      <c r="K47" s="12">
        <f>SUMIFS(IMPORT!$O$2:$O$94,IMPORT!$K$2:$K$94,CDC!B47)</f>
        <v>0</v>
      </c>
      <c r="L47" s="12">
        <f t="shared" si="2"/>
        <v>20</v>
      </c>
      <c r="M47" s="13">
        <f t="shared" si="3"/>
        <v>1</v>
      </c>
      <c r="N47" s="12" t="str">
        <f t="shared" si="4"/>
        <v>OK</v>
      </c>
      <c r="O47" s="6" t="s">
        <v>66</v>
      </c>
    </row>
    <row r="48" spans="1:15">
      <c r="A48" s="27">
        <f t="shared" si="5"/>
        <v>43</v>
      </c>
      <c r="B48" s="7" t="s">
        <v>220</v>
      </c>
      <c r="C48" s="7" t="s">
        <v>5</v>
      </c>
      <c r="D48" s="6" t="s">
        <v>6</v>
      </c>
      <c r="E48" s="8">
        <v>5</v>
      </c>
      <c r="F48" s="8">
        <v>3000</v>
      </c>
      <c r="G48" s="8">
        <f t="shared" si="1"/>
        <v>15000</v>
      </c>
      <c r="H48" s="6" t="s">
        <v>9</v>
      </c>
      <c r="I48" s="12">
        <f>SUMIFS(IMPORT!$M$2:$M$94,IMPORT!$K$2:$K$94,CDC!B48)</f>
        <v>2</v>
      </c>
      <c r="J48" s="12">
        <f>SUMIFS(IMPORT!$R$2:$R$94,IMPORT!$K$2:$K$94,CDC!B48)</f>
        <v>6000</v>
      </c>
      <c r="K48" s="12">
        <f>SUMIFS(IMPORT!$O$2:$O$94,IMPORT!$K$2:$K$94,CDC!B48)</f>
        <v>1160</v>
      </c>
      <c r="L48" s="12">
        <f t="shared" si="2"/>
        <v>3</v>
      </c>
      <c r="M48" s="13">
        <f t="shared" si="3"/>
        <v>0.6</v>
      </c>
      <c r="N48" s="12" t="str">
        <f t="shared" si="4"/>
        <v>OK</v>
      </c>
      <c r="O48" s="6" t="s">
        <v>67</v>
      </c>
    </row>
    <row r="49" spans="1:15">
      <c r="A49" s="27">
        <f t="shared" si="5"/>
        <v>44</v>
      </c>
      <c r="B49" s="7" t="s">
        <v>281</v>
      </c>
      <c r="C49" s="7" t="s">
        <v>5</v>
      </c>
      <c r="D49" s="6" t="s">
        <v>6</v>
      </c>
      <c r="E49" s="8">
        <v>2</v>
      </c>
      <c r="F49" s="8">
        <v>8000</v>
      </c>
      <c r="G49" s="8">
        <f t="shared" si="1"/>
        <v>16000</v>
      </c>
      <c r="H49" s="6" t="s">
        <v>9</v>
      </c>
      <c r="I49" s="12">
        <f>SUMIFS(IMPORT!$M$2:$M$94,IMPORT!$K$2:$K$94,CDC!B49)</f>
        <v>0</v>
      </c>
      <c r="J49" s="12">
        <f>SUMIFS(IMPORT!$R$2:$R$94,IMPORT!$K$2:$K$94,CDC!B49)</f>
        <v>0</v>
      </c>
      <c r="K49" s="12">
        <f>SUMIFS(IMPORT!$O$2:$O$94,IMPORT!$K$2:$K$94,CDC!B49)</f>
        <v>0</v>
      </c>
      <c r="L49" s="12">
        <f t="shared" si="2"/>
        <v>2</v>
      </c>
      <c r="M49" s="13">
        <f t="shared" si="3"/>
        <v>1</v>
      </c>
      <c r="N49" s="12" t="str">
        <f t="shared" si="4"/>
        <v>OK</v>
      </c>
      <c r="O49" s="6" t="s">
        <v>68</v>
      </c>
    </row>
    <row r="50" spans="1:15">
      <c r="A50" s="27">
        <f t="shared" si="5"/>
        <v>45</v>
      </c>
      <c r="B50" s="7" t="s">
        <v>282</v>
      </c>
      <c r="C50" s="7" t="s">
        <v>5</v>
      </c>
      <c r="D50" s="6" t="s">
        <v>6</v>
      </c>
      <c r="E50" s="8">
        <v>200</v>
      </c>
      <c r="F50" s="8">
        <v>10</v>
      </c>
      <c r="G50" s="8">
        <f t="shared" si="1"/>
        <v>2000</v>
      </c>
      <c r="H50" s="6" t="s">
        <v>9</v>
      </c>
      <c r="I50" s="12">
        <f>SUMIFS(IMPORT!$M$2:$M$94,IMPORT!$K$2:$K$94,CDC!B50)</f>
        <v>0</v>
      </c>
      <c r="J50" s="12">
        <f>SUMIFS(IMPORT!$R$2:$R$94,IMPORT!$K$2:$K$94,CDC!B50)</f>
        <v>0</v>
      </c>
      <c r="K50" s="12">
        <f>SUMIFS(IMPORT!$O$2:$O$94,IMPORT!$K$2:$K$94,CDC!B50)</f>
        <v>0</v>
      </c>
      <c r="L50" s="12">
        <f t="shared" si="2"/>
        <v>200</v>
      </c>
      <c r="M50" s="13">
        <f t="shared" si="3"/>
        <v>1</v>
      </c>
      <c r="N50" s="12" t="str">
        <f t="shared" si="4"/>
        <v>OK</v>
      </c>
      <c r="O50" s="6" t="s">
        <v>69</v>
      </c>
    </row>
    <row r="51" spans="1:15">
      <c r="A51" s="27">
        <f t="shared" si="5"/>
        <v>46</v>
      </c>
      <c r="B51" s="7" t="s">
        <v>283</v>
      </c>
      <c r="C51" s="7" t="s">
        <v>5</v>
      </c>
      <c r="D51" s="6" t="s">
        <v>6</v>
      </c>
      <c r="E51" s="8">
        <v>2</v>
      </c>
      <c r="F51" s="8">
        <v>15000</v>
      </c>
      <c r="G51" s="8">
        <f t="shared" si="1"/>
        <v>30000</v>
      </c>
      <c r="H51" s="6" t="s">
        <v>9</v>
      </c>
      <c r="I51" s="12">
        <f>SUMIFS(IMPORT!$M$2:$M$94,IMPORT!$K$2:$K$94,CDC!B51)</f>
        <v>0</v>
      </c>
      <c r="J51" s="12">
        <f>SUMIFS(IMPORT!$R$2:$R$94,IMPORT!$K$2:$K$94,CDC!B51)</f>
        <v>0</v>
      </c>
      <c r="K51" s="12">
        <f>SUMIFS(IMPORT!$O$2:$O$94,IMPORT!$K$2:$K$94,CDC!B51)</f>
        <v>0</v>
      </c>
      <c r="L51" s="12">
        <f t="shared" si="2"/>
        <v>2</v>
      </c>
      <c r="M51" s="13">
        <f t="shared" si="3"/>
        <v>1</v>
      </c>
      <c r="N51" s="12" t="str">
        <f t="shared" si="4"/>
        <v>OK</v>
      </c>
      <c r="O51" s="6" t="s">
        <v>70</v>
      </c>
    </row>
    <row r="52" spans="1:15">
      <c r="A52" s="27">
        <f t="shared" si="5"/>
        <v>47</v>
      </c>
      <c r="B52" s="7" t="s">
        <v>284</v>
      </c>
      <c r="C52" s="7" t="s">
        <v>5</v>
      </c>
      <c r="D52" s="6" t="s">
        <v>6</v>
      </c>
      <c r="E52" s="8">
        <v>2</v>
      </c>
      <c r="F52" s="8">
        <v>15000</v>
      </c>
      <c r="G52" s="8">
        <f t="shared" si="1"/>
        <v>30000</v>
      </c>
      <c r="H52" s="6" t="s">
        <v>9</v>
      </c>
      <c r="I52" s="12">
        <f>SUMIFS(IMPORT!$M$2:$M$94,IMPORT!$K$2:$K$94,CDC!B52)</f>
        <v>0</v>
      </c>
      <c r="J52" s="12">
        <f>SUMIFS(IMPORT!$R$2:$R$94,IMPORT!$K$2:$K$94,CDC!B52)</f>
        <v>0</v>
      </c>
      <c r="K52" s="12">
        <f>SUMIFS(IMPORT!$O$2:$O$94,IMPORT!$K$2:$K$94,CDC!B52)</f>
        <v>0</v>
      </c>
      <c r="L52" s="12">
        <f t="shared" si="2"/>
        <v>2</v>
      </c>
      <c r="M52" s="13">
        <f t="shared" si="3"/>
        <v>1</v>
      </c>
      <c r="N52" s="12" t="str">
        <f t="shared" si="4"/>
        <v>OK</v>
      </c>
      <c r="O52" s="6" t="s">
        <v>71</v>
      </c>
    </row>
    <row r="53" spans="1:15">
      <c r="A53" s="27">
        <f t="shared" si="5"/>
        <v>48</v>
      </c>
      <c r="B53" s="7" t="s">
        <v>285</v>
      </c>
      <c r="C53" s="7" t="s">
        <v>5</v>
      </c>
      <c r="D53" s="6" t="s">
        <v>6</v>
      </c>
      <c r="E53" s="8">
        <v>5</v>
      </c>
      <c r="F53" s="8">
        <v>5000</v>
      </c>
      <c r="G53" s="8">
        <f t="shared" si="1"/>
        <v>25000</v>
      </c>
      <c r="H53" s="6" t="s">
        <v>9</v>
      </c>
      <c r="I53" s="12">
        <f>SUMIFS(IMPORT!$M$2:$M$94,IMPORT!$K$2:$K$94,CDC!B53)</f>
        <v>0</v>
      </c>
      <c r="J53" s="12">
        <f>SUMIFS(IMPORT!$R$2:$R$94,IMPORT!$K$2:$K$94,CDC!B53)</f>
        <v>0</v>
      </c>
      <c r="K53" s="12">
        <f>SUMIFS(IMPORT!$O$2:$O$94,IMPORT!$K$2:$K$94,CDC!B53)</f>
        <v>0</v>
      </c>
      <c r="L53" s="12">
        <f t="shared" si="2"/>
        <v>5</v>
      </c>
      <c r="M53" s="13">
        <f t="shared" si="3"/>
        <v>1</v>
      </c>
      <c r="N53" s="12" t="str">
        <f t="shared" si="4"/>
        <v>OK</v>
      </c>
      <c r="O53" s="6" t="s">
        <v>72</v>
      </c>
    </row>
    <row r="54" spans="1:15">
      <c r="A54" s="27">
        <f t="shared" si="5"/>
        <v>49</v>
      </c>
      <c r="B54" s="7" t="s">
        <v>286</v>
      </c>
      <c r="C54" s="7" t="s">
        <v>5</v>
      </c>
      <c r="D54" s="6" t="s">
        <v>6</v>
      </c>
      <c r="E54" s="8">
        <v>4</v>
      </c>
      <c r="F54" s="8">
        <v>8000</v>
      </c>
      <c r="G54" s="8">
        <f t="shared" si="1"/>
        <v>32000</v>
      </c>
      <c r="H54" s="6" t="s">
        <v>9</v>
      </c>
      <c r="I54" s="12">
        <f>SUMIFS(IMPORT!$M$2:$M$94,IMPORT!$K$2:$K$94,CDC!B54)</f>
        <v>0</v>
      </c>
      <c r="J54" s="12">
        <f>SUMIFS(IMPORT!$R$2:$R$94,IMPORT!$K$2:$K$94,CDC!B54)</f>
        <v>0</v>
      </c>
      <c r="K54" s="12">
        <f>SUMIFS(IMPORT!$O$2:$O$94,IMPORT!$K$2:$K$94,CDC!B54)</f>
        <v>0</v>
      </c>
      <c r="L54" s="12">
        <f t="shared" si="2"/>
        <v>4</v>
      </c>
      <c r="M54" s="13">
        <f t="shared" si="3"/>
        <v>1</v>
      </c>
      <c r="N54" s="12" t="str">
        <f t="shared" si="4"/>
        <v>OK</v>
      </c>
      <c r="O54" s="6" t="s">
        <v>73</v>
      </c>
    </row>
    <row r="55" spans="1:15">
      <c r="A55" s="27">
        <f t="shared" si="5"/>
        <v>50</v>
      </c>
      <c r="B55" s="7" t="s">
        <v>287</v>
      </c>
      <c r="C55" s="7" t="s">
        <v>5</v>
      </c>
      <c r="D55" s="6" t="s">
        <v>6</v>
      </c>
      <c r="E55" s="8">
        <v>1</v>
      </c>
      <c r="F55" s="8">
        <v>6000</v>
      </c>
      <c r="G55" s="8">
        <f t="shared" si="1"/>
        <v>6000</v>
      </c>
      <c r="H55" s="6" t="s">
        <v>9</v>
      </c>
      <c r="I55" s="12">
        <f>SUMIFS(IMPORT!$M$2:$M$94,IMPORT!$K$2:$K$94,CDC!B55)</f>
        <v>1</v>
      </c>
      <c r="J55" s="12">
        <f>SUMIFS(IMPORT!$R$2:$R$94,IMPORT!$K$2:$K$94,CDC!B55)</f>
        <v>6000</v>
      </c>
      <c r="K55" s="12">
        <f>SUMIFS(IMPORT!$O$2:$O$94,IMPORT!$K$2:$K$94,CDC!B55)</f>
        <v>903</v>
      </c>
      <c r="L55" s="12">
        <f t="shared" si="2"/>
        <v>0</v>
      </c>
      <c r="M55" s="13">
        <f t="shared" si="3"/>
        <v>0</v>
      </c>
      <c r="N55" s="12" t="str">
        <f t="shared" si="4"/>
        <v>CHECK</v>
      </c>
      <c r="O55" s="6" t="s">
        <v>74</v>
      </c>
    </row>
    <row r="56" spans="1:15">
      <c r="A56" s="27">
        <f t="shared" si="5"/>
        <v>51</v>
      </c>
      <c r="B56" s="7" t="s">
        <v>288</v>
      </c>
      <c r="C56" s="7" t="s">
        <v>5</v>
      </c>
      <c r="D56" s="6" t="s">
        <v>6</v>
      </c>
      <c r="E56" s="8">
        <v>5</v>
      </c>
      <c r="F56" s="8">
        <v>7000</v>
      </c>
      <c r="G56" s="8">
        <f t="shared" si="1"/>
        <v>35000</v>
      </c>
      <c r="H56" s="6" t="s">
        <v>9</v>
      </c>
      <c r="I56" s="12">
        <f>SUMIFS(IMPORT!$M$2:$M$94,IMPORT!$K$2:$K$94,CDC!B56)</f>
        <v>0</v>
      </c>
      <c r="J56" s="12">
        <f>SUMIFS(IMPORT!$R$2:$R$94,IMPORT!$K$2:$K$94,CDC!B56)</f>
        <v>0</v>
      </c>
      <c r="K56" s="12">
        <f>SUMIFS(IMPORT!$O$2:$O$94,IMPORT!$K$2:$K$94,CDC!B56)</f>
        <v>0</v>
      </c>
      <c r="L56" s="12">
        <f t="shared" si="2"/>
        <v>5</v>
      </c>
      <c r="M56" s="13">
        <f t="shared" si="3"/>
        <v>1</v>
      </c>
      <c r="N56" s="12" t="str">
        <f t="shared" si="4"/>
        <v>OK</v>
      </c>
      <c r="O56" s="6" t="s">
        <v>75</v>
      </c>
    </row>
    <row r="57" spans="1:15">
      <c r="A57" s="27">
        <f t="shared" si="5"/>
        <v>52</v>
      </c>
      <c r="B57" s="7" t="s">
        <v>289</v>
      </c>
      <c r="C57" s="7" t="s">
        <v>5</v>
      </c>
      <c r="D57" s="6" t="s">
        <v>6</v>
      </c>
      <c r="E57" s="8">
        <v>10</v>
      </c>
      <c r="F57" s="8">
        <v>200</v>
      </c>
      <c r="G57" s="8">
        <f t="shared" si="1"/>
        <v>2000</v>
      </c>
      <c r="H57" s="6" t="s">
        <v>9</v>
      </c>
      <c r="I57" s="12">
        <f>SUMIFS(IMPORT!$M$2:$M$94,IMPORT!$K$2:$K$94,CDC!B57)</f>
        <v>0</v>
      </c>
      <c r="J57" s="12">
        <f>SUMIFS(IMPORT!$R$2:$R$94,IMPORT!$K$2:$K$94,CDC!B57)</f>
        <v>0</v>
      </c>
      <c r="K57" s="12">
        <f>SUMIFS(IMPORT!$O$2:$O$94,IMPORT!$K$2:$K$94,CDC!B57)</f>
        <v>0</v>
      </c>
      <c r="L57" s="12">
        <f t="shared" si="2"/>
        <v>10</v>
      </c>
      <c r="M57" s="13">
        <f t="shared" si="3"/>
        <v>1</v>
      </c>
      <c r="N57" s="12" t="str">
        <f t="shared" si="4"/>
        <v>OK</v>
      </c>
      <c r="O57" s="6" t="s">
        <v>76</v>
      </c>
    </row>
    <row r="58" spans="1:15">
      <c r="A58" s="27">
        <f t="shared" si="5"/>
        <v>53</v>
      </c>
      <c r="B58" s="7" t="s">
        <v>290</v>
      </c>
      <c r="C58" s="7" t="s">
        <v>5</v>
      </c>
      <c r="D58" s="6" t="s">
        <v>6</v>
      </c>
      <c r="E58" s="8">
        <v>500</v>
      </c>
      <c r="F58" s="8">
        <v>80</v>
      </c>
      <c r="G58" s="8">
        <f t="shared" si="1"/>
        <v>40000</v>
      </c>
      <c r="H58" s="6" t="s">
        <v>9</v>
      </c>
      <c r="I58" s="12">
        <f>SUMIFS(IMPORT!$M$2:$M$94,IMPORT!$K$2:$K$94,CDC!B58)</f>
        <v>0</v>
      </c>
      <c r="J58" s="12">
        <f>SUMIFS(IMPORT!$R$2:$R$94,IMPORT!$K$2:$K$94,CDC!B58)</f>
        <v>0</v>
      </c>
      <c r="K58" s="12">
        <f>SUMIFS(IMPORT!$O$2:$O$94,IMPORT!$K$2:$K$94,CDC!B58)</f>
        <v>0</v>
      </c>
      <c r="L58" s="12">
        <f t="shared" si="2"/>
        <v>500</v>
      </c>
      <c r="M58" s="13">
        <f t="shared" si="3"/>
        <v>1</v>
      </c>
      <c r="N58" s="12" t="str">
        <f t="shared" si="4"/>
        <v>OK</v>
      </c>
      <c r="O58" s="6" t="s">
        <v>77</v>
      </c>
    </row>
    <row r="59" spans="1:15">
      <c r="A59" s="27">
        <f t="shared" si="5"/>
        <v>54</v>
      </c>
      <c r="B59" s="7" t="s">
        <v>291</v>
      </c>
      <c r="C59" s="7" t="s">
        <v>5</v>
      </c>
      <c r="D59" s="6" t="s">
        <v>6</v>
      </c>
      <c r="E59" s="8">
        <v>500</v>
      </c>
      <c r="F59" s="8">
        <v>200</v>
      </c>
      <c r="G59" s="8">
        <f t="shared" si="1"/>
        <v>100000</v>
      </c>
      <c r="H59" s="6" t="s">
        <v>9</v>
      </c>
      <c r="I59" s="12">
        <f>SUMIFS(IMPORT!$M$2:$M$94,IMPORT!$K$2:$K$94,CDC!B59)</f>
        <v>0</v>
      </c>
      <c r="J59" s="12">
        <f>SUMIFS(IMPORT!$R$2:$R$94,IMPORT!$K$2:$K$94,CDC!B59)</f>
        <v>0</v>
      </c>
      <c r="K59" s="12">
        <f>SUMIFS(IMPORT!$O$2:$O$94,IMPORT!$K$2:$K$94,CDC!B59)</f>
        <v>0</v>
      </c>
      <c r="L59" s="12">
        <f t="shared" si="2"/>
        <v>500</v>
      </c>
      <c r="M59" s="13">
        <f t="shared" si="3"/>
        <v>1</v>
      </c>
      <c r="N59" s="12" t="str">
        <f t="shared" si="4"/>
        <v>OK</v>
      </c>
      <c r="O59" s="6" t="s">
        <v>78</v>
      </c>
    </row>
    <row r="60" spans="1:15">
      <c r="A60" s="27">
        <f t="shared" si="5"/>
        <v>55</v>
      </c>
      <c r="B60" s="7" t="s">
        <v>292</v>
      </c>
      <c r="C60" s="7" t="s">
        <v>5</v>
      </c>
      <c r="D60" s="6" t="s">
        <v>6</v>
      </c>
      <c r="E60" s="8">
        <v>200</v>
      </c>
      <c r="F60" s="8">
        <v>15</v>
      </c>
      <c r="G60" s="8">
        <f t="shared" si="1"/>
        <v>3000</v>
      </c>
      <c r="H60" s="6" t="s">
        <v>9</v>
      </c>
      <c r="I60" s="12">
        <f>SUMIFS(IMPORT!$M$2:$M$94,IMPORT!$K$2:$K$94,CDC!B60)</f>
        <v>0</v>
      </c>
      <c r="J60" s="12">
        <f>SUMIFS(IMPORT!$R$2:$R$94,IMPORT!$K$2:$K$94,CDC!B60)</f>
        <v>0</v>
      </c>
      <c r="K60" s="12">
        <f>SUMIFS(IMPORT!$O$2:$O$94,IMPORT!$K$2:$K$94,CDC!B60)</f>
        <v>0</v>
      </c>
      <c r="L60" s="12">
        <f t="shared" si="2"/>
        <v>200</v>
      </c>
      <c r="M60" s="13">
        <f t="shared" si="3"/>
        <v>1</v>
      </c>
      <c r="N60" s="12" t="str">
        <f t="shared" si="4"/>
        <v>OK</v>
      </c>
      <c r="O60" s="6" t="s">
        <v>79</v>
      </c>
    </row>
    <row r="61" spans="1:15">
      <c r="A61" s="27">
        <f t="shared" si="5"/>
        <v>56</v>
      </c>
      <c r="B61" s="7" t="s">
        <v>293</v>
      </c>
      <c r="C61" s="7" t="s">
        <v>5</v>
      </c>
      <c r="D61" s="6" t="s">
        <v>6</v>
      </c>
      <c r="E61" s="8">
        <v>5</v>
      </c>
      <c r="F61" s="8">
        <v>1000</v>
      </c>
      <c r="G61" s="8">
        <f t="shared" si="1"/>
        <v>5000</v>
      </c>
      <c r="H61" s="6" t="s">
        <v>9</v>
      </c>
      <c r="I61" s="12">
        <f>SUMIFS(IMPORT!$M$2:$M$94,IMPORT!$K$2:$K$94,CDC!B61)</f>
        <v>0</v>
      </c>
      <c r="J61" s="12">
        <f>SUMIFS(IMPORT!$R$2:$R$94,IMPORT!$K$2:$K$94,CDC!B61)</f>
        <v>0</v>
      </c>
      <c r="K61" s="12">
        <f>SUMIFS(IMPORT!$O$2:$O$94,IMPORT!$K$2:$K$94,CDC!B61)</f>
        <v>0</v>
      </c>
      <c r="L61" s="12">
        <f t="shared" si="2"/>
        <v>5</v>
      </c>
      <c r="M61" s="13">
        <f t="shared" si="3"/>
        <v>1</v>
      </c>
      <c r="N61" s="12" t="str">
        <f t="shared" si="4"/>
        <v>OK</v>
      </c>
      <c r="O61" s="6" t="s">
        <v>80</v>
      </c>
    </row>
    <row r="62" spans="1:15">
      <c r="A62" s="27">
        <f t="shared" si="5"/>
        <v>57</v>
      </c>
      <c r="B62" s="7" t="s">
        <v>294</v>
      </c>
      <c r="C62" s="7" t="s">
        <v>5</v>
      </c>
      <c r="D62" s="6" t="s">
        <v>6</v>
      </c>
      <c r="E62" s="8">
        <v>2</v>
      </c>
      <c r="F62" s="8">
        <v>450</v>
      </c>
      <c r="G62" s="8">
        <f t="shared" si="1"/>
        <v>900</v>
      </c>
      <c r="H62" s="6" t="s">
        <v>9</v>
      </c>
      <c r="I62" s="12">
        <f>SUMIFS(IMPORT!$M$2:$M$94,IMPORT!$K$2:$K$94,CDC!B62)</f>
        <v>0</v>
      </c>
      <c r="J62" s="12">
        <f>SUMIFS(IMPORT!$R$2:$R$94,IMPORT!$K$2:$K$94,CDC!B62)</f>
        <v>0</v>
      </c>
      <c r="K62" s="12">
        <f>SUMIFS(IMPORT!$O$2:$O$94,IMPORT!$K$2:$K$94,CDC!B62)</f>
        <v>0</v>
      </c>
      <c r="L62" s="12">
        <f t="shared" si="2"/>
        <v>2</v>
      </c>
      <c r="M62" s="13">
        <f t="shared" si="3"/>
        <v>1</v>
      </c>
      <c r="N62" s="12" t="str">
        <f t="shared" si="4"/>
        <v>OK</v>
      </c>
      <c r="O62" s="6" t="s">
        <v>81</v>
      </c>
    </row>
    <row r="63" spans="1:15">
      <c r="A63" s="27">
        <f t="shared" si="5"/>
        <v>58</v>
      </c>
      <c r="B63" s="7" t="s">
        <v>295</v>
      </c>
      <c r="C63" s="7" t="s">
        <v>5</v>
      </c>
      <c r="D63" s="6" t="s">
        <v>6</v>
      </c>
      <c r="E63" s="8">
        <v>2</v>
      </c>
      <c r="F63" s="8">
        <v>600</v>
      </c>
      <c r="G63" s="8">
        <f t="shared" si="1"/>
        <v>1200</v>
      </c>
      <c r="H63" s="6" t="s">
        <v>9</v>
      </c>
      <c r="I63" s="12">
        <f>SUMIFS(IMPORT!$M$2:$M$94,IMPORT!$K$2:$K$94,CDC!B63)</f>
        <v>1</v>
      </c>
      <c r="J63" s="12">
        <f>SUMIFS(IMPORT!$R$2:$R$94,IMPORT!$K$2:$K$94,CDC!B63)</f>
        <v>600</v>
      </c>
      <c r="K63" s="12">
        <f>SUMIFS(IMPORT!$O$2:$O$94,IMPORT!$K$2:$K$94,CDC!B63)</f>
        <v>272.2</v>
      </c>
      <c r="L63" s="12">
        <f t="shared" si="2"/>
        <v>1</v>
      </c>
      <c r="M63" s="13">
        <f t="shared" si="3"/>
        <v>0.5</v>
      </c>
      <c r="N63" s="12" t="str">
        <f t="shared" si="4"/>
        <v>OK</v>
      </c>
      <c r="O63" s="6" t="s">
        <v>82</v>
      </c>
    </row>
    <row r="64" spans="1:15">
      <c r="A64" s="27">
        <f t="shared" si="5"/>
        <v>59</v>
      </c>
      <c r="B64" s="7" t="s">
        <v>296</v>
      </c>
      <c r="C64" s="7" t="s">
        <v>5</v>
      </c>
      <c r="D64" s="6" t="s">
        <v>6</v>
      </c>
      <c r="E64" s="8">
        <v>2</v>
      </c>
      <c r="F64" s="8">
        <v>900</v>
      </c>
      <c r="G64" s="8">
        <f t="shared" si="1"/>
        <v>1800</v>
      </c>
      <c r="H64" s="6" t="s">
        <v>9</v>
      </c>
      <c r="I64" s="12">
        <f>SUMIFS(IMPORT!$M$2:$M$94,IMPORT!$K$2:$K$94,CDC!B64)</f>
        <v>0</v>
      </c>
      <c r="J64" s="12">
        <f>SUMIFS(IMPORT!$R$2:$R$94,IMPORT!$K$2:$K$94,CDC!B64)</f>
        <v>0</v>
      </c>
      <c r="K64" s="12">
        <f>SUMIFS(IMPORT!$O$2:$O$94,IMPORT!$K$2:$K$94,CDC!B64)</f>
        <v>0</v>
      </c>
      <c r="L64" s="12">
        <f t="shared" si="2"/>
        <v>2</v>
      </c>
      <c r="M64" s="13">
        <f t="shared" si="3"/>
        <v>1</v>
      </c>
      <c r="N64" s="12" t="str">
        <f t="shared" si="4"/>
        <v>OK</v>
      </c>
      <c r="O64" s="6" t="s">
        <v>83</v>
      </c>
    </row>
    <row r="65" spans="1:18">
      <c r="A65" s="27">
        <f t="shared" si="5"/>
        <v>60</v>
      </c>
      <c r="B65" s="7" t="s">
        <v>297</v>
      </c>
      <c r="C65" s="7" t="s">
        <v>5</v>
      </c>
      <c r="D65" s="6" t="s">
        <v>6</v>
      </c>
      <c r="E65" s="8">
        <v>2</v>
      </c>
      <c r="F65" s="8">
        <v>140</v>
      </c>
      <c r="G65" s="8">
        <f t="shared" si="1"/>
        <v>280</v>
      </c>
      <c r="H65" s="6" t="s">
        <v>9</v>
      </c>
      <c r="I65" s="12">
        <f>SUMIFS(IMPORT!$M$2:$M$94,IMPORT!$K$2:$K$94,CDC!B65)</f>
        <v>0</v>
      </c>
      <c r="J65" s="12">
        <f>SUMIFS(IMPORT!$R$2:$R$94,IMPORT!$K$2:$K$94,CDC!B65)</f>
        <v>0</v>
      </c>
      <c r="K65" s="12">
        <f>SUMIFS(IMPORT!$O$2:$O$94,IMPORT!$K$2:$K$94,CDC!B65)</f>
        <v>0</v>
      </c>
      <c r="L65" s="12">
        <f t="shared" si="2"/>
        <v>2</v>
      </c>
      <c r="M65" s="13">
        <f t="shared" si="3"/>
        <v>1</v>
      </c>
      <c r="N65" s="12" t="str">
        <f t="shared" si="4"/>
        <v>OK</v>
      </c>
      <c r="O65" s="6" t="s">
        <v>84</v>
      </c>
    </row>
    <row r="66" spans="1:18">
      <c r="A66" s="27">
        <f t="shared" si="5"/>
        <v>61</v>
      </c>
      <c r="B66" s="7" t="s">
        <v>298</v>
      </c>
      <c r="C66" s="7" t="s">
        <v>5</v>
      </c>
      <c r="D66" s="6" t="s">
        <v>6</v>
      </c>
      <c r="E66" s="8">
        <v>2</v>
      </c>
      <c r="F66" s="8">
        <v>2800</v>
      </c>
      <c r="G66" s="8">
        <f t="shared" si="1"/>
        <v>5600</v>
      </c>
      <c r="H66" s="6" t="s">
        <v>9</v>
      </c>
      <c r="I66" s="12">
        <f>SUMIFS(IMPORT!$M$2:$M$94,IMPORT!$K$2:$K$94,CDC!B66)</f>
        <v>0</v>
      </c>
      <c r="J66" s="12">
        <f>SUMIFS(IMPORT!$R$2:$R$94,IMPORT!$K$2:$K$94,CDC!B66)</f>
        <v>0</v>
      </c>
      <c r="K66" s="12">
        <f>SUMIFS(IMPORT!$O$2:$O$94,IMPORT!$K$2:$K$94,CDC!B66)</f>
        <v>0</v>
      </c>
      <c r="L66" s="12">
        <f t="shared" si="2"/>
        <v>2</v>
      </c>
      <c r="M66" s="13">
        <f t="shared" si="3"/>
        <v>1</v>
      </c>
      <c r="N66" s="12" t="str">
        <f t="shared" si="4"/>
        <v>OK</v>
      </c>
      <c r="O66" s="6" t="s">
        <v>85</v>
      </c>
    </row>
    <row r="67" spans="1:18">
      <c r="A67" s="27">
        <f t="shared" si="5"/>
        <v>62</v>
      </c>
      <c r="B67" s="7" t="s">
        <v>299</v>
      </c>
      <c r="C67" s="7" t="s">
        <v>5</v>
      </c>
      <c r="D67" s="6" t="s">
        <v>6</v>
      </c>
      <c r="E67" s="8">
        <v>2</v>
      </c>
      <c r="F67" s="8">
        <v>160</v>
      </c>
      <c r="G67" s="8">
        <f t="shared" si="1"/>
        <v>320</v>
      </c>
      <c r="H67" s="6" t="s">
        <v>9</v>
      </c>
      <c r="I67" s="12">
        <f>SUMIFS(IMPORT!$M$2:$M$94,IMPORT!$K$2:$K$94,CDC!B67)</f>
        <v>0</v>
      </c>
      <c r="J67" s="12">
        <f>SUMIFS(IMPORT!$R$2:$R$94,IMPORT!$K$2:$K$94,CDC!B67)</f>
        <v>0</v>
      </c>
      <c r="K67" s="12">
        <f>SUMIFS(IMPORT!$O$2:$O$94,IMPORT!$K$2:$K$94,CDC!B67)</f>
        <v>0</v>
      </c>
      <c r="L67" s="12">
        <f t="shared" si="2"/>
        <v>2</v>
      </c>
      <c r="M67" s="13">
        <f t="shared" si="3"/>
        <v>1</v>
      </c>
      <c r="N67" s="12" t="str">
        <f t="shared" si="4"/>
        <v>OK</v>
      </c>
      <c r="O67" s="6" t="s">
        <v>86</v>
      </c>
    </row>
    <row r="68" spans="1:18">
      <c r="A68" s="27">
        <f t="shared" si="5"/>
        <v>63</v>
      </c>
      <c r="B68" s="7" t="s">
        <v>300</v>
      </c>
      <c r="C68" s="7" t="s">
        <v>5</v>
      </c>
      <c r="D68" s="6" t="s">
        <v>6</v>
      </c>
      <c r="E68" s="8">
        <v>5</v>
      </c>
      <c r="F68" s="8">
        <v>700</v>
      </c>
      <c r="G68" s="8">
        <f t="shared" si="1"/>
        <v>3500</v>
      </c>
      <c r="H68" s="6" t="s">
        <v>9</v>
      </c>
      <c r="I68" s="12">
        <f>SUMIFS(IMPORT!$M$2:$M$94,IMPORT!$K$2:$K$94,CDC!B68)</f>
        <v>1</v>
      </c>
      <c r="J68" s="12">
        <f>SUMIFS(IMPORT!$R$2:$R$94,IMPORT!$K$2:$K$94,CDC!B68)</f>
        <v>700</v>
      </c>
      <c r="K68" s="12">
        <f>SUMIFS(IMPORT!$O$2:$O$94,IMPORT!$K$2:$K$94,CDC!B68)</f>
        <v>476.2</v>
      </c>
      <c r="L68" s="12">
        <f t="shared" si="2"/>
        <v>4</v>
      </c>
      <c r="M68" s="13">
        <f t="shared" si="3"/>
        <v>0.8</v>
      </c>
      <c r="N68" s="12" t="str">
        <f t="shared" si="4"/>
        <v>OK</v>
      </c>
      <c r="O68" s="6" t="s">
        <v>87</v>
      </c>
    </row>
    <row r="69" spans="1:18">
      <c r="A69" s="27">
        <f t="shared" si="5"/>
        <v>64</v>
      </c>
      <c r="B69" s="7" t="s">
        <v>301</v>
      </c>
      <c r="C69" s="7" t="s">
        <v>5</v>
      </c>
      <c r="D69" s="6" t="s">
        <v>6</v>
      </c>
      <c r="E69" s="8">
        <v>6</v>
      </c>
      <c r="F69" s="8">
        <v>8000</v>
      </c>
      <c r="G69" s="8">
        <f t="shared" si="1"/>
        <v>48000</v>
      </c>
      <c r="H69" s="6" t="s">
        <v>9</v>
      </c>
      <c r="I69" s="12">
        <f>SUMIFS(IMPORT!$M$2:$M$94,IMPORT!$K$2:$K$94,CDC!B69)</f>
        <v>0</v>
      </c>
      <c r="J69" s="12">
        <f>SUMIFS(IMPORT!$R$2:$R$94,IMPORT!$K$2:$K$94,CDC!B69)</f>
        <v>0</v>
      </c>
      <c r="K69" s="12">
        <f>SUMIFS(IMPORT!$O$2:$O$94,IMPORT!$K$2:$K$94,CDC!B69)</f>
        <v>0</v>
      </c>
      <c r="L69" s="12">
        <f t="shared" si="2"/>
        <v>6</v>
      </c>
      <c r="M69" s="13">
        <f t="shared" si="3"/>
        <v>1</v>
      </c>
      <c r="N69" s="12" t="str">
        <f t="shared" si="4"/>
        <v>OK</v>
      </c>
      <c r="O69" s="6" t="s">
        <v>88</v>
      </c>
    </row>
    <row r="70" spans="1:18">
      <c r="A70" s="27">
        <f t="shared" si="5"/>
        <v>65</v>
      </c>
      <c r="B70" s="7" t="s">
        <v>302</v>
      </c>
      <c r="C70" s="7" t="s">
        <v>5</v>
      </c>
      <c r="D70" s="6" t="s">
        <v>6</v>
      </c>
      <c r="E70" s="8">
        <v>6</v>
      </c>
      <c r="F70" s="8">
        <v>1700</v>
      </c>
      <c r="G70" s="8">
        <f t="shared" si="1"/>
        <v>10200</v>
      </c>
      <c r="H70" s="6" t="s">
        <v>9</v>
      </c>
      <c r="I70" s="12">
        <f>SUMIFS(IMPORT!$M$2:$M$94,IMPORT!$K$2:$K$94,CDC!B70)</f>
        <v>0</v>
      </c>
      <c r="J70" s="12">
        <f>SUMIFS(IMPORT!$R$2:$R$94,IMPORT!$K$2:$K$94,CDC!B70)</f>
        <v>0</v>
      </c>
      <c r="K70" s="12">
        <f>SUMIFS(IMPORT!$O$2:$O$94,IMPORT!$K$2:$K$94,CDC!B70)</f>
        <v>0</v>
      </c>
      <c r="L70" s="12">
        <f t="shared" si="2"/>
        <v>6</v>
      </c>
      <c r="M70" s="13">
        <f t="shared" si="3"/>
        <v>1</v>
      </c>
      <c r="N70" s="12" t="str">
        <f t="shared" si="4"/>
        <v>OK</v>
      </c>
      <c r="O70" s="6" t="s">
        <v>89</v>
      </c>
    </row>
    <row r="71" spans="1:18">
      <c r="A71" s="27">
        <f t="shared" ref="A71:A102" si="6">A70+1</f>
        <v>66</v>
      </c>
      <c r="B71" s="7" t="s">
        <v>303</v>
      </c>
      <c r="C71" s="7" t="s">
        <v>5</v>
      </c>
      <c r="D71" s="6" t="s">
        <v>6</v>
      </c>
      <c r="E71" s="8">
        <v>6</v>
      </c>
      <c r="F71" s="8">
        <v>2500</v>
      </c>
      <c r="G71" s="8">
        <f t="shared" ref="G71:G135" si="7">F71*E71</f>
        <v>15000</v>
      </c>
      <c r="H71" s="6" t="s">
        <v>9</v>
      </c>
      <c r="I71" s="12">
        <f>SUMIFS(IMPORT!$M$2:$M$94,IMPORT!$K$2:$K$94,CDC!B71)</f>
        <v>0</v>
      </c>
      <c r="J71" s="12">
        <f>SUMIFS(IMPORT!$R$2:$R$94,IMPORT!$K$2:$K$94,CDC!B71)</f>
        <v>0</v>
      </c>
      <c r="K71" s="12">
        <f>SUMIFS(IMPORT!$O$2:$O$94,IMPORT!$K$2:$K$94,CDC!B71)</f>
        <v>0</v>
      </c>
      <c r="L71" s="12">
        <f t="shared" ref="L71:L135" si="8">E71-I71</f>
        <v>6</v>
      </c>
      <c r="M71" s="13">
        <f t="shared" ref="M71:M135" si="9">L71/E71</f>
        <v>1</v>
      </c>
      <c r="N71" s="12" t="str">
        <f t="shared" ref="N71:N135" si="10">IF(M71&lt;50%,"CHECK","OK")</f>
        <v>OK</v>
      </c>
      <c r="O71" s="6" t="s">
        <v>90</v>
      </c>
    </row>
    <row r="72" spans="1:18">
      <c r="A72" s="27">
        <f t="shared" si="6"/>
        <v>67</v>
      </c>
      <c r="B72" s="7" t="s">
        <v>304</v>
      </c>
      <c r="C72" s="7" t="s">
        <v>5</v>
      </c>
      <c r="D72" s="6" t="s">
        <v>6</v>
      </c>
      <c r="E72" s="8">
        <v>5</v>
      </c>
      <c r="F72" s="8">
        <v>22000</v>
      </c>
      <c r="G72" s="8">
        <f t="shared" si="7"/>
        <v>110000</v>
      </c>
      <c r="H72" s="6" t="s">
        <v>9</v>
      </c>
      <c r="I72" s="12">
        <f>SUMIFS(IMPORT!$M$2:$M$94,IMPORT!$K$2:$K$94,CDC!B72)</f>
        <v>0</v>
      </c>
      <c r="J72" s="12">
        <f>SUMIFS(IMPORT!$R$2:$R$94,IMPORT!$K$2:$K$94,CDC!B72)</f>
        <v>0</v>
      </c>
      <c r="K72" s="12">
        <f>SUMIFS(IMPORT!$O$2:$O$94,IMPORT!$K$2:$K$94,CDC!B72)</f>
        <v>0</v>
      </c>
      <c r="L72" s="12">
        <f t="shared" si="8"/>
        <v>5</v>
      </c>
      <c r="M72" s="13">
        <f t="shared" si="9"/>
        <v>1</v>
      </c>
      <c r="N72" s="12" t="str">
        <f t="shared" si="10"/>
        <v>OK</v>
      </c>
      <c r="O72" s="6" t="s">
        <v>91</v>
      </c>
    </row>
    <row r="73" spans="1:18">
      <c r="A73" s="27">
        <f t="shared" si="6"/>
        <v>68</v>
      </c>
      <c r="B73" s="7" t="s">
        <v>305</v>
      </c>
      <c r="C73" s="7" t="s">
        <v>5</v>
      </c>
      <c r="D73" s="6" t="s">
        <v>6</v>
      </c>
      <c r="E73" s="8">
        <v>2</v>
      </c>
      <c r="F73" s="8">
        <v>8000</v>
      </c>
      <c r="G73" s="8">
        <f t="shared" si="7"/>
        <v>16000</v>
      </c>
      <c r="H73" s="6" t="s">
        <v>9</v>
      </c>
      <c r="I73" s="12">
        <f>SUMIFS(IMPORT!$M$2:$M$94,IMPORT!$K$2:$K$94,CDC!B73)</f>
        <v>1</v>
      </c>
      <c r="J73" s="12">
        <f>SUMIFS(IMPORT!$R$2:$R$94,IMPORT!$K$2:$K$94,CDC!B73)</f>
        <v>8000</v>
      </c>
      <c r="K73" s="12">
        <f>SUMIFS(IMPORT!$O$2:$O$94,IMPORT!$K$2:$K$94,CDC!B73)</f>
        <v>3360.6</v>
      </c>
      <c r="L73" s="12">
        <f t="shared" si="8"/>
        <v>1</v>
      </c>
      <c r="M73" s="13">
        <f t="shared" si="9"/>
        <v>0.5</v>
      </c>
      <c r="N73" s="12" t="str">
        <f t="shared" si="10"/>
        <v>OK</v>
      </c>
      <c r="O73" s="6" t="s">
        <v>92</v>
      </c>
    </row>
    <row r="74" spans="1:18">
      <c r="A74" s="27">
        <f t="shared" si="6"/>
        <v>69</v>
      </c>
      <c r="B74" s="7" t="s">
        <v>306</v>
      </c>
      <c r="C74" s="7" t="s">
        <v>5</v>
      </c>
      <c r="D74" s="6" t="s">
        <v>6</v>
      </c>
      <c r="E74" s="8">
        <v>70</v>
      </c>
      <c r="F74" s="8">
        <v>80</v>
      </c>
      <c r="G74" s="8">
        <f t="shared" si="7"/>
        <v>5600</v>
      </c>
      <c r="H74" s="6" t="s">
        <v>9</v>
      </c>
      <c r="I74" s="12">
        <f>SUMIFS(IMPORT!$M$2:$M$94,IMPORT!$K$2:$K$94,CDC!B74)</f>
        <v>0</v>
      </c>
      <c r="J74" s="12">
        <f>SUMIFS(IMPORT!$R$2:$R$94,IMPORT!$K$2:$K$94,CDC!B74)</f>
        <v>0</v>
      </c>
      <c r="K74" s="12">
        <f>SUMIFS(IMPORT!$O$2:$O$94,IMPORT!$K$2:$K$94,CDC!B74)</f>
        <v>0</v>
      </c>
      <c r="L74" s="12">
        <f t="shared" si="8"/>
        <v>70</v>
      </c>
      <c r="M74" s="13">
        <f t="shared" si="9"/>
        <v>1</v>
      </c>
      <c r="N74" s="12" t="str">
        <f t="shared" si="10"/>
        <v>OK</v>
      </c>
      <c r="O74" s="6" t="s">
        <v>93</v>
      </c>
    </row>
    <row r="75" spans="1:18" s="21" customFormat="1">
      <c r="A75" s="28">
        <f t="shared" si="6"/>
        <v>70</v>
      </c>
      <c r="B75" s="17" t="s">
        <v>3</v>
      </c>
      <c r="C75" s="17" t="s">
        <v>5</v>
      </c>
      <c r="D75" s="16" t="s">
        <v>6</v>
      </c>
      <c r="E75" s="18">
        <v>70</v>
      </c>
      <c r="F75" s="18">
        <v>200</v>
      </c>
      <c r="G75" s="18">
        <f t="shared" si="7"/>
        <v>14000</v>
      </c>
      <c r="H75" s="16" t="s">
        <v>9</v>
      </c>
      <c r="I75" s="19">
        <f>SUMIFS(IMPORT!$M$2:$M$94,IMPORT!$K$2:$K$94,CDC!B75)</f>
        <v>20</v>
      </c>
      <c r="J75" s="19">
        <f>SUMIFS(IMPORT!$R$2:$R$94,IMPORT!$K$2:$K$94,CDC!B75)</f>
        <v>4000</v>
      </c>
      <c r="K75" s="19">
        <f>SUMIFS(IMPORT!$O$2:$O$94,IMPORT!$K$2:$K$94,CDC!B75)</f>
        <v>1180</v>
      </c>
      <c r="L75" s="19">
        <f t="shared" si="8"/>
        <v>50</v>
      </c>
      <c r="M75" s="20">
        <f t="shared" si="9"/>
        <v>0.7142857142857143</v>
      </c>
      <c r="N75" s="19" t="str">
        <f t="shared" si="10"/>
        <v>OK</v>
      </c>
      <c r="O75" s="16" t="s">
        <v>94</v>
      </c>
    </row>
    <row r="76" spans="1:18">
      <c r="A76" s="27">
        <f t="shared" si="6"/>
        <v>71</v>
      </c>
      <c r="B76" s="7" t="s">
        <v>307</v>
      </c>
      <c r="C76" s="7" t="s">
        <v>5</v>
      </c>
      <c r="D76" s="6" t="s">
        <v>6</v>
      </c>
      <c r="E76" s="8">
        <v>30</v>
      </c>
      <c r="F76" s="8">
        <v>1000</v>
      </c>
      <c r="G76" s="8">
        <f t="shared" si="7"/>
        <v>30000</v>
      </c>
      <c r="H76" s="6" t="s">
        <v>9</v>
      </c>
      <c r="I76" s="12">
        <f>SUMIFS(IMPORT!$M$2:$M$94,IMPORT!$K$2:$K$94,CDC!B76)</f>
        <v>0</v>
      </c>
      <c r="J76" s="12">
        <f>SUMIFS(IMPORT!$R$2:$R$94,IMPORT!$K$2:$K$94,CDC!B76)</f>
        <v>0</v>
      </c>
      <c r="K76" s="12">
        <f>SUMIFS(IMPORT!$O$2:$O$94,IMPORT!$K$2:$K$94,CDC!B76)</f>
        <v>0</v>
      </c>
      <c r="L76" s="12">
        <f t="shared" si="8"/>
        <v>30</v>
      </c>
      <c r="M76" s="13">
        <f t="shared" si="9"/>
        <v>1</v>
      </c>
      <c r="N76" s="12" t="str">
        <f t="shared" si="10"/>
        <v>OK</v>
      </c>
      <c r="O76" s="6" t="s">
        <v>95</v>
      </c>
    </row>
    <row r="77" spans="1:18">
      <c r="A77" s="27">
        <f t="shared" si="6"/>
        <v>72</v>
      </c>
      <c r="B77" s="7" t="s">
        <v>308</v>
      </c>
      <c r="C77" s="7" t="s">
        <v>5</v>
      </c>
      <c r="D77" s="6" t="s">
        <v>6</v>
      </c>
      <c r="E77" s="8">
        <v>1</v>
      </c>
      <c r="F77" s="8">
        <v>60000</v>
      </c>
      <c r="G77" s="8">
        <f t="shared" si="7"/>
        <v>60000</v>
      </c>
      <c r="H77" s="6" t="s">
        <v>9</v>
      </c>
      <c r="I77" s="12">
        <f>SUMIFS(IMPORT!$M$2:$M$94,IMPORT!$K$2:$K$94,CDC!B77)</f>
        <v>1</v>
      </c>
      <c r="J77" s="12">
        <f>SUMIFS(IMPORT!$R$2:$R$94,IMPORT!$K$2:$K$94,CDC!B77)</f>
        <v>11000</v>
      </c>
      <c r="K77" s="12">
        <f>SUMIFS(IMPORT!$O$2:$O$94,IMPORT!$K$2:$K$94,CDC!B77)</f>
        <v>2415</v>
      </c>
      <c r="L77" s="12">
        <f t="shared" si="8"/>
        <v>0</v>
      </c>
      <c r="M77" s="13">
        <f t="shared" si="9"/>
        <v>0</v>
      </c>
      <c r="N77" s="12" t="str">
        <f t="shared" si="10"/>
        <v>CHECK</v>
      </c>
      <c r="O77" s="6" t="s">
        <v>96</v>
      </c>
    </row>
    <row r="78" spans="1:18">
      <c r="A78" s="27">
        <f t="shared" si="6"/>
        <v>73</v>
      </c>
      <c r="B78" s="7" t="s">
        <v>309</v>
      </c>
      <c r="C78" s="7" t="s">
        <v>5</v>
      </c>
      <c r="D78" s="6" t="s">
        <v>6</v>
      </c>
      <c r="E78" s="8">
        <v>5</v>
      </c>
      <c r="F78" s="8">
        <v>3500</v>
      </c>
      <c r="G78" s="8">
        <f t="shared" si="7"/>
        <v>17500</v>
      </c>
      <c r="H78" s="6" t="s">
        <v>9</v>
      </c>
      <c r="I78" s="12">
        <f>SUMIFS(IMPORT!$M$2:$M$94,IMPORT!$K$2:$K$94,CDC!B78)</f>
        <v>0</v>
      </c>
      <c r="J78" s="12">
        <f>SUMIFS(IMPORT!$R$2:$R$94,IMPORT!$K$2:$K$94,CDC!B78)</f>
        <v>0</v>
      </c>
      <c r="K78" s="12">
        <f>SUMIFS(IMPORT!$O$2:$O$94,IMPORT!$K$2:$K$94,CDC!B78)</f>
        <v>0</v>
      </c>
      <c r="L78" s="12">
        <f t="shared" si="8"/>
        <v>5</v>
      </c>
      <c r="M78" s="13">
        <f t="shared" si="9"/>
        <v>1</v>
      </c>
      <c r="N78" s="12" t="str">
        <f t="shared" si="10"/>
        <v>OK</v>
      </c>
      <c r="O78" s="6" t="s">
        <v>97</v>
      </c>
    </row>
    <row r="79" spans="1:18" s="4" customFormat="1">
      <c r="A79" s="29">
        <f t="shared" si="6"/>
        <v>74</v>
      </c>
      <c r="B79" s="10" t="s">
        <v>310</v>
      </c>
      <c r="C79" s="10" t="s">
        <v>5</v>
      </c>
      <c r="D79" s="9" t="s">
        <v>6</v>
      </c>
      <c r="E79" s="11">
        <v>0</v>
      </c>
      <c r="F79" s="11">
        <v>10</v>
      </c>
      <c r="G79" s="11">
        <f t="shared" si="7"/>
        <v>0</v>
      </c>
      <c r="H79" s="9" t="s">
        <v>9</v>
      </c>
      <c r="I79" s="12">
        <f>SUMIFS(IMPORT!$M$2:$M$94,IMPORT!$K$2:$K$94,CDC!B79)</f>
        <v>0</v>
      </c>
      <c r="J79" s="12">
        <f>SUMIFS(IMPORT!$R$2:$R$94,IMPORT!$K$2:$K$94,CDC!B79)</f>
        <v>0</v>
      </c>
      <c r="K79" s="12">
        <f>SUMIFS(IMPORT!$O$2:$O$94,IMPORT!$K$2:$K$94,CDC!B79)</f>
        <v>0</v>
      </c>
      <c r="L79" s="12">
        <f t="shared" si="8"/>
        <v>0</v>
      </c>
      <c r="M79" s="13">
        <v>0</v>
      </c>
      <c r="N79" s="12" t="str">
        <f t="shared" si="10"/>
        <v>CHECK</v>
      </c>
      <c r="O79" s="9" t="s">
        <v>98</v>
      </c>
      <c r="R79"/>
    </row>
    <row r="80" spans="1:18" s="4" customFormat="1">
      <c r="A80" s="29">
        <f t="shared" si="6"/>
        <v>75</v>
      </c>
      <c r="B80" s="10" t="s">
        <v>311</v>
      </c>
      <c r="C80" s="10" t="s">
        <v>5</v>
      </c>
      <c r="D80" s="9" t="s">
        <v>6</v>
      </c>
      <c r="E80" s="11">
        <v>0</v>
      </c>
      <c r="F80" s="11">
        <v>35</v>
      </c>
      <c r="G80" s="11">
        <f t="shared" si="7"/>
        <v>0</v>
      </c>
      <c r="H80" s="9" t="s">
        <v>9</v>
      </c>
      <c r="I80" s="12">
        <f>SUMIFS(IMPORT!$M$2:$M$94,IMPORT!$K$2:$K$94,CDC!B80)</f>
        <v>0</v>
      </c>
      <c r="J80" s="12">
        <f>SUMIFS(IMPORT!$R$2:$R$94,IMPORT!$K$2:$K$94,CDC!B80)</f>
        <v>0</v>
      </c>
      <c r="K80" s="12">
        <f>SUMIFS(IMPORT!$O$2:$O$94,IMPORT!$K$2:$K$94,CDC!B80)</f>
        <v>0</v>
      </c>
      <c r="L80" s="12">
        <f t="shared" si="8"/>
        <v>0</v>
      </c>
      <c r="M80" s="13">
        <v>0</v>
      </c>
      <c r="N80" s="12" t="str">
        <f t="shared" si="10"/>
        <v>CHECK</v>
      </c>
      <c r="O80" s="9" t="s">
        <v>99</v>
      </c>
      <c r="R80"/>
    </row>
    <row r="81" spans="1:18" s="4" customFormat="1">
      <c r="A81" s="29">
        <f t="shared" si="6"/>
        <v>76</v>
      </c>
      <c r="B81" s="10" t="s">
        <v>312</v>
      </c>
      <c r="C81" s="10" t="s">
        <v>5</v>
      </c>
      <c r="D81" s="9" t="s">
        <v>7</v>
      </c>
      <c r="E81" s="11">
        <v>0</v>
      </c>
      <c r="F81" s="11">
        <v>180</v>
      </c>
      <c r="G81" s="11">
        <f t="shared" si="7"/>
        <v>0</v>
      </c>
      <c r="H81" s="9" t="s">
        <v>9</v>
      </c>
      <c r="I81" s="12">
        <f>SUMIFS(IMPORT!$M$2:$M$94,IMPORT!$K$2:$K$94,CDC!B81)</f>
        <v>0</v>
      </c>
      <c r="J81" s="12">
        <f>SUMIFS(IMPORT!$R$2:$R$94,IMPORT!$K$2:$K$94,CDC!B81)</f>
        <v>0</v>
      </c>
      <c r="K81" s="12">
        <f>SUMIFS(IMPORT!$O$2:$O$94,IMPORT!$K$2:$K$94,CDC!B81)</f>
        <v>0</v>
      </c>
      <c r="L81" s="12">
        <f t="shared" si="8"/>
        <v>0</v>
      </c>
      <c r="M81" s="13">
        <v>0</v>
      </c>
      <c r="N81" s="12" t="str">
        <f t="shared" si="10"/>
        <v>CHECK</v>
      </c>
      <c r="O81" s="9" t="s">
        <v>100</v>
      </c>
      <c r="R81"/>
    </row>
    <row r="82" spans="1:18" s="4" customFormat="1">
      <c r="A82" s="29">
        <f t="shared" si="6"/>
        <v>77</v>
      </c>
      <c r="B82" s="10" t="s">
        <v>313</v>
      </c>
      <c r="C82" s="10" t="s">
        <v>5</v>
      </c>
      <c r="D82" s="9" t="s">
        <v>7</v>
      </c>
      <c r="E82" s="11">
        <v>0</v>
      </c>
      <c r="F82" s="11">
        <v>60</v>
      </c>
      <c r="G82" s="11">
        <f t="shared" si="7"/>
        <v>0</v>
      </c>
      <c r="H82" s="9" t="s">
        <v>9</v>
      </c>
      <c r="I82" s="12">
        <f>SUMIFS(IMPORT!$M$2:$M$94,IMPORT!$K$2:$K$94,CDC!B82)</f>
        <v>0</v>
      </c>
      <c r="J82" s="12">
        <f>SUMIFS(IMPORT!$R$2:$R$94,IMPORT!$K$2:$K$94,CDC!B82)</f>
        <v>0</v>
      </c>
      <c r="K82" s="12">
        <f>SUMIFS(IMPORT!$O$2:$O$94,IMPORT!$K$2:$K$94,CDC!B82)</f>
        <v>0</v>
      </c>
      <c r="L82" s="12">
        <f t="shared" si="8"/>
        <v>0</v>
      </c>
      <c r="M82" s="13">
        <v>0</v>
      </c>
      <c r="N82" s="12" t="str">
        <f t="shared" si="10"/>
        <v>CHECK</v>
      </c>
      <c r="O82" s="9" t="s">
        <v>101</v>
      </c>
      <c r="R82"/>
    </row>
    <row r="83" spans="1:18" s="4" customFormat="1">
      <c r="A83" s="29">
        <f t="shared" si="6"/>
        <v>78</v>
      </c>
      <c r="B83" s="10" t="s">
        <v>314</v>
      </c>
      <c r="C83" s="10" t="s">
        <v>5</v>
      </c>
      <c r="D83" s="9" t="s">
        <v>1</v>
      </c>
      <c r="E83" s="11">
        <v>0</v>
      </c>
      <c r="F83" s="11">
        <v>20</v>
      </c>
      <c r="G83" s="11">
        <f t="shared" si="7"/>
        <v>0</v>
      </c>
      <c r="H83" s="9" t="s">
        <v>9</v>
      </c>
      <c r="I83" s="12">
        <f>SUMIFS(IMPORT!$M$2:$M$94,IMPORT!$K$2:$K$94,CDC!B83)</f>
        <v>0</v>
      </c>
      <c r="J83" s="12">
        <f>SUMIFS(IMPORT!$R$2:$R$94,IMPORT!$K$2:$K$94,CDC!B83)</f>
        <v>0</v>
      </c>
      <c r="K83" s="12">
        <f>SUMIFS(IMPORT!$O$2:$O$94,IMPORT!$K$2:$K$94,CDC!B83)</f>
        <v>0</v>
      </c>
      <c r="L83" s="12">
        <f t="shared" si="8"/>
        <v>0</v>
      </c>
      <c r="M83" s="13">
        <v>0</v>
      </c>
      <c r="N83" s="12" t="str">
        <f t="shared" si="10"/>
        <v>CHECK</v>
      </c>
      <c r="O83" s="9" t="s">
        <v>102</v>
      </c>
      <c r="R83"/>
    </row>
    <row r="84" spans="1:18" s="4" customFormat="1">
      <c r="A84" s="29">
        <f t="shared" si="6"/>
        <v>79</v>
      </c>
      <c r="B84" s="10" t="s">
        <v>315</v>
      </c>
      <c r="C84" s="10" t="s">
        <v>5</v>
      </c>
      <c r="D84" s="9" t="s">
        <v>1</v>
      </c>
      <c r="E84" s="11">
        <v>0</v>
      </c>
      <c r="F84" s="11">
        <v>65</v>
      </c>
      <c r="G84" s="11">
        <f t="shared" si="7"/>
        <v>0</v>
      </c>
      <c r="H84" s="9" t="s">
        <v>9</v>
      </c>
      <c r="I84" s="12">
        <f>SUMIFS(IMPORT!$M$2:$M$94,IMPORT!$K$2:$K$94,CDC!B84)</f>
        <v>0</v>
      </c>
      <c r="J84" s="12">
        <f>SUMIFS(IMPORT!$R$2:$R$94,IMPORT!$K$2:$K$94,CDC!B84)</f>
        <v>0</v>
      </c>
      <c r="K84" s="12">
        <f>SUMIFS(IMPORT!$O$2:$O$94,IMPORT!$K$2:$K$94,CDC!B84)</f>
        <v>0</v>
      </c>
      <c r="L84" s="12">
        <f t="shared" si="8"/>
        <v>0</v>
      </c>
      <c r="M84" s="13">
        <v>0</v>
      </c>
      <c r="N84" s="12" t="str">
        <f t="shared" si="10"/>
        <v>CHECK</v>
      </c>
      <c r="O84" s="9" t="s">
        <v>103</v>
      </c>
      <c r="R84"/>
    </row>
    <row r="85" spans="1:18" s="4" customFormat="1">
      <c r="A85" s="29">
        <f t="shared" si="6"/>
        <v>80</v>
      </c>
      <c r="B85" s="10" t="s">
        <v>316</v>
      </c>
      <c r="C85" s="10" t="s">
        <v>5</v>
      </c>
      <c r="D85" s="9" t="s">
        <v>6</v>
      </c>
      <c r="E85" s="11">
        <v>0</v>
      </c>
      <c r="F85" s="11">
        <v>3</v>
      </c>
      <c r="G85" s="11">
        <f t="shared" si="7"/>
        <v>0</v>
      </c>
      <c r="H85" s="9" t="s">
        <v>9</v>
      </c>
      <c r="I85" s="12">
        <f>SUMIFS(IMPORT!$M$2:$M$94,IMPORT!$K$2:$K$94,CDC!B85)</f>
        <v>0</v>
      </c>
      <c r="J85" s="12">
        <f>SUMIFS(IMPORT!$R$2:$R$94,IMPORT!$K$2:$K$94,CDC!B85)</f>
        <v>0</v>
      </c>
      <c r="K85" s="12">
        <f>SUMIFS(IMPORT!$O$2:$O$94,IMPORT!$K$2:$K$94,CDC!B85)</f>
        <v>0</v>
      </c>
      <c r="L85" s="12">
        <f t="shared" si="8"/>
        <v>0</v>
      </c>
      <c r="M85" s="13">
        <v>0</v>
      </c>
      <c r="N85" s="12" t="str">
        <f t="shared" si="10"/>
        <v>CHECK</v>
      </c>
      <c r="O85" s="9" t="s">
        <v>104</v>
      </c>
      <c r="R85"/>
    </row>
    <row r="86" spans="1:18" s="4" customFormat="1">
      <c r="A86" s="29">
        <f t="shared" si="6"/>
        <v>81</v>
      </c>
      <c r="B86" s="10" t="s">
        <v>317</v>
      </c>
      <c r="C86" s="10" t="s">
        <v>5</v>
      </c>
      <c r="D86" s="9" t="s">
        <v>6</v>
      </c>
      <c r="E86" s="11">
        <v>0</v>
      </c>
      <c r="F86" s="11">
        <v>200</v>
      </c>
      <c r="G86" s="11">
        <f t="shared" si="7"/>
        <v>0</v>
      </c>
      <c r="H86" s="9" t="s">
        <v>9</v>
      </c>
      <c r="I86" s="12">
        <f>SUMIFS(IMPORT!$M$2:$M$94,IMPORT!$K$2:$K$94,CDC!B86)</f>
        <v>0</v>
      </c>
      <c r="J86" s="12">
        <f>SUMIFS(IMPORT!$R$2:$R$94,IMPORT!$K$2:$K$94,CDC!B86)</f>
        <v>0</v>
      </c>
      <c r="K86" s="12">
        <f>SUMIFS(IMPORT!$O$2:$O$94,IMPORT!$K$2:$K$94,CDC!B86)</f>
        <v>0</v>
      </c>
      <c r="L86" s="12">
        <f t="shared" si="8"/>
        <v>0</v>
      </c>
      <c r="M86" s="13">
        <v>0</v>
      </c>
      <c r="N86" s="12" t="str">
        <f t="shared" si="10"/>
        <v>CHECK</v>
      </c>
      <c r="O86" s="9" t="s">
        <v>105</v>
      </c>
      <c r="R86"/>
    </row>
    <row r="87" spans="1:18">
      <c r="A87" s="27">
        <f t="shared" si="6"/>
        <v>82</v>
      </c>
      <c r="B87" s="7" t="s">
        <v>318</v>
      </c>
      <c r="C87" s="7" t="s">
        <v>5</v>
      </c>
      <c r="D87" s="6" t="s">
        <v>6</v>
      </c>
      <c r="E87" s="8">
        <v>10</v>
      </c>
      <c r="F87" s="8">
        <v>800</v>
      </c>
      <c r="G87" s="8">
        <f t="shared" si="7"/>
        <v>8000</v>
      </c>
      <c r="H87" s="6" t="s">
        <v>9</v>
      </c>
      <c r="I87" s="12">
        <f>SUMIFS(IMPORT!$M$2:$M$94,IMPORT!$K$2:$K$94,CDC!B87)</f>
        <v>0</v>
      </c>
      <c r="J87" s="12">
        <f>SUMIFS(IMPORT!$R$2:$R$94,IMPORT!$K$2:$K$94,CDC!B87)</f>
        <v>0</v>
      </c>
      <c r="K87" s="12">
        <f>SUMIFS(IMPORT!$O$2:$O$94,IMPORT!$K$2:$K$94,CDC!B87)</f>
        <v>0</v>
      </c>
      <c r="L87" s="12">
        <f t="shared" si="8"/>
        <v>10</v>
      </c>
      <c r="M87" s="13">
        <f t="shared" si="9"/>
        <v>1</v>
      </c>
      <c r="N87" s="12" t="str">
        <f t="shared" si="10"/>
        <v>OK</v>
      </c>
      <c r="O87" s="6" t="s">
        <v>106</v>
      </c>
    </row>
    <row r="88" spans="1:18">
      <c r="A88" s="27">
        <f t="shared" si="6"/>
        <v>83</v>
      </c>
      <c r="B88" s="7" t="s">
        <v>319</v>
      </c>
      <c r="C88" s="7" t="s">
        <v>5</v>
      </c>
      <c r="D88" s="6" t="s">
        <v>6</v>
      </c>
      <c r="E88" s="8">
        <v>5</v>
      </c>
      <c r="F88" s="8">
        <v>8000</v>
      </c>
      <c r="G88" s="8">
        <f t="shared" si="7"/>
        <v>40000</v>
      </c>
      <c r="H88" s="6" t="s">
        <v>9</v>
      </c>
      <c r="I88" s="12">
        <f>SUMIFS(IMPORT!$M$2:$M$94,IMPORT!$K$2:$K$94,CDC!B88)</f>
        <v>0</v>
      </c>
      <c r="J88" s="12">
        <f>SUMIFS(IMPORT!$R$2:$R$94,IMPORT!$K$2:$K$94,CDC!B88)</f>
        <v>0</v>
      </c>
      <c r="K88" s="12">
        <f>SUMIFS(IMPORT!$O$2:$O$94,IMPORT!$K$2:$K$94,CDC!B88)</f>
        <v>0</v>
      </c>
      <c r="L88" s="12">
        <f t="shared" si="8"/>
        <v>5</v>
      </c>
      <c r="M88" s="13">
        <f t="shared" si="9"/>
        <v>1</v>
      </c>
      <c r="N88" s="12" t="str">
        <f t="shared" si="10"/>
        <v>OK</v>
      </c>
      <c r="O88" s="6" t="s">
        <v>107</v>
      </c>
    </row>
    <row r="89" spans="1:18">
      <c r="A89" s="27">
        <f t="shared" si="6"/>
        <v>84</v>
      </c>
      <c r="B89" s="7" t="s">
        <v>320</v>
      </c>
      <c r="C89" s="7" t="s">
        <v>5</v>
      </c>
      <c r="D89" s="6" t="s">
        <v>6</v>
      </c>
      <c r="E89" s="8">
        <v>10</v>
      </c>
      <c r="F89" s="8">
        <v>1400</v>
      </c>
      <c r="G89" s="8">
        <f t="shared" si="7"/>
        <v>14000</v>
      </c>
      <c r="H89" s="6" t="s">
        <v>9</v>
      </c>
      <c r="I89" s="12">
        <f>SUMIFS(IMPORT!$M$2:$M$94,IMPORT!$K$2:$K$94,CDC!B89)</f>
        <v>0</v>
      </c>
      <c r="J89" s="12">
        <f>SUMIFS(IMPORT!$R$2:$R$94,IMPORT!$K$2:$K$94,CDC!B89)</f>
        <v>0</v>
      </c>
      <c r="K89" s="12">
        <f>SUMIFS(IMPORT!$O$2:$O$94,IMPORT!$K$2:$K$94,CDC!B89)</f>
        <v>0</v>
      </c>
      <c r="L89" s="12">
        <f t="shared" si="8"/>
        <v>10</v>
      </c>
      <c r="M89" s="13">
        <f t="shared" si="9"/>
        <v>1</v>
      </c>
      <c r="N89" s="12" t="str">
        <f t="shared" si="10"/>
        <v>OK</v>
      </c>
      <c r="O89" s="6" t="s">
        <v>108</v>
      </c>
    </row>
    <row r="90" spans="1:18">
      <c r="A90" s="27">
        <f t="shared" si="6"/>
        <v>85</v>
      </c>
      <c r="B90" s="7" t="s">
        <v>321</v>
      </c>
      <c r="C90" s="7" t="s">
        <v>5</v>
      </c>
      <c r="D90" s="6" t="s">
        <v>6</v>
      </c>
      <c r="E90" s="8">
        <v>10</v>
      </c>
      <c r="F90" s="8">
        <v>300</v>
      </c>
      <c r="G90" s="8">
        <f t="shared" si="7"/>
        <v>3000</v>
      </c>
      <c r="H90" s="6" t="s">
        <v>9</v>
      </c>
      <c r="I90" s="12">
        <f>SUMIFS(IMPORT!$M$2:$M$94,IMPORT!$K$2:$K$94,CDC!B90)</f>
        <v>0</v>
      </c>
      <c r="J90" s="12">
        <f>SUMIFS(IMPORT!$R$2:$R$94,IMPORT!$K$2:$K$94,CDC!B90)</f>
        <v>0</v>
      </c>
      <c r="K90" s="12">
        <f>SUMIFS(IMPORT!$O$2:$O$94,IMPORT!$K$2:$K$94,CDC!B90)</f>
        <v>0</v>
      </c>
      <c r="L90" s="12">
        <f t="shared" si="8"/>
        <v>10</v>
      </c>
      <c r="M90" s="13">
        <f t="shared" si="9"/>
        <v>1</v>
      </c>
      <c r="N90" s="12" t="str">
        <f t="shared" si="10"/>
        <v>OK</v>
      </c>
      <c r="O90" s="6" t="s">
        <v>109</v>
      </c>
    </row>
    <row r="91" spans="1:18">
      <c r="A91" s="27">
        <f t="shared" si="6"/>
        <v>86</v>
      </c>
      <c r="B91" s="7" t="s">
        <v>322</v>
      </c>
      <c r="C91" s="7" t="s">
        <v>5</v>
      </c>
      <c r="D91" s="6" t="s">
        <v>6</v>
      </c>
      <c r="E91" s="8">
        <v>35</v>
      </c>
      <c r="F91" s="8">
        <v>60</v>
      </c>
      <c r="G91" s="8">
        <f t="shared" si="7"/>
        <v>2100</v>
      </c>
      <c r="H91" s="6" t="s">
        <v>9</v>
      </c>
      <c r="I91" s="12">
        <f>SUMIFS(IMPORT!$M$2:$M$94,IMPORT!$K$2:$K$94,CDC!B91)</f>
        <v>2</v>
      </c>
      <c r="J91" s="12">
        <f>SUMIFS(IMPORT!$R$2:$R$94,IMPORT!$K$2:$K$94,CDC!B91)</f>
        <v>120</v>
      </c>
      <c r="K91" s="12">
        <f>SUMIFS(IMPORT!$O$2:$O$94,IMPORT!$K$2:$K$94,CDC!B91)</f>
        <v>1</v>
      </c>
      <c r="L91" s="12">
        <f t="shared" si="8"/>
        <v>33</v>
      </c>
      <c r="M91" s="13">
        <f t="shared" si="9"/>
        <v>0.94285714285714284</v>
      </c>
      <c r="N91" s="12" t="str">
        <f t="shared" si="10"/>
        <v>OK</v>
      </c>
      <c r="O91" s="6" t="s">
        <v>110</v>
      </c>
    </row>
    <row r="92" spans="1:18" s="4" customFormat="1">
      <c r="A92" s="29">
        <f t="shared" si="6"/>
        <v>87</v>
      </c>
      <c r="B92" s="10" t="s">
        <v>323</v>
      </c>
      <c r="C92" s="10" t="s">
        <v>5</v>
      </c>
      <c r="D92" s="9" t="s">
        <v>6</v>
      </c>
      <c r="E92" s="11">
        <v>0</v>
      </c>
      <c r="F92" s="11">
        <v>50</v>
      </c>
      <c r="G92" s="11">
        <f t="shared" si="7"/>
        <v>0</v>
      </c>
      <c r="H92" s="9" t="s">
        <v>9</v>
      </c>
      <c r="I92" s="12">
        <f>SUMIFS(IMPORT!$M$2:$M$94,IMPORT!$K$2:$K$94,CDC!B92)</f>
        <v>0</v>
      </c>
      <c r="J92" s="12">
        <f>SUMIFS(IMPORT!$R$2:$R$94,IMPORT!$K$2:$K$94,CDC!B92)</f>
        <v>0</v>
      </c>
      <c r="K92" s="12">
        <f>SUMIFS(IMPORT!$O$2:$O$94,IMPORT!$K$2:$K$94,CDC!B92)</f>
        <v>0</v>
      </c>
      <c r="L92" s="12">
        <f t="shared" si="8"/>
        <v>0</v>
      </c>
      <c r="M92" s="13">
        <v>0</v>
      </c>
      <c r="N92" s="12" t="str">
        <f t="shared" si="10"/>
        <v>CHECK</v>
      </c>
      <c r="O92" s="9" t="s">
        <v>111</v>
      </c>
      <c r="R92"/>
    </row>
    <row r="93" spans="1:18" s="4" customFormat="1">
      <c r="A93" s="29">
        <f t="shared" si="6"/>
        <v>88</v>
      </c>
      <c r="B93" s="10" t="s">
        <v>324</v>
      </c>
      <c r="C93" s="10" t="s">
        <v>5</v>
      </c>
      <c r="D93" s="9" t="s">
        <v>6</v>
      </c>
      <c r="E93" s="11">
        <v>0</v>
      </c>
      <c r="F93" s="11">
        <v>40</v>
      </c>
      <c r="G93" s="11">
        <f t="shared" si="7"/>
        <v>0</v>
      </c>
      <c r="H93" s="9" t="s">
        <v>9</v>
      </c>
      <c r="I93" s="12">
        <f>SUMIFS(IMPORT!$M$2:$M$94,IMPORT!$K$2:$K$94,CDC!B93)</f>
        <v>0</v>
      </c>
      <c r="J93" s="12">
        <f>SUMIFS(IMPORT!$R$2:$R$94,IMPORT!$K$2:$K$94,CDC!B93)</f>
        <v>0</v>
      </c>
      <c r="K93" s="12">
        <f>SUMIFS(IMPORT!$O$2:$O$94,IMPORT!$K$2:$K$94,CDC!B93)</f>
        <v>0</v>
      </c>
      <c r="L93" s="12">
        <f t="shared" si="8"/>
        <v>0</v>
      </c>
      <c r="M93" s="13">
        <v>0</v>
      </c>
      <c r="N93" s="12" t="str">
        <f t="shared" si="10"/>
        <v>CHECK</v>
      </c>
      <c r="O93" s="9" t="s">
        <v>112</v>
      </c>
      <c r="R93"/>
    </row>
    <row r="94" spans="1:18" s="4" customFormat="1">
      <c r="A94" s="29">
        <f t="shared" si="6"/>
        <v>89</v>
      </c>
      <c r="B94" s="10" t="s">
        <v>325</v>
      </c>
      <c r="C94" s="10" t="s">
        <v>5</v>
      </c>
      <c r="D94" s="9" t="s">
        <v>6</v>
      </c>
      <c r="E94" s="11">
        <v>0</v>
      </c>
      <c r="F94" s="11">
        <v>15</v>
      </c>
      <c r="G94" s="11">
        <f t="shared" si="7"/>
        <v>0</v>
      </c>
      <c r="H94" s="9" t="s">
        <v>9</v>
      </c>
      <c r="I94" s="12">
        <f>SUMIFS(IMPORT!$M$2:$M$94,IMPORT!$K$2:$K$94,CDC!B94)</f>
        <v>0</v>
      </c>
      <c r="J94" s="12">
        <f>SUMIFS(IMPORT!$R$2:$R$94,IMPORT!$K$2:$K$94,CDC!B94)</f>
        <v>0</v>
      </c>
      <c r="K94" s="12">
        <f>SUMIFS(IMPORT!$O$2:$O$94,IMPORT!$K$2:$K$94,CDC!B94)</f>
        <v>0</v>
      </c>
      <c r="L94" s="12">
        <f t="shared" si="8"/>
        <v>0</v>
      </c>
      <c r="M94" s="13">
        <v>0</v>
      </c>
      <c r="N94" s="12" t="str">
        <f t="shared" si="10"/>
        <v>CHECK</v>
      </c>
      <c r="O94" s="9" t="s">
        <v>113</v>
      </c>
      <c r="R94"/>
    </row>
    <row r="95" spans="1:18">
      <c r="A95" s="27">
        <f t="shared" si="6"/>
        <v>90</v>
      </c>
      <c r="B95" s="7" t="s">
        <v>326</v>
      </c>
      <c r="C95" s="7" t="s">
        <v>5</v>
      </c>
      <c r="D95" s="6" t="s">
        <v>6</v>
      </c>
      <c r="E95" s="8">
        <v>70</v>
      </c>
      <c r="F95" s="8">
        <v>3</v>
      </c>
      <c r="G95" s="8">
        <f t="shared" si="7"/>
        <v>210</v>
      </c>
      <c r="H95" s="6" t="s">
        <v>9</v>
      </c>
      <c r="I95" s="12">
        <f>SUMIFS(IMPORT!$M$2:$M$94,IMPORT!$K$2:$K$94,CDC!B95)</f>
        <v>0</v>
      </c>
      <c r="J95" s="12">
        <f>SUMIFS(IMPORT!$R$2:$R$94,IMPORT!$K$2:$K$94,CDC!B95)</f>
        <v>0</v>
      </c>
      <c r="K95" s="12">
        <f>SUMIFS(IMPORT!$O$2:$O$94,IMPORT!$K$2:$K$94,CDC!B95)</f>
        <v>0</v>
      </c>
      <c r="L95" s="12">
        <f t="shared" si="8"/>
        <v>70</v>
      </c>
      <c r="M95" s="13">
        <f t="shared" si="9"/>
        <v>1</v>
      </c>
      <c r="N95" s="12" t="str">
        <f t="shared" si="10"/>
        <v>OK</v>
      </c>
      <c r="O95" s="6" t="s">
        <v>114</v>
      </c>
    </row>
    <row r="96" spans="1:18">
      <c r="A96" s="27">
        <f t="shared" si="6"/>
        <v>91</v>
      </c>
      <c r="B96" s="7" t="s">
        <v>327</v>
      </c>
      <c r="C96" s="7" t="s">
        <v>5</v>
      </c>
      <c r="D96" s="6" t="s">
        <v>6</v>
      </c>
      <c r="E96" s="8">
        <v>50</v>
      </c>
      <c r="F96" s="8">
        <v>1</v>
      </c>
      <c r="G96" s="8">
        <f t="shared" si="7"/>
        <v>50</v>
      </c>
      <c r="H96" s="6" t="s">
        <v>9</v>
      </c>
      <c r="I96" s="12">
        <f>SUMIFS(IMPORT!$M$2:$M$94,IMPORT!$K$2:$K$94,CDC!B96)</f>
        <v>0</v>
      </c>
      <c r="J96" s="12">
        <f>SUMIFS(IMPORT!$R$2:$R$94,IMPORT!$K$2:$K$94,CDC!B96)</f>
        <v>0</v>
      </c>
      <c r="K96" s="12">
        <f>SUMIFS(IMPORT!$O$2:$O$94,IMPORT!$K$2:$K$94,CDC!B96)</f>
        <v>0</v>
      </c>
      <c r="L96" s="12">
        <f t="shared" si="8"/>
        <v>50</v>
      </c>
      <c r="M96" s="13">
        <f t="shared" si="9"/>
        <v>1</v>
      </c>
      <c r="N96" s="12" t="str">
        <f t="shared" si="10"/>
        <v>OK</v>
      </c>
      <c r="O96" s="6" t="s">
        <v>115</v>
      </c>
    </row>
    <row r="97" spans="1:18" s="4" customFormat="1">
      <c r="A97" s="29">
        <f t="shared" si="6"/>
        <v>92</v>
      </c>
      <c r="B97" s="10" t="s">
        <v>328</v>
      </c>
      <c r="C97" s="10" t="s">
        <v>5</v>
      </c>
      <c r="D97" s="9" t="s">
        <v>6</v>
      </c>
      <c r="E97" s="11">
        <v>0</v>
      </c>
      <c r="F97" s="11">
        <v>5</v>
      </c>
      <c r="G97" s="11">
        <f t="shared" si="7"/>
        <v>0</v>
      </c>
      <c r="H97" s="9" t="s">
        <v>9</v>
      </c>
      <c r="I97" s="12">
        <f>SUMIFS(IMPORT!$M$2:$M$94,IMPORT!$K$2:$K$94,CDC!B97)</f>
        <v>0</v>
      </c>
      <c r="J97" s="12">
        <f>SUMIFS(IMPORT!$R$2:$R$94,IMPORT!$K$2:$K$94,CDC!B97)</f>
        <v>0</v>
      </c>
      <c r="K97" s="12">
        <f>SUMIFS(IMPORT!$O$2:$O$94,IMPORT!$K$2:$K$94,CDC!B97)</f>
        <v>0</v>
      </c>
      <c r="L97" s="12">
        <f t="shared" si="8"/>
        <v>0</v>
      </c>
      <c r="M97" s="13">
        <v>0</v>
      </c>
      <c r="N97" s="12" t="str">
        <f t="shared" si="10"/>
        <v>CHECK</v>
      </c>
      <c r="O97" s="9" t="s">
        <v>116</v>
      </c>
      <c r="R97"/>
    </row>
    <row r="98" spans="1:18" s="4" customFormat="1">
      <c r="A98" s="29">
        <f t="shared" si="6"/>
        <v>93</v>
      </c>
      <c r="B98" s="10" t="s">
        <v>329</v>
      </c>
      <c r="C98" s="10" t="s">
        <v>5</v>
      </c>
      <c r="D98" s="9" t="s">
        <v>6</v>
      </c>
      <c r="E98" s="11">
        <v>0</v>
      </c>
      <c r="F98" s="11">
        <v>0.5</v>
      </c>
      <c r="G98" s="11">
        <f t="shared" si="7"/>
        <v>0</v>
      </c>
      <c r="H98" s="9" t="s">
        <v>9</v>
      </c>
      <c r="I98" s="12">
        <f>SUMIFS(IMPORT!$M$2:$M$94,IMPORT!$K$2:$K$94,CDC!B98)</f>
        <v>0</v>
      </c>
      <c r="J98" s="12">
        <f>SUMIFS(IMPORT!$R$2:$R$94,IMPORT!$K$2:$K$94,CDC!B98)</f>
        <v>0</v>
      </c>
      <c r="K98" s="12">
        <f>SUMIFS(IMPORT!$O$2:$O$94,IMPORT!$K$2:$K$94,CDC!B98)</f>
        <v>0</v>
      </c>
      <c r="L98" s="12">
        <f t="shared" si="8"/>
        <v>0</v>
      </c>
      <c r="M98" s="13">
        <v>0</v>
      </c>
      <c r="N98" s="12" t="str">
        <f t="shared" si="10"/>
        <v>CHECK</v>
      </c>
      <c r="O98" s="9" t="s">
        <v>117</v>
      </c>
      <c r="R98"/>
    </row>
    <row r="99" spans="1:18" s="4" customFormat="1">
      <c r="A99" s="29">
        <f t="shared" si="6"/>
        <v>94</v>
      </c>
      <c r="B99" s="10" t="s">
        <v>330</v>
      </c>
      <c r="C99" s="10" t="s">
        <v>5</v>
      </c>
      <c r="D99" s="9" t="s">
        <v>6</v>
      </c>
      <c r="E99" s="11">
        <v>0</v>
      </c>
      <c r="F99" s="11">
        <v>1</v>
      </c>
      <c r="G99" s="11">
        <f t="shared" si="7"/>
        <v>0</v>
      </c>
      <c r="H99" s="9" t="s">
        <v>9</v>
      </c>
      <c r="I99" s="12">
        <f>SUMIFS(IMPORT!$M$2:$M$94,IMPORT!$K$2:$K$94,CDC!B99)</f>
        <v>0</v>
      </c>
      <c r="J99" s="12">
        <f>SUMIFS(IMPORT!$R$2:$R$94,IMPORT!$K$2:$K$94,CDC!B99)</f>
        <v>0</v>
      </c>
      <c r="K99" s="12">
        <f>SUMIFS(IMPORT!$O$2:$O$94,IMPORT!$K$2:$K$94,CDC!B99)</f>
        <v>0</v>
      </c>
      <c r="L99" s="12">
        <f t="shared" si="8"/>
        <v>0</v>
      </c>
      <c r="M99" s="13">
        <v>0</v>
      </c>
      <c r="N99" s="12" t="str">
        <f t="shared" si="10"/>
        <v>CHECK</v>
      </c>
      <c r="O99" s="9" t="s">
        <v>118</v>
      </c>
      <c r="R99"/>
    </row>
    <row r="100" spans="1:18">
      <c r="A100" s="27">
        <f t="shared" si="6"/>
        <v>95</v>
      </c>
      <c r="B100" s="7" t="s">
        <v>331</v>
      </c>
      <c r="C100" s="7" t="s">
        <v>5</v>
      </c>
      <c r="D100" s="6" t="s">
        <v>6</v>
      </c>
      <c r="E100" s="8">
        <v>5</v>
      </c>
      <c r="F100" s="8">
        <v>2000</v>
      </c>
      <c r="G100" s="8">
        <f t="shared" si="7"/>
        <v>10000</v>
      </c>
      <c r="H100" s="6" t="s">
        <v>9</v>
      </c>
      <c r="I100" s="12">
        <f>SUMIFS(IMPORT!$M$2:$M$94,IMPORT!$K$2:$K$94,CDC!B100)</f>
        <v>0</v>
      </c>
      <c r="J100" s="12">
        <f>SUMIFS(IMPORT!$R$2:$R$94,IMPORT!$K$2:$K$94,CDC!B100)</f>
        <v>0</v>
      </c>
      <c r="K100" s="12">
        <f>SUMIFS(IMPORT!$O$2:$O$94,IMPORT!$K$2:$K$94,CDC!B100)</f>
        <v>0</v>
      </c>
      <c r="L100" s="12">
        <f t="shared" si="8"/>
        <v>5</v>
      </c>
      <c r="M100" s="13">
        <f t="shared" si="9"/>
        <v>1</v>
      </c>
      <c r="N100" s="12" t="str">
        <f t="shared" si="10"/>
        <v>OK</v>
      </c>
      <c r="O100" s="6" t="s">
        <v>119</v>
      </c>
    </row>
    <row r="101" spans="1:18">
      <c r="A101" s="27">
        <f t="shared" si="6"/>
        <v>96</v>
      </c>
      <c r="B101" s="7" t="s">
        <v>332</v>
      </c>
      <c r="C101" s="7" t="s">
        <v>5</v>
      </c>
      <c r="D101" s="6" t="s">
        <v>6</v>
      </c>
      <c r="E101" s="8">
        <v>60</v>
      </c>
      <c r="F101" s="8">
        <v>80</v>
      </c>
      <c r="G101" s="8">
        <f t="shared" si="7"/>
        <v>4800</v>
      </c>
      <c r="H101" s="6" t="s">
        <v>9</v>
      </c>
      <c r="I101" s="12">
        <f>SUMIFS(IMPORT!$M$2:$M$94,IMPORT!$K$2:$K$94,CDC!B101)</f>
        <v>40</v>
      </c>
      <c r="J101" s="12">
        <f>SUMIFS(IMPORT!$R$2:$R$94,IMPORT!$K$2:$K$94,CDC!B101)</f>
        <v>3200</v>
      </c>
      <c r="K101" s="12">
        <f>SUMIFS(IMPORT!$O$2:$O$94,IMPORT!$K$2:$K$94,CDC!B101)</f>
        <v>1973.7</v>
      </c>
      <c r="L101" s="12">
        <f t="shared" si="8"/>
        <v>20</v>
      </c>
      <c r="M101" s="13">
        <f t="shared" si="9"/>
        <v>0.33333333333333331</v>
      </c>
      <c r="N101" s="12" t="str">
        <f t="shared" si="10"/>
        <v>CHECK</v>
      </c>
      <c r="O101" s="6" t="s">
        <v>120</v>
      </c>
    </row>
    <row r="102" spans="1:18">
      <c r="A102" s="27">
        <f t="shared" si="6"/>
        <v>97</v>
      </c>
      <c r="B102" s="7" t="s">
        <v>333</v>
      </c>
      <c r="C102" s="7" t="s">
        <v>5</v>
      </c>
      <c r="D102" s="6" t="s">
        <v>6</v>
      </c>
      <c r="E102" s="8">
        <v>60</v>
      </c>
      <c r="F102" s="8">
        <v>85</v>
      </c>
      <c r="G102" s="8">
        <f t="shared" si="7"/>
        <v>5100</v>
      </c>
      <c r="H102" s="6" t="s">
        <v>9</v>
      </c>
      <c r="I102" s="12">
        <f>SUMIFS(IMPORT!$M$2:$M$94,IMPORT!$K$2:$K$94,CDC!B102)</f>
        <v>0</v>
      </c>
      <c r="J102" s="12">
        <f>SUMIFS(IMPORT!$R$2:$R$94,IMPORT!$K$2:$K$94,CDC!B102)</f>
        <v>0</v>
      </c>
      <c r="K102" s="12">
        <f>SUMIFS(IMPORT!$O$2:$O$94,IMPORT!$K$2:$K$94,CDC!B102)</f>
        <v>0</v>
      </c>
      <c r="L102" s="12">
        <f t="shared" si="8"/>
        <v>60</v>
      </c>
      <c r="M102" s="13">
        <f t="shared" si="9"/>
        <v>1</v>
      </c>
      <c r="N102" s="12" t="str">
        <f t="shared" si="10"/>
        <v>OK</v>
      </c>
      <c r="O102" s="6" t="s">
        <v>121</v>
      </c>
    </row>
    <row r="103" spans="1:18">
      <c r="A103" s="27">
        <f t="shared" ref="A103:A128" si="11">A102+1</f>
        <v>98</v>
      </c>
      <c r="B103" s="7" t="s">
        <v>334</v>
      </c>
      <c r="C103" s="7" t="s">
        <v>5</v>
      </c>
      <c r="D103" s="6" t="s">
        <v>6</v>
      </c>
      <c r="E103" s="8">
        <v>200</v>
      </c>
      <c r="F103" s="8">
        <v>110</v>
      </c>
      <c r="G103" s="8">
        <f t="shared" si="7"/>
        <v>22000</v>
      </c>
      <c r="H103" s="6" t="s">
        <v>9</v>
      </c>
      <c r="I103" s="12">
        <f>SUMIFS(IMPORT!$M$2:$M$94,IMPORT!$K$2:$K$94,CDC!B103)</f>
        <v>18</v>
      </c>
      <c r="J103" s="12">
        <f>SUMIFS(IMPORT!$R$2:$R$94,IMPORT!$K$2:$K$94,CDC!B103)</f>
        <v>1980</v>
      </c>
      <c r="K103" s="12">
        <f>SUMIFS(IMPORT!$O$2:$O$94,IMPORT!$K$2:$K$94,CDC!B103)</f>
        <v>580</v>
      </c>
      <c r="L103" s="12">
        <f t="shared" si="8"/>
        <v>182</v>
      </c>
      <c r="M103" s="13">
        <f t="shared" si="9"/>
        <v>0.91</v>
      </c>
      <c r="N103" s="12" t="str">
        <f t="shared" si="10"/>
        <v>OK</v>
      </c>
      <c r="O103" s="6" t="s">
        <v>122</v>
      </c>
    </row>
    <row r="104" spans="1:18">
      <c r="A104" s="27">
        <f t="shared" si="11"/>
        <v>99</v>
      </c>
      <c r="B104" s="7" t="s">
        <v>335</v>
      </c>
      <c r="C104" s="7" t="s">
        <v>5</v>
      </c>
      <c r="D104" s="6" t="s">
        <v>6</v>
      </c>
      <c r="E104" s="8">
        <v>6</v>
      </c>
      <c r="F104" s="8">
        <v>3000</v>
      </c>
      <c r="G104" s="8">
        <f t="shared" si="7"/>
        <v>18000</v>
      </c>
      <c r="H104" s="6" t="s">
        <v>9</v>
      </c>
      <c r="I104" s="12">
        <f>SUMIFS(IMPORT!$M$2:$M$94,IMPORT!$K$2:$K$94,CDC!B104)</f>
        <v>0</v>
      </c>
      <c r="J104" s="12">
        <f>SUMIFS(IMPORT!$R$2:$R$94,IMPORT!$K$2:$K$94,CDC!B104)</f>
        <v>0</v>
      </c>
      <c r="K104" s="12">
        <f>SUMIFS(IMPORT!$O$2:$O$94,IMPORT!$K$2:$K$94,CDC!B104)</f>
        <v>0</v>
      </c>
      <c r="L104" s="12">
        <f t="shared" si="8"/>
        <v>6</v>
      </c>
      <c r="M104" s="13">
        <f t="shared" si="9"/>
        <v>1</v>
      </c>
      <c r="N104" s="12" t="str">
        <f t="shared" si="10"/>
        <v>OK</v>
      </c>
      <c r="O104" s="6" t="s">
        <v>123</v>
      </c>
    </row>
    <row r="105" spans="1:18">
      <c r="A105" s="27">
        <f t="shared" si="11"/>
        <v>100</v>
      </c>
      <c r="B105" s="7" t="s">
        <v>336</v>
      </c>
      <c r="C105" s="7" t="s">
        <v>5</v>
      </c>
      <c r="D105" s="6" t="s">
        <v>6</v>
      </c>
      <c r="E105" s="8">
        <v>50</v>
      </c>
      <c r="F105" s="8">
        <v>240</v>
      </c>
      <c r="G105" s="8">
        <f t="shared" si="7"/>
        <v>12000</v>
      </c>
      <c r="H105" s="6" t="s">
        <v>9</v>
      </c>
      <c r="I105" s="12">
        <f>SUMIFS(IMPORT!$M$2:$M$94,IMPORT!$K$2:$K$94,CDC!B105)</f>
        <v>5</v>
      </c>
      <c r="J105" s="12">
        <f>SUMIFS(IMPORT!$R$2:$R$94,IMPORT!$K$2:$K$94,CDC!B105)</f>
        <v>1200</v>
      </c>
      <c r="K105" s="12">
        <f>SUMIFS(IMPORT!$O$2:$O$94,IMPORT!$K$2:$K$94,CDC!B105)</f>
        <v>0.56999999999999995</v>
      </c>
      <c r="L105" s="12">
        <f t="shared" si="8"/>
        <v>45</v>
      </c>
      <c r="M105" s="13">
        <f t="shared" si="9"/>
        <v>0.9</v>
      </c>
      <c r="N105" s="12" t="str">
        <f t="shared" si="10"/>
        <v>OK</v>
      </c>
      <c r="O105" s="6" t="s">
        <v>124</v>
      </c>
    </row>
    <row r="106" spans="1:18">
      <c r="A106" s="27">
        <f t="shared" si="11"/>
        <v>101</v>
      </c>
      <c r="B106" s="7" t="s">
        <v>337</v>
      </c>
      <c r="C106" s="7" t="s">
        <v>5</v>
      </c>
      <c r="D106" s="6" t="s">
        <v>6</v>
      </c>
      <c r="E106" s="8">
        <v>100</v>
      </c>
      <c r="F106" s="8">
        <v>110</v>
      </c>
      <c r="G106" s="8">
        <f t="shared" si="7"/>
        <v>11000</v>
      </c>
      <c r="H106" s="6" t="s">
        <v>9</v>
      </c>
      <c r="I106" s="12">
        <f>SUMIFS(IMPORT!$M$2:$M$94,IMPORT!$K$2:$K$94,CDC!B106)</f>
        <v>0</v>
      </c>
      <c r="J106" s="12">
        <f>SUMIFS(IMPORT!$R$2:$R$94,IMPORT!$K$2:$K$94,CDC!B106)</f>
        <v>0</v>
      </c>
      <c r="K106" s="12">
        <f>SUMIFS(IMPORT!$O$2:$O$94,IMPORT!$K$2:$K$94,CDC!B106)</f>
        <v>0</v>
      </c>
      <c r="L106" s="12">
        <f t="shared" si="8"/>
        <v>100</v>
      </c>
      <c r="M106" s="13">
        <f t="shared" si="9"/>
        <v>1</v>
      </c>
      <c r="N106" s="12" t="str">
        <f t="shared" si="10"/>
        <v>OK</v>
      </c>
      <c r="O106" s="6" t="s">
        <v>125</v>
      </c>
    </row>
    <row r="107" spans="1:18">
      <c r="A107" s="27">
        <f t="shared" si="11"/>
        <v>102</v>
      </c>
      <c r="B107" s="7" t="s">
        <v>338</v>
      </c>
      <c r="C107" s="7" t="s">
        <v>5</v>
      </c>
      <c r="D107" s="6" t="s">
        <v>8</v>
      </c>
      <c r="E107" s="8">
        <v>2000</v>
      </c>
      <c r="F107" s="8">
        <v>8</v>
      </c>
      <c r="G107" s="8">
        <f t="shared" si="7"/>
        <v>16000</v>
      </c>
      <c r="H107" s="6" t="s">
        <v>9</v>
      </c>
      <c r="I107" s="12">
        <f>SUMIFS(IMPORT!$M$2:$M$94,IMPORT!$K$2:$K$94,CDC!B107)</f>
        <v>0</v>
      </c>
      <c r="J107" s="12">
        <f>SUMIFS(IMPORT!$R$2:$R$94,IMPORT!$K$2:$K$94,CDC!B107)</f>
        <v>0</v>
      </c>
      <c r="K107" s="12">
        <f>SUMIFS(IMPORT!$O$2:$O$94,IMPORT!$K$2:$K$94,CDC!B107)</f>
        <v>0</v>
      </c>
      <c r="L107" s="12">
        <f t="shared" si="8"/>
        <v>2000</v>
      </c>
      <c r="M107" s="13">
        <f t="shared" si="9"/>
        <v>1</v>
      </c>
      <c r="N107" s="12" t="str">
        <f t="shared" si="10"/>
        <v>OK</v>
      </c>
      <c r="O107" s="6" t="s">
        <v>126</v>
      </c>
    </row>
    <row r="108" spans="1:18">
      <c r="A108" s="27">
        <f t="shared" si="11"/>
        <v>103</v>
      </c>
      <c r="B108" s="7" t="s">
        <v>339</v>
      </c>
      <c r="C108" s="7" t="s">
        <v>5</v>
      </c>
      <c r="D108" s="6" t="s">
        <v>6</v>
      </c>
      <c r="E108" s="8">
        <v>500</v>
      </c>
      <c r="F108" s="8">
        <v>10</v>
      </c>
      <c r="G108" s="8">
        <f t="shared" si="7"/>
        <v>5000</v>
      </c>
      <c r="H108" s="6" t="s">
        <v>9</v>
      </c>
      <c r="I108" s="12">
        <f>SUMIFS(IMPORT!$M$2:$M$94,IMPORT!$K$2:$K$94,CDC!B108)</f>
        <v>212</v>
      </c>
      <c r="J108" s="12">
        <f>SUMIFS(IMPORT!$R$2:$R$94,IMPORT!$K$2:$K$94,CDC!B108)</f>
        <v>2120</v>
      </c>
      <c r="K108" s="12">
        <f>SUMIFS(IMPORT!$O$2:$O$94,IMPORT!$K$2:$K$94,CDC!B108)</f>
        <v>172.8</v>
      </c>
      <c r="L108" s="12">
        <f t="shared" si="8"/>
        <v>288</v>
      </c>
      <c r="M108" s="13">
        <f t="shared" si="9"/>
        <v>0.57599999999999996</v>
      </c>
      <c r="N108" s="12" t="str">
        <f t="shared" si="10"/>
        <v>OK</v>
      </c>
      <c r="O108" s="6" t="s">
        <v>127</v>
      </c>
    </row>
    <row r="109" spans="1:18">
      <c r="A109" s="27">
        <f t="shared" si="11"/>
        <v>104</v>
      </c>
      <c r="B109" s="7" t="s">
        <v>340</v>
      </c>
      <c r="C109" s="7" t="s">
        <v>5</v>
      </c>
      <c r="D109" s="6" t="s">
        <v>6</v>
      </c>
      <c r="E109" s="8">
        <v>5</v>
      </c>
      <c r="F109" s="8">
        <v>800</v>
      </c>
      <c r="G109" s="8">
        <f t="shared" si="7"/>
        <v>4000</v>
      </c>
      <c r="H109" s="6" t="s">
        <v>9</v>
      </c>
      <c r="I109" s="12">
        <f>SUMIFS(IMPORT!$M$2:$M$94,IMPORT!$K$2:$K$94,CDC!B109)</f>
        <v>0</v>
      </c>
      <c r="J109" s="12">
        <f>SUMIFS(IMPORT!$R$2:$R$94,IMPORT!$K$2:$K$94,CDC!B109)</f>
        <v>0</v>
      </c>
      <c r="K109" s="12">
        <f>SUMIFS(IMPORT!$O$2:$O$94,IMPORT!$K$2:$K$94,CDC!B109)</f>
        <v>0</v>
      </c>
      <c r="L109" s="12">
        <f t="shared" si="8"/>
        <v>5</v>
      </c>
      <c r="M109" s="13">
        <f t="shared" si="9"/>
        <v>1</v>
      </c>
      <c r="N109" s="12" t="str">
        <f t="shared" si="10"/>
        <v>OK</v>
      </c>
      <c r="O109" s="6" t="s">
        <v>128</v>
      </c>
    </row>
    <row r="110" spans="1:18">
      <c r="A110" s="27">
        <f t="shared" si="11"/>
        <v>105</v>
      </c>
      <c r="B110" s="7" t="s">
        <v>341</v>
      </c>
      <c r="C110" s="7" t="s">
        <v>5</v>
      </c>
      <c r="D110" s="6" t="s">
        <v>1</v>
      </c>
      <c r="E110" s="8">
        <v>500</v>
      </c>
      <c r="F110" s="8">
        <v>12</v>
      </c>
      <c r="G110" s="8">
        <f t="shared" si="7"/>
        <v>6000</v>
      </c>
      <c r="H110" s="6" t="s">
        <v>9</v>
      </c>
      <c r="I110" s="12">
        <f>SUMIFS(IMPORT!$M$2:$M$94,IMPORT!$K$2:$K$94,CDC!B110)</f>
        <v>0</v>
      </c>
      <c r="J110" s="12">
        <f>SUMIFS(IMPORT!$R$2:$R$94,IMPORT!$K$2:$K$94,CDC!B110)</f>
        <v>0</v>
      </c>
      <c r="K110" s="12">
        <f>SUMIFS(IMPORT!$O$2:$O$94,IMPORT!$K$2:$K$94,CDC!B110)</f>
        <v>0</v>
      </c>
      <c r="L110" s="12">
        <f t="shared" si="8"/>
        <v>500</v>
      </c>
      <c r="M110" s="13">
        <f t="shared" si="9"/>
        <v>1</v>
      </c>
      <c r="N110" s="12" t="str">
        <f t="shared" si="10"/>
        <v>OK</v>
      </c>
      <c r="O110" s="6" t="s">
        <v>129</v>
      </c>
    </row>
    <row r="111" spans="1:18">
      <c r="A111" s="27">
        <f t="shared" si="11"/>
        <v>106</v>
      </c>
      <c r="B111" s="7" t="s">
        <v>342</v>
      </c>
      <c r="C111" s="7" t="s">
        <v>5</v>
      </c>
      <c r="D111" s="6" t="s">
        <v>6</v>
      </c>
      <c r="E111" s="8">
        <v>200</v>
      </c>
      <c r="F111" s="8">
        <v>120</v>
      </c>
      <c r="G111" s="8">
        <f t="shared" si="7"/>
        <v>24000</v>
      </c>
      <c r="H111" s="6" t="s">
        <v>9</v>
      </c>
      <c r="I111" s="12">
        <f>SUMIFS(IMPORT!$M$2:$M$94,IMPORT!$K$2:$K$94,CDC!B111)</f>
        <v>0</v>
      </c>
      <c r="J111" s="12">
        <f>SUMIFS(IMPORT!$R$2:$R$94,IMPORT!$K$2:$K$94,CDC!B111)</f>
        <v>0</v>
      </c>
      <c r="K111" s="12">
        <f>SUMIFS(IMPORT!$O$2:$O$94,IMPORT!$K$2:$K$94,CDC!B111)</f>
        <v>0</v>
      </c>
      <c r="L111" s="12">
        <f t="shared" si="8"/>
        <v>200</v>
      </c>
      <c r="M111" s="13">
        <f t="shared" si="9"/>
        <v>1</v>
      </c>
      <c r="N111" s="12" t="str">
        <f t="shared" si="10"/>
        <v>OK</v>
      </c>
      <c r="O111" s="6" t="s">
        <v>130</v>
      </c>
    </row>
    <row r="112" spans="1:18">
      <c r="A112" s="27">
        <f t="shared" si="11"/>
        <v>107</v>
      </c>
      <c r="B112" s="7" t="s">
        <v>343</v>
      </c>
      <c r="C112" s="7" t="s">
        <v>5</v>
      </c>
      <c r="D112" s="6" t="s">
        <v>6</v>
      </c>
      <c r="E112" s="8">
        <v>20</v>
      </c>
      <c r="F112" s="8">
        <v>800</v>
      </c>
      <c r="G112" s="8">
        <f t="shared" si="7"/>
        <v>16000</v>
      </c>
      <c r="H112" s="6" t="s">
        <v>9</v>
      </c>
      <c r="I112" s="12">
        <f>SUMIFS(IMPORT!$M$2:$M$94,IMPORT!$K$2:$K$94,CDC!B112)</f>
        <v>0</v>
      </c>
      <c r="J112" s="12">
        <f>SUMIFS(IMPORT!$R$2:$R$94,IMPORT!$K$2:$K$94,CDC!B112)</f>
        <v>0</v>
      </c>
      <c r="K112" s="12">
        <f>SUMIFS(IMPORT!$O$2:$O$94,IMPORT!$K$2:$K$94,CDC!B112)</f>
        <v>0</v>
      </c>
      <c r="L112" s="12">
        <f t="shared" si="8"/>
        <v>20</v>
      </c>
      <c r="M112" s="13">
        <f t="shared" si="9"/>
        <v>1</v>
      </c>
      <c r="N112" s="12" t="str">
        <f t="shared" si="10"/>
        <v>OK</v>
      </c>
      <c r="O112" s="6" t="s">
        <v>131</v>
      </c>
    </row>
    <row r="113" spans="1:18">
      <c r="A113" s="27">
        <f t="shared" si="11"/>
        <v>108</v>
      </c>
      <c r="B113" s="7" t="s">
        <v>344</v>
      </c>
      <c r="C113" s="7" t="s">
        <v>5</v>
      </c>
      <c r="D113" s="6" t="s">
        <v>6</v>
      </c>
      <c r="E113" s="8">
        <v>200</v>
      </c>
      <c r="F113" s="8">
        <v>8</v>
      </c>
      <c r="G113" s="8">
        <f t="shared" si="7"/>
        <v>1600</v>
      </c>
      <c r="H113" s="6" t="s">
        <v>9</v>
      </c>
      <c r="I113" s="12">
        <f>SUMIFS(IMPORT!$M$2:$M$94,IMPORT!$K$2:$K$94,CDC!B113)</f>
        <v>0</v>
      </c>
      <c r="J113" s="12">
        <f>SUMIFS(IMPORT!$R$2:$R$94,IMPORT!$K$2:$K$94,CDC!B113)</f>
        <v>0</v>
      </c>
      <c r="K113" s="12">
        <f>SUMIFS(IMPORT!$O$2:$O$94,IMPORT!$K$2:$K$94,CDC!B113)</f>
        <v>0</v>
      </c>
      <c r="L113" s="12">
        <f t="shared" si="8"/>
        <v>200</v>
      </c>
      <c r="M113" s="13">
        <f t="shared" si="9"/>
        <v>1</v>
      </c>
      <c r="N113" s="12" t="str">
        <f t="shared" si="10"/>
        <v>OK</v>
      </c>
      <c r="O113" s="6" t="s">
        <v>132</v>
      </c>
    </row>
    <row r="114" spans="1:18" s="4" customFormat="1">
      <c r="A114" s="29">
        <f t="shared" si="11"/>
        <v>109</v>
      </c>
      <c r="B114" s="10" t="s">
        <v>345</v>
      </c>
      <c r="C114" s="10" t="s">
        <v>5</v>
      </c>
      <c r="D114" s="9" t="s">
        <v>1</v>
      </c>
      <c r="E114" s="11">
        <v>0</v>
      </c>
      <c r="F114" s="11">
        <v>12</v>
      </c>
      <c r="G114" s="11">
        <f t="shared" si="7"/>
        <v>0</v>
      </c>
      <c r="H114" s="9" t="s">
        <v>9</v>
      </c>
      <c r="I114" s="12">
        <f>SUMIFS(IMPORT!$M$2:$M$94,IMPORT!$K$2:$K$94,CDC!B114)</f>
        <v>0</v>
      </c>
      <c r="J114" s="12">
        <f>SUMIFS(IMPORT!$R$2:$R$94,IMPORT!$K$2:$K$94,CDC!B114)</f>
        <v>0</v>
      </c>
      <c r="K114" s="12">
        <f>SUMIFS(IMPORT!$O$2:$O$94,IMPORT!$K$2:$K$94,CDC!B114)</f>
        <v>0</v>
      </c>
      <c r="L114" s="12">
        <f t="shared" si="8"/>
        <v>0</v>
      </c>
      <c r="M114" s="13">
        <v>0</v>
      </c>
      <c r="N114" s="12" t="str">
        <f t="shared" si="10"/>
        <v>CHECK</v>
      </c>
      <c r="O114" s="9" t="s">
        <v>133</v>
      </c>
      <c r="R114"/>
    </row>
    <row r="115" spans="1:18" s="4" customFormat="1">
      <c r="A115" s="29">
        <f t="shared" si="11"/>
        <v>110</v>
      </c>
      <c r="B115" s="10" t="s">
        <v>346</v>
      </c>
      <c r="C115" s="10" t="s">
        <v>5</v>
      </c>
      <c r="D115" s="9" t="s">
        <v>1</v>
      </c>
      <c r="E115" s="11">
        <v>0</v>
      </c>
      <c r="F115" s="11">
        <v>5</v>
      </c>
      <c r="G115" s="11">
        <f t="shared" si="7"/>
        <v>0</v>
      </c>
      <c r="H115" s="9" t="s">
        <v>9</v>
      </c>
      <c r="I115" s="12">
        <f>SUMIFS(IMPORT!$M$2:$M$94,IMPORT!$K$2:$K$94,CDC!B115)</f>
        <v>0</v>
      </c>
      <c r="J115" s="12">
        <f>SUMIFS(IMPORT!$R$2:$R$94,IMPORT!$K$2:$K$94,CDC!B115)</f>
        <v>0</v>
      </c>
      <c r="K115" s="12">
        <f>SUMIFS(IMPORT!$O$2:$O$94,IMPORT!$K$2:$K$94,CDC!B115)</f>
        <v>0</v>
      </c>
      <c r="L115" s="12">
        <f t="shared" si="8"/>
        <v>0</v>
      </c>
      <c r="M115" s="13">
        <v>0</v>
      </c>
      <c r="N115" s="12" t="str">
        <f t="shared" si="10"/>
        <v>CHECK</v>
      </c>
      <c r="O115" s="9" t="s">
        <v>134</v>
      </c>
      <c r="R115"/>
    </row>
    <row r="116" spans="1:18">
      <c r="A116" s="27">
        <f t="shared" si="11"/>
        <v>111</v>
      </c>
      <c r="B116" s="7" t="s">
        <v>347</v>
      </c>
      <c r="C116" s="7" t="s">
        <v>5</v>
      </c>
      <c r="D116" s="6" t="s">
        <v>6</v>
      </c>
      <c r="E116" s="8">
        <v>5</v>
      </c>
      <c r="F116" s="8">
        <v>500</v>
      </c>
      <c r="G116" s="8">
        <f t="shared" si="7"/>
        <v>2500</v>
      </c>
      <c r="H116" s="6" t="s">
        <v>9</v>
      </c>
      <c r="I116" s="12">
        <f>SUMIFS(IMPORT!$M$2:$M$94,IMPORT!$K$2:$K$94,CDC!B116)</f>
        <v>0</v>
      </c>
      <c r="J116" s="12">
        <f>SUMIFS(IMPORT!$R$2:$R$94,IMPORT!$K$2:$K$94,CDC!B116)</f>
        <v>0</v>
      </c>
      <c r="K116" s="12">
        <f>SUMIFS(IMPORT!$O$2:$O$94,IMPORT!$K$2:$K$94,CDC!B116)</f>
        <v>0</v>
      </c>
      <c r="L116" s="12">
        <f t="shared" si="8"/>
        <v>5</v>
      </c>
      <c r="M116" s="13">
        <f t="shared" si="9"/>
        <v>1</v>
      </c>
      <c r="N116" s="12" t="str">
        <f t="shared" si="10"/>
        <v>OK</v>
      </c>
      <c r="O116" s="6" t="s">
        <v>135</v>
      </c>
    </row>
    <row r="117" spans="1:18" s="4" customFormat="1">
      <c r="A117" s="29">
        <f t="shared" si="11"/>
        <v>112</v>
      </c>
      <c r="B117" s="10" t="s">
        <v>348</v>
      </c>
      <c r="C117" s="10" t="s">
        <v>5</v>
      </c>
      <c r="D117" s="9" t="s">
        <v>1</v>
      </c>
      <c r="E117" s="11">
        <v>0</v>
      </c>
      <c r="F117" s="11">
        <v>8</v>
      </c>
      <c r="G117" s="11">
        <f t="shared" si="7"/>
        <v>0</v>
      </c>
      <c r="H117" s="9" t="s">
        <v>9</v>
      </c>
      <c r="I117" s="12">
        <f>SUMIFS(IMPORT!$M$2:$M$94,IMPORT!$K$2:$K$94,CDC!B117)</f>
        <v>0</v>
      </c>
      <c r="J117" s="12">
        <f>SUMIFS(IMPORT!$R$2:$R$94,IMPORT!$K$2:$K$94,CDC!B117)</f>
        <v>0</v>
      </c>
      <c r="K117" s="12">
        <f>SUMIFS(IMPORT!$O$2:$O$94,IMPORT!$K$2:$K$94,CDC!B117)</f>
        <v>0</v>
      </c>
      <c r="L117" s="12">
        <f t="shared" si="8"/>
        <v>0</v>
      </c>
      <c r="M117" s="13">
        <v>0</v>
      </c>
      <c r="N117" s="12" t="str">
        <f t="shared" si="10"/>
        <v>CHECK</v>
      </c>
      <c r="O117" s="9" t="s">
        <v>136</v>
      </c>
      <c r="R117"/>
    </row>
    <row r="118" spans="1:18" s="4" customFormat="1">
      <c r="A118" s="29">
        <f t="shared" si="11"/>
        <v>113</v>
      </c>
      <c r="B118" s="10" t="s">
        <v>349</v>
      </c>
      <c r="C118" s="10" t="s">
        <v>5</v>
      </c>
      <c r="D118" s="9" t="s">
        <v>1</v>
      </c>
      <c r="E118" s="11">
        <v>0</v>
      </c>
      <c r="F118" s="11">
        <v>1</v>
      </c>
      <c r="G118" s="11">
        <f t="shared" si="7"/>
        <v>0</v>
      </c>
      <c r="H118" s="9" t="s">
        <v>9</v>
      </c>
      <c r="I118" s="12">
        <f>SUMIFS(IMPORT!$M$2:$M$94,IMPORT!$K$2:$K$94,CDC!B118)</f>
        <v>0</v>
      </c>
      <c r="J118" s="12">
        <f>SUMIFS(IMPORT!$R$2:$R$94,IMPORT!$K$2:$K$94,CDC!B118)</f>
        <v>0</v>
      </c>
      <c r="K118" s="12">
        <f>SUMIFS(IMPORT!$O$2:$O$94,IMPORT!$K$2:$K$94,CDC!B118)</f>
        <v>0</v>
      </c>
      <c r="L118" s="12">
        <f t="shared" si="8"/>
        <v>0</v>
      </c>
      <c r="M118" s="13">
        <v>0</v>
      </c>
      <c r="N118" s="12" t="str">
        <f t="shared" si="10"/>
        <v>CHECK</v>
      </c>
      <c r="O118" s="9" t="s">
        <v>137</v>
      </c>
      <c r="R118"/>
    </row>
    <row r="119" spans="1:18" s="4" customFormat="1">
      <c r="A119" s="29">
        <f t="shared" si="11"/>
        <v>114</v>
      </c>
      <c r="B119" s="10" t="s">
        <v>350</v>
      </c>
      <c r="C119" s="10" t="s">
        <v>5</v>
      </c>
      <c r="D119" s="9" t="s">
        <v>1</v>
      </c>
      <c r="E119" s="11">
        <v>0</v>
      </c>
      <c r="F119" s="11">
        <v>5</v>
      </c>
      <c r="G119" s="11">
        <f t="shared" si="7"/>
        <v>0</v>
      </c>
      <c r="H119" s="9" t="s">
        <v>9</v>
      </c>
      <c r="I119" s="12">
        <f>SUMIFS(IMPORT!$M$2:$M$94,IMPORT!$K$2:$K$94,CDC!B119)</f>
        <v>0</v>
      </c>
      <c r="J119" s="12">
        <f>SUMIFS(IMPORT!$R$2:$R$94,IMPORT!$K$2:$K$94,CDC!B119)</f>
        <v>0</v>
      </c>
      <c r="K119" s="12">
        <f>SUMIFS(IMPORT!$O$2:$O$94,IMPORT!$K$2:$K$94,CDC!B119)</f>
        <v>0</v>
      </c>
      <c r="L119" s="12">
        <f t="shared" si="8"/>
        <v>0</v>
      </c>
      <c r="M119" s="13">
        <v>0</v>
      </c>
      <c r="N119" s="12" t="str">
        <f t="shared" si="10"/>
        <v>CHECK</v>
      </c>
      <c r="O119" s="9" t="s">
        <v>138</v>
      </c>
      <c r="R119"/>
    </row>
    <row r="120" spans="1:18" s="4" customFormat="1">
      <c r="A120" s="29">
        <f t="shared" si="11"/>
        <v>115</v>
      </c>
      <c r="B120" s="10" t="s">
        <v>351</v>
      </c>
      <c r="C120" s="10" t="s">
        <v>5</v>
      </c>
      <c r="D120" s="9" t="s">
        <v>6</v>
      </c>
      <c r="E120" s="11">
        <v>0</v>
      </c>
      <c r="F120" s="11">
        <v>13</v>
      </c>
      <c r="G120" s="11">
        <f t="shared" si="7"/>
        <v>0</v>
      </c>
      <c r="H120" s="9" t="s">
        <v>9</v>
      </c>
      <c r="I120" s="12">
        <f>SUMIFS(IMPORT!$M$2:$M$94,IMPORT!$K$2:$K$94,CDC!B120)</f>
        <v>0</v>
      </c>
      <c r="J120" s="12">
        <f>SUMIFS(IMPORT!$R$2:$R$94,IMPORT!$K$2:$K$94,CDC!B120)</f>
        <v>0</v>
      </c>
      <c r="K120" s="12">
        <f>SUMIFS(IMPORT!$O$2:$O$94,IMPORT!$K$2:$K$94,CDC!B120)</f>
        <v>0</v>
      </c>
      <c r="L120" s="12">
        <f t="shared" si="8"/>
        <v>0</v>
      </c>
      <c r="M120" s="13">
        <v>0</v>
      </c>
      <c r="N120" s="12" t="str">
        <f t="shared" si="10"/>
        <v>CHECK</v>
      </c>
      <c r="O120" s="9" t="s">
        <v>139</v>
      </c>
      <c r="R120"/>
    </row>
    <row r="121" spans="1:18" s="4" customFormat="1">
      <c r="A121" s="29">
        <f t="shared" si="11"/>
        <v>116</v>
      </c>
      <c r="B121" s="10" t="s">
        <v>352</v>
      </c>
      <c r="C121" s="10" t="s">
        <v>5</v>
      </c>
      <c r="D121" s="9" t="s">
        <v>1</v>
      </c>
      <c r="E121" s="11">
        <v>0</v>
      </c>
      <c r="F121" s="11">
        <v>3</v>
      </c>
      <c r="G121" s="11">
        <f t="shared" si="7"/>
        <v>0</v>
      </c>
      <c r="H121" s="9" t="s">
        <v>9</v>
      </c>
      <c r="I121" s="12">
        <f>SUMIFS(IMPORT!$M$2:$M$94,IMPORT!$K$2:$K$94,CDC!B121)</f>
        <v>0</v>
      </c>
      <c r="J121" s="12">
        <f>SUMIFS(IMPORT!$R$2:$R$94,IMPORT!$K$2:$K$94,CDC!B121)</f>
        <v>0</v>
      </c>
      <c r="K121" s="12">
        <f>SUMIFS(IMPORT!$O$2:$O$94,IMPORT!$K$2:$K$94,CDC!B121)</f>
        <v>0</v>
      </c>
      <c r="L121" s="12">
        <f t="shared" si="8"/>
        <v>0</v>
      </c>
      <c r="M121" s="13">
        <v>0</v>
      </c>
      <c r="N121" s="12" t="str">
        <f t="shared" si="10"/>
        <v>CHECK</v>
      </c>
      <c r="O121" s="9" t="s">
        <v>140</v>
      </c>
      <c r="R121"/>
    </row>
    <row r="122" spans="1:18" s="4" customFormat="1">
      <c r="A122" s="29">
        <f t="shared" si="11"/>
        <v>117</v>
      </c>
      <c r="B122" s="10" t="s">
        <v>353</v>
      </c>
      <c r="C122" s="10" t="s">
        <v>5</v>
      </c>
      <c r="D122" s="9" t="s">
        <v>6</v>
      </c>
      <c r="E122" s="11">
        <v>0</v>
      </c>
      <c r="F122" s="11">
        <v>350</v>
      </c>
      <c r="G122" s="11">
        <f t="shared" si="7"/>
        <v>0</v>
      </c>
      <c r="H122" s="9" t="s">
        <v>9</v>
      </c>
      <c r="I122" s="12">
        <f>SUMIFS(IMPORT!$M$2:$M$94,IMPORT!$K$2:$K$94,CDC!B122)</f>
        <v>0</v>
      </c>
      <c r="J122" s="12">
        <f>SUMIFS(IMPORT!$R$2:$R$94,IMPORT!$K$2:$K$94,CDC!B122)</f>
        <v>0</v>
      </c>
      <c r="K122" s="12">
        <f>SUMIFS(IMPORT!$O$2:$O$94,IMPORT!$K$2:$K$94,CDC!B122)</f>
        <v>0</v>
      </c>
      <c r="L122" s="12">
        <f t="shared" si="8"/>
        <v>0</v>
      </c>
      <c r="M122" s="13">
        <v>0</v>
      </c>
      <c r="N122" s="12" t="str">
        <f t="shared" si="10"/>
        <v>CHECK</v>
      </c>
      <c r="O122" s="9" t="s">
        <v>141</v>
      </c>
      <c r="R122"/>
    </row>
    <row r="123" spans="1:18" s="4" customFormat="1">
      <c r="A123" s="29">
        <f t="shared" si="11"/>
        <v>118</v>
      </c>
      <c r="B123" s="10" t="s">
        <v>354</v>
      </c>
      <c r="C123" s="10" t="s">
        <v>5</v>
      </c>
      <c r="D123" s="9" t="s">
        <v>6</v>
      </c>
      <c r="E123" s="11">
        <v>0</v>
      </c>
      <c r="F123" s="11">
        <v>120</v>
      </c>
      <c r="G123" s="11">
        <f t="shared" si="7"/>
        <v>0</v>
      </c>
      <c r="H123" s="9" t="s">
        <v>9</v>
      </c>
      <c r="I123" s="12">
        <f>SUMIFS(IMPORT!$M$2:$M$94,IMPORT!$K$2:$K$94,CDC!B123)</f>
        <v>0</v>
      </c>
      <c r="J123" s="12">
        <f>SUMIFS(IMPORT!$R$2:$R$94,IMPORT!$K$2:$K$94,CDC!B123)</f>
        <v>0</v>
      </c>
      <c r="K123" s="12">
        <f>SUMIFS(IMPORT!$O$2:$O$94,IMPORT!$K$2:$K$94,CDC!B123)</f>
        <v>0</v>
      </c>
      <c r="L123" s="12">
        <f t="shared" si="8"/>
        <v>0</v>
      </c>
      <c r="M123" s="13">
        <v>0</v>
      </c>
      <c r="N123" s="12" t="str">
        <f t="shared" si="10"/>
        <v>CHECK</v>
      </c>
      <c r="O123" s="9" t="s">
        <v>142</v>
      </c>
      <c r="R123"/>
    </row>
    <row r="124" spans="1:18" s="4" customFormat="1">
      <c r="A124" s="29">
        <f t="shared" si="11"/>
        <v>119</v>
      </c>
      <c r="B124" s="10" t="s">
        <v>355</v>
      </c>
      <c r="C124" s="10" t="s">
        <v>5</v>
      </c>
      <c r="D124" s="9" t="s">
        <v>1</v>
      </c>
      <c r="E124" s="11">
        <v>0</v>
      </c>
      <c r="F124" s="11">
        <v>12</v>
      </c>
      <c r="G124" s="11">
        <f t="shared" si="7"/>
        <v>0</v>
      </c>
      <c r="H124" s="9" t="s">
        <v>9</v>
      </c>
      <c r="I124" s="12">
        <f>SUMIFS(IMPORT!$M$2:$M$94,IMPORT!$K$2:$K$94,CDC!B124)</f>
        <v>0</v>
      </c>
      <c r="J124" s="12">
        <f>SUMIFS(IMPORT!$R$2:$R$94,IMPORT!$K$2:$K$94,CDC!B124)</f>
        <v>0</v>
      </c>
      <c r="K124" s="12">
        <f>SUMIFS(IMPORT!$O$2:$O$94,IMPORT!$K$2:$K$94,CDC!B124)</f>
        <v>0</v>
      </c>
      <c r="L124" s="12">
        <f t="shared" si="8"/>
        <v>0</v>
      </c>
      <c r="M124" s="13">
        <v>0</v>
      </c>
      <c r="N124" s="12" t="str">
        <f t="shared" si="10"/>
        <v>CHECK</v>
      </c>
      <c r="O124" s="9" t="s">
        <v>143</v>
      </c>
      <c r="R124"/>
    </row>
    <row r="125" spans="1:18" s="4" customFormat="1">
      <c r="A125" s="29">
        <f t="shared" si="11"/>
        <v>120</v>
      </c>
      <c r="B125" s="10" t="s">
        <v>356</v>
      </c>
      <c r="C125" s="10" t="s">
        <v>5</v>
      </c>
      <c r="D125" s="9" t="s">
        <v>8</v>
      </c>
      <c r="E125" s="11">
        <v>0</v>
      </c>
      <c r="F125" s="11">
        <v>35</v>
      </c>
      <c r="G125" s="11">
        <f t="shared" si="7"/>
        <v>0</v>
      </c>
      <c r="H125" s="9" t="s">
        <v>9</v>
      </c>
      <c r="I125" s="12">
        <f>SUMIFS(IMPORT!$M$2:$M$94,IMPORT!$K$2:$K$94,CDC!B125)</f>
        <v>0</v>
      </c>
      <c r="J125" s="12">
        <f>SUMIFS(IMPORT!$R$2:$R$94,IMPORT!$K$2:$K$94,CDC!B125)</f>
        <v>0</v>
      </c>
      <c r="K125" s="12">
        <f>SUMIFS(IMPORT!$O$2:$O$94,IMPORT!$K$2:$K$94,CDC!B125)</f>
        <v>0</v>
      </c>
      <c r="L125" s="12">
        <f t="shared" si="8"/>
        <v>0</v>
      </c>
      <c r="M125" s="13">
        <v>0</v>
      </c>
      <c r="N125" s="12" t="str">
        <f t="shared" si="10"/>
        <v>CHECK</v>
      </c>
      <c r="O125" s="9" t="s">
        <v>144</v>
      </c>
      <c r="R125"/>
    </row>
    <row r="126" spans="1:18" s="4" customFormat="1">
      <c r="A126" s="29">
        <f t="shared" si="11"/>
        <v>121</v>
      </c>
      <c r="B126" s="10" t="s">
        <v>357</v>
      </c>
      <c r="C126" s="10" t="s">
        <v>5</v>
      </c>
      <c r="D126" s="9" t="s">
        <v>8</v>
      </c>
      <c r="E126" s="11">
        <v>0</v>
      </c>
      <c r="F126" s="11">
        <v>5</v>
      </c>
      <c r="G126" s="11">
        <f t="shared" si="7"/>
        <v>0</v>
      </c>
      <c r="H126" s="9" t="s">
        <v>9</v>
      </c>
      <c r="I126" s="12">
        <f>SUMIFS(IMPORT!$M$2:$M$94,IMPORT!$K$2:$K$94,CDC!B126)</f>
        <v>0</v>
      </c>
      <c r="J126" s="12">
        <f>SUMIFS(IMPORT!$R$2:$R$94,IMPORT!$K$2:$K$94,CDC!B126)</f>
        <v>0</v>
      </c>
      <c r="K126" s="12">
        <f>SUMIFS(IMPORT!$O$2:$O$94,IMPORT!$K$2:$K$94,CDC!B126)</f>
        <v>0</v>
      </c>
      <c r="L126" s="12">
        <f t="shared" si="8"/>
        <v>0</v>
      </c>
      <c r="M126" s="13">
        <v>0</v>
      </c>
      <c r="N126" s="12" t="str">
        <f t="shared" si="10"/>
        <v>CHECK</v>
      </c>
      <c r="O126" s="9" t="s">
        <v>145</v>
      </c>
      <c r="R126"/>
    </row>
    <row r="127" spans="1:18">
      <c r="A127" s="27">
        <f t="shared" si="11"/>
        <v>122</v>
      </c>
      <c r="B127" s="7" t="s">
        <v>358</v>
      </c>
      <c r="C127" s="7" t="s">
        <v>5</v>
      </c>
      <c r="D127" s="6" t="s">
        <v>6</v>
      </c>
      <c r="E127" s="8">
        <v>100</v>
      </c>
      <c r="F127" s="8">
        <v>20</v>
      </c>
      <c r="G127" s="8">
        <f t="shared" si="7"/>
        <v>2000</v>
      </c>
      <c r="H127" s="6" t="s">
        <v>9</v>
      </c>
      <c r="I127" s="12">
        <f>SUMIFS(IMPORT!$M$2:$M$94,IMPORT!$K$2:$K$94,CDC!B127)</f>
        <v>20</v>
      </c>
      <c r="J127" s="12">
        <f>SUMIFS(IMPORT!$R$2:$R$94,IMPORT!$K$2:$K$94,CDC!B127)</f>
        <v>400</v>
      </c>
      <c r="K127" s="12">
        <f>SUMIFS(IMPORT!$O$2:$O$94,IMPORT!$K$2:$K$94,CDC!B127)</f>
        <v>25</v>
      </c>
      <c r="L127" s="12">
        <f t="shared" si="8"/>
        <v>80</v>
      </c>
      <c r="M127" s="13">
        <f t="shared" si="9"/>
        <v>0.8</v>
      </c>
      <c r="N127" s="12" t="str">
        <f t="shared" si="10"/>
        <v>OK</v>
      </c>
      <c r="O127" s="6" t="s">
        <v>146</v>
      </c>
    </row>
    <row r="128" spans="1:18">
      <c r="A128" s="27">
        <f t="shared" si="11"/>
        <v>123</v>
      </c>
      <c r="B128" s="7" t="s">
        <v>359</v>
      </c>
      <c r="C128" s="7" t="s">
        <v>5</v>
      </c>
      <c r="D128" s="6" t="s">
        <v>6</v>
      </c>
      <c r="E128" s="8">
        <v>3</v>
      </c>
      <c r="F128" s="8">
        <v>1000</v>
      </c>
      <c r="G128" s="8">
        <f t="shared" si="7"/>
        <v>3000</v>
      </c>
      <c r="H128" s="6" t="s">
        <v>9</v>
      </c>
      <c r="I128" s="12">
        <f>SUMIFS(IMPORT!$M$2:$M$94,IMPORT!$K$2:$K$94,CDC!B128)</f>
        <v>0</v>
      </c>
      <c r="J128" s="12">
        <f>SUMIFS(IMPORT!$R$2:$R$94,IMPORT!$K$2:$K$94,CDC!B128)</f>
        <v>0</v>
      </c>
      <c r="K128" s="12">
        <f>SUMIFS(IMPORT!$O$2:$O$94,IMPORT!$K$2:$K$94,CDC!B128)</f>
        <v>0</v>
      </c>
      <c r="L128" s="12">
        <f t="shared" si="8"/>
        <v>3</v>
      </c>
      <c r="M128" s="13">
        <f t="shared" si="9"/>
        <v>1</v>
      </c>
      <c r="N128" s="12" t="str">
        <f t="shared" si="10"/>
        <v>OK</v>
      </c>
      <c r="O128" s="6" t="s">
        <v>147</v>
      </c>
    </row>
    <row r="129" spans="1:15">
      <c r="A129" s="27"/>
      <c r="B129" s="7"/>
      <c r="C129" s="7"/>
      <c r="D129" s="6"/>
      <c r="E129" s="8"/>
      <c r="F129" s="8"/>
      <c r="G129" s="8"/>
      <c r="H129" s="6"/>
      <c r="I129" s="12">
        <f>SUM(I6:I128)</f>
        <v>501</v>
      </c>
      <c r="J129" s="12"/>
      <c r="K129" s="12"/>
      <c r="L129" s="12"/>
      <c r="M129" s="13"/>
      <c r="N129" s="12"/>
      <c r="O129" s="6"/>
    </row>
    <row r="130" spans="1:15" ht="18.75">
      <c r="A130" s="30" t="s">
        <v>16</v>
      </c>
      <c r="B130" s="7"/>
      <c r="C130" s="7"/>
      <c r="D130" s="6"/>
      <c r="E130" s="8"/>
      <c r="F130" s="8"/>
      <c r="G130" s="8"/>
      <c r="H130" s="6"/>
      <c r="I130" s="12">
        <f>SUMIFS(IMPORT!$M$2:$M$94,IMPORT!$K$2:$K$94,CDC!B130)</f>
        <v>0</v>
      </c>
      <c r="J130" s="12">
        <f>SUMIFS(IMPORT!$R$2:$R$94,IMPORT!$K$2:$K$94,CDC!B130)</f>
        <v>0</v>
      </c>
      <c r="K130" s="12">
        <f>SUMIFS(IMPORT!$O$2:$O$94,IMPORT!$K$2:$K$94,CDC!B130)</f>
        <v>0</v>
      </c>
      <c r="L130" s="12">
        <f t="shared" si="8"/>
        <v>0</v>
      </c>
      <c r="M130" s="13"/>
      <c r="N130" s="12"/>
      <c r="O130" s="6"/>
    </row>
    <row r="131" spans="1:15">
      <c r="A131" s="27">
        <f>A128+1</f>
        <v>124</v>
      </c>
      <c r="B131" s="7" t="s">
        <v>360</v>
      </c>
      <c r="C131" s="7"/>
      <c r="D131" s="6" t="s">
        <v>1</v>
      </c>
      <c r="E131" s="8">
        <v>900000</v>
      </c>
      <c r="F131" s="8">
        <v>1.8</v>
      </c>
      <c r="G131" s="8">
        <f t="shared" si="7"/>
        <v>1620000</v>
      </c>
      <c r="H131" s="6" t="s">
        <v>9</v>
      </c>
      <c r="I131" s="12">
        <f>SUMIFS(IMPORT!$M$2:$M$94,IMPORT!$K$2:$K$94,CDC!B131)</f>
        <v>235127</v>
      </c>
      <c r="J131" s="12">
        <f>SUMIFS(IMPORT!$R$2:$R$94,IMPORT!$K$2:$K$94,CDC!B131)</f>
        <v>398495.00000000006</v>
      </c>
      <c r="K131" s="12">
        <f>SUMIFS(IMPORT!$O$2:$O$94,IMPORT!$K$2:$K$94,CDC!B131)</f>
        <v>71264.600000000006</v>
      </c>
      <c r="L131" s="12">
        <f t="shared" si="8"/>
        <v>664873</v>
      </c>
      <c r="M131" s="13">
        <f t="shared" si="9"/>
        <v>0.73874777777777778</v>
      </c>
      <c r="N131" s="12" t="str">
        <f t="shared" si="10"/>
        <v>OK</v>
      </c>
      <c r="O131" s="6" t="s">
        <v>148</v>
      </c>
    </row>
    <row r="132" spans="1:15">
      <c r="A132" s="27">
        <f>A131+2</f>
        <v>126</v>
      </c>
      <c r="B132" s="7" t="s">
        <v>361</v>
      </c>
      <c r="C132" s="7"/>
      <c r="D132" s="6" t="s">
        <v>1</v>
      </c>
      <c r="E132" s="8">
        <v>900000</v>
      </c>
      <c r="F132" s="8">
        <v>1</v>
      </c>
      <c r="G132" s="8">
        <f t="shared" si="7"/>
        <v>900000</v>
      </c>
      <c r="H132" s="6" t="s">
        <v>9</v>
      </c>
      <c r="I132" s="12">
        <f>SUMIFS(IMPORT!$M$2:$M$94,IMPORT!$K$2:$K$94,CDC!B132)</f>
        <v>712385.4</v>
      </c>
      <c r="J132" s="12">
        <f>SUMIFS(IMPORT!$R$2:$R$94,IMPORT!$K$2:$K$94,CDC!B132)</f>
        <v>712385.4</v>
      </c>
      <c r="K132" s="12">
        <f>SUMIFS(IMPORT!$O$2:$O$94,IMPORT!$K$2:$K$94,CDC!B132)</f>
        <v>331048.8</v>
      </c>
      <c r="L132" s="12">
        <f t="shared" si="8"/>
        <v>187614.59999999998</v>
      </c>
      <c r="M132" s="13">
        <f t="shared" si="9"/>
        <v>0.20846066666666663</v>
      </c>
      <c r="N132" s="12" t="str">
        <f t="shared" si="10"/>
        <v>CHECK</v>
      </c>
      <c r="O132" s="6" t="s">
        <v>149</v>
      </c>
    </row>
    <row r="133" spans="1:15" ht="18.75">
      <c r="A133" s="30" t="s">
        <v>17</v>
      </c>
      <c r="B133" s="7"/>
      <c r="C133" s="7"/>
      <c r="D133" s="6"/>
      <c r="E133" s="8"/>
      <c r="F133" s="8"/>
      <c r="G133" s="8"/>
      <c r="H133" s="6"/>
      <c r="I133" s="12">
        <f>SUMIFS(IMPORT!$M$2:$M$94,IMPORT!$K$2:$K$94,CDC!B133)</f>
        <v>0</v>
      </c>
      <c r="J133" s="12">
        <f>SUMIFS(IMPORT!$R$2:$R$94,IMPORT!$K$2:$K$94,CDC!B133)</f>
        <v>0</v>
      </c>
      <c r="K133" s="12">
        <f>SUMIFS(IMPORT!$O$2:$O$94,IMPORT!$K$2:$K$94,CDC!B133)</f>
        <v>0</v>
      </c>
      <c r="L133" s="12">
        <f t="shared" si="8"/>
        <v>0</v>
      </c>
      <c r="M133" s="13"/>
      <c r="N133" s="12"/>
      <c r="O133" s="6"/>
    </row>
    <row r="134" spans="1:15">
      <c r="A134" s="27">
        <v>126</v>
      </c>
      <c r="B134" s="7" t="s">
        <v>362</v>
      </c>
      <c r="C134" s="7"/>
      <c r="D134" s="6" t="s">
        <v>18</v>
      </c>
      <c r="E134" s="8">
        <v>1500000</v>
      </c>
      <c r="F134" s="8">
        <v>4</v>
      </c>
      <c r="G134" s="8">
        <f t="shared" si="7"/>
        <v>6000000</v>
      </c>
      <c r="H134" s="6" t="s">
        <v>9</v>
      </c>
      <c r="I134" s="12">
        <f>SUMIFS(IMPORT!$M$2:$M$94,IMPORT!$K$2:$K$94,CDC!B134)</f>
        <v>0</v>
      </c>
      <c r="J134" s="12">
        <f>SUMIFS(IMPORT!$R$2:$R$94,IMPORT!$K$2:$K$94,CDC!B134)</f>
        <v>0</v>
      </c>
      <c r="K134" s="12">
        <f>SUMIFS(IMPORT!$O$2:$O$94,IMPORT!$K$2:$K$94,CDC!B134)</f>
        <v>0</v>
      </c>
      <c r="L134" s="12">
        <f t="shared" si="8"/>
        <v>1500000</v>
      </c>
      <c r="M134" s="13">
        <f t="shared" si="9"/>
        <v>1</v>
      </c>
      <c r="N134" s="12" t="str">
        <f t="shared" si="10"/>
        <v>OK</v>
      </c>
      <c r="O134" s="6" t="s">
        <v>150</v>
      </c>
    </row>
    <row r="135" spans="1:15">
      <c r="A135" s="27">
        <v>127</v>
      </c>
      <c r="B135" s="7" t="s">
        <v>363</v>
      </c>
      <c r="C135" s="7"/>
      <c r="D135" s="6" t="s">
        <v>18</v>
      </c>
      <c r="E135" s="8">
        <v>374000</v>
      </c>
      <c r="F135" s="8">
        <v>2</v>
      </c>
      <c r="G135" s="8">
        <f t="shared" si="7"/>
        <v>748000</v>
      </c>
      <c r="H135" s="6" t="s">
        <v>9</v>
      </c>
      <c r="I135" s="12">
        <f>SUMIFS(IMPORT!$M$2:$M$94,IMPORT!$K$2:$K$94,CDC!B135)</f>
        <v>0</v>
      </c>
      <c r="J135" s="12">
        <f>SUMIFS(IMPORT!$R$2:$R$94,IMPORT!$K$2:$K$94,CDC!B135)</f>
        <v>0</v>
      </c>
      <c r="K135" s="12">
        <f>SUMIFS(IMPORT!$O$2:$O$94,IMPORT!$K$2:$K$94,CDC!B135)</f>
        <v>0</v>
      </c>
      <c r="L135" s="12">
        <f t="shared" si="8"/>
        <v>374000</v>
      </c>
      <c r="M135" s="13">
        <f t="shared" si="9"/>
        <v>1</v>
      </c>
      <c r="N135" s="12" t="str">
        <f t="shared" si="10"/>
        <v>OK</v>
      </c>
      <c r="O135" s="6" t="s">
        <v>151</v>
      </c>
    </row>
    <row r="136" spans="1:15">
      <c r="A136" s="27">
        <v>128</v>
      </c>
      <c r="B136" s="7" t="s">
        <v>364</v>
      </c>
      <c r="C136" s="7"/>
      <c r="D136" s="6" t="s">
        <v>18</v>
      </c>
      <c r="E136" s="8">
        <v>234000</v>
      </c>
      <c r="F136" s="8">
        <v>3</v>
      </c>
      <c r="G136" s="8">
        <f t="shared" ref="G136:G199" si="12">F136*E136</f>
        <v>702000</v>
      </c>
      <c r="H136" s="6" t="s">
        <v>9</v>
      </c>
      <c r="I136" s="12">
        <f>SUMIFS(IMPORT!$M$2:$M$94,IMPORT!$K$2:$K$94,CDC!B136)</f>
        <v>0</v>
      </c>
      <c r="J136" s="12">
        <f>SUMIFS(IMPORT!$R$2:$R$94,IMPORT!$K$2:$K$94,CDC!B136)</f>
        <v>0</v>
      </c>
      <c r="K136" s="12">
        <f>SUMIFS(IMPORT!$O$2:$O$94,IMPORT!$K$2:$K$94,CDC!B136)</f>
        <v>0</v>
      </c>
      <c r="L136" s="12">
        <f t="shared" ref="L136:L199" si="13">E136-I136</f>
        <v>234000</v>
      </c>
      <c r="M136" s="13">
        <f t="shared" ref="M136:M199" si="14">L136/E136</f>
        <v>1</v>
      </c>
      <c r="N136" s="12" t="str">
        <f t="shared" ref="N136:N199" si="15">IF(M136&lt;50%,"CHECK","OK")</f>
        <v>OK</v>
      </c>
      <c r="O136" s="6" t="s">
        <v>152</v>
      </c>
    </row>
    <row r="137" spans="1:15">
      <c r="A137" s="27">
        <v>129</v>
      </c>
      <c r="B137" s="7" t="s">
        <v>365</v>
      </c>
      <c r="C137" s="7"/>
      <c r="D137" s="6" t="s">
        <v>19</v>
      </c>
      <c r="E137" s="8">
        <v>334000</v>
      </c>
      <c r="F137" s="8">
        <v>2</v>
      </c>
      <c r="G137" s="8">
        <f t="shared" si="12"/>
        <v>668000</v>
      </c>
      <c r="H137" s="6" t="s">
        <v>9</v>
      </c>
      <c r="I137" s="12">
        <f>SUMIFS(IMPORT!$M$2:$M$94,IMPORT!$K$2:$K$94,CDC!B137)</f>
        <v>0</v>
      </c>
      <c r="J137" s="12">
        <f>SUMIFS(IMPORT!$R$2:$R$94,IMPORT!$K$2:$K$94,CDC!B137)</f>
        <v>0</v>
      </c>
      <c r="K137" s="12">
        <f>SUMIFS(IMPORT!$O$2:$O$94,IMPORT!$K$2:$K$94,CDC!B137)</f>
        <v>0</v>
      </c>
      <c r="L137" s="12">
        <f t="shared" si="13"/>
        <v>334000</v>
      </c>
      <c r="M137" s="13">
        <f t="shared" si="14"/>
        <v>1</v>
      </c>
      <c r="N137" s="12" t="str">
        <f t="shared" si="15"/>
        <v>OK</v>
      </c>
      <c r="O137" s="6" t="s">
        <v>153</v>
      </c>
    </row>
    <row r="138" spans="1:15">
      <c r="A138" s="27">
        <v>130</v>
      </c>
      <c r="B138" s="7" t="s">
        <v>366</v>
      </c>
      <c r="C138" s="7"/>
      <c r="D138" s="6" t="s">
        <v>1</v>
      </c>
      <c r="E138" s="8">
        <v>1000000</v>
      </c>
      <c r="F138" s="8">
        <v>0.2</v>
      </c>
      <c r="G138" s="8">
        <f t="shared" si="12"/>
        <v>200000</v>
      </c>
      <c r="H138" s="6" t="s">
        <v>9</v>
      </c>
      <c r="I138" s="12">
        <f>SUMIFS(IMPORT!$M$2:$M$94,IMPORT!$K$2:$K$94,CDC!B138)</f>
        <v>5985</v>
      </c>
      <c r="J138" s="12">
        <f>SUMIFS(IMPORT!$R$2:$R$94,IMPORT!$K$2:$K$94,CDC!B138)</f>
        <v>1197</v>
      </c>
      <c r="K138" s="12">
        <f>SUMIFS(IMPORT!$O$2:$O$94,IMPORT!$K$2:$K$94,CDC!B138)</f>
        <v>1142.75</v>
      </c>
      <c r="L138" s="12">
        <f t="shared" si="13"/>
        <v>994015</v>
      </c>
      <c r="M138" s="13">
        <f t="shared" si="14"/>
        <v>0.99401499999999998</v>
      </c>
      <c r="N138" s="12" t="str">
        <f t="shared" si="15"/>
        <v>OK</v>
      </c>
      <c r="O138" s="6" t="s">
        <v>154</v>
      </c>
    </row>
    <row r="139" spans="1:15">
      <c r="A139" s="27">
        <v>131</v>
      </c>
      <c r="B139" s="7" t="s">
        <v>367</v>
      </c>
      <c r="C139" s="7"/>
      <c r="D139" s="6" t="s">
        <v>1</v>
      </c>
      <c r="E139" s="8">
        <v>14000</v>
      </c>
      <c r="F139" s="8">
        <v>3</v>
      </c>
      <c r="G139" s="8">
        <f t="shared" si="12"/>
        <v>42000</v>
      </c>
      <c r="H139" s="6" t="s">
        <v>9</v>
      </c>
      <c r="I139" s="12">
        <f>SUMIFS(IMPORT!$M$2:$M$94,IMPORT!$K$2:$K$94,CDC!B139)</f>
        <v>0</v>
      </c>
      <c r="J139" s="12">
        <f>SUMIFS(IMPORT!$R$2:$R$94,IMPORT!$K$2:$K$94,CDC!B139)</f>
        <v>0</v>
      </c>
      <c r="K139" s="12">
        <f>SUMIFS(IMPORT!$O$2:$O$94,IMPORT!$K$2:$K$94,CDC!B139)</f>
        <v>0</v>
      </c>
      <c r="L139" s="12">
        <f t="shared" si="13"/>
        <v>14000</v>
      </c>
      <c r="M139" s="13">
        <f t="shared" si="14"/>
        <v>1</v>
      </c>
      <c r="N139" s="12" t="str">
        <f t="shared" si="15"/>
        <v>OK</v>
      </c>
      <c r="O139" s="6" t="s">
        <v>155</v>
      </c>
    </row>
    <row r="140" spans="1:15">
      <c r="A140" s="27">
        <v>132</v>
      </c>
      <c r="B140" s="7" t="s">
        <v>368</v>
      </c>
      <c r="C140" s="7"/>
      <c r="D140" s="6" t="s">
        <v>20</v>
      </c>
      <c r="E140" s="8">
        <v>300000</v>
      </c>
      <c r="F140" s="8">
        <v>0.45</v>
      </c>
      <c r="G140" s="8">
        <f t="shared" si="12"/>
        <v>135000</v>
      </c>
      <c r="H140" s="6" t="s">
        <v>23</v>
      </c>
      <c r="I140" s="12">
        <f>SUMIFS(IMPORT!$M$2:$M$94,IMPORT!$K$2:$K$94,CDC!B140)</f>
        <v>0</v>
      </c>
      <c r="J140" s="12">
        <f>SUMIFS(IMPORT!$R$2:$R$94,IMPORT!$K$2:$K$94,CDC!B140)</f>
        <v>0</v>
      </c>
      <c r="K140" s="12">
        <f>SUMIFS(IMPORT!$O$2:$O$94,IMPORT!$K$2:$K$94,CDC!B140)</f>
        <v>0</v>
      </c>
      <c r="L140" s="12">
        <f t="shared" si="13"/>
        <v>300000</v>
      </c>
      <c r="M140" s="13">
        <f t="shared" si="14"/>
        <v>1</v>
      </c>
      <c r="N140" s="12" t="str">
        <f t="shared" si="15"/>
        <v>OK</v>
      </c>
      <c r="O140" s="6" t="s">
        <v>156</v>
      </c>
    </row>
    <row r="141" spans="1:15">
      <c r="A141" s="27">
        <v>133</v>
      </c>
      <c r="B141" s="7" t="s">
        <v>369</v>
      </c>
      <c r="C141" s="7"/>
      <c r="D141" s="6" t="s">
        <v>20</v>
      </c>
      <c r="E141" s="8">
        <v>134000</v>
      </c>
      <c r="F141" s="8">
        <v>0.45</v>
      </c>
      <c r="G141" s="8">
        <f t="shared" si="12"/>
        <v>60300</v>
      </c>
      <c r="H141" s="6" t="s">
        <v>23</v>
      </c>
      <c r="I141" s="12">
        <f>SUMIFS(IMPORT!$M$2:$M$94,IMPORT!$K$2:$K$94,CDC!B141)</f>
        <v>0</v>
      </c>
      <c r="J141" s="12">
        <f>SUMIFS(IMPORT!$R$2:$R$94,IMPORT!$K$2:$K$94,CDC!B141)</f>
        <v>0</v>
      </c>
      <c r="K141" s="12">
        <f>SUMIFS(IMPORT!$O$2:$O$94,IMPORT!$K$2:$K$94,CDC!B141)</f>
        <v>0</v>
      </c>
      <c r="L141" s="12">
        <f t="shared" si="13"/>
        <v>134000</v>
      </c>
      <c r="M141" s="13">
        <f t="shared" si="14"/>
        <v>1</v>
      </c>
      <c r="N141" s="12" t="str">
        <f t="shared" si="15"/>
        <v>OK</v>
      </c>
      <c r="O141" s="6" t="s">
        <v>157</v>
      </c>
    </row>
    <row r="142" spans="1:15">
      <c r="A142" s="27">
        <v>134</v>
      </c>
      <c r="B142" s="7" t="s">
        <v>370</v>
      </c>
      <c r="C142" s="7"/>
      <c r="D142" s="6" t="s">
        <v>20</v>
      </c>
      <c r="E142" s="8">
        <v>300000</v>
      </c>
      <c r="F142" s="8">
        <v>0.45</v>
      </c>
      <c r="G142" s="8">
        <f t="shared" si="12"/>
        <v>135000</v>
      </c>
      <c r="H142" s="6" t="s">
        <v>23</v>
      </c>
      <c r="I142" s="12">
        <f>SUMIFS(IMPORT!$M$2:$M$94,IMPORT!$K$2:$K$94,CDC!B142)</f>
        <v>0</v>
      </c>
      <c r="J142" s="12">
        <f>SUMIFS(IMPORT!$R$2:$R$94,IMPORT!$K$2:$K$94,CDC!B142)</f>
        <v>0</v>
      </c>
      <c r="K142" s="12">
        <f>SUMIFS(IMPORT!$O$2:$O$94,IMPORT!$K$2:$K$94,CDC!B142)</f>
        <v>0</v>
      </c>
      <c r="L142" s="12">
        <f t="shared" si="13"/>
        <v>300000</v>
      </c>
      <c r="M142" s="13">
        <f t="shared" si="14"/>
        <v>1</v>
      </c>
      <c r="N142" s="12" t="str">
        <f t="shared" si="15"/>
        <v>OK</v>
      </c>
      <c r="O142" s="6" t="s">
        <v>158</v>
      </c>
    </row>
    <row r="143" spans="1:15">
      <c r="A143" s="27">
        <v>135</v>
      </c>
      <c r="B143" s="7" t="s">
        <v>371</v>
      </c>
      <c r="C143" s="7"/>
      <c r="D143" s="6" t="s">
        <v>20</v>
      </c>
      <c r="E143" s="8">
        <v>50000</v>
      </c>
      <c r="F143" s="8">
        <v>0.4</v>
      </c>
      <c r="G143" s="8">
        <f t="shared" si="12"/>
        <v>20000</v>
      </c>
      <c r="H143" s="6" t="s">
        <v>23</v>
      </c>
      <c r="I143" s="12">
        <f>SUMIFS(IMPORT!$M$2:$M$94,IMPORT!$K$2:$K$94,CDC!B143)</f>
        <v>0</v>
      </c>
      <c r="J143" s="12">
        <f>SUMIFS(IMPORT!$R$2:$R$94,IMPORT!$K$2:$K$94,CDC!B143)</f>
        <v>0</v>
      </c>
      <c r="K143" s="12">
        <f>SUMIFS(IMPORT!$O$2:$O$94,IMPORT!$K$2:$K$94,CDC!B143)</f>
        <v>0</v>
      </c>
      <c r="L143" s="12">
        <f t="shared" si="13"/>
        <v>50000</v>
      </c>
      <c r="M143" s="13">
        <f t="shared" si="14"/>
        <v>1</v>
      </c>
      <c r="N143" s="12" t="str">
        <f t="shared" si="15"/>
        <v>OK</v>
      </c>
      <c r="O143" s="6" t="s">
        <v>159</v>
      </c>
    </row>
    <row r="144" spans="1:15">
      <c r="A144" s="27">
        <v>136</v>
      </c>
      <c r="B144" s="7" t="s">
        <v>372</v>
      </c>
      <c r="C144" s="7"/>
      <c r="D144" s="6" t="s">
        <v>20</v>
      </c>
      <c r="E144" s="8">
        <v>9000</v>
      </c>
      <c r="F144" s="8">
        <v>0.5</v>
      </c>
      <c r="G144" s="8">
        <f t="shared" si="12"/>
        <v>4500</v>
      </c>
      <c r="H144" s="6" t="s">
        <v>23</v>
      </c>
      <c r="I144" s="12">
        <f>SUMIFS(IMPORT!$M$2:$M$94,IMPORT!$K$2:$K$94,CDC!B144)</f>
        <v>0</v>
      </c>
      <c r="J144" s="12">
        <f>SUMIFS(IMPORT!$R$2:$R$94,IMPORT!$K$2:$K$94,CDC!B144)</f>
        <v>0</v>
      </c>
      <c r="K144" s="12">
        <f>SUMIFS(IMPORT!$O$2:$O$94,IMPORT!$K$2:$K$94,CDC!B144)</f>
        <v>0</v>
      </c>
      <c r="L144" s="12">
        <f t="shared" si="13"/>
        <v>9000</v>
      </c>
      <c r="M144" s="13">
        <f t="shared" si="14"/>
        <v>1</v>
      </c>
      <c r="N144" s="12" t="str">
        <f t="shared" si="15"/>
        <v>OK</v>
      </c>
      <c r="O144" s="6" t="s">
        <v>160</v>
      </c>
    </row>
    <row r="145" spans="1:15">
      <c r="A145" s="27">
        <v>137</v>
      </c>
      <c r="B145" s="7" t="s">
        <v>373</v>
      </c>
      <c r="C145" s="7"/>
      <c r="D145" s="6" t="s">
        <v>19</v>
      </c>
      <c r="E145" s="8">
        <v>400000</v>
      </c>
      <c r="F145" s="8">
        <v>1.8</v>
      </c>
      <c r="G145" s="8">
        <f t="shared" si="12"/>
        <v>720000</v>
      </c>
      <c r="H145" s="6" t="s">
        <v>9</v>
      </c>
      <c r="I145" s="12">
        <f>SUMIFS(IMPORT!$M$2:$M$94,IMPORT!$K$2:$K$94,CDC!B145)</f>
        <v>0</v>
      </c>
      <c r="J145" s="12">
        <f>SUMIFS(IMPORT!$R$2:$R$94,IMPORT!$K$2:$K$94,CDC!B145)</f>
        <v>0</v>
      </c>
      <c r="K145" s="12">
        <f>SUMIFS(IMPORT!$O$2:$O$94,IMPORT!$K$2:$K$94,CDC!B145)</f>
        <v>0</v>
      </c>
      <c r="L145" s="12">
        <f t="shared" si="13"/>
        <v>400000</v>
      </c>
      <c r="M145" s="13">
        <f t="shared" si="14"/>
        <v>1</v>
      </c>
      <c r="N145" s="12" t="str">
        <f t="shared" si="15"/>
        <v>OK</v>
      </c>
      <c r="O145" s="6" t="s">
        <v>161</v>
      </c>
    </row>
    <row r="146" spans="1:15">
      <c r="A146" s="27">
        <v>138</v>
      </c>
      <c r="B146" s="7" t="s">
        <v>374</v>
      </c>
      <c r="C146" s="7"/>
      <c r="D146" s="6" t="s">
        <v>19</v>
      </c>
      <c r="E146" s="8">
        <v>200000</v>
      </c>
      <c r="F146" s="8">
        <v>1.5</v>
      </c>
      <c r="G146" s="8">
        <f t="shared" si="12"/>
        <v>300000</v>
      </c>
      <c r="H146" s="6" t="s">
        <v>9</v>
      </c>
      <c r="I146" s="12">
        <f>SUMIFS(IMPORT!$M$2:$M$94,IMPORT!$K$2:$K$94,CDC!B146)</f>
        <v>0</v>
      </c>
      <c r="J146" s="12">
        <f>SUMIFS(IMPORT!$R$2:$R$94,IMPORT!$K$2:$K$94,CDC!B146)</f>
        <v>0</v>
      </c>
      <c r="K146" s="12">
        <f>SUMIFS(IMPORT!$O$2:$O$94,IMPORT!$K$2:$K$94,CDC!B146)</f>
        <v>0</v>
      </c>
      <c r="L146" s="12">
        <f t="shared" si="13"/>
        <v>200000</v>
      </c>
      <c r="M146" s="13">
        <f t="shared" si="14"/>
        <v>1</v>
      </c>
      <c r="N146" s="12" t="str">
        <f t="shared" si="15"/>
        <v>OK</v>
      </c>
      <c r="O146" s="6" t="s">
        <v>162</v>
      </c>
    </row>
    <row r="147" spans="1:15">
      <c r="A147" s="27">
        <v>139</v>
      </c>
      <c r="B147" s="7" t="s">
        <v>375</v>
      </c>
      <c r="C147" s="7"/>
      <c r="D147" s="6" t="s">
        <v>19</v>
      </c>
      <c r="E147" s="8">
        <v>400000</v>
      </c>
      <c r="F147" s="8">
        <v>1.2</v>
      </c>
      <c r="G147" s="8">
        <f t="shared" si="12"/>
        <v>480000</v>
      </c>
      <c r="H147" s="6" t="s">
        <v>9</v>
      </c>
      <c r="I147" s="12">
        <f>SUMIFS(IMPORT!$M$2:$M$94,IMPORT!$K$2:$K$94,CDC!B147)</f>
        <v>602</v>
      </c>
      <c r="J147" s="12">
        <f>SUMIFS(IMPORT!$R$2:$R$94,IMPORT!$K$2:$K$94,CDC!B147)</f>
        <v>722.4</v>
      </c>
      <c r="K147" s="12">
        <f>SUMIFS(IMPORT!$O$2:$O$94,IMPORT!$K$2:$K$94,CDC!B147)</f>
        <v>23</v>
      </c>
      <c r="L147" s="12">
        <f t="shared" si="13"/>
        <v>399398</v>
      </c>
      <c r="M147" s="13">
        <f t="shared" si="14"/>
        <v>0.99849500000000002</v>
      </c>
      <c r="N147" s="12" t="str">
        <f t="shared" si="15"/>
        <v>OK</v>
      </c>
      <c r="O147" s="6" t="s">
        <v>163</v>
      </c>
    </row>
    <row r="148" spans="1:15">
      <c r="A148" s="27">
        <v>140</v>
      </c>
      <c r="B148" s="7" t="s">
        <v>376</v>
      </c>
      <c r="C148" s="7"/>
      <c r="D148" s="6" t="s">
        <v>19</v>
      </c>
      <c r="E148" s="8">
        <v>400000</v>
      </c>
      <c r="F148" s="8">
        <v>0.05</v>
      </c>
      <c r="G148" s="8">
        <f t="shared" si="12"/>
        <v>20000</v>
      </c>
      <c r="H148" s="6" t="s">
        <v>9</v>
      </c>
      <c r="I148" s="12">
        <f>SUMIFS(IMPORT!$M$2:$M$94,IMPORT!$K$2:$K$94,CDC!B148)</f>
        <v>7415</v>
      </c>
      <c r="J148" s="12">
        <f>SUMIFS(IMPORT!$R$2:$R$94,IMPORT!$K$2:$K$94,CDC!B148)</f>
        <v>370.75</v>
      </c>
      <c r="K148" s="12">
        <f>SUMIFS(IMPORT!$O$2:$O$94,IMPORT!$K$2:$K$94,CDC!B148)</f>
        <v>51.5</v>
      </c>
      <c r="L148" s="12">
        <f t="shared" si="13"/>
        <v>392585</v>
      </c>
      <c r="M148" s="13">
        <f t="shared" si="14"/>
        <v>0.98146250000000002</v>
      </c>
      <c r="N148" s="12" t="str">
        <f t="shared" si="15"/>
        <v>OK</v>
      </c>
      <c r="O148" s="6" t="s">
        <v>164</v>
      </c>
    </row>
    <row r="149" spans="1:15">
      <c r="A149" s="27">
        <v>141</v>
      </c>
      <c r="B149" s="7" t="s">
        <v>377</v>
      </c>
      <c r="C149" s="7"/>
      <c r="D149" s="6" t="s">
        <v>19</v>
      </c>
      <c r="E149" s="8">
        <v>400000</v>
      </c>
      <c r="F149" s="8">
        <v>0.05</v>
      </c>
      <c r="G149" s="8">
        <f t="shared" si="12"/>
        <v>20000</v>
      </c>
      <c r="H149" s="6" t="s">
        <v>9</v>
      </c>
      <c r="I149" s="12">
        <f>SUMIFS(IMPORT!$M$2:$M$94,IMPORT!$K$2:$K$94,CDC!B149)</f>
        <v>0</v>
      </c>
      <c r="J149" s="12">
        <f>SUMIFS(IMPORT!$R$2:$R$94,IMPORT!$K$2:$K$94,CDC!B149)</f>
        <v>0</v>
      </c>
      <c r="K149" s="12">
        <f>SUMIFS(IMPORT!$O$2:$O$94,IMPORT!$K$2:$K$94,CDC!B149)</f>
        <v>0</v>
      </c>
      <c r="L149" s="12">
        <f t="shared" si="13"/>
        <v>400000</v>
      </c>
      <c r="M149" s="13">
        <f t="shared" si="14"/>
        <v>1</v>
      </c>
      <c r="N149" s="12" t="str">
        <f t="shared" si="15"/>
        <v>OK</v>
      </c>
      <c r="O149" s="6" t="s">
        <v>165</v>
      </c>
    </row>
    <row r="150" spans="1:15">
      <c r="A150" s="27">
        <v>142</v>
      </c>
      <c r="B150" s="7" t="s">
        <v>378</v>
      </c>
      <c r="C150" s="7"/>
      <c r="D150" s="6" t="s">
        <v>19</v>
      </c>
      <c r="E150" s="8">
        <v>250000</v>
      </c>
      <c r="F150" s="8">
        <v>0.15</v>
      </c>
      <c r="G150" s="8">
        <f t="shared" si="12"/>
        <v>37500</v>
      </c>
      <c r="H150" s="6" t="s">
        <v>9</v>
      </c>
      <c r="I150" s="12">
        <f>SUMIFS(IMPORT!$M$2:$M$94,IMPORT!$K$2:$K$94,CDC!B150)</f>
        <v>0</v>
      </c>
      <c r="J150" s="12">
        <f>SUMIFS(IMPORT!$R$2:$R$94,IMPORT!$K$2:$K$94,CDC!B150)</f>
        <v>0</v>
      </c>
      <c r="K150" s="12">
        <f>SUMIFS(IMPORT!$O$2:$O$94,IMPORT!$K$2:$K$94,CDC!B150)</f>
        <v>0</v>
      </c>
      <c r="L150" s="12">
        <f t="shared" si="13"/>
        <v>250000</v>
      </c>
      <c r="M150" s="13">
        <f t="shared" si="14"/>
        <v>1</v>
      </c>
      <c r="N150" s="12" t="str">
        <f t="shared" si="15"/>
        <v>OK</v>
      </c>
      <c r="O150" s="6" t="s">
        <v>166</v>
      </c>
    </row>
    <row r="151" spans="1:15">
      <c r="A151" s="27">
        <v>143</v>
      </c>
      <c r="B151" s="7" t="s">
        <v>379</v>
      </c>
      <c r="C151" s="7"/>
      <c r="D151" s="6" t="s">
        <v>19</v>
      </c>
      <c r="E151" s="8">
        <v>300000</v>
      </c>
      <c r="F151" s="8">
        <v>0.05</v>
      </c>
      <c r="G151" s="8">
        <f t="shared" si="12"/>
        <v>15000</v>
      </c>
      <c r="H151" s="6" t="s">
        <v>9</v>
      </c>
      <c r="I151" s="12">
        <f>SUMIFS(IMPORT!$M$2:$M$94,IMPORT!$K$2:$K$94,CDC!B151)</f>
        <v>0</v>
      </c>
      <c r="J151" s="12">
        <f>SUMIFS(IMPORT!$R$2:$R$94,IMPORT!$K$2:$K$94,CDC!B151)</f>
        <v>0</v>
      </c>
      <c r="K151" s="12">
        <f>SUMIFS(IMPORT!$O$2:$O$94,IMPORT!$K$2:$K$94,CDC!B151)</f>
        <v>0</v>
      </c>
      <c r="L151" s="12">
        <f t="shared" si="13"/>
        <v>300000</v>
      </c>
      <c r="M151" s="13">
        <f t="shared" si="14"/>
        <v>1</v>
      </c>
      <c r="N151" s="12" t="str">
        <f t="shared" si="15"/>
        <v>OK</v>
      </c>
      <c r="O151" s="6" t="s">
        <v>167</v>
      </c>
    </row>
    <row r="152" spans="1:15">
      <c r="A152" s="27">
        <v>144</v>
      </c>
      <c r="B152" s="7" t="s">
        <v>380</v>
      </c>
      <c r="C152" s="7"/>
      <c r="D152" s="6" t="s">
        <v>19</v>
      </c>
      <c r="E152" s="8">
        <v>300000</v>
      </c>
      <c r="F152" s="8">
        <v>0.05</v>
      </c>
      <c r="G152" s="8">
        <f t="shared" si="12"/>
        <v>15000</v>
      </c>
      <c r="H152" s="6" t="s">
        <v>9</v>
      </c>
      <c r="I152" s="12">
        <f>SUMIFS(IMPORT!$M$2:$M$94,IMPORT!$K$2:$K$94,CDC!B152)</f>
        <v>0</v>
      </c>
      <c r="J152" s="12">
        <f>SUMIFS(IMPORT!$R$2:$R$94,IMPORT!$K$2:$K$94,CDC!B152)</f>
        <v>0</v>
      </c>
      <c r="K152" s="12">
        <f>SUMIFS(IMPORT!$O$2:$O$94,IMPORT!$K$2:$K$94,CDC!B152)</f>
        <v>0</v>
      </c>
      <c r="L152" s="12">
        <f t="shared" si="13"/>
        <v>300000</v>
      </c>
      <c r="M152" s="13">
        <f t="shared" si="14"/>
        <v>1</v>
      </c>
      <c r="N152" s="12" t="str">
        <f t="shared" si="15"/>
        <v>OK</v>
      </c>
      <c r="O152" s="6" t="s">
        <v>168</v>
      </c>
    </row>
    <row r="153" spans="1:15">
      <c r="A153" s="27">
        <v>145</v>
      </c>
      <c r="B153" s="7" t="s">
        <v>381</v>
      </c>
      <c r="C153" s="7"/>
      <c r="D153" s="6" t="s">
        <v>19</v>
      </c>
      <c r="E153" s="8">
        <v>250000</v>
      </c>
      <c r="F153" s="8">
        <v>0.2</v>
      </c>
      <c r="G153" s="8">
        <f t="shared" si="12"/>
        <v>50000</v>
      </c>
      <c r="H153" s="6" t="s">
        <v>9</v>
      </c>
      <c r="I153" s="12">
        <f>SUMIFS(IMPORT!$M$2:$M$94,IMPORT!$K$2:$K$94,CDC!B153)</f>
        <v>0</v>
      </c>
      <c r="J153" s="12">
        <f>SUMIFS(IMPORT!$R$2:$R$94,IMPORT!$K$2:$K$94,CDC!B153)</f>
        <v>0</v>
      </c>
      <c r="K153" s="12">
        <f>SUMIFS(IMPORT!$O$2:$O$94,IMPORT!$K$2:$K$94,CDC!B153)</f>
        <v>0</v>
      </c>
      <c r="L153" s="12">
        <f t="shared" si="13"/>
        <v>250000</v>
      </c>
      <c r="M153" s="13">
        <f t="shared" si="14"/>
        <v>1</v>
      </c>
      <c r="N153" s="12" t="str">
        <f t="shared" si="15"/>
        <v>OK</v>
      </c>
      <c r="O153" s="6" t="s">
        <v>169</v>
      </c>
    </row>
    <row r="154" spans="1:15">
      <c r="A154" s="27">
        <v>146</v>
      </c>
      <c r="B154" s="7" t="s">
        <v>382</v>
      </c>
      <c r="C154" s="7"/>
      <c r="D154" s="6" t="s">
        <v>19</v>
      </c>
      <c r="E154" s="8">
        <v>300000</v>
      </c>
      <c r="F154" s="8">
        <v>0.05</v>
      </c>
      <c r="G154" s="8">
        <f t="shared" si="12"/>
        <v>15000</v>
      </c>
      <c r="H154" s="6" t="s">
        <v>9</v>
      </c>
      <c r="I154" s="12">
        <f>SUMIFS(IMPORT!$M$2:$M$94,IMPORT!$K$2:$K$94,CDC!B154)</f>
        <v>764</v>
      </c>
      <c r="J154" s="12">
        <f>SUMIFS(IMPORT!$R$2:$R$94,IMPORT!$K$2:$K$94,CDC!B154)</f>
        <v>38.200000000000003</v>
      </c>
      <c r="K154" s="12">
        <f>SUMIFS(IMPORT!$O$2:$O$94,IMPORT!$K$2:$K$94,CDC!B154)</f>
        <v>10.7</v>
      </c>
      <c r="L154" s="12">
        <f t="shared" si="13"/>
        <v>299236</v>
      </c>
      <c r="M154" s="13">
        <f t="shared" si="14"/>
        <v>0.9974533333333333</v>
      </c>
      <c r="N154" s="12" t="str">
        <f t="shared" si="15"/>
        <v>OK</v>
      </c>
      <c r="O154" s="6" t="s">
        <v>170</v>
      </c>
    </row>
    <row r="155" spans="1:15">
      <c r="A155" s="27">
        <v>147</v>
      </c>
      <c r="B155" s="7" t="s">
        <v>383</v>
      </c>
      <c r="C155" s="7"/>
      <c r="D155" s="6" t="s">
        <v>19</v>
      </c>
      <c r="E155" s="8">
        <v>250000</v>
      </c>
      <c r="F155" s="8">
        <v>0.8</v>
      </c>
      <c r="G155" s="8">
        <f t="shared" si="12"/>
        <v>200000</v>
      </c>
      <c r="H155" s="6" t="s">
        <v>9</v>
      </c>
      <c r="I155" s="12">
        <f>SUMIFS(IMPORT!$M$2:$M$94,IMPORT!$K$2:$K$94,CDC!B155)</f>
        <v>0</v>
      </c>
      <c r="J155" s="12">
        <f>SUMIFS(IMPORT!$R$2:$R$94,IMPORT!$K$2:$K$94,CDC!B155)</f>
        <v>0</v>
      </c>
      <c r="K155" s="12">
        <f>SUMIFS(IMPORT!$O$2:$O$94,IMPORT!$K$2:$K$94,CDC!B155)</f>
        <v>0</v>
      </c>
      <c r="L155" s="12">
        <f t="shared" si="13"/>
        <v>250000</v>
      </c>
      <c r="M155" s="13">
        <f t="shared" si="14"/>
        <v>1</v>
      </c>
      <c r="N155" s="12" t="str">
        <f t="shared" si="15"/>
        <v>OK</v>
      </c>
      <c r="O155" s="6" t="s">
        <v>171</v>
      </c>
    </row>
    <row r="156" spans="1:15">
      <c r="A156" s="27">
        <v>148</v>
      </c>
      <c r="B156" s="7" t="s">
        <v>384</v>
      </c>
      <c r="C156" s="7"/>
      <c r="D156" s="6" t="s">
        <v>19</v>
      </c>
      <c r="E156" s="8">
        <v>300000</v>
      </c>
      <c r="F156" s="8">
        <v>0.05</v>
      </c>
      <c r="G156" s="8">
        <f t="shared" si="12"/>
        <v>15000</v>
      </c>
      <c r="H156" s="6" t="s">
        <v>9</v>
      </c>
      <c r="I156" s="12">
        <f>SUMIFS(IMPORT!$M$2:$M$94,IMPORT!$K$2:$K$94,CDC!B156)</f>
        <v>0</v>
      </c>
      <c r="J156" s="12">
        <f>SUMIFS(IMPORT!$R$2:$R$94,IMPORT!$K$2:$K$94,CDC!B156)</f>
        <v>0</v>
      </c>
      <c r="K156" s="12">
        <f>SUMIFS(IMPORT!$O$2:$O$94,IMPORT!$K$2:$K$94,CDC!B156)</f>
        <v>0</v>
      </c>
      <c r="L156" s="12">
        <f t="shared" si="13"/>
        <v>300000</v>
      </c>
      <c r="M156" s="13">
        <f t="shared" si="14"/>
        <v>1</v>
      </c>
      <c r="N156" s="12" t="str">
        <f t="shared" si="15"/>
        <v>OK</v>
      </c>
      <c r="O156" s="6" t="s">
        <v>172</v>
      </c>
    </row>
    <row r="157" spans="1:15">
      <c r="A157" s="27">
        <v>149</v>
      </c>
      <c r="B157" s="7" t="s">
        <v>385</v>
      </c>
      <c r="C157" s="7"/>
      <c r="D157" s="6" t="s">
        <v>19</v>
      </c>
      <c r="E157" s="8">
        <v>300000</v>
      </c>
      <c r="F157" s="8">
        <v>0.05</v>
      </c>
      <c r="G157" s="8">
        <f t="shared" si="12"/>
        <v>15000</v>
      </c>
      <c r="H157" s="6" t="s">
        <v>9</v>
      </c>
      <c r="I157" s="12">
        <f>SUMIFS(IMPORT!$M$2:$M$94,IMPORT!$K$2:$K$94,CDC!B157)</f>
        <v>0</v>
      </c>
      <c r="J157" s="12">
        <f>SUMIFS(IMPORT!$R$2:$R$94,IMPORT!$K$2:$K$94,CDC!B157)</f>
        <v>0</v>
      </c>
      <c r="K157" s="12">
        <f>SUMIFS(IMPORT!$O$2:$O$94,IMPORT!$K$2:$K$94,CDC!B157)</f>
        <v>0</v>
      </c>
      <c r="L157" s="12">
        <f t="shared" si="13"/>
        <v>300000</v>
      </c>
      <c r="M157" s="13">
        <f t="shared" si="14"/>
        <v>1</v>
      </c>
      <c r="N157" s="12" t="str">
        <f t="shared" si="15"/>
        <v>OK</v>
      </c>
      <c r="O157" s="6" t="s">
        <v>173</v>
      </c>
    </row>
    <row r="158" spans="1:15">
      <c r="A158" s="27">
        <v>150</v>
      </c>
      <c r="B158" s="7" t="s">
        <v>386</v>
      </c>
      <c r="C158" s="7"/>
      <c r="D158" s="6" t="s">
        <v>1</v>
      </c>
      <c r="E158" s="8">
        <v>1000000</v>
      </c>
      <c r="F158" s="8">
        <v>0.01</v>
      </c>
      <c r="G158" s="8">
        <f t="shared" si="12"/>
        <v>10000</v>
      </c>
      <c r="H158" s="6" t="s">
        <v>9</v>
      </c>
      <c r="I158" s="12">
        <f>SUMIFS(IMPORT!$M$2:$M$94,IMPORT!$K$2:$K$94,CDC!B158)</f>
        <v>0</v>
      </c>
      <c r="J158" s="12">
        <f>SUMIFS(IMPORT!$R$2:$R$94,IMPORT!$K$2:$K$94,CDC!B158)</f>
        <v>0</v>
      </c>
      <c r="K158" s="12">
        <f>SUMIFS(IMPORT!$O$2:$O$94,IMPORT!$K$2:$K$94,CDC!B158)</f>
        <v>0</v>
      </c>
      <c r="L158" s="12">
        <f t="shared" si="13"/>
        <v>1000000</v>
      </c>
      <c r="M158" s="13">
        <f t="shared" si="14"/>
        <v>1</v>
      </c>
      <c r="N158" s="12" t="str">
        <f t="shared" si="15"/>
        <v>OK</v>
      </c>
      <c r="O158" s="6" t="s">
        <v>174</v>
      </c>
    </row>
    <row r="159" spans="1:15">
      <c r="A159" s="27">
        <v>151</v>
      </c>
      <c r="B159" s="7" t="s">
        <v>387</v>
      </c>
      <c r="C159" s="7"/>
      <c r="D159" s="6" t="s">
        <v>1</v>
      </c>
      <c r="E159" s="8">
        <v>1000000</v>
      </c>
      <c r="F159" s="8">
        <v>0.02</v>
      </c>
      <c r="G159" s="8">
        <f t="shared" si="12"/>
        <v>20000</v>
      </c>
      <c r="H159" s="6" t="s">
        <v>9</v>
      </c>
      <c r="I159" s="12">
        <f>SUMIFS(IMPORT!$M$2:$M$94,IMPORT!$K$2:$K$94,CDC!B159)</f>
        <v>0</v>
      </c>
      <c r="J159" s="12">
        <f>SUMIFS(IMPORT!$R$2:$R$94,IMPORT!$K$2:$K$94,CDC!B159)</f>
        <v>0</v>
      </c>
      <c r="K159" s="12">
        <f>SUMIFS(IMPORT!$O$2:$O$94,IMPORT!$K$2:$K$94,CDC!B159)</f>
        <v>0</v>
      </c>
      <c r="L159" s="12">
        <f t="shared" si="13"/>
        <v>1000000</v>
      </c>
      <c r="M159" s="13">
        <f t="shared" si="14"/>
        <v>1</v>
      </c>
      <c r="N159" s="12" t="str">
        <f t="shared" si="15"/>
        <v>OK</v>
      </c>
      <c r="O159" s="6" t="s">
        <v>175</v>
      </c>
    </row>
    <row r="160" spans="1:15">
      <c r="A160" s="27">
        <v>152</v>
      </c>
      <c r="B160" s="7" t="s">
        <v>388</v>
      </c>
      <c r="C160" s="7"/>
      <c r="D160" s="6" t="s">
        <v>1</v>
      </c>
      <c r="E160" s="8">
        <v>1000000</v>
      </c>
      <c r="F160" s="8">
        <v>0.02</v>
      </c>
      <c r="G160" s="8">
        <f t="shared" si="12"/>
        <v>20000</v>
      </c>
      <c r="H160" s="6" t="s">
        <v>9</v>
      </c>
      <c r="I160" s="12">
        <f>SUMIFS(IMPORT!$M$2:$M$94,IMPORT!$K$2:$K$94,CDC!B160)</f>
        <v>11686</v>
      </c>
      <c r="J160" s="12">
        <f>SUMIFS(IMPORT!$R$2:$R$94,IMPORT!$K$2:$K$94,CDC!B160)</f>
        <v>8592.5999999999985</v>
      </c>
      <c r="K160" s="12">
        <f>SUMIFS(IMPORT!$O$2:$O$94,IMPORT!$K$2:$K$94,CDC!B160)</f>
        <v>444.7</v>
      </c>
      <c r="L160" s="12">
        <f t="shared" si="13"/>
        <v>988314</v>
      </c>
      <c r="M160" s="13">
        <f t="shared" si="14"/>
        <v>0.98831400000000003</v>
      </c>
      <c r="N160" s="12" t="str">
        <f t="shared" si="15"/>
        <v>OK</v>
      </c>
      <c r="O160" s="6" t="s">
        <v>176</v>
      </c>
    </row>
    <row r="161" spans="1:15">
      <c r="A161" s="27">
        <v>153</v>
      </c>
      <c r="B161" s="7" t="s">
        <v>389</v>
      </c>
      <c r="C161" s="7"/>
      <c r="D161" s="6" t="s">
        <v>1</v>
      </c>
      <c r="E161" s="8">
        <v>1500000</v>
      </c>
      <c r="F161" s="8">
        <v>0.02</v>
      </c>
      <c r="G161" s="8">
        <f t="shared" si="12"/>
        <v>30000</v>
      </c>
      <c r="H161" s="6" t="s">
        <v>9</v>
      </c>
      <c r="I161" s="12">
        <f>SUMIFS(IMPORT!$M$2:$M$94,IMPORT!$K$2:$K$94,CDC!B161)</f>
        <v>0</v>
      </c>
      <c r="J161" s="12">
        <f>SUMIFS(IMPORT!$R$2:$R$94,IMPORT!$K$2:$K$94,CDC!B161)</f>
        <v>0</v>
      </c>
      <c r="K161" s="12">
        <f>SUMIFS(IMPORT!$O$2:$O$94,IMPORT!$K$2:$K$94,CDC!B161)</f>
        <v>0</v>
      </c>
      <c r="L161" s="12">
        <f t="shared" si="13"/>
        <v>1500000</v>
      </c>
      <c r="M161" s="13">
        <f t="shared" si="14"/>
        <v>1</v>
      </c>
      <c r="N161" s="12" t="str">
        <f t="shared" si="15"/>
        <v>OK</v>
      </c>
      <c r="O161" s="6" t="s">
        <v>177</v>
      </c>
    </row>
    <row r="162" spans="1:15">
      <c r="A162" s="27">
        <v>154</v>
      </c>
      <c r="B162" s="7" t="s">
        <v>390</v>
      </c>
      <c r="C162" s="7"/>
      <c r="D162" s="6" t="s">
        <v>1</v>
      </c>
      <c r="E162" s="8">
        <v>1500000</v>
      </c>
      <c r="F162" s="8">
        <v>0.03</v>
      </c>
      <c r="G162" s="8">
        <f t="shared" si="12"/>
        <v>45000</v>
      </c>
      <c r="H162" s="6" t="s">
        <v>9</v>
      </c>
      <c r="I162" s="12">
        <f>SUMIFS(IMPORT!$M$2:$M$94,IMPORT!$K$2:$K$94,CDC!B162)</f>
        <v>341</v>
      </c>
      <c r="J162" s="12">
        <f>SUMIFS(IMPORT!$R$2:$R$94,IMPORT!$K$2:$K$94,CDC!B162)</f>
        <v>10.23</v>
      </c>
      <c r="K162" s="12">
        <f>SUMIFS(IMPORT!$O$2:$O$94,IMPORT!$K$2:$K$94,CDC!B162)</f>
        <v>22</v>
      </c>
      <c r="L162" s="12">
        <f t="shared" si="13"/>
        <v>1499659</v>
      </c>
      <c r="M162" s="13">
        <f t="shared" si="14"/>
        <v>0.99977266666666664</v>
      </c>
      <c r="N162" s="12" t="str">
        <f t="shared" si="15"/>
        <v>OK</v>
      </c>
      <c r="O162" s="6" t="s">
        <v>178</v>
      </c>
    </row>
    <row r="163" spans="1:15">
      <c r="A163" s="27">
        <v>155</v>
      </c>
      <c r="B163" s="7" t="s">
        <v>391</v>
      </c>
      <c r="C163" s="7"/>
      <c r="D163" s="6" t="s">
        <v>19</v>
      </c>
      <c r="E163" s="8">
        <v>300000</v>
      </c>
      <c r="F163" s="8">
        <v>0.1</v>
      </c>
      <c r="G163" s="8">
        <f t="shared" si="12"/>
        <v>30000</v>
      </c>
      <c r="H163" s="6" t="s">
        <v>9</v>
      </c>
      <c r="I163" s="12">
        <f>SUMIFS(IMPORT!$M$2:$M$94,IMPORT!$K$2:$K$94,CDC!B163)</f>
        <v>0</v>
      </c>
      <c r="J163" s="12">
        <f>SUMIFS(IMPORT!$R$2:$R$94,IMPORT!$K$2:$K$94,CDC!B163)</f>
        <v>0</v>
      </c>
      <c r="K163" s="12">
        <f>SUMIFS(IMPORT!$O$2:$O$94,IMPORT!$K$2:$K$94,CDC!B163)</f>
        <v>0</v>
      </c>
      <c r="L163" s="12">
        <f t="shared" si="13"/>
        <v>300000</v>
      </c>
      <c r="M163" s="13">
        <f t="shared" si="14"/>
        <v>1</v>
      </c>
      <c r="N163" s="12" t="str">
        <f t="shared" si="15"/>
        <v>OK</v>
      </c>
      <c r="O163" s="6" t="s">
        <v>179</v>
      </c>
    </row>
    <row r="164" spans="1:15">
      <c r="A164" s="27">
        <v>156</v>
      </c>
      <c r="B164" s="7" t="s">
        <v>392</v>
      </c>
      <c r="C164" s="7"/>
      <c r="D164" s="6" t="s">
        <v>1</v>
      </c>
      <c r="E164" s="8">
        <v>300000</v>
      </c>
      <c r="F164" s="8">
        <v>0.01</v>
      </c>
      <c r="G164" s="8">
        <f t="shared" si="12"/>
        <v>3000</v>
      </c>
      <c r="H164" s="6" t="s">
        <v>9</v>
      </c>
      <c r="I164" s="12">
        <f>SUMIFS(IMPORT!$M$2:$M$94,IMPORT!$K$2:$K$94,CDC!B164)</f>
        <v>0</v>
      </c>
      <c r="J164" s="12">
        <f>SUMIFS(IMPORT!$R$2:$R$94,IMPORT!$K$2:$K$94,CDC!B164)</f>
        <v>0</v>
      </c>
      <c r="K164" s="12">
        <f>SUMIFS(IMPORT!$O$2:$O$94,IMPORT!$K$2:$K$94,CDC!B164)</f>
        <v>0</v>
      </c>
      <c r="L164" s="12">
        <f t="shared" si="13"/>
        <v>300000</v>
      </c>
      <c r="M164" s="13">
        <f t="shared" si="14"/>
        <v>1</v>
      </c>
      <c r="N164" s="12" t="str">
        <f t="shared" si="15"/>
        <v>OK</v>
      </c>
      <c r="O164" s="6" t="s">
        <v>180</v>
      </c>
    </row>
    <row r="165" spans="1:15">
      <c r="A165" s="27">
        <v>157</v>
      </c>
      <c r="B165" s="7" t="s">
        <v>393</v>
      </c>
      <c r="C165" s="7"/>
      <c r="D165" s="6" t="s">
        <v>1</v>
      </c>
      <c r="E165" s="8">
        <v>1000000</v>
      </c>
      <c r="F165" s="8">
        <v>0.01</v>
      </c>
      <c r="G165" s="8">
        <f t="shared" si="12"/>
        <v>10000</v>
      </c>
      <c r="H165" s="6" t="s">
        <v>9</v>
      </c>
      <c r="I165" s="12">
        <f>SUMIFS(IMPORT!$M$2:$M$94,IMPORT!$K$2:$K$94,CDC!B165)</f>
        <v>0</v>
      </c>
      <c r="J165" s="12">
        <f>SUMIFS(IMPORT!$R$2:$R$94,IMPORT!$K$2:$K$94,CDC!B165)</f>
        <v>0</v>
      </c>
      <c r="K165" s="12">
        <f>SUMIFS(IMPORT!$O$2:$O$94,IMPORT!$K$2:$K$94,CDC!B165)</f>
        <v>0</v>
      </c>
      <c r="L165" s="12">
        <f t="shared" si="13"/>
        <v>1000000</v>
      </c>
      <c r="M165" s="13">
        <f t="shared" si="14"/>
        <v>1</v>
      </c>
      <c r="N165" s="12" t="str">
        <f t="shared" si="15"/>
        <v>OK</v>
      </c>
      <c r="O165" s="6" t="s">
        <v>181</v>
      </c>
    </row>
    <row r="166" spans="1:15">
      <c r="A166" s="27">
        <v>158</v>
      </c>
      <c r="B166" s="7" t="s">
        <v>394</v>
      </c>
      <c r="C166" s="7"/>
      <c r="D166" s="6" t="s">
        <v>1</v>
      </c>
      <c r="E166" s="8">
        <v>800000</v>
      </c>
      <c r="F166" s="8">
        <v>0.04</v>
      </c>
      <c r="G166" s="8">
        <f t="shared" si="12"/>
        <v>32000</v>
      </c>
      <c r="H166" s="6" t="s">
        <v>9</v>
      </c>
      <c r="I166" s="12">
        <f>SUMIFS(IMPORT!$M$2:$M$94,IMPORT!$K$2:$K$94,CDC!B166)</f>
        <v>0</v>
      </c>
      <c r="J166" s="12">
        <f>SUMIFS(IMPORT!$R$2:$R$94,IMPORT!$K$2:$K$94,CDC!B166)</f>
        <v>0</v>
      </c>
      <c r="K166" s="12">
        <f>SUMIFS(IMPORT!$O$2:$O$94,IMPORT!$K$2:$K$94,CDC!B166)</f>
        <v>0</v>
      </c>
      <c r="L166" s="12">
        <f t="shared" si="13"/>
        <v>800000</v>
      </c>
      <c r="M166" s="13">
        <f t="shared" si="14"/>
        <v>1</v>
      </c>
      <c r="N166" s="12" t="str">
        <f t="shared" si="15"/>
        <v>OK</v>
      </c>
      <c r="O166" s="6" t="s">
        <v>182</v>
      </c>
    </row>
    <row r="167" spans="1:15">
      <c r="A167" s="27">
        <v>159</v>
      </c>
      <c r="B167" s="7" t="s">
        <v>395</v>
      </c>
      <c r="C167" s="7"/>
      <c r="D167" s="6" t="s">
        <v>1</v>
      </c>
      <c r="E167" s="8">
        <v>1000000</v>
      </c>
      <c r="F167" s="8">
        <v>0.01</v>
      </c>
      <c r="G167" s="8">
        <f t="shared" si="12"/>
        <v>10000</v>
      </c>
      <c r="H167" s="6" t="s">
        <v>9</v>
      </c>
      <c r="I167" s="12">
        <f>SUMIFS(IMPORT!$M$2:$M$94,IMPORT!$K$2:$K$94,CDC!B167)</f>
        <v>0</v>
      </c>
      <c r="J167" s="12">
        <f>SUMIFS(IMPORT!$R$2:$R$94,IMPORT!$K$2:$K$94,CDC!B167)</f>
        <v>0</v>
      </c>
      <c r="K167" s="12">
        <f>SUMIFS(IMPORT!$O$2:$O$94,IMPORT!$K$2:$K$94,CDC!B167)</f>
        <v>0</v>
      </c>
      <c r="L167" s="12">
        <f t="shared" si="13"/>
        <v>1000000</v>
      </c>
      <c r="M167" s="13">
        <f t="shared" si="14"/>
        <v>1</v>
      </c>
      <c r="N167" s="12" t="str">
        <f t="shared" si="15"/>
        <v>OK</v>
      </c>
      <c r="O167" s="6" t="s">
        <v>183</v>
      </c>
    </row>
    <row r="168" spans="1:15">
      <c r="A168" s="27">
        <v>160</v>
      </c>
      <c r="B168" s="7" t="s">
        <v>396</v>
      </c>
      <c r="C168" s="7"/>
      <c r="D168" s="6" t="s">
        <v>1</v>
      </c>
      <c r="E168" s="8">
        <v>50000</v>
      </c>
      <c r="F168" s="8">
        <v>7.0000000000000007E-2</v>
      </c>
      <c r="G168" s="8">
        <f t="shared" si="12"/>
        <v>3500.0000000000005</v>
      </c>
      <c r="H168" s="6" t="s">
        <v>9</v>
      </c>
      <c r="I168" s="12">
        <f>SUMIFS(IMPORT!$M$2:$M$94,IMPORT!$K$2:$K$94,CDC!B168)</f>
        <v>0</v>
      </c>
      <c r="J168" s="12">
        <f>SUMIFS(IMPORT!$R$2:$R$94,IMPORT!$K$2:$K$94,CDC!B168)</f>
        <v>0</v>
      </c>
      <c r="K168" s="12">
        <f>SUMIFS(IMPORT!$O$2:$O$94,IMPORT!$K$2:$K$94,CDC!B168)</f>
        <v>0</v>
      </c>
      <c r="L168" s="12">
        <f t="shared" si="13"/>
        <v>50000</v>
      </c>
      <c r="M168" s="13">
        <f t="shared" si="14"/>
        <v>1</v>
      </c>
      <c r="N168" s="12" t="str">
        <f t="shared" si="15"/>
        <v>OK</v>
      </c>
      <c r="O168" s="6" t="s">
        <v>184</v>
      </c>
    </row>
    <row r="169" spans="1:15">
      <c r="A169" s="27">
        <v>161</v>
      </c>
      <c r="B169" s="7" t="s">
        <v>397</v>
      </c>
      <c r="C169" s="7"/>
      <c r="D169" s="6" t="s">
        <v>19</v>
      </c>
      <c r="E169" s="8">
        <v>200000</v>
      </c>
      <c r="F169" s="8">
        <v>0.1</v>
      </c>
      <c r="G169" s="8">
        <f t="shared" si="12"/>
        <v>20000</v>
      </c>
      <c r="H169" s="6" t="s">
        <v>9</v>
      </c>
      <c r="I169" s="12">
        <f>SUMIFS(IMPORT!$M$2:$M$94,IMPORT!$K$2:$K$94,CDC!B169)</f>
        <v>0</v>
      </c>
      <c r="J169" s="12">
        <f>SUMIFS(IMPORT!$R$2:$R$94,IMPORT!$K$2:$K$94,CDC!B169)</f>
        <v>0</v>
      </c>
      <c r="K169" s="12">
        <f>SUMIFS(IMPORT!$O$2:$O$94,IMPORT!$K$2:$K$94,CDC!B169)</f>
        <v>0</v>
      </c>
      <c r="L169" s="12">
        <f t="shared" si="13"/>
        <v>200000</v>
      </c>
      <c r="M169" s="13">
        <f t="shared" si="14"/>
        <v>1</v>
      </c>
      <c r="N169" s="12" t="str">
        <f t="shared" si="15"/>
        <v>OK</v>
      </c>
      <c r="O169" s="6" t="s">
        <v>185</v>
      </c>
    </row>
    <row r="170" spans="1:15">
      <c r="A170" s="27">
        <v>162</v>
      </c>
      <c r="B170" s="7" t="s">
        <v>398</v>
      </c>
      <c r="C170" s="7"/>
      <c r="D170" s="6" t="s">
        <v>19</v>
      </c>
      <c r="E170" s="8">
        <v>200000</v>
      </c>
      <c r="F170" s="8">
        <v>0.1</v>
      </c>
      <c r="G170" s="8">
        <f t="shared" si="12"/>
        <v>20000</v>
      </c>
      <c r="H170" s="6" t="s">
        <v>9</v>
      </c>
      <c r="I170" s="12">
        <f>SUMIFS(IMPORT!$M$2:$M$94,IMPORT!$K$2:$K$94,CDC!B170)</f>
        <v>0</v>
      </c>
      <c r="J170" s="12">
        <f>SUMIFS(IMPORT!$R$2:$R$94,IMPORT!$K$2:$K$94,CDC!B170)</f>
        <v>0</v>
      </c>
      <c r="K170" s="12">
        <f>SUMIFS(IMPORT!$O$2:$O$94,IMPORT!$K$2:$K$94,CDC!B170)</f>
        <v>0</v>
      </c>
      <c r="L170" s="12">
        <f t="shared" si="13"/>
        <v>200000</v>
      </c>
      <c r="M170" s="13">
        <f t="shared" si="14"/>
        <v>1</v>
      </c>
      <c r="N170" s="12" t="str">
        <f t="shared" si="15"/>
        <v>OK</v>
      </c>
      <c r="O170" s="6" t="s">
        <v>186</v>
      </c>
    </row>
    <row r="171" spans="1:15">
      <c r="A171" s="27">
        <v>163</v>
      </c>
      <c r="B171" s="7" t="s">
        <v>399</v>
      </c>
      <c r="C171" s="7"/>
      <c r="D171" s="6" t="s">
        <v>19</v>
      </c>
      <c r="E171" s="8">
        <v>200000</v>
      </c>
      <c r="F171" s="8">
        <v>0.1</v>
      </c>
      <c r="G171" s="8">
        <f t="shared" si="12"/>
        <v>20000</v>
      </c>
      <c r="H171" s="6" t="s">
        <v>9</v>
      </c>
      <c r="I171" s="12">
        <f>SUMIFS(IMPORT!$M$2:$M$94,IMPORT!$K$2:$K$94,CDC!B171)</f>
        <v>0</v>
      </c>
      <c r="J171" s="12">
        <f>SUMIFS(IMPORT!$R$2:$R$94,IMPORT!$K$2:$K$94,CDC!B171)</f>
        <v>0</v>
      </c>
      <c r="K171" s="12">
        <f>SUMIFS(IMPORT!$O$2:$O$94,IMPORT!$K$2:$K$94,CDC!B171)</f>
        <v>0</v>
      </c>
      <c r="L171" s="12">
        <f t="shared" si="13"/>
        <v>200000</v>
      </c>
      <c r="M171" s="13">
        <f t="shared" si="14"/>
        <v>1</v>
      </c>
      <c r="N171" s="12" t="str">
        <f t="shared" si="15"/>
        <v>OK</v>
      </c>
      <c r="O171" s="6" t="s">
        <v>187</v>
      </c>
    </row>
    <row r="172" spans="1:15">
      <c r="A172" s="27">
        <v>164</v>
      </c>
      <c r="B172" s="7" t="s">
        <v>400</v>
      </c>
      <c r="C172" s="7"/>
      <c r="D172" s="6" t="s">
        <v>19</v>
      </c>
      <c r="E172" s="8">
        <v>200000</v>
      </c>
      <c r="F172" s="8">
        <v>0.1</v>
      </c>
      <c r="G172" s="8">
        <f t="shared" si="12"/>
        <v>20000</v>
      </c>
      <c r="H172" s="6" t="s">
        <v>9</v>
      </c>
      <c r="I172" s="12">
        <f>SUMIFS(IMPORT!$M$2:$M$94,IMPORT!$K$2:$K$94,CDC!B172)</f>
        <v>0</v>
      </c>
      <c r="J172" s="12">
        <f>SUMIFS(IMPORT!$R$2:$R$94,IMPORT!$K$2:$K$94,CDC!B172)</f>
        <v>0</v>
      </c>
      <c r="K172" s="12">
        <f>SUMIFS(IMPORT!$O$2:$O$94,IMPORT!$K$2:$K$94,CDC!B172)</f>
        <v>0</v>
      </c>
      <c r="L172" s="12">
        <f t="shared" si="13"/>
        <v>200000</v>
      </c>
      <c r="M172" s="13">
        <f t="shared" si="14"/>
        <v>1</v>
      </c>
      <c r="N172" s="12" t="str">
        <f t="shared" si="15"/>
        <v>OK</v>
      </c>
      <c r="O172" s="6" t="s">
        <v>188</v>
      </c>
    </row>
    <row r="173" spans="1:15">
      <c r="A173" s="27">
        <v>165</v>
      </c>
      <c r="B173" s="7" t="s">
        <v>401</v>
      </c>
      <c r="C173" s="7"/>
      <c r="D173" s="6" t="s">
        <v>19</v>
      </c>
      <c r="E173" s="8">
        <v>200000</v>
      </c>
      <c r="F173" s="8">
        <v>0.1</v>
      </c>
      <c r="G173" s="8">
        <f t="shared" si="12"/>
        <v>20000</v>
      </c>
      <c r="H173" s="6" t="s">
        <v>9</v>
      </c>
      <c r="I173" s="12">
        <f>SUMIFS(IMPORT!$M$2:$M$94,IMPORT!$K$2:$K$94,CDC!B173)</f>
        <v>0</v>
      </c>
      <c r="J173" s="12">
        <f>SUMIFS(IMPORT!$R$2:$R$94,IMPORT!$K$2:$K$94,CDC!B173)</f>
        <v>0</v>
      </c>
      <c r="K173" s="12">
        <f>SUMIFS(IMPORT!$O$2:$O$94,IMPORT!$K$2:$K$94,CDC!B173)</f>
        <v>0</v>
      </c>
      <c r="L173" s="12">
        <f t="shared" si="13"/>
        <v>200000</v>
      </c>
      <c r="M173" s="13">
        <f t="shared" si="14"/>
        <v>1</v>
      </c>
      <c r="N173" s="12" t="str">
        <f t="shared" si="15"/>
        <v>OK</v>
      </c>
      <c r="O173" s="6" t="s">
        <v>189</v>
      </c>
    </row>
    <row r="174" spans="1:15">
      <c r="A174" s="27">
        <v>166</v>
      </c>
      <c r="B174" s="7" t="s">
        <v>402</v>
      </c>
      <c r="C174" s="7"/>
      <c r="D174" s="6" t="s">
        <v>19</v>
      </c>
      <c r="E174" s="8">
        <v>200000</v>
      </c>
      <c r="F174" s="8">
        <v>0.15</v>
      </c>
      <c r="G174" s="8">
        <f t="shared" si="12"/>
        <v>30000</v>
      </c>
      <c r="H174" s="6" t="s">
        <v>9</v>
      </c>
      <c r="I174" s="12">
        <f>SUMIFS(IMPORT!$M$2:$M$94,IMPORT!$K$2:$K$94,CDC!B174)</f>
        <v>0</v>
      </c>
      <c r="J174" s="12">
        <f>SUMIFS(IMPORT!$R$2:$R$94,IMPORT!$K$2:$K$94,CDC!B174)</f>
        <v>0</v>
      </c>
      <c r="K174" s="12">
        <f>SUMIFS(IMPORT!$O$2:$O$94,IMPORT!$K$2:$K$94,CDC!B174)</f>
        <v>0</v>
      </c>
      <c r="L174" s="12">
        <f t="shared" si="13"/>
        <v>200000</v>
      </c>
      <c r="M174" s="13">
        <f t="shared" si="14"/>
        <v>1</v>
      </c>
      <c r="N174" s="12" t="str">
        <f t="shared" si="15"/>
        <v>OK</v>
      </c>
      <c r="O174" s="6" t="s">
        <v>190</v>
      </c>
    </row>
    <row r="175" spans="1:15">
      <c r="A175" s="27">
        <v>167</v>
      </c>
      <c r="B175" s="7" t="s">
        <v>403</v>
      </c>
      <c r="C175" s="7"/>
      <c r="D175" s="6" t="s">
        <v>19</v>
      </c>
      <c r="E175" s="8">
        <v>60000</v>
      </c>
      <c r="F175" s="8">
        <v>0.15</v>
      </c>
      <c r="G175" s="8">
        <f t="shared" si="12"/>
        <v>9000</v>
      </c>
      <c r="H175" s="6" t="s">
        <v>9</v>
      </c>
      <c r="I175" s="12">
        <f>SUMIFS(IMPORT!$M$2:$M$94,IMPORT!$K$2:$K$94,CDC!B175)</f>
        <v>0</v>
      </c>
      <c r="J175" s="12">
        <f>SUMIFS(IMPORT!$R$2:$R$94,IMPORT!$K$2:$K$94,CDC!B175)</f>
        <v>0</v>
      </c>
      <c r="K175" s="12">
        <f>SUMIFS(IMPORT!$O$2:$O$94,IMPORT!$K$2:$K$94,CDC!B175)</f>
        <v>0</v>
      </c>
      <c r="L175" s="12">
        <f t="shared" si="13"/>
        <v>60000</v>
      </c>
      <c r="M175" s="13">
        <f t="shared" si="14"/>
        <v>1</v>
      </c>
      <c r="N175" s="12" t="str">
        <f t="shared" si="15"/>
        <v>OK</v>
      </c>
      <c r="O175" s="6" t="s">
        <v>191</v>
      </c>
    </row>
    <row r="176" spans="1:15">
      <c r="A176" s="27">
        <v>168</v>
      </c>
      <c r="B176" s="7" t="s">
        <v>404</v>
      </c>
      <c r="C176" s="7"/>
      <c r="D176" s="6" t="s">
        <v>21</v>
      </c>
      <c r="E176" s="8">
        <v>40000</v>
      </c>
      <c r="F176" s="8">
        <v>4</v>
      </c>
      <c r="G176" s="8">
        <f t="shared" si="12"/>
        <v>160000</v>
      </c>
      <c r="H176" s="6" t="s">
        <v>9</v>
      </c>
      <c r="I176" s="12">
        <f>SUMIFS(IMPORT!$M$2:$M$94,IMPORT!$K$2:$K$94,CDC!B176)</f>
        <v>0</v>
      </c>
      <c r="J176" s="12">
        <f>SUMIFS(IMPORT!$R$2:$R$94,IMPORT!$K$2:$K$94,CDC!B176)</f>
        <v>0</v>
      </c>
      <c r="K176" s="12">
        <f>SUMIFS(IMPORT!$O$2:$O$94,IMPORT!$K$2:$K$94,CDC!B176)</f>
        <v>0</v>
      </c>
      <c r="L176" s="12">
        <f t="shared" si="13"/>
        <v>40000</v>
      </c>
      <c r="M176" s="13">
        <f t="shared" si="14"/>
        <v>1</v>
      </c>
      <c r="N176" s="12" t="str">
        <f t="shared" si="15"/>
        <v>OK</v>
      </c>
      <c r="O176" s="6" t="s">
        <v>192</v>
      </c>
    </row>
    <row r="177" spans="1:15">
      <c r="A177" s="27">
        <v>169</v>
      </c>
      <c r="B177" s="7" t="s">
        <v>405</v>
      </c>
      <c r="C177" s="7"/>
      <c r="D177" s="6" t="s">
        <v>21</v>
      </c>
      <c r="E177" s="8">
        <v>40000</v>
      </c>
      <c r="F177" s="8">
        <v>4</v>
      </c>
      <c r="G177" s="8">
        <f t="shared" si="12"/>
        <v>160000</v>
      </c>
      <c r="H177" s="6" t="s">
        <v>9</v>
      </c>
      <c r="I177" s="12">
        <f>SUMIFS(IMPORT!$M$2:$M$94,IMPORT!$K$2:$K$94,CDC!B177)</f>
        <v>1569</v>
      </c>
      <c r="J177" s="12">
        <f>SUMIFS(IMPORT!$R$2:$R$94,IMPORT!$K$2:$K$94,CDC!B177)</f>
        <v>6276</v>
      </c>
      <c r="K177" s="12">
        <f>SUMIFS(IMPORT!$O$2:$O$94,IMPORT!$K$2:$K$94,CDC!B177)</f>
        <v>554.79999999999995</v>
      </c>
      <c r="L177" s="12">
        <f t="shared" si="13"/>
        <v>38431</v>
      </c>
      <c r="M177" s="13">
        <f t="shared" si="14"/>
        <v>0.96077500000000005</v>
      </c>
      <c r="N177" s="12" t="str">
        <f t="shared" si="15"/>
        <v>OK</v>
      </c>
      <c r="O177" s="6" t="s">
        <v>193</v>
      </c>
    </row>
    <row r="178" spans="1:15">
      <c r="A178" s="27">
        <v>170</v>
      </c>
      <c r="B178" s="7" t="s">
        <v>406</v>
      </c>
      <c r="C178" s="7"/>
      <c r="D178" s="6" t="s">
        <v>21</v>
      </c>
      <c r="E178" s="8">
        <v>40000</v>
      </c>
      <c r="F178" s="8">
        <v>1.5</v>
      </c>
      <c r="G178" s="8">
        <f t="shared" si="12"/>
        <v>60000</v>
      </c>
      <c r="H178" s="6" t="s">
        <v>9</v>
      </c>
      <c r="I178" s="12">
        <f>SUMIFS(IMPORT!$M$2:$M$94,IMPORT!$K$2:$K$94,CDC!B178)</f>
        <v>849</v>
      </c>
      <c r="J178" s="12">
        <f>SUMIFS(IMPORT!$R$2:$R$94,IMPORT!$K$2:$K$94,CDC!B178)</f>
        <v>1273.5</v>
      </c>
      <c r="K178" s="12">
        <f>SUMIFS(IMPORT!$O$2:$O$94,IMPORT!$K$2:$K$94,CDC!B178)</f>
        <v>562.70000000000005</v>
      </c>
      <c r="L178" s="12">
        <f t="shared" si="13"/>
        <v>39151</v>
      </c>
      <c r="M178" s="13">
        <f t="shared" si="14"/>
        <v>0.97877499999999995</v>
      </c>
      <c r="N178" s="12" t="str">
        <f t="shared" si="15"/>
        <v>OK</v>
      </c>
      <c r="O178" s="6" t="s">
        <v>194</v>
      </c>
    </row>
    <row r="179" spans="1:15">
      <c r="A179" s="27">
        <v>171</v>
      </c>
      <c r="B179" s="7" t="s">
        <v>407</v>
      </c>
      <c r="C179" s="7"/>
      <c r="D179" s="6" t="s">
        <v>19</v>
      </c>
      <c r="E179" s="8">
        <v>40000</v>
      </c>
      <c r="F179" s="8">
        <v>0.25</v>
      </c>
      <c r="G179" s="8">
        <f t="shared" si="12"/>
        <v>10000</v>
      </c>
      <c r="H179" s="6" t="s">
        <v>9</v>
      </c>
      <c r="I179" s="12">
        <f>SUMIFS(IMPORT!$M$2:$M$94,IMPORT!$K$2:$K$94,CDC!B179)</f>
        <v>0</v>
      </c>
      <c r="J179" s="12">
        <f>SUMIFS(IMPORT!$R$2:$R$94,IMPORT!$K$2:$K$94,CDC!B179)</f>
        <v>0</v>
      </c>
      <c r="K179" s="12">
        <f>SUMIFS(IMPORT!$O$2:$O$94,IMPORT!$K$2:$K$94,CDC!B179)</f>
        <v>0</v>
      </c>
      <c r="L179" s="12">
        <f t="shared" si="13"/>
        <v>40000</v>
      </c>
      <c r="M179" s="13">
        <f t="shared" si="14"/>
        <v>1</v>
      </c>
      <c r="N179" s="12" t="str">
        <f t="shared" si="15"/>
        <v>OK</v>
      </c>
      <c r="O179" s="6" t="s">
        <v>195</v>
      </c>
    </row>
    <row r="180" spans="1:15">
      <c r="A180" s="27">
        <v>172</v>
      </c>
      <c r="B180" s="7" t="s">
        <v>408</v>
      </c>
      <c r="C180" s="7"/>
      <c r="D180" s="6" t="s">
        <v>19</v>
      </c>
      <c r="E180" s="8">
        <v>40000</v>
      </c>
      <c r="F180" s="8">
        <v>0.25</v>
      </c>
      <c r="G180" s="8">
        <f t="shared" si="12"/>
        <v>10000</v>
      </c>
      <c r="H180" s="6" t="s">
        <v>9</v>
      </c>
      <c r="I180" s="12">
        <f>SUMIFS(IMPORT!$M$2:$M$94,IMPORT!$K$2:$K$94,CDC!B180)</f>
        <v>0</v>
      </c>
      <c r="J180" s="12">
        <f>SUMIFS(IMPORT!$R$2:$R$94,IMPORT!$K$2:$K$94,CDC!B180)</f>
        <v>0</v>
      </c>
      <c r="K180" s="12">
        <f>SUMIFS(IMPORT!$O$2:$O$94,IMPORT!$K$2:$K$94,CDC!B180)</f>
        <v>0</v>
      </c>
      <c r="L180" s="12">
        <f t="shared" si="13"/>
        <v>40000</v>
      </c>
      <c r="M180" s="13">
        <f t="shared" si="14"/>
        <v>1</v>
      </c>
      <c r="N180" s="12" t="str">
        <f t="shared" si="15"/>
        <v>OK</v>
      </c>
      <c r="O180" s="6" t="s">
        <v>196</v>
      </c>
    </row>
    <row r="181" spans="1:15">
      <c r="A181" s="27">
        <v>173</v>
      </c>
      <c r="B181" s="7" t="s">
        <v>409</v>
      </c>
      <c r="C181" s="7"/>
      <c r="D181" s="6" t="s">
        <v>21</v>
      </c>
      <c r="E181" s="8">
        <v>80000</v>
      </c>
      <c r="F181" s="8">
        <v>1.2</v>
      </c>
      <c r="G181" s="8">
        <f t="shared" si="12"/>
        <v>96000</v>
      </c>
      <c r="H181" s="6" t="s">
        <v>9</v>
      </c>
      <c r="I181" s="12">
        <f>SUMIFS(IMPORT!$M$2:$M$94,IMPORT!$K$2:$K$94,CDC!B181)</f>
        <v>0</v>
      </c>
      <c r="J181" s="12">
        <f>SUMIFS(IMPORT!$R$2:$R$94,IMPORT!$K$2:$K$94,CDC!B181)</f>
        <v>0</v>
      </c>
      <c r="K181" s="12">
        <f>SUMIFS(IMPORT!$O$2:$O$94,IMPORT!$K$2:$K$94,CDC!B181)</f>
        <v>0</v>
      </c>
      <c r="L181" s="12">
        <f t="shared" si="13"/>
        <v>80000</v>
      </c>
      <c r="M181" s="13">
        <f t="shared" si="14"/>
        <v>1</v>
      </c>
      <c r="N181" s="12" t="str">
        <f t="shared" si="15"/>
        <v>OK</v>
      </c>
      <c r="O181" s="6" t="s">
        <v>197</v>
      </c>
    </row>
    <row r="182" spans="1:15">
      <c r="A182" s="27">
        <v>174</v>
      </c>
      <c r="B182" s="7" t="s">
        <v>410</v>
      </c>
      <c r="C182" s="7"/>
      <c r="D182" s="6" t="s">
        <v>21</v>
      </c>
      <c r="E182" s="8">
        <v>80000</v>
      </c>
      <c r="F182" s="8">
        <v>1.2</v>
      </c>
      <c r="G182" s="8">
        <f t="shared" si="12"/>
        <v>96000</v>
      </c>
      <c r="H182" s="6" t="s">
        <v>9</v>
      </c>
      <c r="I182" s="12">
        <f>SUMIFS(IMPORT!$M$2:$M$94,IMPORT!$K$2:$K$94,CDC!B182)</f>
        <v>0</v>
      </c>
      <c r="J182" s="12">
        <f>SUMIFS(IMPORT!$R$2:$R$94,IMPORT!$K$2:$K$94,CDC!B182)</f>
        <v>0</v>
      </c>
      <c r="K182" s="12">
        <f>SUMIFS(IMPORT!$O$2:$O$94,IMPORT!$K$2:$K$94,CDC!B182)</f>
        <v>0</v>
      </c>
      <c r="L182" s="12">
        <f t="shared" si="13"/>
        <v>80000</v>
      </c>
      <c r="M182" s="13">
        <f t="shared" si="14"/>
        <v>1</v>
      </c>
      <c r="N182" s="12" t="str">
        <f t="shared" si="15"/>
        <v>OK</v>
      </c>
      <c r="O182" s="6" t="s">
        <v>198</v>
      </c>
    </row>
    <row r="183" spans="1:15">
      <c r="A183" s="27">
        <v>175</v>
      </c>
      <c r="B183" s="7" t="s">
        <v>411</v>
      </c>
      <c r="C183" s="7"/>
      <c r="D183" s="6" t="s">
        <v>21</v>
      </c>
      <c r="E183" s="8">
        <v>9000</v>
      </c>
      <c r="F183" s="8">
        <v>1.8</v>
      </c>
      <c r="G183" s="8">
        <f t="shared" si="12"/>
        <v>16200</v>
      </c>
      <c r="H183" s="6" t="s">
        <v>9</v>
      </c>
      <c r="I183" s="12">
        <f>SUMIFS(IMPORT!$M$2:$M$94,IMPORT!$K$2:$K$94,CDC!B183)</f>
        <v>0</v>
      </c>
      <c r="J183" s="12">
        <f>SUMIFS(IMPORT!$R$2:$R$94,IMPORT!$K$2:$K$94,CDC!B183)</f>
        <v>0</v>
      </c>
      <c r="K183" s="12">
        <f>SUMIFS(IMPORT!$O$2:$O$94,IMPORT!$K$2:$K$94,CDC!B183)</f>
        <v>0</v>
      </c>
      <c r="L183" s="12">
        <f t="shared" si="13"/>
        <v>9000</v>
      </c>
      <c r="M183" s="13">
        <f t="shared" si="14"/>
        <v>1</v>
      </c>
      <c r="N183" s="12" t="str">
        <f t="shared" si="15"/>
        <v>OK</v>
      </c>
      <c r="O183" s="6" t="s">
        <v>199</v>
      </c>
    </row>
    <row r="184" spans="1:15">
      <c r="A184" s="27">
        <v>176</v>
      </c>
      <c r="B184" s="7" t="s">
        <v>412</v>
      </c>
      <c r="C184" s="7"/>
      <c r="D184" s="6" t="s">
        <v>19</v>
      </c>
      <c r="E184" s="8">
        <v>200000</v>
      </c>
      <c r="F184" s="8">
        <v>0.12</v>
      </c>
      <c r="G184" s="8">
        <f t="shared" si="12"/>
        <v>24000</v>
      </c>
      <c r="H184" s="6" t="s">
        <v>9</v>
      </c>
      <c r="I184" s="12">
        <f>SUMIFS(IMPORT!$M$2:$M$94,IMPORT!$K$2:$K$94,CDC!B184)</f>
        <v>1284</v>
      </c>
      <c r="J184" s="12">
        <f>SUMIFS(IMPORT!$R$2:$R$94,IMPORT!$K$2:$K$94,CDC!B184)</f>
        <v>154.08000000000001</v>
      </c>
      <c r="K184" s="12">
        <f>SUMIFS(IMPORT!$O$2:$O$94,IMPORT!$K$2:$K$94,CDC!B184)</f>
        <v>66.900000000000006</v>
      </c>
      <c r="L184" s="12">
        <f t="shared" si="13"/>
        <v>198716</v>
      </c>
      <c r="M184" s="13">
        <f t="shared" si="14"/>
        <v>0.99358000000000002</v>
      </c>
      <c r="N184" s="12" t="str">
        <f t="shared" si="15"/>
        <v>OK</v>
      </c>
      <c r="O184" s="6" t="s">
        <v>200</v>
      </c>
    </row>
    <row r="185" spans="1:15">
      <c r="A185" s="27">
        <v>177</v>
      </c>
      <c r="B185" s="7" t="s">
        <v>413</v>
      </c>
      <c r="C185" s="7"/>
      <c r="D185" s="6" t="s">
        <v>19</v>
      </c>
      <c r="E185" s="8">
        <v>200000</v>
      </c>
      <c r="F185" s="8">
        <v>0.1</v>
      </c>
      <c r="G185" s="8">
        <f t="shared" si="12"/>
        <v>20000</v>
      </c>
      <c r="H185" s="6" t="s">
        <v>9</v>
      </c>
      <c r="I185" s="12">
        <f>SUMIFS(IMPORT!$M$2:$M$94,IMPORT!$K$2:$K$94,CDC!B185)</f>
        <v>0</v>
      </c>
      <c r="J185" s="12">
        <f>SUMIFS(IMPORT!$R$2:$R$94,IMPORT!$K$2:$K$94,CDC!B185)</f>
        <v>0</v>
      </c>
      <c r="K185" s="12">
        <f>SUMIFS(IMPORT!$O$2:$O$94,IMPORT!$K$2:$K$94,CDC!B185)</f>
        <v>0</v>
      </c>
      <c r="L185" s="12">
        <f t="shared" si="13"/>
        <v>200000</v>
      </c>
      <c r="M185" s="13">
        <f t="shared" si="14"/>
        <v>1</v>
      </c>
      <c r="N185" s="12" t="str">
        <f t="shared" si="15"/>
        <v>OK</v>
      </c>
      <c r="O185" s="6" t="s">
        <v>201</v>
      </c>
    </row>
    <row r="186" spans="1:15">
      <c r="A186" s="27">
        <v>178</v>
      </c>
      <c r="B186" s="7" t="s">
        <v>414</v>
      </c>
      <c r="C186" s="7"/>
      <c r="D186" s="6" t="s">
        <v>19</v>
      </c>
      <c r="E186" s="8">
        <v>200000</v>
      </c>
      <c r="F186" s="8">
        <v>0.1</v>
      </c>
      <c r="G186" s="8">
        <f t="shared" si="12"/>
        <v>20000</v>
      </c>
      <c r="H186" s="6" t="s">
        <v>9</v>
      </c>
      <c r="I186" s="12">
        <f>SUMIFS(IMPORT!$M$2:$M$94,IMPORT!$K$2:$K$94,CDC!B186)</f>
        <v>0</v>
      </c>
      <c r="J186" s="12">
        <f>SUMIFS(IMPORT!$R$2:$R$94,IMPORT!$K$2:$K$94,CDC!B186)</f>
        <v>0</v>
      </c>
      <c r="K186" s="12">
        <f>SUMIFS(IMPORT!$O$2:$O$94,IMPORT!$K$2:$K$94,CDC!B186)</f>
        <v>0</v>
      </c>
      <c r="L186" s="12">
        <f t="shared" si="13"/>
        <v>200000</v>
      </c>
      <c r="M186" s="13">
        <f t="shared" si="14"/>
        <v>1</v>
      </c>
      <c r="N186" s="12" t="str">
        <f t="shared" si="15"/>
        <v>OK</v>
      </c>
      <c r="O186" s="6" t="s">
        <v>202</v>
      </c>
    </row>
    <row r="187" spans="1:15">
      <c r="A187" s="27">
        <v>179</v>
      </c>
      <c r="B187" s="7" t="s">
        <v>415</v>
      </c>
      <c r="C187" s="7"/>
      <c r="D187" s="6" t="s">
        <v>19</v>
      </c>
      <c r="E187" s="8">
        <v>200000</v>
      </c>
      <c r="F187" s="8">
        <v>0.15</v>
      </c>
      <c r="G187" s="8">
        <f t="shared" si="12"/>
        <v>30000</v>
      </c>
      <c r="H187" s="6" t="s">
        <v>9</v>
      </c>
      <c r="I187" s="12">
        <f>SUMIFS(IMPORT!$M$2:$M$94,IMPORT!$K$2:$K$94,CDC!B187)</f>
        <v>0</v>
      </c>
      <c r="J187" s="12">
        <f>SUMIFS(IMPORT!$R$2:$R$94,IMPORT!$K$2:$K$94,CDC!B187)</f>
        <v>0</v>
      </c>
      <c r="K187" s="12">
        <f>SUMIFS(IMPORT!$O$2:$O$94,IMPORT!$K$2:$K$94,CDC!B187)</f>
        <v>0</v>
      </c>
      <c r="L187" s="12">
        <f t="shared" si="13"/>
        <v>200000</v>
      </c>
      <c r="M187" s="13">
        <f t="shared" si="14"/>
        <v>1</v>
      </c>
      <c r="N187" s="12" t="str">
        <f t="shared" si="15"/>
        <v>OK</v>
      </c>
      <c r="O187" s="6" t="s">
        <v>203</v>
      </c>
    </row>
    <row r="188" spans="1:15">
      <c r="A188" s="27">
        <v>180</v>
      </c>
      <c r="B188" s="7" t="s">
        <v>416</v>
      </c>
      <c r="C188" s="7"/>
      <c r="D188" s="6" t="s">
        <v>19</v>
      </c>
      <c r="E188" s="8">
        <v>200000</v>
      </c>
      <c r="F188" s="8">
        <v>0.1</v>
      </c>
      <c r="G188" s="8">
        <f t="shared" si="12"/>
        <v>20000</v>
      </c>
      <c r="H188" s="6" t="s">
        <v>9</v>
      </c>
      <c r="I188" s="12">
        <f>SUMIFS(IMPORT!$M$2:$M$94,IMPORT!$K$2:$K$94,CDC!B188)</f>
        <v>0</v>
      </c>
      <c r="J188" s="12">
        <f>SUMIFS(IMPORT!$R$2:$R$94,IMPORT!$K$2:$K$94,CDC!B188)</f>
        <v>0</v>
      </c>
      <c r="K188" s="12">
        <f>SUMIFS(IMPORT!$O$2:$O$94,IMPORT!$K$2:$K$94,CDC!B188)</f>
        <v>0</v>
      </c>
      <c r="L188" s="12">
        <f t="shared" si="13"/>
        <v>200000</v>
      </c>
      <c r="M188" s="13">
        <f t="shared" si="14"/>
        <v>1</v>
      </c>
      <c r="N188" s="12" t="str">
        <f t="shared" si="15"/>
        <v>OK</v>
      </c>
      <c r="O188" s="6" t="s">
        <v>204</v>
      </c>
    </row>
    <row r="189" spans="1:15">
      <c r="A189" s="27">
        <v>181</v>
      </c>
      <c r="B189" s="7" t="s">
        <v>417</v>
      </c>
      <c r="C189" s="7"/>
      <c r="D189" s="6" t="s">
        <v>19</v>
      </c>
      <c r="E189" s="8">
        <v>200000</v>
      </c>
      <c r="F189" s="8">
        <v>0.2</v>
      </c>
      <c r="G189" s="8">
        <f t="shared" si="12"/>
        <v>40000</v>
      </c>
      <c r="H189" s="6" t="s">
        <v>9</v>
      </c>
      <c r="I189" s="12">
        <f>SUMIFS(IMPORT!$M$2:$M$94,IMPORT!$K$2:$K$94,CDC!B189)</f>
        <v>0</v>
      </c>
      <c r="J189" s="12">
        <f>SUMIFS(IMPORT!$R$2:$R$94,IMPORT!$K$2:$K$94,CDC!B189)</f>
        <v>0</v>
      </c>
      <c r="K189" s="12">
        <f>SUMIFS(IMPORT!$O$2:$O$94,IMPORT!$K$2:$K$94,CDC!B189)</f>
        <v>0</v>
      </c>
      <c r="L189" s="12">
        <f t="shared" si="13"/>
        <v>200000</v>
      </c>
      <c r="M189" s="13">
        <f t="shared" si="14"/>
        <v>1</v>
      </c>
      <c r="N189" s="12" t="str">
        <f t="shared" si="15"/>
        <v>OK</v>
      </c>
      <c r="O189" s="6" t="s">
        <v>205</v>
      </c>
    </row>
    <row r="190" spans="1:15">
      <c r="A190" s="27">
        <v>182</v>
      </c>
      <c r="B190" s="7" t="s">
        <v>418</v>
      </c>
      <c r="C190" s="7"/>
      <c r="D190" s="6" t="s">
        <v>19</v>
      </c>
      <c r="E190" s="8">
        <v>200000</v>
      </c>
      <c r="F190" s="8">
        <v>1</v>
      </c>
      <c r="G190" s="8">
        <f t="shared" si="12"/>
        <v>200000</v>
      </c>
      <c r="H190" s="6" t="s">
        <v>9</v>
      </c>
      <c r="I190" s="12">
        <f>SUMIFS(IMPORT!$M$2:$M$94,IMPORT!$K$2:$K$94,CDC!B190)</f>
        <v>756</v>
      </c>
      <c r="J190" s="12">
        <f>SUMIFS(IMPORT!$R$2:$R$94,IMPORT!$K$2:$K$94,CDC!B190)</f>
        <v>756</v>
      </c>
      <c r="K190" s="12">
        <f>SUMIFS(IMPORT!$O$2:$O$94,IMPORT!$K$2:$K$94,CDC!B190)</f>
        <v>633.79999999999995</v>
      </c>
      <c r="L190" s="12">
        <f t="shared" si="13"/>
        <v>199244</v>
      </c>
      <c r="M190" s="13">
        <f t="shared" si="14"/>
        <v>0.99621999999999999</v>
      </c>
      <c r="N190" s="12" t="str">
        <f t="shared" si="15"/>
        <v>OK</v>
      </c>
      <c r="O190" s="6" t="s">
        <v>206</v>
      </c>
    </row>
    <row r="191" spans="1:15">
      <c r="A191" s="27">
        <v>183</v>
      </c>
      <c r="B191" s="7" t="s">
        <v>419</v>
      </c>
      <c r="C191" s="7"/>
      <c r="D191" s="6" t="s">
        <v>19</v>
      </c>
      <c r="E191" s="8">
        <v>200000</v>
      </c>
      <c r="F191" s="8">
        <v>0.15</v>
      </c>
      <c r="G191" s="8">
        <f t="shared" si="12"/>
        <v>30000</v>
      </c>
      <c r="H191" s="6" t="s">
        <v>9</v>
      </c>
      <c r="I191" s="12">
        <f>SUMIFS(IMPORT!$M$2:$M$94,IMPORT!$K$2:$K$94,CDC!B191)</f>
        <v>0</v>
      </c>
      <c r="J191" s="12">
        <f>SUMIFS(IMPORT!$R$2:$R$94,IMPORT!$K$2:$K$94,CDC!B191)</f>
        <v>0</v>
      </c>
      <c r="K191" s="12">
        <f>SUMIFS(IMPORT!$O$2:$O$94,IMPORT!$K$2:$K$94,CDC!B191)</f>
        <v>0</v>
      </c>
      <c r="L191" s="12">
        <f t="shared" si="13"/>
        <v>200000</v>
      </c>
      <c r="M191" s="13">
        <f t="shared" si="14"/>
        <v>1</v>
      </c>
      <c r="N191" s="12" t="str">
        <f t="shared" si="15"/>
        <v>OK</v>
      </c>
      <c r="O191" s="6" t="s">
        <v>207</v>
      </c>
    </row>
    <row r="192" spans="1:15">
      <c r="A192" s="27">
        <v>184</v>
      </c>
      <c r="B192" s="7" t="s">
        <v>420</v>
      </c>
      <c r="C192" s="7"/>
      <c r="D192" s="6" t="s">
        <v>19</v>
      </c>
      <c r="E192" s="8">
        <v>200000</v>
      </c>
      <c r="F192" s="8">
        <v>0.5</v>
      </c>
      <c r="G192" s="8">
        <f t="shared" si="12"/>
        <v>100000</v>
      </c>
      <c r="H192" s="6" t="s">
        <v>9</v>
      </c>
      <c r="I192" s="12">
        <f>SUMIFS(IMPORT!$M$2:$M$94,IMPORT!$K$2:$K$94,CDC!B192)</f>
        <v>0</v>
      </c>
      <c r="J192" s="12">
        <f>SUMIFS(IMPORT!$R$2:$R$94,IMPORT!$K$2:$K$94,CDC!B192)</f>
        <v>0</v>
      </c>
      <c r="K192" s="12">
        <f>SUMIFS(IMPORT!$O$2:$O$94,IMPORT!$K$2:$K$94,CDC!B192)</f>
        <v>0</v>
      </c>
      <c r="L192" s="12">
        <f t="shared" si="13"/>
        <v>200000</v>
      </c>
      <c r="M192" s="13">
        <f t="shared" si="14"/>
        <v>1</v>
      </c>
      <c r="N192" s="12" t="str">
        <f t="shared" si="15"/>
        <v>OK</v>
      </c>
      <c r="O192" s="6" t="s">
        <v>208</v>
      </c>
    </row>
    <row r="193" spans="1:15">
      <c r="A193" s="27">
        <v>185</v>
      </c>
      <c r="B193" s="7" t="s">
        <v>421</v>
      </c>
      <c r="C193" s="7"/>
      <c r="D193" s="6" t="s">
        <v>19</v>
      </c>
      <c r="E193" s="8">
        <v>150000</v>
      </c>
      <c r="F193" s="8">
        <v>0.1</v>
      </c>
      <c r="G193" s="8">
        <f t="shared" si="12"/>
        <v>15000</v>
      </c>
      <c r="H193" s="6" t="s">
        <v>9</v>
      </c>
      <c r="I193" s="12">
        <f>SUMIFS(IMPORT!$M$2:$M$94,IMPORT!$K$2:$K$94,CDC!B193)</f>
        <v>0</v>
      </c>
      <c r="J193" s="12">
        <f>SUMIFS(IMPORT!$R$2:$R$94,IMPORT!$K$2:$K$94,CDC!B193)</f>
        <v>0</v>
      </c>
      <c r="K193" s="12">
        <f>SUMIFS(IMPORT!$O$2:$O$94,IMPORT!$K$2:$K$94,CDC!B193)</f>
        <v>0</v>
      </c>
      <c r="L193" s="12">
        <f t="shared" si="13"/>
        <v>150000</v>
      </c>
      <c r="M193" s="13">
        <f t="shared" si="14"/>
        <v>1</v>
      </c>
      <c r="N193" s="12" t="str">
        <f t="shared" si="15"/>
        <v>OK</v>
      </c>
      <c r="O193" s="6" t="s">
        <v>209</v>
      </c>
    </row>
    <row r="194" spans="1:15">
      <c r="A194" s="27">
        <v>186</v>
      </c>
      <c r="B194" s="7" t="s">
        <v>422</v>
      </c>
      <c r="C194" s="7"/>
      <c r="D194" s="6" t="s">
        <v>19</v>
      </c>
      <c r="E194" s="8">
        <v>150000</v>
      </c>
      <c r="F194" s="8">
        <v>0.3</v>
      </c>
      <c r="G194" s="8">
        <f t="shared" si="12"/>
        <v>45000</v>
      </c>
      <c r="H194" s="6" t="s">
        <v>9</v>
      </c>
      <c r="I194" s="12">
        <f>SUMIFS(IMPORT!$M$2:$M$94,IMPORT!$K$2:$K$94,CDC!B194)</f>
        <v>0</v>
      </c>
      <c r="J194" s="12">
        <f>SUMIFS(IMPORT!$R$2:$R$94,IMPORT!$K$2:$K$94,CDC!B194)</f>
        <v>0</v>
      </c>
      <c r="K194" s="12">
        <f>SUMIFS(IMPORT!$O$2:$O$94,IMPORT!$K$2:$K$94,CDC!B194)</f>
        <v>0</v>
      </c>
      <c r="L194" s="12">
        <f t="shared" si="13"/>
        <v>150000</v>
      </c>
      <c r="M194" s="13">
        <f t="shared" si="14"/>
        <v>1</v>
      </c>
      <c r="N194" s="12" t="str">
        <f t="shared" si="15"/>
        <v>OK</v>
      </c>
      <c r="O194" s="6" t="s">
        <v>210</v>
      </c>
    </row>
    <row r="195" spans="1:15">
      <c r="A195" s="27">
        <v>187</v>
      </c>
      <c r="B195" s="7" t="s">
        <v>423</v>
      </c>
      <c r="C195" s="7"/>
      <c r="D195" s="6" t="s">
        <v>19</v>
      </c>
      <c r="E195" s="8">
        <v>150000</v>
      </c>
      <c r="F195" s="8">
        <v>0.1</v>
      </c>
      <c r="G195" s="8">
        <f t="shared" si="12"/>
        <v>15000</v>
      </c>
      <c r="H195" s="6" t="s">
        <v>9</v>
      </c>
      <c r="I195" s="12">
        <f>SUMIFS(IMPORT!$M$2:$M$94,IMPORT!$K$2:$K$94,CDC!B195)</f>
        <v>0</v>
      </c>
      <c r="J195" s="12">
        <f>SUMIFS(IMPORT!$R$2:$R$94,IMPORT!$K$2:$K$94,CDC!B195)</f>
        <v>0</v>
      </c>
      <c r="K195" s="12">
        <f>SUMIFS(IMPORT!$O$2:$O$94,IMPORT!$K$2:$K$94,CDC!B195)</f>
        <v>0</v>
      </c>
      <c r="L195" s="12">
        <f t="shared" si="13"/>
        <v>150000</v>
      </c>
      <c r="M195" s="13">
        <f t="shared" si="14"/>
        <v>1</v>
      </c>
      <c r="N195" s="12" t="str">
        <f t="shared" si="15"/>
        <v>OK</v>
      </c>
      <c r="O195" s="6" t="s">
        <v>211</v>
      </c>
    </row>
    <row r="196" spans="1:15">
      <c r="A196" s="27">
        <v>188</v>
      </c>
      <c r="B196" s="7" t="s">
        <v>424</v>
      </c>
      <c r="C196" s="7"/>
      <c r="D196" s="6" t="s">
        <v>19</v>
      </c>
      <c r="E196" s="8">
        <v>100000</v>
      </c>
      <c r="F196" s="8">
        <v>0.5</v>
      </c>
      <c r="G196" s="8">
        <f t="shared" si="12"/>
        <v>50000</v>
      </c>
      <c r="H196" s="6" t="s">
        <v>9</v>
      </c>
      <c r="I196" s="12">
        <f>SUMIFS(IMPORT!$M$2:$M$94,IMPORT!$K$2:$K$94,CDC!B196)</f>
        <v>0</v>
      </c>
      <c r="J196" s="12">
        <f>SUMIFS(IMPORT!$R$2:$R$94,IMPORT!$K$2:$K$94,CDC!B196)</f>
        <v>0</v>
      </c>
      <c r="K196" s="12">
        <f>SUMIFS(IMPORT!$O$2:$O$94,IMPORT!$K$2:$K$94,CDC!B196)</f>
        <v>0</v>
      </c>
      <c r="L196" s="12">
        <f t="shared" si="13"/>
        <v>100000</v>
      </c>
      <c r="M196" s="13">
        <f t="shared" si="14"/>
        <v>1</v>
      </c>
      <c r="N196" s="12" t="str">
        <f t="shared" si="15"/>
        <v>OK</v>
      </c>
      <c r="O196" s="6" t="s">
        <v>212</v>
      </c>
    </row>
    <row r="197" spans="1:15">
      <c r="A197" s="27">
        <v>189</v>
      </c>
      <c r="B197" s="7" t="s">
        <v>425</v>
      </c>
      <c r="C197" s="7"/>
      <c r="D197" s="6" t="s">
        <v>19</v>
      </c>
      <c r="E197" s="8">
        <v>45000</v>
      </c>
      <c r="F197" s="8">
        <v>1</v>
      </c>
      <c r="G197" s="8">
        <f t="shared" si="12"/>
        <v>45000</v>
      </c>
      <c r="H197" s="6" t="s">
        <v>9</v>
      </c>
      <c r="I197" s="12">
        <f>SUMIFS(IMPORT!$M$2:$M$94,IMPORT!$K$2:$K$94,CDC!B197)</f>
        <v>0</v>
      </c>
      <c r="J197" s="12">
        <f>SUMIFS(IMPORT!$R$2:$R$94,IMPORT!$K$2:$K$94,CDC!B197)</f>
        <v>0</v>
      </c>
      <c r="K197" s="12">
        <f>SUMIFS(IMPORT!$O$2:$O$94,IMPORT!$K$2:$K$94,CDC!B197)</f>
        <v>0</v>
      </c>
      <c r="L197" s="12">
        <f t="shared" si="13"/>
        <v>45000</v>
      </c>
      <c r="M197" s="13">
        <f t="shared" si="14"/>
        <v>1</v>
      </c>
      <c r="N197" s="12" t="str">
        <f t="shared" si="15"/>
        <v>OK</v>
      </c>
      <c r="O197" s="6" t="s">
        <v>213</v>
      </c>
    </row>
    <row r="198" spans="1:15">
      <c r="A198" s="27">
        <v>190</v>
      </c>
      <c r="B198" s="7" t="s">
        <v>426</v>
      </c>
      <c r="C198" s="7"/>
      <c r="D198" s="6" t="s">
        <v>19</v>
      </c>
      <c r="E198" s="8">
        <v>9000</v>
      </c>
      <c r="F198" s="8">
        <v>0.4</v>
      </c>
      <c r="G198" s="8">
        <f t="shared" si="12"/>
        <v>3600</v>
      </c>
      <c r="H198" s="6" t="s">
        <v>9</v>
      </c>
      <c r="I198" s="12">
        <f>SUMIFS(IMPORT!$M$2:$M$94,IMPORT!$K$2:$K$94,CDC!B198)</f>
        <v>0</v>
      </c>
      <c r="J198" s="12">
        <f>SUMIFS(IMPORT!$R$2:$R$94,IMPORT!$K$2:$K$94,CDC!B198)</f>
        <v>0</v>
      </c>
      <c r="K198" s="12">
        <f>SUMIFS(IMPORT!$O$2:$O$94,IMPORT!$K$2:$K$94,CDC!B198)</f>
        <v>0</v>
      </c>
      <c r="L198" s="12">
        <f t="shared" si="13"/>
        <v>9000</v>
      </c>
      <c r="M198" s="13">
        <f t="shared" si="14"/>
        <v>1</v>
      </c>
      <c r="N198" s="12" t="str">
        <f t="shared" si="15"/>
        <v>OK</v>
      </c>
      <c r="O198" s="6" t="s">
        <v>214</v>
      </c>
    </row>
    <row r="199" spans="1:15">
      <c r="A199" s="27">
        <v>191</v>
      </c>
      <c r="B199" s="7" t="s">
        <v>427</v>
      </c>
      <c r="C199" s="7"/>
      <c r="D199" s="6" t="s">
        <v>19</v>
      </c>
      <c r="E199" s="8">
        <v>9000</v>
      </c>
      <c r="F199" s="8">
        <v>7</v>
      </c>
      <c r="G199" s="8">
        <f t="shared" si="12"/>
        <v>63000</v>
      </c>
      <c r="H199" s="6" t="s">
        <v>9</v>
      </c>
      <c r="I199" s="12">
        <f>SUMIFS(IMPORT!$M$2:$M$94,IMPORT!$K$2:$K$94,CDC!B199)</f>
        <v>0</v>
      </c>
      <c r="J199" s="12">
        <f>SUMIFS(IMPORT!$R$2:$R$94,IMPORT!$K$2:$K$94,CDC!B199)</f>
        <v>0</v>
      </c>
      <c r="K199" s="12">
        <f>SUMIFS(IMPORT!$O$2:$O$94,IMPORT!$K$2:$K$94,CDC!B199)</f>
        <v>0</v>
      </c>
      <c r="L199" s="12">
        <f t="shared" si="13"/>
        <v>9000</v>
      </c>
      <c r="M199" s="13">
        <f t="shared" si="14"/>
        <v>1</v>
      </c>
      <c r="N199" s="12" t="str">
        <f t="shared" si="15"/>
        <v>OK</v>
      </c>
      <c r="O199" s="6" t="s">
        <v>215</v>
      </c>
    </row>
    <row r="200" spans="1:15">
      <c r="A200" s="27">
        <v>192</v>
      </c>
      <c r="B200" s="7" t="s">
        <v>428</v>
      </c>
      <c r="C200" s="7"/>
      <c r="D200" s="6" t="s">
        <v>19</v>
      </c>
      <c r="E200" s="8">
        <v>28000</v>
      </c>
      <c r="F200" s="8">
        <v>0.1</v>
      </c>
      <c r="G200" s="8">
        <f>F200*E200</f>
        <v>2800</v>
      </c>
      <c r="H200" s="6" t="s">
        <v>9</v>
      </c>
      <c r="I200" s="12">
        <f>SUMIFS(IMPORT!$M$2:$M$94,IMPORT!$K$2:$K$94,CDC!B200)</f>
        <v>0</v>
      </c>
      <c r="J200" s="12">
        <f>SUMIFS(IMPORT!$R$2:$R$94,IMPORT!$K$2:$K$94,CDC!B200)</f>
        <v>0</v>
      </c>
      <c r="K200" s="12">
        <f>SUMIFS(IMPORT!$O$2:$O$94,IMPORT!$K$2:$K$94,CDC!B200)</f>
        <v>0</v>
      </c>
      <c r="L200" s="12">
        <f>E200-I200</f>
        <v>28000</v>
      </c>
      <c r="M200" s="13">
        <f>L200/E200</f>
        <v>1</v>
      </c>
      <c r="N200" s="12" t="str">
        <f>IF(M200&lt;50%,"CHECK","OK")</f>
        <v>OK</v>
      </c>
      <c r="O200" s="6" t="s">
        <v>216</v>
      </c>
    </row>
    <row r="201" spans="1:15">
      <c r="A201" s="27">
        <v>193</v>
      </c>
      <c r="B201" s="7" t="s">
        <v>429</v>
      </c>
      <c r="C201" s="7"/>
      <c r="D201" s="6" t="s">
        <v>22</v>
      </c>
      <c r="E201" s="8">
        <v>3000</v>
      </c>
      <c r="F201" s="8">
        <v>0.3</v>
      </c>
      <c r="G201" s="8">
        <f>F201*E201</f>
        <v>900</v>
      </c>
      <c r="H201" s="6" t="s">
        <v>24</v>
      </c>
      <c r="I201" s="12">
        <f>SUMIFS(IMPORT!$M$2:$M$94,IMPORT!$K$2:$K$94,CDC!B201)</f>
        <v>0</v>
      </c>
      <c r="J201" s="12">
        <f>SUMIFS(IMPORT!$R$2:$R$94,IMPORT!$K$2:$K$94,CDC!B201)</f>
        <v>0</v>
      </c>
      <c r="K201" s="12">
        <f>SUMIFS(IMPORT!$O$2:$O$94,IMPORT!$K$2:$K$94,CDC!B201)</f>
        <v>0</v>
      </c>
      <c r="L201" s="12">
        <f>E201-I201</f>
        <v>3000</v>
      </c>
      <c r="M201" s="13">
        <f>L201/E201</f>
        <v>1</v>
      </c>
      <c r="N201" s="12" t="str">
        <f>IF(M201&lt;50%,"CHECK","OK")</f>
        <v>OK</v>
      </c>
      <c r="O201" s="6" t="s">
        <v>217</v>
      </c>
    </row>
    <row r="202" spans="1:15">
      <c r="A202" s="27">
        <v>194</v>
      </c>
      <c r="B202" s="7" t="s">
        <v>430</v>
      </c>
      <c r="C202" s="7"/>
      <c r="D202" s="6" t="s">
        <v>19</v>
      </c>
      <c r="E202" s="8">
        <v>14000</v>
      </c>
      <c r="F202" s="8">
        <v>0.5</v>
      </c>
      <c r="G202" s="8">
        <f>F202*E202</f>
        <v>7000</v>
      </c>
      <c r="H202" s="6" t="s">
        <v>9</v>
      </c>
      <c r="I202" s="12">
        <f>SUMIFS(IMPORT!$M$2:$M$94,IMPORT!$K$2:$K$94,CDC!B202)</f>
        <v>0</v>
      </c>
      <c r="J202" s="12">
        <f>SUMIFS(IMPORT!$R$2:$R$94,IMPORT!$K$2:$K$94,CDC!B202)</f>
        <v>0</v>
      </c>
      <c r="K202" s="12">
        <f>SUMIFS(IMPORT!$O$2:$O$94,IMPORT!$K$2:$K$94,CDC!B202)</f>
        <v>0</v>
      </c>
      <c r="L202" s="12">
        <f>E202-I202</f>
        <v>14000</v>
      </c>
      <c r="M202" s="13">
        <f>L202/E202</f>
        <v>1</v>
      </c>
      <c r="N202" s="12" t="str">
        <f>IF(M202&lt;50%,"CHECK","OK")</f>
        <v>OK</v>
      </c>
      <c r="O202" s="6" t="s">
        <v>218</v>
      </c>
    </row>
    <row r="203" spans="1:15">
      <c r="A203" s="27">
        <v>195</v>
      </c>
      <c r="B203" s="7" t="s">
        <v>431</v>
      </c>
      <c r="C203" s="7"/>
      <c r="D203" s="6" t="s">
        <v>19</v>
      </c>
      <c r="E203" s="8">
        <v>8000</v>
      </c>
      <c r="F203" s="8">
        <v>10</v>
      </c>
      <c r="G203" s="8">
        <f>F203*E203</f>
        <v>80000</v>
      </c>
      <c r="H203" s="6" t="s">
        <v>9</v>
      </c>
      <c r="I203" s="12">
        <f>SUMIFS(IMPORT!$M$2:$M$94,IMPORT!$K$2:$K$94,CDC!B203)</f>
        <v>0</v>
      </c>
      <c r="J203" s="12">
        <f>SUMIFS(IMPORT!$R$2:$R$94,IMPORT!$K$2:$K$94,CDC!B203)</f>
        <v>0</v>
      </c>
      <c r="K203" s="12">
        <f>SUMIFS(IMPORT!$O$2:$O$94,IMPORT!$K$2:$K$94,CDC!B203)</f>
        <v>0</v>
      </c>
      <c r="L203" s="12">
        <f>E203-I203</f>
        <v>8000</v>
      </c>
      <c r="M203" s="13">
        <f>L203/E203</f>
        <v>1</v>
      </c>
      <c r="N203" s="12" t="str">
        <f>IF(M203&lt;50%,"CHECK","OK")</f>
        <v>OK</v>
      </c>
      <c r="O203" s="6" t="s">
        <v>219</v>
      </c>
    </row>
    <row r="204" spans="1:15">
      <c r="E204" s="3">
        <f>SUM(E6:E203)</f>
        <v>23651300</v>
      </c>
      <c r="F204" s="3">
        <f t="shared" ref="F204:G204" si="16">SUM(F6:F203)</f>
        <v>429298.80999999994</v>
      </c>
      <c r="G204" s="3">
        <f t="shared" si="16"/>
        <v>17650990</v>
      </c>
    </row>
  </sheetData>
  <autoFilter ref="A5:R203" xr:uid="{00000000-0009-0000-0000-000003000000}"/>
  <mergeCells count="1">
    <mergeCell ref="I4:K4"/>
  </mergeCells>
  <phoneticPr fontId="5" type="noConversion"/>
  <conditionalFormatting sqref="A6:O203">
    <cfRule type="expression" dxfId="0" priority="1">
      <formula>$M6&lt;50%</formula>
    </cfRule>
  </conditionalFormatting>
  <pageMargins left="0.7" right="0.7" top="0.75" bottom="0.75" header="0.3" footer="0.3"/>
  <pageSetup paperSize="9" scale="36" orientation="portrait" r:id="rId1"/>
  <rowBreaks count="1" manualBreakCount="1">
    <brk id="4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</vt:lpstr>
      <vt:lpstr>CDC</vt:lpstr>
      <vt:lpstr>CDC!Print_Area</vt:lpstr>
      <vt:lpstr>IMPORT!Print_Area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Rithy</dc:creator>
  <cp:lastModifiedBy>Alex Jay</cp:lastModifiedBy>
  <cp:lastPrinted>2026-08-24T04:04:40Z</cp:lastPrinted>
  <dcterms:created xsi:type="dcterms:W3CDTF">2021-11-24T04:43:51Z</dcterms:created>
  <dcterms:modified xsi:type="dcterms:W3CDTF">2026-10-17T02:29:37Z</dcterms:modified>
</cp:coreProperties>
</file>